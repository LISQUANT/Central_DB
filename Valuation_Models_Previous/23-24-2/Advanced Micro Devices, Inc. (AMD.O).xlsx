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Tech 1 (Rosario La Spina)/Advanced Micro Devices, Inc. (AMD.O)/"/>
    </mc:Choice>
  </mc:AlternateContent>
  <xr:revisionPtr revIDLastSave="3936" documentId="13_ncr:1_{26D5CA1E-45FE-425A-8F05-72ED85C7BA47}" xr6:coauthVersionLast="47" xr6:coauthVersionMax="47" xr10:uidLastSave="{82EB6C76-C4B0-4A0C-8870-5A459912A091}"/>
  <bookViews>
    <workbookView xWindow="0" yWindow="0" windowWidth="25800" windowHeight="21000" tabRatio="644" firstSheet="10" activeTab="3" xr2:uid="{00000000-000D-0000-FFFF-FFFF00000000}"/>
  </bookViews>
  <sheets>
    <sheet name="OP" sheetId="1" r:id="rId1"/>
    <sheet name="Segments" sheetId="3" r:id="rId2"/>
    <sheet name="Acuerdo" sheetId="11" state="hidden" r:id="rId3"/>
    <sheet name="Peers" sheetId="10" r:id="rId4"/>
    <sheet name="SARD" sheetId="23" r:id="rId5"/>
    <sheet name="ESG" sheetId="19" r:id="rId6"/>
    <sheet name="DCF" sheetId="4" r:id="rId7"/>
    <sheet name="Assumptions" sheetId="22" r:id="rId8"/>
    <sheet name="Fin. Data" sheetId="16" r:id="rId9"/>
    <sheet name="Sector Impact" sheetId="18" state="hidden" r:id="rId10"/>
    <sheet name="Inputs" sheetId="17" r:id="rId11"/>
  </sheets>
  <externalReferences>
    <externalReference r:id="rId12"/>
  </externalReferences>
  <definedNames>
    <definedName name="_xlnm.Print_Area" localSheetId="0">OP!$A$1:$M$82</definedName>
    <definedName name="_xlnm.Print_Area" localSheetId="1">Segments!#REF!</definedName>
    <definedName name="Sectors" localSheetId="7">'[1]Sector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c r="D4" i="10" a="1"/>
  <c r="D4" i="10"/>
  <c r="D5" i="10" a="1"/>
  <c r="D5" i="10"/>
  <c r="C39" i="10"/>
  <c r="E39" i="10"/>
  <c r="E10" i="10"/>
  <c r="C144" i="17"/>
  <c r="D144" i="17"/>
  <c r="E144" i="17"/>
  <c r="F144" i="17"/>
  <c r="G144" i="17"/>
  <c r="H144" i="17"/>
  <c r="I144" i="17"/>
  <c r="J144" i="17"/>
  <c r="K144" i="17"/>
  <c r="L144" i="17"/>
  <c r="M144" i="17"/>
  <c r="N144" i="17"/>
  <c r="O144" i="17"/>
  <c r="P144" i="17"/>
  <c r="Q144" i="17"/>
  <c r="R144" i="17"/>
  <c r="S144" i="17"/>
  <c r="T144" i="17"/>
  <c r="U144" i="17"/>
  <c r="V144" i="17"/>
  <c r="W144" i="17"/>
  <c r="X144" i="17"/>
  <c r="C141" i="17"/>
  <c r="D141" i="17"/>
  <c r="E141" i="17"/>
  <c r="F141" i="17"/>
  <c r="G141" i="17"/>
  <c r="H141" i="17"/>
  <c r="I141" i="17"/>
  <c r="J141" i="17"/>
  <c r="K141" i="17"/>
  <c r="L141" i="17"/>
  <c r="M141" i="17"/>
  <c r="N141" i="17"/>
  <c r="O141" i="17"/>
  <c r="P141" i="17"/>
  <c r="Q141" i="17"/>
  <c r="R141" i="17"/>
  <c r="S141" i="17"/>
  <c r="T141" i="17"/>
  <c r="U141" i="17"/>
  <c r="V141" i="17"/>
  <c r="W141" i="17"/>
  <c r="X141" i="17"/>
  <c r="Y150" i="17"/>
  <c r="X150" i="17"/>
  <c r="W150" i="17"/>
  <c r="V150" i="17"/>
  <c r="U150" i="17"/>
  <c r="T150" i="17"/>
  <c r="S150" i="17"/>
  <c r="R150" i="17"/>
  <c r="Q150" i="17"/>
  <c r="P150" i="17"/>
  <c r="O150" i="17"/>
  <c r="N150" i="17"/>
  <c r="M150" i="17"/>
  <c r="L150" i="17"/>
  <c r="K150" i="17"/>
  <c r="J150" i="17"/>
  <c r="I150" i="17"/>
  <c r="H150" i="17"/>
  <c r="G150" i="17"/>
  <c r="F150" i="17"/>
  <c r="E150" i="17"/>
  <c r="D150" i="17"/>
  <c r="C150" i="17"/>
  <c r="Y149" i="17"/>
  <c r="X149" i="17"/>
  <c r="W149" i="17"/>
  <c r="V149" i="17"/>
  <c r="U149" i="17"/>
  <c r="T149" i="17"/>
  <c r="S149" i="17"/>
  <c r="R149" i="17"/>
  <c r="Q149" i="17"/>
  <c r="P149" i="17"/>
  <c r="O149" i="17"/>
  <c r="N149" i="17"/>
  <c r="M149" i="17"/>
  <c r="L149" i="17"/>
  <c r="K149" i="17"/>
  <c r="J149" i="17"/>
  <c r="I149" i="17"/>
  <c r="H149" i="17"/>
  <c r="G149" i="17"/>
  <c r="F149" i="17"/>
  <c r="E149" i="17"/>
  <c r="D149" i="17"/>
  <c r="C149" i="17"/>
  <c r="Y146" i="17"/>
  <c r="X146" i="17"/>
  <c r="W146" i="17"/>
  <c r="V146" i="17"/>
  <c r="U146" i="17"/>
  <c r="T146" i="17"/>
  <c r="S146" i="17"/>
  <c r="R146" i="17"/>
  <c r="Q146" i="17"/>
  <c r="P146" i="17"/>
  <c r="O146" i="17"/>
  <c r="N146" i="17"/>
  <c r="M146" i="17"/>
  <c r="L146" i="17"/>
  <c r="K146" i="17"/>
  <c r="J146" i="17"/>
  <c r="I146" i="17"/>
  <c r="H146" i="17"/>
  <c r="G146" i="17"/>
  <c r="F146" i="17"/>
  <c r="E146" i="17"/>
  <c r="D146" i="17"/>
  <c r="C146" i="17"/>
  <c r="X147" i="17"/>
  <c r="W147" i="17"/>
  <c r="V147" i="17"/>
  <c r="U147" i="17"/>
  <c r="T147" i="17"/>
  <c r="S147" i="17"/>
  <c r="R147" i="17"/>
  <c r="Q147" i="17"/>
  <c r="P147" i="17"/>
  <c r="O147" i="17"/>
  <c r="N147" i="17"/>
  <c r="M147" i="17"/>
  <c r="L147" i="17"/>
  <c r="K147" i="17"/>
  <c r="J147" i="17"/>
  <c r="I147" i="17"/>
  <c r="H147" i="17"/>
  <c r="G147" i="17"/>
  <c r="F147" i="17"/>
  <c r="E147" i="17"/>
  <c r="D147" i="17"/>
  <c r="C147" i="17"/>
  <c r="N134" i="17"/>
  <c r="N135" i="17" s="1"/>
  <c r="M134" i="17"/>
  <c r="L134" i="17"/>
  <c r="K134" i="17"/>
  <c r="J134" i="17"/>
  <c r="I134" i="17"/>
  <c r="H134" i="17"/>
  <c r="G134" i="17"/>
  <c r="F134" i="17"/>
  <c r="E134" i="17"/>
  <c r="D134" i="17"/>
  <c r="C134" i="17"/>
  <c r="Y140" i="17"/>
  <c r="X140" i="17"/>
  <c r="W140" i="17"/>
  <c r="V140" i="17"/>
  <c r="U140" i="17"/>
  <c r="T140" i="17"/>
  <c r="S140" i="17"/>
  <c r="R140" i="17"/>
  <c r="Q140" i="17"/>
  <c r="P140" i="17"/>
  <c r="O140" i="17"/>
  <c r="N140" i="17"/>
  <c r="M140" i="17"/>
  <c r="L140" i="17"/>
  <c r="K140" i="17"/>
  <c r="J140" i="17"/>
  <c r="I140" i="17"/>
  <c r="H140" i="17"/>
  <c r="G140" i="17"/>
  <c r="F140" i="17"/>
  <c r="E140" i="17"/>
  <c r="D140" i="17"/>
  <c r="C140" i="17"/>
  <c r="Y138" i="17"/>
  <c r="X143" i="17"/>
  <c r="W143" i="17"/>
  <c r="V143" i="17"/>
  <c r="U143" i="17"/>
  <c r="T143" i="17"/>
  <c r="S143" i="17"/>
  <c r="R143" i="17"/>
  <c r="Q143" i="17"/>
  <c r="P143" i="17"/>
  <c r="O143" i="17"/>
  <c r="N143" i="17"/>
  <c r="M143" i="17"/>
  <c r="L143" i="17"/>
  <c r="K143" i="17"/>
  <c r="J143" i="17"/>
  <c r="I143" i="17"/>
  <c r="H143" i="17"/>
  <c r="G143" i="17"/>
  <c r="F143" i="17"/>
  <c r="E143" i="17"/>
  <c r="D143" i="17"/>
  <c r="C143" i="17"/>
  <c r="X138" i="17"/>
  <c r="W138" i="17"/>
  <c r="V138" i="17"/>
  <c r="U138" i="17"/>
  <c r="T138" i="17"/>
  <c r="S138" i="17"/>
  <c r="R138" i="17"/>
  <c r="Q138" i="17"/>
  <c r="P138" i="17"/>
  <c r="O138" i="17"/>
  <c r="N138" i="17"/>
  <c r="M138" i="17"/>
  <c r="L138" i="17"/>
  <c r="K138" i="17"/>
  <c r="J138" i="17"/>
  <c r="I138" i="17"/>
  <c r="H138" i="17"/>
  <c r="G138" i="17"/>
  <c r="F138" i="17"/>
  <c r="E138" i="17"/>
  <c r="D138" i="17"/>
  <c r="C138" i="17"/>
  <c r="E73" i="10"/>
  <c r="E58" i="10"/>
  <c r="F30" i="1"/>
  <c r="H30" i="1"/>
  <c r="E14" i="3"/>
  <c r="F14" i="3"/>
  <c r="G14" i="3"/>
  <c r="H14" i="3"/>
  <c r="I14" i="3"/>
  <c r="D14" i="3"/>
  <c r="K11" i="3"/>
  <c r="L11" i="3"/>
  <c r="M11" i="3"/>
  <c r="N11" i="3"/>
  <c r="O11" i="3"/>
  <c r="K12" i="3"/>
  <c r="L12" i="3"/>
  <c r="M12" i="3"/>
  <c r="N12" i="3"/>
  <c r="O12" i="3"/>
  <c r="K13" i="3"/>
  <c r="L13" i="3"/>
  <c r="M13" i="3"/>
  <c r="N13" i="3"/>
  <c r="O13" i="3"/>
  <c r="E2" i="17"/>
  <c r="B49" i="16"/>
  <c r="D4" i="1" a="1"/>
  <c r="D4" i="1" s="1"/>
  <c r="C27" i="17"/>
  <c r="D27" i="17"/>
  <c r="E27" i="17"/>
  <c r="F27" i="17"/>
  <c r="G27" i="17"/>
  <c r="H27" i="17"/>
  <c r="I27" i="17"/>
  <c r="J27" i="17"/>
  <c r="K27" i="17"/>
  <c r="L27" i="17"/>
  <c r="M27" i="17"/>
  <c r="B27" i="17"/>
  <c r="H9" i="17"/>
  <c r="G9" i="17"/>
  <c r="F9" i="17"/>
  <c r="C14" i="17"/>
  <c r="P18" i="22"/>
  <c r="Q18" i="22"/>
  <c r="P19" i="22"/>
  <c r="Q19" i="22"/>
  <c r="P21" i="22"/>
  <c r="Q21" i="22"/>
  <c r="P22" i="22"/>
  <c r="Q22" i="22"/>
  <c r="P24" i="22"/>
  <c r="Q24" i="22"/>
  <c r="P25" i="22"/>
  <c r="Q25" i="22"/>
  <c r="P30" i="22"/>
  <c r="Q30" i="22"/>
  <c r="Q17" i="22"/>
  <c r="P17" i="22"/>
  <c r="O16" i="22"/>
  <c r="P16" i="22"/>
  <c r="Q16" i="22"/>
  <c r="O19" i="22"/>
  <c r="O21" i="22"/>
  <c r="O22" i="22"/>
  <c r="O24" i="22"/>
  <c r="O25" i="22"/>
  <c r="O30" i="22"/>
  <c r="O18" i="22"/>
  <c r="O17" i="22"/>
  <c r="H23" i="22"/>
  <c r="I23" i="22"/>
  <c r="J23" i="22"/>
  <c r="K23" i="22"/>
  <c r="L23" i="22"/>
  <c r="M23" i="22"/>
  <c r="H26" i="22"/>
  <c r="I26" i="22"/>
  <c r="J26" i="22"/>
  <c r="K26" i="22"/>
  <c r="L26" i="22"/>
  <c r="M26" i="22"/>
  <c r="H27" i="22"/>
  <c r="I27" i="22"/>
  <c r="J27" i="22"/>
  <c r="K27" i="22"/>
  <c r="L27" i="22"/>
  <c r="M27" i="22"/>
  <c r="H28" i="22"/>
  <c r="I28" i="22"/>
  <c r="J28" i="22"/>
  <c r="K28" i="22"/>
  <c r="L28" i="22"/>
  <c r="M28" i="22"/>
  <c r="H29" i="22"/>
  <c r="I29" i="22"/>
  <c r="J29" i="22"/>
  <c r="K29" i="22"/>
  <c r="L29" i="22"/>
  <c r="M29" i="22"/>
  <c r="H9" i="22"/>
  <c r="I9" i="22"/>
  <c r="J9" i="22"/>
  <c r="K9" i="22"/>
  <c r="L9" i="22"/>
  <c r="M9" i="22"/>
  <c r="H10" i="22"/>
  <c r="I10" i="22"/>
  <c r="J10" i="22"/>
  <c r="K10" i="22"/>
  <c r="L10" i="22"/>
  <c r="M10" i="22"/>
  <c r="F45" i="10" a="1"/>
  <c r="F45" i="10"/>
  <c r="G45" i="10" a="1"/>
  <c r="G45" i="10"/>
  <c r="H45" i="10" a="1"/>
  <c r="H45" i="10"/>
  <c r="D41" i="3"/>
  <c r="D23" i="22"/>
  <c r="E23" i="22"/>
  <c r="F23" i="22"/>
  <c r="G23" i="22"/>
  <c r="C23" i="22"/>
  <c r="D28" i="22"/>
  <c r="E28" i="22"/>
  <c r="F28" i="22"/>
  <c r="G28" i="22"/>
  <c r="D29" i="22"/>
  <c r="E29" i="22"/>
  <c r="F29" i="22"/>
  <c r="G29" i="22"/>
  <c r="C29" i="22"/>
  <c r="C28" i="22"/>
  <c r="D26" i="22"/>
  <c r="E26" i="22"/>
  <c r="F26" i="22"/>
  <c r="G26" i="22"/>
  <c r="C26" i="22"/>
  <c r="D27" i="22"/>
  <c r="E27" i="22"/>
  <c r="F27" i="22"/>
  <c r="G27" i="22"/>
  <c r="C27" i="22"/>
  <c r="F54" i="4"/>
  <c r="F55" i="4"/>
  <c r="F56" i="4"/>
  <c r="F57" i="4"/>
  <c r="F58" i="4"/>
  <c r="F59" i="4"/>
  <c r="F60" i="4"/>
  <c r="F61" i="4"/>
  <c r="F62" i="4"/>
  <c r="F63" i="4"/>
  <c r="F64" i="4"/>
  <c r="F65" i="4"/>
  <c r="F66" i="4"/>
  <c r="F67" i="4"/>
  <c r="F53" i="4"/>
  <c r="D54" i="4"/>
  <c r="E54" i="4"/>
  <c r="D55" i="4"/>
  <c r="E55" i="4"/>
  <c r="D56" i="4"/>
  <c r="E56" i="4"/>
  <c r="D57" i="4"/>
  <c r="E57" i="4"/>
  <c r="D58" i="4"/>
  <c r="E58" i="4"/>
  <c r="D59" i="4"/>
  <c r="E59" i="4"/>
  <c r="D60" i="4"/>
  <c r="E60" i="4"/>
  <c r="D61" i="4"/>
  <c r="E61" i="4"/>
  <c r="D62" i="4"/>
  <c r="E62" i="4"/>
  <c r="D63" i="4"/>
  <c r="E63" i="4"/>
  <c r="D64" i="4"/>
  <c r="E64" i="4"/>
  <c r="D65" i="4"/>
  <c r="E65" i="4"/>
  <c r="D66" i="4"/>
  <c r="I27" i="4" s="1"/>
  <c r="E66" i="4"/>
  <c r="AF27" i="4" s="1"/>
  <c r="D67" i="4"/>
  <c r="E67" i="4"/>
  <c r="E53" i="4"/>
  <c r="D53" i="4"/>
  <c r="V27" i="4"/>
  <c r="W27" i="4"/>
  <c r="X27" i="4"/>
  <c r="Y27" i="4"/>
  <c r="Z27" i="4"/>
  <c r="AA27" i="4"/>
  <c r="G27" i="4"/>
  <c r="D18" i="10"/>
  <c r="E18" i="10"/>
  <c r="F18" i="10"/>
  <c r="G18" i="10"/>
  <c r="H18" i="10"/>
  <c r="F10" i="10" a="1"/>
  <c r="F10" i="10"/>
  <c r="G10" i="10" a="1"/>
  <c r="G10" i="10"/>
  <c r="H10" i="10" a="1"/>
  <c r="H10" i="10"/>
  <c r="B87" i="17"/>
  <c r="C136" i="17" l="1"/>
  <c r="C135" i="17"/>
  <c r="D136" i="17"/>
  <c r="D135" i="17"/>
  <c r="E136" i="17"/>
  <c r="E135" i="17"/>
  <c r="F136" i="17"/>
  <c r="F135" i="17"/>
  <c r="G136" i="17"/>
  <c r="G135" i="17"/>
  <c r="H136" i="17"/>
  <c r="H135" i="17"/>
  <c r="I136" i="17"/>
  <c r="I135" i="17"/>
  <c r="J136" i="17"/>
  <c r="J135" i="17"/>
  <c r="K136" i="17"/>
  <c r="K135" i="17"/>
  <c r="L136" i="17"/>
  <c r="L135" i="17"/>
  <c r="M136" i="17"/>
  <c r="M135" i="17"/>
  <c r="Q29" i="22"/>
  <c r="P23" i="22"/>
  <c r="Q23" i="22"/>
  <c r="O23" i="22"/>
  <c r="O29" i="22"/>
  <c r="O27" i="22"/>
  <c r="O28" i="22"/>
  <c r="P26" i="22"/>
  <c r="P27" i="22"/>
  <c r="O26" i="22"/>
  <c r="P29" i="22"/>
  <c r="Q28" i="22"/>
  <c r="P28" i="22"/>
  <c r="Q27" i="22"/>
  <c r="Q26" i="22"/>
  <c r="T27" i="4"/>
  <c r="R27" i="4"/>
  <c r="H27" i="4"/>
  <c r="K27" i="4"/>
  <c r="Q27" i="4"/>
  <c r="J27" i="4"/>
  <c r="S27" i="4"/>
  <c r="P27" i="4"/>
  <c r="AD27" i="4"/>
  <c r="N27" i="4"/>
  <c r="L27" i="4"/>
  <c r="AC27" i="4"/>
  <c r="M27" i="4"/>
  <c r="U27" i="4"/>
  <c r="AE27" i="4"/>
  <c r="O27" i="4"/>
  <c r="AB27" i="4"/>
  <c r="AD1" i="23"/>
  <c r="G9" i="4"/>
  <c r="I48" i="10"/>
  <c r="O6" i="3"/>
  <c r="O7" i="3"/>
  <c r="O8" i="3"/>
  <c r="O9" i="3"/>
  <c r="N6" i="3"/>
  <c r="N7" i="3"/>
  <c r="N8" i="3"/>
  <c r="N9" i="3"/>
  <c r="M6" i="3"/>
  <c r="M7" i="3"/>
  <c r="M8" i="3"/>
  <c r="M9" i="3"/>
  <c r="L6" i="3"/>
  <c r="L7" i="3"/>
  <c r="L8" i="3"/>
  <c r="L9" i="3"/>
  <c r="K6" i="3"/>
  <c r="K7" i="3"/>
  <c r="K8" i="3"/>
  <c r="K9" i="3"/>
  <c r="D6" i="4" l="1"/>
  <c r="E6" i="4"/>
  <c r="F6" i="4"/>
  <c r="G24" i="4"/>
  <c r="G23" i="4"/>
  <c r="G40" i="4" s="1"/>
  <c r="C16" i="22"/>
  <c r="D6" i="10" a="1"/>
  <c r="D6" i="10" s="1"/>
  <c r="D2" i="10" a="1"/>
  <c r="D2" i="10" s="1"/>
  <c r="H8" i="10"/>
  <c r="G8" i="10"/>
  <c r="F8" i="10"/>
  <c r="E8" i="10"/>
  <c r="D8" i="10"/>
  <c r="C60" i="17"/>
  <c r="D60" i="17"/>
  <c r="E60" i="17"/>
  <c r="F60" i="17"/>
  <c r="G60" i="17"/>
  <c r="H60" i="17"/>
  <c r="I60" i="17"/>
  <c r="J60" i="17"/>
  <c r="K60" i="17"/>
  <c r="L60" i="17"/>
  <c r="M60" i="17"/>
  <c r="B60" i="17"/>
  <c r="B63" i="17" s="1"/>
  <c r="F67" i="17"/>
  <c r="G67" i="17"/>
  <c r="H67" i="17"/>
  <c r="I67" i="17"/>
  <c r="J67" i="17"/>
  <c r="K67" i="17"/>
  <c r="L67" i="17"/>
  <c r="M67" i="17"/>
  <c r="E47" i="17"/>
  <c r="F47" i="17"/>
  <c r="G47" i="17"/>
  <c r="H47" i="17"/>
  <c r="I47" i="17"/>
  <c r="J47" i="17"/>
  <c r="K47" i="17"/>
  <c r="L47" i="17"/>
  <c r="M47" i="17"/>
  <c r="D47" i="17"/>
  <c r="E32" i="17"/>
  <c r="F32" i="17"/>
  <c r="G32" i="17"/>
  <c r="H32" i="17"/>
  <c r="I32" i="17"/>
  <c r="J32" i="17"/>
  <c r="K32" i="17"/>
  <c r="L32" i="17"/>
  <c r="M32" i="17"/>
  <c r="D32" i="17"/>
  <c r="F22" i="1"/>
  <c r="F23" i="1"/>
  <c r="F24" i="1"/>
  <c r="F25" i="1"/>
  <c r="H36" i="10"/>
  <c r="F36" i="10"/>
  <c r="G36" i="10"/>
  <c r="F37" i="10"/>
  <c r="G37" i="10"/>
  <c r="H37" i="10"/>
  <c r="AE12" i="23"/>
  <c r="D45" i="10" l="1" a="1"/>
  <c r="D45" i="10" s="1"/>
  <c r="D10" i="10" a="1"/>
  <c r="D10" i="10" s="1"/>
  <c r="B14" i="17"/>
  <c r="AE3" i="23" a="1"/>
  <c r="AE3" i="23" s="1"/>
  <c r="AG3" i="23" s="1"/>
  <c r="AK9" i="23"/>
  <c r="AL9" i="23"/>
  <c r="AM9" i="23"/>
  <c r="AN9" i="23"/>
  <c r="AJ9" i="23"/>
  <c r="V5" i="23"/>
  <c r="V4" i="23"/>
  <c r="B75" i="17"/>
  <c r="B67" i="17"/>
  <c r="B56" i="17"/>
  <c r="B47" i="17"/>
  <c r="B50" i="17" s="1"/>
  <c r="B46" i="17"/>
  <c r="B32" i="17"/>
  <c r="B36" i="17" s="1"/>
  <c r="B37" i="17"/>
  <c r="B23" i="17"/>
  <c r="K3" i="23"/>
  <c r="N12" i="23"/>
  <c r="Z12" i="23" s="1"/>
  <c r="Y12" i="23" s="1"/>
  <c r="N13" i="23"/>
  <c r="Z13" i="23" s="1"/>
  <c r="Y13" i="23" s="1"/>
  <c r="N14" i="23"/>
  <c r="Z14" i="23" s="1"/>
  <c r="Y14" i="23" s="1"/>
  <c r="N15" i="23"/>
  <c r="Z15" i="23" s="1"/>
  <c r="Y15" i="23" s="1"/>
  <c r="N16" i="23"/>
  <c r="Z16" i="23" s="1"/>
  <c r="Y16" i="23" s="1"/>
  <c r="N17" i="23"/>
  <c r="Z17" i="23" s="1"/>
  <c r="Y17" i="23" s="1"/>
  <c r="N18" i="23"/>
  <c r="Z18" i="23" s="1"/>
  <c r="Y18" i="23" s="1"/>
  <c r="N19" i="23"/>
  <c r="Z19" i="23" s="1"/>
  <c r="Y19" i="23" s="1"/>
  <c r="N20" i="23"/>
  <c r="Z20" i="23" s="1"/>
  <c r="Y20" i="23" s="1"/>
  <c r="N21" i="23"/>
  <c r="Z21" i="23" s="1"/>
  <c r="Y21" i="23" s="1"/>
  <c r="N22" i="23"/>
  <c r="Z22" i="23" s="1"/>
  <c r="Y22" i="23" s="1"/>
  <c r="N23" i="23"/>
  <c r="Z23" i="23" s="1"/>
  <c r="Y23" i="23" s="1"/>
  <c r="N24" i="23"/>
  <c r="Z24" i="23" s="1"/>
  <c r="Y24" i="23" s="1"/>
  <c r="N25" i="23"/>
  <c r="Z25" i="23" s="1"/>
  <c r="Y25" i="23" s="1"/>
  <c r="N26" i="23"/>
  <c r="Z26" i="23" s="1"/>
  <c r="Y26" i="23" s="1"/>
  <c r="N27" i="23"/>
  <c r="Z27" i="23" s="1"/>
  <c r="Y27" i="23" s="1"/>
  <c r="N28" i="23"/>
  <c r="Z28" i="23" s="1"/>
  <c r="Y28" i="23" s="1"/>
  <c r="N29" i="23"/>
  <c r="Z29" i="23" s="1"/>
  <c r="Y29" i="23" s="1"/>
  <c r="N30" i="23"/>
  <c r="Z30" i="23" s="1"/>
  <c r="Y30" i="23" s="1"/>
  <c r="N31" i="23"/>
  <c r="Z31" i="23" s="1"/>
  <c r="Y31" i="23" s="1"/>
  <c r="N32" i="23"/>
  <c r="Z32" i="23" s="1"/>
  <c r="Y32" i="23" s="1"/>
  <c r="N33" i="23"/>
  <c r="Z33" i="23" s="1"/>
  <c r="Y33" i="23" s="1"/>
  <c r="N34" i="23"/>
  <c r="Z34" i="23" s="1"/>
  <c r="Y34" i="23" s="1"/>
  <c r="N35" i="23"/>
  <c r="Z35" i="23" s="1"/>
  <c r="Y35" i="23" s="1"/>
  <c r="N36" i="23"/>
  <c r="Z36" i="23" s="1"/>
  <c r="Y36" i="23" s="1"/>
  <c r="N37" i="23"/>
  <c r="Z37" i="23" s="1"/>
  <c r="Y37" i="23" s="1"/>
  <c r="N38" i="23"/>
  <c r="Z38" i="23" s="1"/>
  <c r="Y38" i="23" s="1"/>
  <c r="N39" i="23"/>
  <c r="Z39" i="23" s="1"/>
  <c r="Y39" i="23" s="1"/>
  <c r="N40" i="23"/>
  <c r="Z40" i="23" s="1"/>
  <c r="Y40" i="23" s="1"/>
  <c r="N41" i="23"/>
  <c r="Z41" i="23" s="1"/>
  <c r="Y41" i="23" s="1"/>
  <c r="N42" i="23"/>
  <c r="Z42" i="23" s="1"/>
  <c r="Y42" i="23" s="1"/>
  <c r="N43" i="23"/>
  <c r="Z43" i="23" s="1"/>
  <c r="Y43" i="23" s="1"/>
  <c r="N44" i="23"/>
  <c r="Z44" i="23" s="1"/>
  <c r="Y44" i="23" s="1"/>
  <c r="N45" i="23"/>
  <c r="Z45" i="23" s="1"/>
  <c r="Y45" i="23" s="1"/>
  <c r="N46" i="23"/>
  <c r="Z46" i="23" s="1"/>
  <c r="Y46" i="23" s="1"/>
  <c r="N47" i="23"/>
  <c r="Z47" i="23" s="1"/>
  <c r="Y47" i="23" s="1"/>
  <c r="N48" i="23"/>
  <c r="Z48" i="23" s="1"/>
  <c r="Y48" i="23" s="1"/>
  <c r="N49" i="23"/>
  <c r="Z49" i="23" s="1"/>
  <c r="Y49" i="23" s="1"/>
  <c r="N50" i="23"/>
  <c r="Z50" i="23" s="1"/>
  <c r="Y50" i="23" s="1"/>
  <c r="N51" i="23"/>
  <c r="Z51" i="23" s="1"/>
  <c r="Y51" i="23" s="1"/>
  <c r="N52" i="23"/>
  <c r="Z52" i="23" s="1"/>
  <c r="Y52" i="23" s="1"/>
  <c r="N53" i="23"/>
  <c r="Z53" i="23" s="1"/>
  <c r="Y53" i="23" s="1"/>
  <c r="N54" i="23"/>
  <c r="Z54" i="23" s="1"/>
  <c r="Y54" i="23" s="1"/>
  <c r="N55" i="23"/>
  <c r="Z55" i="23" s="1"/>
  <c r="Y55" i="23" s="1"/>
  <c r="N56" i="23"/>
  <c r="Z56" i="23" s="1"/>
  <c r="Y56" i="23" s="1"/>
  <c r="N57" i="23"/>
  <c r="Z57" i="23" s="1"/>
  <c r="Y57" i="23" s="1"/>
  <c r="N58" i="23"/>
  <c r="Z58" i="23" s="1"/>
  <c r="Y58" i="23" s="1"/>
  <c r="N59" i="23"/>
  <c r="Z59" i="23" s="1"/>
  <c r="Y59" i="23" s="1"/>
  <c r="N60" i="23"/>
  <c r="Z60" i="23" s="1"/>
  <c r="Y60" i="23" s="1"/>
  <c r="N61" i="23"/>
  <c r="Z61" i="23" s="1"/>
  <c r="Y61" i="23" s="1"/>
  <c r="N62" i="23"/>
  <c r="Z62" i="23" s="1"/>
  <c r="Y62" i="23" s="1"/>
  <c r="N63" i="23"/>
  <c r="Z63" i="23" s="1"/>
  <c r="Y63" i="23" s="1"/>
  <c r="N64" i="23"/>
  <c r="Z64" i="23" s="1"/>
  <c r="Y64" i="23" s="1"/>
  <c r="N65" i="23"/>
  <c r="Z65" i="23" s="1"/>
  <c r="Y65" i="23" s="1"/>
  <c r="N66" i="23"/>
  <c r="Z66" i="23" s="1"/>
  <c r="Y66" i="23" s="1"/>
  <c r="N67" i="23"/>
  <c r="Z67" i="23" s="1"/>
  <c r="Y67" i="23" s="1"/>
  <c r="N68" i="23"/>
  <c r="Z68" i="23" s="1"/>
  <c r="Y68" i="23" s="1"/>
  <c r="N69" i="23"/>
  <c r="Z69" i="23" s="1"/>
  <c r="Y69" i="23" s="1"/>
  <c r="N70" i="23"/>
  <c r="Z70" i="23" s="1"/>
  <c r="Y70" i="23" s="1"/>
  <c r="N71" i="23"/>
  <c r="Z71" i="23" s="1"/>
  <c r="Y71" i="23" s="1"/>
  <c r="N72" i="23"/>
  <c r="Z72" i="23" s="1"/>
  <c r="Y72" i="23" s="1"/>
  <c r="N73" i="23"/>
  <c r="Z73" i="23" s="1"/>
  <c r="Y73" i="23" s="1"/>
  <c r="N74" i="23"/>
  <c r="Z74" i="23" s="1"/>
  <c r="Y74" i="23" s="1"/>
  <c r="N75" i="23"/>
  <c r="Z75" i="23" s="1"/>
  <c r="Y75" i="23" s="1"/>
  <c r="N76" i="23"/>
  <c r="Z76" i="23" s="1"/>
  <c r="Y76" i="23" s="1"/>
  <c r="N77" i="23"/>
  <c r="Z77" i="23" s="1"/>
  <c r="Y77" i="23" s="1"/>
  <c r="N78" i="23"/>
  <c r="Z78" i="23" s="1"/>
  <c r="Y78" i="23" s="1"/>
  <c r="N79" i="23"/>
  <c r="Z79" i="23" s="1"/>
  <c r="Y79" i="23" s="1"/>
  <c r="N80" i="23"/>
  <c r="Z80" i="23" s="1"/>
  <c r="Y80" i="23" s="1"/>
  <c r="N81" i="23"/>
  <c r="Z81" i="23" s="1"/>
  <c r="Y81" i="23" s="1"/>
  <c r="N82" i="23"/>
  <c r="Z82" i="23" s="1"/>
  <c r="Y82" i="23" s="1"/>
  <c r="N83" i="23"/>
  <c r="Z83" i="23" s="1"/>
  <c r="Y83" i="23" s="1"/>
  <c r="N84" i="23"/>
  <c r="Z84" i="23" s="1"/>
  <c r="Y84" i="23" s="1"/>
  <c r="N85" i="23"/>
  <c r="Z85" i="23" s="1"/>
  <c r="Y85" i="23" s="1"/>
  <c r="N86" i="23"/>
  <c r="Z86" i="23" s="1"/>
  <c r="Y86" i="23" s="1"/>
  <c r="N87" i="23"/>
  <c r="Z87" i="23" s="1"/>
  <c r="Y87" i="23" s="1"/>
  <c r="N88" i="23"/>
  <c r="Z88" i="23" s="1"/>
  <c r="Y88" i="23" s="1"/>
  <c r="N89" i="23"/>
  <c r="Z89" i="23" s="1"/>
  <c r="Y89" i="23" s="1"/>
  <c r="N90" i="23"/>
  <c r="Z90" i="23" s="1"/>
  <c r="Y90" i="23" s="1"/>
  <c r="N91" i="23"/>
  <c r="Z91" i="23" s="1"/>
  <c r="Y91" i="23" s="1"/>
  <c r="N92" i="23"/>
  <c r="Z92" i="23" s="1"/>
  <c r="Y92" i="23" s="1"/>
  <c r="N93" i="23"/>
  <c r="Z93" i="23" s="1"/>
  <c r="Y93" i="23" s="1"/>
  <c r="N94" i="23"/>
  <c r="Z94" i="23" s="1"/>
  <c r="Y94" i="23" s="1"/>
  <c r="N95" i="23"/>
  <c r="Z95" i="23" s="1"/>
  <c r="Y95" i="23" s="1"/>
  <c r="N96" i="23"/>
  <c r="Z96" i="23" s="1"/>
  <c r="Y96" i="23" s="1"/>
  <c r="N97" i="23"/>
  <c r="Z97" i="23" s="1"/>
  <c r="Y97" i="23" s="1"/>
  <c r="N98" i="23"/>
  <c r="Z98" i="23" s="1"/>
  <c r="Y98" i="23" s="1"/>
  <c r="N99" i="23"/>
  <c r="Z99" i="23" s="1"/>
  <c r="Y99" i="23" s="1"/>
  <c r="N100" i="23"/>
  <c r="Z100" i="23" s="1"/>
  <c r="Y100" i="23" s="1"/>
  <c r="N5" i="23"/>
  <c r="Z5" i="23" s="1"/>
  <c r="Y5" i="23" s="1"/>
  <c r="N6" i="23"/>
  <c r="Z6" i="23" s="1"/>
  <c r="Y6" i="23" s="1"/>
  <c r="N7" i="23"/>
  <c r="Z7" i="23" s="1"/>
  <c r="Y7" i="23" s="1"/>
  <c r="N8" i="23"/>
  <c r="Z8" i="23" s="1"/>
  <c r="Y8" i="23" s="1"/>
  <c r="N9" i="23"/>
  <c r="Z9" i="23" s="1"/>
  <c r="Y9" i="23" s="1"/>
  <c r="N10" i="23"/>
  <c r="Z10" i="23" s="1"/>
  <c r="Y10" i="23" s="1"/>
  <c r="N11" i="23"/>
  <c r="Z11" i="23" s="1"/>
  <c r="Y11" i="23" s="1"/>
  <c r="N4" i="23"/>
  <c r="Z4" i="23" s="1"/>
  <c r="Y4" i="23" s="1"/>
  <c r="N3" i="23"/>
  <c r="E36" i="10" l="1"/>
  <c r="E37" i="10"/>
  <c r="D36" i="10"/>
  <c r="D37" i="10"/>
  <c r="K4"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5" i="23"/>
  <c r="K6" i="23"/>
  <c r="K7" i="23"/>
  <c r="K8" i="23"/>
  <c r="K9" i="23"/>
  <c r="K10" i="23"/>
  <c r="K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5" i="23"/>
  <c r="L6" i="23"/>
  <c r="L7" i="23"/>
  <c r="L8" i="23"/>
  <c r="L9" i="23"/>
  <c r="L10" i="23"/>
  <c r="L11" i="23"/>
  <c r="L4" i="23"/>
  <c r="L3" i="23"/>
  <c r="M3" i="23"/>
  <c r="M12" i="23"/>
  <c r="M13" i="23"/>
  <c r="M14" i="23"/>
  <c r="M15" i="23"/>
  <c r="R15" i="23" s="1"/>
  <c r="M16" i="23"/>
  <c r="M17" i="23"/>
  <c r="M18" i="23"/>
  <c r="M19" i="23"/>
  <c r="R19" i="23" s="1"/>
  <c r="M20" i="23"/>
  <c r="M21" i="23"/>
  <c r="M22" i="23"/>
  <c r="M23" i="23"/>
  <c r="R23" i="23" s="1"/>
  <c r="M24" i="23"/>
  <c r="M25" i="23"/>
  <c r="M26" i="23"/>
  <c r="M27" i="23"/>
  <c r="R27" i="23" s="1"/>
  <c r="M28" i="23"/>
  <c r="M29" i="23"/>
  <c r="M30" i="23"/>
  <c r="M31" i="23"/>
  <c r="R31" i="23" s="1"/>
  <c r="M32" i="23"/>
  <c r="M33" i="23"/>
  <c r="M34" i="23"/>
  <c r="M35" i="23"/>
  <c r="R35" i="23" s="1"/>
  <c r="M36" i="23"/>
  <c r="M37" i="23"/>
  <c r="R37" i="23" s="1"/>
  <c r="M38" i="23"/>
  <c r="M39" i="23"/>
  <c r="R39" i="23" s="1"/>
  <c r="M40" i="23"/>
  <c r="M41" i="23"/>
  <c r="M42" i="23"/>
  <c r="M43" i="23"/>
  <c r="M44" i="23"/>
  <c r="M45" i="23"/>
  <c r="R45" i="23" s="1"/>
  <c r="M46" i="23"/>
  <c r="M47" i="23"/>
  <c r="R47" i="23" s="1"/>
  <c r="M48" i="23"/>
  <c r="M49" i="23"/>
  <c r="R49" i="23" s="1"/>
  <c r="M50" i="23"/>
  <c r="M51" i="23"/>
  <c r="M52" i="23"/>
  <c r="M53" i="23"/>
  <c r="R53" i="23" s="1"/>
  <c r="M54" i="23"/>
  <c r="M55" i="23"/>
  <c r="R55" i="23" s="1"/>
  <c r="M56" i="23"/>
  <c r="M57" i="23"/>
  <c r="R57" i="23" s="1"/>
  <c r="M58" i="23"/>
  <c r="R58" i="23" s="1"/>
  <c r="M59" i="23"/>
  <c r="M60" i="23"/>
  <c r="M61" i="23"/>
  <c r="R61" i="23" s="1"/>
  <c r="M62" i="23"/>
  <c r="M63" i="23"/>
  <c r="R63" i="23" s="1"/>
  <c r="M64" i="23"/>
  <c r="M65" i="23"/>
  <c r="R65" i="23" s="1"/>
  <c r="M66" i="23"/>
  <c r="R66" i="23" s="1"/>
  <c r="M67" i="23"/>
  <c r="M68" i="23"/>
  <c r="M69" i="23"/>
  <c r="R69" i="23" s="1"/>
  <c r="M70" i="23"/>
  <c r="M71" i="23"/>
  <c r="R71" i="23" s="1"/>
  <c r="M72" i="23"/>
  <c r="M73" i="23"/>
  <c r="R73" i="23" s="1"/>
  <c r="M74" i="23"/>
  <c r="R74" i="23" s="1"/>
  <c r="M75" i="23"/>
  <c r="M76" i="23"/>
  <c r="M77" i="23"/>
  <c r="R77" i="23" s="1"/>
  <c r="M78" i="23"/>
  <c r="M79" i="23"/>
  <c r="R79" i="23" s="1"/>
  <c r="M80" i="23"/>
  <c r="M81" i="23"/>
  <c r="R81" i="23" s="1"/>
  <c r="M82" i="23"/>
  <c r="R82" i="23" s="1"/>
  <c r="M83" i="23"/>
  <c r="M84" i="23"/>
  <c r="M85" i="23"/>
  <c r="R85" i="23" s="1"/>
  <c r="M86" i="23"/>
  <c r="R86" i="23" s="1"/>
  <c r="M87" i="23"/>
  <c r="R87" i="23" s="1"/>
  <c r="M88" i="23"/>
  <c r="M89" i="23"/>
  <c r="R89" i="23" s="1"/>
  <c r="M90" i="23"/>
  <c r="R90" i="23" s="1"/>
  <c r="M91" i="23"/>
  <c r="M92" i="23"/>
  <c r="M93" i="23"/>
  <c r="R93" i="23" s="1"/>
  <c r="M94" i="23"/>
  <c r="R94" i="23" s="1"/>
  <c r="M95" i="23"/>
  <c r="R95" i="23" s="1"/>
  <c r="M96" i="23"/>
  <c r="M97" i="23"/>
  <c r="R97" i="23" s="1"/>
  <c r="M98" i="23"/>
  <c r="M99" i="23"/>
  <c r="R99" i="23" s="1"/>
  <c r="M100" i="23"/>
  <c r="R100" i="23" s="1"/>
  <c r="M5" i="23"/>
  <c r="M6" i="23"/>
  <c r="M7" i="23"/>
  <c r="M8" i="23"/>
  <c r="M9" i="23"/>
  <c r="M10" i="23"/>
  <c r="M11" i="23"/>
  <c r="O3" i="23"/>
  <c r="O12" i="23"/>
  <c r="O13" i="23"/>
  <c r="T13" i="23" s="1"/>
  <c r="O14" i="23"/>
  <c r="O15" i="23"/>
  <c r="O16" i="23"/>
  <c r="O17" i="23"/>
  <c r="O18" i="23"/>
  <c r="O19" i="23"/>
  <c r="T19" i="23" s="1"/>
  <c r="O20" i="23"/>
  <c r="O21" i="23"/>
  <c r="T21" i="23" s="1"/>
  <c r="O22" i="23"/>
  <c r="O23" i="23"/>
  <c r="O24" i="23"/>
  <c r="O25" i="23"/>
  <c r="O26" i="23"/>
  <c r="O27" i="23"/>
  <c r="T27" i="23" s="1"/>
  <c r="O28" i="23"/>
  <c r="O29" i="23"/>
  <c r="T29" i="23" s="1"/>
  <c r="O30" i="23"/>
  <c r="O31" i="23"/>
  <c r="O32" i="23"/>
  <c r="O33" i="23"/>
  <c r="O34" i="23"/>
  <c r="O35" i="23"/>
  <c r="T35" i="23" s="1"/>
  <c r="O36" i="23"/>
  <c r="O37" i="23"/>
  <c r="T37" i="23" s="1"/>
  <c r="O38" i="23"/>
  <c r="O39" i="23"/>
  <c r="O40" i="23"/>
  <c r="O41" i="23"/>
  <c r="O42" i="23"/>
  <c r="O43" i="23"/>
  <c r="T43" i="23" s="1"/>
  <c r="O44" i="23"/>
  <c r="O45" i="23"/>
  <c r="T45" i="23" s="1"/>
  <c r="O46" i="23"/>
  <c r="O47" i="23"/>
  <c r="O48" i="23"/>
  <c r="O49" i="23"/>
  <c r="O50" i="23"/>
  <c r="O51" i="23"/>
  <c r="T51" i="23" s="1"/>
  <c r="O52" i="23"/>
  <c r="O53" i="23"/>
  <c r="T53" i="23" s="1"/>
  <c r="O54" i="23"/>
  <c r="O55" i="23"/>
  <c r="O56" i="23"/>
  <c r="O57" i="23"/>
  <c r="O58" i="23"/>
  <c r="O59" i="23"/>
  <c r="T59" i="23" s="1"/>
  <c r="O60" i="23"/>
  <c r="O61" i="23"/>
  <c r="T61" i="23" s="1"/>
  <c r="O62" i="23"/>
  <c r="O63" i="23"/>
  <c r="O64" i="23"/>
  <c r="O65" i="23"/>
  <c r="O66" i="23"/>
  <c r="O67" i="23"/>
  <c r="T67" i="23" s="1"/>
  <c r="O68" i="23"/>
  <c r="O69" i="23"/>
  <c r="T69" i="23" s="1"/>
  <c r="O70" i="23"/>
  <c r="O71" i="23"/>
  <c r="O72" i="23"/>
  <c r="O73" i="23"/>
  <c r="O74" i="23"/>
  <c r="O75" i="23"/>
  <c r="T75" i="23" s="1"/>
  <c r="O76" i="23"/>
  <c r="O77" i="23"/>
  <c r="T77" i="23" s="1"/>
  <c r="O78" i="23"/>
  <c r="O79" i="23"/>
  <c r="O80" i="23"/>
  <c r="O81" i="23"/>
  <c r="O82" i="23"/>
  <c r="O83" i="23"/>
  <c r="T83" i="23" s="1"/>
  <c r="O84" i="23"/>
  <c r="O85" i="23"/>
  <c r="T85" i="23" s="1"/>
  <c r="O86" i="23"/>
  <c r="O87" i="23"/>
  <c r="O88" i="23"/>
  <c r="O89" i="23"/>
  <c r="O90" i="23"/>
  <c r="O91" i="23"/>
  <c r="O92" i="23"/>
  <c r="T92" i="23" s="1"/>
  <c r="O93" i="23"/>
  <c r="T93" i="23" s="1"/>
  <c r="O94" i="23"/>
  <c r="O95" i="23"/>
  <c r="O96" i="23"/>
  <c r="O97" i="23"/>
  <c r="O98" i="23"/>
  <c r="O99" i="23"/>
  <c r="O100" i="23"/>
  <c r="T100" i="23" s="1"/>
  <c r="O5" i="23"/>
  <c r="O6" i="23"/>
  <c r="O7" i="23"/>
  <c r="O8" i="23"/>
  <c r="O9" i="23"/>
  <c r="O10" i="23"/>
  <c r="O11" i="23"/>
  <c r="O4" i="23"/>
  <c r="Z3" i="23"/>
  <c r="Y3" i="23" s="1"/>
  <c r="S15" i="23"/>
  <c r="S17" i="23"/>
  <c r="S19" i="23"/>
  <c r="S23" i="23"/>
  <c r="S25" i="23"/>
  <c r="S27" i="23"/>
  <c r="S31" i="23"/>
  <c r="S33" i="23"/>
  <c r="S35" i="23"/>
  <c r="S38" i="23"/>
  <c r="S39" i="23"/>
  <c r="S41" i="23"/>
  <c r="S43" i="23"/>
  <c r="S46" i="23"/>
  <c r="S47" i="23"/>
  <c r="S49" i="23"/>
  <c r="S51" i="23"/>
  <c r="S54" i="23"/>
  <c r="S55" i="23"/>
  <c r="S57" i="23"/>
  <c r="S59" i="23"/>
  <c r="S62" i="23"/>
  <c r="S63" i="23"/>
  <c r="S65" i="23"/>
  <c r="S67" i="23"/>
  <c r="S70" i="23"/>
  <c r="S71" i="23"/>
  <c r="S73" i="23"/>
  <c r="S75" i="23"/>
  <c r="S78" i="23"/>
  <c r="S81" i="23"/>
  <c r="S83" i="23"/>
  <c r="S86" i="23"/>
  <c r="S87" i="23"/>
  <c r="S88" i="23"/>
  <c r="S89" i="23"/>
  <c r="S91" i="23"/>
  <c r="S94" i="23"/>
  <c r="S95" i="23"/>
  <c r="S99" i="23"/>
  <c r="S5" i="23"/>
  <c r="S6" i="23"/>
  <c r="S7" i="23"/>
  <c r="S8" i="23"/>
  <c r="S9" i="23"/>
  <c r="S10" i="23"/>
  <c r="S11" i="23"/>
  <c r="S100" i="23"/>
  <c r="S98" i="23"/>
  <c r="S97" i="23"/>
  <c r="S96" i="23"/>
  <c r="S93" i="23"/>
  <c r="S92" i="23"/>
  <c r="S90" i="23"/>
  <c r="S85" i="23"/>
  <c r="S84" i="23"/>
  <c r="S82" i="23"/>
  <c r="S80" i="23"/>
  <c r="S79" i="23"/>
  <c r="S77" i="23"/>
  <c r="S76" i="23"/>
  <c r="S74" i="23"/>
  <c r="S72" i="23"/>
  <c r="S69" i="23"/>
  <c r="S68" i="23"/>
  <c r="S66" i="23"/>
  <c r="S64" i="23"/>
  <c r="S61" i="23"/>
  <c r="S60" i="23"/>
  <c r="S58" i="23"/>
  <c r="S56" i="23"/>
  <c r="S53" i="23"/>
  <c r="S52" i="23"/>
  <c r="S50" i="23"/>
  <c r="S48" i="23"/>
  <c r="S45" i="23"/>
  <c r="S44" i="23"/>
  <c r="S42" i="23"/>
  <c r="S40" i="23"/>
  <c r="S37" i="23"/>
  <c r="S36" i="23"/>
  <c r="S34" i="23"/>
  <c r="S32" i="23"/>
  <c r="S30" i="23"/>
  <c r="S29" i="23"/>
  <c r="S28" i="23"/>
  <c r="S26" i="23"/>
  <c r="S24" i="23"/>
  <c r="S22" i="23"/>
  <c r="S21" i="23"/>
  <c r="S20" i="23"/>
  <c r="S18" i="23"/>
  <c r="S16" i="23"/>
  <c r="S14" i="23"/>
  <c r="S13" i="23"/>
  <c r="S12" i="23"/>
  <c r="P4" i="23"/>
  <c r="M4" i="23"/>
  <c r="R4" i="23" s="1"/>
  <c r="Q4" i="23"/>
  <c r="S4" i="23"/>
  <c r="R29" i="23" l="1"/>
  <c r="R21" i="23"/>
  <c r="R13" i="23"/>
  <c r="T4" i="23"/>
  <c r="R50" i="23"/>
  <c r="R42" i="23"/>
  <c r="R34" i="23"/>
  <c r="R26" i="23"/>
  <c r="R18" i="23"/>
  <c r="R41" i="23"/>
  <c r="R33" i="23"/>
  <c r="R25" i="23"/>
  <c r="T98" i="23"/>
  <c r="T90" i="23"/>
  <c r="T17" i="23"/>
  <c r="T97" i="23"/>
  <c r="T33" i="23"/>
  <c r="T88" i="23"/>
  <c r="T72" i="23"/>
  <c r="T64" i="23"/>
  <c r="T56" i="23"/>
  <c r="T48" i="23"/>
  <c r="T40" i="23"/>
  <c r="T32" i="23"/>
  <c r="T24" i="23"/>
  <c r="T16" i="23"/>
  <c r="R17" i="23"/>
  <c r="T25" i="23"/>
  <c r="T96" i="23"/>
  <c r="T80" i="23"/>
  <c r="T87" i="23"/>
  <c r="T79" i="23"/>
  <c r="T71" i="23"/>
  <c r="T63" i="23"/>
  <c r="T55" i="23"/>
  <c r="T47" i="23"/>
  <c r="T39" i="23"/>
  <c r="T31" i="23"/>
  <c r="T23" i="23"/>
  <c r="T15" i="23"/>
  <c r="T12" i="23"/>
  <c r="T14" i="23"/>
  <c r="T18" i="23"/>
  <c r="T20" i="23"/>
  <c r="T22" i="23"/>
  <c r="T26" i="23"/>
  <c r="T28" i="23"/>
  <c r="T30" i="23"/>
  <c r="T34" i="23"/>
  <c r="T36" i="23"/>
  <c r="T38" i="23"/>
  <c r="T41" i="23"/>
  <c r="T42" i="23"/>
  <c r="T44" i="23"/>
  <c r="T46" i="23"/>
  <c r="T49" i="23"/>
  <c r="T50" i="23"/>
  <c r="T52" i="23"/>
  <c r="T54" i="23"/>
  <c r="T57" i="23"/>
  <c r="T58" i="23"/>
  <c r="T60" i="23"/>
  <c r="T62" i="23"/>
  <c r="T65" i="23"/>
  <c r="T66" i="23"/>
  <c r="T68" i="23"/>
  <c r="T70" i="23"/>
  <c r="T73" i="23"/>
  <c r="T74" i="23"/>
  <c r="T76" i="23"/>
  <c r="T78" i="23"/>
  <c r="T81" i="23"/>
  <c r="T82" i="23"/>
  <c r="T84" i="23"/>
  <c r="T86" i="23"/>
  <c r="T89" i="23"/>
  <c r="T91" i="23"/>
  <c r="T94" i="23"/>
  <c r="T95" i="23"/>
  <c r="T99" i="23"/>
  <c r="T5" i="23"/>
  <c r="T6" i="23"/>
  <c r="T7" i="23"/>
  <c r="T8" i="23"/>
  <c r="T9" i="23"/>
  <c r="T10" i="23"/>
  <c r="T11" i="23"/>
  <c r="R12" i="23"/>
  <c r="R14" i="23"/>
  <c r="R16" i="23"/>
  <c r="R20" i="23"/>
  <c r="R22" i="23"/>
  <c r="R24" i="23"/>
  <c r="R28" i="23"/>
  <c r="R30" i="23"/>
  <c r="R32" i="23"/>
  <c r="R36" i="23"/>
  <c r="R38" i="23"/>
  <c r="R40" i="23"/>
  <c r="R43" i="23"/>
  <c r="R44" i="23"/>
  <c r="R46" i="23"/>
  <c r="R48" i="23"/>
  <c r="R51" i="23"/>
  <c r="R52" i="23"/>
  <c r="R54" i="23"/>
  <c r="R56" i="23"/>
  <c r="R59" i="23"/>
  <c r="R60" i="23"/>
  <c r="R62" i="23"/>
  <c r="R64" i="23"/>
  <c r="R67" i="23"/>
  <c r="R68" i="23"/>
  <c r="R70" i="23"/>
  <c r="R72" i="23"/>
  <c r="R75" i="23"/>
  <c r="R76" i="23"/>
  <c r="R78" i="23"/>
  <c r="R80" i="23"/>
  <c r="R83" i="23"/>
  <c r="R84" i="23"/>
  <c r="R88" i="23"/>
  <c r="R91" i="23"/>
  <c r="R92" i="23"/>
  <c r="R96" i="23"/>
  <c r="R98" i="23"/>
  <c r="R5" i="23"/>
  <c r="R6" i="23"/>
  <c r="R7" i="23"/>
  <c r="R8" i="23"/>
  <c r="R9" i="23"/>
  <c r="R10" i="23"/>
  <c r="R11" i="23"/>
  <c r="Q13" i="23"/>
  <c r="Q17" i="23"/>
  <c r="Q19" i="23"/>
  <c r="Q21" i="23"/>
  <c r="Q25" i="23"/>
  <c r="Q27" i="23"/>
  <c r="Q29" i="23"/>
  <c r="Q33" i="23"/>
  <c r="Q35" i="23"/>
  <c r="Q37" i="23"/>
  <c r="Q40" i="23"/>
  <c r="Q41" i="23"/>
  <c r="Q43" i="23"/>
  <c r="Q45" i="23"/>
  <c r="Q48" i="23"/>
  <c r="Q49" i="23"/>
  <c r="Q51" i="23"/>
  <c r="Q53" i="23"/>
  <c r="Q56" i="23"/>
  <c r="Q57" i="23"/>
  <c r="Q59" i="23"/>
  <c r="Q61" i="23"/>
  <c r="Q64" i="23"/>
  <c r="Q65" i="23"/>
  <c r="Q67" i="23"/>
  <c r="Q69" i="23"/>
  <c r="Q72" i="23"/>
  <c r="Q73" i="23"/>
  <c r="Q75" i="23"/>
  <c r="Q77" i="23"/>
  <c r="Q80" i="23"/>
  <c r="Q83" i="23"/>
  <c r="Q85" i="23"/>
  <c r="Q88" i="23"/>
  <c r="Q89" i="23"/>
  <c r="Q93" i="23"/>
  <c r="Q96" i="23"/>
  <c r="Q98" i="23"/>
  <c r="Q5" i="23"/>
  <c r="Q6" i="23"/>
  <c r="Q7" i="23"/>
  <c r="Q8" i="23"/>
  <c r="Q9" i="23"/>
  <c r="Q10" i="23"/>
  <c r="Q11" i="23"/>
  <c r="Q100" i="23"/>
  <c r="Q99" i="23"/>
  <c r="Q97" i="23"/>
  <c r="Q95" i="23"/>
  <c r="Q94" i="23"/>
  <c r="Q92" i="23"/>
  <c r="Q91" i="23"/>
  <c r="Q90" i="23"/>
  <c r="Q87" i="23"/>
  <c r="Q86" i="23"/>
  <c r="Q84" i="23"/>
  <c r="Q82" i="23"/>
  <c r="Q81" i="23"/>
  <c r="Q79" i="23"/>
  <c r="Q78" i="23"/>
  <c r="Q76" i="23"/>
  <c r="Q74" i="23"/>
  <c r="Q71" i="23"/>
  <c r="Q70" i="23"/>
  <c r="Q68" i="23"/>
  <c r="Q66" i="23"/>
  <c r="Q63" i="23"/>
  <c r="Q62" i="23"/>
  <c r="Q60" i="23"/>
  <c r="Q58" i="23"/>
  <c r="Q55" i="23"/>
  <c r="Q54" i="23"/>
  <c r="Q52" i="23"/>
  <c r="Q50" i="23"/>
  <c r="Q47" i="23"/>
  <c r="Q46" i="23"/>
  <c r="Q44" i="23"/>
  <c r="Q42" i="23"/>
  <c r="Q39" i="23"/>
  <c r="Q38" i="23"/>
  <c r="Q36" i="23"/>
  <c r="Q34" i="23"/>
  <c r="Q32" i="23"/>
  <c r="Q31" i="23"/>
  <c r="Q30" i="23"/>
  <c r="Q28" i="23"/>
  <c r="Q26" i="23"/>
  <c r="Q24" i="23"/>
  <c r="Q23" i="23"/>
  <c r="Q22" i="23"/>
  <c r="Q20" i="23"/>
  <c r="Q18" i="23"/>
  <c r="Q16" i="23"/>
  <c r="Q15" i="23"/>
  <c r="Q14" i="23"/>
  <c r="Q12" i="23"/>
  <c r="P14" i="23"/>
  <c r="P16" i="23"/>
  <c r="P18" i="23"/>
  <c r="P22" i="23"/>
  <c r="P24" i="23"/>
  <c r="P26" i="23"/>
  <c r="P30" i="23"/>
  <c r="P32" i="23"/>
  <c r="P34" i="23"/>
  <c r="P37" i="23"/>
  <c r="U37" i="23" s="1"/>
  <c r="P38" i="23"/>
  <c r="U38" i="23" s="1"/>
  <c r="P40" i="23"/>
  <c r="P42" i="23"/>
  <c r="P45" i="23"/>
  <c r="U45" i="23" s="1"/>
  <c r="P46" i="23"/>
  <c r="P48" i="23"/>
  <c r="P50" i="23"/>
  <c r="P53" i="23"/>
  <c r="U53" i="23" s="1"/>
  <c r="P54" i="23"/>
  <c r="U54" i="23" s="1"/>
  <c r="P56" i="23"/>
  <c r="P58" i="23"/>
  <c r="P61" i="23"/>
  <c r="U61" i="23" s="1"/>
  <c r="P62" i="23"/>
  <c r="P64" i="23"/>
  <c r="P66" i="23"/>
  <c r="P69" i="23"/>
  <c r="P70" i="23"/>
  <c r="U70" i="23" s="1"/>
  <c r="P72" i="23"/>
  <c r="P74" i="23"/>
  <c r="P77" i="23"/>
  <c r="U77" i="23" s="1"/>
  <c r="P78" i="23"/>
  <c r="P80" i="23"/>
  <c r="P82" i="23"/>
  <c r="P85" i="23"/>
  <c r="U85" i="23" s="1"/>
  <c r="P90" i="23"/>
  <c r="U90" i="23" s="1"/>
  <c r="P93" i="23"/>
  <c r="U93" i="23" s="1"/>
  <c r="P96" i="23"/>
  <c r="U96" i="23" s="1"/>
  <c r="P98" i="23"/>
  <c r="U98" i="23" s="1"/>
  <c r="P100" i="23"/>
  <c r="U100" i="23" s="1"/>
  <c r="P5" i="23"/>
  <c r="P6" i="23"/>
  <c r="P7" i="23"/>
  <c r="P8" i="23"/>
  <c r="P9" i="23"/>
  <c r="P10" i="23"/>
  <c r="P11" i="23"/>
  <c r="P99" i="23"/>
  <c r="P97" i="23"/>
  <c r="P95" i="23"/>
  <c r="P94" i="23"/>
  <c r="U94" i="23" s="1"/>
  <c r="P92" i="23"/>
  <c r="P91" i="23"/>
  <c r="U91" i="23" s="1"/>
  <c r="P89" i="23"/>
  <c r="P88" i="23"/>
  <c r="P87" i="23"/>
  <c r="P86" i="23"/>
  <c r="P84" i="23"/>
  <c r="P83" i="23"/>
  <c r="P81" i="23"/>
  <c r="P79" i="23"/>
  <c r="P76" i="23"/>
  <c r="P75" i="23"/>
  <c r="P73" i="23"/>
  <c r="U73" i="23" s="1"/>
  <c r="P71" i="23"/>
  <c r="P68" i="23"/>
  <c r="P67" i="23"/>
  <c r="P65" i="23"/>
  <c r="P63" i="23"/>
  <c r="P60" i="23"/>
  <c r="U60" i="23" s="1"/>
  <c r="P59" i="23"/>
  <c r="P57" i="23"/>
  <c r="U57" i="23" s="1"/>
  <c r="P55" i="23"/>
  <c r="P52" i="23"/>
  <c r="P51" i="23"/>
  <c r="P49" i="23"/>
  <c r="U49" i="23" s="1"/>
  <c r="P47" i="23"/>
  <c r="P44" i="23"/>
  <c r="U44" i="23" s="1"/>
  <c r="P43" i="23"/>
  <c r="P41" i="23"/>
  <c r="U41" i="23" s="1"/>
  <c r="P39" i="23"/>
  <c r="P36" i="23"/>
  <c r="P35" i="23"/>
  <c r="U35" i="23" s="1"/>
  <c r="P33" i="23"/>
  <c r="P31" i="23"/>
  <c r="U31" i="23" s="1"/>
  <c r="P29" i="23"/>
  <c r="P28" i="23"/>
  <c r="P27" i="23"/>
  <c r="U27" i="23" s="1"/>
  <c r="P25" i="23"/>
  <c r="P23" i="23"/>
  <c r="P21" i="23"/>
  <c r="P20" i="23"/>
  <c r="P19" i="23"/>
  <c r="P17" i="23"/>
  <c r="P15" i="23"/>
  <c r="P13" i="23"/>
  <c r="U13" i="23" s="1"/>
  <c r="P12" i="23"/>
  <c r="U4" i="23"/>
  <c r="U23" i="23" l="1"/>
  <c r="U95" i="23"/>
  <c r="U46" i="23"/>
  <c r="U30" i="23"/>
  <c r="U15" i="23"/>
  <c r="U88" i="23"/>
  <c r="U11" i="23"/>
  <c r="U99" i="23"/>
  <c r="U62" i="23"/>
  <c r="U87" i="23"/>
  <c r="U78" i="23"/>
  <c r="U28" i="23"/>
  <c r="U19" i="23"/>
  <c r="U63" i="23"/>
  <c r="U79" i="23"/>
  <c r="U72" i="23"/>
  <c r="U56" i="23"/>
  <c r="U40" i="23"/>
  <c r="U43" i="23"/>
  <c r="U59" i="23"/>
  <c r="U75" i="23"/>
  <c r="U26" i="23"/>
  <c r="U17" i="23"/>
  <c r="U29" i="23"/>
  <c r="U10" i="23"/>
  <c r="U74" i="23"/>
  <c r="U58" i="23"/>
  <c r="U42" i="23"/>
  <c r="U24" i="23"/>
  <c r="U22" i="23"/>
  <c r="U20" i="23"/>
  <c r="U92" i="23"/>
  <c r="U18" i="23"/>
  <c r="U21" i="23"/>
  <c r="U51" i="23"/>
  <c r="U67" i="23"/>
  <c r="U83" i="23"/>
  <c r="U7" i="23"/>
  <c r="U16" i="23"/>
  <c r="U36" i="23"/>
  <c r="U52" i="23"/>
  <c r="U68" i="23"/>
  <c r="U84" i="23"/>
  <c r="U6" i="23"/>
  <c r="U82" i="23"/>
  <c r="U66" i="23"/>
  <c r="U50" i="23"/>
  <c r="U34" i="23"/>
  <c r="U14" i="23"/>
  <c r="U47" i="23"/>
  <c r="U33" i="23"/>
  <c r="U8" i="23"/>
  <c r="U12" i="23"/>
  <c r="U25" i="23"/>
  <c r="U39" i="23"/>
  <c r="U55" i="23"/>
  <c r="U71" i="23"/>
  <c r="U86" i="23"/>
  <c r="U97" i="23"/>
  <c r="U80" i="23"/>
  <c r="U64" i="23"/>
  <c r="U48" i="23"/>
  <c r="U32" i="23"/>
  <c r="U81" i="23"/>
  <c r="U89" i="23"/>
  <c r="U69" i="23"/>
  <c r="U65" i="23"/>
  <c r="U9" i="23"/>
  <c r="U5" i="23"/>
  <c r="U76" i="23"/>
  <c r="H52" i="10"/>
  <c r="G52" i="10"/>
  <c r="F52" i="10"/>
  <c r="E52" i="10"/>
  <c r="D52" i="10"/>
  <c r="E10" i="22"/>
  <c r="F10" i="22"/>
  <c r="G10" i="22"/>
  <c r="G9" i="22"/>
  <c r="F9" i="22"/>
  <c r="E9" i="22"/>
  <c r="D10" i="22"/>
  <c r="D9" i="22"/>
  <c r="C10" i="22"/>
  <c r="C9" i="22"/>
  <c r="Q9" i="22" l="1"/>
  <c r="P9" i="22"/>
  <c r="O9" i="22"/>
  <c r="Q10" i="22"/>
  <c r="O10" i="22"/>
  <c r="P10" i="22"/>
  <c r="V76" i="23"/>
  <c r="W76" i="23" s="1"/>
  <c r="W5" i="23"/>
  <c r="W4" i="23"/>
  <c r="V26" i="23"/>
  <c r="W26" i="23" s="1"/>
  <c r="V30" i="23"/>
  <c r="W30" i="23" s="1"/>
  <c r="V34" i="23"/>
  <c r="W34" i="23" s="1"/>
  <c r="V32" i="23"/>
  <c r="W32" i="23" s="1"/>
  <c r="V35" i="23"/>
  <c r="W35" i="23" s="1"/>
  <c r="V95" i="23"/>
  <c r="W95" i="23" s="1"/>
  <c r="V61" i="23"/>
  <c r="W61" i="23" s="1"/>
  <c r="V33" i="23"/>
  <c r="W33" i="23" s="1"/>
  <c r="V40" i="23"/>
  <c r="W40" i="23" s="1"/>
  <c r="V31" i="23"/>
  <c r="W31" i="23" s="1"/>
  <c r="V14" i="23"/>
  <c r="W14" i="23" s="1"/>
  <c r="V43" i="23"/>
  <c r="W43" i="23" s="1"/>
  <c r="V41" i="23"/>
  <c r="W41" i="23" s="1"/>
  <c r="V36" i="23"/>
  <c r="W36" i="23" s="1"/>
  <c r="V85" i="23"/>
  <c r="W85" i="23" s="1"/>
  <c r="V100" i="23"/>
  <c r="W100" i="23" s="1"/>
  <c r="V57" i="23"/>
  <c r="W57" i="23" s="1"/>
  <c r="V7" i="23"/>
  <c r="W7" i="23" s="1"/>
  <c r="V48" i="23"/>
  <c r="W48" i="23" s="1"/>
  <c r="V46" i="23"/>
  <c r="W46" i="23" s="1"/>
  <c r="V38" i="23"/>
  <c r="W38" i="23" s="1"/>
  <c r="V24" i="23"/>
  <c r="W24" i="23" s="1"/>
  <c r="V49" i="23"/>
  <c r="W49" i="23" s="1"/>
  <c r="V44" i="23"/>
  <c r="W44" i="23" s="1"/>
  <c r="V39" i="23"/>
  <c r="W39" i="23" s="1"/>
  <c r="V93" i="23"/>
  <c r="W93" i="23" s="1"/>
  <c r="V82" i="23"/>
  <c r="W82" i="23" s="1"/>
  <c r="V53" i="23"/>
  <c r="W53" i="23" s="1"/>
  <c r="V71" i="23"/>
  <c r="W71" i="23" s="1"/>
  <c r="V6" i="23"/>
  <c r="W6" i="23" s="1"/>
  <c r="V54" i="23"/>
  <c r="W54" i="23" s="1"/>
  <c r="V50" i="23"/>
  <c r="W50" i="23" s="1"/>
  <c r="V42" i="23"/>
  <c r="W42" i="23" s="1"/>
  <c r="V51" i="23"/>
  <c r="W51" i="23" s="1"/>
  <c r="V52" i="23"/>
  <c r="W52" i="23" s="1"/>
  <c r="V47" i="23"/>
  <c r="W47" i="23" s="1"/>
  <c r="V60" i="23"/>
  <c r="W60" i="23" s="1"/>
  <c r="V97" i="23"/>
  <c r="W97" i="23" s="1"/>
  <c r="V86" i="23"/>
  <c r="W86" i="23" s="1"/>
  <c r="V84" i="23"/>
  <c r="W84" i="23" s="1"/>
  <c r="V73" i="23"/>
  <c r="W73" i="23" s="1"/>
  <c r="V11" i="23"/>
  <c r="W11" i="23" s="1"/>
  <c r="V56" i="23"/>
  <c r="W56" i="23" s="1"/>
  <c r="V70" i="23"/>
  <c r="W70" i="23" s="1"/>
  <c r="V58" i="23"/>
  <c r="W58" i="23" s="1"/>
  <c r="V68" i="23"/>
  <c r="W68" i="23" s="1"/>
  <c r="V55" i="23"/>
  <c r="W55" i="23" s="1"/>
  <c r="V59" i="23"/>
  <c r="W59" i="23" s="1"/>
  <c r="V91" i="23"/>
  <c r="W91" i="23" s="1"/>
  <c r="V63" i="23"/>
  <c r="W63" i="23" s="1"/>
  <c r="V94" i="23"/>
  <c r="W94" i="23" s="1"/>
  <c r="V88" i="23"/>
  <c r="W88" i="23" s="1"/>
  <c r="V99" i="23"/>
  <c r="W99" i="23" s="1"/>
  <c r="V10" i="23"/>
  <c r="W10" i="23" s="1"/>
  <c r="V75" i="23"/>
  <c r="W75" i="23" s="1"/>
  <c r="V90" i="23"/>
  <c r="W90" i="23" s="1"/>
  <c r="V67" i="23"/>
  <c r="W67" i="23" s="1"/>
  <c r="V17" i="23"/>
  <c r="W17" i="23" s="1"/>
  <c r="V62" i="23"/>
  <c r="W62" i="23" s="1"/>
  <c r="V64" i="23"/>
  <c r="W64" i="23" s="1"/>
  <c r="V96" i="23"/>
  <c r="W96" i="23" s="1"/>
  <c r="V79" i="23"/>
  <c r="W79" i="23" s="1"/>
  <c r="V98" i="23"/>
  <c r="W98" i="23" s="1"/>
  <c r="V45" i="23"/>
  <c r="W45" i="23" s="1"/>
  <c r="V29" i="23"/>
  <c r="W29" i="23" s="1"/>
  <c r="V12" i="23"/>
  <c r="W12" i="23" s="1"/>
  <c r="V78" i="23"/>
  <c r="W78" i="23" s="1"/>
  <c r="V19" i="23"/>
  <c r="W19" i="23" s="1"/>
  <c r="V72" i="23"/>
  <c r="W72" i="23" s="1"/>
  <c r="V27" i="23"/>
  <c r="W27" i="23" s="1"/>
  <c r="V74" i="23"/>
  <c r="W74" i="23" s="1"/>
  <c r="V15" i="23"/>
  <c r="W15" i="23" s="1"/>
  <c r="V21" i="23"/>
  <c r="W21" i="23" s="1"/>
  <c r="V87" i="23"/>
  <c r="W87" i="23" s="1"/>
  <c r="V37" i="23"/>
  <c r="W37" i="23" s="1"/>
  <c r="V77" i="23"/>
  <c r="W77" i="23" s="1"/>
  <c r="V18" i="23"/>
  <c r="W18" i="23" s="1"/>
  <c r="V83" i="23"/>
  <c r="W83" i="23" s="1"/>
  <c r="V20" i="23"/>
  <c r="W20" i="23" s="1"/>
  <c r="V80" i="23"/>
  <c r="W80" i="23" s="1"/>
  <c r="V28" i="23"/>
  <c r="W28" i="23" s="1"/>
  <c r="V22" i="23"/>
  <c r="W22" i="23" s="1"/>
  <c r="V25" i="23"/>
  <c r="W25" i="23" s="1"/>
  <c r="V92" i="23"/>
  <c r="W92" i="23" s="1"/>
  <c r="V66" i="23"/>
  <c r="W66" i="23" s="1"/>
  <c r="V13" i="23"/>
  <c r="W13" i="23" s="1"/>
  <c r="V23" i="23"/>
  <c r="W23" i="23" s="1"/>
  <c r="V8" i="23"/>
  <c r="W8" i="23" s="1"/>
  <c r="V16" i="23"/>
  <c r="W16" i="23" s="1"/>
  <c r="V9" i="23"/>
  <c r="W9" i="23" s="1"/>
  <c r="V65" i="23"/>
  <c r="W65" i="23" s="1"/>
  <c r="V69" i="23"/>
  <c r="W69" i="23" s="1"/>
  <c r="V89" i="23"/>
  <c r="W89" i="23" s="1"/>
  <c r="V81" i="23"/>
  <c r="W81" i="23" s="1"/>
  <c r="D8" i="22"/>
  <c r="F50" i="10"/>
  <c r="G50" i="10"/>
  <c r="H50" i="10"/>
  <c r="J46" i="10"/>
  <c r="E8" i="22" l="1"/>
  <c r="D16" i="22"/>
  <c r="F50" i="4"/>
  <c r="J40" i="1" s="1"/>
  <c r="O20" i="3"/>
  <c r="N20" i="3"/>
  <c r="M20" i="3"/>
  <c r="L20" i="3"/>
  <c r="K20" i="3"/>
  <c r="Q4" i="19"/>
  <c r="P4" i="19"/>
  <c r="O4" i="19"/>
  <c r="N4" i="19"/>
  <c r="M4" i="19"/>
  <c r="F8" i="22" l="1"/>
  <c r="E16" i="22"/>
  <c r="AI8" i="23"/>
  <c r="AI7" i="23"/>
  <c r="AI6" i="23"/>
  <c r="AI5" i="23"/>
  <c r="AI4" i="23"/>
  <c r="AH8" i="23"/>
  <c r="AH7" i="23"/>
  <c r="AH6" i="23"/>
  <c r="AH5" i="23"/>
  <c r="AH4" i="23"/>
  <c r="AG5" i="23"/>
  <c r="AG6" i="23"/>
  <c r="AG7" i="23"/>
  <c r="AG8" i="23"/>
  <c r="AG4" i="23"/>
  <c r="AF4" i="23"/>
  <c r="AF5" i="23"/>
  <c r="AF6" i="23"/>
  <c r="AF7" i="23"/>
  <c r="AF8" i="23"/>
  <c r="I44" i="10"/>
  <c r="J44" i="10" s="1"/>
  <c r="I46" i="10"/>
  <c r="E2" i="1"/>
  <c r="H22" i="10"/>
  <c r="G22" i="10"/>
  <c r="F22" i="10"/>
  <c r="E22" i="10"/>
  <c r="D22" i="10"/>
  <c r="F77" i="17"/>
  <c r="F50" i="1" s="1"/>
  <c r="G77" i="17"/>
  <c r="F49" i="1" s="1"/>
  <c r="H77" i="17"/>
  <c r="F48" i="1" s="1"/>
  <c r="I77" i="17"/>
  <c r="F47" i="1" s="1"/>
  <c r="J77" i="17"/>
  <c r="F46" i="1" s="1"/>
  <c r="K77" i="17"/>
  <c r="L77" i="17"/>
  <c r="M77" i="17"/>
  <c r="G8" i="22" l="1"/>
  <c r="F16" i="22"/>
  <c r="C21" i="1" a="1"/>
  <c r="C21" i="1" s="1"/>
  <c r="AG12" i="23" s="1"/>
  <c r="C20" i="1" a="1"/>
  <c r="C20" i="1" s="1"/>
  <c r="AI3" i="23"/>
  <c r="AH3" i="23"/>
  <c r="AF3" i="23"/>
  <c r="C8" i="10"/>
  <c r="C45" i="10" s="1" a="1"/>
  <c r="C45" i="10" s="1"/>
  <c r="G16" i="22" l="1"/>
  <c r="H8" i="22"/>
  <c r="L4" i="19"/>
  <c r="C10" i="10" a="1"/>
  <c r="C10" i="10" s="1"/>
  <c r="E28" i="10"/>
  <c r="L6" i="19"/>
  <c r="P9" i="19"/>
  <c r="P8" i="19"/>
  <c r="P7" i="19"/>
  <c r="P6" i="19"/>
  <c r="C23" i="17"/>
  <c r="B22" i="17" s="1"/>
  <c r="D23" i="17"/>
  <c r="E23" i="17"/>
  <c r="F23" i="17"/>
  <c r="G23" i="17"/>
  <c r="H23" i="17"/>
  <c r="I23" i="17"/>
  <c r="J23" i="17"/>
  <c r="K23" i="17"/>
  <c r="L23" i="17"/>
  <c r="M23" i="17"/>
  <c r="D21" i="4"/>
  <c r="E21" i="4"/>
  <c r="F21" i="4"/>
  <c r="D24" i="4"/>
  <c r="I8" i="22" l="1"/>
  <c r="H16" i="22"/>
  <c r="D27" i="4"/>
  <c r="E27" i="4"/>
  <c r="F27" i="4"/>
  <c r="J8" i="22" l="1"/>
  <c r="I16" i="22"/>
  <c r="K75" i="17"/>
  <c r="L75" i="17"/>
  <c r="M75" i="17"/>
  <c r="J75" i="17"/>
  <c r="F31" i="4"/>
  <c r="E67" i="17"/>
  <c r="M63" i="17"/>
  <c r="F63" i="17"/>
  <c r="G63" i="17"/>
  <c r="H63" i="17"/>
  <c r="I63" i="17"/>
  <c r="J63" i="17"/>
  <c r="F31" i="1"/>
  <c r="F28" i="1"/>
  <c r="F29" i="1"/>
  <c r="F27" i="1"/>
  <c r="F21" i="1"/>
  <c r="D28" i="4"/>
  <c r="E28" i="4"/>
  <c r="F28" i="4"/>
  <c r="F25" i="4"/>
  <c r="K8" i="22" l="1"/>
  <c r="J16" i="22"/>
  <c r="D73" i="4"/>
  <c r="L8" i="22" l="1"/>
  <c r="K16" i="22"/>
  <c r="G10" i="4"/>
  <c r="E75" i="17"/>
  <c r="F75" i="17"/>
  <c r="G75" i="17"/>
  <c r="H75" i="17"/>
  <c r="I75" i="17"/>
  <c r="E36" i="17"/>
  <c r="F46" i="17"/>
  <c r="C32" i="17"/>
  <c r="K50" i="17"/>
  <c r="D75" i="17"/>
  <c r="D31" i="4" s="1"/>
  <c r="C75" i="17"/>
  <c r="E31" i="4" s="1"/>
  <c r="I22" i="17"/>
  <c r="K22" i="17"/>
  <c r="C8" i="19"/>
  <c r="M6" i="19"/>
  <c r="N6" i="19"/>
  <c r="O6" i="19"/>
  <c r="Q6" i="19"/>
  <c r="M7" i="19"/>
  <c r="N7" i="19"/>
  <c r="O7" i="19"/>
  <c r="Q7" i="19"/>
  <c r="M8" i="19"/>
  <c r="N8" i="19"/>
  <c r="O8" i="19"/>
  <c r="Q8" i="19"/>
  <c r="M9" i="19"/>
  <c r="N9" i="19"/>
  <c r="O9" i="19"/>
  <c r="Q9" i="19"/>
  <c r="L7" i="19"/>
  <c r="L8" i="19"/>
  <c r="L9" i="19"/>
  <c r="L19" i="3"/>
  <c r="M19" i="3"/>
  <c r="N19" i="3"/>
  <c r="O19" i="3"/>
  <c r="L21" i="3"/>
  <c r="M21" i="3"/>
  <c r="N21" i="3"/>
  <c r="O21" i="3"/>
  <c r="L22" i="3"/>
  <c r="M22" i="3"/>
  <c r="N22" i="3"/>
  <c r="O22" i="3"/>
  <c r="K21" i="3"/>
  <c r="K22" i="3"/>
  <c r="K19" i="3"/>
  <c r="O10" i="3"/>
  <c r="O5" i="3"/>
  <c r="N10" i="3"/>
  <c r="N5" i="3"/>
  <c r="M10" i="3"/>
  <c r="M5" i="3"/>
  <c r="L10" i="3"/>
  <c r="L5" i="3"/>
  <c r="K10" i="3"/>
  <c r="K5" i="3"/>
  <c r="E22" i="4"/>
  <c r="F22" i="4"/>
  <c r="E11" i="4"/>
  <c r="F11" i="4"/>
  <c r="D11" i="4"/>
  <c r="D67" i="17"/>
  <c r="D25" i="4" s="1"/>
  <c r="M8" i="22" l="1"/>
  <c r="M16" i="22" s="1"/>
  <c r="L16" i="22"/>
  <c r="G39" i="4"/>
  <c r="G38" i="4"/>
  <c r="R8" i="19"/>
  <c r="R7" i="19"/>
  <c r="R6" i="19"/>
  <c r="R9" i="19"/>
  <c r="C6" i="19"/>
  <c r="D23" i="3"/>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D47" i="10"/>
  <c r="E47" i="10"/>
  <c r="F47" i="10"/>
  <c r="G47" i="10"/>
  <c r="H47" i="10"/>
  <c r="G28" i="10"/>
  <c r="D11" i="10"/>
  <c r="D50" i="10" s="1"/>
  <c r="E11" i="10"/>
  <c r="E50" i="10" s="1"/>
  <c r="F11" i="10"/>
  <c r="G11" i="10"/>
  <c r="H11" i="10"/>
  <c r="D13" i="10"/>
  <c r="E13" i="10"/>
  <c r="F13" i="10"/>
  <c r="G13" i="10"/>
  <c r="H13" i="10"/>
  <c r="D14" i="10"/>
  <c r="E14" i="10"/>
  <c r="F14" i="10"/>
  <c r="G14" i="10"/>
  <c r="H14" i="10"/>
  <c r="D15" i="10"/>
  <c r="E15" i="10"/>
  <c r="F15" i="10"/>
  <c r="G15" i="10"/>
  <c r="H15" i="10"/>
  <c r="D16" i="10"/>
  <c r="E16" i="10"/>
  <c r="F16" i="10"/>
  <c r="G16" i="10"/>
  <c r="H16" i="10"/>
  <c r="D17" i="10"/>
  <c r="E17" i="10"/>
  <c r="F17" i="10"/>
  <c r="G17" i="10"/>
  <c r="H17" i="10"/>
  <c r="D20" i="10"/>
  <c r="E20" i="10"/>
  <c r="F20" i="10"/>
  <c r="G20" i="10"/>
  <c r="H20" i="10"/>
  <c r="D21" i="10"/>
  <c r="E21" i="10"/>
  <c r="F21" i="10"/>
  <c r="G21" i="10"/>
  <c r="H21" i="10"/>
  <c r="D24" i="10"/>
  <c r="E24" i="10"/>
  <c r="F24" i="10"/>
  <c r="G24" i="10"/>
  <c r="H24" i="10"/>
  <c r="D25" i="10"/>
  <c r="E25" i="10"/>
  <c r="F25" i="10"/>
  <c r="G25" i="10"/>
  <c r="H25" i="10"/>
  <c r="D27" i="10"/>
  <c r="E27" i="10"/>
  <c r="F27" i="10"/>
  <c r="G27" i="10"/>
  <c r="H27" i="10"/>
  <c r="D28" i="10"/>
  <c r="F28" i="10"/>
  <c r="H28" i="10"/>
  <c r="D29" i="10"/>
  <c r="E29" i="10"/>
  <c r="F29" i="10"/>
  <c r="G29" i="10"/>
  <c r="H29" i="10"/>
  <c r="D30" i="10"/>
  <c r="E30" i="10"/>
  <c r="F30" i="10"/>
  <c r="G30" i="10"/>
  <c r="H30" i="10"/>
  <c r="D31" i="10"/>
  <c r="E31" i="10"/>
  <c r="F31" i="10"/>
  <c r="G31" i="10"/>
  <c r="H31" i="10"/>
  <c r="D33" i="10"/>
  <c r="E33" i="10"/>
  <c r="F33" i="10"/>
  <c r="G33" i="10"/>
  <c r="H33" i="10"/>
  <c r="D34" i="10"/>
  <c r="E34" i="10"/>
  <c r="F34" i="10"/>
  <c r="G34" i="10"/>
  <c r="H34" i="10"/>
  <c r="D35" i="10"/>
  <c r="E35" i="10"/>
  <c r="F35" i="10"/>
  <c r="G35" i="10"/>
  <c r="H35" i="10"/>
  <c r="C52" i="10"/>
  <c r="I9" i="10"/>
  <c r="I38" i="10"/>
  <c r="C72" i="10"/>
  <c r="C71" i="10"/>
  <c r="C68" i="10"/>
  <c r="B16" i="3"/>
  <c r="E23" i="3"/>
  <c r="F23" i="3"/>
  <c r="G23" i="3"/>
  <c r="H23" i="3"/>
  <c r="I23" i="3"/>
  <c r="K18" i="3"/>
  <c r="L18" i="3" s="1"/>
  <c r="M18" i="3" s="1"/>
  <c r="N18" i="3" s="1"/>
  <c r="O18" i="3" s="1"/>
  <c r="P18" i="3" s="1"/>
  <c r="K4" i="3"/>
  <c r="L4" i="3" s="1"/>
  <c r="M4" i="3" s="1"/>
  <c r="N4" i="3" s="1"/>
  <c r="O4" i="3" s="1"/>
  <c r="P4" i="3" s="1"/>
  <c r="D18" i="3"/>
  <c r="E18" i="3" s="1"/>
  <c r="F18" i="3" s="1"/>
  <c r="G18" i="3" s="1"/>
  <c r="H18" i="3" s="1"/>
  <c r="I18"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AJ12" i="23" s="1"/>
  <c r="AJ13" i="23" s="1"/>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4" i="16"/>
  <c r="C70" i="10" s="1"/>
  <c r="M42" i="16"/>
  <c r="L42" i="16"/>
  <c r="K42" i="16"/>
  <c r="J42" i="16"/>
  <c r="I42" i="16"/>
  <c r="H42" i="16"/>
  <c r="G42" i="16"/>
  <c r="F42" i="16"/>
  <c r="E42" i="16"/>
  <c r="D42" i="16"/>
  <c r="C42" i="16"/>
  <c r="B42" i="16"/>
  <c r="C69" i="10" s="1"/>
  <c r="M41" i="16"/>
  <c r="L41" i="16"/>
  <c r="K41" i="16"/>
  <c r="J41" i="16"/>
  <c r="I41" i="16"/>
  <c r="H41" i="16"/>
  <c r="G41" i="16"/>
  <c r="F41" i="16"/>
  <c r="E41" i="16"/>
  <c r="D41" i="16"/>
  <c r="C41" i="16"/>
  <c r="B41" i="16"/>
  <c r="M40" i="16"/>
  <c r="L40" i="16"/>
  <c r="K40" i="16"/>
  <c r="J40" i="16"/>
  <c r="I40" i="16"/>
  <c r="H40" i="16"/>
  <c r="G40" i="16"/>
  <c r="F40" i="16"/>
  <c r="E40" i="16"/>
  <c r="D40" i="16"/>
  <c r="C40" i="16"/>
  <c r="B40" i="16"/>
  <c r="M39" i="16"/>
  <c r="M26" i="16" s="1"/>
  <c r="L39" i="16"/>
  <c r="K39" i="16"/>
  <c r="J39" i="16"/>
  <c r="I39" i="16"/>
  <c r="H39" i="16"/>
  <c r="G39" i="16"/>
  <c r="F39" i="16"/>
  <c r="E39" i="16"/>
  <c r="D39" i="16"/>
  <c r="D43" i="4" s="1"/>
  <c r="C39" i="16"/>
  <c r="B39" i="16"/>
  <c r="C65" i="10" s="1"/>
  <c r="M33" i="16"/>
  <c r="L33" i="16"/>
  <c r="K33" i="16"/>
  <c r="J33" i="16"/>
  <c r="I33" i="16"/>
  <c r="H33" i="16"/>
  <c r="G33" i="16"/>
  <c r="F33" i="16"/>
  <c r="E33" i="16"/>
  <c r="D33" i="16"/>
  <c r="C33" i="16"/>
  <c r="B33" i="16"/>
  <c r="M32" i="16"/>
  <c r="L32" i="16"/>
  <c r="K32" i="16"/>
  <c r="J32" i="16"/>
  <c r="I32" i="16"/>
  <c r="H32" i="16"/>
  <c r="G32" i="16"/>
  <c r="F32" i="16"/>
  <c r="E32" i="16"/>
  <c r="D32" i="16"/>
  <c r="C32" i="16"/>
  <c r="B32" i="16"/>
  <c r="F23" i="4" s="1"/>
  <c r="M28" i="16"/>
  <c r="L28" i="16"/>
  <c r="K28" i="16"/>
  <c r="J28" i="16"/>
  <c r="I28" i="16"/>
  <c r="H28" i="16"/>
  <c r="G28" i="16"/>
  <c r="F28" i="16"/>
  <c r="E28" i="16"/>
  <c r="D28" i="16"/>
  <c r="C28" i="16"/>
  <c r="B28" i="16"/>
  <c r="M27" i="16"/>
  <c r="L27" i="16"/>
  <c r="K27" i="16"/>
  <c r="J27" i="16"/>
  <c r="I27" i="16"/>
  <c r="H27" i="16"/>
  <c r="G27" i="16"/>
  <c r="F27" i="16"/>
  <c r="E27" i="16"/>
  <c r="D27" i="16"/>
  <c r="C27" i="16"/>
  <c r="B27" i="16"/>
  <c r="M23" i="16"/>
  <c r="L23" i="16"/>
  <c r="K23" i="16"/>
  <c r="J23" i="16"/>
  <c r="I23" i="16"/>
  <c r="H23" i="16"/>
  <c r="G23" i="16"/>
  <c r="F23" i="16"/>
  <c r="E23" i="16"/>
  <c r="D23" i="16"/>
  <c r="D17" i="4" s="1"/>
  <c r="C23" i="16"/>
  <c r="E17" i="4" s="1"/>
  <c r="M21" i="16"/>
  <c r="L21" i="16"/>
  <c r="K21" i="16"/>
  <c r="J21" i="16"/>
  <c r="I21" i="16"/>
  <c r="H21" i="16"/>
  <c r="G21" i="16"/>
  <c r="F21" i="16"/>
  <c r="E21" i="16"/>
  <c r="D21" i="16"/>
  <c r="C21" i="16"/>
  <c r="B21" i="16"/>
  <c r="M17" i="16"/>
  <c r="L17" i="16"/>
  <c r="K17" i="16"/>
  <c r="J17" i="16"/>
  <c r="I17" i="16"/>
  <c r="H17" i="16"/>
  <c r="G17" i="16"/>
  <c r="F17" i="16"/>
  <c r="E17" i="16"/>
  <c r="D17" i="16"/>
  <c r="C17" i="16"/>
  <c r="B17" i="16"/>
  <c r="M15" i="16"/>
  <c r="L15" i="16"/>
  <c r="K15" i="16"/>
  <c r="J15" i="16"/>
  <c r="I15" i="16"/>
  <c r="H15" i="16"/>
  <c r="G15" i="16"/>
  <c r="F15" i="16"/>
  <c r="E15" i="16"/>
  <c r="D15" i="16"/>
  <c r="D14" i="4" s="1"/>
  <c r="C15" i="16"/>
  <c r="E14" i="4" s="1"/>
  <c r="B15" i="16"/>
  <c r="F14" i="4" s="1"/>
  <c r="M14" i="16"/>
  <c r="L14" i="16"/>
  <c r="K14" i="16"/>
  <c r="J14" i="16"/>
  <c r="I14" i="16"/>
  <c r="H14" i="16"/>
  <c r="G14" i="16"/>
  <c r="F14" i="16"/>
  <c r="E14" i="16"/>
  <c r="D14" i="16"/>
  <c r="D13" i="4" s="1"/>
  <c r="C14" i="16"/>
  <c r="E13" i="4" s="1"/>
  <c r="B14" i="16"/>
  <c r="C11" i="16"/>
  <c r="D11" i="16"/>
  <c r="D8" i="4" s="1"/>
  <c r="E11" i="16"/>
  <c r="F11" i="16"/>
  <c r="G11" i="16"/>
  <c r="H11" i="16"/>
  <c r="I11" i="16"/>
  <c r="J11" i="16"/>
  <c r="K11" i="16"/>
  <c r="L11" i="16"/>
  <c r="M11" i="16"/>
  <c r="B11" i="16"/>
  <c r="C7" i="16"/>
  <c r="D7" i="16"/>
  <c r="E7" i="16"/>
  <c r="F7" i="16"/>
  <c r="G7" i="16"/>
  <c r="H7" i="16"/>
  <c r="I7" i="16"/>
  <c r="J7" i="16"/>
  <c r="K7" i="16"/>
  <c r="L7" i="16"/>
  <c r="M7" i="16"/>
  <c r="B7" i="16"/>
  <c r="M5" i="16"/>
  <c r="L5" i="16"/>
  <c r="K5" i="16"/>
  <c r="J5" i="16"/>
  <c r="I5" i="16"/>
  <c r="H5" i="16"/>
  <c r="G5" i="16"/>
  <c r="F5" i="16"/>
  <c r="E5" i="16"/>
  <c r="C54" i="10" s="1"/>
  <c r="D5" i="16"/>
  <c r="C5" i="16"/>
  <c r="B5" i="16"/>
  <c r="D68" i="16"/>
  <c r="E68" i="16"/>
  <c r="F68" i="16"/>
  <c r="G68" i="16"/>
  <c r="H68" i="16"/>
  <c r="I68" i="16"/>
  <c r="K68" i="16"/>
  <c r="M71" i="16"/>
  <c r="L71" i="16"/>
  <c r="K71" i="16"/>
  <c r="J71" i="16"/>
  <c r="I71" i="16"/>
  <c r="H71" i="16"/>
  <c r="G71" i="16"/>
  <c r="F71" i="16"/>
  <c r="E71" i="16"/>
  <c r="D71" i="16"/>
  <c r="C71" i="16"/>
  <c r="B71" i="16"/>
  <c r="M75" i="16"/>
  <c r="L75" i="16"/>
  <c r="K75" i="16"/>
  <c r="J75" i="16"/>
  <c r="I75" i="16"/>
  <c r="H75" i="16"/>
  <c r="G75" i="16"/>
  <c r="F75" i="16"/>
  <c r="M67" i="16"/>
  <c r="J67" i="16"/>
  <c r="I67" i="16"/>
  <c r="H67" i="16"/>
  <c r="G67" i="16"/>
  <c r="F67" i="16"/>
  <c r="C36" i="17"/>
  <c r="C44" i="16"/>
  <c r="B56" i="16"/>
  <c r="D50" i="17"/>
  <c r="D55" i="16" s="1"/>
  <c r="E50" i="17"/>
  <c r="E55" i="16" s="1"/>
  <c r="F50" i="17"/>
  <c r="F55" i="16" s="1"/>
  <c r="G50" i="17"/>
  <c r="H50" i="17"/>
  <c r="I50" i="17"/>
  <c r="J50" i="17"/>
  <c r="L50" i="17"/>
  <c r="M50" i="17"/>
  <c r="M55" i="16" s="1"/>
  <c r="B55" i="16"/>
  <c r="C46" i="17"/>
  <c r="C51" i="16" s="1"/>
  <c r="D46" i="17"/>
  <c r="D51" i="16" s="1"/>
  <c r="E46" i="17"/>
  <c r="G46" i="17"/>
  <c r="H46" i="17"/>
  <c r="I46" i="17"/>
  <c r="J46" i="17"/>
  <c r="J51" i="16" s="1"/>
  <c r="K46" i="17"/>
  <c r="L46" i="17"/>
  <c r="M46" i="17"/>
  <c r="B51" i="16"/>
  <c r="AB38" i="17"/>
  <c r="C57" i="10" l="1"/>
  <c r="C56" i="10"/>
  <c r="B58" i="16"/>
  <c r="B20" i="3"/>
  <c r="B21" i="3"/>
  <c r="B22" i="3"/>
  <c r="H29" i="1" s="1"/>
  <c r="H31" i="1"/>
  <c r="M20" i="22"/>
  <c r="H20" i="22"/>
  <c r="J20" i="22"/>
  <c r="K20" i="22"/>
  <c r="L20" i="22"/>
  <c r="C20" i="22"/>
  <c r="I20" i="22"/>
  <c r="E16" i="4"/>
  <c r="D20" i="22"/>
  <c r="D16" i="4"/>
  <c r="E20" i="22"/>
  <c r="F20" i="22"/>
  <c r="G20" i="22"/>
  <c r="AL12" i="23"/>
  <c r="D7" i="4"/>
  <c r="D12" i="4"/>
  <c r="E8" i="4"/>
  <c r="E7" i="4" s="1"/>
  <c r="C62" i="10"/>
  <c r="B19" i="3"/>
  <c r="H27" i="1" s="1"/>
  <c r="C37" i="17"/>
  <c r="I43" i="10"/>
  <c r="J43" i="10" s="1"/>
  <c r="D29" i="4"/>
  <c r="D30" i="4"/>
  <c r="E30" i="4"/>
  <c r="E29" i="4"/>
  <c r="F30" i="4"/>
  <c r="C61" i="10"/>
  <c r="F16" i="4"/>
  <c r="F29" i="4"/>
  <c r="H10" i="4"/>
  <c r="G46" i="4"/>
  <c r="F45" i="4"/>
  <c r="F46" i="4"/>
  <c r="F47" i="4"/>
  <c r="H16" i="16"/>
  <c r="L58" i="16"/>
  <c r="M58" i="16"/>
  <c r="I58" i="16"/>
  <c r="J58" i="16"/>
  <c r="K58" i="16"/>
  <c r="E23" i="4"/>
  <c r="E24" i="4"/>
  <c r="F24" i="4"/>
  <c r="C66" i="10"/>
  <c r="C25" i="10" s="1"/>
  <c r="C67" i="10"/>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G45" i="4"/>
  <c r="N47" i="4"/>
  <c r="V47" i="4"/>
  <c r="I46" i="4"/>
  <c r="Q46" i="4"/>
  <c r="Y46" i="4"/>
  <c r="N45" i="4"/>
  <c r="V45" i="4"/>
  <c r="AD45" i="4"/>
  <c r="H12" i="16"/>
  <c r="D23" i="4"/>
  <c r="E51" i="16"/>
  <c r="C55" i="10"/>
  <c r="D58" i="16"/>
  <c r="D15" i="4"/>
  <c r="C58" i="16"/>
  <c r="G58" i="16"/>
  <c r="F58" i="16"/>
  <c r="E58" i="16"/>
  <c r="C60" i="10"/>
  <c r="F13" i="4"/>
  <c r="C59" i="10"/>
  <c r="F8" i="4"/>
  <c r="M14" i="3"/>
  <c r="L14" i="3"/>
  <c r="O23" i="3"/>
  <c r="N23" i="3"/>
  <c r="M23" i="3"/>
  <c r="L23" i="3"/>
  <c r="K23" i="3"/>
  <c r="N14" i="3"/>
  <c r="O14" i="3"/>
  <c r="C24" i="10"/>
  <c r="D14" i="17"/>
  <c r="F17" i="4"/>
  <c r="E5" i="4"/>
  <c r="C24" i="1"/>
  <c r="H58" i="16"/>
  <c r="E8" i="16"/>
  <c r="G8" i="16"/>
  <c r="M24" i="16"/>
  <c r="M25" i="16" s="1"/>
  <c r="L51" i="16"/>
  <c r="I16" i="16"/>
  <c r="L55" i="16"/>
  <c r="F51" i="16"/>
  <c r="L22" i="16"/>
  <c r="M51" i="16"/>
  <c r="K16" i="16"/>
  <c r="C16" i="16"/>
  <c r="E16" i="16"/>
  <c r="M16" i="16"/>
  <c r="F24" i="16"/>
  <c r="B8" i="16"/>
  <c r="J24" i="16"/>
  <c r="H55" i="16"/>
  <c r="G24" i="16"/>
  <c r="M8" i="16"/>
  <c r="G22" i="16"/>
  <c r="C24" i="16"/>
  <c r="K24" i="16"/>
  <c r="I55" i="16"/>
  <c r="L8" i="16"/>
  <c r="D8" i="16"/>
  <c r="J55" i="16"/>
  <c r="I8" i="16"/>
  <c r="K8" i="16"/>
  <c r="C8" i="16"/>
  <c r="F8" i="16"/>
  <c r="G16" i="16"/>
  <c r="G51" i="16"/>
  <c r="G55" i="16"/>
  <c r="E22" i="16"/>
  <c r="E24" i="16"/>
  <c r="B16" i="16"/>
  <c r="H51" i="16"/>
  <c r="J16" i="16"/>
  <c r="I51" i="16"/>
  <c r="I12" i="16"/>
  <c r="B24" i="16"/>
  <c r="J8" i="16"/>
  <c r="F12" i="16"/>
  <c r="B19" i="16"/>
  <c r="K51" i="16"/>
  <c r="C22" i="16"/>
  <c r="K22" i="16"/>
  <c r="D22" i="16"/>
  <c r="L24" i="16"/>
  <c r="L16" i="16"/>
  <c r="D12" i="16"/>
  <c r="H8" i="16"/>
  <c r="G12" i="16"/>
  <c r="D16" i="16"/>
  <c r="F22" i="16"/>
  <c r="D24" i="16"/>
  <c r="J12" i="16"/>
  <c r="F16" i="16"/>
  <c r="I22" i="16"/>
  <c r="H22" i="16"/>
  <c r="K12" i="16"/>
  <c r="C12" i="16"/>
  <c r="L12" i="16"/>
  <c r="B22" i="16"/>
  <c r="J22" i="16"/>
  <c r="M12" i="16"/>
  <c r="M13" i="16" s="1"/>
  <c r="M22" i="16"/>
  <c r="E12" i="16"/>
  <c r="H24" i="16"/>
  <c r="I24" i="16"/>
  <c r="B12" i="16"/>
  <c r="B2" i="3"/>
  <c r="C5" i="17"/>
  <c r="B4" i="16"/>
  <c r="L46" i="1"/>
  <c r="M46" i="1" s="1"/>
  <c r="B54" i="1"/>
  <c r="B53" i="1" s="1"/>
  <c r="B52" i="1" s="1"/>
  <c r="B51" i="1" s="1"/>
  <c r="B50" i="1" s="1"/>
  <c r="I26" i="10"/>
  <c r="C12" i="19"/>
  <c r="C13" i="19"/>
  <c r="C14" i="19"/>
  <c r="C15" i="19"/>
  <c r="C16" i="19"/>
  <c r="C17" i="19"/>
  <c r="C18" i="19"/>
  <c r="C19" i="19"/>
  <c r="C20" i="19"/>
  <c r="C21" i="19"/>
  <c r="C22" i="19"/>
  <c r="C7" i="19"/>
  <c r="C9" i="19"/>
  <c r="C10" i="19"/>
  <c r="I12" i="10"/>
  <c r="I40" i="10"/>
  <c r="J40" i="10" s="1"/>
  <c r="M22" i="17"/>
  <c r="AD53" i="17"/>
  <c r="AC53" i="17"/>
  <c r="AD52" i="17"/>
  <c r="AC52" i="17"/>
  <c r="AG49" i="17"/>
  <c r="AG52" i="17" s="1"/>
  <c r="AF49" i="17"/>
  <c r="AE49" i="17"/>
  <c r="AB49" i="17"/>
  <c r="AB52" i="17" s="1"/>
  <c r="AA49" i="17"/>
  <c r="AA52" i="17" s="1"/>
  <c r="Z49" i="17"/>
  <c r="Z52" i="17" s="1"/>
  <c r="E56" i="17"/>
  <c r="AD48" i="17"/>
  <c r="AC48" i="17"/>
  <c r="AB48" i="17"/>
  <c r="AA48" i="17"/>
  <c r="Z48" i="17"/>
  <c r="AG44" i="17"/>
  <c r="AG48" i="17" s="1"/>
  <c r="AF44" i="17"/>
  <c r="AF48" i="17" s="1"/>
  <c r="AE44" i="17"/>
  <c r="AE48" i="17" s="1"/>
  <c r="AG39" i="17"/>
  <c r="AF39" i="17"/>
  <c r="AE39" i="17"/>
  <c r="AD39" i="17"/>
  <c r="AC39" i="17"/>
  <c r="AB31" i="17"/>
  <c r="AB39" i="17" s="1"/>
  <c r="AA31" i="17"/>
  <c r="AA39" i="17" s="1"/>
  <c r="Z31" i="17"/>
  <c r="Z39" i="17" s="1"/>
  <c r="M14" i="17"/>
  <c r="L14" i="17"/>
  <c r="K14" i="17"/>
  <c r="J14" i="17"/>
  <c r="I14" i="17"/>
  <c r="H14" i="17"/>
  <c r="G14" i="17"/>
  <c r="F14" i="17"/>
  <c r="E14" i="17"/>
  <c r="AA25" i="17"/>
  <c r="O74" i="17"/>
  <c r="AE12" i="17"/>
  <c r="AG11" i="17"/>
  <c r="AF11" i="17"/>
  <c r="AE11" i="17"/>
  <c r="AD11" i="17"/>
  <c r="L22" i="17"/>
  <c r="H22" i="17"/>
  <c r="D22" i="17"/>
  <c r="J22" i="17"/>
  <c r="G22" i="17"/>
  <c r="F22" i="17"/>
  <c r="E22" i="17"/>
  <c r="C22"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Z13" i="17" s="1"/>
  <c r="Z14" i="17" s="1"/>
  <c r="O7" i="17"/>
  <c r="A2" i="16"/>
  <c r="A1" i="16"/>
  <c r="C22" i="1"/>
  <c r="B11" i="3" l="1"/>
  <c r="B12" i="3"/>
  <c r="B13" i="3"/>
  <c r="B6" i="3"/>
  <c r="H22" i="1" s="1"/>
  <c r="B7" i="3"/>
  <c r="H23" i="1" s="1"/>
  <c r="B8" i="3"/>
  <c r="H24" i="1" s="1"/>
  <c r="B9" i="3"/>
  <c r="H25" i="1" s="1"/>
  <c r="B10" i="3"/>
  <c r="O20" i="22"/>
  <c r="C31" i="22"/>
  <c r="Q20" i="22"/>
  <c r="P20" i="22"/>
  <c r="D5" i="17"/>
  <c r="D87" i="17" s="1"/>
  <c r="C87" i="17"/>
  <c r="E23" i="1"/>
  <c r="E24" i="1"/>
  <c r="E15" i="4"/>
  <c r="E12" i="4"/>
  <c r="C23" i="1"/>
  <c r="C25" i="1" s="1"/>
  <c r="AH12" i="23"/>
  <c r="AM12" i="23" s="1"/>
  <c r="C58" i="10"/>
  <c r="C22" i="10" s="1"/>
  <c r="C33" i="10"/>
  <c r="I25" i="10"/>
  <c r="J25" i="10" s="1"/>
  <c r="C47" i="10"/>
  <c r="I45" i="10"/>
  <c r="J45" i="10" s="1"/>
  <c r="E32" i="4"/>
  <c r="C31" i="10"/>
  <c r="C11" i="10"/>
  <c r="C50" i="10" s="1"/>
  <c r="B23" i="3"/>
  <c r="H28" i="1"/>
  <c r="D32" i="4"/>
  <c r="D22" i="4"/>
  <c r="F35" i="4"/>
  <c r="D35" i="4"/>
  <c r="F32" i="4"/>
  <c r="C15" i="10"/>
  <c r="C13" i="10"/>
  <c r="E35" i="4"/>
  <c r="F7" i="4"/>
  <c r="C30" i="10"/>
  <c r="B59" i="16"/>
  <c r="C28" i="10"/>
  <c r="C14" i="10"/>
  <c r="C34" i="10"/>
  <c r="C16" i="10"/>
  <c r="D44" i="4"/>
  <c r="E44" i="4"/>
  <c r="F44" i="4"/>
  <c r="F26" i="4"/>
  <c r="F34" i="4" s="1"/>
  <c r="H13" i="16"/>
  <c r="G13" i="16"/>
  <c r="B60" i="16"/>
  <c r="D26" i="4"/>
  <c r="F12" i="4"/>
  <c r="F15" i="4"/>
  <c r="B5" i="3"/>
  <c r="K14" i="3"/>
  <c r="F5" i="4"/>
  <c r="C29" i="10"/>
  <c r="C27" i="10"/>
  <c r="M47" i="1"/>
  <c r="M55" i="1"/>
  <c r="L50" i="1"/>
  <c r="L51" i="1"/>
  <c r="M50" i="1"/>
  <c r="L54" i="1"/>
  <c r="M51" i="1"/>
  <c r="L55" i="1"/>
  <c r="M52" i="1"/>
  <c r="M53" i="1"/>
  <c r="M54" i="1"/>
  <c r="L47" i="1"/>
  <c r="L53" i="1"/>
  <c r="L52" i="1"/>
  <c r="K22" i="1"/>
  <c r="K24" i="1"/>
  <c r="K31" i="1"/>
  <c r="K30" i="1"/>
  <c r="K25" i="1"/>
  <c r="K23" i="1"/>
  <c r="E29" i="1"/>
  <c r="E28" i="1"/>
  <c r="B20" i="16"/>
  <c r="E22" i="1"/>
  <c r="E20" i="1"/>
  <c r="E21" i="1"/>
  <c r="L25" i="16"/>
  <c r="E25" i="16"/>
  <c r="I25" i="16"/>
  <c r="G25" i="16"/>
  <c r="D25" i="16"/>
  <c r="C13" i="16"/>
  <c r="B25" i="16"/>
  <c r="F25" i="16"/>
  <c r="E13" i="16"/>
  <c r="J25" i="16"/>
  <c r="H18" i="16"/>
  <c r="E18" i="16"/>
  <c r="L18" i="16"/>
  <c r="D56" i="16"/>
  <c r="K18" i="16"/>
  <c r="B18" i="16"/>
  <c r="G56" i="16"/>
  <c r="C18" i="16"/>
  <c r="C43" i="16"/>
  <c r="J56" i="16"/>
  <c r="F18" i="16"/>
  <c r="E56" i="16"/>
  <c r="B80" i="16"/>
  <c r="B43" i="16"/>
  <c r="K25" i="16"/>
  <c r="G18" i="16"/>
  <c r="B64" i="16"/>
  <c r="AK12" i="23" s="1"/>
  <c r="H56" i="16"/>
  <c r="I18" i="16"/>
  <c r="B82" i="16"/>
  <c r="B81" i="16"/>
  <c r="J18" i="16"/>
  <c r="L56" i="16"/>
  <c r="M56" i="16"/>
  <c r="F56" i="16"/>
  <c r="I56" i="16"/>
  <c r="M18" i="16"/>
  <c r="D18" i="16"/>
  <c r="K13" i="16"/>
  <c r="F13" i="16"/>
  <c r="B13" i="16"/>
  <c r="J13" i="16"/>
  <c r="C25" i="16"/>
  <c r="H25" i="16"/>
  <c r="I13" i="16"/>
  <c r="L13" i="16"/>
  <c r="D13" i="16"/>
  <c r="AD13" i="17"/>
  <c r="AD14" i="17" s="1"/>
  <c r="AB53" i="17"/>
  <c r="AG53" i="17"/>
  <c r="Z53" i="17"/>
  <c r="AA13" i="17"/>
  <c r="AA14" i="17" s="1"/>
  <c r="AC13" i="17"/>
  <c r="AC14" i="17" s="1"/>
  <c r="AG13" i="17"/>
  <c r="AG14" i="17" s="1"/>
  <c r="AA53" i="17"/>
  <c r="AB13" i="17"/>
  <c r="AB14" i="17" s="1"/>
  <c r="AE13" i="17"/>
  <c r="AE14" i="17" s="1"/>
  <c r="AE53" i="17"/>
  <c r="AF13" i="17"/>
  <c r="AF14" i="17" s="1"/>
  <c r="AF53" i="17"/>
  <c r="AF52" i="17"/>
  <c r="AE52" i="17"/>
  <c r="C4" i="16"/>
  <c r="D4" i="16" s="1"/>
  <c r="E4" i="16" s="1"/>
  <c r="F4" i="16" s="1"/>
  <c r="I39" i="10"/>
  <c r="J39" i="10" s="1"/>
  <c r="E5" i="17"/>
  <c r="B49" i="1"/>
  <c r="I50" i="10" l="1"/>
  <c r="J50" i="10" s="1"/>
  <c r="AN12" i="23"/>
  <c r="AM13" i="23"/>
  <c r="AM14" i="23" s="1"/>
  <c r="M42" i="1" s="1"/>
  <c r="F36" i="4"/>
  <c r="C74" i="10"/>
  <c r="C35" i="10" s="1"/>
  <c r="AJ14" i="23"/>
  <c r="M40" i="1" s="1"/>
  <c r="I27" i="10"/>
  <c r="J27" i="10" s="1"/>
  <c r="I30" i="10"/>
  <c r="J30" i="10" s="1"/>
  <c r="I15" i="10"/>
  <c r="J15" i="10" s="1"/>
  <c r="I11" i="10"/>
  <c r="J11" i="10" s="1"/>
  <c r="I29" i="10"/>
  <c r="J29" i="10" s="1"/>
  <c r="I31" i="10"/>
  <c r="J31" i="10" s="1"/>
  <c r="I47" i="10"/>
  <c r="J47" i="10" s="1"/>
  <c r="H21" i="1"/>
  <c r="D34" i="4"/>
  <c r="D36" i="4" s="1"/>
  <c r="M32" i="1"/>
  <c r="C41" i="10" s="1"/>
  <c r="B14" i="3"/>
  <c r="K27" i="1"/>
  <c r="K26" i="1"/>
  <c r="E25" i="1"/>
  <c r="I33" i="10"/>
  <c r="J33" i="10" s="1"/>
  <c r="C73" i="10"/>
  <c r="B34" i="16"/>
  <c r="M27" i="1"/>
  <c r="I24" i="10"/>
  <c r="J24" i="10" s="1"/>
  <c r="I16" i="10"/>
  <c r="J16" i="10" s="1"/>
  <c r="M24" i="1"/>
  <c r="B35" i="16"/>
  <c r="I14" i="10"/>
  <c r="J14" i="10" s="1"/>
  <c r="F5" i="17"/>
  <c r="G4" i="16"/>
  <c r="B48" i="1"/>
  <c r="C18" i="10" l="1"/>
  <c r="K28" i="1" s="1"/>
  <c r="C37" i="10"/>
  <c r="C36" i="10"/>
  <c r="C17" i="10"/>
  <c r="I17" i="10" s="1"/>
  <c r="J17" i="10" s="1"/>
  <c r="I35" i="10"/>
  <c r="J35" i="10" s="1"/>
  <c r="I41" i="10"/>
  <c r="J41" i="10" s="1"/>
  <c r="G41" i="4"/>
  <c r="C21" i="10"/>
  <c r="C20" i="10"/>
  <c r="I19" i="10"/>
  <c r="B36" i="16"/>
  <c r="I10" i="10"/>
  <c r="J10" i="10" s="1"/>
  <c r="I22" i="10"/>
  <c r="J22" i="10" s="1"/>
  <c r="G5" i="17"/>
  <c r="H4" i="16"/>
  <c r="B47" i="1"/>
  <c r="I36" i="10" l="1"/>
  <c r="J36" i="10" s="1"/>
  <c r="I18" i="10"/>
  <c r="J18" i="10" s="1"/>
  <c r="I37" i="10"/>
  <c r="J37" i="10" s="1"/>
  <c r="I20" i="10"/>
  <c r="J20" i="10" s="1"/>
  <c r="I21" i="10"/>
  <c r="J21" i="10" s="1"/>
  <c r="E26" i="1"/>
  <c r="H5" i="17"/>
  <c r="I4" i="16"/>
  <c r="J4" i="16" s="1"/>
  <c r="B46" i="1"/>
  <c r="D46" i="1" s="1" a="1"/>
  <c r="D46" i="1" l="1"/>
  <c r="D58" i="1"/>
  <c r="H9" i="4"/>
  <c r="H46" i="1" a="1"/>
  <c r="H46" i="1" s="1"/>
  <c r="C46" i="1" a="1"/>
  <c r="I5" i="17"/>
  <c r="H41" i="4" l="1"/>
  <c r="C46" i="1"/>
  <c r="C55" i="1" s="1"/>
  <c r="J5" i="17"/>
  <c r="K4" i="16"/>
  <c r="K5" i="17" l="1"/>
  <c r="L4" i="16"/>
  <c r="L5" i="17" l="1"/>
  <c r="M4" i="16"/>
  <c r="M5" i="17" l="1"/>
  <c r="B91" i="16" s="1"/>
  <c r="D91" i="16"/>
  <c r="E91" i="16"/>
  <c r="M6" i="16" l="1"/>
  <c r="D34" i="16"/>
  <c r="K35" i="16"/>
  <c r="K36" i="16" s="1"/>
  <c r="I34" i="16"/>
  <c r="G9" i="16"/>
  <c r="G10" i="16" s="1"/>
  <c r="K19" i="16"/>
  <c r="I19" i="16"/>
  <c r="K9" i="16"/>
  <c r="K10" i="16" s="1"/>
  <c r="I9" i="16"/>
  <c r="I10" i="16" s="1"/>
  <c r="M26" i="1"/>
  <c r="I28" i="10"/>
  <c r="J28" i="10" s="1"/>
  <c r="C34" i="16"/>
  <c r="H58" i="1"/>
  <c r="E34" i="16"/>
  <c r="C91" i="16"/>
  <c r="F26" i="16"/>
  <c r="I6" i="16"/>
  <c r="K26" i="16"/>
  <c r="K29" i="16" s="1"/>
  <c r="J26" i="16"/>
  <c r="I35" i="16"/>
  <c r="I36" i="16" s="1"/>
  <c r="K34" i="16"/>
  <c r="K20" i="16" l="1"/>
  <c r="L31" i="22"/>
  <c r="I20" i="16"/>
  <c r="J31" i="22"/>
  <c r="D60" i="16"/>
  <c r="K60" i="16"/>
  <c r="I60" i="16"/>
  <c r="L34" i="16"/>
  <c r="M34" i="16"/>
  <c r="M19" i="16"/>
  <c r="M20" i="16" s="1"/>
  <c r="L6" i="16"/>
  <c r="M9" i="16"/>
  <c r="M10" i="16" s="1"/>
  <c r="M29" i="16"/>
  <c r="M30" i="16" s="1"/>
  <c r="M31" i="16" s="1"/>
  <c r="E26" i="16"/>
  <c r="E29" i="16" s="1"/>
  <c r="M35" i="16"/>
  <c r="M36" i="16" s="1"/>
  <c r="L26" i="16"/>
  <c r="L29" i="16" s="1"/>
  <c r="H55" i="1"/>
  <c r="R49" i="1"/>
  <c r="C35" i="16"/>
  <c r="C36" i="16" s="1"/>
  <c r="L35" i="16"/>
  <c r="L36" i="16" s="1"/>
  <c r="D26" i="16"/>
  <c r="D29" i="16" s="1"/>
  <c r="J35" i="16"/>
  <c r="J36" i="16" s="1"/>
  <c r="H34" i="16"/>
  <c r="C60" i="16"/>
  <c r="J34" i="16"/>
  <c r="G19" i="16"/>
  <c r="H31" i="22" s="1"/>
  <c r="F35" i="16"/>
  <c r="F36" i="16" s="1"/>
  <c r="F29" i="16"/>
  <c r="G35" i="16"/>
  <c r="G36" i="16" s="1"/>
  <c r="J29" i="16"/>
  <c r="I26" i="16"/>
  <c r="I29" i="16" s="1"/>
  <c r="E9" i="16"/>
  <c r="E10" i="16" s="1"/>
  <c r="D6" i="16"/>
  <c r="D5" i="4" s="1"/>
  <c r="B6" i="16"/>
  <c r="C6" i="16"/>
  <c r="R54" i="1"/>
  <c r="R51" i="1"/>
  <c r="R50" i="1"/>
  <c r="J19" i="16"/>
  <c r="E35" i="16"/>
  <c r="E36" i="16" s="1"/>
  <c r="C26" i="16"/>
  <c r="C29" i="16" s="1"/>
  <c r="B26" i="16"/>
  <c r="B29" i="16" s="1"/>
  <c r="O50" i="1"/>
  <c r="F19" i="16"/>
  <c r="G31" i="22" s="1"/>
  <c r="O49" i="1"/>
  <c r="H19" i="16"/>
  <c r="C9" i="16"/>
  <c r="C10" i="16" s="1"/>
  <c r="C19" i="16"/>
  <c r="D31" i="22" s="1"/>
  <c r="E19" i="16"/>
  <c r="F31" i="22" s="1"/>
  <c r="D35" i="16"/>
  <c r="D36" i="16" s="1"/>
  <c r="G6" i="16"/>
  <c r="H9" i="16"/>
  <c r="H10" i="16" s="1"/>
  <c r="H6" i="16"/>
  <c r="J9" i="16"/>
  <c r="J10" i="16" s="1"/>
  <c r="J6" i="16"/>
  <c r="D19" i="16"/>
  <c r="E31" i="22" s="1"/>
  <c r="H57" i="1"/>
  <c r="K6" i="16"/>
  <c r="L9" i="16"/>
  <c r="L10" i="16" s="1"/>
  <c r="G34" i="16"/>
  <c r="L19" i="16"/>
  <c r="D9" i="16"/>
  <c r="D10" i="16" s="1"/>
  <c r="G26" i="16"/>
  <c r="G29" i="16" s="1"/>
  <c r="H26" i="16"/>
  <c r="H29" i="16" s="1"/>
  <c r="E6" i="16"/>
  <c r="F9" i="16"/>
  <c r="F10" i="16" s="1"/>
  <c r="N50" i="1"/>
  <c r="F6" i="16"/>
  <c r="R48" i="1"/>
  <c r="H35" i="16"/>
  <c r="F34" i="16"/>
  <c r="L20" i="16" l="1"/>
  <c r="M31" i="22"/>
  <c r="J20" i="16"/>
  <c r="K31" i="22"/>
  <c r="P31" i="22"/>
  <c r="Q31" i="22"/>
  <c r="H20" i="16"/>
  <c r="I31" i="22"/>
  <c r="O31" i="22" s="1"/>
  <c r="E46" i="1" a="1"/>
  <c r="E46" i="1" s="1"/>
  <c r="E31" i="1"/>
  <c r="G20" i="16"/>
  <c r="F20" i="16"/>
  <c r="E20" i="16"/>
  <c r="D20" i="16"/>
  <c r="I46" i="1" a="1"/>
  <c r="S51" i="1" s="1"/>
  <c r="B30" i="16"/>
  <c r="B31" i="16" s="1"/>
  <c r="I32" i="10" s="1"/>
  <c r="H36" i="16"/>
  <c r="K29" i="1"/>
  <c r="N55" i="1"/>
  <c r="C20" i="16"/>
  <c r="J60" i="16"/>
  <c r="M60" i="16"/>
  <c r="G60" i="16"/>
  <c r="F60" i="16"/>
  <c r="E60" i="16"/>
  <c r="L60" i="16"/>
  <c r="H60" i="16"/>
  <c r="C59" i="16"/>
  <c r="K30" i="16"/>
  <c r="K31" i="16" s="1"/>
  <c r="L30" i="16"/>
  <c r="L31" i="16" s="1"/>
  <c r="O47" i="1"/>
  <c r="O48" i="1"/>
  <c r="J30" i="16"/>
  <c r="J31" i="16" s="1"/>
  <c r="D30" i="16"/>
  <c r="D31" i="16" s="1"/>
  <c r="N47" i="1"/>
  <c r="N51" i="1"/>
  <c r="E30" i="16"/>
  <c r="E31" i="16" s="1"/>
  <c r="I30" i="16"/>
  <c r="I31" i="16" s="1"/>
  <c r="H30" i="16"/>
  <c r="H31" i="16" s="1"/>
  <c r="N49" i="1"/>
  <c r="N48" i="1"/>
  <c r="G30" i="16"/>
  <c r="G31" i="16" s="1"/>
  <c r="C30" i="16"/>
  <c r="C31" i="16" s="1"/>
  <c r="C57" i="1"/>
  <c r="F30" i="16"/>
  <c r="F31" i="16" s="1"/>
  <c r="O51" i="1"/>
  <c r="R53" i="1"/>
  <c r="R52" i="1"/>
  <c r="N52" i="1"/>
  <c r="O52" i="1"/>
  <c r="O53" i="1"/>
  <c r="C58" i="1"/>
  <c r="N54" i="1"/>
  <c r="N53" i="1"/>
  <c r="M31" i="1" l="1"/>
  <c r="E27" i="1"/>
  <c r="M57" i="1"/>
  <c r="S50" i="1"/>
  <c r="S49" i="1"/>
  <c r="I46" i="1"/>
  <c r="S54" i="1"/>
  <c r="S53" i="1"/>
  <c r="S52" i="1"/>
  <c r="L57" i="1"/>
  <c r="S48" i="1"/>
  <c r="Q50" i="1"/>
  <c r="Q48" i="1"/>
  <c r="M29" i="1"/>
  <c r="C56" i="1"/>
  <c r="Q49" i="1"/>
  <c r="H56" i="1" l="1"/>
  <c r="M25" i="1"/>
  <c r="D55" i="1" l="1"/>
  <c r="O55" i="1" s="1"/>
  <c r="B9" i="16"/>
  <c r="B10" i="16" s="1"/>
  <c r="L58" i="1" l="1"/>
  <c r="I34" i="10"/>
  <c r="J34" i="10" s="1"/>
  <c r="D57" i="1"/>
  <c r="M28" i="1"/>
  <c r="O54" i="1"/>
  <c r="D56" i="1" s="1"/>
  <c r="M58" i="1" l="1"/>
  <c r="I13" i="10"/>
  <c r="J13" i="10" s="1"/>
  <c r="F36" i="17" l="1"/>
  <c r="F37" i="17" s="1"/>
  <c r="J56" i="17"/>
  <c r="J36" i="17"/>
  <c r="J37" i="17" s="1"/>
  <c r="M44" i="16"/>
  <c r="M59" i="16" s="1"/>
  <c r="M36" i="17"/>
  <c r="M37" i="17" s="1"/>
  <c r="I44" i="16"/>
  <c r="I59" i="16" s="1"/>
  <c r="I36" i="17"/>
  <c r="I37" i="17" s="1"/>
  <c r="I43" i="16" s="1"/>
  <c r="E44" i="16"/>
  <c r="E59" i="16" s="1"/>
  <c r="E37" i="17"/>
  <c r="G36" i="17"/>
  <c r="G37" i="17" s="1"/>
  <c r="K36" i="17"/>
  <c r="K37" i="17" s="1"/>
  <c r="H56" i="17"/>
  <c r="H36" i="17"/>
  <c r="H37" i="17" s="1"/>
  <c r="L44" i="16"/>
  <c r="L59" i="16" s="1"/>
  <c r="L36" i="17"/>
  <c r="L37" i="17" s="1"/>
  <c r="L43" i="16" s="1"/>
  <c r="G56" i="17" l="1"/>
  <c r="J44" i="16"/>
  <c r="J59" i="16" s="1"/>
  <c r="G64" i="16"/>
  <c r="H64" i="16"/>
  <c r="K43" i="16"/>
  <c r="F43" i="16"/>
  <c r="J43" i="16"/>
  <c r="G43" i="16"/>
  <c r="M56" i="17"/>
  <c r="F56" i="17"/>
  <c r="K44" i="16"/>
  <c r="K59" i="16" s="1"/>
  <c r="F44" i="16"/>
  <c r="F59" i="16" s="1"/>
  <c r="G44" i="16"/>
  <c r="G59" i="16" s="1"/>
  <c r="H44" i="16"/>
  <c r="H59" i="16" s="1"/>
  <c r="L56" i="17"/>
  <c r="I56" i="17"/>
  <c r="M64" i="16" l="1"/>
  <c r="I64" i="16"/>
  <c r="M43" i="16"/>
  <c r="H43" i="16"/>
  <c r="E43" i="16"/>
  <c r="F64" i="16"/>
  <c r="J64" i="16"/>
  <c r="L64" i="16"/>
  <c r="E64" i="16"/>
  <c r="D36" i="17"/>
  <c r="D37" i="17" s="1"/>
  <c r="D56" i="17"/>
  <c r="D64" i="16" s="1"/>
  <c r="C56" i="17"/>
  <c r="C64" i="16" s="1"/>
  <c r="C56" i="16"/>
  <c r="C47" i="17"/>
  <c r="C50" i="17" s="1"/>
  <c r="D43" i="16" l="1"/>
  <c r="D44" i="16"/>
  <c r="D59" i="16" s="1"/>
  <c r="G46" i="1" s="1" a="1"/>
  <c r="G46" i="1" s="1"/>
  <c r="C55" i="16"/>
  <c r="C52" i="16"/>
  <c r="B68" i="16"/>
  <c r="L49" i="1" s="1"/>
  <c r="C68" i="16"/>
  <c r="M49" i="1" s="1"/>
  <c r="C67" i="17"/>
  <c r="E25" i="4" s="1"/>
  <c r="E26" i="4" s="1"/>
  <c r="E34" i="4" s="1"/>
  <c r="E36" i="4" l="1"/>
  <c r="E43" i="4" s="1"/>
  <c r="F43" i="4" s="1"/>
  <c r="G13" i="4" s="1"/>
  <c r="K56" i="17"/>
  <c r="K56" i="16"/>
  <c r="K52" i="16"/>
  <c r="K55" i="16"/>
  <c r="K64" i="16" l="1"/>
  <c r="H38" i="4" l="1"/>
  <c r="H39" i="4"/>
  <c r="I10" i="4" l="1"/>
  <c r="I39" i="4" s="1"/>
  <c r="I38" i="4" l="1"/>
  <c r="J10" i="4" s="1"/>
  <c r="J39" i="4" l="1"/>
  <c r="J38" i="4"/>
  <c r="K10" i="4" s="1"/>
  <c r="K38" i="4" l="1"/>
  <c r="L10" i="4" s="1"/>
  <c r="K39" i="4"/>
  <c r="L39" i="4" l="1"/>
  <c r="L38" i="4"/>
  <c r="M10" i="4" s="1"/>
  <c r="M39" i="4" l="1"/>
  <c r="M38" i="4"/>
  <c r="N10" i="4" s="1"/>
  <c r="N38" i="4" l="1"/>
  <c r="O10" i="4" s="1"/>
  <c r="N39" i="4"/>
  <c r="O39" i="4" l="1"/>
  <c r="O38" i="4"/>
  <c r="P10" i="4" s="1"/>
  <c r="P38" i="4" l="1"/>
  <c r="Q10" i="4" s="1"/>
  <c r="P39" i="4"/>
  <c r="Q38" i="4" l="1"/>
  <c r="R10" i="4" s="1"/>
  <c r="Q39" i="4"/>
  <c r="R39" i="4" l="1"/>
  <c r="R38" i="4"/>
  <c r="S10" i="4" s="1"/>
  <c r="S39" i="4" l="1"/>
  <c r="S38" i="4"/>
  <c r="T10" i="4" s="1"/>
  <c r="T38" i="4" l="1"/>
  <c r="U10" i="4" s="1"/>
  <c r="T39" i="4" l="1"/>
  <c r="U39" i="4" l="1"/>
  <c r="U38" i="4"/>
  <c r="V10" i="4" s="1"/>
  <c r="V39" i="4" l="1"/>
  <c r="V38" i="4"/>
  <c r="W10" i="4" s="1"/>
  <c r="W38" i="4" l="1"/>
  <c r="X10" i="4" s="1"/>
  <c r="W39" i="4"/>
  <c r="X39" i="4" l="1"/>
  <c r="X38" i="4"/>
  <c r="Y10" i="4" s="1"/>
  <c r="Y38" i="4" l="1"/>
  <c r="Z10" i="4" s="1"/>
  <c r="Y39" i="4"/>
  <c r="Z39" i="4" l="1"/>
  <c r="Z38" i="4"/>
  <c r="AA10" i="4" s="1"/>
  <c r="AA39" i="4" l="1"/>
  <c r="AA38" i="4"/>
  <c r="AB10" i="4" s="1"/>
  <c r="AB38" i="4" l="1"/>
  <c r="AC10" i="4" s="1"/>
  <c r="AB39" i="4" l="1"/>
  <c r="AC39" i="4" l="1"/>
  <c r="AC38" i="4"/>
  <c r="AD10" i="4" s="1"/>
  <c r="AD39" i="4" l="1"/>
  <c r="AD38" i="4"/>
  <c r="AE10" i="4" s="1"/>
  <c r="AE38" i="4" l="1"/>
  <c r="AF10" i="4" s="1"/>
  <c r="AE39" i="4"/>
  <c r="AF39" i="4" l="1"/>
  <c r="AG39" i="4" s="1"/>
  <c r="AF38" i="4"/>
  <c r="AG38" i="4" s="1"/>
  <c r="K63" i="17" l="1"/>
  <c r="K67" i="16"/>
  <c r="L63" i="17"/>
  <c r="L67" i="16"/>
  <c r="J68" i="16"/>
  <c r="L68" i="16"/>
  <c r="M68" i="16"/>
  <c r="G5" i="4" l="1"/>
  <c r="G14" i="4" s="1"/>
  <c r="G8" i="4" l="1"/>
  <c r="G12" i="4" s="1"/>
  <c r="G44" i="4" s="1"/>
  <c r="G28" i="4" s="1"/>
  <c r="G11" i="4"/>
  <c r="G20" i="4" s="1"/>
  <c r="G21" i="4"/>
  <c r="G25" i="4"/>
  <c r="G26" i="4" s="1"/>
  <c r="G31" i="4"/>
  <c r="G15" i="4" l="1"/>
  <c r="G16" i="4" l="1"/>
  <c r="G17" i="4" s="1"/>
  <c r="G19" i="4" s="1"/>
  <c r="G30" i="4" l="1"/>
  <c r="G29" i="4"/>
  <c r="G32" i="4" s="1"/>
  <c r="G22" i="4"/>
  <c r="G34" i="4" s="1"/>
  <c r="G35" i="4" l="1"/>
  <c r="G36" i="4" s="1"/>
  <c r="G43" i="4" s="1"/>
  <c r="H13" i="4" s="1"/>
  <c r="H5" i="4"/>
  <c r="H11" i="4" l="1"/>
  <c r="H20" i="4" s="1"/>
  <c r="H24" i="4"/>
  <c r="H21" i="4"/>
  <c r="H8" i="4"/>
  <c r="H23" i="4"/>
  <c r="I5" i="4"/>
  <c r="H40" i="4" l="1"/>
  <c r="J5" i="4"/>
  <c r="I11" i="4"/>
  <c r="I20" i="4" s="1"/>
  <c r="I23" i="4"/>
  <c r="I24" i="4"/>
  <c r="I21" i="4"/>
  <c r="I8" i="4"/>
  <c r="H14" i="4"/>
  <c r="H15" i="4" s="1"/>
  <c r="H25" i="4"/>
  <c r="H26" i="4" s="1"/>
  <c r="H31" i="4"/>
  <c r="H12" i="4"/>
  <c r="H44" i="4" s="1"/>
  <c r="H16" i="4" l="1"/>
  <c r="H17" i="4" s="1"/>
  <c r="I40" i="4"/>
  <c r="I25" i="4"/>
  <c r="I26" i="4" s="1"/>
  <c r="I31" i="4"/>
  <c r="J11" i="4"/>
  <c r="J20" i="4" s="1"/>
  <c r="J23" i="4"/>
  <c r="J8" i="4"/>
  <c r="J24" i="4"/>
  <c r="J21" i="4"/>
  <c r="K21" i="4"/>
  <c r="I14" i="4"/>
  <c r="H28" i="4"/>
  <c r="I9" i="4"/>
  <c r="H19" i="4" l="1"/>
  <c r="H22" i="4" s="1"/>
  <c r="H34" i="4" s="1"/>
  <c r="H30" i="4"/>
  <c r="H29" i="4"/>
  <c r="I12" i="4"/>
  <c r="J40" i="4"/>
  <c r="K9" i="4" s="1"/>
  <c r="K24" i="4"/>
  <c r="K23" i="4"/>
  <c r="J14" i="4"/>
  <c r="K11" i="4"/>
  <c r="K20" i="4" s="1"/>
  <c r="K8" i="4"/>
  <c r="K5" i="4"/>
  <c r="L21" i="4"/>
  <c r="J9" i="4"/>
  <c r="J31" i="4"/>
  <c r="J25" i="4"/>
  <c r="J26" i="4" s="1"/>
  <c r="I41" i="4"/>
  <c r="H35" i="4" l="1"/>
  <c r="H36" i="4" s="1"/>
  <c r="H43" i="4" s="1"/>
  <c r="I13" i="4" s="1"/>
  <c r="I15" i="4" s="1"/>
  <c r="H32" i="4"/>
  <c r="I44" i="4"/>
  <c r="I28" i="4" s="1"/>
  <c r="K40" i="4"/>
  <c r="L9" i="4" s="1"/>
  <c r="L23" i="4"/>
  <c r="L24" i="4"/>
  <c r="K14" i="4"/>
  <c r="K31" i="4"/>
  <c r="K25" i="4"/>
  <c r="K26" i="4" s="1"/>
  <c r="K12" i="4"/>
  <c r="K44" i="4" s="1"/>
  <c r="J12" i="4"/>
  <c r="J44" i="4" s="1"/>
  <c r="M21" i="4"/>
  <c r="L11" i="4"/>
  <c r="L20" i="4" s="1"/>
  <c r="L5" i="4"/>
  <c r="L8" i="4"/>
  <c r="J41" i="4"/>
  <c r="K41" i="4" s="1"/>
  <c r="I16" i="4" l="1"/>
  <c r="I17" i="4" s="1"/>
  <c r="L40" i="4"/>
  <c r="M9" i="4" s="1"/>
  <c r="M23" i="4"/>
  <c r="M24" i="4"/>
  <c r="L14" i="4"/>
  <c r="N21" i="4"/>
  <c r="L41" i="4"/>
  <c r="M11" i="4"/>
  <c r="M20" i="4" s="1"/>
  <c r="M8" i="4"/>
  <c r="M5" i="4"/>
  <c r="J28" i="4"/>
  <c r="K28" i="4"/>
  <c r="L31" i="4"/>
  <c r="L25" i="4"/>
  <c r="L26" i="4" s="1"/>
  <c r="I29" i="4" l="1"/>
  <c r="I19" i="4"/>
  <c r="I22" i="4" s="1"/>
  <c r="I34" i="4" s="1"/>
  <c r="I30" i="4"/>
  <c r="M40" i="4"/>
  <c r="N9" i="4" s="1"/>
  <c r="N23" i="4"/>
  <c r="N24" i="4"/>
  <c r="M41" i="4"/>
  <c r="M25" i="4"/>
  <c r="M26" i="4" s="1"/>
  <c r="M31" i="4"/>
  <c r="L12" i="4"/>
  <c r="L44" i="4" s="1"/>
  <c r="M14" i="4"/>
  <c r="O21" i="4"/>
  <c r="N5" i="4"/>
  <c r="N11" i="4"/>
  <c r="N20" i="4" s="1"/>
  <c r="N8" i="4"/>
  <c r="I32" i="4" l="1"/>
  <c r="I35" i="4"/>
  <c r="I36" i="4" s="1"/>
  <c r="I43" i="4" s="1"/>
  <c r="J13" i="4" s="1"/>
  <c r="J15" i="4" s="1"/>
  <c r="N40" i="4"/>
  <c r="O24" i="4"/>
  <c r="O23" i="4"/>
  <c r="M12" i="4"/>
  <c r="O11" i="4"/>
  <c r="O20" i="4" s="1"/>
  <c r="O5" i="4"/>
  <c r="O8" i="4"/>
  <c r="N41" i="4"/>
  <c r="O9" i="4"/>
  <c r="L28" i="4"/>
  <c r="N25" i="4"/>
  <c r="N26" i="4" s="1"/>
  <c r="N31" i="4"/>
  <c r="N14" i="4"/>
  <c r="P21" i="4"/>
  <c r="J16" i="4" l="1"/>
  <c r="J17" i="4" s="1"/>
  <c r="M44" i="4"/>
  <c r="M28" i="4" s="1"/>
  <c r="O14" i="4"/>
  <c r="O40" i="4"/>
  <c r="P9" i="4" s="1"/>
  <c r="P24" i="4"/>
  <c r="P23" i="4"/>
  <c r="N12" i="4"/>
  <c r="Q21" i="4"/>
  <c r="O25" i="4"/>
  <c r="O26" i="4" s="1"/>
  <c r="O31" i="4"/>
  <c r="O41" i="4"/>
  <c r="P11" i="4"/>
  <c r="P20" i="4" s="1"/>
  <c r="P5" i="4"/>
  <c r="P8" i="4"/>
  <c r="J30" i="4" l="1"/>
  <c r="J29" i="4"/>
  <c r="J35" i="4" s="1"/>
  <c r="J19" i="4"/>
  <c r="J22" i="4" s="1"/>
  <c r="J34" i="4" s="1"/>
  <c r="N44" i="4"/>
  <c r="N28" i="4" s="1"/>
  <c r="P40" i="4"/>
  <c r="Q9" i="4" s="1"/>
  <c r="Q24" i="4"/>
  <c r="Q23" i="4"/>
  <c r="O12" i="4"/>
  <c r="O44" i="4" s="1"/>
  <c r="Q5" i="4"/>
  <c r="Q11" i="4"/>
  <c r="Q20" i="4" s="1"/>
  <c r="Q8" i="4"/>
  <c r="R21" i="4"/>
  <c r="P41" i="4"/>
  <c r="P25" i="4"/>
  <c r="P26" i="4" s="1"/>
  <c r="P31" i="4"/>
  <c r="P14" i="4"/>
  <c r="J32" i="4" l="1"/>
  <c r="J36" i="4"/>
  <c r="J43" i="4" s="1"/>
  <c r="K13" i="4" s="1"/>
  <c r="K15" i="4" s="1"/>
  <c r="Q40" i="4"/>
  <c r="R9" i="4" s="1"/>
  <c r="R24" i="4"/>
  <c r="R23" i="4"/>
  <c r="Q14" i="4"/>
  <c r="Q31" i="4"/>
  <c r="Q25" i="4"/>
  <c r="Q26" i="4" s="1"/>
  <c r="R5" i="4"/>
  <c r="R11" i="4"/>
  <c r="R20" i="4" s="1"/>
  <c r="R8" i="4"/>
  <c r="P12" i="4"/>
  <c r="P44" i="4" s="1"/>
  <c r="O28" i="4"/>
  <c r="Q12" i="4"/>
  <c r="Q44" i="4" s="1"/>
  <c r="S21" i="4"/>
  <c r="K16" i="4" l="1"/>
  <c r="K17" i="4" s="1"/>
  <c r="R40" i="4"/>
  <c r="S24" i="4"/>
  <c r="S23" i="4"/>
  <c r="R14" i="4"/>
  <c r="Q28" i="4"/>
  <c r="Q41" i="4"/>
  <c r="R12" i="4"/>
  <c r="R44" i="4" s="1"/>
  <c r="S9" i="4"/>
  <c r="P28" i="4"/>
  <c r="T21" i="4"/>
  <c r="S8" i="4"/>
  <c r="S11" i="4"/>
  <c r="S20" i="4" s="1"/>
  <c r="S5" i="4"/>
  <c r="R31" i="4"/>
  <c r="R25" i="4"/>
  <c r="R26" i="4" s="1"/>
  <c r="K19" i="4" l="1"/>
  <c r="K22" i="4" s="1"/>
  <c r="K34" i="4" s="1"/>
  <c r="K30" i="4"/>
  <c r="K29" i="4"/>
  <c r="S40" i="4"/>
  <c r="T9" i="4" s="1"/>
  <c r="T23" i="4"/>
  <c r="T24" i="4"/>
  <c r="S14" i="4"/>
  <c r="R28" i="4"/>
  <c r="S12" i="4"/>
  <c r="S44" i="4" s="1"/>
  <c r="S25" i="4"/>
  <c r="S26" i="4" s="1"/>
  <c r="S31" i="4"/>
  <c r="U21" i="4"/>
  <c r="T11" i="4"/>
  <c r="T20" i="4" s="1"/>
  <c r="T8" i="4"/>
  <c r="T5" i="4"/>
  <c r="R41" i="4"/>
  <c r="K35" i="4" l="1"/>
  <c r="K36" i="4" s="1"/>
  <c r="K43" i="4" s="1"/>
  <c r="L13" i="4" s="1"/>
  <c r="L15" i="4" s="1"/>
  <c r="K32" i="4"/>
  <c r="T40" i="4"/>
  <c r="U23" i="4"/>
  <c r="U24" i="4"/>
  <c r="S28" i="4"/>
  <c r="U5" i="4"/>
  <c r="U11" i="4"/>
  <c r="U20" i="4" s="1"/>
  <c r="U8" i="4"/>
  <c r="S41" i="4"/>
  <c r="T31" i="4"/>
  <c r="T25" i="4"/>
  <c r="T26" i="4" s="1"/>
  <c r="V21" i="4"/>
  <c r="T12" i="4"/>
  <c r="T44" i="4" s="1"/>
  <c r="U9" i="4"/>
  <c r="T14" i="4"/>
  <c r="L16" i="4" l="1"/>
  <c r="L17" i="4" s="1"/>
  <c r="U40" i="4"/>
  <c r="V23" i="4"/>
  <c r="V24" i="4"/>
  <c r="T28" i="4"/>
  <c r="T41" i="4"/>
  <c r="W21" i="4"/>
  <c r="V11" i="4"/>
  <c r="V20" i="4" s="1"/>
  <c r="V5" i="4"/>
  <c r="V8" i="4"/>
  <c r="U14" i="4"/>
  <c r="U25" i="4"/>
  <c r="U26" i="4" s="1"/>
  <c r="U31" i="4"/>
  <c r="U12" i="4"/>
  <c r="U44" i="4" s="1"/>
  <c r="V9" i="4"/>
  <c r="L19" i="4" l="1"/>
  <c r="L22" i="4" s="1"/>
  <c r="L34" i="4" s="1"/>
  <c r="L29" i="4"/>
  <c r="L30" i="4"/>
  <c r="V14" i="4"/>
  <c r="V40" i="4"/>
  <c r="W9" i="4" s="1"/>
  <c r="W24" i="4"/>
  <c r="W23" i="4"/>
  <c r="U28" i="4"/>
  <c r="U41" i="4"/>
  <c r="W5" i="4"/>
  <c r="W14" i="4" s="1"/>
  <c r="W8" i="4"/>
  <c r="W11" i="4"/>
  <c r="W20" i="4" s="1"/>
  <c r="X21" i="4"/>
  <c r="V31" i="4"/>
  <c r="V25" i="4"/>
  <c r="V26" i="4" s="1"/>
  <c r="V12" i="4"/>
  <c r="V44" i="4" s="1"/>
  <c r="L35" i="4" l="1"/>
  <c r="L36" i="4" s="1"/>
  <c r="L43" i="4" s="1"/>
  <c r="L32" i="4"/>
  <c r="W40" i="4"/>
  <c r="X9" i="4" s="1"/>
  <c r="X24" i="4"/>
  <c r="X23" i="4"/>
  <c r="V28" i="4"/>
  <c r="V41" i="4"/>
  <c r="X5" i="4"/>
  <c r="X11" i="4"/>
  <c r="X20" i="4" s="1"/>
  <c r="X8" i="4"/>
  <c r="Y21" i="4"/>
  <c r="W12" i="4"/>
  <c r="W44" i="4" s="1"/>
  <c r="W31" i="4"/>
  <c r="W25" i="4"/>
  <c r="W26" i="4" s="1"/>
  <c r="X40" i="4" l="1"/>
  <c r="Y9" i="4" s="1"/>
  <c r="Y24" i="4"/>
  <c r="Y23" i="4"/>
  <c r="W28" i="4"/>
  <c r="X12" i="4"/>
  <c r="X44" i="4" s="1"/>
  <c r="X25" i="4"/>
  <c r="X26" i="4" s="1"/>
  <c r="X31" i="4"/>
  <c r="X14" i="4"/>
  <c r="Y11" i="4"/>
  <c r="Y20" i="4" s="1"/>
  <c r="Y5" i="4"/>
  <c r="Y8" i="4"/>
  <c r="M13" i="4"/>
  <c r="M15" i="4" s="1"/>
  <c r="Z21" i="4"/>
  <c r="W41" i="4"/>
  <c r="M16" i="4" l="1"/>
  <c r="M17" i="4" s="1"/>
  <c r="Y40" i="4"/>
  <c r="Z24" i="4"/>
  <c r="Z23" i="4"/>
  <c r="X41" i="4"/>
  <c r="Y41" i="4" s="1"/>
  <c r="AA21" i="4"/>
  <c r="Z8" i="4"/>
  <c r="Z11" i="4"/>
  <c r="Z20" i="4" s="1"/>
  <c r="Z5" i="4"/>
  <c r="X28" i="4"/>
  <c r="Y31" i="4"/>
  <c r="Y25" i="4"/>
  <c r="Y26" i="4" s="1"/>
  <c r="Z9" i="4"/>
  <c r="Y14" i="4"/>
  <c r="M19" i="4" l="1"/>
  <c r="M22" i="4" s="1"/>
  <c r="M34" i="4" s="1"/>
  <c r="M29" i="4"/>
  <c r="M30" i="4"/>
  <c r="M32" i="4" s="1"/>
  <c r="Z40" i="4"/>
  <c r="AA9" i="4" s="1"/>
  <c r="AA24" i="4"/>
  <c r="AA23" i="4"/>
  <c r="Y12" i="4"/>
  <c r="Z25" i="4"/>
  <c r="Z26" i="4" s="1"/>
  <c r="Z31" i="4"/>
  <c r="Z14" i="4"/>
  <c r="AB21" i="4"/>
  <c r="AA8" i="4"/>
  <c r="AA11" i="4"/>
  <c r="AA20" i="4" s="1"/>
  <c r="AA5" i="4"/>
  <c r="Z41" i="4"/>
  <c r="M35" i="4" l="1"/>
  <c r="M36" i="4" s="1"/>
  <c r="M43" i="4" s="1"/>
  <c r="N13" i="4" s="1"/>
  <c r="N15" i="4" s="1"/>
  <c r="Y44" i="4"/>
  <c r="Y28" i="4" s="1"/>
  <c r="AA40" i="4"/>
  <c r="AB9" i="4" s="1"/>
  <c r="AB24" i="4"/>
  <c r="AB23" i="4"/>
  <c r="Z12" i="4"/>
  <c r="Z44" i="4" s="1"/>
  <c r="AC21" i="4"/>
  <c r="AA14" i="4"/>
  <c r="AA12" i="4"/>
  <c r="AA44" i="4" s="1"/>
  <c r="AA25" i="4"/>
  <c r="AA26" i="4" s="1"/>
  <c r="AA31" i="4"/>
  <c r="AB11" i="4"/>
  <c r="AB20" i="4" s="1"/>
  <c r="AB8" i="4"/>
  <c r="AB5" i="4"/>
  <c r="N16" i="4" l="1"/>
  <c r="N17" i="4" s="1"/>
  <c r="AB40" i="4"/>
  <c r="AC23" i="4"/>
  <c r="AC24" i="4"/>
  <c r="Z28" i="4"/>
  <c r="AA28" i="4"/>
  <c r="AC9" i="4"/>
  <c r="AB12" i="4"/>
  <c r="AB44" i="4" s="1"/>
  <c r="AB14" i="4"/>
  <c r="AB31" i="4"/>
  <c r="AB25" i="4"/>
  <c r="AB26" i="4" s="1"/>
  <c r="AA41" i="4"/>
  <c r="AD21" i="4"/>
  <c r="AC8" i="4"/>
  <c r="AC5" i="4"/>
  <c r="AC11" i="4"/>
  <c r="AC20" i="4" s="1"/>
  <c r="N19" i="4" l="1"/>
  <c r="N22" i="4" s="1"/>
  <c r="N34" i="4" s="1"/>
  <c r="N29" i="4"/>
  <c r="N30" i="4"/>
  <c r="N32" i="4" s="1"/>
  <c r="AC40" i="4"/>
  <c r="AD23" i="4"/>
  <c r="AD24" i="4"/>
  <c r="AB28" i="4"/>
  <c r="AD11" i="4"/>
  <c r="AD20" i="4" s="1"/>
  <c r="AD5" i="4"/>
  <c r="AD8" i="4"/>
  <c r="AB41" i="4"/>
  <c r="AE21" i="4"/>
  <c r="AC12" i="4"/>
  <c r="AC44" i="4" s="1"/>
  <c r="AD9" i="4"/>
  <c r="AC25" i="4"/>
  <c r="AC26" i="4" s="1"/>
  <c r="AC31" i="4"/>
  <c r="AC14" i="4"/>
  <c r="N35" i="4" l="1"/>
  <c r="N36" i="4" s="1"/>
  <c r="N43" i="4" s="1"/>
  <c r="O13" i="4" s="1"/>
  <c r="O15" i="4" s="1"/>
  <c r="AD40" i="4"/>
  <c r="AE9" i="4" s="1"/>
  <c r="AE24" i="4"/>
  <c r="AE23" i="4"/>
  <c r="AF21" i="4"/>
  <c r="AC28" i="4"/>
  <c r="AE5" i="4"/>
  <c r="AE8" i="4"/>
  <c r="AE11" i="4"/>
  <c r="AE20" i="4" s="1"/>
  <c r="AC41" i="4"/>
  <c r="AD14" i="4"/>
  <c r="AD12" i="4"/>
  <c r="AD44" i="4" s="1"/>
  <c r="AD25" i="4"/>
  <c r="AD26" i="4" s="1"/>
  <c r="AD31" i="4"/>
  <c r="O16" i="4" l="1"/>
  <c r="O17" i="4" s="1"/>
  <c r="AE40" i="4"/>
  <c r="AF8" i="4"/>
  <c r="AF11" i="4"/>
  <c r="AF20" i="4" s="1"/>
  <c r="AF24" i="4"/>
  <c r="AF23" i="4"/>
  <c r="AG23" i="4" s="1"/>
  <c r="AF5" i="4"/>
  <c r="AE14" i="4"/>
  <c r="AD41" i="4"/>
  <c r="AE31" i="4"/>
  <c r="AE25" i="4"/>
  <c r="AE26" i="4" s="1"/>
  <c r="AF9" i="4"/>
  <c r="AG9" i="4" s="1"/>
  <c r="AD28" i="4"/>
  <c r="O19" i="4" l="1"/>
  <c r="O22" i="4" s="1"/>
  <c r="O34" i="4" s="1"/>
  <c r="O29" i="4"/>
  <c r="O30" i="4"/>
  <c r="AF40" i="4"/>
  <c r="AG40" i="4" s="1"/>
  <c r="AF14" i="4"/>
  <c r="AF31" i="4"/>
  <c r="AE41" i="4"/>
  <c r="AF25" i="4"/>
  <c r="AF26" i="4" s="1"/>
  <c r="AE12" i="4"/>
  <c r="AE44" i="4" s="1"/>
  <c r="O35" i="4" l="1"/>
  <c r="O36" i="4" s="1"/>
  <c r="O43" i="4" s="1"/>
  <c r="P13" i="4" s="1"/>
  <c r="P15" i="4" s="1"/>
  <c r="O32" i="4"/>
  <c r="AH24" i="4"/>
  <c r="AF12" i="4"/>
  <c r="AF44" i="4" s="1"/>
  <c r="AE28" i="4"/>
  <c r="AF41" i="4"/>
  <c r="AG41" i="4" s="1"/>
  <c r="P16" i="4" l="1"/>
  <c r="P17" i="4" s="1"/>
  <c r="AF28" i="4"/>
  <c r="P19" i="4" l="1"/>
  <c r="P22" i="4" s="1"/>
  <c r="P34" i="4" s="1"/>
  <c r="P30" i="4"/>
  <c r="P29" i="4"/>
  <c r="P35" i="4" l="1"/>
  <c r="P36" i="4" s="1"/>
  <c r="P43" i="4" s="1"/>
  <c r="Q13" i="4" s="1"/>
  <c r="Q15" i="4" s="1"/>
  <c r="P32" i="4"/>
  <c r="Q16" i="4" l="1"/>
  <c r="Q17" i="4" s="1"/>
  <c r="Q19" i="4" l="1"/>
  <c r="Q22" i="4" s="1"/>
  <c r="Q34" i="4" s="1"/>
  <c r="Q30" i="4"/>
  <c r="Q29" i="4"/>
  <c r="Q32" i="4" l="1"/>
  <c r="Q35" i="4"/>
  <c r="Q36" i="4" s="1"/>
  <c r="Q43" i="4" s="1"/>
  <c r="R13" i="4" s="1"/>
  <c r="R15" i="4" s="1"/>
  <c r="R16" i="4" l="1"/>
  <c r="R17" i="4" s="1"/>
  <c r="R19" i="4" l="1"/>
  <c r="R22" i="4" s="1"/>
  <c r="R34" i="4" s="1"/>
  <c r="R30" i="4"/>
  <c r="R29" i="4"/>
  <c r="R32" i="4" l="1"/>
  <c r="R35" i="4"/>
  <c r="R36" i="4" s="1"/>
  <c r="R43" i="4" s="1"/>
  <c r="S13" i="4" s="1"/>
  <c r="S15" i="4" s="1"/>
  <c r="S16" i="4" l="1"/>
  <c r="S17" i="4" s="1"/>
  <c r="S19" i="4" l="1"/>
  <c r="S22" i="4" s="1"/>
  <c r="S34" i="4" s="1"/>
  <c r="S30" i="4"/>
  <c r="S29" i="4"/>
  <c r="S32" i="4" l="1"/>
  <c r="S35" i="4"/>
  <c r="S36" i="4" s="1"/>
  <c r="S43" i="4" s="1"/>
  <c r="T13" i="4" s="1"/>
  <c r="T15" i="4" s="1"/>
  <c r="T16" i="4" l="1"/>
  <c r="T17" i="4" s="1"/>
  <c r="T19" i="4" l="1"/>
  <c r="T22" i="4" s="1"/>
  <c r="T34" i="4" s="1"/>
  <c r="T29" i="4"/>
  <c r="T30" i="4"/>
  <c r="T32" i="4" l="1"/>
  <c r="T35" i="4"/>
  <c r="T36" i="4" s="1"/>
  <c r="T43" i="4" s="1"/>
  <c r="U13" i="4" s="1"/>
  <c r="U15" i="4" s="1"/>
  <c r="U16" i="4" l="1"/>
  <c r="U17" i="4" s="1"/>
  <c r="U19" i="4" l="1"/>
  <c r="U22" i="4" s="1"/>
  <c r="U34" i="4" s="1"/>
  <c r="U29" i="4"/>
  <c r="U30" i="4"/>
  <c r="U35" i="4" l="1"/>
  <c r="U36" i="4" s="1"/>
  <c r="U43" i="4" s="1"/>
  <c r="V13" i="4" s="1"/>
  <c r="V15" i="4" s="1"/>
  <c r="U32" i="4"/>
  <c r="V16" i="4" l="1"/>
  <c r="V17" i="4" s="1"/>
  <c r="V19" i="4" l="1"/>
  <c r="V22" i="4" s="1"/>
  <c r="V34" i="4" s="1"/>
  <c r="V29" i="4"/>
  <c r="V30" i="4"/>
  <c r="V32" i="4" l="1"/>
  <c r="V35" i="4"/>
  <c r="V36" i="4" s="1"/>
  <c r="V43" i="4" s="1"/>
  <c r="W13" i="4" s="1"/>
  <c r="W15" i="4" s="1"/>
  <c r="W16" i="4" l="1"/>
  <c r="W17" i="4" s="1"/>
  <c r="W19" i="4" l="1"/>
  <c r="W22" i="4" s="1"/>
  <c r="W34" i="4" s="1"/>
  <c r="W30" i="4"/>
  <c r="W29" i="4"/>
  <c r="W32" i="4" l="1"/>
  <c r="W35" i="4"/>
  <c r="W36" i="4" s="1"/>
  <c r="W43" i="4" s="1"/>
  <c r="X13" i="4" s="1"/>
  <c r="X15" i="4" s="1"/>
  <c r="X16" i="4" l="1"/>
  <c r="X17" i="4" s="1"/>
  <c r="X19" i="4" l="1"/>
  <c r="X22" i="4" s="1"/>
  <c r="X34" i="4" s="1"/>
  <c r="X30" i="4"/>
  <c r="X29" i="4"/>
  <c r="X35" i="4" l="1"/>
  <c r="X36" i="4" s="1"/>
  <c r="X43" i="4" s="1"/>
  <c r="Y13" i="4" s="1"/>
  <c r="Y15" i="4" s="1"/>
  <c r="X32" i="4"/>
  <c r="Y16" i="4" l="1"/>
  <c r="Y17" i="4" s="1"/>
  <c r="Y19" i="4" l="1"/>
  <c r="Y22" i="4" s="1"/>
  <c r="Y34" i="4" s="1"/>
  <c r="Y30" i="4"/>
  <c r="Y29" i="4"/>
  <c r="Y32" i="4" l="1"/>
  <c r="Y35" i="4"/>
  <c r="Y36" i="4" s="1"/>
  <c r="Y43" i="4" s="1"/>
  <c r="Z13" i="4" s="1"/>
  <c r="Z15" i="4" s="1"/>
  <c r="Z16" i="4" l="1"/>
  <c r="Z17" i="4" s="1"/>
  <c r="Z19" i="4" l="1"/>
  <c r="Z22" i="4" s="1"/>
  <c r="Z34" i="4" s="1"/>
  <c r="Z29" i="4"/>
  <c r="Z30" i="4"/>
  <c r="Z35" i="4" l="1"/>
  <c r="Z36" i="4" s="1"/>
  <c r="Z43" i="4" s="1"/>
  <c r="AA13" i="4" s="1"/>
  <c r="AA15" i="4" s="1"/>
  <c r="Z32" i="4"/>
  <c r="AA16" i="4" l="1"/>
  <c r="AA17" i="4" s="1"/>
  <c r="AA19" i="4" l="1"/>
  <c r="AA22" i="4" s="1"/>
  <c r="AA34" i="4" s="1"/>
  <c r="AA29" i="4"/>
  <c r="AA30" i="4"/>
  <c r="AA32" i="4" l="1"/>
  <c r="AA35" i="4"/>
  <c r="AA36" i="4" s="1"/>
  <c r="AA43" i="4" s="1"/>
  <c r="AB13" i="4" s="1"/>
  <c r="AB15" i="4" s="1"/>
  <c r="AB16" i="4" l="1"/>
  <c r="AB17" i="4" s="1"/>
  <c r="AB19" i="4" l="1"/>
  <c r="AB22" i="4" s="1"/>
  <c r="AB34" i="4" s="1"/>
  <c r="AB29" i="4"/>
  <c r="AB30" i="4"/>
  <c r="AB35" i="4" l="1"/>
  <c r="AB36" i="4" s="1"/>
  <c r="AB43" i="4" s="1"/>
  <c r="AC13" i="4" s="1"/>
  <c r="AC15" i="4" s="1"/>
  <c r="AB32" i="4"/>
  <c r="AC16" i="4" l="1"/>
  <c r="AC17" i="4" s="1"/>
  <c r="AC19" i="4" l="1"/>
  <c r="AC22" i="4" s="1"/>
  <c r="AC34" i="4" s="1"/>
  <c r="AC29" i="4"/>
  <c r="AC30" i="4"/>
  <c r="AC35" i="4" l="1"/>
  <c r="AC36" i="4" s="1"/>
  <c r="AC43" i="4" s="1"/>
  <c r="AD13" i="4" s="1"/>
  <c r="AD15" i="4" s="1"/>
  <c r="AC32" i="4"/>
  <c r="AD16" i="4" l="1"/>
  <c r="AD17" i="4" s="1"/>
  <c r="AD19" i="4" l="1"/>
  <c r="AD22" i="4" s="1"/>
  <c r="AD34" i="4" s="1"/>
  <c r="AD29" i="4"/>
  <c r="AD30" i="4"/>
  <c r="AD32" i="4" l="1"/>
  <c r="AD35" i="4"/>
  <c r="AD36" i="4" s="1"/>
  <c r="AD43" i="4" s="1"/>
  <c r="AE13" i="4" s="1"/>
  <c r="AE15" i="4" s="1"/>
  <c r="AE16" i="4" l="1"/>
  <c r="AE17" i="4" s="1"/>
  <c r="AE19" i="4" l="1"/>
  <c r="AE22" i="4" s="1"/>
  <c r="AE34" i="4" s="1"/>
  <c r="AE29" i="4"/>
  <c r="AE30" i="4"/>
  <c r="AE35" i="4" l="1"/>
  <c r="AE36" i="4" s="1"/>
  <c r="AE43" i="4" s="1"/>
  <c r="AE32" i="4"/>
  <c r="AF13" i="4"/>
  <c r="AF15" i="4" s="1"/>
  <c r="AF16" i="4" l="1"/>
  <c r="AF17" i="4" s="1"/>
  <c r="AF19" i="4" l="1"/>
  <c r="AF22" i="4" s="1"/>
  <c r="AF34" i="4" s="1"/>
  <c r="D71" i="4" s="1"/>
  <c r="AF30" i="4"/>
  <c r="AF29" i="4"/>
  <c r="AF35" i="4" l="1"/>
  <c r="AF36" i="4" s="1"/>
  <c r="AF43" i="4" s="1"/>
  <c r="D70" i="4" s="1"/>
  <c r="AF32" i="4"/>
  <c r="D78" i="4" l="1"/>
  <c r="D72" i="4"/>
  <c r="E70" i="4" s="1"/>
  <c r="D77" i="4"/>
  <c r="D75" i="4" l="1"/>
  <c r="D80" i="4" s="1"/>
  <c r="E71" i="4"/>
  <c r="D74" i="4" l="1"/>
  <c r="J42" i="1" s="1"/>
  <c r="H40" i="1"/>
  <c r="E78" i="4"/>
  <c r="E77" i="4"/>
  <c r="C67" i="16"/>
  <c r="M48" i="1" s="1"/>
  <c r="M56" i="1" s="1"/>
  <c r="C63" i="17"/>
  <c r="C77" i="17"/>
  <c r="F53" i="1" s="1"/>
  <c r="C75" i="16"/>
  <c r="D77" i="17"/>
  <c r="F52" i="1" s="1"/>
  <c r="D75" i="16"/>
  <c r="E77" i="17"/>
  <c r="F51" i="1" s="1"/>
  <c r="E75" i="16"/>
  <c r="E63" i="17"/>
  <c r="E67" i="16"/>
  <c r="D63" i="17"/>
  <c r="D67" i="16"/>
  <c r="Q51" i="1" l="1"/>
  <c r="Q52" i="1"/>
  <c r="Q53" i="1"/>
  <c r="B77" i="17"/>
  <c r="F54" i="1" s="1"/>
  <c r="B75" i="16"/>
  <c r="C49" i="10"/>
  <c r="I49" i="10"/>
  <c r="B67" i="16"/>
  <c r="L48" i="1"/>
  <c r="L56" i="1"/>
  <c r="J49" i="10" l="1"/>
  <c r="Q54" i="1"/>
  <c r="F56" i="1" s="1"/>
  <c r="F57" i="1"/>
  <c r="F55" i="1"/>
  <c r="F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Pilar Barrocal Fortunato</author>
  </authors>
  <commentList>
    <comment ref="E41" authorId="0" shapeId="0" xr:uid="{E049BCEB-AB56-420C-8261-E3908355B0A2}">
      <text>
        <t>Maria Pilar Barrocal Fortunato:
trailing annual div yield</t>
      </text>
    </comment>
    <comment ref="E65" authorId="0" shapeId="0" xr:uid="{66D997F6-7C3C-4456-9F94-4048F10D9395}">
      <text>
        <t>Maria Pilar Barrocal Fortunato:
Incluir aqui short term investment?</t>
      </text>
    </comment>
    <comment ref="E73" authorId="0" shapeId="0" xr:uid="{9A1B1AA7-81C4-4FBA-8467-0CE74F24E157}">
      <text>
        <r>
          <rPr>
            <sz val="10"/>
            <rFont val="Arial"/>
            <family val="2"/>
          </rPr>
          <t xml:space="preserve">Maria Pilar Barrocal Fortunato:
devo incluir  os other lng term liabilities????? 
Aqui inclui debt e short term debt
Eles falam de leases mas não consta no balanço
</t>
        </r>
      </text>
    </comment>
    <comment ref="E74" authorId="0" shapeId="0" xr:uid="{EB0F1FDE-6CD7-4FB7-857F-B499D89781F6}">
      <text>
        <t xml:space="preserve">Maria Pilar Barrocal Fortunato:
Não incluí os INC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Damião Ribeiro</author>
    <author>Damião Carvalho Perdigão Gonçalves Ribeiro</author>
  </authors>
  <commentList>
    <comment ref="O23" authorId="0" shapeId="0" xr:uid="{4933DAFF-721E-4DD7-9652-E02D2A561EE8}">
      <text>
        <r>
          <rPr>
            <b/>
            <sz val="9"/>
            <color indexed="81"/>
            <rFont val="Tahoma"/>
            <family val="2"/>
          </rPr>
          <t>Damião Ribeiro:</t>
        </r>
        <r>
          <rPr>
            <sz val="9"/>
            <color indexed="81"/>
            <rFont val="Tahoma"/>
            <family val="2"/>
          </rPr>
          <t xml:space="preserve">
Average YoY Growth (Gross PPE)</t>
        </r>
      </text>
    </comment>
    <comment ref="P23" authorId="1" shapeId="0" xr:uid="{6E478CFC-98B1-491D-B9A2-4B23F33AC43B}">
      <text>
        <r>
          <rPr>
            <sz val="10"/>
            <rFont val="Arial"/>
            <family val="2"/>
          </rPr>
          <t>Damião Carvalho Perdigão Gonçalves Ribeiro:
Average YoY Growth (Gross PPE)</t>
        </r>
      </text>
    </comment>
    <comment ref="Q23" authorId="1" shapeId="0" xr:uid="{1EA63F23-E7A6-4972-8A14-A15EA6172957}">
      <text>
        <r>
          <rPr>
            <sz val="10"/>
            <rFont val="Arial"/>
            <family val="2"/>
          </rPr>
          <t>Damião Carvalho Perdigão Gonçalves Ribeiro:
Average YoY Growth (Gross PPE)</t>
        </r>
      </text>
    </comment>
    <comment ref="O25" authorId="0" shapeId="0" xr:uid="{07A694DB-1205-411E-9BB0-027D86C87314}">
      <text>
        <r>
          <rPr>
            <b/>
            <sz val="9"/>
            <color indexed="81"/>
            <rFont val="Tahoma"/>
            <family val="2"/>
          </rPr>
          <t>Damião Ribeiro:</t>
        </r>
        <r>
          <rPr>
            <sz val="9"/>
            <color indexed="81"/>
            <rFont val="Tahoma"/>
            <family val="2"/>
          </rPr>
          <t xml:space="preserve">
Average YoY Growth (Gross IA)</t>
        </r>
      </text>
    </comment>
    <comment ref="P25" authorId="1" shapeId="0" xr:uid="{73CD9603-F085-467F-BBA9-49CE7A829CFD}">
      <text>
        <r>
          <rPr>
            <sz val="10"/>
            <rFont val="Arial"/>
            <family val="2"/>
          </rPr>
          <t>Damião Carvalho Perdigão Gonçalves Ribeiro:
Average YoY Growth (Gross IA)</t>
        </r>
      </text>
    </comment>
    <comment ref="Q25" authorId="1" shapeId="0" xr:uid="{87DB85B0-C8E7-4E44-A787-C670A9DA7EB6}">
      <text>
        <r>
          <rPr>
            <sz val="10"/>
            <rFont val="Arial"/>
            <family val="2"/>
          </rPr>
          <t>Damião Carvalho Perdigão Gonçalves Ribeiro:
Average YoY Growth (Gross IA)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<sst xmlns="http://schemas.openxmlformats.org/spreadsheetml/2006/main" count="1818" uniqueCount="849">
  <si>
    <t>Team 1</t>
  </si>
  <si>
    <t>NYSE</t>
  </si>
  <si>
    <t xml:space="preserve">SIC: </t>
  </si>
  <si>
    <t>COMPANY DESCRIPTION</t>
  </si>
  <si>
    <t>CEO &amp; BOARD OF DIRECTORS</t>
  </si>
  <si>
    <t>Name</t>
  </si>
  <si>
    <t>Gender</t>
  </si>
  <si>
    <t>Age</t>
  </si>
  <si>
    <t>Tenure</t>
  </si>
  <si>
    <t>Executive?</t>
  </si>
  <si>
    <t>Other roles</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</si>
  <si>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</si>
  <si>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</si>
  <si>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</si>
  <si>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</si>
  <si>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</si>
  <si>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</si>
  <si>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</si>
  <si>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</si>
  <si>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</si>
  <si>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</si>
  <si>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</si>
  <si>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</si>
  <si>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</si>
  <si>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</si>
  <si>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</si>
  <si>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</si>
  <si>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</si>
  <si>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</si>
  <si>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</si>
  <si>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</si>
  <si>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</si>
  <si>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</si>
  <si>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</si>
  <si>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</si>
  <si>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</si>
  <si>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</si>
  <si>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</si>
  <si>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</si>
  <si>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</si>
  <si>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</si>
  <si>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</si>
  <si>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</si>
  <si>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</si>
  <si>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</si>
  <si>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</si>
  <si>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</si>
  <si>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</si>
  <si>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</si>
  <si>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</si>
  <si>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</si>
  <si>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</si>
  <si>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</si>
  <si>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</si>
  <si>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</si>
  <si>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</si>
  <si>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</si>
  <si>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</si>
  <si>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</si>
  <si>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</si>
  <si>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</si>
  <si>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</si>
  <si>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</si>
  <si>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</si>
  <si>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</si>
  <si>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</si>
  <si>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</si>
  <si>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</si>
  <si>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</si>
  <si>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</si>
  <si>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</si>
  <si>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</si>
  <si>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</si>
  <si>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</si>
  <si>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</si>
  <si>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</si>
  <si>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</si>
  <si>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Risks of Investment</t>
  </si>
  <si>
    <t>Price Target</t>
  </si>
  <si>
    <t>Valuation</t>
  </si>
  <si>
    <t>Risk</t>
  </si>
  <si>
    <t>Discount Rate</t>
  </si>
  <si>
    <t>Price M. Upside</t>
  </si>
  <si>
    <t>Upside</t>
  </si>
  <si>
    <t>EV M. Upside</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</si>
  <si>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</si>
  <si>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</si>
  <si>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</si>
  <si>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</si>
  <si>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</si>
  <si>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</si>
  <si>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</si>
  <si>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</si>
  <si>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</si>
  <si>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</si>
  <si>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</si>
  <si>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</si>
  <si>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</si>
  <si>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</si>
  <si>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</si>
  <si>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</si>
  <si>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</si>
  <si>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</si>
  <si>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</si>
  <si>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</si>
  <si>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</si>
  <si>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</si>
  <si>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</si>
  <si>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</si>
  <si>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</si>
  <si>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</si>
  <si>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</si>
  <si>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</si>
  <si>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</si>
  <si>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t>Opportunities</t>
  </si>
  <si>
    <t>Risks</t>
  </si>
  <si>
    <t>NOTES</t>
  </si>
  <si>
    <t>STOCK PERFORMANCE (5 years)</t>
  </si>
  <si>
    <t>Products</t>
  </si>
  <si>
    <t>Nominal value</t>
  </si>
  <si>
    <t>YoY Growth</t>
  </si>
  <si>
    <t>Weight</t>
  </si>
  <si>
    <t>Region</t>
  </si>
  <si>
    <t>United States</t>
  </si>
  <si>
    <t>Japan</t>
  </si>
  <si>
    <t>China (including Hong Kong)</t>
  </si>
  <si>
    <t>Singapore</t>
  </si>
  <si>
    <t>Europe</t>
  </si>
  <si>
    <t>Taiwan</t>
  </si>
  <si>
    <t>Other countries</t>
  </si>
  <si>
    <t>TOTAL</t>
  </si>
  <si>
    <t>Category</t>
  </si>
  <si>
    <t>Data Center</t>
  </si>
  <si>
    <t>Client</t>
  </si>
  <si>
    <t>Gaming</t>
  </si>
  <si>
    <t>Embedded</t>
  </si>
  <si>
    <t>Description</t>
  </si>
  <si>
    <t>Graphs</t>
  </si>
  <si>
    <t xml:space="preserve">Data Center segment offers products for data center market to address the computational, visual data processing and AI workload acceleration needs. Data centers require high performance, energy efficient, scalable and adaptable compute engines to meet the demand driven by the growing amount of data. Products are Server CPU, Data Center GPUs, FPGAs and Adaptive SoCs, and DPUs.
</t>
  </si>
  <si>
    <t>Industry</t>
  </si>
  <si>
    <t>Graphs (Industry Forecasts)</t>
  </si>
  <si>
    <t>Drivers</t>
  </si>
  <si>
    <t>Sales forecast</t>
  </si>
  <si>
    <t>Source</t>
  </si>
  <si>
    <t>Market Growth CAGR</t>
  </si>
  <si>
    <t>Period</t>
  </si>
  <si>
    <t>Average</t>
  </si>
  <si>
    <t>Company's Strategy / Extra Notes</t>
  </si>
  <si>
    <t>Invertir</t>
  </si>
  <si>
    <t>NO invertir</t>
  </si>
  <si>
    <t>Mantener sin elevar posición</t>
  </si>
  <si>
    <t>Mantener (y seguir comprando)</t>
  </si>
  <si>
    <t>Liquidar</t>
  </si>
  <si>
    <t>PENDIENTE</t>
  </si>
  <si>
    <t>Peer Logo</t>
  </si>
  <si>
    <t>Peer Name</t>
  </si>
  <si>
    <t>nvidia</t>
  </si>
  <si>
    <r>
      <t>Intel Corporation</t>
    </r>
    <r>
      <rPr>
        <sz val="11"/>
        <color rgb="FF202122"/>
        <rFont val="Arial"/>
        <charset val="1"/>
      </rPr>
      <t> is an American </t>
    </r>
    <r>
      <rPr>
        <sz val="11"/>
        <color rgb="FF3366CC"/>
        <rFont val="Arial"/>
        <charset val="1"/>
      </rPr>
      <t>multinational corporation</t>
    </r>
    <r>
      <rPr>
        <sz val="11"/>
        <color rgb="FF202122"/>
        <rFont val="Arial"/>
        <charset val="1"/>
      </rPr>
      <t> and </t>
    </r>
    <r>
      <rPr>
        <sz val="11"/>
        <color rgb="FF3366CC"/>
        <rFont val="Arial"/>
        <charset val="1"/>
      </rPr>
      <t>technology company</t>
    </r>
    <r>
      <rPr>
        <sz val="11"/>
        <color rgb="FF202122"/>
        <rFont val="Arial"/>
        <charset val="1"/>
      </rPr>
      <t> headquartered in </t>
    </r>
    <r>
      <rPr>
        <sz val="11"/>
        <color rgb="FF3366CC"/>
        <rFont val="Arial"/>
        <charset val="1"/>
      </rPr>
      <t>Santa Clara, California</t>
    </r>
    <r>
      <rPr>
        <sz val="11"/>
        <color rgb="FF202122"/>
        <rFont val="Arial"/>
        <charset val="1"/>
      </rPr>
      <t>, and </t>
    </r>
    <r>
      <rPr>
        <sz val="11"/>
        <color rgb="FF3366CC"/>
        <rFont val="Arial"/>
        <charset val="1"/>
      </rPr>
      <t>incorporated in Delaware</t>
    </r>
    <r>
      <rPr>
        <sz val="11"/>
        <color rgb="FF202122"/>
        <rFont val="Arial"/>
        <charset val="1"/>
      </rPr>
      <t>.</t>
    </r>
    <r>
      <rPr>
        <vertAlign val="superscript"/>
        <sz val="8"/>
        <color rgb="FF3366CC"/>
        <rFont val="Arial"/>
        <charset val="1"/>
      </rPr>
      <t>[3]</t>
    </r>
    <r>
      <rPr>
        <sz val="11"/>
        <color rgb="FF202122"/>
        <rFont val="Arial"/>
        <charset val="1"/>
      </rPr>
      <t> Intel is one of the world's largest </t>
    </r>
    <r>
      <rPr>
        <sz val="11"/>
        <color rgb="FF3366CC"/>
        <rFont val="Arial"/>
        <charset val="1"/>
      </rPr>
      <t>semiconductor chip</t>
    </r>
    <r>
      <rPr>
        <sz val="11"/>
        <color rgb="FF202122"/>
        <rFont val="Arial"/>
        <charset val="1"/>
      </rPr>
      <t> manufacturers by revenue</t>
    </r>
    <r>
      <rPr>
        <vertAlign val="superscript"/>
        <sz val="8"/>
        <color rgb="FF3366CC"/>
        <rFont val="Arial"/>
        <charset val="1"/>
      </rPr>
      <t>[4][5]</t>
    </r>
    <r>
      <rPr>
        <sz val="11"/>
        <color rgb="FF202122"/>
        <rFont val="Arial"/>
        <charset val="1"/>
      </rPr>
      <t> and ranked in the </t>
    </r>
    <r>
      <rPr>
        <i/>
        <sz val="11"/>
        <color rgb="FF3366CC"/>
        <rFont val="Arial"/>
        <charset val="1"/>
      </rPr>
      <t>Fortune</t>
    </r>
    <r>
      <rPr>
        <sz val="11"/>
        <color rgb="FF3366CC"/>
        <rFont val="Arial"/>
        <charset val="1"/>
      </rPr>
      <t> 500</t>
    </r>
    <r>
      <rPr>
        <sz val="11"/>
        <color rgb="FF202122"/>
        <rFont val="Arial"/>
        <charset val="1"/>
      </rPr>
      <t> list of the largest United States corporations by revenue for nearly a decade, from 2007 to 2016 fiscal years, until it was removed from the ranking in 2018.</t>
    </r>
    <r>
      <rPr>
        <vertAlign val="superscript"/>
        <sz val="8"/>
        <color rgb="FF3366CC"/>
        <rFont val="Arial"/>
        <charset val="1"/>
      </rPr>
      <t>[6]</t>
    </r>
    <r>
      <rPr>
        <sz val="11"/>
        <color rgb="FF202122"/>
        <rFont val="Arial"/>
        <charset val="1"/>
      </rPr>
      <t> In 2020, it was reinstated and ranked 45th, being the </t>
    </r>
    <r>
      <rPr>
        <sz val="11"/>
        <color rgb="FF3366CC"/>
        <rFont val="Arial"/>
        <charset val="1"/>
      </rPr>
      <t>7th-largest technology company in the ranking</t>
    </r>
    <r>
      <rPr>
        <sz val="11"/>
        <color rgb="FF202122"/>
        <rFont val="Arial"/>
        <charset val="1"/>
      </rPr>
      <t>.</t>
    </r>
  </si>
  <si>
    <t>intel</t>
  </si>
  <si>
    <r>
      <t>Intel supplies </t>
    </r>
    <r>
      <rPr>
        <sz val="11"/>
        <color rgb="FF3366CC"/>
        <rFont val="Arial"/>
        <charset val="1"/>
      </rPr>
      <t>microprocessors</t>
    </r>
    <r>
      <rPr>
        <sz val="11"/>
        <color rgb="FF202122"/>
        <rFont val="Arial"/>
        <charset val="1"/>
      </rPr>
      <t> for most manufacturers of computer systems, and is one of the developers of the </t>
    </r>
    <r>
      <rPr>
        <sz val="11"/>
        <color rgb="FF3366CC"/>
        <rFont val="Arial"/>
        <charset val="1"/>
      </rPr>
      <t>x86</t>
    </r>
    <r>
      <rPr>
        <sz val="11"/>
        <color rgb="FF202122"/>
        <rFont val="Arial"/>
        <charset val="1"/>
      </rPr>
      <t> series of instruction sets found in most </t>
    </r>
    <r>
      <rPr>
        <sz val="11"/>
        <color rgb="FF3366CC"/>
        <rFont val="Arial"/>
        <charset val="1"/>
      </rPr>
      <t>personal computers</t>
    </r>
    <r>
      <rPr>
        <sz val="11"/>
        <color rgb="FF202122"/>
        <rFont val="Arial"/>
        <charset val="1"/>
      </rPr>
      <t> (PCs). It also manufactures </t>
    </r>
    <r>
      <rPr>
        <sz val="11"/>
        <color rgb="FF3366CC"/>
        <rFont val="Arial"/>
        <charset val="1"/>
      </rPr>
      <t>chipsets</t>
    </r>
    <r>
      <rPr>
        <sz val="11"/>
        <color rgb="FF202122"/>
        <rFont val="Arial"/>
        <charset val="1"/>
      </rPr>
      <t>, </t>
    </r>
    <r>
      <rPr>
        <sz val="11"/>
        <color rgb="FF3366CC"/>
        <rFont val="Arial"/>
        <charset val="1"/>
      </rPr>
      <t>network interface controllers</t>
    </r>
    <r>
      <rPr>
        <sz val="11"/>
        <color rgb="FF202122"/>
        <rFont val="Arial"/>
        <charset val="1"/>
      </rPr>
      <t>, </t>
    </r>
    <r>
      <rPr>
        <sz val="11"/>
        <color rgb="FF3366CC"/>
        <rFont val="Arial"/>
        <charset val="1"/>
      </rPr>
      <t>flash memory</t>
    </r>
    <r>
      <rPr>
        <sz val="11"/>
        <color rgb="FF202122"/>
        <rFont val="Arial"/>
        <charset val="1"/>
      </rPr>
      <t>, </t>
    </r>
    <r>
      <rPr>
        <sz val="11"/>
        <color rgb="FF3366CC"/>
        <rFont val="Arial"/>
        <charset val="1"/>
      </rPr>
      <t>graphics processing units</t>
    </r>
    <r>
      <rPr>
        <sz val="11"/>
        <color rgb="FF202122"/>
        <rFont val="Arial"/>
        <charset val="1"/>
      </rPr>
      <t> (GPUs), </t>
    </r>
    <r>
      <rPr>
        <sz val="11"/>
        <color rgb="FF3366CC"/>
        <rFont val="Arial"/>
        <charset val="1"/>
      </rPr>
      <t>field-programmable gate arrays</t>
    </r>
    <r>
      <rPr>
        <sz val="11"/>
        <color rgb="FF202122"/>
        <rFont val="Arial"/>
        <charset val="1"/>
      </rPr>
      <t> (FPGAs), and other devices related to communications and computing. Intel has a strong presence in the high-performance general-purpose and </t>
    </r>
    <r>
      <rPr>
        <sz val="11"/>
        <color rgb="FF3366CC"/>
        <rFont val="Arial"/>
        <charset val="1"/>
      </rPr>
      <t>gaming PC</t>
    </r>
    <r>
      <rPr>
        <sz val="11"/>
        <color rgb="FF202122"/>
        <rFont val="Arial"/>
        <charset val="1"/>
      </rPr>
      <t> market with its </t>
    </r>
    <r>
      <rPr>
        <sz val="11"/>
        <color rgb="FF3366CC"/>
        <rFont val="Arial"/>
        <charset val="1"/>
      </rPr>
      <t>Intel Core</t>
    </r>
    <r>
      <rPr>
        <sz val="11"/>
        <color rgb="FF202122"/>
        <rFont val="Arial"/>
        <charset val="1"/>
      </rPr>
      <t> line of CPUs, whose high-end models are among the fastest consumer CPUs, as well as its </t>
    </r>
    <r>
      <rPr>
        <sz val="11"/>
        <color rgb="FF3366CC"/>
        <rFont val="Arial"/>
        <charset val="1"/>
      </rPr>
      <t>Intel Arc</t>
    </r>
    <r>
      <rPr>
        <sz val="11"/>
        <color rgb="FF202122"/>
        <rFont val="Arial"/>
        <charset val="1"/>
      </rPr>
      <t> series of GPUs, and sponsors the </t>
    </r>
    <r>
      <rPr>
        <sz val="11"/>
        <color rgb="FF3366CC"/>
        <rFont val="Arial"/>
        <charset val="1"/>
      </rPr>
      <t>Intel Extreme Masters</t>
    </r>
    <r>
      <rPr>
        <sz val="11"/>
        <color rgb="FF202122"/>
        <rFont val="Arial"/>
        <charset val="1"/>
      </rPr>
      <t>, a series of international </t>
    </r>
    <r>
      <rPr>
        <sz val="11"/>
        <color rgb="FF3366CC"/>
        <rFont val="Arial"/>
        <charset val="1"/>
      </rPr>
      <t>esports</t>
    </r>
    <r>
      <rPr>
        <sz val="11"/>
        <color rgb="FF202122"/>
        <rFont val="Arial"/>
        <charset val="1"/>
      </rPr>
      <t> tournaments. The Open Source Technology Center at Intel hosts </t>
    </r>
    <r>
      <rPr>
        <sz val="11"/>
        <color rgb="FF3366CC"/>
        <rFont val="Arial"/>
        <charset val="1"/>
      </rPr>
      <t>PowerTOP</t>
    </r>
    <r>
      <rPr>
        <sz val="11"/>
        <color rgb="FF202122"/>
        <rFont val="Arial"/>
        <charset val="1"/>
      </rPr>
      <t> and </t>
    </r>
    <r>
      <rPr>
        <sz val="11"/>
        <color rgb="FF3366CC"/>
        <rFont val="Arial"/>
        <charset val="1"/>
      </rPr>
      <t>LatencyTOP</t>
    </r>
    <r>
      <rPr>
        <sz val="11"/>
        <color rgb="FF202122"/>
        <rFont val="Arial"/>
        <charset val="1"/>
      </rPr>
      <t>, and supports other open source projects such as </t>
    </r>
    <r>
      <rPr>
        <sz val="11"/>
        <color rgb="FF3366CC"/>
        <rFont val="Arial"/>
        <charset val="1"/>
      </rPr>
      <t>Wayland</t>
    </r>
    <r>
      <rPr>
        <sz val="11"/>
        <color rgb="FF202122"/>
        <rFont val="Arial"/>
        <charset val="1"/>
      </rPr>
      <t>, </t>
    </r>
    <r>
      <rPr>
        <sz val="11"/>
        <color rgb="FF3366CC"/>
        <rFont val="Arial"/>
        <charset val="1"/>
      </rPr>
      <t>Mesa</t>
    </r>
    <r>
      <rPr>
        <sz val="11"/>
        <color rgb="FF202122"/>
        <rFont val="Arial"/>
        <charset val="1"/>
      </rPr>
      <t>, </t>
    </r>
    <r>
      <rPr>
        <sz val="11"/>
        <color rgb="FF3366CC"/>
        <rFont val="Arial"/>
        <charset val="1"/>
      </rPr>
      <t>Threading Building Blocks</t>
    </r>
    <r>
      <rPr>
        <sz val="11"/>
        <color rgb="FF202122"/>
        <rFont val="Arial"/>
        <charset val="1"/>
      </rPr>
      <t> (TBB), and </t>
    </r>
    <r>
      <rPr>
        <sz val="11"/>
        <color rgb="FF3366CC"/>
        <rFont val="Arial"/>
        <charset val="1"/>
      </rPr>
      <t>Xen</t>
    </r>
    <r>
      <rPr>
        <sz val="11"/>
        <color rgb="FF202122"/>
        <rFont val="Arial"/>
        <charset val="1"/>
      </rPr>
      <t>.</t>
    </r>
    <r>
      <rPr>
        <vertAlign val="superscript"/>
        <sz val="8"/>
        <color rgb="FF3366CC"/>
        <rFont val="Arial"/>
        <charset val="1"/>
      </rPr>
      <t>[7]</t>
    </r>
  </si>
  <si>
    <r>
      <t>Intel (</t>
    </r>
    <r>
      <rPr>
        <i/>
        <sz val="11"/>
        <color rgb="FF202122"/>
        <rFont val="Arial"/>
        <charset val="1"/>
      </rPr>
      <t>Int</t>
    </r>
    <r>
      <rPr>
        <sz val="11"/>
        <color rgb="FF202122"/>
        <rFont val="Arial"/>
        <charset val="1"/>
      </rPr>
      <t>egrated </t>
    </r>
    <r>
      <rPr>
        <i/>
        <sz val="11"/>
        <color rgb="FF202122"/>
        <rFont val="Arial"/>
        <charset val="1"/>
      </rPr>
      <t>el</t>
    </r>
    <r>
      <rPr>
        <sz val="11"/>
        <color rgb="FF202122"/>
        <rFont val="Arial"/>
        <charset val="1"/>
      </rPr>
      <t>ectronics) was founded on July 18, 1968, by semiconductor pioneers </t>
    </r>
    <r>
      <rPr>
        <sz val="11"/>
        <color rgb="FF3366CC"/>
        <rFont val="Arial"/>
        <charset val="1"/>
      </rPr>
      <t>Gordon Moore</t>
    </r>
    <r>
      <rPr>
        <sz val="11"/>
        <color rgb="FF202122"/>
        <rFont val="Arial"/>
        <charset val="1"/>
      </rPr>
      <t> (of </t>
    </r>
    <r>
      <rPr>
        <sz val="11"/>
        <color rgb="FF3366CC"/>
        <rFont val="Arial"/>
        <charset val="1"/>
      </rPr>
      <t>Moore's law</t>
    </r>
    <r>
      <rPr>
        <sz val="11"/>
        <color rgb="FF202122"/>
        <rFont val="Arial"/>
        <charset val="1"/>
      </rPr>
      <t>) and </t>
    </r>
    <r>
      <rPr>
        <sz val="11"/>
        <color rgb="FF3366CC"/>
        <rFont val="Arial"/>
        <charset val="1"/>
      </rPr>
      <t>Robert Noyce</t>
    </r>
    <r>
      <rPr>
        <sz val="11"/>
        <color rgb="FF202122"/>
        <rFont val="Arial"/>
        <charset val="1"/>
      </rPr>
      <t>, along with investor </t>
    </r>
    <r>
      <rPr>
        <sz val="11"/>
        <color rgb="FF3366CC"/>
        <rFont val="Arial"/>
        <charset val="1"/>
      </rPr>
      <t>Arthur Rock</t>
    </r>
    <r>
      <rPr>
        <sz val="11"/>
        <color rgb="FF202122"/>
        <rFont val="Arial"/>
        <charset val="1"/>
      </rPr>
      <t>, and is associated with the executive leadership and vision of </t>
    </r>
    <r>
      <rPr>
        <sz val="11"/>
        <color rgb="FF3366CC"/>
        <rFont val="Arial"/>
        <charset val="1"/>
      </rPr>
      <t>Andrew Grove</t>
    </r>
    <r>
      <rPr>
        <sz val="11"/>
        <color rgb="FF202122"/>
        <rFont val="Arial"/>
        <charset val="1"/>
      </rPr>
      <t>.</t>
    </r>
    <r>
      <rPr>
        <vertAlign val="superscript"/>
        <sz val="8"/>
        <color rgb="FF3366CC"/>
        <rFont val="Arial"/>
        <charset val="1"/>
      </rPr>
      <t>[</t>
    </r>
  </si>
  <si>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</si>
  <si>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</si>
  <si>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</si>
  <si>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</si>
  <si>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</si>
  <si>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</si>
  <si>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</si>
  <si>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</si>
  <si>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</si>
  <si>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</si>
  <si>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</si>
  <si>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</si>
  <si>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</si>
  <si>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</si>
  <si>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</si>
  <si>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</si>
  <si>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</si>
  <si>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</si>
  <si>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</si>
  <si>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</si>
  <si>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</si>
  <si>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</si>
  <si>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</si>
  <si>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</si>
  <si>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</si>
  <si>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</si>
  <si>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</si>
  <si>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</si>
  <si>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</si>
  <si>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</si>
  <si>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</si>
  <si>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</si>
  <si>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</si>
  <si>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</si>
  <si>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</si>
  <si>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</si>
  <si>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</si>
  <si>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</si>
  <si>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</si>
  <si>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</si>
  <si>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</si>
  <si>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</si>
  <si>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</si>
  <si>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</si>
  <si>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</si>
  <si>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</si>
  <si>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</si>
  <si>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</si>
  <si>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</si>
  <si>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</si>
  <si>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</si>
  <si>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</si>
  <si>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</si>
  <si>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</si>
  <si>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</si>
  <si>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</si>
  <si>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</si>
  <si>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</si>
  <si>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</si>
  <si>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</si>
  <si>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</si>
  <si>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</si>
  <si>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</si>
  <si>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</si>
  <si>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</si>
  <si>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</si>
  <si>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</si>
  <si>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</si>
  <si>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</si>
  <si>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</si>
  <si>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</si>
  <si>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</si>
  <si>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</si>
  <si>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</si>
  <si>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</si>
  <si>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</si>
  <si>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</si>
  <si>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</si>
  <si>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EPS Growth (2019-2023)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</si>
  <si>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</si>
  <si>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</si>
  <si>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</si>
  <si>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</si>
  <si>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</si>
  <si>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</si>
  <si>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</si>
  <si>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</si>
  <si>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</si>
  <si>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</si>
  <si>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</si>
  <si>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</si>
  <si>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</si>
  <si>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</si>
  <si>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Benchmark</t>
  </si>
  <si>
    <t>Comparison</t>
  </si>
  <si>
    <t>Median</t>
  </si>
  <si>
    <t>Benchmark Data</t>
  </si>
  <si>
    <t>Price / Share</t>
  </si>
  <si>
    <t>Multiplier</t>
  </si>
  <si>
    <t># Shares</t>
  </si>
  <si>
    <t>-Debt + Cash</t>
  </si>
  <si>
    <t>By Consolidated Average</t>
  </si>
  <si>
    <t>Company GICS Sector:</t>
  </si>
  <si>
    <t>Yes</t>
  </si>
  <si>
    <t>Renewable Energy</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</si>
  <si>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</si>
  <si>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</si>
  <si>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</si>
  <si>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</si>
  <si>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</si>
  <si>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</si>
  <si>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</si>
  <si>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</si>
  <si>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</si>
  <si>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</si>
  <si>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</si>
  <si>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</si>
  <si>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</si>
  <si>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</si>
  <si>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</si>
  <si>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</si>
  <si>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CO2 Emissions/$M Sales</t>
  </si>
  <si>
    <t>Total Water Consumption</t>
  </si>
  <si>
    <t>Water Consumption/$M Sales</t>
  </si>
  <si>
    <t>Total Energy Consumption</t>
  </si>
  <si>
    <t>Energy Consumption/$M Sales</t>
  </si>
  <si>
    <t>Waste Management</t>
  </si>
  <si>
    <t>Waste Production/$M Sales</t>
  </si>
  <si>
    <t>Land Degradation/Deforestation/Biodiversity loss/Animal sufering/…</t>
  </si>
  <si>
    <t>Inputs</t>
  </si>
  <si>
    <t>Social</t>
  </si>
  <si>
    <t>Net Sales ($M)</t>
  </si>
  <si>
    <t>Employee Turnover %</t>
  </si>
  <si>
    <t>CO2 Emissions Total (Tonnes)</t>
  </si>
  <si>
    <t>Salaries &amp; Compensation</t>
  </si>
  <si>
    <t>Water Consumption Total (Cubic Meters)</t>
  </si>
  <si>
    <t>Reputation</t>
  </si>
  <si>
    <t>Energy Consumption Total (Gigajoules)</t>
  </si>
  <si>
    <t>Discrimination Events</t>
  </si>
  <si>
    <t>Waste Production Total (Tonnes)</t>
  </si>
  <si>
    <t>Work Safety</t>
  </si>
  <si>
    <t>ESG Scores</t>
  </si>
  <si>
    <t>Damage to consumer health</t>
  </si>
  <si>
    <t>Refinitiv</t>
  </si>
  <si>
    <t>PXP?</t>
  </si>
  <si>
    <t>Sustainalytics</t>
  </si>
  <si>
    <t>Supply chain</t>
  </si>
  <si>
    <t>ISS</t>
  </si>
  <si>
    <t>Community involvement</t>
  </si>
  <si>
    <t>CDP</t>
  </si>
  <si>
    <t>Public Sector</t>
  </si>
  <si>
    <t>Litigation</t>
  </si>
  <si>
    <t>Corporate Governance</t>
  </si>
  <si>
    <t>PARAMETERS</t>
  </si>
  <si>
    <t>Diversity (Gender, Age, Industry, Region)</t>
  </si>
  <si>
    <t>IMPACT</t>
  </si>
  <si>
    <t>RANKING</t>
  </si>
  <si>
    <t>MITIGATION PLAN</t>
  </si>
  <si>
    <t>% Independence</t>
  </si>
  <si>
    <t>Low</t>
  </si>
  <si>
    <t>"Best in class"</t>
  </si>
  <si>
    <t>Is there evidence of a plan/program ?</t>
  </si>
  <si>
    <t>average time as independent directors</t>
  </si>
  <si>
    <t>Medium</t>
  </si>
  <si>
    <t>Medium High</t>
  </si>
  <si>
    <t>Recent departures of directors / C-level executives?</t>
  </si>
  <si>
    <t>High</t>
  </si>
  <si>
    <t>CEO/Chairman duality</t>
  </si>
  <si>
    <t>Very high</t>
  </si>
  <si>
    <t>"Villain"</t>
  </si>
  <si>
    <t>Transparency (ESG, segments, acquisitions, other)</t>
  </si>
  <si>
    <t>Time taken to report after the end of the quarter / year</t>
  </si>
  <si>
    <t>Additional participation of the CEO in other boards or excessive participation of Ch.</t>
  </si>
  <si>
    <t>Audit / Consulting</t>
  </si>
  <si>
    <t>ESG-compensation related</t>
  </si>
  <si>
    <t>Management compensation schemes</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</si>
  <si>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</si>
  <si>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</si>
  <si>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</si>
  <si>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</si>
  <si>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</si>
  <si>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</si>
  <si>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</si>
  <si>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</si>
  <si>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</si>
  <si>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</si>
  <si>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</si>
  <si>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</si>
  <si>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</si>
  <si>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</si>
  <si>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</si>
  <si>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</si>
  <si>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</si>
  <si>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</si>
  <si>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</si>
  <si>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</si>
  <si>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</si>
  <si>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</si>
  <si>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</si>
  <si>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</si>
  <si>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</si>
  <si>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</si>
  <si>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</si>
  <si>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</si>
  <si>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</si>
  <si>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</si>
  <si>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</si>
  <si>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</si>
  <si>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</si>
  <si>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</si>
  <si>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</si>
  <si>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</si>
  <si>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</si>
  <si>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</si>
  <si>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</si>
  <si>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</si>
  <si>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</si>
  <si>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</si>
  <si>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</si>
  <si>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</si>
  <si>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</si>
  <si>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</si>
  <si>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</si>
  <si>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</si>
  <si>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</si>
  <si>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</si>
  <si>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</si>
  <si>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</si>
  <si>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</si>
  <si>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</si>
  <si>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</si>
  <si>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</si>
  <si>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</si>
  <si>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</si>
  <si>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</si>
  <si>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</si>
  <si>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</si>
  <si>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</si>
  <si>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</si>
  <si>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</si>
  <si>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Amortization factor</t>
  </si>
  <si>
    <t>Stock-based comp</t>
  </si>
  <si>
    <t>Tax Rate</t>
  </si>
  <si>
    <t>Interest Rate on debt</t>
  </si>
  <si>
    <t>Interest Rate on cash</t>
  </si>
  <si>
    <t>PPE+ROA</t>
  </si>
  <si>
    <t>Working capital flows</t>
  </si>
  <si>
    <t>Intangible Assets</t>
  </si>
  <si>
    <t>Capex</t>
  </si>
  <si>
    <t>Acquisition factor</t>
  </si>
  <si>
    <t>Repurchases</t>
  </si>
  <si>
    <t>Leases</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</si>
  <si>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</si>
  <si>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</si>
  <si>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</si>
  <si>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</si>
  <si>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</si>
  <si>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</si>
  <si>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</si>
  <si>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</si>
  <si>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</si>
  <si>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</si>
  <si>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</si>
  <si>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</si>
  <si>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</si>
  <si>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</si>
  <si>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</si>
  <si>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 xml:space="preserve">10Y Average </t>
  </si>
  <si>
    <t xml:space="preserve">5Y Average </t>
  </si>
  <si>
    <t xml:space="preserve">3Y Average </t>
  </si>
  <si>
    <t>Short Term Forecast</t>
  </si>
  <si>
    <t>Long Term Forecast</t>
  </si>
  <si>
    <t>Revenue growth</t>
  </si>
  <si>
    <t xml:space="preserve"> </t>
  </si>
  <si>
    <t>Modelling Factors</t>
  </si>
  <si>
    <t>Last 10 Years</t>
  </si>
  <si>
    <t>Reference</t>
  </si>
  <si>
    <t>% PPE</t>
  </si>
  <si>
    <t>% IA</t>
  </si>
  <si>
    <t>% Revenue</t>
  </si>
  <si>
    <t>% EBT</t>
  </si>
  <si>
    <t>% Debt</t>
  </si>
  <si>
    <t xml:space="preserve">% Cash </t>
  </si>
  <si>
    <t>- -</t>
  </si>
  <si>
    <t>Growing with CAPEX</t>
  </si>
  <si>
    <t xml:space="preserve">% Change in Revenues </t>
  </si>
  <si>
    <t>Growing with Amortization</t>
  </si>
  <si>
    <t xml:space="preserve">CAPEX </t>
  </si>
  <si>
    <t>% Net Income</t>
  </si>
  <si>
    <t>% EBITDA</t>
  </si>
  <si>
    <t xml:space="preserve">Market Value </t>
  </si>
  <si>
    <t>Revenue Projections</t>
  </si>
  <si>
    <t>Market Share</t>
  </si>
  <si>
    <t>Market Share Growth</t>
  </si>
  <si>
    <t>Outperformance</t>
  </si>
  <si>
    <t>2024E</t>
  </si>
  <si>
    <t>2024E (guidence)</t>
  </si>
  <si>
    <t>2025E</t>
  </si>
  <si>
    <t>2026E</t>
  </si>
  <si>
    <t>2027E</t>
  </si>
  <si>
    <t>2028E</t>
  </si>
  <si>
    <t>2029E</t>
  </si>
  <si>
    <t>2030E</t>
  </si>
  <si>
    <t>2031E</t>
  </si>
  <si>
    <t>2032E</t>
  </si>
  <si>
    <t>2033E</t>
  </si>
  <si>
    <t>2034E</t>
  </si>
  <si>
    <t>2035E</t>
  </si>
  <si>
    <t>2036E</t>
  </si>
  <si>
    <t>2037E</t>
  </si>
  <si>
    <t>2038E</t>
  </si>
  <si>
    <t>2039E</t>
  </si>
  <si>
    <t>2040E</t>
  </si>
  <si>
    <t>2041E</t>
  </si>
  <si>
    <t>2042E</t>
  </si>
  <si>
    <t>2043E</t>
  </si>
  <si>
    <t>2044E</t>
  </si>
  <si>
    <t>2045E</t>
  </si>
  <si>
    <t>2046E</t>
  </si>
  <si>
    <t>2047E</t>
  </si>
  <si>
    <t>2048E</t>
  </si>
  <si>
    <t>Historical Data</t>
  </si>
  <si>
    <t>Averages</t>
  </si>
  <si>
    <t>Short-term</t>
  </si>
  <si>
    <t>Medium-term</t>
  </si>
  <si>
    <t>Long-term</t>
  </si>
  <si>
    <t>Revenue</t>
  </si>
  <si>
    <t xml:space="preserve"> % of revenue</t>
  </si>
  <si>
    <t>Gross Profit</t>
  </si>
  <si>
    <t>Sales and marketing</t>
  </si>
  <si>
    <t>% of revenue</t>
  </si>
  <si>
    <t>General and admin</t>
  </si>
  <si>
    <t>Operating expenses</t>
  </si>
  <si>
    <t>Operational income (EBIT)</t>
  </si>
  <si>
    <t>4Y Average</t>
  </si>
  <si>
    <t>Amortization</t>
  </si>
  <si>
    <t>Tax</t>
  </si>
  <si>
    <t>Gross intangible assets</t>
  </si>
  <si>
    <t>Effective Tax Rate</t>
  </si>
  <si>
    <t xml:space="preserve">Gross Developed technology </t>
  </si>
  <si>
    <t>Gross Developed technology/Gross intangible assets</t>
  </si>
  <si>
    <t>Amortization/gross intangible assets</t>
  </si>
  <si>
    <t>Ratio average</t>
  </si>
  <si>
    <t>Changes in Operating assets and liabilities</t>
  </si>
  <si>
    <t>Accounts receivables</t>
  </si>
  <si>
    <t>Deferred costs</t>
  </si>
  <si>
    <t>Prepaids and other</t>
  </si>
  <si>
    <t>Accounts payable</t>
  </si>
  <si>
    <t>Accrued expenses</t>
  </si>
  <si>
    <t>Accrued payrolls</t>
  </si>
  <si>
    <t>Operating leasing liabilities</t>
  </si>
  <si>
    <t>Deferred revenue inflows</t>
  </si>
  <si>
    <t>Growth rate sensibility*</t>
  </si>
  <si>
    <t xml:space="preserve">Changes in NWC </t>
  </si>
  <si>
    <t>% of changes in revenue</t>
  </si>
  <si>
    <t xml:space="preserve">Depreciation </t>
  </si>
  <si>
    <t>Gross PPE</t>
  </si>
  <si>
    <t>Account with heighest weight</t>
  </si>
  <si>
    <t>Net PPE</t>
  </si>
  <si>
    <t>Net Hardware as % of net PPE</t>
  </si>
  <si>
    <t>Dep/Gross PPE ratio</t>
  </si>
  <si>
    <t>Growth vs. Previous year</t>
  </si>
  <si>
    <t>% over sales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</si>
  <si>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</si>
  <si>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</si>
  <si>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</si>
  <si>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</si>
  <si>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</si>
  <si>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</si>
  <si>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</si>
  <si>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</si>
  <si>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</si>
  <si>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</si>
  <si>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</si>
  <si>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</si>
  <si>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</si>
  <si>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</si>
  <si>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</si>
  <si>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</si>
  <si>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</si>
  <si>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</si>
  <si>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</si>
  <si>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</si>
  <si>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</si>
  <si>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</si>
  <si>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</si>
  <si>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</si>
  <si>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</si>
  <si>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</si>
  <si>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</si>
  <si>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</si>
  <si>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</si>
  <si>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</si>
  <si>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</si>
  <si>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</si>
  <si>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</si>
  <si>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</si>
  <si>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</si>
  <si>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</si>
  <si>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</si>
  <si>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</si>
  <si>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</si>
  <si>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</si>
  <si>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</si>
  <si>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</si>
  <si>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</si>
  <si>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</si>
  <si>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</si>
  <si>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</si>
  <si>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</si>
  <si>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</si>
  <si>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</si>
  <si>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</si>
  <si>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</si>
  <si>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</si>
  <si>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</si>
  <si>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</si>
  <si>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</si>
  <si>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</si>
  <si>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</si>
  <si>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</si>
  <si>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</si>
  <si>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</si>
  <si>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</si>
  <si>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</si>
  <si>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</si>
  <si>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</si>
  <si>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</si>
  <si>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</si>
  <si>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</si>
  <si>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</si>
  <si>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</si>
  <si>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</si>
  <si>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</si>
  <si>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</si>
  <si>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</si>
  <si>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</si>
  <si>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</si>
  <si>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</si>
  <si>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</si>
  <si>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</si>
  <si>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</si>
  <si>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</si>
  <si>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</si>
  <si>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</si>
  <si>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</si>
  <si>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</si>
  <si>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</si>
  <si>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</si>
  <si>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</si>
  <si>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</si>
  <si>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</si>
  <si>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</si>
  <si>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</si>
  <si>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</si>
  <si>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</si>
  <si>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</si>
  <si>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</si>
  <si>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</si>
  <si>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</si>
  <si>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</si>
  <si>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</si>
  <si>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</si>
  <si>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</si>
  <si>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</si>
  <si>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</si>
  <si>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</si>
  <si>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</si>
  <si>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</si>
  <si>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</si>
  <si>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</si>
  <si>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</si>
  <si>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</si>
  <si>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</si>
  <si>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</si>
  <si>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</si>
  <si>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</si>
  <si>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</si>
  <si>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</si>
  <si>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</si>
  <si>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</si>
  <si>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</si>
  <si>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</si>
  <si>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</si>
  <si>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</si>
  <si>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</si>
  <si>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</si>
  <si>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</si>
  <si>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</si>
  <si>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</si>
  <si>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</si>
  <si>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</si>
  <si>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</si>
  <si>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</si>
  <si>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</si>
  <si>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</si>
  <si>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</si>
  <si>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</si>
  <si>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</si>
  <si>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</si>
  <si>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</si>
  <si>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</si>
  <si>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</si>
  <si>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</si>
  <si>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</si>
  <si>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</si>
  <si>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</si>
  <si>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</si>
  <si>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</si>
  <si>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</si>
  <si>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</si>
  <si>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</si>
  <si>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</si>
  <si>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</si>
  <si>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</si>
  <si>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</si>
  <si>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</si>
  <si>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</si>
  <si>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</si>
  <si>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</si>
  <si>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</si>
  <si>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</si>
  <si>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</si>
  <si>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</si>
  <si>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</si>
  <si>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</si>
  <si>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</si>
  <si>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</si>
  <si>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</si>
  <si>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</si>
  <si>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</si>
  <si>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</si>
  <si>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</si>
  <si>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</si>
  <si>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</si>
  <si>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</si>
  <si>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</si>
  <si>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</si>
  <si>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</si>
  <si>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</si>
  <si>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</si>
  <si>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</si>
  <si>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</si>
  <si>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</si>
  <si>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</si>
  <si>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</si>
  <si>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</si>
  <si>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</si>
  <si>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</si>
  <si>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</si>
  <si>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</si>
  <si>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</si>
  <si>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</si>
  <si>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</si>
  <si>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</si>
  <si>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</si>
  <si>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</si>
  <si>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</si>
  <si>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</si>
  <si>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</si>
  <si>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</si>
  <si>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</si>
  <si>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</si>
  <si>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</si>
  <si>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</si>
  <si>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</si>
  <si>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</si>
  <si>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</si>
  <si>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</si>
  <si>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</si>
  <si>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</si>
  <si>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</si>
  <si>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</si>
  <si>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</si>
  <si>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</si>
  <si>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</si>
  <si>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</si>
  <si>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</si>
  <si>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</si>
  <si>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</si>
  <si>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</si>
  <si>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</si>
  <si>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</si>
  <si>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</si>
  <si>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</si>
  <si>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</si>
  <si>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</si>
  <si>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</si>
  <si>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</si>
  <si>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</si>
  <si>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</si>
  <si>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</si>
  <si>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</si>
  <si>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</si>
  <si>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</si>
  <si>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</si>
  <si>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</si>
  <si>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</si>
  <si>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</si>
  <si>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</si>
  <si>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</si>
  <si>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</si>
  <si>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</si>
  <si>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</si>
  <si>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</si>
  <si>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</si>
  <si>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</si>
  <si>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</si>
  <si>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</si>
  <si>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</si>
  <si>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</si>
  <si>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</si>
  <si>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</si>
  <si>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</si>
  <si>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</si>
  <si>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</si>
  <si>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</si>
  <si>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</si>
  <si>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</si>
  <si>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</si>
  <si>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</si>
  <si>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</si>
  <si>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</si>
  <si>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</si>
  <si>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</si>
  <si>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</si>
  <si>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</si>
  <si>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</si>
  <si>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</si>
  <si>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</si>
  <si>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</si>
  <si>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</si>
  <si>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</si>
  <si>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</si>
  <si>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</si>
  <si>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</si>
  <si>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</si>
  <si>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</si>
  <si>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</si>
  <si>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</si>
  <si>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</si>
  <si>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</si>
  <si>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</si>
  <si>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</si>
  <si>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A-</t>
  </si>
  <si>
    <t>Dividend Yield(Yahoo Finance)</t>
  </si>
  <si>
    <t>Yahoo Finance</t>
  </si>
  <si>
    <t>Interest Expense</t>
  </si>
  <si>
    <t>Derive interest rate from bonds current yields (weighted average)</t>
  </si>
  <si>
    <t>--</t>
  </si>
  <si>
    <t>Normalized Income Statement Financials</t>
  </si>
  <si>
    <t>Non Recurring Revenue (engineering fees)</t>
  </si>
  <si>
    <t>Adjusted Gross Income</t>
  </si>
  <si>
    <t>Selling/General/Admin. Expenses, Total</t>
  </si>
  <si>
    <t>Selling/General/Administrative Expense</t>
  </si>
  <si>
    <t>Labor &amp; Related Expense</t>
  </si>
  <si>
    <t>Advertising Expense</t>
  </si>
  <si>
    <t>Research &amp; Development</t>
  </si>
  <si>
    <t>Amortization of acquisiton related intangibles</t>
  </si>
  <si>
    <t>Unusual Expense (Income)</t>
  </si>
  <si>
    <t>Adjusted EBIT</t>
  </si>
  <si>
    <t>Investment Income - Operating</t>
  </si>
  <si>
    <t>Interest Expense, Net Non-Operating</t>
  </si>
  <si>
    <t>Interest Expense - Non-Operating</t>
  </si>
  <si>
    <t>Interest Capitalized - Non-Operating</t>
  </si>
  <si>
    <t>Interest/Invest Income - Non-Operating</t>
  </si>
  <si>
    <t>Interest Income - Non-Operating</t>
  </si>
  <si>
    <t>Investment Income - Non-Operating</t>
  </si>
  <si>
    <t>Interest Inc.(Exp.),Net-Non-Op., Total</t>
  </si>
  <si>
    <t>Gain (Loss) on Sale of Assets</t>
  </si>
  <si>
    <t>Other, Net</t>
  </si>
  <si>
    <t>Other Non-Operating Income (Expense)</t>
  </si>
  <si>
    <t>Normalized Income Before Taxes</t>
  </si>
  <si>
    <t>Effect of Special Items on Income Taxes</t>
  </si>
  <si>
    <t>Inc Tax Ex Impact of Sp Items</t>
  </si>
  <si>
    <t>Normalized Income After Taxes</t>
  </si>
  <si>
    <t>&lt;</t>
  </si>
  <si>
    <t>D&amp;A Expense (included in COGS)</t>
  </si>
  <si>
    <t>EBITDA (non GAAP)</t>
  </si>
  <si>
    <t xml:space="preserve"> Margin</t>
  </si>
  <si>
    <t xml:space="preserve"> YoY Growth</t>
  </si>
  <si>
    <t>Sales YoY Growth</t>
  </si>
  <si>
    <t>Gross Margin</t>
  </si>
  <si>
    <t>YoY Gross Income Growth</t>
  </si>
  <si>
    <t>YoY EBIT Growth</t>
  </si>
  <si>
    <t>EBT Margin</t>
  </si>
  <si>
    <t>YoY EBT Growth</t>
  </si>
  <si>
    <t>YoY Net Income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</si>
</sst>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quot;$&quot;* #,##0.00_-;\-&quot;$&quot;* #,##0.00_-;_-&quot;$&quot;* &quot;-&quot;??_-;_-@_-"/>
    <numFmt numFmtId="165" formatCode="&quot;$&quot;#,##0.00"/>
    <numFmt numFmtId="166" formatCode="&quot;$&quot;#,##0"/>
    <numFmt numFmtId="167" formatCode="0.0%"/>
    <numFmt numFmtId="168" formatCode="0.0"/>
    <numFmt numFmtId="169" formatCode="#,##0.0"/>
    <numFmt numFmtId="170" formatCode="[$$-409]#,##0.00_ ;\-[$$-409]#,##0.00\ "/>
    <numFmt numFmtId="171" formatCode="[$$-409]#,##0.00"/>
    <numFmt numFmtId="172" formatCode="[$$-409]#,##0"/>
    <numFmt numFmtId="173" formatCode="_-[$$-409]* #,##0.00_ ;_-[$$-409]* \-#,##0.00\ ;_-[$$-409]* &quot;-&quot;??_ ;_-@_ "/>
    <numFmt numFmtId="174" formatCode="0.000000"/>
    <numFmt numFmtId="175" formatCode="_([$$-409]* #,##0.00_);_([$$-409]* \(#,##0.00\);_([$$-409]* &quot;-&quot;??_);_(@_)"/>
    <numFmt numFmtId="176" formatCode="0.000%"/>
    <numFmt numFmtId="177" formatCode="_-* #,##0\ [$€-816]_-;\-* #,##0\ [$€-816]_-;_-* &quot;-&quot;??\ [$€-816]_-;_-@_-"/>
    <numFmt numFmtId="178" formatCode="0.000"/>
  </numFmts>
  <fonts count="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sz val="9"/>
      <color indexed="81"/>
      <name val="Tahoma"/>
      <family val="2"/>
    </font>
    <font>
      <b/>
      <sz val="9"/>
      <color indexed="81"/>
      <name val="Tahoma"/>
      <family val="2"/>
    </font>
    <font>
      <sz val="9"/>
      <color rgb="FF262626"/>
      <name val="Arial"/>
      <family val="2"/>
      <charset val="1"/>
    </font>
    <font>
      <b/>
      <sz val="11"/>
      <color rgb="FF000000"/>
      <name val="Aptos Narrow"/>
      <family val="2"/>
    </font>
    <font>
      <sz val="11"/>
      <color rgb="FF000000"/>
      <name val="Aptos Narrow"/>
      <family val="2"/>
    </font>
    <font>
      <b/>
      <sz val="11"/>
      <color rgb="FFFF0000"/>
      <name val="Aptos Narrow"/>
      <family val="2"/>
    </font>
    <font>
      <sz val="11"/>
      <color rgb="FFFF0000"/>
      <name val="Aptos Narrow"/>
      <family val="2"/>
    </font>
    <font>
      <sz val="12"/>
      <color rgb="FF000000"/>
      <name val="Calibri"/>
      <family val="2"/>
      <charset val="238"/>
    </font>
    <font>
      <sz val="10"/>
      <color rgb="FF000000"/>
      <name val="Times New Roman"/>
      <family val="1"/>
    </font>
    <font>
      <b/>
      <sz val="10"/>
      <color rgb="FF000000"/>
      <name val="Times New Roman"/>
      <family val="1"/>
    </font>
    <font>
      <sz val="11"/>
      <color rgb="FF202122"/>
      <name val="Arial"/>
      <charset val="1"/>
    </font>
    <font>
      <sz val="11"/>
      <color rgb="FF3366CC"/>
      <name val="Arial"/>
      <charset val="1"/>
    </font>
    <font>
      <vertAlign val="superscript"/>
      <sz val="8"/>
      <color rgb="FF3366CC"/>
      <name val="Arial"/>
      <charset val="1"/>
    </font>
    <font>
      <i/>
      <sz val="11"/>
      <color rgb="FF3366CC"/>
      <name val="Arial"/>
      <charset val="1"/>
    </font>
    <font>
      <b/>
      <sz val="11"/>
      <color rgb="FF202122"/>
      <name val="Arial"/>
      <charset val="1"/>
    </font>
    <font>
      <i/>
      <sz val="11"/>
      <color rgb="FF202122"/>
      <name val="Arial"/>
      <charset val="1"/>
    </font>
  </fonts>
  <fills count="59">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339966"/>
        <bgColor rgb="FF000000"/>
      </patternFill>
    </fill>
    <fill>
      <patternFill patternType="solid">
        <fgColor rgb="FF44B3E1"/>
        <bgColor rgb="FF000000"/>
      </patternFill>
    </fill>
    <fill>
      <patternFill patternType="solid">
        <fgColor rgb="FFC0E6F5"/>
        <bgColor rgb="FF000000"/>
      </patternFill>
    </fill>
    <fill>
      <patternFill patternType="solid">
        <fgColor rgb="FFF2CEEF"/>
        <bgColor rgb="FF000000"/>
      </patternFill>
    </fill>
    <fill>
      <patternFill patternType="solid">
        <fgColor rgb="FFFFFFFF"/>
        <bgColor rgb="FF000000"/>
      </patternFill>
    </fill>
    <fill>
      <patternFill patternType="solid">
        <fgColor rgb="FFCAEDFB"/>
        <bgColor rgb="FF000000"/>
      </patternFill>
    </fill>
    <fill>
      <patternFill patternType="solid">
        <fgColor rgb="FFD0D0D0"/>
        <bgColor rgb="FF000000"/>
      </patternFill>
    </fill>
    <fill>
      <patternFill patternType="solid">
        <fgColor rgb="FF8DB4E2"/>
        <bgColor rgb="FF000000"/>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C5D9F1"/>
        <bgColor rgb="FF000000"/>
      </patternFill>
    </fill>
    <fill>
      <patternFill patternType="solid">
        <fgColor rgb="FFF2F2F2"/>
        <bgColor rgb="FF000000"/>
      </patternFill>
    </fill>
  </fills>
  <borders count="278">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33">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69" fontId="11" fillId="3" borderId="4">
      <alignment horizontal="right"/>
    </xf>
    <xf numFmtId="4" fontId="11" fillId="3" borderId="4">
      <alignment horizontal="right"/>
    </xf>
    <xf numFmtId="0" fontId="18" fillId="3" borderId="6"/>
    <xf numFmtId="0" fontId="19" fillId="3" borderId="6"/>
    <xf numFmtId="0" fontId="10" fillId="0" borderId="0" applyNumberFormat="0" applyFill="0" applyBorder="0" applyAlignment="0" applyProtection="0">
      <alignment vertical="top"/>
      <protection locked="0"/>
    </xf>
    <xf numFmtId="164" fontId="21" fillId="0" borderId="0" applyFont="0" applyFill="0" applyBorder="0" applyAlignment="0" applyProtection="0"/>
    <xf numFmtId="164" fontId="12" fillId="0" borderId="0" applyFont="0" applyFill="0" applyBorder="0" applyAlignment="0" applyProtection="0"/>
    <xf numFmtId="0" fontId="23" fillId="0" borderId="0"/>
    <xf numFmtId="0" fontId="12" fillId="0" borderId="0"/>
    <xf numFmtId="9" fontId="8"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cellStyleXfs>
  <cellXfs count="1499">
    <xf numFmtId="0" fontId="0" fillId="0" borderId="0" xfId="0"/>
    <xf numFmtId="0" fontId="0" fillId="0" borderId="0" xfId="0" applyAlignment="1">
      <alignment horizontal="center"/>
    </xf>
    <xf numFmtId="166" fontId="0" fillId="0" borderId="0" xfId="0" applyNumberFormat="1"/>
    <xf numFmtId="0" fontId="13" fillId="0" borderId="0" xfId="0" applyFont="1" applyAlignment="1">
      <alignment horizontal="center"/>
    </xf>
    <xf numFmtId="0" fontId="25" fillId="0" borderId="0" xfId="0" applyFont="1"/>
    <xf numFmtId="0" fontId="15" fillId="0" borderId="19" xfId="0" applyFont="1" applyBorder="1"/>
    <xf numFmtId="0" fontId="13" fillId="0" borderId="22" xfId="0" applyFont="1" applyBorder="1" applyAlignment="1">
      <alignment horizontal="center"/>
    </xf>
    <xf numFmtId="0" fontId="22" fillId="0" borderId="0" xfId="0" applyFont="1"/>
    <xf numFmtId="0" fontId="8" fillId="0" borderId="0" xfId="0" applyFont="1"/>
    <xf numFmtId="0" fontId="8" fillId="0" borderId="19" xfId="0" applyFont="1" applyBorder="1"/>
    <xf numFmtId="0" fontId="8" fillId="0" borderId="19" xfId="0" applyFont="1" applyBorder="1" applyAlignment="1">
      <alignment horizontal="left"/>
    </xf>
    <xf numFmtId="0" fontId="13" fillId="0" borderId="0" xfId="0" applyFont="1"/>
    <xf numFmtId="166" fontId="13" fillId="0" borderId="0" xfId="0" applyNumberFormat="1" applyFont="1" applyAlignment="1">
      <alignment horizontal="center"/>
    </xf>
    <xf numFmtId="9" fontId="13" fillId="0" borderId="0" xfId="15" applyFont="1"/>
    <xf numFmtId="9" fontId="8" fillId="7" borderId="19" xfId="15" applyFont="1" applyFill="1" applyBorder="1" applyAlignment="1">
      <alignment horizontal="center"/>
    </xf>
    <xf numFmtId="10" fontId="8" fillId="7" borderId="19" xfId="0" applyNumberFormat="1" applyFont="1" applyFill="1" applyBorder="1" applyAlignment="1">
      <alignment horizontal="center"/>
    </xf>
    <xf numFmtId="0" fontId="8" fillId="7" borderId="26" xfId="0" applyFont="1" applyFill="1" applyBorder="1" applyAlignment="1">
      <alignment horizontal="center" vertical="center"/>
    </xf>
    <xf numFmtId="0" fontId="25" fillId="7" borderId="0" xfId="0" applyFont="1" applyFill="1"/>
    <xf numFmtId="0" fontId="31" fillId="0" borderId="0" xfId="0" applyFont="1"/>
    <xf numFmtId="0" fontId="25" fillId="7" borderId="0" xfId="0" applyFont="1" applyFill="1" applyAlignment="1">
      <alignment horizontal="center"/>
    </xf>
    <xf numFmtId="0" fontId="33" fillId="0" borderId="0" xfId="0" applyFont="1"/>
    <xf numFmtId="0" fontId="33" fillId="11" borderId="0" xfId="0" applyFont="1" applyFill="1"/>
    <xf numFmtId="3" fontId="33" fillId="0" borderId="0" xfId="0" applyNumberFormat="1" applyFont="1" applyAlignment="1">
      <alignment horizontal="center"/>
    </xf>
    <xf numFmtId="0" fontId="33" fillId="0" borderId="0" xfId="0" applyFont="1" applyAlignment="1">
      <alignment horizontal="left"/>
    </xf>
    <xf numFmtId="0" fontId="33" fillId="18" borderId="0" xfId="0" applyFont="1" applyFill="1"/>
    <xf numFmtId="3" fontId="33" fillId="18" borderId="0" xfId="0" applyNumberFormat="1" applyFont="1" applyFill="1" applyAlignment="1">
      <alignment horizontal="center"/>
    </xf>
    <xf numFmtId="0" fontId="0" fillId="11" borderId="0" xfId="0" applyFill="1"/>
    <xf numFmtId="3" fontId="33" fillId="0" borderId="0" xfId="0" applyNumberFormat="1" applyFont="1"/>
    <xf numFmtId="3" fontId="34" fillId="18" borderId="0" xfId="0" applyNumberFormat="1" applyFont="1" applyFill="1" applyAlignment="1">
      <alignment horizontal="center"/>
    </xf>
    <xf numFmtId="3" fontId="33" fillId="11" borderId="0" xfId="0" applyNumberFormat="1" applyFont="1" applyFill="1" applyAlignment="1">
      <alignment horizontal="center"/>
    </xf>
    <xf numFmtId="3" fontId="34" fillId="11" borderId="0" xfId="0" applyNumberFormat="1" applyFont="1" applyFill="1" applyAlignment="1">
      <alignment horizontal="center"/>
    </xf>
    <xf numFmtId="0" fontId="19" fillId="3" borderId="6" xfId="9"/>
    <xf numFmtId="0" fontId="0" fillId="19" borderId="0" xfId="0" applyFill="1"/>
    <xf numFmtId="3" fontId="22" fillId="0" borderId="0" xfId="0" applyNumberFormat="1" applyFont="1" applyAlignment="1">
      <alignment horizontal="center"/>
    </xf>
    <xf numFmtId="3" fontId="22" fillId="0" borderId="0" xfId="0" applyNumberFormat="1" applyFont="1"/>
    <xf numFmtId="0" fontId="0" fillId="20" borderId="0" xfId="0" applyFill="1"/>
    <xf numFmtId="3" fontId="22" fillId="18" borderId="0" xfId="0" applyNumberFormat="1" applyFont="1" applyFill="1" applyAlignment="1">
      <alignment horizontal="center"/>
    </xf>
    <xf numFmtId="0" fontId="22" fillId="18" borderId="0" xfId="0" applyFont="1" applyFill="1"/>
    <xf numFmtId="0" fontId="0" fillId="21" borderId="0" xfId="0" applyFill="1"/>
    <xf numFmtId="169" fontId="33" fillId="0" borderId="0" xfId="0" applyNumberFormat="1" applyFont="1" applyAlignment="1">
      <alignment horizontal="center"/>
    </xf>
    <xf numFmtId="9" fontId="0" fillId="7" borderId="19" xfId="15" applyFont="1" applyFill="1" applyBorder="1" applyAlignment="1">
      <alignment horizontal="center"/>
    </xf>
    <xf numFmtId="0" fontId="36" fillId="0" borderId="0" xfId="0" applyFont="1"/>
    <xf numFmtId="0" fontId="37" fillId="0" borderId="0" xfId="0" applyFont="1"/>
    <xf numFmtId="0" fontId="38" fillId="0" borderId="0" xfId="0" applyFont="1" applyAlignment="1">
      <alignment horizontal="center"/>
    </xf>
    <xf numFmtId="168" fontId="37" fillId="0" borderId="0" xfId="0" applyNumberFormat="1" applyFont="1" applyAlignment="1">
      <alignment horizontal="center"/>
    </xf>
    <xf numFmtId="0" fontId="39" fillId="0" borderId="0" xfId="0" applyFont="1"/>
    <xf numFmtId="0" fontId="40" fillId="0" borderId="0" xfId="0" applyFont="1"/>
    <xf numFmtId="0" fontId="0" fillId="0" borderId="12" xfId="0" applyBorder="1"/>
    <xf numFmtId="0" fontId="22" fillId="0" borderId="0" xfId="0" applyFont="1" applyAlignment="1">
      <alignment horizontal="center"/>
    </xf>
    <xf numFmtId="0" fontId="37" fillId="0" borderId="0" xfId="0" applyFont="1" applyAlignment="1">
      <alignment horizontal="center"/>
    </xf>
    <xf numFmtId="166" fontId="8" fillId="23" borderId="19" xfId="0" applyNumberFormat="1" applyFont="1" applyFill="1" applyBorder="1" applyAlignment="1">
      <alignment horizontal="center"/>
    </xf>
    <xf numFmtId="0" fontId="38" fillId="16" borderId="0" xfId="0" applyFont="1" applyFill="1" applyAlignment="1">
      <alignment horizontal="center"/>
    </xf>
    <xf numFmtId="3" fontId="0" fillId="24" borderId="1" xfId="0" applyNumberFormat="1" applyFill="1" applyBorder="1" applyAlignment="1">
      <alignment horizontal="center"/>
    </xf>
    <xf numFmtId="3" fontId="0" fillId="24" borderId="45" xfId="0" applyNumberFormat="1" applyFill="1" applyBorder="1" applyAlignment="1">
      <alignment horizontal="center"/>
    </xf>
    <xf numFmtId="167" fontId="13" fillId="25" borderId="1" xfId="15" applyNumberFormat="1" applyFont="1" applyFill="1" applyBorder="1" applyAlignment="1">
      <alignment horizontal="center"/>
    </xf>
    <xf numFmtId="167" fontId="13" fillId="25" borderId="45" xfId="15" applyNumberFormat="1" applyFont="1" applyFill="1" applyBorder="1" applyAlignment="1">
      <alignment horizontal="center"/>
    </xf>
    <xf numFmtId="3" fontId="0" fillId="24" borderId="1" xfId="15" applyNumberFormat="1" applyFont="1" applyFill="1" applyBorder="1" applyAlignment="1">
      <alignment horizontal="center"/>
    </xf>
    <xf numFmtId="3" fontId="0" fillId="24" borderId="45" xfId="15" applyNumberFormat="1" applyFont="1" applyFill="1" applyBorder="1" applyAlignment="1">
      <alignment horizontal="center"/>
    </xf>
    <xf numFmtId="3" fontId="13" fillId="26" borderId="1" xfId="15" applyNumberFormat="1" applyFont="1" applyFill="1" applyBorder="1" applyAlignment="1">
      <alignment horizontal="center"/>
    </xf>
    <xf numFmtId="3" fontId="0" fillId="0" borderId="0" xfId="0" applyNumberFormat="1" applyAlignment="1">
      <alignment horizontal="center"/>
    </xf>
    <xf numFmtId="169" fontId="33" fillId="18" borderId="0" xfId="0" applyNumberFormat="1" applyFont="1" applyFill="1" applyAlignment="1">
      <alignment horizontal="center"/>
    </xf>
    <xf numFmtId="0" fontId="33" fillId="18" borderId="0" xfId="0" applyFont="1" applyFill="1" applyAlignment="1">
      <alignment horizontal="center"/>
    </xf>
    <xf numFmtId="167" fontId="33" fillId="18" borderId="0" xfId="0" applyNumberFormat="1" applyFont="1" applyFill="1" applyAlignment="1">
      <alignment horizontal="center"/>
    </xf>
    <xf numFmtId="9" fontId="33" fillId="0" borderId="0" xfId="15" applyFont="1" applyFill="1" applyAlignment="1">
      <alignment horizontal="center"/>
    </xf>
    <xf numFmtId="167" fontId="33" fillId="0" borderId="0" xfId="15" applyNumberFormat="1" applyFont="1" applyFill="1" applyAlignment="1">
      <alignment horizontal="center"/>
    </xf>
    <xf numFmtId="9" fontId="33" fillId="0" borderId="0" xfId="21" applyFont="1" applyFill="1" applyAlignment="1">
      <alignment horizontal="center"/>
    </xf>
    <xf numFmtId="171" fontId="8" fillId="23" borderId="19" xfId="0" applyNumberFormat="1" applyFont="1" applyFill="1" applyBorder="1" applyAlignment="1">
      <alignment horizontal="center"/>
    </xf>
    <xf numFmtId="167" fontId="31" fillId="23" borderId="19" xfId="15" applyNumberFormat="1" applyFont="1" applyFill="1" applyBorder="1" applyAlignment="1">
      <alignment horizontal="center"/>
    </xf>
    <xf numFmtId="0" fontId="13" fillId="0" borderId="37" xfId="0" applyFont="1" applyBorder="1"/>
    <xf numFmtId="0" fontId="17" fillId="4" borderId="8" xfId="4" applyFill="1" applyBorder="1" applyAlignment="1"/>
    <xf numFmtId="0" fontId="8" fillId="0" borderId="0" xfId="25"/>
    <xf numFmtId="0" fontId="26" fillId="4" borderId="7" xfId="25" applyFont="1" applyFill="1" applyBorder="1" applyAlignment="1">
      <alignment horizontal="center"/>
    </xf>
    <xf numFmtId="0" fontId="26" fillId="4" borderId="11" xfId="25" applyFont="1" applyFill="1" applyBorder="1" applyAlignment="1">
      <alignment horizontal="center"/>
    </xf>
    <xf numFmtId="0" fontId="28" fillId="3" borderId="10" xfId="9" applyFont="1" applyBorder="1"/>
    <xf numFmtId="0" fontId="8" fillId="0" borderId="0" xfId="25" applyAlignment="1">
      <alignment vertical="center"/>
    </xf>
    <xf numFmtId="0" fontId="28" fillId="3" borderId="13" xfId="9" applyFont="1" applyBorder="1"/>
    <xf numFmtId="0" fontId="28" fillId="0" borderId="10" xfId="9" applyFont="1" applyFill="1" applyBorder="1"/>
    <xf numFmtId="0" fontId="26" fillId="28" borderId="0" xfId="25" applyFont="1" applyFill="1" applyAlignment="1">
      <alignment horizontal="center" vertical="center"/>
    </xf>
    <xf numFmtId="0" fontId="27" fillId="0" borderId="9" xfId="8" applyFont="1" applyFill="1" applyBorder="1"/>
    <xf numFmtId="0" fontId="19" fillId="3" borderId="13" xfId="9" applyBorder="1"/>
    <xf numFmtId="0" fontId="19" fillId="3" borderId="10" xfId="9" applyBorder="1"/>
    <xf numFmtId="0" fontId="25" fillId="0" borderId="0" xfId="25"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4" xfId="0" applyFont="1" applyBorder="1"/>
    <xf numFmtId="0" fontId="13" fillId="0" borderId="1" xfId="0" applyFont="1" applyBorder="1"/>
    <xf numFmtId="0" fontId="13" fillId="0" borderId="45" xfId="0" applyFont="1" applyBorder="1"/>
    <xf numFmtId="0" fontId="0" fillId="7" borderId="0" xfId="0" applyFill="1"/>
    <xf numFmtId="0" fontId="33" fillId="18" borderId="0" xfId="0" applyFont="1" applyFill="1" applyAlignment="1">
      <alignment horizontal="left" indent="1"/>
    </xf>
    <xf numFmtId="169" fontId="33" fillId="18" borderId="0" xfId="0" applyNumberFormat="1" applyFont="1" applyFill="1" applyAlignment="1">
      <alignment horizontal="left" indent="1"/>
    </xf>
    <xf numFmtId="0" fontId="33" fillId="29" borderId="0" xfId="0" applyFont="1" applyFill="1" applyAlignment="1">
      <alignment horizontal="left" indent="1"/>
    </xf>
    <xf numFmtId="0" fontId="22" fillId="0" borderId="0" xfId="0" applyFont="1" applyAlignment="1">
      <alignment horizontal="left"/>
    </xf>
    <xf numFmtId="0" fontId="26" fillId="31" borderId="28" xfId="0" applyFont="1" applyFill="1" applyBorder="1" applyAlignment="1">
      <alignment horizontal="center"/>
    </xf>
    <xf numFmtId="0" fontId="26" fillId="31" borderId="25" xfId="0" applyFont="1" applyFill="1" applyBorder="1" applyAlignment="1">
      <alignment horizontal="center"/>
    </xf>
    <xf numFmtId="9" fontId="31" fillId="7" borderId="52" xfId="15" applyFont="1" applyFill="1" applyBorder="1" applyAlignment="1">
      <alignment horizontal="center"/>
    </xf>
    <xf numFmtId="9" fontId="8" fillId="7" borderId="52" xfId="15" applyFont="1" applyFill="1" applyBorder="1" applyAlignment="1">
      <alignment horizontal="center"/>
    </xf>
    <xf numFmtId="0" fontId="13" fillId="0" borderId="52" xfId="0" applyFont="1" applyBorder="1" applyAlignment="1">
      <alignment horizontal="center"/>
    </xf>
    <xf numFmtId="167" fontId="31" fillId="23" borderId="52" xfId="15" applyNumberFormat="1" applyFont="1" applyFill="1" applyBorder="1" applyAlignment="1">
      <alignment horizontal="center"/>
    </xf>
    <xf numFmtId="0" fontId="26" fillId="31" borderId="19" xfId="0" applyFont="1" applyFill="1" applyBorder="1" applyAlignment="1">
      <alignment horizontal="center" vertical="center" wrapText="1"/>
    </xf>
    <xf numFmtId="0" fontId="26" fillId="31" borderId="19" xfId="0" applyFont="1" applyFill="1" applyBorder="1" applyAlignment="1">
      <alignment horizontal="center"/>
    </xf>
    <xf numFmtId="0" fontId="26" fillId="31" borderId="23" xfId="0" applyFont="1" applyFill="1" applyBorder="1" applyAlignment="1">
      <alignment horizontal="center" vertical="center" wrapText="1"/>
    </xf>
    <xf numFmtId="0" fontId="8" fillId="7" borderId="19" xfId="0" applyFont="1" applyFill="1" applyBorder="1" applyAlignment="1">
      <alignment vertical="center" wrapText="1"/>
    </xf>
    <xf numFmtId="0" fontId="26" fillId="31" borderId="52" xfId="0" applyFont="1" applyFill="1" applyBorder="1" applyAlignment="1">
      <alignment horizontal="center"/>
    </xf>
    <xf numFmtId="3" fontId="8" fillId="0" borderId="0" xfId="0" applyNumberFormat="1" applyFont="1"/>
    <xf numFmtId="0" fontId="8" fillId="16" borderId="44" xfId="0" applyFont="1" applyFill="1" applyBorder="1"/>
    <xf numFmtId="0" fontId="8" fillId="0" borderId="44" xfId="0" applyFont="1" applyBorder="1" applyAlignment="1">
      <alignment horizontal="left" indent="1"/>
    </xf>
    <xf numFmtId="0" fontId="8" fillId="0" borderId="44" xfId="0" applyFont="1" applyBorder="1" applyAlignment="1">
      <alignment horizontal="left"/>
    </xf>
    <xf numFmtId="0" fontId="8" fillId="16" borderId="44" xfId="0" applyFont="1" applyFill="1" applyBorder="1" applyAlignment="1">
      <alignment horizontal="left" indent="1"/>
    </xf>
    <xf numFmtId="0" fontId="13" fillId="0" borderId="44" xfId="0" applyFont="1" applyBorder="1" applyAlignment="1">
      <alignment horizontal="left"/>
    </xf>
    <xf numFmtId="0" fontId="13" fillId="16" borderId="44" xfId="0" applyFont="1" applyFill="1" applyBorder="1"/>
    <xf numFmtId="0" fontId="8" fillId="0" borderId="44" xfId="0" applyFont="1" applyBorder="1"/>
    <xf numFmtId="172" fontId="8" fillId="23" borderId="19" xfId="0" applyNumberFormat="1" applyFont="1" applyFill="1" applyBorder="1" applyAlignment="1">
      <alignment horizontal="center"/>
    </xf>
    <xf numFmtId="9" fontId="8" fillId="23" borderId="19" xfId="15" applyFont="1" applyFill="1" applyBorder="1" applyAlignment="1">
      <alignment horizontal="center"/>
    </xf>
    <xf numFmtId="171" fontId="8" fillId="0" borderId="19" xfId="0" applyNumberFormat="1" applyFont="1" applyBorder="1" applyAlignment="1">
      <alignment horizontal="center"/>
    </xf>
    <xf numFmtId="166" fontId="8" fillId="6" borderId="19" xfId="0" applyNumberFormat="1" applyFont="1" applyFill="1" applyBorder="1" applyAlignment="1">
      <alignment horizontal="center"/>
    </xf>
    <xf numFmtId="4" fontId="8" fillId="6" borderId="19" xfId="0" applyNumberFormat="1" applyFont="1" applyFill="1" applyBorder="1" applyAlignment="1">
      <alignment horizontal="center"/>
    </xf>
    <xf numFmtId="9" fontId="31" fillId="6" borderId="52" xfId="15" applyFont="1" applyFill="1" applyBorder="1" applyAlignment="1">
      <alignment horizontal="center"/>
    </xf>
    <xf numFmtId="0" fontId="8" fillId="6" borderId="19" xfId="0" applyFont="1" applyFill="1" applyBorder="1"/>
    <xf numFmtId="9" fontId="8" fillId="6" borderId="19" xfId="15" applyFont="1" applyFill="1" applyBorder="1" applyAlignment="1">
      <alignment horizontal="center"/>
    </xf>
    <xf numFmtId="167" fontId="8" fillId="6" borderId="19" xfId="15" applyNumberFormat="1" applyFont="1" applyFill="1" applyBorder="1" applyAlignment="1">
      <alignment horizontal="center"/>
    </xf>
    <xf numFmtId="9" fontId="8" fillId="6" borderId="19" xfId="15" applyFont="1" applyFill="1" applyBorder="1"/>
    <xf numFmtId="172" fontId="31" fillId="7" borderId="52" xfId="15" applyNumberFormat="1" applyFont="1" applyFill="1" applyBorder="1" applyAlignment="1">
      <alignment horizontal="center"/>
    </xf>
    <xf numFmtId="172" fontId="8" fillId="7" borderId="52" xfId="0" applyNumberFormat="1" applyFont="1" applyFill="1" applyBorder="1" applyAlignment="1">
      <alignment horizontal="center"/>
    </xf>
    <xf numFmtId="0" fontId="46" fillId="31" borderId="52" xfId="0" applyFont="1" applyFill="1" applyBorder="1" applyAlignment="1">
      <alignment horizontal="center"/>
    </xf>
    <xf numFmtId="0" fontId="47" fillId="31" borderId="52" xfId="0" applyFont="1" applyFill="1" applyBorder="1" applyAlignment="1">
      <alignment horizontal="center"/>
    </xf>
    <xf numFmtId="166" fontId="13" fillId="23" borderId="19" xfId="0" applyNumberFormat="1" applyFont="1" applyFill="1" applyBorder="1" applyAlignment="1">
      <alignment horizontal="center"/>
    </xf>
    <xf numFmtId="0" fontId="13" fillId="13" borderId="12" xfId="0" applyFont="1" applyFill="1" applyBorder="1" applyAlignment="1">
      <alignment horizontal="center"/>
    </xf>
    <xf numFmtId="0" fontId="0" fillId="0" borderId="50" xfId="0" applyBorder="1"/>
    <xf numFmtId="0" fontId="0" fillId="0" borderId="71" xfId="0" applyBorder="1"/>
    <xf numFmtId="0" fontId="13" fillId="0" borderId="89" xfId="0" applyFont="1" applyBorder="1" applyAlignment="1">
      <alignment horizontal="left"/>
    </xf>
    <xf numFmtId="0" fontId="13" fillId="0" borderId="90" xfId="0" applyFont="1" applyBorder="1" applyAlignment="1">
      <alignment horizontal="left"/>
    </xf>
    <xf numFmtId="9" fontId="0" fillId="0" borderId="67" xfId="0" applyNumberFormat="1" applyBorder="1"/>
    <xf numFmtId="166" fontId="0" fillId="0" borderId="84" xfId="0" applyNumberFormat="1" applyBorder="1" applyAlignment="1">
      <alignment horizontal="center"/>
    </xf>
    <xf numFmtId="0" fontId="0" fillId="32" borderId="91" xfId="0" applyFill="1" applyBorder="1"/>
    <xf numFmtId="0" fontId="0" fillId="32" borderId="92" xfId="0" applyFill="1" applyBorder="1"/>
    <xf numFmtId="10" fontId="0" fillId="32" borderId="92" xfId="0" applyNumberFormat="1" applyFill="1" applyBorder="1"/>
    <xf numFmtId="0" fontId="13" fillId="7" borderId="39" xfId="0" applyFont="1" applyFill="1" applyBorder="1" applyAlignment="1">
      <alignment horizontal="center"/>
    </xf>
    <xf numFmtId="9" fontId="0" fillId="0" borderId="94" xfId="15" applyFont="1" applyBorder="1"/>
    <xf numFmtId="0" fontId="13" fillId="0" borderId="94" xfId="0" applyFont="1" applyBorder="1"/>
    <xf numFmtId="0" fontId="13" fillId="13" borderId="66" xfId="0" applyFont="1" applyFill="1" applyBorder="1" applyAlignment="1">
      <alignment horizontal="center"/>
    </xf>
    <xf numFmtId="9" fontId="13" fillId="13" borderId="66" xfId="15" applyFont="1" applyFill="1" applyBorder="1" applyAlignment="1">
      <alignment horizontal="center"/>
    </xf>
    <xf numFmtId="0" fontId="13" fillId="0" borderId="66" xfId="0" applyFont="1" applyBorder="1" applyAlignment="1">
      <alignment horizontal="center"/>
    </xf>
    <xf numFmtId="166" fontId="0" fillId="0" borderId="95" xfId="0" applyNumberFormat="1" applyBorder="1" applyAlignment="1">
      <alignment horizontal="center"/>
    </xf>
    <xf numFmtId="0" fontId="0" fillId="0" borderId="68" xfId="0" applyBorder="1"/>
    <xf numFmtId="0" fontId="10" fillId="0" borderId="69" xfId="10" applyBorder="1" applyAlignment="1" applyProtection="1">
      <alignment horizontal="center"/>
    </xf>
    <xf numFmtId="0" fontId="0" fillId="0" borderId="69" xfId="0" applyBorder="1" applyAlignment="1">
      <alignment horizontal="center"/>
    </xf>
    <xf numFmtId="0" fontId="0" fillId="0" borderId="69" xfId="0" applyBorder="1"/>
    <xf numFmtId="0" fontId="0" fillId="0" borderId="70" xfId="0" applyBorder="1"/>
    <xf numFmtId="0" fontId="0" fillId="0" borderId="51" xfId="0" applyBorder="1"/>
    <xf numFmtId="0" fontId="0" fillId="0" borderId="76" xfId="0" applyBorder="1"/>
    <xf numFmtId="9" fontId="0" fillId="0" borderId="0" xfId="0" applyNumberFormat="1"/>
    <xf numFmtId="0" fontId="13" fillId="13" borderId="93" xfId="0" applyFont="1" applyFill="1" applyBorder="1" applyAlignment="1">
      <alignment horizontal="center"/>
    </xf>
    <xf numFmtId="0" fontId="0" fillId="32" borderId="73" xfId="0" applyFill="1" applyBorder="1"/>
    <xf numFmtId="0" fontId="0" fillId="32" borderId="75" xfId="0" applyFill="1" applyBorder="1"/>
    <xf numFmtId="0" fontId="13" fillId="0" borderId="73" xfId="0" applyFont="1" applyBorder="1" applyAlignment="1">
      <alignment horizontal="center"/>
    </xf>
    <xf numFmtId="166" fontId="0" fillId="0" borderId="85" xfId="0" applyNumberFormat="1" applyBorder="1" applyAlignment="1">
      <alignment horizontal="center"/>
    </xf>
    <xf numFmtId="166" fontId="0" fillId="0" borderId="88" xfId="0" applyNumberFormat="1" applyBorder="1" applyAlignment="1">
      <alignment horizontal="center"/>
    </xf>
    <xf numFmtId="0" fontId="13" fillId="7" borderId="9" xfId="0" applyFont="1" applyFill="1" applyBorder="1" applyAlignment="1">
      <alignment horizontal="center"/>
    </xf>
    <xf numFmtId="172" fontId="0" fillId="0" borderId="98" xfId="0" applyNumberFormat="1" applyBorder="1" applyAlignment="1">
      <alignment horizontal="center"/>
    </xf>
    <xf numFmtId="172" fontId="0" fillId="0" borderId="100" xfId="0" applyNumberFormat="1" applyBorder="1" applyAlignment="1">
      <alignment horizontal="center"/>
    </xf>
    <xf numFmtId="0" fontId="0" fillId="30" borderId="74" xfId="0" applyFill="1" applyBorder="1"/>
    <xf numFmtId="0" fontId="26" fillId="30" borderId="74" xfId="0" applyFont="1" applyFill="1" applyBorder="1" applyAlignment="1">
      <alignment horizontal="left"/>
    </xf>
    <xf numFmtId="9" fontId="0" fillId="30" borderId="74" xfId="15" applyFont="1" applyFill="1" applyBorder="1" applyAlignment="1">
      <alignment horizontal="center" vertical="center"/>
    </xf>
    <xf numFmtId="170" fontId="26" fillId="30" borderId="75" xfId="0" applyNumberFormat="1" applyFont="1" applyFill="1" applyBorder="1" applyAlignment="1">
      <alignment horizontal="center" vertical="center"/>
    </xf>
    <xf numFmtId="0" fontId="13" fillId="16" borderId="104" xfId="0" applyFont="1" applyFill="1" applyBorder="1"/>
    <xf numFmtId="0" fontId="13" fillId="16" borderId="106" xfId="0" applyFont="1" applyFill="1" applyBorder="1"/>
    <xf numFmtId="172" fontId="0" fillId="0" borderId="107" xfId="0" applyNumberFormat="1" applyBorder="1" applyAlignment="1">
      <alignment horizontal="center"/>
    </xf>
    <xf numFmtId="172" fontId="0" fillId="0" borderId="105" xfId="0" applyNumberFormat="1" applyBorder="1" applyAlignment="1">
      <alignment horizontal="center"/>
    </xf>
    <xf numFmtId="172" fontId="0" fillId="0" borderId="108" xfId="0" applyNumberFormat="1" applyBorder="1" applyAlignment="1">
      <alignment horizontal="center"/>
    </xf>
    <xf numFmtId="0" fontId="26" fillId="31" borderId="109" xfId="0" applyFont="1" applyFill="1" applyBorder="1" applyAlignment="1">
      <alignment horizontal="center"/>
    </xf>
    <xf numFmtId="0" fontId="0" fillId="31" borderId="110" xfId="0" applyFill="1" applyBorder="1"/>
    <xf numFmtId="0" fontId="0" fillId="31" borderId="111" xfId="0" applyFill="1" applyBorder="1"/>
    <xf numFmtId="0" fontId="26" fillId="31" borderId="104" xfId="0" applyFont="1" applyFill="1" applyBorder="1" applyAlignment="1">
      <alignment horizontal="center"/>
    </xf>
    <xf numFmtId="0" fontId="0" fillId="31" borderId="100" xfId="0" applyFill="1" applyBorder="1"/>
    <xf numFmtId="0" fontId="0" fillId="31" borderId="105" xfId="0" applyFill="1" applyBorder="1"/>
    <xf numFmtId="0" fontId="13" fillId="0" borderId="102" xfId="0" applyFont="1" applyBorder="1" applyAlignment="1">
      <alignment horizontal="left" vertical="center"/>
    </xf>
    <xf numFmtId="0" fontId="45" fillId="4" borderId="73" xfId="0" applyFont="1" applyFill="1" applyBorder="1" applyAlignment="1">
      <alignment horizontal="left" vertical="center"/>
    </xf>
    <xf numFmtId="0" fontId="45" fillId="30" borderId="73" xfId="0" applyFont="1" applyFill="1" applyBorder="1" applyAlignment="1">
      <alignment horizontal="left" vertical="center"/>
    </xf>
    <xf numFmtId="0" fontId="45" fillId="12" borderId="75" xfId="0" applyFont="1" applyFill="1" applyBorder="1" applyAlignment="1">
      <alignment horizontal="center"/>
    </xf>
    <xf numFmtId="0" fontId="13" fillId="7" borderId="102" xfId="0" applyFont="1" applyFill="1" applyBorder="1" applyAlignment="1">
      <alignment horizontal="left" vertical="center"/>
    </xf>
    <xf numFmtId="0" fontId="13" fillId="7" borderId="104" xfId="0" applyFont="1" applyFill="1" applyBorder="1" applyAlignment="1">
      <alignment horizontal="left" vertical="center"/>
    </xf>
    <xf numFmtId="0" fontId="0" fillId="30" borderId="74" xfId="0" applyFill="1" applyBorder="1" applyAlignment="1">
      <alignment horizontal="center"/>
    </xf>
    <xf numFmtId="0" fontId="8" fillId="0" borderId="68" xfId="0" applyFont="1" applyBorder="1"/>
    <xf numFmtId="0" fontId="48" fillId="4" borderId="65" xfId="0" applyFont="1" applyFill="1" applyBorder="1" applyAlignment="1">
      <alignment horizontal="center"/>
    </xf>
    <xf numFmtId="0" fontId="48" fillId="4" borderId="65" xfId="0" applyFont="1" applyFill="1" applyBorder="1"/>
    <xf numFmtId="0" fontId="0" fillId="0" borderId="65" xfId="0" applyBorder="1"/>
    <xf numFmtId="172" fontId="0" fillId="23" borderId="100" xfId="0" applyNumberFormat="1" applyFill="1" applyBorder="1" applyAlignment="1">
      <alignment horizontal="center"/>
    </xf>
    <xf numFmtId="172" fontId="0" fillId="23" borderId="107" xfId="0" applyNumberFormat="1" applyFill="1" applyBorder="1" applyAlignment="1">
      <alignment horizontal="center"/>
    </xf>
    <xf numFmtId="0" fontId="28" fillId="0" borderId="10" xfId="25" applyFont="1" applyBorder="1" applyAlignment="1">
      <alignment horizontal="center"/>
    </xf>
    <xf numFmtId="0" fontId="28" fillId="0" borderId="16" xfId="25" applyFont="1" applyBorder="1" applyAlignment="1">
      <alignment horizontal="center"/>
    </xf>
    <xf numFmtId="0" fontId="28" fillId="0" borderId="10" xfId="25" applyFont="1" applyBorder="1" applyAlignment="1">
      <alignment horizontal="center" vertical="center"/>
    </xf>
    <xf numFmtId="0" fontId="28" fillId="0" borderId="16" xfId="25" applyFont="1" applyBorder="1" applyAlignment="1">
      <alignment horizontal="center" vertical="center"/>
    </xf>
    <xf numFmtId="0" fontId="28" fillId="0" borderId="14" xfId="25" applyFont="1" applyBorder="1" applyAlignment="1">
      <alignment horizontal="center"/>
    </xf>
    <xf numFmtId="0" fontId="28" fillId="0" borderId="17" xfId="25" applyFont="1" applyBorder="1" applyAlignment="1">
      <alignment horizontal="center"/>
    </xf>
    <xf numFmtId="0" fontId="49" fillId="4" borderId="115" xfId="4" applyFont="1" applyFill="1" applyBorder="1" applyAlignment="1">
      <alignment horizontal="center" vertical="center"/>
    </xf>
    <xf numFmtId="0" fontId="49" fillId="4" borderId="115" xfId="3" applyFont="1" applyFill="1" applyBorder="1" applyAlignment="1">
      <alignment horizontal="center" vertical="center" wrapText="1"/>
    </xf>
    <xf numFmtId="0" fontId="49" fillId="4" borderId="115" xfId="3" applyFont="1" applyFill="1" applyBorder="1" applyAlignment="1">
      <alignment horizontal="center" vertical="center"/>
    </xf>
    <xf numFmtId="0" fontId="8" fillId="3" borderId="115" xfId="9" applyFont="1" applyBorder="1" applyAlignment="1">
      <alignment horizontal="center" vertical="center"/>
    </xf>
    <xf numFmtId="169" fontId="8" fillId="7" borderId="115" xfId="6" applyFont="1" applyFill="1" applyBorder="1" applyAlignment="1">
      <alignment horizontal="right" vertical="center" wrapText="1"/>
    </xf>
    <xf numFmtId="0" fontId="28" fillId="3" borderId="115" xfId="9" applyFont="1" applyBorder="1" applyAlignment="1">
      <alignment vertical="center"/>
    </xf>
    <xf numFmtId="169" fontId="8" fillId="3" borderId="115" xfId="6" applyFont="1" applyBorder="1" applyAlignment="1">
      <alignment horizontal="right" vertical="center" wrapText="1"/>
    </xf>
    <xf numFmtId="0" fontId="28" fillId="3" borderId="115" xfId="9" applyFont="1" applyBorder="1" applyAlignment="1">
      <alignment horizontal="center" vertical="center"/>
    </xf>
    <xf numFmtId="3" fontId="13" fillId="33" borderId="117" xfId="5" applyFont="1" applyFill="1" applyBorder="1" applyAlignment="1">
      <alignment horizontal="center" vertical="center"/>
    </xf>
    <xf numFmtId="0" fontId="13" fillId="0" borderId="0" xfId="25" applyFont="1" applyAlignment="1">
      <alignment vertical="center"/>
    </xf>
    <xf numFmtId="0" fontId="8" fillId="11" borderId="0" xfId="25" applyFill="1" applyAlignment="1">
      <alignment vertical="center"/>
    </xf>
    <xf numFmtId="0" fontId="27" fillId="0" borderId="115" xfId="8" applyFont="1" applyFill="1" applyBorder="1" applyAlignment="1">
      <alignment horizontal="center" vertical="center"/>
    </xf>
    <xf numFmtId="3" fontId="50" fillId="33" borderId="116" xfId="5" applyFont="1" applyFill="1" applyBorder="1" applyAlignment="1">
      <alignment horizontal="right" vertical="center"/>
    </xf>
    <xf numFmtId="3" fontId="50" fillId="33" borderId="117" xfId="5" applyFont="1" applyFill="1" applyBorder="1" applyAlignment="1">
      <alignment horizontal="right" vertical="center"/>
    </xf>
    <xf numFmtId="3" fontId="50" fillId="33" borderId="118" xfId="5" applyFont="1" applyFill="1" applyBorder="1" applyAlignment="1">
      <alignment horizontal="right" vertical="center"/>
    </xf>
    <xf numFmtId="169" fontId="8" fillId="3" borderId="115" xfId="6" applyFont="1" applyBorder="1" applyAlignment="1">
      <alignment horizontal="center" vertical="center"/>
    </xf>
    <xf numFmtId="4" fontId="30" fillId="0" borderId="115" xfId="7" applyFont="1" applyFill="1" applyBorder="1" applyAlignment="1">
      <alignment horizontal="right" vertical="center"/>
    </xf>
    <xf numFmtId="0" fontId="0" fillId="33" borderId="117" xfId="0" applyFill="1" applyBorder="1" applyAlignment="1">
      <alignment horizontal="center" vertical="center"/>
    </xf>
    <xf numFmtId="4" fontId="8" fillId="33" borderId="117" xfId="7" applyFont="1" applyFill="1" applyBorder="1" applyAlignment="1">
      <alignment horizontal="right" vertical="center"/>
    </xf>
    <xf numFmtId="3" fontId="13" fillId="33" borderId="118" xfId="5" applyFont="1" applyFill="1" applyBorder="1" applyAlignment="1">
      <alignment horizontal="right" vertical="center" wrapText="1"/>
    </xf>
    <xf numFmtId="4" fontId="8" fillId="7" borderId="115" xfId="7" applyFont="1" applyFill="1" applyBorder="1" applyAlignment="1">
      <alignment horizontal="right" vertical="center" wrapText="1"/>
    </xf>
    <xf numFmtId="4" fontId="8" fillId="3" borderId="115" xfId="7" applyFont="1" applyBorder="1" applyAlignment="1">
      <alignment horizontal="center" vertical="center"/>
    </xf>
    <xf numFmtId="4" fontId="8" fillId="3" borderId="115" xfId="7" applyFont="1" applyBorder="1" applyAlignment="1">
      <alignment horizontal="right" vertical="center" wrapText="1"/>
    </xf>
    <xf numFmtId="0" fontId="28" fillId="0" borderId="115" xfId="9" applyFont="1" applyFill="1" applyBorder="1" applyAlignment="1">
      <alignment vertical="center"/>
    </xf>
    <xf numFmtId="0" fontId="8" fillId="0" borderId="115" xfId="9" applyFont="1" applyFill="1" applyBorder="1" applyAlignment="1">
      <alignment horizontal="center" vertical="center"/>
    </xf>
    <xf numFmtId="0" fontId="8" fillId="0" borderId="115" xfId="26" applyFont="1" applyBorder="1" applyAlignment="1">
      <alignment horizontal="right" vertical="center" wrapText="1"/>
    </xf>
    <xf numFmtId="3" fontId="13" fillId="33" borderId="116" xfId="5" applyFont="1" applyFill="1" applyBorder="1" applyAlignment="1">
      <alignment horizontal="right" vertical="center"/>
    </xf>
    <xf numFmtId="4" fontId="8" fillId="5" borderId="115" xfId="7" applyFont="1" applyFill="1" applyBorder="1" applyAlignment="1">
      <alignment horizontal="right" vertical="center"/>
    </xf>
    <xf numFmtId="4" fontId="8" fillId="5" borderId="115" xfId="7" applyFont="1" applyFill="1" applyBorder="1" applyAlignment="1">
      <alignment horizontal="center" vertical="center"/>
    </xf>
    <xf numFmtId="4" fontId="8" fillId="0" borderId="115" xfId="7" applyFont="1" applyFill="1" applyBorder="1" applyAlignment="1">
      <alignment horizontal="right" vertical="center" wrapText="1"/>
    </xf>
    <xf numFmtId="0" fontId="28" fillId="3" borderId="115" xfId="9" applyFont="1" applyBorder="1" applyAlignment="1">
      <alignment vertical="center" wrapText="1"/>
    </xf>
    <xf numFmtId="4" fontId="8" fillId="0" borderId="115" xfId="7" applyFont="1" applyFill="1" applyBorder="1" applyAlignment="1">
      <alignment horizontal="center" vertical="center"/>
    </xf>
    <xf numFmtId="0" fontId="49" fillId="31" borderId="115" xfId="3" applyFont="1" applyFill="1" applyBorder="1" applyAlignment="1">
      <alignment horizontal="center" vertical="center" wrapText="1"/>
    </xf>
    <xf numFmtId="0" fontId="8" fillId="0" borderId="115" xfId="25" applyBorder="1"/>
    <xf numFmtId="0" fontId="8" fillId="0" borderId="115" xfId="25" applyBorder="1" applyAlignment="1">
      <alignment vertical="center"/>
    </xf>
    <xf numFmtId="0" fontId="33" fillId="11" borderId="115" xfId="25" applyFont="1" applyFill="1" applyBorder="1" applyAlignment="1">
      <alignment horizontal="center" vertical="center"/>
    </xf>
    <xf numFmtId="0" fontId="52" fillId="0" borderId="0" xfId="0" applyFont="1"/>
    <xf numFmtId="0" fontId="54" fillId="0" borderId="0" xfId="0" applyFont="1"/>
    <xf numFmtId="0" fontId="13" fillId="0" borderId="38" xfId="0" applyFont="1" applyBorder="1" applyAlignment="1">
      <alignment horizontal="center"/>
    </xf>
    <xf numFmtId="0" fontId="13" fillId="0" borderId="36" xfId="0" applyFont="1" applyBorder="1" applyAlignment="1">
      <alignment horizontal="center"/>
    </xf>
    <xf numFmtId="0" fontId="54" fillId="0" borderId="38" xfId="0" applyFont="1" applyBorder="1" applyAlignment="1">
      <alignment horizontal="center"/>
    </xf>
    <xf numFmtId="0" fontId="54" fillId="0" borderId="36" xfId="0" applyFont="1" applyBorder="1" applyAlignment="1">
      <alignment horizontal="center"/>
    </xf>
    <xf numFmtId="0" fontId="54" fillId="0" borderId="32" xfId="0" applyFont="1" applyBorder="1"/>
    <xf numFmtId="0" fontId="54" fillId="0" borderId="120" xfId="0" applyFont="1" applyBorder="1" applyAlignment="1">
      <alignment horizontal="center" vertical="center"/>
    </xf>
    <xf numFmtId="0" fontId="54" fillId="0" borderId="124" xfId="0" applyFont="1" applyBorder="1" applyAlignment="1">
      <alignment horizontal="center" vertical="center"/>
    </xf>
    <xf numFmtId="0" fontId="13" fillId="11" borderId="127" xfId="0" applyFont="1" applyFill="1" applyBorder="1" applyAlignment="1">
      <alignment horizontal="center"/>
    </xf>
    <xf numFmtId="0" fontId="54" fillId="11" borderId="127" xfId="0" applyFont="1" applyFill="1" applyBorder="1"/>
    <xf numFmtId="0" fontId="54" fillId="11" borderId="133" xfId="0" applyFont="1" applyFill="1" applyBorder="1"/>
    <xf numFmtId="0" fontId="52" fillId="11" borderId="133" xfId="0" applyFont="1" applyFill="1" applyBorder="1"/>
    <xf numFmtId="10" fontId="0" fillId="0" borderId="130" xfId="0" applyNumberFormat="1" applyBorder="1" applyAlignment="1">
      <alignment horizontal="center" vertical="center"/>
    </xf>
    <xf numFmtId="10" fontId="0" fillId="0" borderId="134" xfId="0" applyNumberFormat="1" applyBorder="1" applyAlignment="1">
      <alignment horizontal="center" vertical="center"/>
    </xf>
    <xf numFmtId="10" fontId="0" fillId="0" borderId="135" xfId="0" applyNumberFormat="1" applyBorder="1" applyAlignment="1">
      <alignment horizontal="center" vertical="center"/>
    </xf>
    <xf numFmtId="10" fontId="0" fillId="0" borderId="136" xfId="0" applyNumberFormat="1" applyBorder="1" applyAlignment="1">
      <alignment horizontal="center" vertical="center"/>
    </xf>
    <xf numFmtId="0" fontId="54" fillId="0" borderId="137" xfId="0" applyFont="1" applyBorder="1" applyAlignment="1">
      <alignment horizontal="center" vertical="center"/>
    </xf>
    <xf numFmtId="0" fontId="54" fillId="0" borderId="138" xfId="0" applyFont="1" applyBorder="1" applyAlignment="1">
      <alignment horizontal="center" vertical="center"/>
    </xf>
    <xf numFmtId="0" fontId="26" fillId="4" borderId="8" xfId="25" applyFont="1" applyFill="1" applyBorder="1" applyAlignment="1">
      <alignment horizontal="center"/>
    </xf>
    <xf numFmtId="0" fontId="52" fillId="7" borderId="0" xfId="0" applyFont="1" applyFill="1"/>
    <xf numFmtId="0" fontId="56" fillId="41" borderId="0" xfId="0" applyFont="1" applyFill="1"/>
    <xf numFmtId="0" fontId="8" fillId="36" borderId="32" xfId="0" applyFont="1" applyFill="1" applyBorder="1"/>
    <xf numFmtId="0" fontId="54" fillId="0" borderId="143" xfId="0" applyFont="1" applyBorder="1" applyAlignment="1">
      <alignment horizontal="center"/>
    </xf>
    <xf numFmtId="0" fontId="52" fillId="11" borderId="144" xfId="0" applyFont="1" applyFill="1" applyBorder="1" applyAlignment="1">
      <alignment horizontal="center"/>
    </xf>
    <xf numFmtId="0" fontId="8" fillId="38" borderId="144" xfId="0" applyFont="1" applyFill="1" applyBorder="1"/>
    <xf numFmtId="0" fontId="8" fillId="38" borderId="0" xfId="0" applyFont="1" applyFill="1"/>
    <xf numFmtId="0" fontId="13" fillId="40" borderId="32" xfId="0" quotePrefix="1" applyFont="1" applyFill="1" applyBorder="1"/>
    <xf numFmtId="0" fontId="13" fillId="40" borderId="0" xfId="0" quotePrefix="1" applyFont="1" applyFill="1"/>
    <xf numFmtId="0" fontId="52" fillId="38" borderId="0" xfId="0" applyFont="1" applyFill="1"/>
    <xf numFmtId="0" fontId="13" fillId="0" borderId="159" xfId="0" applyFont="1" applyBorder="1" applyAlignment="1">
      <alignment horizontal="center"/>
    </xf>
    <xf numFmtId="0" fontId="13" fillId="0" borderId="41" xfId="0" applyFont="1" applyBorder="1" applyAlignment="1">
      <alignment horizontal="center"/>
    </xf>
    <xf numFmtId="0" fontId="13" fillId="0" borderId="160" xfId="0" applyFont="1" applyBorder="1" applyAlignment="1">
      <alignment horizontal="center"/>
    </xf>
    <xf numFmtId="0" fontId="13" fillId="0" borderId="151" xfId="0" applyFont="1" applyBorder="1" applyAlignment="1">
      <alignment horizontal="center"/>
    </xf>
    <xf numFmtId="0" fontId="8" fillId="38" borderId="128" xfId="0" applyFont="1" applyFill="1" applyBorder="1"/>
    <xf numFmtId="14" fontId="13" fillId="0" borderId="21" xfId="0" applyNumberFormat="1" applyFont="1" applyBorder="1" applyAlignment="1">
      <alignment horizontal="center" vertical="center"/>
    </xf>
    <xf numFmtId="0" fontId="8" fillId="0" borderId="57" xfId="0" applyFont="1" applyBorder="1" applyAlignment="1">
      <alignment horizontal="center" vertical="center"/>
    </xf>
    <xf numFmtId="0" fontId="37" fillId="7" borderId="23" xfId="0" applyFont="1" applyFill="1" applyBorder="1" applyAlignment="1">
      <alignment horizontal="left" vertical="center" wrapText="1"/>
    </xf>
    <xf numFmtId="3" fontId="22" fillId="0" borderId="0" xfId="0" applyNumberFormat="1" applyFont="1" applyAlignment="1">
      <alignment horizontal="center" vertical="center"/>
    </xf>
    <xf numFmtId="3" fontId="33" fillId="18" borderId="0" xfId="0" applyNumberFormat="1" applyFont="1" applyFill="1" applyAlignment="1">
      <alignment horizontal="center" vertical="center"/>
    </xf>
    <xf numFmtId="167" fontId="31" fillId="42" borderId="154" xfId="29" applyNumberFormat="1" applyFont="1" applyFill="1" applyBorder="1" applyAlignment="1">
      <alignment horizontal="center" vertical="center"/>
    </xf>
    <xf numFmtId="0" fontId="57" fillId="0" borderId="154" xfId="0" applyFont="1" applyBorder="1" applyAlignment="1">
      <alignment horizontal="center" vertical="center"/>
    </xf>
    <xf numFmtId="0" fontId="57" fillId="0" borderId="156" xfId="0" applyFont="1" applyBorder="1" applyAlignment="1">
      <alignment horizontal="center" vertical="center"/>
    </xf>
    <xf numFmtId="0" fontId="57" fillId="0" borderId="46" xfId="0" applyFont="1" applyBorder="1" applyAlignment="1">
      <alignment horizontal="center" vertical="center"/>
    </xf>
    <xf numFmtId="0" fontId="57" fillId="40" borderId="156" xfId="0" applyFont="1" applyFill="1" applyBorder="1" applyAlignment="1">
      <alignment horizontal="center" vertical="center"/>
    </xf>
    <xf numFmtId="0" fontId="57" fillId="40" borderId="46" xfId="0" applyFont="1" applyFill="1" applyBorder="1" applyAlignment="1">
      <alignment horizontal="center" vertical="center"/>
    </xf>
    <xf numFmtId="3" fontId="57" fillId="39" borderId="46" xfId="0" applyNumberFormat="1" applyFont="1" applyFill="1" applyBorder="1" applyAlignment="1">
      <alignment horizontal="center" vertical="center"/>
    </xf>
    <xf numFmtId="3" fontId="57" fillId="39" borderId="156" xfId="0" applyNumberFormat="1" applyFont="1" applyFill="1" applyBorder="1" applyAlignment="1">
      <alignment horizontal="center" vertical="center"/>
    </xf>
    <xf numFmtId="0" fontId="60" fillId="0" borderId="46" xfId="0" applyFont="1" applyBorder="1" applyAlignment="1">
      <alignment horizontal="center" vertical="center"/>
    </xf>
    <xf numFmtId="0" fontId="8" fillId="0" borderId="46" xfId="0" quotePrefix="1" applyFont="1" applyBorder="1" applyAlignment="1">
      <alignment horizontal="center" vertical="center"/>
    </xf>
    <xf numFmtId="9" fontId="0" fillId="0" borderId="95" xfId="0" applyNumberFormat="1" applyBorder="1" applyAlignment="1">
      <alignment horizontal="center"/>
    </xf>
    <xf numFmtId="9" fontId="13" fillId="0" borderId="73" xfId="0" applyNumberFormat="1" applyFont="1" applyBorder="1" applyAlignment="1">
      <alignment horizontal="center"/>
    </xf>
    <xf numFmtId="9" fontId="13" fillId="0" borderId="74" xfId="0" applyNumberFormat="1" applyFont="1" applyBorder="1" applyAlignment="1">
      <alignment horizontal="center"/>
    </xf>
    <xf numFmtId="9" fontId="8" fillId="0" borderId="78" xfId="0" applyNumberFormat="1" applyFont="1" applyBorder="1" applyAlignment="1">
      <alignment horizontal="center"/>
    </xf>
    <xf numFmtId="9" fontId="8" fillId="0" borderId="83" xfId="0" applyNumberFormat="1" applyFont="1" applyBorder="1" applyAlignment="1">
      <alignment horizontal="center"/>
    </xf>
    <xf numFmtId="3" fontId="0" fillId="0" borderId="0" xfId="0" applyNumberFormat="1"/>
    <xf numFmtId="0" fontId="10" fillId="0" borderId="50" xfId="10" applyBorder="1" applyAlignment="1" applyProtection="1"/>
    <xf numFmtId="10" fontId="0" fillId="0" borderId="0" xfId="0" applyNumberFormat="1"/>
    <xf numFmtId="4" fontId="30" fillId="11" borderId="115" xfId="7" applyFont="1" applyFill="1" applyBorder="1" applyAlignment="1">
      <alignment horizontal="right" vertical="center"/>
    </xf>
    <xf numFmtId="4" fontId="8" fillId="0" borderId="0" xfId="7" applyFont="1" applyFill="1" applyBorder="1">
      <alignment horizontal="right"/>
    </xf>
    <xf numFmtId="4" fontId="30" fillId="0" borderId="0" xfId="7" applyFont="1" applyFill="1" applyBorder="1">
      <alignment horizontal="right"/>
    </xf>
    <xf numFmtId="4" fontId="30" fillId="8" borderId="115" xfId="7" applyFont="1" applyFill="1" applyBorder="1" applyAlignment="1">
      <alignment horizontal="right" vertical="center"/>
    </xf>
    <xf numFmtId="4" fontId="30" fillId="27" borderId="115" xfId="7" applyFont="1" applyFill="1" applyBorder="1" applyAlignment="1">
      <alignment horizontal="right" vertical="center"/>
    </xf>
    <xf numFmtId="4" fontId="24" fillId="11" borderId="115" xfId="7" applyFont="1" applyFill="1" applyBorder="1" applyAlignment="1">
      <alignment horizontal="right" vertical="center"/>
    </xf>
    <xf numFmtId="4" fontId="24" fillId="27" borderId="115" xfId="7" applyFont="1" applyFill="1" applyBorder="1" applyAlignment="1">
      <alignment horizontal="right" vertical="center"/>
    </xf>
    <xf numFmtId="3" fontId="57" fillId="39" borderId="46" xfId="0" quotePrefix="1" applyNumberFormat="1" applyFont="1" applyFill="1" applyBorder="1" applyAlignment="1">
      <alignment horizontal="center" vertical="center"/>
    </xf>
    <xf numFmtId="3" fontId="57" fillId="39" borderId="156" xfId="0" quotePrefix="1" applyNumberFormat="1" applyFont="1" applyFill="1" applyBorder="1" applyAlignment="1">
      <alignment horizontal="center" vertical="center"/>
    </xf>
    <xf numFmtId="1" fontId="52" fillId="39" borderId="38" xfId="0" applyNumberFormat="1" applyFont="1" applyFill="1" applyBorder="1" applyAlignment="1">
      <alignment horizontal="center" vertical="center"/>
    </xf>
    <xf numFmtId="4" fontId="5" fillId="0" borderId="46" xfId="28" applyNumberFormat="1" applyBorder="1" applyAlignment="1">
      <alignment horizontal="center"/>
    </xf>
    <xf numFmtId="0" fontId="25" fillId="0" borderId="0" xfId="0" applyFont="1" applyAlignment="1">
      <alignment horizontal="center"/>
    </xf>
    <xf numFmtId="0" fontId="64" fillId="0" borderId="0" xfId="0" applyFont="1"/>
    <xf numFmtId="0" fontId="0" fillId="0" borderId="46" xfId="0" applyBorder="1"/>
    <xf numFmtId="0" fontId="63" fillId="0" borderId="0" xfId="0" applyFont="1"/>
    <xf numFmtId="3" fontId="52" fillId="0" borderId="38" xfId="0" applyNumberFormat="1" applyFont="1" applyBorder="1" applyAlignment="1">
      <alignment horizontal="center" vertical="center"/>
    </xf>
    <xf numFmtId="0" fontId="52" fillId="0" borderId="38" xfId="0" applyFont="1" applyBorder="1" applyAlignment="1">
      <alignment horizontal="center" vertical="center"/>
    </xf>
    <xf numFmtId="3" fontId="8" fillId="7" borderId="15" xfId="0" applyNumberFormat="1" applyFont="1" applyFill="1" applyBorder="1" applyAlignment="1">
      <alignment horizontal="center"/>
    </xf>
    <xf numFmtId="167" fontId="31" fillId="37" borderId="46" xfId="15" applyNumberFormat="1" applyFont="1" applyFill="1" applyBorder="1" applyAlignment="1">
      <alignment horizontal="center" vertical="center"/>
    </xf>
    <xf numFmtId="3" fontId="60" fillId="0" borderId="46" xfId="0" applyNumberFormat="1" applyFont="1" applyBorder="1" applyAlignment="1">
      <alignment horizontal="center" vertical="center"/>
    </xf>
    <xf numFmtId="3" fontId="60" fillId="37" borderId="46" xfId="0" applyNumberFormat="1" applyFont="1" applyFill="1" applyBorder="1" applyAlignment="1">
      <alignment horizontal="center" vertical="center"/>
    </xf>
    <xf numFmtId="167" fontId="31" fillId="42" borderId="172" xfId="29" applyNumberFormat="1" applyFont="1" applyFill="1" applyBorder="1" applyAlignment="1">
      <alignment horizontal="center" vertical="center"/>
    </xf>
    <xf numFmtId="3" fontId="4" fillId="42" borderId="44" xfId="29" applyNumberFormat="1" applyFill="1" applyBorder="1" applyAlignment="1">
      <alignment horizontal="center" vertical="center"/>
    </xf>
    <xf numFmtId="167" fontId="31" fillId="37" borderId="44" xfId="15" applyNumberFormat="1" applyFont="1" applyFill="1" applyBorder="1" applyAlignment="1">
      <alignment horizontal="center" vertical="center"/>
    </xf>
    <xf numFmtId="3" fontId="60" fillId="0" borderId="44" xfId="0" applyNumberFormat="1" applyFont="1" applyBorder="1" applyAlignment="1">
      <alignment horizontal="center" vertical="center"/>
    </xf>
    <xf numFmtId="0" fontId="60" fillId="0" borderId="44" xfId="0" applyFont="1" applyBorder="1" applyAlignment="1">
      <alignment horizontal="center" vertical="center"/>
    </xf>
    <xf numFmtId="3" fontId="60" fillId="37" borderId="44" xfId="0" applyNumberFormat="1" applyFont="1" applyFill="1" applyBorder="1" applyAlignment="1">
      <alignment horizontal="center" vertical="center"/>
    </xf>
    <xf numFmtId="0" fontId="60" fillId="37" borderId="173" xfId="0" applyFont="1" applyFill="1" applyBorder="1" applyAlignment="1">
      <alignment horizontal="center" vertical="center"/>
    </xf>
    <xf numFmtId="1" fontId="52" fillId="0" borderId="46" xfId="0" applyNumberFormat="1" applyFont="1" applyBorder="1" applyAlignment="1">
      <alignment horizontal="center" vertical="center"/>
    </xf>
    <xf numFmtId="1" fontId="57" fillId="0" borderId="46" xfId="0" applyNumberFormat="1" applyFont="1" applyBorder="1" applyAlignment="1">
      <alignment horizontal="center" vertical="center"/>
    </xf>
    <xf numFmtId="1" fontId="52" fillId="0" borderId="156" xfId="0" applyNumberFormat="1" applyFont="1" applyBorder="1" applyAlignment="1">
      <alignment horizontal="center" vertical="center"/>
    </xf>
    <xf numFmtId="1" fontId="52" fillId="0" borderId="147" xfId="0" applyNumberFormat="1" applyFont="1" applyBorder="1" applyAlignment="1">
      <alignment horizontal="center" vertical="center"/>
    </xf>
    <xf numFmtId="1" fontId="57" fillId="0" borderId="156" xfId="0" applyNumberFormat="1" applyFont="1" applyBorder="1" applyAlignment="1">
      <alignment horizontal="center" vertical="center"/>
    </xf>
    <xf numFmtId="1" fontId="60" fillId="37" borderId="157" xfId="0" applyNumberFormat="1" applyFont="1" applyFill="1" applyBorder="1" applyAlignment="1">
      <alignment horizontal="center" vertical="center"/>
    </xf>
    <xf numFmtId="1" fontId="60" fillId="37" borderId="170" xfId="0" applyNumberFormat="1" applyFont="1" applyFill="1" applyBorder="1" applyAlignment="1">
      <alignment horizontal="center" vertical="center"/>
    </xf>
    <xf numFmtId="1" fontId="60" fillId="37" borderId="171" xfId="0" applyNumberFormat="1" applyFont="1" applyFill="1" applyBorder="1" applyAlignment="1">
      <alignment horizontal="center" vertical="center"/>
    </xf>
    <xf numFmtId="167" fontId="8" fillId="0" borderId="153" xfId="15" applyNumberFormat="1" applyFont="1" applyFill="1" applyBorder="1" applyAlignment="1">
      <alignment horizontal="center" vertical="center"/>
    </xf>
    <xf numFmtId="167" fontId="8" fillId="0" borderId="154" xfId="15" applyNumberFormat="1" applyFont="1" applyFill="1" applyBorder="1" applyAlignment="1">
      <alignment horizontal="center" vertical="center"/>
    </xf>
    <xf numFmtId="167" fontId="0" fillId="0" borderId="155" xfId="15" applyNumberFormat="1" applyFont="1" applyFill="1" applyBorder="1" applyAlignment="1">
      <alignment horizontal="center" vertical="center"/>
    </xf>
    <xf numFmtId="167" fontId="31" fillId="0" borderId="156" xfId="15" applyNumberFormat="1" applyFont="1" applyFill="1" applyBorder="1" applyAlignment="1">
      <alignment horizontal="center" vertical="center"/>
    </xf>
    <xf numFmtId="167" fontId="31" fillId="0" borderId="46" xfId="15" applyNumberFormat="1" applyFont="1" applyFill="1" applyBorder="1" applyAlignment="1">
      <alignment horizontal="center" vertical="center"/>
    </xf>
    <xf numFmtId="167" fontId="31" fillId="0" borderId="147" xfId="15" applyNumberFormat="1" applyFont="1" applyFill="1" applyBorder="1" applyAlignment="1">
      <alignment horizontal="center" vertical="center"/>
    </xf>
    <xf numFmtId="1" fontId="60" fillId="0" borderId="156" xfId="0" applyNumberFormat="1" applyFont="1" applyBorder="1" applyAlignment="1">
      <alignment horizontal="center" vertical="center"/>
    </xf>
    <xf numFmtId="1" fontId="60" fillId="0" borderId="46" xfId="0" applyNumberFormat="1" applyFont="1" applyBorder="1" applyAlignment="1">
      <alignment horizontal="center" vertical="center"/>
    </xf>
    <xf numFmtId="1" fontId="60" fillId="0" borderId="147" xfId="0" applyNumberFormat="1" applyFont="1" applyBorder="1" applyAlignment="1">
      <alignment horizontal="center" vertical="center"/>
    </xf>
    <xf numFmtId="1" fontId="57" fillId="40" borderId="46" xfId="0" applyNumberFormat="1" applyFont="1" applyFill="1" applyBorder="1" applyAlignment="1">
      <alignment horizontal="center" vertical="center"/>
    </xf>
    <xf numFmtId="1" fontId="57" fillId="40" borderId="156" xfId="0" applyNumberFormat="1" applyFont="1" applyFill="1" applyBorder="1" applyAlignment="1">
      <alignment horizontal="center" vertical="center"/>
    </xf>
    <xf numFmtId="1" fontId="52" fillId="39" borderId="46" xfId="0" applyNumberFormat="1" applyFont="1" applyFill="1" applyBorder="1" applyAlignment="1">
      <alignment horizontal="center" vertical="center"/>
    </xf>
    <xf numFmtId="1" fontId="52" fillId="39" borderId="153" xfId="0" applyNumberFormat="1" applyFont="1" applyFill="1" applyBorder="1" applyAlignment="1">
      <alignment horizontal="center" vertical="center"/>
    </xf>
    <xf numFmtId="1" fontId="52" fillId="39" borderId="154" xfId="0" applyNumberFormat="1" applyFont="1" applyFill="1" applyBorder="1" applyAlignment="1">
      <alignment horizontal="center" vertical="center"/>
    </xf>
    <xf numFmtId="1" fontId="52" fillId="39" borderId="156" xfId="0" applyNumberFormat="1" applyFont="1" applyFill="1" applyBorder="1" applyAlignment="1">
      <alignment horizontal="center" vertical="center"/>
    </xf>
    <xf numFmtId="1" fontId="52" fillId="39" borderId="172" xfId="0" applyNumberFormat="1" applyFont="1" applyFill="1" applyBorder="1" applyAlignment="1">
      <alignment horizontal="center" vertical="center"/>
    </xf>
    <xf numFmtId="1" fontId="52" fillId="39" borderId="44" xfId="0" applyNumberFormat="1" applyFont="1" applyFill="1" applyBorder="1" applyAlignment="1">
      <alignment horizontal="center" vertical="center"/>
    </xf>
    <xf numFmtId="1" fontId="52" fillId="39" borderId="173" xfId="0"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53" xfId="0" applyNumberFormat="1" applyBorder="1" applyAlignment="1">
      <alignment horizontal="center" vertical="center"/>
    </xf>
    <xf numFmtId="1" fontId="0" fillId="0" borderId="154" xfId="0" applyNumberFormat="1" applyBorder="1" applyAlignment="1">
      <alignment horizontal="center" vertical="center"/>
    </xf>
    <xf numFmtId="1" fontId="0" fillId="0" borderId="155" xfId="0" applyNumberFormat="1" applyBorder="1" applyAlignment="1">
      <alignment horizontal="center" vertical="center"/>
    </xf>
    <xf numFmtId="1" fontId="0" fillId="0" borderId="156" xfId="0" applyNumberFormat="1" applyBorder="1" applyAlignment="1">
      <alignment horizontal="center" vertical="center"/>
    </xf>
    <xf numFmtId="1" fontId="0" fillId="0" borderId="147" xfId="0" applyNumberFormat="1" applyBorder="1" applyAlignment="1">
      <alignment horizontal="center" vertical="center"/>
    </xf>
    <xf numFmtId="1" fontId="52" fillId="39" borderId="145" xfId="0" applyNumberFormat="1" applyFont="1" applyFill="1" applyBorder="1" applyAlignment="1">
      <alignment horizontal="center" vertical="center"/>
    </xf>
    <xf numFmtId="1" fontId="52" fillId="39" borderId="146" xfId="0" applyNumberFormat="1" applyFont="1" applyFill="1" applyBorder="1" applyAlignment="1">
      <alignment horizontal="center" vertical="center"/>
    </xf>
    <xf numFmtId="1" fontId="52" fillId="39" borderId="148" xfId="0" applyNumberFormat="1" applyFont="1" applyFill="1" applyBorder="1" applyAlignment="1">
      <alignment horizontal="center" vertical="center"/>
    </xf>
    <xf numFmtId="1" fontId="52" fillId="39" borderId="149" xfId="0" applyNumberFormat="1" applyFont="1" applyFill="1" applyBorder="1" applyAlignment="1">
      <alignment horizontal="center" vertical="center"/>
    </xf>
    <xf numFmtId="1" fontId="52" fillId="39" borderId="150" xfId="0" applyNumberFormat="1" applyFont="1" applyFill="1" applyBorder="1" applyAlignment="1">
      <alignment horizontal="center" vertical="center"/>
    </xf>
    <xf numFmtId="4" fontId="5" fillId="0" borderId="156" xfId="28" applyNumberFormat="1" applyBorder="1" applyAlignment="1">
      <alignment horizontal="center"/>
    </xf>
    <xf numFmtId="4" fontId="5" fillId="0" borderId="147" xfId="28" applyNumberFormat="1" applyBorder="1" applyAlignment="1">
      <alignment horizontal="center"/>
    </xf>
    <xf numFmtId="9" fontId="0" fillId="0" borderId="0" xfId="15" applyFont="1" applyBorder="1" applyAlignment="1">
      <alignment horizontal="left"/>
    </xf>
    <xf numFmtId="3" fontId="57" fillId="0" borderId="46" xfId="0" applyNumberFormat="1" applyFont="1" applyBorder="1" applyAlignment="1">
      <alignment horizontal="center" vertical="center"/>
    </xf>
    <xf numFmtId="3" fontId="57" fillId="0" borderId="156" xfId="0" applyNumberFormat="1" applyFont="1" applyBorder="1" applyAlignment="1">
      <alignment horizontal="center" vertical="center"/>
    </xf>
    <xf numFmtId="2" fontId="8" fillId="23" borderId="19" xfId="0" applyNumberFormat="1" applyFont="1" applyFill="1" applyBorder="1" applyAlignment="1">
      <alignment horizontal="center"/>
    </xf>
    <xf numFmtId="0" fontId="22" fillId="0" borderId="0" xfId="0" applyFont="1" applyAlignment="1">
      <alignment horizontal="center" vertical="center"/>
    </xf>
    <xf numFmtId="3" fontId="33" fillId="18" borderId="0" xfId="20" applyNumberFormat="1" applyFont="1" applyFill="1" applyAlignment="1">
      <alignment horizontal="center" vertical="center"/>
    </xf>
    <xf numFmtId="3" fontId="34" fillId="18" borderId="0" xfId="20" applyNumberFormat="1" applyFont="1" applyFill="1" applyAlignment="1">
      <alignment horizontal="center" vertical="center"/>
    </xf>
    <xf numFmtId="3" fontId="34" fillId="18" borderId="0" xfId="0" applyNumberFormat="1" applyFont="1" applyFill="1" applyAlignment="1">
      <alignment horizontal="center" vertical="center"/>
    </xf>
    <xf numFmtId="3" fontId="33" fillId="0" borderId="0" xfId="0" applyNumberFormat="1" applyFont="1" applyAlignment="1">
      <alignment horizontal="center" vertical="center"/>
    </xf>
    <xf numFmtId="169" fontId="22" fillId="0" borderId="0" xfId="0" applyNumberFormat="1" applyFont="1" applyAlignment="1">
      <alignment horizontal="center" vertical="center"/>
    </xf>
    <xf numFmtId="4" fontId="33" fillId="18" borderId="0" xfId="0" applyNumberFormat="1" applyFont="1" applyFill="1" applyAlignment="1">
      <alignment horizontal="center" vertical="center"/>
    </xf>
    <xf numFmtId="4" fontId="33" fillId="18" borderId="0" xfId="20" applyNumberFormat="1" applyFont="1" applyFill="1" applyAlignment="1">
      <alignment horizontal="center" vertical="center"/>
    </xf>
    <xf numFmtId="3" fontId="22" fillId="18"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8" fillId="7" borderId="19" xfId="0" applyFont="1" applyFill="1" applyBorder="1" applyAlignment="1">
      <alignment horizontal="center" vertical="center" wrapText="1"/>
    </xf>
    <xf numFmtId="0" fontId="32" fillId="7" borderId="19" xfId="0" applyFont="1" applyFill="1" applyBorder="1" applyAlignment="1">
      <alignment horizontal="center" vertical="center" wrapText="1"/>
    </xf>
    <xf numFmtId="172" fontId="0" fillId="0" borderId="100" xfId="0" applyNumberFormat="1" applyBorder="1" applyAlignment="1">
      <alignment horizontal="center" wrapText="1"/>
    </xf>
    <xf numFmtId="0" fontId="45" fillId="8" borderId="73" xfId="0" applyFont="1" applyFill="1" applyBorder="1" applyAlignment="1">
      <alignment horizontal="center" vertical="center" wrapText="1"/>
    </xf>
    <xf numFmtId="0" fontId="45" fillId="9" borderId="74" xfId="0" applyFont="1" applyFill="1" applyBorder="1" applyAlignment="1">
      <alignment horizontal="center" vertical="center" wrapText="1"/>
    </xf>
    <xf numFmtId="0" fontId="45" fillId="10" borderId="74" xfId="0" applyFont="1" applyFill="1" applyBorder="1" applyAlignment="1">
      <alignment horizontal="center" vertical="center" wrapText="1"/>
    </xf>
    <xf numFmtId="0" fontId="45" fillId="14" borderId="74" xfId="0" applyFont="1" applyFill="1" applyBorder="1" applyAlignment="1">
      <alignment horizontal="center" vertical="center" wrapText="1"/>
    </xf>
    <xf numFmtId="0" fontId="45" fillId="22" borderId="101" xfId="0" applyFont="1" applyFill="1" applyBorder="1" applyAlignment="1">
      <alignment horizontal="center" vertical="center" wrapText="1"/>
    </xf>
    <xf numFmtId="0" fontId="45" fillId="15" borderId="74" xfId="0" applyFont="1" applyFill="1" applyBorder="1" applyAlignment="1">
      <alignment horizontal="center" vertical="center" wrapText="1"/>
    </xf>
    <xf numFmtId="0" fontId="45" fillId="9" borderId="65" xfId="0" applyFont="1" applyFill="1" applyBorder="1" applyAlignment="1">
      <alignment horizontal="center" vertical="center" wrapText="1"/>
    </xf>
    <xf numFmtId="0" fontId="45" fillId="10" borderId="65" xfId="0" applyFont="1" applyFill="1" applyBorder="1" applyAlignment="1">
      <alignment horizontal="center" vertical="center" wrapText="1"/>
    </xf>
    <xf numFmtId="0" fontId="45" fillId="14" borderId="65" xfId="0" applyFont="1" applyFill="1" applyBorder="1" applyAlignment="1">
      <alignment horizontal="center" vertical="center" wrapText="1"/>
    </xf>
    <xf numFmtId="0" fontId="45" fillId="22" borderId="65" xfId="0" applyFont="1" applyFill="1" applyBorder="1" applyAlignment="1">
      <alignment horizontal="center" vertical="center" wrapText="1"/>
    </xf>
    <xf numFmtId="0" fontId="45" fillId="15" borderId="65" xfId="0" applyFont="1" applyFill="1" applyBorder="1" applyAlignment="1">
      <alignment horizontal="center" vertical="center" wrapText="1"/>
    </xf>
    <xf numFmtId="0" fontId="54" fillId="0" borderId="0" xfId="0" applyFont="1" applyAlignment="1">
      <alignment horizontal="center" vertical="center"/>
    </xf>
    <xf numFmtId="14" fontId="13" fillId="0" borderId="20" xfId="0" applyNumberFormat="1" applyFont="1" applyBorder="1" applyAlignment="1">
      <alignment horizontal="center" vertical="center"/>
    </xf>
    <xf numFmtId="14" fontId="13" fillId="0" borderId="54" xfId="0" applyNumberFormat="1" applyFont="1" applyBorder="1" applyAlignment="1">
      <alignment horizontal="center" vertical="center"/>
    </xf>
    <xf numFmtId="2" fontId="8" fillId="23" borderId="52" xfId="0" applyNumberFormat="1" applyFont="1" applyFill="1" applyBorder="1" applyAlignment="1">
      <alignment horizontal="center"/>
    </xf>
    <xf numFmtId="2" fontId="31" fillId="23" borderId="52" xfId="15" applyNumberFormat="1" applyFont="1" applyFill="1" applyBorder="1" applyAlignment="1">
      <alignment horizontal="center"/>
    </xf>
    <xf numFmtId="0" fontId="8" fillId="6" borderId="174" xfId="0" applyFont="1" applyFill="1" applyBorder="1"/>
    <xf numFmtId="0" fontId="26" fillId="31" borderId="62" xfId="0" applyFont="1" applyFill="1" applyBorder="1" applyAlignment="1">
      <alignment horizontal="center"/>
    </xf>
    <xf numFmtId="0" fontId="13" fillId="0" borderId="62" xfId="0" applyFont="1" applyBorder="1" applyAlignment="1">
      <alignment horizontal="center"/>
    </xf>
    <xf numFmtId="166" fontId="13" fillId="23" borderId="23" xfId="0" applyNumberFormat="1" applyFont="1" applyFill="1" applyBorder="1" applyAlignment="1">
      <alignment horizontal="center"/>
    </xf>
    <xf numFmtId="2" fontId="31" fillId="23" borderId="62" xfId="15" applyNumberFormat="1" applyFont="1" applyFill="1" applyBorder="1" applyAlignment="1">
      <alignment horizontal="center"/>
    </xf>
    <xf numFmtId="10" fontId="62" fillId="7" borderId="62" xfId="0" applyNumberFormat="1" applyFont="1" applyFill="1" applyBorder="1" applyAlignment="1">
      <alignment horizontal="center"/>
    </xf>
    <xf numFmtId="0" fontId="8" fillId="0" borderId="0" xfId="0" applyFont="1" applyAlignment="1">
      <alignment horizontal="center"/>
    </xf>
    <xf numFmtId="10" fontId="8" fillId="0" borderId="126" xfId="0" applyNumberFormat="1" applyFont="1" applyBorder="1" applyAlignment="1">
      <alignment horizontal="center" vertical="center"/>
    </xf>
    <xf numFmtId="10" fontId="8" fillId="0" borderId="5" xfId="0" applyNumberFormat="1" applyFont="1" applyBorder="1" applyAlignment="1">
      <alignment horizontal="center" vertical="center"/>
    </xf>
    <xf numFmtId="1" fontId="57" fillId="39" borderId="157" xfId="0" applyNumberFormat="1" applyFont="1" applyFill="1" applyBorder="1" applyAlignment="1">
      <alignment horizontal="center" vertical="center"/>
    </xf>
    <xf numFmtId="1" fontId="57" fillId="39" borderId="170" xfId="0" applyNumberFormat="1" applyFont="1" applyFill="1" applyBorder="1" applyAlignment="1">
      <alignment horizontal="center" vertical="center"/>
    </xf>
    <xf numFmtId="0" fontId="0" fillId="0" borderId="46" xfId="0" applyBorder="1" applyAlignment="1">
      <alignment horizontal="center"/>
    </xf>
    <xf numFmtId="166" fontId="0" fillId="0" borderId="46" xfId="0" applyNumberFormat="1" applyBorder="1" applyAlignment="1">
      <alignment horizontal="center"/>
    </xf>
    <xf numFmtId="167" fontId="63" fillId="0" borderId="46" xfId="15" applyNumberFormat="1" applyFont="1" applyBorder="1" applyAlignment="1">
      <alignment horizontal="center"/>
    </xf>
    <xf numFmtId="0" fontId="63" fillId="0" borderId="46" xfId="0" applyFont="1" applyBorder="1"/>
    <xf numFmtId="165" fontId="63" fillId="0" borderId="46" xfId="0" applyNumberFormat="1" applyFont="1" applyBorder="1" applyAlignment="1">
      <alignment horizontal="center"/>
    </xf>
    <xf numFmtId="9" fontId="0" fillId="0" borderId="0" xfId="15" applyFont="1" applyAlignment="1">
      <alignment horizontal="left"/>
    </xf>
    <xf numFmtId="0" fontId="52" fillId="0" borderId="175" xfId="0" applyFont="1" applyBorder="1"/>
    <xf numFmtId="0" fontId="52" fillId="0" borderId="35" xfId="0" applyFont="1" applyBorder="1"/>
    <xf numFmtId="3" fontId="57" fillId="0" borderId="153" xfId="0" applyNumberFormat="1" applyFont="1" applyBorder="1" applyAlignment="1">
      <alignment horizontal="center" vertical="center"/>
    </xf>
    <xf numFmtId="3" fontId="67" fillId="0" borderId="156" xfId="0" quotePrefix="1" applyNumberFormat="1" applyFont="1" applyBorder="1" applyAlignment="1">
      <alignment horizontal="center" vertical="center"/>
    </xf>
    <xf numFmtId="3" fontId="67" fillId="0" borderId="46" xfId="0" quotePrefix="1" applyNumberFormat="1" applyFont="1" applyBorder="1" applyAlignment="1">
      <alignment horizontal="center" vertical="center"/>
    </xf>
    <xf numFmtId="3" fontId="67" fillId="0" borderId="147" xfId="0" quotePrefix="1" applyNumberFormat="1" applyFont="1" applyBorder="1" applyAlignment="1">
      <alignment horizontal="center" vertical="center"/>
    </xf>
    <xf numFmtId="0" fontId="52" fillId="39" borderId="145" xfId="0" applyFont="1" applyFill="1" applyBorder="1" applyAlignment="1">
      <alignment horizontal="center" vertical="center"/>
    </xf>
    <xf numFmtId="0" fontId="52" fillId="39" borderId="2" xfId="0" applyFont="1" applyFill="1" applyBorder="1" applyAlignment="1">
      <alignment horizontal="center" vertical="center"/>
    </xf>
    <xf numFmtId="1" fontId="52" fillId="39" borderId="124" xfId="0" applyNumberFormat="1" applyFont="1" applyFill="1" applyBorder="1" applyAlignment="1">
      <alignment horizontal="center" vertical="center"/>
    </xf>
    <xf numFmtId="1" fontId="52" fillId="39" borderId="177" xfId="0" applyNumberFormat="1" applyFont="1" applyFill="1" applyBorder="1" applyAlignment="1">
      <alignment horizontal="center" vertical="center"/>
    </xf>
    <xf numFmtId="3" fontId="57" fillId="40" borderId="178" xfId="0" applyNumberFormat="1" applyFont="1" applyFill="1" applyBorder="1" applyAlignment="1">
      <alignment horizontal="center" vertical="center"/>
    </xf>
    <xf numFmtId="3" fontId="57" fillId="40" borderId="3" xfId="0" applyNumberFormat="1" applyFont="1" applyFill="1" applyBorder="1" applyAlignment="1">
      <alignment horizontal="center" vertical="center"/>
    </xf>
    <xf numFmtId="3" fontId="57" fillId="40" borderId="34" xfId="0" applyNumberFormat="1" applyFont="1" applyFill="1" applyBorder="1" applyAlignment="1">
      <alignment horizontal="center" vertical="center"/>
    </xf>
    <xf numFmtId="3" fontId="58" fillId="11" borderId="0" xfId="0" applyNumberFormat="1" applyFont="1" applyFill="1" applyAlignment="1">
      <alignment horizontal="center" vertical="center"/>
    </xf>
    <xf numFmtId="3" fontId="58" fillId="11" borderId="179" xfId="0" applyNumberFormat="1" applyFont="1" applyFill="1" applyBorder="1" applyAlignment="1">
      <alignment horizontal="center" vertical="center"/>
    </xf>
    <xf numFmtId="1" fontId="57" fillId="40" borderId="44" xfId="0" applyNumberFormat="1" applyFont="1" applyFill="1" applyBorder="1" applyAlignment="1">
      <alignment horizontal="center" vertical="center"/>
    </xf>
    <xf numFmtId="1" fontId="57" fillId="0" borderId="44" xfId="0" applyNumberFormat="1" applyFont="1" applyBorder="1" applyAlignment="1">
      <alignment horizontal="center" vertical="center"/>
    </xf>
    <xf numFmtId="0" fontId="0" fillId="36" borderId="32" xfId="0" applyFill="1" applyBorder="1"/>
    <xf numFmtId="0" fontId="63" fillId="0" borderId="0" xfId="28" applyFont="1" applyAlignment="1">
      <alignment horizontal="center" vertical="center"/>
    </xf>
    <xf numFmtId="0" fontId="5" fillId="0" borderId="0" xfId="28"/>
    <xf numFmtId="0" fontId="5" fillId="0" borderId="36" xfId="28" applyBorder="1"/>
    <xf numFmtId="0" fontId="52" fillId="0" borderId="180" xfId="0" applyFont="1" applyBorder="1"/>
    <xf numFmtId="0" fontId="54" fillId="0" borderId="122" xfId="0" applyFont="1" applyBorder="1" applyAlignment="1">
      <alignment horizontal="center" vertical="center"/>
    </xf>
    <xf numFmtId="0" fontId="54" fillId="0" borderId="123" xfId="0" applyFont="1" applyBorder="1" applyAlignment="1">
      <alignment horizontal="center" vertical="center"/>
    </xf>
    <xf numFmtId="0" fontId="52" fillId="0" borderId="181" xfId="0" applyFont="1" applyBorder="1"/>
    <xf numFmtId="0" fontId="52" fillId="0" borderId="121" xfId="0" applyFont="1" applyBorder="1" applyAlignment="1">
      <alignment horizontal="center" vertical="center"/>
    </xf>
    <xf numFmtId="0" fontId="52" fillId="0" borderId="182" xfId="0" applyFont="1" applyBorder="1"/>
    <xf numFmtId="10" fontId="0" fillId="0" borderId="0" xfId="0" applyNumberFormat="1" applyAlignment="1">
      <alignment horizontal="center" vertical="center"/>
    </xf>
    <xf numFmtId="0" fontId="52" fillId="0" borderId="121" xfId="0" applyFont="1" applyBorder="1"/>
    <xf numFmtId="9" fontId="22" fillId="0" borderId="0" xfId="15" applyFont="1" applyAlignment="1">
      <alignment horizontal="center" vertical="center"/>
    </xf>
    <xf numFmtId="1" fontId="57" fillId="40" borderId="145" xfId="0" applyNumberFormat="1" applyFont="1" applyFill="1" applyBorder="1" applyAlignment="1">
      <alignment horizontal="center" vertical="center"/>
    </xf>
    <xf numFmtId="1" fontId="57" fillId="40" borderId="2" xfId="0" applyNumberFormat="1" applyFont="1" applyFill="1" applyBorder="1" applyAlignment="1">
      <alignment horizontal="center" vertical="center"/>
    </xf>
    <xf numFmtId="1" fontId="57" fillId="40" borderId="37" xfId="0" applyNumberFormat="1" applyFont="1" applyFill="1" applyBorder="1" applyAlignment="1">
      <alignment horizontal="center" vertical="center"/>
    </xf>
    <xf numFmtId="3" fontId="0" fillId="0" borderId="46" xfId="0" applyNumberFormat="1" applyBorder="1" applyAlignment="1">
      <alignment horizontal="center" vertical="center"/>
    </xf>
    <xf numFmtId="3" fontId="0" fillId="0" borderId="147" xfId="0" applyNumberFormat="1" applyBorder="1" applyAlignment="1">
      <alignment horizontal="center" vertical="center"/>
    </xf>
    <xf numFmtId="1" fontId="52" fillId="39" borderId="184" xfId="0" applyNumberFormat="1" applyFont="1" applyFill="1" applyBorder="1" applyAlignment="1">
      <alignment horizontal="center" vertical="center"/>
    </xf>
    <xf numFmtId="0" fontId="52" fillId="39" borderId="37" xfId="0" applyFont="1" applyFill="1" applyBorder="1" applyAlignment="1">
      <alignment horizontal="center" vertical="center"/>
    </xf>
    <xf numFmtId="1" fontId="0" fillId="0" borderId="185" xfId="0" applyNumberFormat="1" applyBorder="1" applyAlignment="1">
      <alignment horizontal="center" vertical="center"/>
    </xf>
    <xf numFmtId="1" fontId="0" fillId="0" borderId="45" xfId="0" applyNumberFormat="1" applyBorder="1" applyAlignment="1">
      <alignment horizontal="center" vertical="center"/>
    </xf>
    <xf numFmtId="3" fontId="67" fillId="0" borderId="156" xfId="0" applyNumberFormat="1" applyFont="1" applyBorder="1" applyAlignment="1">
      <alignment horizontal="center" vertical="center"/>
    </xf>
    <xf numFmtId="2" fontId="0" fillId="23" borderId="62" xfId="0" applyNumberFormat="1" applyFill="1" applyBorder="1" applyAlignment="1">
      <alignment horizontal="center"/>
    </xf>
    <xf numFmtId="166" fontId="0" fillId="23" borderId="23" xfId="0" applyNumberFormat="1" applyFill="1" applyBorder="1" applyAlignment="1">
      <alignment horizontal="center"/>
    </xf>
    <xf numFmtId="10" fontId="0" fillId="7" borderId="23" xfId="24" applyNumberFormat="1" applyFont="1" applyFill="1" applyBorder="1" applyAlignment="1">
      <alignment horizontal="center"/>
    </xf>
    <xf numFmtId="167" fontId="0" fillId="7" borderId="23" xfId="24" applyNumberFormat="1" applyFont="1" applyFill="1" applyBorder="1" applyAlignment="1">
      <alignment horizontal="center"/>
    </xf>
    <xf numFmtId="167" fontId="0" fillId="7" borderId="23" xfId="15" quotePrefix="1" applyNumberFormat="1" applyFont="1" applyFill="1" applyBorder="1" applyAlignment="1">
      <alignment horizontal="center"/>
    </xf>
    <xf numFmtId="168" fontId="0" fillId="23" borderId="23" xfId="0" applyNumberFormat="1" applyFill="1" applyBorder="1" applyAlignment="1">
      <alignment horizontal="center"/>
    </xf>
    <xf numFmtId="168" fontId="0" fillId="23" borderId="23" xfId="15" applyNumberFormat="1" applyFont="1" applyFill="1" applyBorder="1" applyAlignment="1">
      <alignment horizontal="center"/>
    </xf>
    <xf numFmtId="167" fontId="0" fillId="23" borderId="23" xfId="15" applyNumberFormat="1" applyFont="1" applyFill="1" applyBorder="1" applyAlignment="1">
      <alignment horizontal="center"/>
    </xf>
    <xf numFmtId="2" fontId="0" fillId="23" borderId="23" xfId="15" applyNumberFormat="1" applyFont="1" applyFill="1" applyBorder="1" applyAlignment="1">
      <alignment horizontal="center"/>
    </xf>
    <xf numFmtId="167" fontId="0" fillId="7" borderId="23" xfId="15" applyNumberFormat="1" applyFont="1" applyFill="1" applyBorder="1" applyAlignment="1">
      <alignment horizontal="center"/>
    </xf>
    <xf numFmtId="0" fontId="0" fillId="0" borderId="22" xfId="0" quotePrefix="1" applyBorder="1"/>
    <xf numFmtId="10" fontId="0" fillId="7" borderId="23" xfId="15" applyNumberFormat="1" applyFont="1" applyFill="1" applyBorder="1" applyAlignment="1">
      <alignment horizontal="center"/>
    </xf>
    <xf numFmtId="4" fontId="0" fillId="7" borderId="23" xfId="0" applyNumberFormat="1" applyFill="1" applyBorder="1" applyAlignment="1">
      <alignment horizontal="center"/>
    </xf>
    <xf numFmtId="0" fontId="0" fillId="0" borderId="22" xfId="0" applyBorder="1"/>
    <xf numFmtId="0" fontId="0" fillId="7" borderId="23" xfId="0" applyFill="1" applyBorder="1" applyAlignment="1">
      <alignment horizontal="left" vertical="center" wrapText="1"/>
    </xf>
    <xf numFmtId="0" fontId="0" fillId="0" borderId="58" xfId="0" applyBorder="1" applyAlignment="1">
      <alignment horizontal="center" vertical="center"/>
    </xf>
    <xf numFmtId="174" fontId="0" fillId="0" borderId="0" xfId="0" applyNumberFormat="1" applyAlignment="1">
      <alignment horizontal="center"/>
    </xf>
    <xf numFmtId="1" fontId="57" fillId="0" borderId="145" xfId="0" applyNumberFormat="1" applyFont="1" applyBorder="1" applyAlignment="1">
      <alignment horizontal="center" vertical="center"/>
    </xf>
    <xf numFmtId="1" fontId="57" fillId="0" borderId="2" xfId="0" applyNumberFormat="1" applyFont="1" applyBorder="1" applyAlignment="1">
      <alignment horizontal="center" vertical="center"/>
    </xf>
    <xf numFmtId="1" fontId="8" fillId="0" borderId="178" xfId="0" applyNumberFormat="1" applyFont="1" applyBorder="1" applyAlignment="1">
      <alignment horizontal="center" vertical="center"/>
    </xf>
    <xf numFmtId="10" fontId="69" fillId="34" borderId="115" xfId="25" applyNumberFormat="1" applyFont="1" applyFill="1" applyBorder="1"/>
    <xf numFmtId="173" fontId="8" fillId="0" borderId="115" xfId="25" applyNumberFormat="1" applyBorder="1"/>
    <xf numFmtId="167" fontId="52" fillId="0" borderId="0" xfId="15" applyNumberFormat="1" applyFont="1"/>
    <xf numFmtId="3" fontId="67" fillId="37" borderId="46" xfId="0" quotePrefix="1" applyNumberFormat="1" applyFont="1" applyFill="1" applyBorder="1" applyAlignment="1">
      <alignment horizontal="center" vertical="center"/>
    </xf>
    <xf numFmtId="3" fontId="67" fillId="37" borderId="44" xfId="0" quotePrefix="1" applyNumberFormat="1" applyFont="1" applyFill="1" applyBorder="1" applyAlignment="1">
      <alignment horizontal="center" vertical="center"/>
    </xf>
    <xf numFmtId="3" fontId="24" fillId="37" borderId="46" xfId="0" applyNumberFormat="1" applyFont="1" applyFill="1" applyBorder="1" applyAlignment="1">
      <alignment horizontal="center" vertical="center"/>
    </xf>
    <xf numFmtId="3" fontId="24" fillId="37" borderId="44" xfId="0" applyNumberFormat="1" applyFont="1" applyFill="1" applyBorder="1" applyAlignment="1">
      <alignment horizontal="center" vertical="center"/>
    </xf>
    <xf numFmtId="0" fontId="67" fillId="37" borderId="46" xfId="0" applyFont="1" applyFill="1" applyBorder="1" applyAlignment="1">
      <alignment horizontal="center" vertical="center"/>
    </xf>
    <xf numFmtId="0" fontId="67" fillId="37" borderId="44" xfId="0" applyFont="1" applyFill="1" applyBorder="1" applyAlignment="1">
      <alignment horizontal="center" vertical="center"/>
    </xf>
    <xf numFmtId="1" fontId="67" fillId="0" borderId="156" xfId="0" applyNumberFormat="1" applyFont="1" applyBorder="1" applyAlignment="1">
      <alignment horizontal="center" vertical="center"/>
    </xf>
    <xf numFmtId="1" fontId="67" fillId="0" borderId="46" xfId="0" quotePrefix="1" applyNumberFormat="1" applyFont="1" applyBorder="1" applyAlignment="1">
      <alignment horizontal="center" vertical="center"/>
    </xf>
    <xf numFmtId="1" fontId="67" fillId="0" borderId="147" xfId="0" quotePrefix="1" applyNumberFormat="1" applyFont="1" applyBorder="1" applyAlignment="1">
      <alignment horizontal="center" vertical="center"/>
    </xf>
    <xf numFmtId="1" fontId="24" fillId="0" borderId="156" xfId="0" applyNumberFormat="1" applyFont="1" applyBorder="1" applyAlignment="1">
      <alignment horizontal="center" vertical="center"/>
    </xf>
    <xf numFmtId="1" fontId="24" fillId="0" borderId="46" xfId="0" applyNumberFormat="1" applyFont="1" applyBorder="1" applyAlignment="1">
      <alignment horizontal="center" vertical="center"/>
    </xf>
    <xf numFmtId="1" fontId="24" fillId="0" borderId="147" xfId="0" applyNumberFormat="1" applyFont="1" applyBorder="1" applyAlignment="1">
      <alignment horizontal="center" vertical="center"/>
    </xf>
    <xf numFmtId="1" fontId="67" fillId="0" borderId="46" xfId="0" applyNumberFormat="1" applyFont="1" applyBorder="1" applyAlignment="1">
      <alignment horizontal="center" vertical="center"/>
    </xf>
    <xf numFmtId="1" fontId="67" fillId="0" borderId="147"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34" xfId="0" applyNumberFormat="1" applyFont="1" applyBorder="1" applyAlignment="1">
      <alignment horizontal="center" vertical="center"/>
    </xf>
    <xf numFmtId="0" fontId="64" fillId="0" borderId="0" xfId="0" applyFont="1" applyAlignment="1">
      <alignment horizontal="center"/>
    </xf>
    <xf numFmtId="1" fontId="64" fillId="0" borderId="0" xfId="0" applyNumberFormat="1" applyFont="1" applyAlignment="1">
      <alignment horizontal="center"/>
    </xf>
    <xf numFmtId="1" fontId="70" fillId="0" borderId="0" xfId="0" applyNumberFormat="1" applyFont="1" applyAlignment="1">
      <alignment horizontal="left"/>
    </xf>
    <xf numFmtId="0" fontId="8" fillId="0" borderId="0" xfId="25" applyAlignment="1">
      <alignment vertical="center" wrapText="1"/>
    </xf>
    <xf numFmtId="3" fontId="50" fillId="33" borderId="117" xfId="5" applyFont="1" applyFill="1" applyBorder="1" applyAlignment="1">
      <alignment horizontal="right" vertical="center" wrapText="1"/>
    </xf>
    <xf numFmtId="4" fontId="8" fillId="33" borderId="117" xfId="7" applyFont="1" applyFill="1" applyBorder="1" applyAlignment="1">
      <alignment horizontal="right" vertical="center" wrapText="1"/>
    </xf>
    <xf numFmtId="4" fontId="30" fillId="0" borderId="115" xfId="7" applyFont="1" applyFill="1" applyBorder="1" applyAlignment="1">
      <alignment horizontal="right" vertical="center" wrapText="1"/>
    </xf>
    <xf numFmtId="0" fontId="8" fillId="0" borderId="115" xfId="9" applyFont="1" applyFill="1" applyBorder="1" applyAlignment="1">
      <alignment horizontal="right" vertical="center" wrapText="1"/>
    </xf>
    <xf numFmtId="0" fontId="8" fillId="0" borderId="0" xfId="25" applyAlignment="1">
      <alignment wrapText="1"/>
    </xf>
    <xf numFmtId="9" fontId="0" fillId="7" borderId="23" xfId="15" applyFont="1" applyFill="1" applyBorder="1" applyAlignment="1">
      <alignment horizontal="center"/>
    </xf>
    <xf numFmtId="2" fontId="8" fillId="0" borderId="0" xfId="25" applyNumberFormat="1"/>
    <xf numFmtId="2" fontId="0" fillId="0" borderId="0" xfId="25" applyNumberFormat="1" applyFont="1"/>
    <xf numFmtId="0" fontId="57" fillId="0" borderId="0" xfId="0" applyFont="1"/>
    <xf numFmtId="0" fontId="57" fillId="0" borderId="0" xfId="0" applyFont="1" applyAlignment="1">
      <alignment horizontal="center"/>
    </xf>
    <xf numFmtId="166" fontId="25" fillId="0" borderId="0" xfId="0" applyNumberFormat="1" applyFont="1"/>
    <xf numFmtId="167" fontId="8" fillId="23" borderId="19" xfId="15" applyNumberFormat="1" applyFont="1" applyFill="1" applyBorder="1" applyAlignment="1">
      <alignment horizontal="center"/>
    </xf>
    <xf numFmtId="172" fontId="32" fillId="23" borderId="100" xfId="0" applyNumberFormat="1" applyFont="1" applyFill="1" applyBorder="1" applyAlignment="1">
      <alignment horizontal="center"/>
    </xf>
    <xf numFmtId="0" fontId="45" fillId="8" borderId="73" xfId="0" applyFont="1" applyFill="1" applyBorder="1" applyAlignment="1">
      <alignment horizontal="center" vertical="center"/>
    </xf>
    <xf numFmtId="0" fontId="45" fillId="30" borderId="73" xfId="0" applyFont="1" applyFill="1" applyBorder="1" applyAlignment="1">
      <alignment horizontal="center" vertical="center"/>
    </xf>
    <xf numFmtId="4" fontId="24" fillId="8" borderId="115" xfId="7" applyFont="1" applyFill="1" applyBorder="1" applyAlignment="1">
      <alignment horizontal="right" vertical="center"/>
    </xf>
    <xf numFmtId="0" fontId="8" fillId="11" borderId="115" xfId="9" applyFont="1" applyFill="1" applyBorder="1" applyAlignment="1">
      <alignment horizontal="right" vertical="center"/>
    </xf>
    <xf numFmtId="0" fontId="24" fillId="0" borderId="19" xfId="0" applyFont="1" applyBorder="1" applyAlignment="1">
      <alignment horizontal="center"/>
    </xf>
    <xf numFmtId="0" fontId="8" fillId="0" borderId="19" xfId="0" applyFont="1" applyBorder="1" applyAlignment="1">
      <alignment horizontal="center"/>
    </xf>
    <xf numFmtId="0" fontId="45" fillId="4" borderId="143" xfId="0" applyFont="1" applyFill="1" applyBorder="1" applyAlignment="1">
      <alignment horizontal="center"/>
    </xf>
    <xf numFmtId="0" fontId="26" fillId="31" borderId="10" xfId="0" applyFont="1" applyFill="1" applyBorder="1" applyAlignment="1">
      <alignment horizontal="center"/>
    </xf>
    <xf numFmtId="0" fontId="0" fillId="7" borderId="189" xfId="0" applyFill="1" applyBorder="1" applyAlignment="1">
      <alignment vertical="center" wrapText="1"/>
    </xf>
    <xf numFmtId="0" fontId="0" fillId="7" borderId="186" xfId="0" applyFill="1" applyBorder="1" applyAlignment="1">
      <alignment vertical="center" wrapText="1"/>
    </xf>
    <xf numFmtId="0" fontId="45" fillId="4" borderId="128" xfId="0" applyFont="1" applyFill="1" applyBorder="1" applyAlignment="1">
      <alignment horizontal="center"/>
    </xf>
    <xf numFmtId="0" fontId="26" fillId="31" borderId="189" xfId="0" applyFont="1" applyFill="1" applyBorder="1" applyAlignment="1">
      <alignment horizontal="center"/>
    </xf>
    <xf numFmtId="0" fontId="0" fillId="7" borderId="189" xfId="0" applyFill="1" applyBorder="1" applyAlignment="1">
      <alignment horizontal="left"/>
    </xf>
    <xf numFmtId="0" fontId="0" fillId="7" borderId="186" xfId="0" applyFill="1" applyBorder="1" applyAlignment="1">
      <alignment horizontal="left"/>
    </xf>
    <xf numFmtId="0" fontId="13" fillId="16" borderId="103" xfId="0" applyFont="1" applyFill="1" applyBorder="1" applyAlignment="1">
      <alignment horizontal="left" vertical="center"/>
    </xf>
    <xf numFmtId="172" fontId="0" fillId="16" borderId="99" xfId="0" applyNumberFormat="1" applyFill="1" applyBorder="1" applyAlignment="1">
      <alignment horizontal="center"/>
    </xf>
    <xf numFmtId="0" fontId="13" fillId="16" borderId="104" xfId="0" applyFont="1" applyFill="1" applyBorder="1" applyAlignment="1">
      <alignment horizontal="left" vertical="center"/>
    </xf>
    <xf numFmtId="9" fontId="0" fillId="16" borderId="100" xfId="15" applyFont="1" applyFill="1" applyBorder="1" applyAlignment="1">
      <alignment horizontal="center"/>
    </xf>
    <xf numFmtId="9" fontId="8" fillId="16" borderId="99" xfId="15" applyFont="1" applyFill="1" applyBorder="1" applyAlignment="1">
      <alignment horizontal="center"/>
    </xf>
    <xf numFmtId="2" fontId="8" fillId="16" borderId="100" xfId="0" applyNumberFormat="1" applyFont="1" applyFill="1" applyBorder="1" applyAlignment="1">
      <alignment horizontal="center" vertical="center"/>
    </xf>
    <xf numFmtId="2" fontId="0" fillId="16" borderId="100" xfId="0" applyNumberFormat="1" applyFill="1" applyBorder="1" applyAlignment="1">
      <alignment horizontal="center"/>
    </xf>
    <xf numFmtId="0" fontId="13" fillId="16" borderId="102" xfId="0" applyFont="1" applyFill="1" applyBorder="1" applyAlignment="1">
      <alignment horizontal="left" vertical="center"/>
    </xf>
    <xf numFmtId="2" fontId="0" fillId="16" borderId="98" xfId="0" applyNumberFormat="1" applyFill="1" applyBorder="1" applyAlignment="1">
      <alignment horizontal="center"/>
    </xf>
    <xf numFmtId="2" fontId="8" fillId="16" borderId="100" xfId="0" applyNumberFormat="1" applyFont="1" applyFill="1" applyBorder="1" applyAlignment="1">
      <alignment horizontal="center"/>
    </xf>
    <xf numFmtId="168" fontId="0" fillId="16" borderId="100" xfId="0" applyNumberFormat="1" applyFill="1" applyBorder="1" applyAlignment="1">
      <alignment horizontal="center"/>
    </xf>
    <xf numFmtId="9" fontId="0" fillId="0" borderId="98" xfId="15" applyFont="1" applyFill="1" applyBorder="1" applyAlignment="1">
      <alignment horizontal="center"/>
    </xf>
    <xf numFmtId="0" fontId="13" fillId="0" borderId="104" xfId="0" applyFont="1" applyBorder="1" applyAlignment="1">
      <alignment horizontal="left" vertical="center"/>
    </xf>
    <xf numFmtId="9" fontId="0" fillId="0" borderId="100" xfId="15" applyFont="1" applyFill="1" applyBorder="1" applyAlignment="1">
      <alignment horizontal="center"/>
    </xf>
    <xf numFmtId="2" fontId="0" fillId="0" borderId="98" xfId="0" applyNumberFormat="1" applyBorder="1" applyAlignment="1">
      <alignment horizontal="center"/>
    </xf>
    <xf numFmtId="0" fontId="13" fillId="0" borderId="103" xfId="0" applyFont="1" applyBorder="1" applyAlignment="1">
      <alignment horizontal="left" vertical="center"/>
    </xf>
    <xf numFmtId="2" fontId="0" fillId="0" borderId="100" xfId="0" applyNumberFormat="1" applyBorder="1" applyAlignment="1">
      <alignment horizontal="center"/>
    </xf>
    <xf numFmtId="2" fontId="8" fillId="16" borderId="98" xfId="0" applyNumberFormat="1" applyFont="1" applyFill="1" applyBorder="1" applyAlignment="1">
      <alignment horizontal="center"/>
    </xf>
    <xf numFmtId="2" fontId="0" fillId="16" borderId="99" xfId="0" applyNumberFormat="1" applyFill="1" applyBorder="1" applyAlignment="1">
      <alignment horizontal="center"/>
    </xf>
    <xf numFmtId="0" fontId="14" fillId="16" borderId="104" xfId="0" applyFont="1" applyFill="1" applyBorder="1" applyAlignment="1">
      <alignment horizontal="left" vertical="center"/>
    </xf>
    <xf numFmtId="2" fontId="0" fillId="16" borderId="100" xfId="15" applyNumberFormat="1" applyFont="1" applyFill="1" applyBorder="1" applyAlignment="1">
      <alignment horizontal="center"/>
    </xf>
    <xf numFmtId="175" fontId="0" fillId="16" borderId="100" xfId="0" applyNumberFormat="1" applyFill="1" applyBorder="1" applyAlignment="1">
      <alignment horizontal="center"/>
    </xf>
    <xf numFmtId="0" fontId="13" fillId="0" borderId="106" xfId="0" applyFont="1" applyBorder="1" applyAlignment="1">
      <alignment horizontal="left" vertical="center"/>
    </xf>
    <xf numFmtId="9" fontId="0" fillId="0" borderId="107" xfId="15" applyFont="1" applyFill="1" applyBorder="1" applyAlignment="1">
      <alignment horizontal="center"/>
    </xf>
    <xf numFmtId="10" fontId="8" fillId="0" borderId="99" xfId="15" applyNumberFormat="1" applyFont="1" applyFill="1" applyBorder="1" applyAlignment="1">
      <alignment horizontal="center"/>
    </xf>
    <xf numFmtId="10" fontId="0" fillId="0" borderId="99" xfId="15" applyNumberFormat="1" applyFont="1" applyFill="1" applyBorder="1" applyAlignment="1">
      <alignment horizontal="center"/>
    </xf>
    <xf numFmtId="168" fontId="0" fillId="0" borderId="99" xfId="0" applyNumberFormat="1" applyBorder="1" applyAlignment="1">
      <alignment horizontal="center"/>
    </xf>
    <xf numFmtId="168" fontId="8" fillId="0" borderId="98" xfId="0" applyNumberFormat="1" applyFont="1" applyBorder="1" applyAlignment="1">
      <alignment horizontal="center"/>
    </xf>
    <xf numFmtId="168" fontId="0" fillId="0" borderId="98" xfId="0" applyNumberFormat="1" applyBorder="1" applyAlignment="1">
      <alignment horizontal="center"/>
    </xf>
    <xf numFmtId="2" fontId="0" fillId="0" borderId="99" xfId="0" applyNumberFormat="1" applyBorder="1" applyAlignment="1">
      <alignment horizontal="center"/>
    </xf>
    <xf numFmtId="168" fontId="0" fillId="0" borderId="100" xfId="0" applyNumberFormat="1" applyBorder="1" applyAlignment="1">
      <alignment horizontal="center"/>
    </xf>
    <xf numFmtId="167" fontId="0" fillId="0" borderId="98" xfId="15" applyNumberFormat="1" applyFont="1" applyFill="1" applyBorder="1" applyAlignment="1">
      <alignment horizontal="center"/>
    </xf>
    <xf numFmtId="172" fontId="25" fillId="17" borderId="206" xfId="0" applyNumberFormat="1" applyFont="1" applyFill="1" applyBorder="1" applyAlignment="1">
      <alignment horizontal="center"/>
    </xf>
    <xf numFmtId="172" fontId="25" fillId="17" borderId="207" xfId="0" applyNumberFormat="1" applyFont="1" applyFill="1" applyBorder="1" applyAlignment="1">
      <alignment horizontal="center"/>
    </xf>
    <xf numFmtId="9" fontId="25" fillId="30" borderId="75" xfId="15" applyFont="1" applyFill="1" applyBorder="1" applyAlignment="1">
      <alignment horizontal="center" vertical="center"/>
    </xf>
    <xf numFmtId="9" fontId="25" fillId="17" borderId="206" xfId="15" applyFont="1" applyFill="1" applyBorder="1" applyAlignment="1">
      <alignment horizontal="center"/>
    </xf>
    <xf numFmtId="9" fontId="25" fillId="17" borderId="105" xfId="15" applyFont="1" applyFill="1" applyBorder="1" applyAlignment="1">
      <alignment horizontal="center"/>
    </xf>
    <xf numFmtId="9" fontId="25" fillId="17" borderId="207" xfId="15" applyFont="1" applyFill="1" applyBorder="1" applyAlignment="1">
      <alignment horizontal="center"/>
    </xf>
    <xf numFmtId="0" fontId="25" fillId="30" borderId="75" xfId="0" applyFont="1" applyFill="1" applyBorder="1" applyAlignment="1">
      <alignment horizontal="center" vertical="center"/>
    </xf>
    <xf numFmtId="2" fontId="25" fillId="17" borderId="105" xfId="0" applyNumberFormat="1" applyFont="1" applyFill="1" applyBorder="1" applyAlignment="1">
      <alignment horizontal="center"/>
    </xf>
    <xf numFmtId="2" fontId="25" fillId="17" borderId="207" xfId="0" applyNumberFormat="1" applyFont="1" applyFill="1" applyBorder="1" applyAlignment="1">
      <alignment horizontal="center"/>
    </xf>
    <xf numFmtId="2" fontId="25" fillId="30" borderId="75" xfId="15" applyNumberFormat="1" applyFont="1" applyFill="1" applyBorder="1" applyAlignment="1">
      <alignment horizontal="center" vertical="center"/>
    </xf>
    <xf numFmtId="2" fontId="25" fillId="17" borderId="206" xfId="0" applyNumberFormat="1" applyFont="1" applyFill="1" applyBorder="1" applyAlignment="1">
      <alignment horizontal="center"/>
    </xf>
    <xf numFmtId="10" fontId="25" fillId="30" borderId="75" xfId="0" applyNumberFormat="1" applyFont="1" applyFill="1" applyBorder="1" applyAlignment="1">
      <alignment horizontal="center" vertical="center"/>
    </xf>
    <xf numFmtId="170" fontId="25" fillId="30" borderId="75" xfId="18" applyNumberFormat="1" applyFont="1" applyFill="1" applyBorder="1" applyAlignment="1">
      <alignment horizontal="center" vertical="center"/>
    </xf>
    <xf numFmtId="2" fontId="25" fillId="17" borderId="105" xfId="15" applyNumberFormat="1" applyFont="1" applyFill="1" applyBorder="1" applyAlignment="1">
      <alignment horizontal="center"/>
    </xf>
    <xf numFmtId="0" fontId="25" fillId="30" borderId="75" xfId="0" applyFont="1" applyFill="1" applyBorder="1" applyAlignment="1">
      <alignment horizontal="center"/>
    </xf>
    <xf numFmtId="9" fontId="25" fillId="17" borderId="77" xfId="15" applyFont="1" applyFill="1" applyBorder="1" applyAlignment="1">
      <alignment horizontal="center"/>
    </xf>
    <xf numFmtId="0" fontId="13" fillId="0" borderId="94" xfId="0" applyFont="1" applyBorder="1" applyAlignment="1">
      <alignment horizontal="left"/>
    </xf>
    <xf numFmtId="9" fontId="8" fillId="0" borderId="208" xfId="0" applyNumberFormat="1" applyFont="1" applyBorder="1" applyAlignment="1">
      <alignment horizontal="center"/>
    </xf>
    <xf numFmtId="3" fontId="52" fillId="0" borderId="145" xfId="0" applyNumberFormat="1" applyFont="1" applyBorder="1" applyAlignment="1">
      <alignment horizontal="center" vertical="center"/>
    </xf>
    <xf numFmtId="3" fontId="52" fillId="7" borderId="146" xfId="0" applyNumberFormat="1" applyFont="1" applyFill="1" applyBorder="1" applyAlignment="1">
      <alignment horizontal="center" vertical="center"/>
    </xf>
    <xf numFmtId="0" fontId="52" fillId="0" borderId="209" xfId="0" applyFont="1" applyBorder="1"/>
    <xf numFmtId="4" fontId="5" fillId="0" borderId="210" xfId="28" applyNumberFormat="1" applyBorder="1" applyAlignment="1">
      <alignment horizontal="center"/>
    </xf>
    <xf numFmtId="0" fontId="52" fillId="0" borderId="43" xfId="0" applyFont="1" applyBorder="1"/>
    <xf numFmtId="10" fontId="5" fillId="0" borderId="0" xfId="28" quotePrefix="1" applyNumberFormat="1" applyAlignment="1">
      <alignment horizontal="right"/>
    </xf>
    <xf numFmtId="1" fontId="52" fillId="39" borderId="211" xfId="0" applyNumberFormat="1" applyFont="1" applyFill="1" applyBorder="1" applyAlignment="1">
      <alignment horizontal="center" vertical="center"/>
    </xf>
    <xf numFmtId="1" fontId="52" fillId="39" borderId="178" xfId="0" applyNumberFormat="1" applyFont="1" applyFill="1" applyBorder="1" applyAlignment="1">
      <alignment horizontal="center" vertical="center"/>
    </xf>
    <xf numFmtId="1" fontId="52" fillId="39" borderId="3" xfId="0" applyNumberFormat="1" applyFont="1" applyFill="1" applyBorder="1" applyAlignment="1">
      <alignment horizontal="center" vertical="center"/>
    </xf>
    <xf numFmtId="1" fontId="52" fillId="39" borderId="34" xfId="0" applyNumberFormat="1" applyFont="1" applyFill="1" applyBorder="1" applyAlignment="1">
      <alignment horizontal="center" vertical="center"/>
    </xf>
    <xf numFmtId="1" fontId="0" fillId="0" borderId="178" xfId="0" applyNumberFormat="1" applyBorder="1" applyAlignment="1">
      <alignment horizontal="center" vertical="center"/>
    </xf>
    <xf numFmtId="1" fontId="0" fillId="0" borderId="3" xfId="0" applyNumberFormat="1" applyBorder="1" applyAlignment="1">
      <alignment horizontal="center" vertical="center"/>
    </xf>
    <xf numFmtId="1" fontId="0" fillId="0" borderId="183" xfId="0" applyNumberFormat="1" applyBorder="1" applyAlignment="1">
      <alignment horizontal="center" vertical="center"/>
    </xf>
    <xf numFmtId="1" fontId="0" fillId="0" borderId="35" xfId="0" applyNumberFormat="1" applyBorder="1" applyAlignment="1">
      <alignment horizontal="center" vertical="center"/>
    </xf>
    <xf numFmtId="0" fontId="52" fillId="0" borderId="146" xfId="0" applyFont="1" applyBorder="1" applyAlignment="1">
      <alignment horizontal="center" vertical="center"/>
    </xf>
    <xf numFmtId="1" fontId="52" fillId="0" borderId="145" xfId="0" applyNumberFormat="1" applyFont="1" applyBorder="1" applyAlignment="1">
      <alignment horizontal="center" vertical="center"/>
    </xf>
    <xf numFmtId="1" fontId="52" fillId="0" borderId="2" xfId="0" applyNumberFormat="1" applyFont="1" applyBorder="1" applyAlignment="1">
      <alignment horizontal="center" vertical="center"/>
    </xf>
    <xf numFmtId="1" fontId="52" fillId="0" borderId="176" xfId="0" applyNumberFormat="1" applyFont="1" applyBorder="1" applyAlignment="1">
      <alignment horizontal="center" vertical="center"/>
    </xf>
    <xf numFmtId="4" fontId="5" fillId="0" borderId="183" xfId="28" applyNumberFormat="1" applyBorder="1" applyAlignment="1">
      <alignment horizontal="center"/>
    </xf>
    <xf numFmtId="4" fontId="5" fillId="0" borderId="178" xfId="28" applyNumberFormat="1" applyBorder="1" applyAlignment="1">
      <alignment horizontal="center"/>
    </xf>
    <xf numFmtId="4" fontId="5" fillId="0" borderId="3" xfId="28" applyNumberFormat="1" applyBorder="1" applyAlignment="1">
      <alignment horizontal="center"/>
    </xf>
    <xf numFmtId="0" fontId="26" fillId="0" borderId="0" xfId="25" applyFont="1" applyAlignment="1">
      <alignment horizontal="center" vertical="center"/>
    </xf>
    <xf numFmtId="4" fontId="24" fillId="0" borderId="0" xfId="7" applyFont="1" applyFill="1" applyBorder="1">
      <alignment horizontal="right"/>
    </xf>
    <xf numFmtId="0" fontId="45" fillId="30" borderId="66" xfId="0" applyFont="1" applyFill="1" applyBorder="1" applyAlignment="1">
      <alignment horizontal="left" vertical="center"/>
    </xf>
    <xf numFmtId="10" fontId="0" fillId="0" borderId="51" xfId="0" applyNumberFormat="1" applyBorder="1" applyAlignment="1">
      <alignment horizontal="center" vertical="center"/>
    </xf>
    <xf numFmtId="0" fontId="13" fillId="7" borderId="106" xfId="0" applyFont="1" applyFill="1" applyBorder="1" applyAlignment="1">
      <alignment horizontal="left" vertical="center"/>
    </xf>
    <xf numFmtId="10" fontId="0" fillId="7" borderId="107" xfId="15" applyNumberFormat="1" applyFont="1" applyFill="1" applyBorder="1" applyAlignment="1">
      <alignment horizontal="center" vertical="center"/>
    </xf>
    <xf numFmtId="10" fontId="0" fillId="7" borderId="108" xfId="15" applyNumberFormat="1" applyFont="1" applyFill="1" applyBorder="1" applyAlignment="1">
      <alignment horizontal="center" vertical="center"/>
    </xf>
    <xf numFmtId="0" fontId="56" fillId="35" borderId="77" xfId="0" applyFont="1" applyFill="1" applyBorder="1" applyAlignment="1">
      <alignment horizontal="center" vertical="center"/>
    </xf>
    <xf numFmtId="172" fontId="0" fillId="0" borderId="206" xfId="0" applyNumberFormat="1" applyBorder="1" applyAlignment="1">
      <alignment horizontal="center"/>
    </xf>
    <xf numFmtId="172" fontId="0" fillId="16" borderId="207" xfId="0" applyNumberFormat="1" applyFill="1" applyBorder="1" applyAlignment="1">
      <alignment horizontal="center"/>
    </xf>
    <xf numFmtId="0" fontId="0" fillId="30" borderId="75" xfId="0" applyFill="1" applyBorder="1" applyAlignment="1">
      <alignment horizontal="center"/>
    </xf>
    <xf numFmtId="9" fontId="0" fillId="0" borderId="206" xfId="15" applyFont="1" applyFill="1" applyBorder="1" applyAlignment="1">
      <alignment horizontal="center"/>
    </xf>
    <xf numFmtId="9" fontId="0" fillId="16" borderId="105" xfId="15" applyFont="1" applyFill="1" applyBorder="1" applyAlignment="1">
      <alignment horizontal="center"/>
    </xf>
    <xf numFmtId="9" fontId="0" fillId="0" borderId="105" xfId="15" applyFont="1" applyFill="1" applyBorder="1" applyAlignment="1">
      <alignment horizontal="center"/>
    </xf>
    <xf numFmtId="9" fontId="0" fillId="16" borderId="207" xfId="15" applyFont="1" applyFill="1" applyBorder="1" applyAlignment="1">
      <alignment horizontal="center"/>
    </xf>
    <xf numFmtId="2" fontId="0" fillId="0" borderId="206" xfId="0" applyNumberFormat="1" applyBorder="1" applyAlignment="1">
      <alignment horizontal="center"/>
    </xf>
    <xf numFmtId="2" fontId="0" fillId="16" borderId="105" xfId="0" applyNumberFormat="1" applyFill="1" applyBorder="1" applyAlignment="1">
      <alignment horizontal="center"/>
    </xf>
    <xf numFmtId="2" fontId="0" fillId="0" borderId="207" xfId="0" applyNumberFormat="1" applyBorder="1" applyAlignment="1">
      <alignment horizontal="center"/>
    </xf>
    <xf numFmtId="2" fontId="0" fillId="16" borderId="206" xfId="0" applyNumberFormat="1" applyFill="1" applyBorder="1" applyAlignment="1">
      <alignment horizontal="center"/>
    </xf>
    <xf numFmtId="2" fontId="0" fillId="0" borderId="105" xfId="0" applyNumberFormat="1" applyBorder="1" applyAlignment="1">
      <alignment horizontal="center"/>
    </xf>
    <xf numFmtId="2" fontId="0" fillId="16" borderId="207" xfId="0" applyNumberFormat="1" applyFill="1" applyBorder="1" applyAlignment="1">
      <alignment horizontal="center"/>
    </xf>
    <xf numFmtId="168" fontId="0" fillId="0" borderId="206" xfId="0" applyNumberFormat="1" applyBorder="1" applyAlignment="1">
      <alignment horizontal="center"/>
    </xf>
    <xf numFmtId="168" fontId="0" fillId="16" borderId="105" xfId="0" applyNumberFormat="1" applyFill="1" applyBorder="1" applyAlignment="1">
      <alignment horizontal="center"/>
    </xf>
    <xf numFmtId="168" fontId="0" fillId="0" borderId="105" xfId="0" applyNumberFormat="1" applyBorder="1" applyAlignment="1">
      <alignment horizontal="center"/>
    </xf>
    <xf numFmtId="168" fontId="0" fillId="0" borderId="207" xfId="0" applyNumberFormat="1" applyBorder="1" applyAlignment="1">
      <alignment horizontal="center"/>
    </xf>
    <xf numFmtId="167" fontId="0" fillId="0" borderId="206" xfId="15" applyNumberFormat="1" applyFont="1" applyFill="1" applyBorder="1" applyAlignment="1">
      <alignment horizontal="center"/>
    </xf>
    <xf numFmtId="2" fontId="0" fillId="16" borderId="105" xfId="15" applyNumberFormat="1" applyFont="1" applyFill="1" applyBorder="1" applyAlignment="1">
      <alignment horizontal="center"/>
    </xf>
    <xf numFmtId="10" fontId="0" fillId="0" borderId="207" xfId="15" applyNumberFormat="1" applyFont="1" applyFill="1" applyBorder="1" applyAlignment="1">
      <alignment horizontal="center"/>
    </xf>
    <xf numFmtId="10" fontId="0" fillId="16" borderId="105" xfId="15" applyNumberFormat="1" applyFont="1" applyFill="1" applyBorder="1" applyAlignment="1">
      <alignment horizontal="center" vertical="center"/>
    </xf>
    <xf numFmtId="175" fontId="0" fillId="7" borderId="105" xfId="0" applyNumberFormat="1" applyFill="1" applyBorder="1" applyAlignment="1">
      <alignment horizontal="right" vertical="center"/>
    </xf>
    <xf numFmtId="175" fontId="0" fillId="16" borderId="105" xfId="0" applyNumberFormat="1" applyFill="1" applyBorder="1" applyAlignment="1">
      <alignment horizontal="center"/>
    </xf>
    <xf numFmtId="9" fontId="0" fillId="0" borderId="108" xfId="15" applyFont="1" applyFill="1" applyBorder="1" applyAlignment="1">
      <alignment horizontal="center"/>
    </xf>
    <xf numFmtId="0" fontId="72" fillId="35" borderId="75" xfId="0" applyFont="1" applyFill="1" applyBorder="1" applyAlignment="1">
      <alignment horizontal="center" vertical="center" wrapText="1"/>
    </xf>
    <xf numFmtId="9" fontId="0" fillId="0" borderId="0" xfId="15" applyFont="1" applyBorder="1" applyAlignment="1">
      <alignment horizontal="center" vertical="center"/>
    </xf>
    <xf numFmtId="0" fontId="26" fillId="4" borderId="215" xfId="25" applyFont="1" applyFill="1" applyBorder="1" applyAlignment="1">
      <alignment horizontal="center" vertical="center"/>
    </xf>
    <xf numFmtId="4" fontId="24" fillId="27" borderId="216" xfId="7" applyFont="1" applyFill="1" applyBorder="1">
      <alignment horizontal="right"/>
    </xf>
    <xf numFmtId="4" fontId="8" fillId="11" borderId="216" xfId="7" applyFont="1" applyFill="1" applyBorder="1">
      <alignment horizontal="right"/>
    </xf>
    <xf numFmtId="4" fontId="30" fillId="8" borderId="217" xfId="7" applyFont="1" applyFill="1" applyBorder="1">
      <alignment horizontal="right"/>
    </xf>
    <xf numFmtId="0" fontId="56" fillId="35" borderId="0" xfId="23" applyFont="1" applyFill="1"/>
    <xf numFmtId="0" fontId="73" fillId="35" borderId="0" xfId="23" applyFont="1" applyFill="1" applyAlignment="1">
      <alignment horizontal="left" vertical="center"/>
    </xf>
    <xf numFmtId="0" fontId="73" fillId="35" borderId="0" xfId="23" applyFont="1" applyFill="1" applyAlignment="1">
      <alignment horizontal="center" vertical="center"/>
    </xf>
    <xf numFmtId="0" fontId="8" fillId="30" borderId="0" xfId="23" applyFill="1"/>
    <xf numFmtId="0" fontId="8" fillId="0" borderId="0" xfId="23"/>
    <xf numFmtId="10" fontId="0" fillId="0" borderId="0" xfId="15" applyNumberFormat="1" applyFont="1" applyAlignment="1">
      <alignment horizontal="left"/>
    </xf>
    <xf numFmtId="0" fontId="13" fillId="0" borderId="0" xfId="23" applyFont="1"/>
    <xf numFmtId="0" fontId="8" fillId="7" borderId="0" xfId="23" applyFill="1"/>
    <xf numFmtId="0" fontId="36" fillId="0" borderId="0" xfId="23" applyFont="1"/>
    <xf numFmtId="10" fontId="8" fillId="7" borderId="0" xfId="23" applyNumberFormat="1" applyFill="1"/>
    <xf numFmtId="0" fontId="8" fillId="0" borderId="0" xfId="23" applyAlignment="1">
      <alignment horizontal="left"/>
    </xf>
    <xf numFmtId="10" fontId="74" fillId="0" borderId="0" xfId="23" applyNumberFormat="1" applyFont="1" applyAlignment="1">
      <alignment horizontal="center"/>
    </xf>
    <xf numFmtId="10" fontId="8" fillId="0" borderId="0" xfId="23" applyNumberFormat="1"/>
    <xf numFmtId="0" fontId="74" fillId="0" borderId="0" xfId="23" applyFont="1"/>
    <xf numFmtId="0" fontId="0" fillId="6" borderId="0" xfId="0" applyFill="1"/>
    <xf numFmtId="0" fontId="26" fillId="31" borderId="226" xfId="0" applyFont="1" applyFill="1" applyBorder="1" applyAlignment="1">
      <alignment horizontal="center"/>
    </xf>
    <xf numFmtId="0" fontId="13" fillId="0" borderId="226" xfId="0" applyFont="1" applyBorder="1" applyAlignment="1">
      <alignment horizontal="center"/>
    </xf>
    <xf numFmtId="0" fontId="0" fillId="0" borderId="226" xfId="0" applyBorder="1" applyAlignment="1">
      <alignment horizontal="center"/>
    </xf>
    <xf numFmtId="0" fontId="55" fillId="0" borderId="0" xfId="23" applyFont="1" applyAlignment="1">
      <alignment horizontal="center"/>
    </xf>
    <xf numFmtId="0" fontId="8" fillId="23" borderId="0" xfId="0" applyFont="1" applyFill="1" applyAlignment="1">
      <alignment horizontal="center" vertical="center"/>
    </xf>
    <xf numFmtId="176" fontId="75" fillId="45" borderId="0" xfId="15" applyNumberFormat="1" applyFont="1" applyFill="1" applyBorder="1" applyAlignment="1">
      <alignment horizontal="center"/>
    </xf>
    <xf numFmtId="0" fontId="56" fillId="0" borderId="0" xfId="23" applyFont="1"/>
    <xf numFmtId="0" fontId="73" fillId="0" borderId="0" xfId="23" applyFont="1" applyAlignment="1">
      <alignment horizontal="center" vertical="center"/>
    </xf>
    <xf numFmtId="0" fontId="74" fillId="0" borderId="0" xfId="0" applyFont="1" applyAlignment="1">
      <alignment horizontal="center"/>
    </xf>
    <xf numFmtId="0" fontId="13" fillId="7" borderId="0" xfId="23" applyFont="1" applyFill="1" applyAlignment="1">
      <alignment horizontal="center" vertical="center"/>
    </xf>
    <xf numFmtId="0" fontId="77" fillId="4" borderId="115" xfId="4" applyFont="1" applyFill="1" applyBorder="1" applyAlignment="1">
      <alignment horizontal="center" vertical="center"/>
    </xf>
    <xf numFmtId="0" fontId="45" fillId="22" borderId="74" xfId="0" applyFont="1" applyFill="1" applyBorder="1" applyAlignment="1">
      <alignment horizontal="center" vertical="center" wrapText="1"/>
    </xf>
    <xf numFmtId="0" fontId="45" fillId="15" borderId="75" xfId="0" applyFont="1" applyFill="1" applyBorder="1" applyAlignment="1">
      <alignment horizontal="center" vertical="center" wrapText="1"/>
    </xf>
    <xf numFmtId="9" fontId="0" fillId="0" borderId="122" xfId="15" applyFont="1" applyBorder="1" applyAlignment="1">
      <alignment horizontal="center" vertical="center"/>
    </xf>
    <xf numFmtId="0" fontId="0" fillId="0" borderId="122" xfId="0" applyBorder="1" applyAlignment="1">
      <alignment horizontal="center"/>
    </xf>
    <xf numFmtId="0" fontId="63" fillId="34" borderId="121" xfId="0" applyFont="1" applyFill="1" applyBorder="1" applyAlignment="1">
      <alignment horizontal="center" vertical="center"/>
    </xf>
    <xf numFmtId="9" fontId="63" fillId="34" borderId="124" xfId="15" applyFont="1" applyFill="1" applyBorder="1" applyAlignment="1">
      <alignment horizontal="center" vertical="center" wrapText="1"/>
    </xf>
    <xf numFmtId="0" fontId="63" fillId="34" borderId="124" xfId="15" applyNumberFormat="1" applyFont="1" applyFill="1" applyBorder="1" applyAlignment="1">
      <alignment horizontal="center" vertical="center" wrapText="1"/>
    </xf>
    <xf numFmtId="177" fontId="63" fillId="34" borderId="124" xfId="15" applyNumberFormat="1" applyFont="1" applyFill="1" applyBorder="1" applyAlignment="1">
      <alignment horizontal="center" vertical="center" wrapText="1"/>
    </xf>
    <xf numFmtId="9" fontId="63" fillId="34" borderId="121" xfId="15" applyFont="1" applyFill="1" applyBorder="1" applyAlignment="1">
      <alignment horizontal="center" vertical="center" wrapText="1"/>
    </xf>
    <xf numFmtId="0" fontId="63" fillId="34" borderId="121" xfId="0" applyFont="1" applyFill="1" applyBorder="1" applyAlignment="1">
      <alignment horizontal="center" vertical="center" wrapText="1"/>
    </xf>
    <xf numFmtId="0" fontId="0" fillId="7" borderId="0" xfId="0" applyFill="1" applyAlignment="1">
      <alignment horizontal="center" vertical="center"/>
    </xf>
    <xf numFmtId="0" fontId="0" fillId="0" borderId="0" xfId="0" applyAlignment="1">
      <alignment vertical="center"/>
    </xf>
    <xf numFmtId="0" fontId="0" fillId="0" borderId="46" xfId="0" applyBorder="1" applyAlignment="1">
      <alignment horizontal="center" vertical="center"/>
    </xf>
    <xf numFmtId="2" fontId="0" fillId="0" borderId="46" xfId="0" applyNumberFormat="1" applyBorder="1" applyAlignment="1">
      <alignment horizontal="center" vertical="center"/>
    </xf>
    <xf numFmtId="2" fontId="63" fillId="0" borderId="46" xfId="0" applyNumberFormat="1" applyFont="1" applyBorder="1" applyAlignment="1">
      <alignment horizontal="center" vertical="center"/>
    </xf>
    <xf numFmtId="0" fontId="0" fillId="7" borderId="46" xfId="0" applyFill="1" applyBorder="1" applyAlignment="1">
      <alignment horizontal="center" vertical="center"/>
    </xf>
    <xf numFmtId="2" fontId="0" fillId="7" borderId="46" xfId="0" applyNumberFormat="1" applyFill="1" applyBorder="1" applyAlignment="1">
      <alignment horizontal="center" vertical="center"/>
    </xf>
    <xf numFmtId="0" fontId="0" fillId="0" borderId="125" xfId="0" applyBorder="1" applyAlignment="1">
      <alignment horizontal="center"/>
    </xf>
    <xf numFmtId="9" fontId="0" fillId="0" borderId="125" xfId="15" applyFont="1" applyBorder="1" applyAlignment="1">
      <alignment horizontal="center" vertical="center"/>
    </xf>
    <xf numFmtId="0" fontId="80" fillId="0" borderId="46" xfId="0" applyFont="1" applyBorder="1" applyAlignment="1">
      <alignment horizontal="center" vertical="center"/>
    </xf>
    <xf numFmtId="9" fontId="76" fillId="34" borderId="46" xfId="15" applyFont="1" applyFill="1" applyBorder="1" applyAlignment="1">
      <alignment horizontal="center" vertical="center" wrapText="1"/>
    </xf>
    <xf numFmtId="9" fontId="76" fillId="34" borderId="46" xfId="15" applyFont="1" applyFill="1" applyBorder="1" applyAlignment="1">
      <alignment horizontal="center" vertical="center"/>
    </xf>
    <xf numFmtId="0" fontId="13" fillId="0" borderId="0" xfId="0" applyFont="1" applyAlignment="1">
      <alignment horizontal="left" vertical="center"/>
    </xf>
    <xf numFmtId="0" fontId="25" fillId="7" borderId="0" xfId="0" applyFont="1" applyFill="1" applyAlignment="1">
      <alignment horizontal="center" vertical="center"/>
    </xf>
    <xf numFmtId="0" fontId="78" fillId="31" borderId="121" xfId="0" applyFont="1" applyFill="1" applyBorder="1" applyAlignment="1">
      <alignment horizontal="left" vertical="center"/>
    </xf>
    <xf numFmtId="0" fontId="63" fillId="0" borderId="234" xfId="0" applyFont="1" applyBorder="1" applyAlignment="1">
      <alignment horizontal="center" vertical="center"/>
    </xf>
    <xf numFmtId="0" fontId="0" fillId="0" borderId="122" xfId="0" applyBorder="1" applyAlignment="1">
      <alignment horizontal="left" vertical="center"/>
    </xf>
    <xf numFmtId="2" fontId="0" fillId="0" borderId="122" xfId="15" applyNumberFormat="1" applyFont="1" applyBorder="1" applyAlignment="1">
      <alignment horizontal="center" vertical="center"/>
    </xf>
    <xf numFmtId="177" fontId="0" fillId="0" borderId="122" xfId="15" applyNumberFormat="1" applyFont="1" applyBorder="1" applyAlignment="1">
      <alignment horizontal="center" vertical="center"/>
    </xf>
    <xf numFmtId="0" fontId="0" fillId="0" borderId="122" xfId="0" applyBorder="1" applyAlignment="1">
      <alignment horizontal="center" vertical="center"/>
    </xf>
    <xf numFmtId="0" fontId="0" fillId="0" borderId="121" xfId="0" applyBorder="1" applyAlignment="1">
      <alignment horizontal="center" vertical="center"/>
    </xf>
    <xf numFmtId="0" fontId="26" fillId="31" borderId="0" xfId="0" applyFont="1" applyFill="1" applyAlignment="1">
      <alignment vertical="center"/>
    </xf>
    <xf numFmtId="0" fontId="63" fillId="0" borderId="122" xfId="0" applyFont="1" applyBorder="1" applyAlignment="1">
      <alignment horizontal="center" vertical="center"/>
    </xf>
    <xf numFmtId="0" fontId="0" fillId="0" borderId="234" xfId="0" applyBorder="1" applyAlignment="1">
      <alignment horizontal="left" vertical="center"/>
    </xf>
    <xf numFmtId="0" fontId="0" fillId="0" borderId="180" xfId="0" applyBorder="1" applyAlignment="1">
      <alignment horizontal="center" vertical="center"/>
    </xf>
    <xf numFmtId="0" fontId="0" fillId="0" borderId="234" xfId="0" applyBorder="1" applyAlignment="1">
      <alignment horizontal="center" vertical="center"/>
    </xf>
    <xf numFmtId="0" fontId="0" fillId="0" borderId="125" xfId="0" applyBorder="1" applyAlignment="1">
      <alignment horizontal="center" vertical="center"/>
    </xf>
    <xf numFmtId="0" fontId="0" fillId="7" borderId="236" xfId="0" applyFill="1" applyBorder="1" applyAlignment="1">
      <alignment horizontal="center" vertical="center"/>
    </xf>
    <xf numFmtId="0" fontId="78" fillId="31" borderId="0" xfId="0" applyFont="1" applyFill="1" applyAlignment="1">
      <alignment horizontal="left" vertical="center"/>
    </xf>
    <xf numFmtId="0" fontId="63" fillId="0" borderId="125" xfId="0" applyFont="1" applyBorder="1" applyAlignment="1">
      <alignment horizontal="center" vertical="center"/>
    </xf>
    <xf numFmtId="0" fontId="0" fillId="0" borderId="175" xfId="0" applyBorder="1" applyAlignment="1">
      <alignment horizontal="left" vertical="center"/>
    </xf>
    <xf numFmtId="0" fontId="0" fillId="0" borderId="125" xfId="0" applyBorder="1" applyAlignment="1">
      <alignment horizontal="left" vertical="center"/>
    </xf>
    <xf numFmtId="0" fontId="0" fillId="0" borderId="236" xfId="0" applyBorder="1" applyAlignment="1">
      <alignment horizontal="left" vertical="center"/>
    </xf>
    <xf numFmtId="2" fontId="0" fillId="0" borderId="125" xfId="15" applyNumberFormat="1" applyFont="1" applyBorder="1" applyAlignment="1">
      <alignment horizontal="center" vertical="center"/>
    </xf>
    <xf numFmtId="177" fontId="0" fillId="0" borderId="125" xfId="15" applyNumberFormat="1" applyFont="1" applyBorder="1" applyAlignment="1">
      <alignment horizontal="center" vertical="center"/>
    </xf>
    <xf numFmtId="0" fontId="0" fillId="0" borderId="236" xfId="0" applyBorder="1" applyAlignment="1">
      <alignment horizontal="center" vertical="center"/>
    </xf>
    <xf numFmtId="0" fontId="0" fillId="7" borderId="0" xfId="0" applyFill="1" applyAlignment="1">
      <alignment vertical="center"/>
    </xf>
    <xf numFmtId="0" fontId="0" fillId="0" borderId="124" xfId="0" applyBorder="1" applyAlignment="1">
      <alignment horizontal="left" vertical="center"/>
    </xf>
    <xf numFmtId="0" fontId="13" fillId="0" borderId="0" xfId="0" applyFont="1" applyAlignment="1">
      <alignment vertical="center"/>
    </xf>
    <xf numFmtId="0" fontId="0" fillId="0" borderId="124" xfId="0" applyBorder="1" applyAlignment="1">
      <alignment horizontal="center" vertical="center"/>
    </xf>
    <xf numFmtId="0" fontId="0" fillId="0" borderId="184" xfId="0" applyBorder="1" applyAlignment="1">
      <alignment horizontal="center" vertical="center"/>
    </xf>
    <xf numFmtId="178" fontId="0" fillId="0" borderId="46" xfId="0" applyNumberFormat="1" applyBorder="1" applyAlignment="1">
      <alignment horizontal="center" vertical="center"/>
    </xf>
    <xf numFmtId="0" fontId="13" fillId="0" borderId="236" xfId="0" applyFont="1" applyBorder="1" applyAlignment="1">
      <alignment vertical="center"/>
    </xf>
    <xf numFmtId="0" fontId="0" fillId="7" borderId="184" xfId="0" applyFill="1" applyBorder="1" applyAlignment="1">
      <alignment horizontal="center" vertical="center"/>
    </xf>
    <xf numFmtId="0" fontId="26" fillId="31" borderId="184" xfId="0" applyFont="1" applyFill="1" applyBorder="1" applyAlignment="1">
      <alignment vertical="center"/>
    </xf>
    <xf numFmtId="9" fontId="63" fillId="11" borderId="121" xfId="15" applyFont="1" applyFill="1" applyBorder="1" applyAlignment="1">
      <alignment horizontal="center" vertical="center" wrapText="1"/>
    </xf>
    <xf numFmtId="0" fontId="63" fillId="11" borderId="121" xfId="15" applyNumberFormat="1" applyFont="1" applyFill="1" applyBorder="1" applyAlignment="1">
      <alignment horizontal="center" vertical="center" wrapText="1"/>
    </xf>
    <xf numFmtId="9" fontId="76" fillId="11" borderId="46" xfId="15" applyFont="1" applyFill="1" applyBorder="1" applyAlignment="1">
      <alignment horizontal="center" vertical="center" wrapText="1"/>
    </xf>
    <xf numFmtId="3" fontId="60" fillId="37" borderId="173" xfId="0" applyNumberFormat="1" applyFont="1" applyFill="1" applyBorder="1" applyAlignment="1">
      <alignment horizontal="center" vertical="center"/>
    </xf>
    <xf numFmtId="176" fontId="75" fillId="45" borderId="0" xfId="15" applyNumberFormat="1" applyFont="1" applyFill="1" applyAlignment="1">
      <alignment horizontal="center"/>
    </xf>
    <xf numFmtId="3" fontId="1" fillId="42" borderId="44" xfId="29" applyNumberFormat="1" applyFont="1" applyFill="1" applyBorder="1" applyAlignment="1">
      <alignment horizontal="center" vertical="center"/>
    </xf>
    <xf numFmtId="9" fontId="8" fillId="0" borderId="110" xfId="15" applyFont="1" applyBorder="1" applyAlignment="1">
      <alignment horizontal="center" vertical="center"/>
    </xf>
    <xf numFmtId="9" fontId="8" fillId="16" borderId="100" xfId="15" applyFont="1" applyFill="1" applyBorder="1" applyAlignment="1">
      <alignment horizontal="center" vertical="center"/>
    </xf>
    <xf numFmtId="10" fontId="33" fillId="18" borderId="0" xfId="15" applyNumberFormat="1" applyFont="1" applyFill="1" applyAlignment="1">
      <alignment horizontal="center"/>
    </xf>
    <xf numFmtId="167" fontId="33" fillId="18" borderId="0" xfId="15" applyNumberFormat="1" applyFont="1" applyFill="1" applyAlignment="1">
      <alignment horizontal="center"/>
    </xf>
    <xf numFmtId="10" fontId="33" fillId="18" borderId="0" xfId="0" applyNumberFormat="1" applyFont="1" applyFill="1" applyAlignment="1">
      <alignment horizontal="center"/>
    </xf>
    <xf numFmtId="0" fontId="1" fillId="0" borderId="46" xfId="0" applyFont="1" applyBorder="1"/>
    <xf numFmtId="165" fontId="1" fillId="0" borderId="46" xfId="0" applyNumberFormat="1" applyFont="1" applyBorder="1" applyAlignment="1">
      <alignment horizontal="center"/>
    </xf>
    <xf numFmtId="165" fontId="1" fillId="0" borderId="0" xfId="0" applyNumberFormat="1" applyFont="1" applyAlignment="1">
      <alignment horizontal="center"/>
    </xf>
    <xf numFmtId="4" fontId="5" fillId="0" borderId="176" xfId="28" applyNumberFormat="1" applyBorder="1" applyAlignment="1">
      <alignment horizontal="center"/>
    </xf>
    <xf numFmtId="172" fontId="8" fillId="23" borderId="19" xfId="0" applyNumberFormat="1" applyFont="1" applyFill="1" applyBorder="1" applyAlignment="1">
      <alignment horizontal="center" vertical="center"/>
    </xf>
    <xf numFmtId="3" fontId="5" fillId="0" borderId="156" xfId="28" applyNumberFormat="1" applyBorder="1" applyAlignment="1">
      <alignment horizontal="center"/>
    </xf>
    <xf numFmtId="3" fontId="5" fillId="0" borderId="46" xfId="28" applyNumberFormat="1" applyBorder="1" applyAlignment="1">
      <alignment horizontal="center"/>
    </xf>
    <xf numFmtId="3" fontId="5" fillId="0" borderId="147" xfId="28" applyNumberFormat="1" applyBorder="1" applyAlignment="1">
      <alignment horizontal="center"/>
    </xf>
    <xf numFmtId="1" fontId="52" fillId="0" borderId="153" xfId="0" applyNumberFormat="1" applyFont="1" applyBorder="1" applyAlignment="1">
      <alignment horizontal="center" vertical="center"/>
    </xf>
    <xf numFmtId="1" fontId="52" fillId="0" borderId="154" xfId="0" applyNumberFormat="1" applyFont="1" applyBorder="1" applyAlignment="1">
      <alignment horizontal="center" vertical="center"/>
    </xf>
    <xf numFmtId="1" fontId="52" fillId="0" borderId="155" xfId="0" applyNumberFormat="1" applyFont="1" applyBorder="1" applyAlignment="1">
      <alignment horizontal="center" vertical="center"/>
    </xf>
    <xf numFmtId="4" fontId="5" fillId="0" borderId="157" xfId="28" applyNumberFormat="1" applyBorder="1" applyAlignment="1">
      <alignment horizontal="center"/>
    </xf>
    <xf numFmtId="4" fontId="5" fillId="0" borderId="170" xfId="28" applyNumberFormat="1" applyBorder="1" applyAlignment="1">
      <alignment horizontal="center"/>
    </xf>
    <xf numFmtId="4" fontId="5" fillId="0" borderId="171" xfId="28" applyNumberFormat="1" applyBorder="1" applyAlignment="1">
      <alignment horizontal="center"/>
    </xf>
    <xf numFmtId="0" fontId="8" fillId="0" borderId="240" xfId="0" quotePrefix="1" applyFont="1" applyBorder="1" applyAlignment="1">
      <alignment horizontal="center" vertical="center"/>
    </xf>
    <xf numFmtId="0" fontId="8" fillId="0" borderId="45" xfId="0" quotePrefix="1" applyFont="1" applyBorder="1" applyAlignment="1">
      <alignment horizontal="center" vertical="center"/>
    </xf>
    <xf numFmtId="0" fontId="52" fillId="0" borderId="0" xfId="0" applyFont="1" applyAlignment="1">
      <alignment horizontal="center" vertical="center"/>
    </xf>
    <xf numFmtId="0" fontId="8" fillId="0" borderId="0" xfId="23" applyAlignment="1">
      <alignment horizontal="center"/>
    </xf>
    <xf numFmtId="0" fontId="52" fillId="0" borderId="235" xfId="0" applyFont="1" applyBorder="1" applyAlignment="1">
      <alignment horizontal="center" vertical="center"/>
    </xf>
    <xf numFmtId="10" fontId="8" fillId="0" borderId="46" xfId="0" applyNumberFormat="1" applyFont="1" applyBorder="1" applyAlignment="1">
      <alignment horizontal="center" vertical="center"/>
    </xf>
    <xf numFmtId="2" fontId="8" fillId="0" borderId="0" xfId="23" applyNumberFormat="1" applyAlignment="1">
      <alignment horizontal="center" vertical="center"/>
    </xf>
    <xf numFmtId="0" fontId="63" fillId="0" borderId="46" xfId="28" applyFont="1" applyBorder="1"/>
    <xf numFmtId="166" fontId="13" fillId="0" borderId="241" xfId="0" applyNumberFormat="1" applyFont="1" applyBorder="1" applyAlignment="1">
      <alignment horizontal="center"/>
    </xf>
    <xf numFmtId="166" fontId="13" fillId="0" borderId="40" xfId="0" applyNumberFormat="1" applyFont="1" applyBorder="1" applyAlignment="1">
      <alignment horizontal="center"/>
    </xf>
    <xf numFmtId="166" fontId="13" fillId="0" borderId="242" xfId="0" applyNumberFormat="1" applyFont="1" applyBorder="1" applyAlignment="1">
      <alignment horizontal="center"/>
    </xf>
    <xf numFmtId="0" fontId="13" fillId="0" borderId="241" xfId="0" applyFont="1" applyBorder="1" applyAlignment="1">
      <alignment horizontal="center"/>
    </xf>
    <xf numFmtId="10" fontId="0" fillId="32" borderId="77" xfId="0" applyNumberFormat="1" applyFill="1" applyBorder="1"/>
    <xf numFmtId="165" fontId="8" fillId="0" borderId="100" xfId="0" applyNumberFormat="1" applyFont="1" applyBorder="1" applyAlignment="1">
      <alignment horizontal="center"/>
    </xf>
    <xf numFmtId="1" fontId="8" fillId="0" borderId="245" xfId="0" applyNumberFormat="1" applyFont="1" applyBorder="1" applyAlignment="1">
      <alignment horizontal="center" vertical="center"/>
    </xf>
    <xf numFmtId="1" fontId="8" fillId="0" borderId="246" xfId="0" applyNumberFormat="1" applyFont="1" applyBorder="1" applyAlignment="1">
      <alignment horizontal="center" vertical="center"/>
    </xf>
    <xf numFmtId="1" fontId="8" fillId="0" borderId="247" xfId="0" applyNumberFormat="1" applyFont="1" applyBorder="1" applyAlignment="1">
      <alignment horizontal="center" vertical="center"/>
    </xf>
    <xf numFmtId="1" fontId="8" fillId="0" borderId="248" xfId="0" applyNumberFormat="1" applyFont="1" applyBorder="1" applyAlignment="1">
      <alignment horizontal="center" vertical="center"/>
    </xf>
    <xf numFmtId="1" fontId="8" fillId="0" borderId="249" xfId="0" applyNumberFormat="1" applyFont="1" applyBorder="1" applyAlignment="1">
      <alignment horizontal="center" vertical="center"/>
    </xf>
    <xf numFmtId="1" fontId="8" fillId="0" borderId="250" xfId="0" applyNumberFormat="1" applyFont="1" applyBorder="1" applyAlignment="1">
      <alignment horizontal="center" vertical="center"/>
    </xf>
    <xf numFmtId="1" fontId="8" fillId="0" borderId="251" xfId="0" applyNumberFormat="1" applyFont="1" applyBorder="1" applyAlignment="1">
      <alignment horizontal="center" vertical="center"/>
    </xf>
    <xf numFmtId="3" fontId="8" fillId="0" borderId="252" xfId="0" applyNumberFormat="1" applyFont="1" applyBorder="1" applyAlignment="1">
      <alignment horizontal="center" vertical="center"/>
    </xf>
    <xf numFmtId="1" fontId="57" fillId="0" borderId="253" xfId="0" applyNumberFormat="1" applyFont="1" applyBorder="1" applyAlignment="1">
      <alignment horizontal="center" vertical="center"/>
    </xf>
    <xf numFmtId="1" fontId="57" fillId="40" borderId="254" xfId="0" applyNumberFormat="1" applyFont="1" applyFill="1" applyBorder="1" applyAlignment="1">
      <alignment horizontal="center" vertical="center"/>
    </xf>
    <xf numFmtId="1" fontId="57" fillId="40" borderId="255" xfId="0" applyNumberFormat="1" applyFont="1" applyFill="1" applyBorder="1" applyAlignment="1">
      <alignment horizontal="center" vertical="center"/>
    </xf>
    <xf numFmtId="1" fontId="57" fillId="0" borderId="252" xfId="0" applyNumberFormat="1" applyFont="1" applyBorder="1" applyAlignment="1">
      <alignment horizontal="center" vertical="center"/>
    </xf>
    <xf numFmtId="1" fontId="57" fillId="40" borderId="252" xfId="0" applyNumberFormat="1" applyFont="1" applyFill="1" applyBorder="1" applyAlignment="1">
      <alignment horizontal="center" vertical="center"/>
    </xf>
    <xf numFmtId="1" fontId="57" fillId="40" borderId="253" xfId="0" applyNumberFormat="1" applyFont="1" applyFill="1" applyBorder="1" applyAlignment="1">
      <alignment horizontal="center" vertical="center"/>
    </xf>
    <xf numFmtId="0" fontId="8" fillId="0" borderId="256" xfId="0" quotePrefix="1" applyFont="1" applyBorder="1" applyAlignment="1">
      <alignment horizontal="center" vertical="center"/>
    </xf>
    <xf numFmtId="0" fontId="8" fillId="0" borderId="253" xfId="0" quotePrefix="1" applyFont="1" applyBorder="1" applyAlignment="1">
      <alignment horizontal="center" vertical="center"/>
    </xf>
    <xf numFmtId="1" fontId="57" fillId="0" borderId="255" xfId="0" applyNumberFormat="1" applyFont="1" applyBorder="1" applyAlignment="1">
      <alignment horizontal="center" vertical="center"/>
    </xf>
    <xf numFmtId="3" fontId="57" fillId="40" borderId="257" xfId="0" applyNumberFormat="1" applyFont="1" applyFill="1" applyBorder="1" applyAlignment="1">
      <alignment horizontal="center" vertical="center"/>
    </xf>
    <xf numFmtId="3" fontId="57" fillId="40" borderId="258" xfId="0" applyNumberFormat="1" applyFont="1" applyFill="1" applyBorder="1" applyAlignment="1">
      <alignment horizontal="center" vertical="center"/>
    </xf>
    <xf numFmtId="3" fontId="57" fillId="40" borderId="259" xfId="0" applyNumberFormat="1" applyFont="1" applyFill="1" applyBorder="1" applyAlignment="1">
      <alignment horizontal="center" vertical="center"/>
    </xf>
    <xf numFmtId="3" fontId="57" fillId="40" borderId="260" xfId="0" applyNumberFormat="1" applyFont="1" applyFill="1" applyBorder="1" applyAlignment="1">
      <alignment horizontal="center" vertical="center"/>
    </xf>
    <xf numFmtId="3" fontId="57" fillId="40" borderId="261" xfId="0" applyNumberFormat="1" applyFont="1" applyFill="1" applyBorder="1" applyAlignment="1">
      <alignment horizontal="center" vertical="center"/>
    </xf>
    <xf numFmtId="0" fontId="57" fillId="0" borderId="172" xfId="0" applyFont="1" applyBorder="1" applyAlignment="1">
      <alignment horizontal="center" vertical="center"/>
    </xf>
    <xf numFmtId="0" fontId="57" fillId="0" borderId="44" xfId="0" applyFont="1" applyBorder="1" applyAlignment="1">
      <alignment horizontal="center" vertical="center"/>
    </xf>
    <xf numFmtId="3" fontId="57" fillId="39" borderId="44" xfId="0" applyNumberFormat="1" applyFont="1" applyFill="1" applyBorder="1" applyAlignment="1">
      <alignment horizontal="center" vertical="center"/>
    </xf>
    <xf numFmtId="0" fontId="57" fillId="40" borderId="44" xfId="0" applyFont="1" applyFill="1" applyBorder="1" applyAlignment="1">
      <alignment horizontal="center" vertical="center"/>
    </xf>
    <xf numFmtId="3" fontId="57" fillId="39" borderId="44" xfId="0" quotePrefix="1" applyNumberFormat="1" applyFont="1" applyFill="1" applyBorder="1" applyAlignment="1">
      <alignment horizontal="center" vertical="center"/>
    </xf>
    <xf numFmtId="3" fontId="57" fillId="0" borderId="44" xfId="0" applyNumberFormat="1" applyFont="1" applyBorder="1" applyAlignment="1">
      <alignment horizontal="center" vertical="center"/>
    </xf>
    <xf numFmtId="0" fontId="54" fillId="0" borderId="121" xfId="0" applyFont="1" applyBorder="1" applyAlignment="1">
      <alignment horizontal="center"/>
    </xf>
    <xf numFmtId="0" fontId="13" fillId="0" borderId="254" xfId="0" applyFont="1" applyBorder="1" applyAlignment="1">
      <alignment horizontal="center"/>
    </xf>
    <xf numFmtId="0" fontId="8" fillId="36" borderId="262" xfId="0" applyFont="1" applyFill="1" applyBorder="1"/>
    <xf numFmtId="0" fontId="13" fillId="0" borderId="262" xfId="0" applyFont="1" applyBorder="1"/>
    <xf numFmtId="0" fontId="8" fillId="0" borderId="262" xfId="0" applyFont="1" applyBorder="1"/>
    <xf numFmtId="0" fontId="13" fillId="0" borderId="263" xfId="0" applyFont="1" applyBorder="1" applyAlignment="1">
      <alignment horizontal="center"/>
    </xf>
    <xf numFmtId="0" fontId="8" fillId="0" borderId="152" xfId="0" applyFont="1" applyBorder="1"/>
    <xf numFmtId="9" fontId="31" fillId="37" borderId="185" xfId="15" applyFont="1" applyFill="1" applyBorder="1" applyAlignment="1">
      <alignment horizontal="center" vertical="center"/>
    </xf>
    <xf numFmtId="3" fontId="1" fillId="42" borderId="1" xfId="29" applyNumberFormat="1" applyFont="1" applyFill="1" applyBorder="1" applyAlignment="1">
      <alignment horizontal="center" vertical="center"/>
    </xf>
    <xf numFmtId="167" fontId="31" fillId="37" borderId="45" xfId="15" applyNumberFormat="1" applyFont="1" applyFill="1" applyBorder="1" applyAlignment="1">
      <alignment horizontal="center" vertical="center"/>
    </xf>
    <xf numFmtId="3" fontId="60" fillId="0" borderId="45" xfId="0" applyNumberFormat="1" applyFont="1" applyBorder="1" applyAlignment="1">
      <alignment horizontal="center" vertical="center"/>
    </xf>
    <xf numFmtId="0" fontId="67" fillId="37" borderId="45" xfId="0" applyFont="1" applyFill="1" applyBorder="1" applyAlignment="1">
      <alignment horizontal="center" vertical="center"/>
    </xf>
    <xf numFmtId="3" fontId="24" fillId="37" borderId="45" xfId="0" applyNumberFormat="1" applyFont="1" applyFill="1" applyBorder="1" applyAlignment="1">
      <alignment horizontal="center" vertical="center"/>
    </xf>
    <xf numFmtId="3" fontId="60" fillId="37" borderId="45" xfId="0" applyNumberFormat="1" applyFont="1" applyFill="1" applyBorder="1" applyAlignment="1">
      <alignment horizontal="center" vertical="center"/>
    </xf>
    <xf numFmtId="0" fontId="60" fillId="0" borderId="45" xfId="0" applyFont="1" applyBorder="1" applyAlignment="1">
      <alignment horizontal="center" vertical="center"/>
    </xf>
    <xf numFmtId="3" fontId="67" fillId="37" borderId="45" xfId="0" quotePrefix="1" applyNumberFormat="1" applyFont="1" applyFill="1" applyBorder="1" applyAlignment="1">
      <alignment horizontal="center" vertical="center"/>
    </xf>
    <xf numFmtId="0" fontId="60" fillId="37" borderId="264" xfId="0" applyFont="1" applyFill="1" applyBorder="1" applyAlignment="1">
      <alignment horizontal="center" vertical="center"/>
    </xf>
    <xf numFmtId="0" fontId="54" fillId="0" borderId="265" xfId="0" applyFont="1" applyBorder="1" applyAlignment="1">
      <alignment horizontal="center"/>
    </xf>
    <xf numFmtId="0" fontId="55" fillId="0" borderId="194" xfId="0" applyFont="1" applyBorder="1" applyAlignment="1">
      <alignment horizontal="center"/>
    </xf>
    <xf numFmtId="0" fontId="13" fillId="36" borderId="262" xfId="0" applyFont="1" applyFill="1" applyBorder="1"/>
    <xf numFmtId="3" fontId="33" fillId="46" borderId="0" xfId="0" applyNumberFormat="1" applyFont="1" applyFill="1" applyAlignment="1">
      <alignment horizontal="center"/>
    </xf>
    <xf numFmtId="0" fontId="33" fillId="46" borderId="0" xfId="0" applyFont="1" applyFill="1" applyAlignment="1">
      <alignment horizontal="center"/>
    </xf>
    <xf numFmtId="10" fontId="33" fillId="0" borderId="0" xfId="0" applyNumberFormat="1" applyFont="1"/>
    <xf numFmtId="10" fontId="0" fillId="32" borderId="51" xfId="0" applyNumberFormat="1" applyFill="1" applyBorder="1"/>
    <xf numFmtId="165" fontId="83" fillId="0" borderId="0" xfId="0" applyNumberFormat="1" applyFont="1" applyAlignment="1">
      <alignment horizontal="center"/>
    </xf>
    <xf numFmtId="0" fontId="84" fillId="47" borderId="266" xfId="0" applyFont="1" applyFill="1" applyBorder="1"/>
    <xf numFmtId="0" fontId="84" fillId="47" borderId="41" xfId="0" applyFont="1" applyFill="1" applyBorder="1"/>
    <xf numFmtId="0" fontId="84" fillId="47" borderId="267" xfId="0" applyFont="1" applyFill="1" applyBorder="1"/>
    <xf numFmtId="3" fontId="84" fillId="48" borderId="214" xfId="0" applyNumberFormat="1" applyFont="1" applyFill="1" applyBorder="1" applyAlignment="1">
      <alignment wrapText="1"/>
    </xf>
    <xf numFmtId="3" fontId="84" fillId="48" borderId="268" xfId="0" applyNumberFormat="1" applyFont="1" applyFill="1" applyBorder="1" applyAlignment="1">
      <alignment wrapText="1"/>
    </xf>
    <xf numFmtId="3" fontId="84" fillId="48" borderId="0" xfId="0" applyNumberFormat="1" applyFont="1" applyFill="1" applyAlignment="1">
      <alignment wrapText="1"/>
    </xf>
    <xf numFmtId="0" fontId="84" fillId="49" borderId="214" xfId="0" applyFont="1" applyFill="1" applyBorder="1" applyAlignment="1">
      <alignment wrapText="1"/>
    </xf>
    <xf numFmtId="0" fontId="84" fillId="49" borderId="268" xfId="0" applyFont="1" applyFill="1" applyBorder="1" applyAlignment="1">
      <alignment wrapText="1"/>
    </xf>
    <xf numFmtId="0" fontId="84" fillId="49" borderId="268" xfId="0" quotePrefix="1" applyFont="1" applyFill="1" applyBorder="1" applyAlignment="1">
      <alignment wrapText="1"/>
    </xf>
    <xf numFmtId="0" fontId="84" fillId="49" borderId="0" xfId="0" applyFont="1" applyFill="1" applyAlignment="1">
      <alignment wrapText="1"/>
    </xf>
    <xf numFmtId="0" fontId="84" fillId="49" borderId="0" xfId="0" quotePrefix="1" applyFont="1" applyFill="1" applyAlignment="1">
      <alignment wrapText="1"/>
    </xf>
    <xf numFmtId="0" fontId="84" fillId="49" borderId="214" xfId="0" quotePrefix="1" applyFont="1" applyFill="1" applyBorder="1" applyAlignment="1">
      <alignment wrapText="1"/>
    </xf>
    <xf numFmtId="0" fontId="85" fillId="50" borderId="214" xfId="0" applyFont="1" applyFill="1" applyBorder="1" applyAlignment="1">
      <alignment wrapText="1"/>
    </xf>
    <xf numFmtId="3" fontId="85" fillId="50" borderId="214" xfId="0" applyNumberFormat="1" applyFont="1" applyFill="1" applyBorder="1" applyAlignment="1">
      <alignment wrapText="1"/>
    </xf>
    <xf numFmtId="0" fontId="85" fillId="50" borderId="268" xfId="0" applyFont="1" applyFill="1" applyBorder="1" applyAlignment="1">
      <alignment wrapText="1"/>
    </xf>
    <xf numFmtId="3" fontId="85" fillId="50" borderId="268" xfId="0" applyNumberFormat="1" applyFont="1" applyFill="1" applyBorder="1" applyAlignment="1">
      <alignment wrapText="1"/>
    </xf>
    <xf numFmtId="0" fontId="85" fillId="50" borderId="0" xfId="0" applyFont="1" applyFill="1" applyAlignment="1">
      <alignment wrapText="1"/>
    </xf>
    <xf numFmtId="3" fontId="85" fillId="50" borderId="0" xfId="0" applyNumberFormat="1" applyFont="1" applyFill="1" applyAlignment="1">
      <alignment wrapText="1"/>
    </xf>
    <xf numFmtId="3" fontId="84" fillId="48" borderId="214" xfId="0" applyNumberFormat="1" applyFont="1" applyFill="1" applyBorder="1"/>
    <xf numFmtId="3" fontId="84" fillId="48" borderId="268" xfId="0" applyNumberFormat="1" applyFont="1" applyFill="1" applyBorder="1"/>
    <xf numFmtId="3" fontId="84" fillId="48" borderId="0" xfId="0" applyNumberFormat="1" applyFont="1" applyFill="1"/>
    <xf numFmtId="0" fontId="85" fillId="50" borderId="214" xfId="0" quotePrefix="1" applyFont="1" applyFill="1" applyBorder="1" applyAlignment="1">
      <alignment wrapText="1"/>
    </xf>
    <xf numFmtId="0" fontId="85" fillId="50" borderId="268" xfId="0" quotePrefix="1" applyFont="1" applyFill="1" applyBorder="1" applyAlignment="1">
      <alignment wrapText="1"/>
    </xf>
    <xf numFmtId="0" fontId="85" fillId="50" borderId="0" xfId="0" quotePrefix="1" applyFont="1" applyFill="1" applyAlignment="1">
      <alignment wrapText="1"/>
    </xf>
    <xf numFmtId="0" fontId="84" fillId="51" borderId="214" xfId="0" applyFont="1" applyFill="1" applyBorder="1"/>
    <xf numFmtId="0" fontId="84" fillId="51" borderId="268" xfId="0" applyFont="1" applyFill="1" applyBorder="1"/>
    <xf numFmtId="0" fontId="84" fillId="51" borderId="0" xfId="0" applyFont="1" applyFill="1"/>
    <xf numFmtId="0" fontId="85" fillId="39" borderId="214" xfId="0" quotePrefix="1" applyFont="1" applyFill="1" applyBorder="1" applyAlignment="1">
      <alignment wrapText="1"/>
    </xf>
    <xf numFmtId="0" fontId="85" fillId="39" borderId="268" xfId="0" applyFont="1" applyFill="1" applyBorder="1" applyAlignment="1">
      <alignment wrapText="1"/>
    </xf>
    <xf numFmtId="0" fontId="85" fillId="39" borderId="268" xfId="0" quotePrefix="1" applyFont="1" applyFill="1" applyBorder="1" applyAlignment="1">
      <alignment wrapText="1"/>
    </xf>
    <xf numFmtId="0" fontId="85" fillId="39" borderId="0" xfId="0" quotePrefix="1" applyFont="1" applyFill="1" applyAlignment="1">
      <alignment wrapText="1"/>
    </xf>
    <xf numFmtId="0" fontId="87" fillId="39" borderId="268" xfId="0" applyFont="1" applyFill="1" applyBorder="1" applyAlignment="1">
      <alignment wrapText="1"/>
    </xf>
    <xf numFmtId="0" fontId="87" fillId="50" borderId="214" xfId="0" applyFont="1" applyFill="1" applyBorder="1" applyAlignment="1">
      <alignment wrapText="1"/>
    </xf>
    <xf numFmtId="0" fontId="87" fillId="50" borderId="268" xfId="0" applyFont="1" applyFill="1" applyBorder="1" applyAlignment="1">
      <alignment wrapText="1"/>
    </xf>
    <xf numFmtId="0" fontId="87" fillId="50" borderId="0" xfId="0" applyFont="1" applyFill="1" applyAlignment="1">
      <alignment wrapText="1"/>
    </xf>
    <xf numFmtId="0" fontId="87" fillId="39" borderId="0" xfId="0" applyFont="1" applyFill="1" applyAlignment="1">
      <alignment wrapText="1"/>
    </xf>
    <xf numFmtId="0" fontId="87" fillId="39" borderId="214" xfId="0" applyFont="1" applyFill="1" applyBorder="1" applyAlignment="1">
      <alignment wrapText="1"/>
    </xf>
    <xf numFmtId="0" fontId="85" fillId="0" borderId="214" xfId="0" applyFont="1" applyBorder="1" applyAlignment="1">
      <alignment wrapText="1"/>
    </xf>
    <xf numFmtId="0" fontId="85" fillId="0" borderId="268" xfId="0" applyFont="1" applyBorder="1" applyAlignment="1">
      <alignment wrapText="1"/>
    </xf>
    <xf numFmtId="0" fontId="85" fillId="0" borderId="268" xfId="0" quotePrefix="1" applyFont="1" applyBorder="1" applyAlignment="1">
      <alignment wrapText="1"/>
    </xf>
    <xf numFmtId="0" fontId="85" fillId="0" borderId="0" xfId="0" applyFont="1" applyAlignment="1">
      <alignment wrapText="1"/>
    </xf>
    <xf numFmtId="0" fontId="85" fillId="0" borderId="0" xfId="0" quotePrefix="1" applyFont="1" applyAlignment="1">
      <alignment wrapText="1"/>
    </xf>
    <xf numFmtId="0" fontId="87" fillId="0" borderId="214" xfId="0" applyFont="1" applyBorder="1" applyAlignment="1">
      <alignment wrapText="1"/>
    </xf>
    <xf numFmtId="0" fontId="87" fillId="52" borderId="268" xfId="0" applyFont="1" applyFill="1" applyBorder="1"/>
    <xf numFmtId="0" fontId="87" fillId="52" borderId="0" xfId="0" applyFont="1" applyFill="1"/>
    <xf numFmtId="0" fontId="87" fillId="52" borderId="214" xfId="0" applyFont="1" applyFill="1" applyBorder="1"/>
    <xf numFmtId="0" fontId="87" fillId="49" borderId="214" xfId="0" applyFont="1" applyFill="1" applyBorder="1" applyAlignment="1">
      <alignment wrapText="1"/>
    </xf>
    <xf numFmtId="0" fontId="87" fillId="49" borderId="268" xfId="0" applyFont="1" applyFill="1" applyBorder="1" applyAlignment="1">
      <alignment wrapText="1"/>
    </xf>
    <xf numFmtId="0" fontId="85" fillId="49" borderId="214" xfId="0" applyFont="1" applyFill="1" applyBorder="1" applyAlignment="1">
      <alignment wrapText="1"/>
    </xf>
    <xf numFmtId="0" fontId="85" fillId="49" borderId="0" xfId="0" applyFont="1" applyFill="1" applyAlignment="1">
      <alignment wrapText="1"/>
    </xf>
    <xf numFmtId="0" fontId="84" fillId="51" borderId="169" xfId="0" applyFont="1" applyFill="1" applyBorder="1" applyAlignment="1">
      <alignment wrapText="1"/>
    </xf>
    <xf numFmtId="0" fontId="84" fillId="51" borderId="150" xfId="0" applyFont="1" applyFill="1" applyBorder="1" applyAlignment="1">
      <alignment wrapText="1"/>
    </xf>
    <xf numFmtId="0" fontId="84" fillId="51" borderId="158" xfId="0" applyFont="1" applyFill="1" applyBorder="1" applyAlignment="1">
      <alignment wrapText="1"/>
    </xf>
    <xf numFmtId="0" fontId="84" fillId="47" borderId="133" xfId="0" applyFont="1" applyFill="1" applyBorder="1"/>
    <xf numFmtId="0" fontId="84" fillId="47" borderId="151" xfId="0" applyFont="1" applyFill="1" applyBorder="1"/>
    <xf numFmtId="0" fontId="85" fillId="50" borderId="131" xfId="0" applyFont="1" applyFill="1" applyBorder="1"/>
    <xf numFmtId="0" fontId="85" fillId="50" borderId="128" xfId="0" applyFont="1" applyFill="1" applyBorder="1"/>
    <xf numFmtId="0" fontId="84" fillId="51" borderId="131" xfId="0" applyFont="1" applyFill="1" applyBorder="1"/>
    <xf numFmtId="0" fontId="84" fillId="51" borderId="128" xfId="0" applyFont="1" applyFill="1" applyBorder="1"/>
    <xf numFmtId="0" fontId="85" fillId="39" borderId="131" xfId="0" applyFont="1" applyFill="1" applyBorder="1"/>
    <xf numFmtId="0" fontId="85" fillId="39" borderId="128" xfId="0" applyFont="1" applyFill="1" applyBorder="1"/>
    <xf numFmtId="0" fontId="85" fillId="0" borderId="131" xfId="0" applyFont="1" applyBorder="1"/>
    <xf numFmtId="0" fontId="85" fillId="0" borderId="128" xfId="0" applyFont="1" applyBorder="1"/>
    <xf numFmtId="0" fontId="84" fillId="52" borderId="131" xfId="0" applyFont="1" applyFill="1" applyBorder="1"/>
    <xf numFmtId="0" fontId="84" fillId="52" borderId="128" xfId="0" applyFont="1" applyFill="1" applyBorder="1"/>
    <xf numFmtId="0" fontId="84" fillId="47" borderId="266" xfId="0" applyFont="1" applyFill="1" applyBorder="1" applyAlignment="1">
      <alignment horizontal="center" vertical="center"/>
    </xf>
    <xf numFmtId="0" fontId="84" fillId="47" borderId="41" xfId="0" applyFont="1" applyFill="1" applyBorder="1" applyAlignment="1">
      <alignment horizontal="center" vertical="center"/>
    </xf>
    <xf numFmtId="0" fontId="84" fillId="47" borderId="267" xfId="0" applyFont="1" applyFill="1" applyBorder="1" applyAlignment="1">
      <alignment horizontal="center" vertical="center"/>
    </xf>
    <xf numFmtId="3" fontId="84" fillId="48" borderId="214" xfId="0" applyNumberFormat="1" applyFont="1" applyFill="1" applyBorder="1" applyAlignment="1">
      <alignment horizontal="center" vertical="center" wrapText="1"/>
    </xf>
    <xf numFmtId="3" fontId="84" fillId="48" borderId="268" xfId="0" applyNumberFormat="1" applyFont="1" applyFill="1" applyBorder="1" applyAlignment="1">
      <alignment horizontal="center" vertical="center" wrapText="1"/>
    </xf>
    <xf numFmtId="3" fontId="84" fillId="48" borderId="0" xfId="0" applyNumberFormat="1" applyFont="1" applyFill="1" applyAlignment="1">
      <alignment horizontal="center" vertical="center" wrapText="1"/>
    </xf>
    <xf numFmtId="0" fontId="84" fillId="49" borderId="214" xfId="0" applyFont="1" applyFill="1" applyBorder="1" applyAlignment="1">
      <alignment horizontal="center" vertical="center" wrapText="1"/>
    </xf>
    <xf numFmtId="0" fontId="84" fillId="49" borderId="268" xfId="0" applyFont="1" applyFill="1" applyBorder="1" applyAlignment="1">
      <alignment horizontal="center" vertical="center" wrapText="1"/>
    </xf>
    <xf numFmtId="0" fontId="84" fillId="49" borderId="268" xfId="0" quotePrefix="1" applyFont="1" applyFill="1" applyBorder="1" applyAlignment="1">
      <alignment horizontal="center" vertical="center" wrapText="1"/>
    </xf>
    <xf numFmtId="0" fontId="84" fillId="49" borderId="0" xfId="0" quotePrefix="1" applyFont="1" applyFill="1" applyAlignment="1">
      <alignment horizontal="center" vertical="center" wrapText="1"/>
    </xf>
    <xf numFmtId="0" fontId="84" fillId="49" borderId="214" xfId="0" quotePrefix="1" applyFont="1" applyFill="1" applyBorder="1" applyAlignment="1">
      <alignment horizontal="center" vertical="center" wrapText="1"/>
    </xf>
    <xf numFmtId="3" fontId="85" fillId="50" borderId="214" xfId="0" applyNumberFormat="1" applyFont="1" applyFill="1" applyBorder="1" applyAlignment="1">
      <alignment horizontal="center" vertical="center" wrapText="1"/>
    </xf>
    <xf numFmtId="3" fontId="85" fillId="50" borderId="268" xfId="0" applyNumberFormat="1" applyFont="1" applyFill="1" applyBorder="1" applyAlignment="1">
      <alignment horizontal="center" vertical="center" wrapText="1"/>
    </xf>
    <xf numFmtId="3" fontId="85" fillId="50" borderId="0" xfId="0" applyNumberFormat="1" applyFont="1" applyFill="1" applyAlignment="1">
      <alignment horizontal="center" vertical="center" wrapText="1"/>
    </xf>
    <xf numFmtId="3" fontId="84" fillId="48" borderId="214" xfId="0" applyNumberFormat="1" applyFont="1" applyFill="1" applyBorder="1" applyAlignment="1">
      <alignment horizontal="center" vertical="center"/>
    </xf>
    <xf numFmtId="3" fontId="84" fillId="48" borderId="268" xfId="0" applyNumberFormat="1" applyFont="1" applyFill="1" applyBorder="1" applyAlignment="1">
      <alignment horizontal="center" vertical="center"/>
    </xf>
    <xf numFmtId="3" fontId="84" fillId="48" borderId="0" xfId="0" applyNumberFormat="1" applyFont="1" applyFill="1" applyAlignment="1">
      <alignment horizontal="center" vertical="center"/>
    </xf>
    <xf numFmtId="0" fontId="84" fillId="48" borderId="0" xfId="0" applyFont="1" applyFill="1" applyAlignment="1">
      <alignment horizontal="center" vertical="center"/>
    </xf>
    <xf numFmtId="0" fontId="85" fillId="50" borderId="268" xfId="0" applyFont="1" applyFill="1" applyBorder="1" applyAlignment="1">
      <alignment horizontal="center" vertical="center" wrapText="1"/>
    </xf>
    <xf numFmtId="0" fontId="85" fillId="50" borderId="0" xfId="0" applyFont="1" applyFill="1" applyAlignment="1">
      <alignment horizontal="center" vertical="center" wrapText="1"/>
    </xf>
    <xf numFmtId="0" fontId="85" fillId="50" borderId="214" xfId="0" applyFont="1" applyFill="1" applyBorder="1" applyAlignment="1">
      <alignment horizontal="center" vertical="center" wrapText="1"/>
    </xf>
    <xf numFmtId="0" fontId="85" fillId="50" borderId="214" xfId="0" quotePrefix="1" applyFont="1" applyFill="1" applyBorder="1" applyAlignment="1">
      <alignment horizontal="center" vertical="center" wrapText="1"/>
    </xf>
    <xf numFmtId="0" fontId="85" fillId="50" borderId="268" xfId="0" quotePrefix="1" applyFont="1" applyFill="1" applyBorder="1" applyAlignment="1">
      <alignment horizontal="center" vertical="center" wrapText="1"/>
    </xf>
    <xf numFmtId="0" fontId="85" fillId="50" borderId="0" xfId="0" quotePrefix="1" applyFont="1" applyFill="1" applyAlignment="1">
      <alignment horizontal="center" vertical="center" wrapText="1"/>
    </xf>
    <xf numFmtId="0" fontId="86" fillId="49" borderId="214" xfId="0" applyFont="1" applyFill="1" applyBorder="1" applyAlignment="1">
      <alignment horizontal="center" vertical="center" wrapText="1"/>
    </xf>
    <xf numFmtId="0" fontId="86" fillId="49" borderId="268" xfId="0" applyFont="1" applyFill="1" applyBorder="1" applyAlignment="1">
      <alignment horizontal="center" vertical="center" wrapText="1"/>
    </xf>
    <xf numFmtId="0" fontId="84" fillId="49" borderId="0" xfId="0" applyFont="1" applyFill="1" applyAlignment="1">
      <alignment horizontal="center" vertical="center" wrapText="1"/>
    </xf>
    <xf numFmtId="0" fontId="86" fillId="49" borderId="0" xfId="0" applyFont="1" applyFill="1" applyAlignment="1">
      <alignment horizontal="center" vertical="center" wrapText="1"/>
    </xf>
    <xf numFmtId="3" fontId="86" fillId="49" borderId="214" xfId="0" applyNumberFormat="1" applyFont="1" applyFill="1" applyBorder="1" applyAlignment="1">
      <alignment horizontal="center" vertical="center" wrapText="1"/>
    </xf>
    <xf numFmtId="3" fontId="86" fillId="49" borderId="268" xfId="0" applyNumberFormat="1" applyFont="1" applyFill="1" applyBorder="1" applyAlignment="1">
      <alignment horizontal="center" vertical="center" wrapText="1"/>
    </xf>
    <xf numFmtId="3" fontId="84" fillId="49" borderId="0" xfId="0" applyNumberFormat="1" applyFont="1" applyFill="1" applyAlignment="1">
      <alignment horizontal="center" vertical="center" wrapText="1"/>
    </xf>
    <xf numFmtId="3" fontId="84" fillId="49" borderId="268" xfId="0" applyNumberFormat="1" applyFont="1" applyFill="1" applyBorder="1" applyAlignment="1">
      <alignment horizontal="center" vertical="center" wrapText="1"/>
    </xf>
    <xf numFmtId="3" fontId="84" fillId="49" borderId="214" xfId="0" applyNumberFormat="1" applyFont="1" applyFill="1" applyBorder="1" applyAlignment="1">
      <alignment horizontal="center" vertical="center" wrapText="1"/>
    </xf>
    <xf numFmtId="0" fontId="84" fillId="51" borderId="214" xfId="0" applyFont="1" applyFill="1" applyBorder="1" applyAlignment="1">
      <alignment horizontal="center" vertical="center"/>
    </xf>
    <xf numFmtId="3" fontId="84" fillId="51" borderId="268" xfId="0" applyNumberFormat="1" applyFont="1" applyFill="1" applyBorder="1" applyAlignment="1">
      <alignment horizontal="center" vertical="center"/>
    </xf>
    <xf numFmtId="0" fontId="84" fillId="51" borderId="268" xfId="0" applyFont="1" applyFill="1" applyBorder="1" applyAlignment="1">
      <alignment horizontal="center" vertical="center"/>
    </xf>
    <xf numFmtId="0" fontId="84" fillId="51" borderId="0" xfId="0" applyFont="1" applyFill="1" applyAlignment="1">
      <alignment horizontal="center" vertical="center"/>
    </xf>
    <xf numFmtId="0" fontId="86" fillId="51" borderId="0" xfId="0" applyFont="1" applyFill="1" applyAlignment="1">
      <alignment horizontal="center" vertical="center"/>
    </xf>
    <xf numFmtId="0" fontId="86" fillId="51" borderId="214" xfId="0" applyFont="1" applyFill="1" applyBorder="1" applyAlignment="1">
      <alignment horizontal="center" vertical="center"/>
    </xf>
    <xf numFmtId="0" fontId="86" fillId="51" borderId="268" xfId="0" applyFont="1" applyFill="1" applyBorder="1" applyAlignment="1">
      <alignment horizontal="center" vertical="center"/>
    </xf>
    <xf numFmtId="3" fontId="86" fillId="51" borderId="268" xfId="0" applyNumberFormat="1" applyFont="1" applyFill="1" applyBorder="1" applyAlignment="1">
      <alignment horizontal="center" vertical="center"/>
    </xf>
    <xf numFmtId="3" fontId="86" fillId="51" borderId="0" xfId="0" applyNumberFormat="1" applyFont="1" applyFill="1" applyAlignment="1">
      <alignment horizontal="center" vertical="center"/>
    </xf>
    <xf numFmtId="3" fontId="86" fillId="51" borderId="214" xfId="0" applyNumberFormat="1" applyFont="1" applyFill="1" applyBorder="1" applyAlignment="1">
      <alignment horizontal="center" vertical="center"/>
    </xf>
    <xf numFmtId="0" fontId="85" fillId="39" borderId="214" xfId="0" quotePrefix="1" applyFont="1" applyFill="1" applyBorder="1" applyAlignment="1">
      <alignment horizontal="center" vertical="center" wrapText="1"/>
    </xf>
    <xf numFmtId="0" fontId="85" fillId="39" borderId="268" xfId="0" quotePrefix="1" applyFont="1" applyFill="1" applyBorder="1" applyAlignment="1">
      <alignment horizontal="center" vertical="center" wrapText="1"/>
    </xf>
    <xf numFmtId="0" fontId="85" fillId="39" borderId="0" xfId="0" quotePrefix="1" applyFont="1" applyFill="1" applyAlignment="1">
      <alignment horizontal="center" vertical="center" wrapText="1"/>
    </xf>
    <xf numFmtId="0" fontId="85" fillId="39" borderId="214" xfId="0" applyFont="1" applyFill="1" applyBorder="1" applyAlignment="1">
      <alignment horizontal="center" vertical="center" wrapText="1"/>
    </xf>
    <xf numFmtId="0" fontId="87" fillId="39" borderId="268" xfId="0" applyFont="1" applyFill="1" applyBorder="1" applyAlignment="1">
      <alignment horizontal="center" vertical="center" wrapText="1"/>
    </xf>
    <xf numFmtId="0" fontId="85" fillId="39" borderId="0" xfId="0" applyFont="1" applyFill="1" applyAlignment="1">
      <alignment horizontal="center" vertical="center" wrapText="1"/>
    </xf>
    <xf numFmtId="0" fontId="87" fillId="50" borderId="214" xfId="0" applyFont="1" applyFill="1" applyBorder="1" applyAlignment="1">
      <alignment horizontal="center" vertical="center" wrapText="1"/>
    </xf>
    <xf numFmtId="0" fontId="87" fillId="50" borderId="268" xfId="0" applyFont="1" applyFill="1" applyBorder="1" applyAlignment="1">
      <alignment horizontal="center" vertical="center" wrapText="1"/>
    </xf>
    <xf numFmtId="0" fontId="87" fillId="50" borderId="0" xfId="0" applyFont="1" applyFill="1" applyAlignment="1">
      <alignment horizontal="center" vertical="center" wrapText="1"/>
    </xf>
    <xf numFmtId="0" fontId="85" fillId="39" borderId="268" xfId="0" applyFont="1" applyFill="1" applyBorder="1" applyAlignment="1">
      <alignment horizontal="center" vertical="center" wrapText="1"/>
    </xf>
    <xf numFmtId="0" fontId="87" fillId="39" borderId="0" xfId="0" applyFont="1" applyFill="1" applyAlignment="1">
      <alignment horizontal="center" vertical="center" wrapText="1"/>
    </xf>
    <xf numFmtId="0" fontId="87" fillId="39" borderId="214" xfId="0" applyFont="1" applyFill="1" applyBorder="1" applyAlignment="1">
      <alignment horizontal="center" vertical="center" wrapText="1"/>
    </xf>
    <xf numFmtId="0" fontId="85" fillId="0" borderId="214" xfId="0" quotePrefix="1" applyFont="1" applyBorder="1" applyAlignment="1">
      <alignment horizontal="center" vertical="center" wrapText="1"/>
    </xf>
    <xf numFmtId="0" fontId="85" fillId="0" borderId="268" xfId="0" quotePrefix="1" applyFont="1" applyBorder="1" applyAlignment="1">
      <alignment horizontal="center" vertical="center" wrapText="1"/>
    </xf>
    <xf numFmtId="0" fontId="85" fillId="0" borderId="0" xfId="0" quotePrefix="1" applyFont="1" applyAlignment="1">
      <alignment horizontal="center" vertical="center" wrapText="1"/>
    </xf>
    <xf numFmtId="0" fontId="85" fillId="0" borderId="0" xfId="0" applyFont="1" applyAlignment="1">
      <alignment horizontal="center" vertical="center" wrapText="1"/>
    </xf>
    <xf numFmtId="0" fontId="85" fillId="0" borderId="214" xfId="0" applyFont="1" applyBorder="1" applyAlignment="1">
      <alignment horizontal="center" vertical="center" wrapText="1"/>
    </xf>
    <xf numFmtId="0" fontId="85" fillId="0" borderId="268" xfId="0" applyFont="1" applyBorder="1" applyAlignment="1">
      <alignment horizontal="center" vertical="center" wrapText="1"/>
    </xf>
    <xf numFmtId="0" fontId="87" fillId="52" borderId="268" xfId="0" applyFont="1" applyFill="1" applyBorder="1" applyAlignment="1">
      <alignment horizontal="center" vertical="center"/>
    </xf>
    <xf numFmtId="0" fontId="85" fillId="52" borderId="268" xfId="0" applyFont="1" applyFill="1" applyBorder="1" applyAlignment="1">
      <alignment horizontal="center" vertical="center"/>
    </xf>
    <xf numFmtId="0" fontId="87" fillId="52" borderId="0" xfId="0" applyFont="1" applyFill="1" applyAlignment="1">
      <alignment horizontal="center" vertical="center"/>
    </xf>
    <xf numFmtId="0" fontId="87" fillId="52" borderId="214" xfId="0" applyFont="1" applyFill="1" applyBorder="1" applyAlignment="1">
      <alignment horizontal="center" vertical="center"/>
    </xf>
    <xf numFmtId="0" fontId="87" fillId="0" borderId="268" xfId="0" applyFont="1" applyBorder="1" applyAlignment="1">
      <alignment horizontal="center" vertical="center" wrapText="1"/>
    </xf>
    <xf numFmtId="0" fontId="87" fillId="0" borderId="214" xfId="0" applyFont="1" applyBorder="1" applyAlignment="1">
      <alignment horizontal="center" vertical="center" wrapText="1"/>
    </xf>
    <xf numFmtId="0" fontId="87" fillId="0" borderId="0" xfId="0" applyFont="1" applyAlignment="1">
      <alignment horizontal="center" vertical="center" wrapText="1"/>
    </xf>
    <xf numFmtId="0" fontId="87" fillId="49" borderId="214" xfId="0" applyFont="1" applyFill="1" applyBorder="1" applyAlignment="1">
      <alignment horizontal="center" vertical="center" wrapText="1"/>
    </xf>
    <xf numFmtId="0" fontId="85" fillId="49" borderId="268" xfId="0" applyFont="1" applyFill="1" applyBorder="1" applyAlignment="1">
      <alignment horizontal="center" vertical="center" wrapText="1"/>
    </xf>
    <xf numFmtId="3" fontId="87" fillId="49" borderId="268" xfId="0" applyNumberFormat="1" applyFont="1" applyFill="1" applyBorder="1" applyAlignment="1">
      <alignment horizontal="center" vertical="center" wrapText="1"/>
    </xf>
    <xf numFmtId="0" fontId="87" fillId="49" borderId="0" xfId="0" applyFont="1" applyFill="1" applyAlignment="1">
      <alignment horizontal="center" vertical="center" wrapText="1"/>
    </xf>
    <xf numFmtId="3" fontId="85" fillId="49" borderId="214" xfId="0" applyNumberFormat="1" applyFont="1" applyFill="1" applyBorder="1" applyAlignment="1">
      <alignment horizontal="center" vertical="center" wrapText="1"/>
    </xf>
    <xf numFmtId="3" fontId="85" fillId="49" borderId="268" xfId="0" applyNumberFormat="1" applyFont="1" applyFill="1" applyBorder="1" applyAlignment="1">
      <alignment horizontal="center" vertical="center" wrapText="1"/>
    </xf>
    <xf numFmtId="0" fontId="85" fillId="49" borderId="0" xfId="0" applyFont="1" applyFill="1" applyAlignment="1">
      <alignment horizontal="center" vertical="center" wrapText="1"/>
    </xf>
    <xf numFmtId="0" fontId="85" fillId="49" borderId="214" xfId="0" applyFont="1" applyFill="1" applyBorder="1" applyAlignment="1">
      <alignment horizontal="center" vertical="center" wrapText="1"/>
    </xf>
    <xf numFmtId="0" fontId="87" fillId="49" borderId="268" xfId="0" applyFont="1" applyFill="1" applyBorder="1" applyAlignment="1">
      <alignment horizontal="center" vertical="center" wrapText="1"/>
    </xf>
    <xf numFmtId="3" fontId="84" fillId="51" borderId="150" xfId="0" applyNumberFormat="1" applyFont="1" applyFill="1" applyBorder="1" applyAlignment="1">
      <alignment horizontal="center" vertical="center" wrapText="1"/>
    </xf>
    <xf numFmtId="0" fontId="84" fillId="51" borderId="150" xfId="0" applyFont="1" applyFill="1" applyBorder="1" applyAlignment="1">
      <alignment horizontal="center" vertical="center" wrapText="1"/>
    </xf>
    <xf numFmtId="0" fontId="84" fillId="51" borderId="158" xfId="0" applyFont="1" applyFill="1" applyBorder="1" applyAlignment="1">
      <alignment horizontal="center" vertical="center" wrapText="1"/>
    </xf>
    <xf numFmtId="3" fontId="86" fillId="51" borderId="169" xfId="0" applyNumberFormat="1" applyFont="1" applyFill="1" applyBorder="1" applyAlignment="1">
      <alignment horizontal="center" vertical="center" wrapText="1"/>
    </xf>
    <xf numFmtId="3" fontId="86" fillId="51" borderId="150" xfId="0" applyNumberFormat="1" applyFont="1" applyFill="1" applyBorder="1" applyAlignment="1">
      <alignment horizontal="center" vertical="center" wrapText="1"/>
    </xf>
    <xf numFmtId="0" fontId="86" fillId="51" borderId="158" xfId="0" applyFont="1" applyFill="1" applyBorder="1" applyAlignment="1">
      <alignment horizontal="center" vertical="center" wrapText="1"/>
    </xf>
    <xf numFmtId="0" fontId="86" fillId="51" borderId="169" xfId="0" applyFont="1" applyFill="1" applyBorder="1" applyAlignment="1">
      <alignment horizontal="center" vertical="center" wrapText="1"/>
    </xf>
    <xf numFmtId="0" fontId="86" fillId="51" borderId="150" xfId="0" applyFont="1" applyFill="1" applyBorder="1" applyAlignment="1">
      <alignment horizontal="center" vertical="center" wrapText="1"/>
    </xf>
    <xf numFmtId="3" fontId="86" fillId="51" borderId="158" xfId="0" applyNumberFormat="1" applyFont="1" applyFill="1" applyBorder="1" applyAlignment="1">
      <alignment horizontal="center" vertical="center" wrapText="1"/>
    </xf>
    <xf numFmtId="0" fontId="13" fillId="53" borderId="46" xfId="0" applyFont="1" applyFill="1" applyBorder="1"/>
    <xf numFmtId="0" fontId="13" fillId="53" borderId="35" xfId="0" applyFont="1" applyFill="1" applyBorder="1"/>
    <xf numFmtId="0" fontId="0" fillId="0" borderId="35" xfId="0" applyBorder="1"/>
    <xf numFmtId="10" fontId="8" fillId="0" borderId="4" xfId="0" applyNumberFormat="1" applyFont="1" applyBorder="1"/>
    <xf numFmtId="10" fontId="0" fillId="0" borderId="2" xfId="0" applyNumberFormat="1" applyBorder="1"/>
    <xf numFmtId="0" fontId="33" fillId="45" borderId="0" xfId="0" applyFont="1" applyFill="1"/>
    <xf numFmtId="0" fontId="33" fillId="7" borderId="0" xfId="0" applyFont="1" applyFill="1"/>
    <xf numFmtId="0" fontId="33" fillId="54" borderId="0" xfId="0" applyFont="1" applyFill="1"/>
    <xf numFmtId="0" fontId="33" fillId="0" borderId="0" xfId="0" applyFont="1" applyAlignment="1">
      <alignment horizontal="left" vertical="top"/>
    </xf>
    <xf numFmtId="0" fontId="33" fillId="0" borderId="133" xfId="0" applyFont="1" applyBorder="1" applyAlignment="1">
      <alignment horizontal="left" vertical="top"/>
    </xf>
    <xf numFmtId="0" fontId="33" fillId="0" borderId="187" xfId="0" applyFont="1" applyBorder="1" applyAlignment="1">
      <alignment horizontal="left" vertical="top"/>
    </xf>
    <xf numFmtId="0" fontId="33" fillId="0" borderId="187" xfId="0" applyFont="1" applyBorder="1" applyAlignment="1">
      <alignment horizontal="center" vertical="center"/>
    </xf>
    <xf numFmtId="3" fontId="33" fillId="0" borderId="187" xfId="0" applyNumberFormat="1" applyFont="1" applyBorder="1" applyAlignment="1">
      <alignment horizontal="center" vertical="center"/>
    </xf>
    <xf numFmtId="0" fontId="22" fillId="55" borderId="131" xfId="0" applyFont="1" applyFill="1" applyBorder="1" applyAlignment="1">
      <alignment horizontal="left" vertical="top"/>
    </xf>
    <xf numFmtId="0" fontId="22" fillId="55" borderId="0" xfId="0" applyFont="1" applyFill="1" applyAlignment="1">
      <alignment horizontal="left" vertical="top"/>
    </xf>
    <xf numFmtId="0" fontId="22" fillId="55" borderId="0" xfId="0" applyFont="1" applyFill="1" applyAlignment="1">
      <alignment horizontal="center" vertical="center"/>
    </xf>
    <xf numFmtId="0" fontId="33" fillId="54" borderId="131" xfId="0" applyFont="1" applyFill="1" applyBorder="1" applyAlignment="1">
      <alignment horizontal="left" vertical="top"/>
    </xf>
    <xf numFmtId="0" fontId="33" fillId="54" borderId="0" xfId="0" applyFont="1" applyFill="1" applyAlignment="1">
      <alignment horizontal="left" vertical="top"/>
    </xf>
    <xf numFmtId="10" fontId="33" fillId="54" borderId="0" xfId="0" applyNumberFormat="1" applyFont="1" applyFill="1" applyAlignment="1">
      <alignment horizontal="center" vertical="center"/>
    </xf>
    <xf numFmtId="0" fontId="33" fillId="54" borderId="0" xfId="0" applyFont="1" applyFill="1" applyAlignment="1">
      <alignment horizontal="center" vertical="center"/>
    </xf>
    <xf numFmtId="0" fontId="33" fillId="54" borderId="128" xfId="0" applyFont="1" applyFill="1" applyBorder="1" applyAlignment="1">
      <alignment horizontal="center" vertical="center"/>
    </xf>
    <xf numFmtId="0" fontId="22" fillId="45" borderId="131" xfId="0" applyFont="1" applyFill="1" applyBorder="1" applyAlignment="1">
      <alignment horizontal="left" vertical="top"/>
    </xf>
    <xf numFmtId="0" fontId="33" fillId="45" borderId="0" xfId="0" applyFont="1" applyFill="1" applyAlignment="1">
      <alignment horizontal="left" vertical="top"/>
    </xf>
    <xf numFmtId="10" fontId="33" fillId="45" borderId="0" xfId="0" applyNumberFormat="1" applyFont="1" applyFill="1" applyAlignment="1">
      <alignment horizontal="center" vertical="center"/>
    </xf>
    <xf numFmtId="0" fontId="33" fillId="45" borderId="0" xfId="0" applyFont="1" applyFill="1" applyAlignment="1">
      <alignment horizontal="center" vertical="center"/>
    </xf>
    <xf numFmtId="0" fontId="33" fillId="45" borderId="128" xfId="0" applyFont="1" applyFill="1" applyBorder="1" applyAlignment="1">
      <alignment horizontal="center" vertical="center"/>
    </xf>
    <xf numFmtId="0" fontId="33" fillId="0" borderId="131" xfId="0" applyFont="1" applyBorder="1" applyAlignment="1">
      <alignment horizontal="left" vertical="top"/>
    </xf>
    <xf numFmtId="0" fontId="33" fillId="0" borderId="0" xfId="0" applyFont="1" applyAlignment="1">
      <alignment horizontal="center" vertical="center"/>
    </xf>
    <xf numFmtId="0" fontId="33" fillId="0" borderId="128" xfId="0" applyFont="1" applyBorder="1" applyAlignment="1">
      <alignment horizontal="center" vertical="center"/>
    </xf>
    <xf numFmtId="10" fontId="33" fillId="45" borderId="128" xfId="0" applyNumberFormat="1" applyFont="1" applyFill="1" applyBorder="1" applyAlignment="1">
      <alignment horizontal="center" vertical="center"/>
    </xf>
    <xf numFmtId="10" fontId="33" fillId="54" borderId="128" xfId="0" applyNumberFormat="1" applyFont="1" applyFill="1" applyBorder="1" applyAlignment="1">
      <alignment horizontal="center" vertical="center"/>
    </xf>
    <xf numFmtId="0" fontId="22" fillId="45" borderId="130" xfId="0" applyFont="1" applyFill="1" applyBorder="1" applyAlignment="1">
      <alignment horizontal="left" vertical="top"/>
    </xf>
    <xf numFmtId="0" fontId="33" fillId="45" borderId="144" xfId="0" applyFont="1" applyFill="1" applyBorder="1" applyAlignment="1">
      <alignment horizontal="left" vertical="top"/>
    </xf>
    <xf numFmtId="10" fontId="33" fillId="45" borderId="144" xfId="0" applyNumberFormat="1" applyFont="1" applyFill="1" applyBorder="1" applyAlignment="1">
      <alignment horizontal="center" vertical="center"/>
    </xf>
    <xf numFmtId="10" fontId="33" fillId="45" borderId="152" xfId="0" applyNumberFormat="1" applyFont="1" applyFill="1" applyBorder="1" applyAlignment="1">
      <alignment horizontal="center" vertical="center"/>
    </xf>
    <xf numFmtId="0" fontId="13" fillId="13" borderId="133" xfId="0" applyFont="1" applyFill="1" applyBorder="1" applyAlignment="1">
      <alignment horizontal="center"/>
    </xf>
    <xf numFmtId="0" fontId="13" fillId="13" borderId="187" xfId="0" applyFont="1" applyFill="1" applyBorder="1" applyAlignment="1">
      <alignment horizontal="center"/>
    </xf>
    <xf numFmtId="0" fontId="13" fillId="13" borderId="151" xfId="0" applyFont="1" applyFill="1" applyBorder="1" applyAlignment="1">
      <alignment horizontal="center"/>
    </xf>
    <xf numFmtId="0" fontId="13" fillId="13" borderId="194" xfId="0" applyFont="1" applyFill="1" applyBorder="1" applyAlignment="1">
      <alignment horizontal="center"/>
    </xf>
    <xf numFmtId="0" fontId="13" fillId="13" borderId="127" xfId="0" applyFont="1" applyFill="1" applyBorder="1" applyAlignment="1">
      <alignment horizontal="center"/>
    </xf>
    <xf numFmtId="0" fontId="13" fillId="0" borderId="133" xfId="0" applyFont="1" applyBorder="1" applyAlignment="1">
      <alignment horizontal="center" vertical="center"/>
    </xf>
    <xf numFmtId="0" fontId="13" fillId="0" borderId="187" xfId="23" applyFont="1" applyBorder="1" applyAlignment="1">
      <alignment horizontal="center" vertical="center"/>
    </xf>
    <xf numFmtId="0" fontId="13" fillId="0" borderId="151" xfId="23" applyFont="1" applyBorder="1" applyAlignment="1">
      <alignment horizontal="center" vertical="center"/>
    </xf>
    <xf numFmtId="0" fontId="13" fillId="0" borderId="128" xfId="23" applyFont="1" applyBorder="1" applyAlignment="1">
      <alignment horizontal="center" vertical="center"/>
    </xf>
    <xf numFmtId="0" fontId="13" fillId="0" borderId="0" xfId="23" applyFont="1" applyAlignment="1">
      <alignment horizontal="center" vertical="center"/>
    </xf>
    <xf numFmtId="0" fontId="13" fillId="0" borderId="133" xfId="23" applyFont="1" applyBorder="1" applyAlignment="1">
      <alignment horizontal="center" vertical="center"/>
    </xf>
    <xf numFmtId="0" fontId="13" fillId="6" borderId="133" xfId="0" applyFont="1" applyFill="1" applyBorder="1"/>
    <xf numFmtId="3" fontId="8" fillId="6" borderId="133" xfId="0" applyNumberFormat="1" applyFont="1" applyFill="1" applyBorder="1" applyAlignment="1">
      <alignment horizontal="center" vertical="center"/>
    </xf>
    <xf numFmtId="3" fontId="8" fillId="6" borderId="187" xfId="0" applyNumberFormat="1" applyFont="1" applyFill="1" applyBorder="1" applyAlignment="1">
      <alignment horizontal="center" vertical="center"/>
    </xf>
    <xf numFmtId="3" fontId="8" fillId="6" borderId="151" xfId="0" applyNumberFormat="1" applyFont="1" applyFill="1" applyBorder="1" applyAlignment="1">
      <alignment horizontal="center" vertical="center"/>
    </xf>
    <xf numFmtId="0" fontId="8" fillId="6" borderId="151" xfId="0" applyFont="1" applyFill="1" applyBorder="1" applyAlignment="1">
      <alignment horizontal="center" vertical="center"/>
    </xf>
    <xf numFmtId="0" fontId="8" fillId="6" borderId="187" xfId="0" applyFont="1" applyFill="1" applyBorder="1" applyAlignment="1">
      <alignment horizontal="center" vertical="center"/>
    </xf>
    <xf numFmtId="2" fontId="8" fillId="6" borderId="187" xfId="0" applyNumberFormat="1" applyFont="1" applyFill="1" applyBorder="1" applyAlignment="1">
      <alignment horizontal="center" vertical="center"/>
    </xf>
    <xf numFmtId="2" fontId="8" fillId="6" borderId="151" xfId="0" applyNumberFormat="1" applyFont="1" applyFill="1" applyBorder="1" applyAlignment="1">
      <alignment horizontal="center" vertical="center"/>
    </xf>
    <xf numFmtId="2" fontId="8" fillId="6" borderId="133" xfId="0" applyNumberFormat="1" applyFont="1" applyFill="1" applyBorder="1" applyAlignment="1">
      <alignment horizontal="center" vertical="center"/>
    </xf>
    <xf numFmtId="0" fontId="0" fillId="0" borderId="131" xfId="0" applyBorder="1"/>
    <xf numFmtId="9" fontId="85" fillId="0" borderId="131" xfId="0" applyNumberFormat="1" applyFont="1" applyBorder="1" applyAlignment="1">
      <alignment horizontal="center" vertical="center"/>
    </xf>
    <xf numFmtId="10" fontId="0" fillId="0" borderId="128" xfId="0" applyNumberFormat="1" applyBorder="1" applyAlignment="1">
      <alignment horizontal="center" vertical="center"/>
    </xf>
    <xf numFmtId="10" fontId="0" fillId="0" borderId="131" xfId="0" applyNumberFormat="1" applyBorder="1" applyAlignment="1">
      <alignment horizontal="center" vertical="center"/>
    </xf>
    <xf numFmtId="0" fontId="62" fillId="0" borderId="131" xfId="0" applyFont="1" applyBorder="1"/>
    <xf numFmtId="0" fontId="0" fillId="0" borderId="131" xfId="0" applyBorder="1" applyAlignment="1">
      <alignment horizontal="center" vertical="center"/>
    </xf>
    <xf numFmtId="0" fontId="0" fillId="0" borderId="128" xfId="0" applyBorder="1" applyAlignment="1">
      <alignment horizontal="center" vertical="center"/>
    </xf>
    <xf numFmtId="0" fontId="0" fillId="6" borderId="131" xfId="0" applyFill="1" applyBorder="1"/>
    <xf numFmtId="0" fontId="0" fillId="6" borderId="131" xfId="0" applyFill="1" applyBorder="1" applyAlignment="1">
      <alignment horizontal="center" vertical="center"/>
    </xf>
    <xf numFmtId="3" fontId="0" fillId="6" borderId="0" xfId="0" applyNumberFormat="1" applyFill="1" applyAlignment="1">
      <alignment horizontal="center" vertical="center"/>
    </xf>
    <xf numFmtId="0" fontId="0" fillId="6" borderId="0" xfId="0" applyFill="1" applyAlignment="1">
      <alignment horizontal="center" vertical="center"/>
    </xf>
    <xf numFmtId="0" fontId="0" fillId="6" borderId="128" xfId="0" applyFill="1" applyBorder="1" applyAlignment="1">
      <alignment horizontal="center" vertical="center"/>
    </xf>
    <xf numFmtId="2" fontId="0" fillId="6" borderId="0" xfId="0" applyNumberFormat="1" applyFill="1" applyAlignment="1">
      <alignment horizontal="center" vertical="center"/>
    </xf>
    <xf numFmtId="2" fontId="0" fillId="6" borderId="128" xfId="0" applyNumberFormat="1" applyFill="1" applyBorder="1" applyAlignment="1">
      <alignment horizontal="center" vertical="center"/>
    </xf>
    <xf numFmtId="2" fontId="0" fillId="6" borderId="131" xfId="0" applyNumberFormat="1" applyFill="1" applyBorder="1" applyAlignment="1">
      <alignment horizontal="center" vertical="center"/>
    </xf>
    <xf numFmtId="0" fontId="8" fillId="0" borderId="131" xfId="23" applyBorder="1"/>
    <xf numFmtId="9" fontId="0" fillId="0" borderId="0" xfId="0" applyNumberFormat="1" applyAlignment="1">
      <alignment horizontal="center" vertical="center"/>
    </xf>
    <xf numFmtId="9" fontId="0" fillId="0" borderId="128" xfId="0" applyNumberFormat="1" applyBorder="1" applyAlignment="1">
      <alignment horizontal="center" vertical="center"/>
    </xf>
    <xf numFmtId="9" fontId="0" fillId="0" borderId="131" xfId="0" applyNumberFormat="1" applyBorder="1" applyAlignment="1">
      <alignment horizontal="center" vertical="center"/>
    </xf>
    <xf numFmtId="10" fontId="0" fillId="6" borderId="128" xfId="0" applyNumberFormat="1" applyFill="1" applyBorder="1" applyAlignment="1">
      <alignment horizontal="center" vertical="center"/>
    </xf>
    <xf numFmtId="0" fontId="0" fillId="32" borderId="131" xfId="0" applyFill="1" applyBorder="1"/>
    <xf numFmtId="0" fontId="0" fillId="32" borderId="131" xfId="0" applyFill="1" applyBorder="1" applyAlignment="1">
      <alignment horizontal="center" vertical="center"/>
    </xf>
    <xf numFmtId="0" fontId="0" fillId="32" borderId="0" xfId="0" applyFill="1" applyAlignment="1">
      <alignment horizontal="center" vertical="center"/>
    </xf>
    <xf numFmtId="0" fontId="0" fillId="32" borderId="128" xfId="0" applyFill="1" applyBorder="1" applyAlignment="1">
      <alignment horizontal="center" vertical="center"/>
    </xf>
    <xf numFmtId="10" fontId="0" fillId="32" borderId="128" xfId="0" applyNumberFormat="1" applyFill="1" applyBorder="1" applyAlignment="1">
      <alignment horizontal="center" vertical="center"/>
    </xf>
    <xf numFmtId="2" fontId="0" fillId="32" borderId="0" xfId="0" applyNumberFormat="1" applyFill="1" applyAlignment="1">
      <alignment horizontal="center" vertical="center"/>
    </xf>
    <xf numFmtId="2" fontId="0" fillId="32" borderId="128" xfId="0" applyNumberFormat="1" applyFill="1" applyBorder="1" applyAlignment="1">
      <alignment horizontal="center" vertical="center"/>
    </xf>
    <xf numFmtId="2" fontId="0" fillId="32" borderId="131" xfId="0" applyNumberFormat="1" applyFill="1" applyBorder="1" applyAlignment="1">
      <alignment horizontal="center" vertical="center"/>
    </xf>
    <xf numFmtId="0" fontId="8" fillId="0" borderId="131" xfId="23" applyBorder="1" applyAlignment="1">
      <alignment horizontal="center" vertical="center"/>
    </xf>
    <xf numFmtId="0" fontId="13" fillId="11" borderId="133" xfId="0" applyFont="1" applyFill="1" applyBorder="1"/>
    <xf numFmtId="3" fontId="0" fillId="11" borderId="133" xfId="0" applyNumberFormat="1" applyFill="1" applyBorder="1" applyAlignment="1">
      <alignment horizontal="center" vertical="center"/>
    </xf>
    <xf numFmtId="3" fontId="0" fillId="11" borderId="187" xfId="0" applyNumberFormat="1" applyFill="1" applyBorder="1" applyAlignment="1">
      <alignment horizontal="center" vertical="center"/>
    </xf>
    <xf numFmtId="3" fontId="0" fillId="11" borderId="151" xfId="0" applyNumberFormat="1" applyFill="1" applyBorder="1" applyAlignment="1">
      <alignment horizontal="center" vertical="center"/>
    </xf>
    <xf numFmtId="0" fontId="0" fillId="0" borderId="130" xfId="0" applyBorder="1"/>
    <xf numFmtId="10" fontId="0" fillId="0" borderId="144" xfId="0" applyNumberFormat="1" applyBorder="1" applyAlignment="1">
      <alignment horizontal="center" vertical="center"/>
    </xf>
    <xf numFmtId="10" fontId="0" fillId="0" borderId="152" xfId="0" applyNumberFormat="1" applyBorder="1" applyAlignment="1">
      <alignment horizontal="center" vertical="center"/>
    </xf>
    <xf numFmtId="0" fontId="13" fillId="53" borderId="3" xfId="0" applyFont="1" applyFill="1" applyBorder="1"/>
    <xf numFmtId="10" fontId="0" fillId="0" borderId="36" xfId="0" applyNumberFormat="1" applyBorder="1"/>
    <xf numFmtId="10" fontId="0" fillId="0" borderId="46" xfId="0" applyNumberFormat="1" applyBorder="1"/>
    <xf numFmtId="10" fontId="0" fillId="0" borderId="45" xfId="0" applyNumberFormat="1" applyBorder="1"/>
    <xf numFmtId="3" fontId="0" fillId="0" borderId="4" xfId="0" applyNumberFormat="1" applyBorder="1"/>
    <xf numFmtId="3" fontId="85" fillId="0" borderId="36" xfId="0" applyNumberFormat="1" applyFont="1" applyBorder="1"/>
    <xf numFmtId="0" fontId="8" fillId="0" borderId="6" xfId="0" applyFont="1" applyBorder="1"/>
    <xf numFmtId="0" fontId="8" fillId="0" borderId="236" xfId="0" applyFont="1" applyBorder="1"/>
    <xf numFmtId="0" fontId="8" fillId="0" borderId="1" xfId="0" applyFont="1" applyBorder="1"/>
    <xf numFmtId="0" fontId="13" fillId="53" borderId="45" xfId="0" applyFont="1" applyFill="1" applyBorder="1"/>
    <xf numFmtId="0" fontId="33" fillId="0" borderId="151" xfId="0" applyFont="1" applyBorder="1" applyAlignment="1">
      <alignment horizontal="center" vertical="center"/>
    </xf>
    <xf numFmtId="0" fontId="22" fillId="55" borderId="128" xfId="0" applyFont="1" applyFill="1" applyBorder="1" applyAlignment="1">
      <alignment horizontal="center" vertical="center"/>
    </xf>
    <xf numFmtId="0" fontId="13" fillId="13" borderId="143" xfId="0" applyFont="1" applyFill="1" applyBorder="1" applyAlignment="1">
      <alignment horizontal="center"/>
    </xf>
    <xf numFmtId="0" fontId="13" fillId="13" borderId="143" xfId="0" applyFont="1" applyFill="1" applyBorder="1" applyAlignment="1">
      <alignment horizontal="center" vertical="center"/>
    </xf>
    <xf numFmtId="0" fontId="13" fillId="13" borderId="127" xfId="0" applyFont="1" applyFill="1" applyBorder="1" applyAlignment="1">
      <alignment horizontal="center" vertical="center"/>
    </xf>
    <xf numFmtId="0" fontId="13" fillId="13" borderId="194" xfId="0" applyFont="1" applyFill="1" applyBorder="1" applyAlignment="1">
      <alignment horizontal="center" vertical="center"/>
    </xf>
    <xf numFmtId="0" fontId="13" fillId="53" borderId="34" xfId="0" applyFont="1" applyFill="1" applyBorder="1"/>
    <xf numFmtId="0" fontId="13" fillId="53" borderId="269" xfId="0" applyFont="1" applyFill="1" applyBorder="1"/>
    <xf numFmtId="0" fontId="0" fillId="0" borderId="236" xfId="0" applyBorder="1"/>
    <xf numFmtId="0" fontId="0" fillId="0" borderId="44" xfId="0" applyBorder="1"/>
    <xf numFmtId="0" fontId="0" fillId="0" borderId="270" xfId="0" applyBorder="1"/>
    <xf numFmtId="0" fontId="26" fillId="8" borderId="66" xfId="0" applyFont="1" applyFill="1" applyBorder="1" applyAlignment="1">
      <alignment horizontal="center" vertical="center"/>
    </xf>
    <xf numFmtId="0" fontId="45" fillId="4" borderId="52" xfId="0" applyFont="1" applyFill="1" applyBorder="1" applyAlignment="1">
      <alignment horizontal="center"/>
    </xf>
    <xf numFmtId="0" fontId="45" fillId="4" borderId="62" xfId="0" applyFont="1" applyFill="1" applyBorder="1" applyAlignment="1">
      <alignment horizontal="center"/>
    </xf>
    <xf numFmtId="0" fontId="8" fillId="0" borderId="166" xfId="0" applyFont="1" applyBorder="1" applyAlignment="1">
      <alignment horizontal="left" vertical="center" wrapText="1"/>
    </xf>
    <xf numFmtId="0" fontId="68" fillId="0" borderId="161" xfId="0" applyFont="1" applyBorder="1" applyAlignment="1">
      <alignment horizontal="left" vertical="center"/>
    </xf>
    <xf numFmtId="0" fontId="68" fillId="0" borderId="162" xfId="0" applyFont="1" applyBorder="1" applyAlignment="1">
      <alignment horizontal="left" vertical="center"/>
    </xf>
    <xf numFmtId="0" fontId="68" fillId="0" borderId="167" xfId="0" applyFont="1" applyBorder="1" applyAlignment="1">
      <alignment horizontal="left" vertical="center"/>
    </xf>
    <xf numFmtId="0" fontId="68" fillId="0" borderId="0" xfId="0" applyFont="1" applyAlignment="1">
      <alignment horizontal="left" vertical="center"/>
    </xf>
    <xf numFmtId="0" fontId="68" fillId="0" borderId="163" xfId="0" applyFont="1" applyBorder="1" applyAlignment="1">
      <alignment horizontal="left" vertical="center"/>
    </xf>
    <xf numFmtId="0" fontId="68" fillId="0" borderId="168" xfId="0" applyFont="1" applyBorder="1" applyAlignment="1">
      <alignment horizontal="left" vertical="center"/>
    </xf>
    <xf numFmtId="0" fontId="68" fillId="0" borderId="164" xfId="0" applyFont="1" applyBorder="1" applyAlignment="1">
      <alignment horizontal="left" vertical="center"/>
    </xf>
    <xf numFmtId="0" fontId="68" fillId="0" borderId="165" xfId="0" applyFont="1" applyBorder="1" applyAlignment="1">
      <alignment horizontal="left" vertical="center"/>
    </xf>
    <xf numFmtId="0" fontId="8" fillId="0" borderId="161" xfId="0" applyFont="1" applyBorder="1" applyAlignment="1">
      <alignment horizontal="left" vertical="center"/>
    </xf>
    <xf numFmtId="0" fontId="8" fillId="0" borderId="162" xfId="0" applyFont="1" applyBorder="1" applyAlignment="1">
      <alignment horizontal="left" vertical="center"/>
    </xf>
    <xf numFmtId="0" fontId="8" fillId="0" borderId="167" xfId="0" applyFont="1" applyBorder="1" applyAlignment="1">
      <alignment horizontal="left" vertical="center"/>
    </xf>
    <xf numFmtId="0" fontId="0" fillId="0" borderId="0" xfId="0" applyAlignment="1">
      <alignment horizontal="left" vertical="center"/>
    </xf>
    <xf numFmtId="0" fontId="8" fillId="0" borderId="163" xfId="0" applyFont="1" applyBorder="1" applyAlignment="1">
      <alignment horizontal="left" vertical="center"/>
    </xf>
    <xf numFmtId="0" fontId="8" fillId="0" borderId="168" xfId="0" applyFont="1" applyBorder="1" applyAlignment="1">
      <alignment horizontal="left" vertical="center"/>
    </xf>
    <xf numFmtId="0" fontId="8" fillId="0" borderId="164" xfId="0" applyFont="1" applyBorder="1" applyAlignment="1">
      <alignment horizontal="left" vertical="center"/>
    </xf>
    <xf numFmtId="0" fontId="8" fillId="0" borderId="165" xfId="0" applyFont="1" applyBorder="1" applyAlignment="1">
      <alignment horizontal="left" vertical="center"/>
    </xf>
    <xf numFmtId="0" fontId="26" fillId="31" borderId="52" xfId="0" applyFont="1" applyFill="1" applyBorder="1" applyAlignment="1">
      <alignment horizontal="center"/>
    </xf>
    <xf numFmtId="0" fontId="0" fillId="0" borderId="227" xfId="0" applyBorder="1" applyAlignment="1">
      <alignment horizontal="left" vertical="center" wrapText="1"/>
    </xf>
    <xf numFmtId="0" fontId="68" fillId="0" borderId="10" xfId="0" applyFont="1" applyBorder="1" applyAlignment="1">
      <alignment horizontal="left" vertical="center"/>
    </xf>
    <xf numFmtId="0" fontId="68" fillId="0" borderId="228" xfId="0" applyFont="1" applyBorder="1" applyAlignment="1">
      <alignment horizontal="left" vertical="center"/>
    </xf>
    <xf numFmtId="0" fontId="61" fillId="7" borderId="52" xfId="0" applyFont="1" applyFill="1" applyBorder="1" applyAlignment="1">
      <alignment horizontal="center"/>
    </xf>
    <xf numFmtId="0" fontId="26" fillId="7" borderId="52" xfId="0" applyFont="1" applyFill="1" applyBorder="1" applyAlignment="1">
      <alignment horizontal="center"/>
    </xf>
    <xf numFmtId="0" fontId="61" fillId="7" borderId="60" xfId="0" applyFont="1" applyFill="1" applyBorder="1" applyAlignment="1">
      <alignment horizontal="center"/>
    </xf>
    <xf numFmtId="0" fontId="26" fillId="7" borderId="60" xfId="0" applyFont="1" applyFill="1" applyBorder="1" applyAlignment="1">
      <alignment horizontal="center"/>
    </xf>
    <xf numFmtId="0" fontId="8" fillId="0" borderId="2" xfId="0" applyFont="1" applyBorder="1" applyAlignment="1">
      <alignment horizontal="left" vertical="top" wrapText="1"/>
    </xf>
    <xf numFmtId="0" fontId="8" fillId="0" borderId="61" xfId="0" applyFont="1" applyBorder="1" applyAlignment="1">
      <alignment horizontal="left" vertical="top" wrapText="1"/>
    </xf>
    <xf numFmtId="0" fontId="0" fillId="0" borderId="229" xfId="0" applyBorder="1" applyAlignment="1">
      <alignment horizontal="left" vertical="top" wrapText="1"/>
    </xf>
    <xf numFmtId="0" fontId="8" fillId="0" borderId="46" xfId="0" applyFont="1" applyBorder="1" applyAlignment="1">
      <alignment horizontal="left" vertical="top" wrapText="1"/>
    </xf>
    <xf numFmtId="0" fontId="8" fillId="0" borderId="59" xfId="0" applyFont="1" applyBorder="1" applyAlignment="1">
      <alignment horizontal="left" vertical="top" wrapText="1"/>
    </xf>
    <xf numFmtId="0" fontId="0" fillId="0" borderId="230" xfId="0" applyBorder="1" applyAlignment="1">
      <alignment horizontal="left" vertical="top" wrapText="1"/>
    </xf>
    <xf numFmtId="0" fontId="0" fillId="0" borderId="231" xfId="0" applyBorder="1" applyAlignment="1">
      <alignment horizontal="left" vertical="top" wrapText="1"/>
    </xf>
    <xf numFmtId="0" fontId="0" fillId="0" borderId="232" xfId="0" applyBorder="1" applyAlignment="1">
      <alignment horizontal="left" vertical="top" wrapText="1"/>
    </xf>
    <xf numFmtId="0" fontId="45" fillId="4" borderId="226" xfId="0" applyFont="1" applyFill="1" applyBorder="1" applyAlignment="1">
      <alignment horizontal="center"/>
    </xf>
    <xf numFmtId="0" fontId="45" fillId="4" borderId="186" xfId="0" applyFont="1" applyFill="1" applyBorder="1" applyAlignment="1">
      <alignment horizontal="center"/>
    </xf>
    <xf numFmtId="0" fontId="45" fillId="4" borderId="127" xfId="0" applyFont="1" applyFill="1" applyBorder="1" applyAlignment="1">
      <alignment horizontal="center"/>
    </xf>
    <xf numFmtId="0" fontId="45" fillId="4" borderId="33" xfId="0" applyFont="1" applyFill="1" applyBorder="1" applyAlignment="1">
      <alignment horizontal="center"/>
    </xf>
    <xf numFmtId="0" fontId="45" fillId="4" borderId="27" xfId="0" applyFont="1" applyFill="1" applyBorder="1" applyAlignment="1">
      <alignment horizontal="center"/>
    </xf>
    <xf numFmtId="0" fontId="45" fillId="4" borderId="28" xfId="0" applyFont="1" applyFill="1" applyBorder="1" applyAlignment="1">
      <alignment horizontal="center"/>
    </xf>
    <xf numFmtId="0" fontId="0" fillId="7" borderId="202" xfId="0" applyFill="1" applyBorder="1" applyAlignment="1">
      <alignment horizontal="center"/>
    </xf>
    <xf numFmtId="0" fontId="0" fillId="7" borderId="203" xfId="0" applyFill="1" applyBorder="1" applyAlignment="1">
      <alignment horizontal="center"/>
    </xf>
    <xf numFmtId="0" fontId="0" fillId="7" borderId="204" xfId="0" applyFill="1" applyBorder="1" applyAlignment="1">
      <alignment horizontal="center"/>
    </xf>
    <xf numFmtId="0" fontId="0" fillId="7" borderId="199" xfId="0" applyFill="1" applyBorder="1" applyAlignment="1">
      <alignment horizontal="center"/>
    </xf>
    <xf numFmtId="0" fontId="0" fillId="7" borderId="200" xfId="0" applyFill="1" applyBorder="1" applyAlignment="1">
      <alignment horizontal="center"/>
    </xf>
    <xf numFmtId="0" fontId="0" fillId="7" borderId="201" xfId="0" applyFill="1" applyBorder="1" applyAlignment="1">
      <alignment horizontal="center"/>
    </xf>
    <xf numFmtId="0" fontId="8" fillId="0" borderId="19" xfId="0" applyFont="1" applyBorder="1" applyAlignment="1">
      <alignment horizontal="left" vertical="center"/>
    </xf>
    <xf numFmtId="0" fontId="8" fillId="0" borderId="19" xfId="0" applyFont="1" applyBorder="1" applyAlignment="1">
      <alignment horizontal="left"/>
    </xf>
    <xf numFmtId="0" fontId="45" fillId="4" borderId="133" xfId="0" applyFont="1" applyFill="1" applyBorder="1" applyAlignment="1">
      <alignment horizontal="center"/>
    </xf>
    <xf numFmtId="0" fontId="45" fillId="4" borderId="187" xfId="0" applyFont="1" applyFill="1" applyBorder="1" applyAlignment="1">
      <alignment horizontal="center"/>
    </xf>
    <xf numFmtId="0" fontId="45" fillId="4" borderId="188" xfId="0" applyFont="1" applyFill="1" applyBorder="1" applyAlignment="1">
      <alignment horizontal="center"/>
    </xf>
    <xf numFmtId="0" fontId="45" fillId="4" borderId="10" xfId="0" applyFont="1" applyFill="1" applyBorder="1" applyAlignment="1">
      <alignment horizontal="center"/>
    </xf>
    <xf numFmtId="0" fontId="45" fillId="4" borderId="0" xfId="0" applyFont="1" applyFill="1" applyAlignment="1">
      <alignment horizontal="center"/>
    </xf>
    <xf numFmtId="0" fontId="45" fillId="4" borderId="128" xfId="0" applyFont="1" applyFill="1" applyBorder="1" applyAlignment="1">
      <alignment horizontal="center"/>
    </xf>
    <xf numFmtId="0" fontId="26" fillId="31" borderId="143" xfId="0" applyFont="1" applyFill="1" applyBorder="1" applyAlignment="1">
      <alignment horizontal="center"/>
    </xf>
    <xf numFmtId="0" fontId="26" fillId="31" borderId="127" xfId="0" applyFont="1" applyFill="1" applyBorder="1" applyAlignment="1">
      <alignment horizontal="center"/>
    </xf>
    <xf numFmtId="0" fontId="26" fillId="31" borderId="194" xfId="0" applyFont="1" applyFill="1" applyBorder="1" applyAlignment="1">
      <alignment horizontal="center"/>
    </xf>
    <xf numFmtId="0" fontId="26" fillId="31" borderId="130" xfId="0" applyFont="1" applyFill="1" applyBorder="1" applyAlignment="1">
      <alignment horizontal="center"/>
    </xf>
    <xf numFmtId="0" fontId="26" fillId="31" borderId="144" xfId="0" applyFont="1" applyFill="1" applyBorder="1" applyAlignment="1">
      <alignment horizontal="center"/>
    </xf>
    <xf numFmtId="0" fontId="26" fillId="31" borderId="152" xfId="0" applyFont="1" applyFill="1" applyBorder="1" applyAlignment="1">
      <alignment horizontal="center"/>
    </xf>
    <xf numFmtId="0" fontId="44" fillId="17" borderId="10" xfId="0" applyFont="1" applyFill="1" applyBorder="1" applyAlignment="1">
      <alignment horizontal="center"/>
    </xf>
    <xf numFmtId="0" fontId="44" fillId="17" borderId="0" xfId="0" applyFont="1" applyFill="1" applyAlignment="1">
      <alignment horizontal="center"/>
    </xf>
    <xf numFmtId="0" fontId="44" fillId="17" borderId="12" xfId="0" applyFont="1" applyFill="1" applyBorder="1" applyAlignment="1">
      <alignment horizontal="center"/>
    </xf>
    <xf numFmtId="0" fontId="32" fillId="7" borderId="190" xfId="0" applyFont="1" applyFill="1" applyBorder="1" applyAlignment="1">
      <alignment horizontal="center" vertical="center" wrapText="1"/>
    </xf>
    <xf numFmtId="0" fontId="0" fillId="7" borderId="191" xfId="0" applyFill="1" applyBorder="1" applyAlignment="1">
      <alignment horizontal="center" vertical="center" wrapText="1"/>
    </xf>
    <xf numFmtId="0" fontId="0" fillId="7" borderId="192" xfId="0" applyFill="1" applyBorder="1" applyAlignment="1">
      <alignment horizontal="center" vertical="center" wrapText="1"/>
    </xf>
    <xf numFmtId="0" fontId="26" fillId="31" borderId="62" xfId="0" applyFont="1" applyFill="1" applyBorder="1" applyAlignment="1">
      <alignment horizontal="center"/>
    </xf>
    <xf numFmtId="0" fontId="9" fillId="7" borderId="132" xfId="0" applyFont="1" applyFill="1" applyBorder="1" applyAlignment="1">
      <alignment horizontal="center" vertical="center" wrapText="1"/>
    </xf>
    <xf numFmtId="0" fontId="9" fillId="7" borderId="129" xfId="0" applyFont="1" applyFill="1" applyBorder="1" applyAlignment="1">
      <alignment horizontal="center" vertical="center" wrapText="1"/>
    </xf>
    <xf numFmtId="167" fontId="43" fillId="11" borderId="133" xfId="15" applyNumberFormat="1" applyFont="1" applyFill="1" applyBorder="1" applyAlignment="1">
      <alignment horizontal="center" vertical="center"/>
    </xf>
    <xf numFmtId="167" fontId="43" fillId="11" borderId="151" xfId="15" applyNumberFormat="1" applyFont="1" applyFill="1" applyBorder="1" applyAlignment="1">
      <alignment horizontal="center" vertical="center"/>
    </xf>
    <xf numFmtId="167" fontId="43" fillId="11" borderId="130" xfId="15" applyNumberFormat="1" applyFont="1" applyFill="1" applyBorder="1" applyAlignment="1">
      <alignment horizontal="center" vertical="center"/>
    </xf>
    <xf numFmtId="167" fontId="43" fillId="11" borderId="152" xfId="15" applyNumberFormat="1" applyFont="1" applyFill="1" applyBorder="1" applyAlignment="1">
      <alignment horizontal="center" vertical="center"/>
    </xf>
    <xf numFmtId="167" fontId="43" fillId="11" borderId="131" xfId="15" applyNumberFormat="1" applyFont="1" applyFill="1" applyBorder="1" applyAlignment="1">
      <alignment horizontal="center" vertical="center"/>
    </xf>
    <xf numFmtId="167" fontId="43" fillId="11" borderId="128" xfId="15" applyNumberFormat="1" applyFont="1" applyFill="1" applyBorder="1" applyAlignment="1">
      <alignment horizontal="center" vertical="center"/>
    </xf>
    <xf numFmtId="167" fontId="9" fillId="0" borderId="132" xfId="15" applyNumberFormat="1" applyFont="1" applyBorder="1" applyAlignment="1">
      <alignment horizontal="center" vertical="center" wrapText="1"/>
    </xf>
    <xf numFmtId="167" fontId="9" fillId="0" borderId="239" xfId="15" applyNumberFormat="1" applyFont="1" applyBorder="1" applyAlignment="1">
      <alignment horizontal="center" vertical="center" wrapText="1"/>
    </xf>
    <xf numFmtId="167" fontId="9" fillId="0" borderId="129" xfId="15" applyNumberFormat="1" applyFont="1" applyBorder="1" applyAlignment="1">
      <alignment horizontal="center" vertical="center" wrapText="1"/>
    </xf>
    <xf numFmtId="167" fontId="9" fillId="0" borderId="237" xfId="15" applyNumberFormat="1" applyFont="1" applyBorder="1" applyAlignment="1">
      <alignment horizontal="center" vertical="center" wrapText="1"/>
    </xf>
    <xf numFmtId="9" fontId="43" fillId="11" borderId="238" xfId="15" applyFont="1" applyFill="1" applyBorder="1" applyAlignment="1">
      <alignment horizontal="center" vertical="center"/>
    </xf>
    <xf numFmtId="9" fontId="43" fillId="11" borderId="205" xfId="15" applyFont="1" applyFill="1" applyBorder="1" applyAlignment="1">
      <alignment horizontal="center" vertical="center"/>
    </xf>
    <xf numFmtId="9" fontId="43" fillId="11" borderId="195" xfId="15" applyFont="1" applyFill="1" applyBorder="1" applyAlignment="1">
      <alignment horizontal="center" vertical="center"/>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5" fillId="4" borderId="42" xfId="0" applyFont="1" applyFill="1" applyBorder="1" applyAlignment="1">
      <alignment horizontal="center"/>
    </xf>
    <xf numFmtId="0" fontId="45" fillId="4" borderId="22" xfId="0" applyFont="1" applyFill="1" applyBorder="1" applyAlignment="1">
      <alignment horizontal="center"/>
    </xf>
    <xf numFmtId="0" fontId="45" fillId="4" borderId="19" xfId="0" applyFont="1" applyFill="1" applyBorder="1" applyAlignment="1">
      <alignment horizontal="center"/>
    </xf>
    <xf numFmtId="166" fontId="9" fillId="11" borderId="151" xfId="0" applyNumberFormat="1" applyFont="1" applyFill="1" applyBorder="1" applyAlignment="1">
      <alignment horizontal="center" vertical="center"/>
    </xf>
    <xf numFmtId="166" fontId="9" fillId="11" borderId="128" xfId="0" applyNumberFormat="1" applyFont="1" applyFill="1" applyBorder="1" applyAlignment="1">
      <alignment horizontal="center" vertical="center"/>
    </xf>
    <xf numFmtId="166" fontId="9" fillId="11" borderId="152" xfId="0" applyNumberFormat="1" applyFont="1" applyFill="1" applyBorder="1" applyAlignment="1">
      <alignment horizontal="center" vertical="center"/>
    </xf>
    <xf numFmtId="0" fontId="13" fillId="0" borderId="24" xfId="0" applyFont="1" applyBorder="1" applyAlignment="1">
      <alignment horizontal="center"/>
    </xf>
    <xf numFmtId="0" fontId="13" fillId="0" borderId="25" xfId="0" applyFont="1" applyBorder="1" applyAlignment="1">
      <alignment horizontal="center"/>
    </xf>
    <xf numFmtId="0" fontId="8" fillId="7" borderId="26" xfId="0" applyFont="1" applyFill="1" applyBorder="1" applyAlignment="1">
      <alignment horizontal="left" vertical="center"/>
    </xf>
    <xf numFmtId="0" fontId="8" fillId="7" borderId="25" xfId="0" applyFont="1" applyFill="1" applyBorder="1" applyAlignment="1">
      <alignment horizontal="left" vertical="center"/>
    </xf>
    <xf numFmtId="9" fontId="13" fillId="7" borderId="26" xfId="15" applyFont="1" applyFill="1" applyBorder="1" applyAlignment="1">
      <alignment horizontal="left"/>
    </xf>
    <xf numFmtId="9" fontId="13" fillId="7" borderId="25" xfId="15" applyFont="1" applyFill="1" applyBorder="1" applyAlignment="1">
      <alignment horizontal="left"/>
    </xf>
    <xf numFmtId="0" fontId="9" fillId="11" borderId="0" xfId="0" applyFont="1" applyFill="1" applyAlignment="1">
      <alignment horizontal="center" vertical="center" wrapText="1"/>
    </xf>
    <xf numFmtId="0" fontId="9" fillId="11" borderId="144" xfId="0" applyFont="1" applyFill="1" applyBorder="1" applyAlignment="1">
      <alignment horizontal="center" vertical="center" wrapText="1"/>
    </xf>
    <xf numFmtId="0" fontId="32" fillId="7" borderId="130" xfId="0" applyFont="1" applyFill="1" applyBorder="1" applyAlignment="1">
      <alignment horizontal="center" vertical="center" wrapText="1"/>
    </xf>
    <xf numFmtId="0" fontId="32" fillId="7" borderId="144" xfId="0" applyFont="1" applyFill="1" applyBorder="1" applyAlignment="1">
      <alignment horizontal="center" vertical="center" wrapText="1"/>
    </xf>
    <xf numFmtId="0" fontId="32" fillId="7" borderId="152" xfId="0" applyFont="1" applyFill="1" applyBorder="1" applyAlignment="1">
      <alignment horizontal="center" vertical="center" wrapText="1"/>
    </xf>
    <xf numFmtId="0" fontId="0" fillId="7" borderId="196" xfId="0" applyFill="1" applyBorder="1" applyAlignment="1">
      <alignment horizontal="center" vertical="center" wrapText="1"/>
    </xf>
    <xf numFmtId="0" fontId="0" fillId="7" borderId="197" xfId="0" applyFill="1" applyBorder="1" applyAlignment="1">
      <alignment horizontal="center" vertical="center" wrapText="1"/>
    </xf>
    <xf numFmtId="0" fontId="0" fillId="7" borderId="198" xfId="0" applyFill="1" applyBorder="1" applyAlignment="1">
      <alignment horizontal="center" vertical="center" wrapText="1"/>
    </xf>
    <xf numFmtId="0" fontId="9" fillId="0" borderId="55" xfId="0" applyFont="1" applyBorder="1" applyAlignment="1">
      <alignment horizontal="center" vertical="center"/>
    </xf>
    <xf numFmtId="0" fontId="9" fillId="0" borderId="18" xfId="0" applyFont="1" applyBorder="1" applyAlignment="1">
      <alignment horizontal="center" vertical="center"/>
    </xf>
    <xf numFmtId="0" fontId="9" fillId="0" borderId="56" xfId="0" applyFont="1" applyBorder="1" applyAlignment="1">
      <alignment horizontal="center" vertical="center"/>
    </xf>
    <xf numFmtId="0" fontId="26" fillId="31" borderId="33" xfId="0" applyFont="1" applyFill="1" applyBorder="1" applyAlignment="1">
      <alignment horizontal="center"/>
    </xf>
    <xf numFmtId="0" fontId="26" fillId="31" borderId="27" xfId="0" applyFont="1" applyFill="1" applyBorder="1" applyAlignment="1">
      <alignment horizontal="center"/>
    </xf>
    <xf numFmtId="0" fontId="26" fillId="31" borderId="26" xfId="0" applyFont="1" applyFill="1" applyBorder="1" applyAlignment="1">
      <alignment horizontal="center"/>
    </xf>
    <xf numFmtId="0" fontId="26" fillId="31" borderId="24" xfId="0" applyFont="1" applyFill="1" applyBorder="1" applyAlignment="1">
      <alignment horizontal="center"/>
    </xf>
    <xf numFmtId="14" fontId="13" fillId="0" borderId="26" xfId="0" applyNumberFormat="1" applyFont="1" applyBorder="1" applyAlignment="1">
      <alignment horizontal="center"/>
    </xf>
    <xf numFmtId="14" fontId="13" fillId="0" borderId="25" xfId="0" applyNumberFormat="1" applyFont="1" applyBorder="1" applyAlignment="1">
      <alignment horizontal="center"/>
    </xf>
    <xf numFmtId="0" fontId="8" fillId="0" borderId="19" xfId="0" quotePrefix="1" applyFont="1" applyBorder="1" applyAlignment="1">
      <alignment horizontal="left"/>
    </xf>
    <xf numFmtId="0" fontId="65" fillId="7" borderId="19" xfId="0" applyFont="1" applyFill="1" applyBorder="1" applyAlignment="1">
      <alignment horizontal="center" vertical="center" wrapText="1"/>
    </xf>
    <xf numFmtId="0" fontId="45" fillId="30" borderId="29" xfId="0" applyFont="1" applyFill="1" applyBorder="1" applyAlignment="1">
      <alignment horizontal="center" vertical="center" wrapText="1"/>
    </xf>
    <xf numFmtId="0" fontId="45" fillId="30" borderId="53" xfId="0" applyFont="1" applyFill="1" applyBorder="1" applyAlignment="1">
      <alignment horizontal="center" vertical="center" wrapText="1"/>
    </xf>
    <xf numFmtId="0" fontId="45" fillId="4" borderId="47" xfId="0" applyFont="1" applyFill="1" applyBorder="1" applyAlignment="1">
      <alignment horizontal="center"/>
    </xf>
    <xf numFmtId="0" fontId="45" fillId="4" borderId="48" xfId="0" applyFont="1" applyFill="1" applyBorder="1" applyAlignment="1">
      <alignment horizontal="center"/>
    </xf>
    <xf numFmtId="0" fontId="45" fillId="4" borderId="49" xfId="0" applyFont="1" applyFill="1" applyBorder="1" applyAlignment="1">
      <alignment horizontal="center"/>
    </xf>
    <xf numFmtId="0" fontId="45" fillId="30" borderId="226" xfId="0" applyFont="1" applyFill="1" applyBorder="1" applyAlignment="1">
      <alignment horizontal="center"/>
    </xf>
    <xf numFmtId="0" fontId="45" fillId="30" borderId="52" xfId="0" applyFont="1" applyFill="1" applyBorder="1" applyAlignment="1">
      <alignment horizontal="center"/>
    </xf>
    <xf numFmtId="0" fontId="13" fillId="0" borderId="133" xfId="0" applyFont="1" applyBorder="1" applyAlignment="1">
      <alignment horizontal="center" vertical="center" wrapText="1"/>
    </xf>
    <xf numFmtId="0" fontId="13" fillId="0" borderId="187" xfId="0" applyFont="1" applyBorder="1" applyAlignment="1">
      <alignment horizontal="center" vertical="center" wrapText="1"/>
    </xf>
    <xf numFmtId="0" fontId="13" fillId="0" borderId="188" xfId="0" applyFont="1" applyBorder="1" applyAlignment="1">
      <alignment horizontal="center" vertical="center" wrapText="1"/>
    </xf>
    <xf numFmtId="0" fontId="13" fillId="0" borderId="131"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30" xfId="0" applyFont="1" applyBorder="1" applyAlignment="1">
      <alignment horizontal="center" vertical="center" wrapText="1"/>
    </xf>
    <xf numFmtId="0" fontId="13" fillId="0" borderId="144" xfId="0" applyFont="1" applyBorder="1" applyAlignment="1">
      <alignment horizontal="center" vertical="center" wrapText="1"/>
    </xf>
    <xf numFmtId="0" fontId="13" fillId="0" borderId="193" xfId="0" applyFont="1" applyBorder="1" applyAlignment="1">
      <alignment horizontal="center" vertical="center" wrapText="1"/>
    </xf>
    <xf numFmtId="0" fontId="45" fillId="4" borderId="144" xfId="0" applyFont="1" applyFill="1" applyBorder="1" applyAlignment="1">
      <alignment horizontal="center"/>
    </xf>
    <xf numFmtId="0" fontId="45" fillId="4" borderId="193" xfId="0" applyFont="1" applyFill="1" applyBorder="1" applyAlignment="1">
      <alignment horizontal="center"/>
    </xf>
    <xf numFmtId="0" fontId="8" fillId="0" borderId="63" xfId="0" applyFont="1" applyBorder="1" applyAlignment="1">
      <alignment horizontal="left"/>
    </xf>
    <xf numFmtId="0" fontId="8" fillId="0" borderId="64" xfId="0" applyFont="1" applyBorder="1" applyAlignment="1">
      <alignment horizontal="left"/>
    </xf>
    <xf numFmtId="0" fontId="8" fillId="0" borderId="63" xfId="0" applyFont="1" applyBorder="1" applyAlignment="1">
      <alignment horizontal="left" indent="1"/>
    </xf>
    <xf numFmtId="0" fontId="8" fillId="0" borderId="64" xfId="0" applyFont="1" applyBorder="1" applyAlignment="1">
      <alignment horizontal="left" indent="1"/>
    </xf>
    <xf numFmtId="0" fontId="13" fillId="0" borderId="63" xfId="0" applyFont="1" applyBorder="1" applyAlignment="1">
      <alignment horizontal="left"/>
    </xf>
    <xf numFmtId="0" fontId="13" fillId="0" borderId="64" xfId="0" applyFont="1"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8" fillId="15" borderId="63" xfId="0" applyFont="1" applyFill="1" applyBorder="1" applyAlignment="1">
      <alignment horizontal="left"/>
    </xf>
    <xf numFmtId="0" fontId="8" fillId="15" borderId="64" xfId="0" applyFont="1" applyFill="1" applyBorder="1" applyAlignment="1">
      <alignment horizontal="left"/>
    </xf>
    <xf numFmtId="0" fontId="26" fillId="31" borderId="226" xfId="0" applyFont="1" applyFill="1" applyBorder="1" applyAlignment="1">
      <alignment horizontal="center"/>
    </xf>
    <xf numFmtId="0" fontId="0" fillId="0" borderId="10" xfId="0" applyBorder="1" applyAlignment="1">
      <alignment horizontal="left" vertical="center"/>
    </xf>
    <xf numFmtId="0" fontId="0" fillId="0" borderId="228" xfId="0" applyBorder="1" applyAlignment="1">
      <alignment horizontal="left" vertical="center"/>
    </xf>
    <xf numFmtId="0" fontId="0" fillId="0" borderId="50" xfId="0" applyBorder="1" applyAlignment="1">
      <alignment horizontal="center" vertical="center" wrapText="1"/>
    </xf>
    <xf numFmtId="0" fontId="0" fillId="0" borderId="0" xfId="0" applyAlignment="1">
      <alignment horizontal="center" vertical="center" wrapText="1"/>
    </xf>
    <xf numFmtId="0" fontId="0" fillId="0" borderId="51" xfId="0" applyBorder="1" applyAlignment="1">
      <alignment horizontal="center" vertical="center" wrapText="1"/>
    </xf>
    <xf numFmtId="0" fontId="29" fillId="4" borderId="73" xfId="0" applyFont="1" applyFill="1" applyBorder="1" applyAlignment="1">
      <alignment horizontal="center" vertical="center"/>
    </xf>
    <xf numFmtId="0" fontId="29" fillId="4" borderId="74" xfId="0" applyFont="1" applyFill="1" applyBorder="1" applyAlignment="1">
      <alignment horizontal="center" vertical="center"/>
    </xf>
    <xf numFmtId="0" fontId="29" fillId="4" borderId="77" xfId="0" applyFont="1" applyFill="1" applyBorder="1" applyAlignment="1">
      <alignment horizontal="center" vertical="center"/>
    </xf>
    <xf numFmtId="0" fontId="13" fillId="0" borderId="83" xfId="0" applyFont="1" applyBorder="1" applyAlignment="1">
      <alignment horizontal="center"/>
    </xf>
    <xf numFmtId="0" fontId="13" fillId="0" borderId="85" xfId="0" applyFont="1" applyBorder="1" applyAlignment="1">
      <alignment horizontal="center"/>
    </xf>
    <xf numFmtId="0" fontId="13" fillId="0" borderId="84" xfId="0" applyFont="1" applyBorder="1" applyAlignment="1">
      <alignment horizontal="center"/>
    </xf>
    <xf numFmtId="0" fontId="13" fillId="0" borderId="243" xfId="0" applyFont="1" applyBorder="1" applyAlignment="1">
      <alignment horizontal="center"/>
    </xf>
    <xf numFmtId="0" fontId="13" fillId="0" borderId="161" xfId="0" applyFont="1" applyBorder="1" applyAlignment="1">
      <alignment horizontal="center"/>
    </xf>
    <xf numFmtId="0" fontId="13" fillId="0" borderId="244" xfId="0" applyFont="1" applyBorder="1" applyAlignment="1">
      <alignment horizontal="center"/>
    </xf>
    <xf numFmtId="10" fontId="13" fillId="0" borderId="83" xfId="15" applyNumberFormat="1" applyFont="1" applyBorder="1" applyAlignment="1">
      <alignment horizontal="center"/>
    </xf>
    <xf numFmtId="10" fontId="13" fillId="0" borderId="85" xfId="15" applyNumberFormat="1" applyFont="1" applyBorder="1" applyAlignment="1">
      <alignment horizontal="center"/>
    </xf>
    <xf numFmtId="10" fontId="13" fillId="0" borderId="84" xfId="15" applyNumberFormat="1" applyFont="1" applyBorder="1" applyAlignment="1">
      <alignment horizontal="center"/>
    </xf>
    <xf numFmtId="10" fontId="13" fillId="0" borderId="243" xfId="15" applyNumberFormat="1" applyFont="1" applyBorder="1" applyAlignment="1">
      <alignment horizontal="center"/>
    </xf>
    <xf numFmtId="10" fontId="13" fillId="0" borderId="161" xfId="15" applyNumberFormat="1" applyFont="1" applyBorder="1" applyAlignment="1">
      <alignment horizontal="center"/>
    </xf>
    <xf numFmtId="10" fontId="13" fillId="0" borderId="244" xfId="15" applyNumberFormat="1" applyFont="1" applyBorder="1" applyAlignment="1">
      <alignment horizontal="center"/>
    </xf>
    <xf numFmtId="0" fontId="13" fillId="13" borderId="73" xfId="0" applyFont="1" applyFill="1" applyBorder="1" applyAlignment="1">
      <alignment horizontal="center"/>
    </xf>
    <xf numFmtId="0" fontId="13" fillId="13" borderId="74" xfId="0" applyFont="1" applyFill="1" applyBorder="1" applyAlignment="1">
      <alignment horizontal="center"/>
    </xf>
    <xf numFmtId="0" fontId="13" fillId="13" borderId="75" xfId="0" applyFont="1" applyFill="1" applyBorder="1" applyAlignment="1">
      <alignment horizontal="center"/>
    </xf>
    <xf numFmtId="0" fontId="13" fillId="23" borderId="78" xfId="0" applyFont="1" applyFill="1" applyBorder="1" applyAlignment="1">
      <alignment horizontal="center"/>
    </xf>
    <xf numFmtId="0" fontId="13" fillId="23" borderId="79" xfId="0" applyFont="1" applyFill="1" applyBorder="1" applyAlignment="1">
      <alignment horizontal="center"/>
    </xf>
    <xf numFmtId="0" fontId="42" fillId="0" borderId="83" xfId="0" applyFont="1" applyBorder="1" applyAlignment="1">
      <alignment horizontal="center"/>
    </xf>
    <xf numFmtId="0" fontId="42" fillId="0" borderId="84" xfId="0" applyFont="1" applyBorder="1" applyAlignment="1">
      <alignment horizontal="center"/>
    </xf>
    <xf numFmtId="0" fontId="29" fillId="4" borderId="73" xfId="0" applyFont="1" applyFill="1" applyBorder="1" applyAlignment="1">
      <alignment horizontal="center"/>
    </xf>
    <xf numFmtId="0" fontId="29" fillId="4" borderId="74" xfId="0" applyFont="1" applyFill="1" applyBorder="1" applyAlignment="1">
      <alignment horizontal="center"/>
    </xf>
    <xf numFmtId="0" fontId="29" fillId="4" borderId="75" xfId="0" applyFont="1" applyFill="1" applyBorder="1" applyAlignment="1">
      <alignment horizontal="center"/>
    </xf>
    <xf numFmtId="0" fontId="29" fillId="4" borderId="71" xfId="0" applyFont="1" applyFill="1" applyBorder="1" applyAlignment="1">
      <alignment horizontal="center"/>
    </xf>
    <xf numFmtId="0" fontId="29" fillId="4" borderId="76" xfId="0" applyFont="1" applyFill="1" applyBorder="1" applyAlignment="1">
      <alignment horizontal="center"/>
    </xf>
    <xf numFmtId="0" fontId="29" fillId="4" borderId="77" xfId="0" applyFont="1" applyFill="1"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42" fillId="0" borderId="241" xfId="0" applyFont="1" applyBorder="1" applyAlignment="1">
      <alignment horizontal="center"/>
    </xf>
    <xf numFmtId="0" fontId="42" fillId="0" borderId="242" xfId="0" applyFont="1" applyBorder="1" applyAlignment="1">
      <alignment horizontal="center"/>
    </xf>
    <xf numFmtId="0" fontId="8" fillId="0" borderId="83" xfId="0" applyFont="1" applyBorder="1" applyAlignment="1">
      <alignment horizontal="center"/>
    </xf>
    <xf numFmtId="0" fontId="8" fillId="0" borderId="85" xfId="0" applyFont="1" applyBorder="1" applyAlignment="1">
      <alignment horizontal="center"/>
    </xf>
    <xf numFmtId="0" fontId="8" fillId="0" borderId="84" xfId="0" applyFont="1" applyBorder="1" applyAlignment="1">
      <alignment horizontal="center"/>
    </xf>
    <xf numFmtId="10" fontId="13" fillId="0" borderId="40" xfId="15" applyNumberFormat="1" applyFont="1" applyBorder="1" applyAlignment="1">
      <alignment horizontal="center"/>
    </xf>
    <xf numFmtId="10" fontId="13" fillId="0" borderId="242" xfId="15" applyNumberFormat="1" applyFont="1" applyBorder="1" applyAlignment="1">
      <alignment horizontal="center"/>
    </xf>
    <xf numFmtId="0" fontId="13" fillId="23" borderId="80" xfId="0" applyFont="1" applyFill="1" applyBorder="1" applyAlignment="1">
      <alignment horizontal="center"/>
    </xf>
    <xf numFmtId="0" fontId="13" fillId="23" borderId="81" xfId="0" applyFont="1" applyFill="1" applyBorder="1" applyAlignment="1">
      <alignment horizontal="center"/>
    </xf>
    <xf numFmtId="0" fontId="13" fillId="23" borderId="82" xfId="0" applyFont="1" applyFill="1" applyBorder="1" applyAlignment="1">
      <alignment horizontal="center"/>
    </xf>
    <xf numFmtId="0" fontId="0" fillId="0" borderId="86" xfId="0" applyBorder="1" applyAlignment="1">
      <alignment horizontal="center"/>
    </xf>
    <xf numFmtId="0" fontId="0" fillId="0" borderId="87" xfId="0" applyBorder="1" applyAlignment="1">
      <alignment horizontal="center"/>
    </xf>
    <xf numFmtId="0" fontId="9" fillId="0" borderId="73" xfId="0" applyFont="1" applyBorder="1" applyAlignment="1">
      <alignment horizontal="center" vertical="center"/>
    </xf>
    <xf numFmtId="0" fontId="9" fillId="0" borderId="75" xfId="0" applyFont="1" applyBorder="1" applyAlignment="1">
      <alignment horizontal="center" vertical="center"/>
    </xf>
    <xf numFmtId="0" fontId="42" fillId="0" borderId="243" xfId="0" applyFont="1" applyBorder="1" applyAlignment="1">
      <alignment horizontal="center"/>
    </xf>
    <xf numFmtId="0" fontId="42" fillId="0" borderId="244" xfId="0" applyFont="1" applyBorder="1" applyAlignment="1">
      <alignment horizontal="center"/>
    </xf>
    <xf numFmtId="0" fontId="29" fillId="4" borderId="50" xfId="0" applyFont="1" applyFill="1" applyBorder="1" applyAlignment="1">
      <alignment horizontal="center"/>
    </xf>
    <xf numFmtId="0" fontId="29" fillId="4" borderId="0" xfId="0" applyFont="1" applyFill="1" applyAlignment="1">
      <alignment horizontal="center"/>
    </xf>
    <xf numFmtId="0" fontId="29" fillId="4" borderId="51" xfId="0" applyFont="1" applyFill="1" applyBorder="1" applyAlignment="1">
      <alignment horizontal="center"/>
    </xf>
    <xf numFmtId="0" fontId="44" fillId="4" borderId="0" xfId="0" applyFont="1" applyFill="1" applyAlignment="1">
      <alignment horizontal="center"/>
    </xf>
    <xf numFmtId="0" fontId="29" fillId="17" borderId="50" xfId="0" applyFont="1" applyFill="1" applyBorder="1" applyAlignment="1">
      <alignment horizontal="center"/>
    </xf>
    <xf numFmtId="0" fontId="29" fillId="17" borderId="0" xfId="0" applyFont="1" applyFill="1" applyAlignment="1">
      <alignment horizontal="center"/>
    </xf>
    <xf numFmtId="0" fontId="44" fillId="4" borderId="68" xfId="0" applyFont="1" applyFill="1" applyBorder="1" applyAlignment="1">
      <alignment horizontal="center"/>
    </xf>
    <xf numFmtId="0" fontId="44" fillId="4" borderId="69" xfId="0" applyFont="1" applyFill="1" applyBorder="1" applyAlignment="1">
      <alignment horizontal="center"/>
    </xf>
    <xf numFmtId="0" fontId="0" fillId="0" borderId="96" xfId="0" applyBorder="1" applyAlignment="1">
      <alignment horizontal="center" vertical="center" wrapText="1"/>
    </xf>
    <xf numFmtId="0" fontId="0" fillId="0" borderId="40" xfId="0" applyBorder="1" applyAlignment="1">
      <alignment horizontal="center" vertical="center" wrapText="1"/>
    </xf>
    <xf numFmtId="0" fontId="32" fillId="0" borderId="96" xfId="0" applyFont="1" applyBorder="1" applyAlignment="1">
      <alignment horizontal="center" vertical="center" wrapText="1"/>
    </xf>
    <xf numFmtId="0" fontId="0" fillId="0" borderId="97" xfId="0" applyBorder="1" applyAlignment="1">
      <alignment horizontal="center" vertical="center" wrapText="1"/>
    </xf>
    <xf numFmtId="0" fontId="0" fillId="0" borderId="72" xfId="0" applyBorder="1" applyAlignment="1">
      <alignment horizontal="center" vertical="center" wrapText="1"/>
    </xf>
    <xf numFmtId="0" fontId="29" fillId="4" borderId="68" xfId="0" applyFont="1" applyFill="1" applyBorder="1" applyAlignment="1">
      <alignment horizontal="center"/>
    </xf>
    <xf numFmtId="0" fontId="29" fillId="4" borderId="69" xfId="0" applyFont="1" applyFill="1" applyBorder="1" applyAlignment="1">
      <alignment horizontal="center"/>
    </xf>
    <xf numFmtId="0" fontId="44" fillId="4" borderId="74" xfId="0" applyFont="1" applyFill="1" applyBorder="1" applyAlignment="1">
      <alignment horizontal="center"/>
    </xf>
    <xf numFmtId="0" fontId="44" fillId="4" borderId="75" xfId="0" applyFont="1" applyFill="1" applyBorder="1" applyAlignment="1">
      <alignment horizontal="center"/>
    </xf>
    <xf numFmtId="0" fontId="8" fillId="38" borderId="221" xfId="0" applyFont="1" applyFill="1" applyBorder="1" applyAlignment="1">
      <alignment horizontal="center" vertical="center" wrapText="1"/>
    </xf>
    <xf numFmtId="0" fontId="71" fillId="0" borderId="65" xfId="0" applyFont="1" applyBorder="1" applyAlignment="1">
      <alignment horizontal="center" vertical="center" wrapText="1"/>
    </xf>
    <xf numFmtId="0" fontId="71" fillId="0" borderId="222" xfId="0" applyFont="1" applyBorder="1" applyAlignment="1">
      <alignment horizontal="center" vertical="center" wrapText="1"/>
    </xf>
    <xf numFmtId="0" fontId="26" fillId="4" borderId="218" xfId="25" applyFont="1" applyFill="1" applyBorder="1" applyAlignment="1">
      <alignment horizontal="center" vertical="center"/>
    </xf>
    <xf numFmtId="0" fontId="26" fillId="4" borderId="219" xfId="25" applyFont="1" applyFill="1" applyBorder="1" applyAlignment="1">
      <alignment horizontal="center" vertical="center"/>
    </xf>
    <xf numFmtId="0" fontId="26" fillId="4" borderId="220" xfId="25" applyFont="1" applyFill="1" applyBorder="1" applyAlignment="1">
      <alignment horizontal="center" vertical="center"/>
    </xf>
    <xf numFmtId="0" fontId="8" fillId="44" borderId="221" xfId="0" applyFont="1" applyFill="1" applyBorder="1" applyAlignment="1">
      <alignment horizontal="center" vertical="center" wrapText="1"/>
    </xf>
    <xf numFmtId="0" fontId="8" fillId="43" borderId="221" xfId="0" applyFont="1" applyFill="1" applyBorder="1" applyAlignment="1">
      <alignment horizontal="center" vertical="center" wrapText="1"/>
    </xf>
    <xf numFmtId="0" fontId="8" fillId="43" borderId="223" xfId="0" applyFont="1" applyFill="1" applyBorder="1" applyAlignment="1">
      <alignment horizontal="center" vertical="center" wrapText="1"/>
    </xf>
    <xf numFmtId="0" fontId="71" fillId="0" borderId="224" xfId="0" applyFont="1" applyBorder="1" applyAlignment="1">
      <alignment horizontal="center" vertical="center" wrapText="1"/>
    </xf>
    <xf numFmtId="0" fontId="71" fillId="0" borderId="225" xfId="0" applyFont="1" applyBorder="1" applyAlignment="1">
      <alignment horizontal="center" vertical="center" wrapText="1"/>
    </xf>
    <xf numFmtId="0" fontId="66" fillId="0" borderId="112" xfId="0" applyFont="1" applyBorder="1" applyAlignment="1">
      <alignment horizontal="center" vertical="center" wrapText="1"/>
    </xf>
    <xf numFmtId="0" fontId="22" fillId="0" borderId="113" xfId="0" applyFont="1" applyBorder="1" applyAlignment="1">
      <alignment horizontal="center" vertical="center" wrapText="1"/>
    </xf>
    <xf numFmtId="0" fontId="22" fillId="0" borderId="114" xfId="0" applyFont="1" applyBorder="1" applyAlignment="1">
      <alignment horizontal="center" vertical="center" wrapText="1"/>
    </xf>
    <xf numFmtId="0" fontId="48" fillId="4" borderId="65" xfId="0" applyFont="1" applyFill="1" applyBorder="1" applyAlignment="1">
      <alignment horizontal="center"/>
    </xf>
    <xf numFmtId="9" fontId="79" fillId="30" borderId="182" xfId="15" applyFont="1" applyFill="1" applyBorder="1" applyAlignment="1">
      <alignment horizontal="center" vertical="center"/>
    </xf>
    <xf numFmtId="9" fontId="79" fillId="30" borderId="119" xfId="15" applyFont="1" applyFill="1" applyBorder="1" applyAlignment="1">
      <alignment horizontal="center" vertical="center"/>
    </xf>
    <xf numFmtId="9" fontId="79" fillId="30" borderId="235" xfId="15" applyFont="1" applyFill="1" applyBorder="1" applyAlignment="1">
      <alignment horizontal="center" vertical="center"/>
    </xf>
    <xf numFmtId="9" fontId="79" fillId="30" borderId="120" xfId="15" applyFont="1" applyFill="1" applyBorder="1" applyAlignment="1">
      <alignment horizontal="center" vertical="center"/>
    </xf>
    <xf numFmtId="9" fontId="79" fillId="30" borderId="233" xfId="15" applyFont="1" applyFill="1" applyBorder="1" applyAlignment="1">
      <alignment horizontal="center" vertical="center"/>
    </xf>
    <xf numFmtId="9" fontId="79" fillId="30" borderId="184" xfId="15" applyFont="1" applyFill="1" applyBorder="1" applyAlignment="1">
      <alignment horizontal="center" vertical="center"/>
    </xf>
    <xf numFmtId="0" fontId="79" fillId="30" borderId="120" xfId="0" applyFont="1" applyFill="1" applyBorder="1" applyAlignment="1">
      <alignment horizontal="center" vertical="center"/>
    </xf>
    <xf numFmtId="0" fontId="79" fillId="30" borderId="233" xfId="0" applyFont="1" applyFill="1" applyBorder="1" applyAlignment="1">
      <alignment horizontal="center" vertical="center"/>
    </xf>
    <xf numFmtId="0" fontId="79" fillId="30" borderId="46" xfId="0" applyFont="1" applyFill="1" applyBorder="1" applyAlignment="1">
      <alignment horizontal="center" vertical="center"/>
    </xf>
    <xf numFmtId="0" fontId="79" fillId="30" borderId="46" xfId="32" applyFont="1" applyFill="1" applyBorder="1" applyAlignment="1">
      <alignment horizontal="center" vertical="center"/>
    </xf>
    <xf numFmtId="9" fontId="76" fillId="34" borderId="44" xfId="15" quotePrefix="1" applyFont="1" applyFill="1" applyBorder="1" applyAlignment="1">
      <alignment horizontal="center" vertical="center" wrapText="1"/>
    </xf>
    <xf numFmtId="9" fontId="76" fillId="34" borderId="45" xfId="15" applyFont="1" applyFill="1" applyBorder="1" applyAlignment="1">
      <alignment horizontal="center" vertical="center" wrapText="1"/>
    </xf>
    <xf numFmtId="177" fontId="0" fillId="0" borderId="44" xfId="0" applyNumberFormat="1" applyBorder="1" applyAlignment="1">
      <alignment horizontal="center" vertical="center"/>
    </xf>
    <xf numFmtId="177" fontId="0" fillId="0" borderId="45" xfId="0" applyNumberFormat="1" applyBorder="1" applyAlignment="1">
      <alignment horizontal="center" vertical="center"/>
    </xf>
    <xf numFmtId="0" fontId="63" fillId="0" borderId="44" xfId="0" applyFont="1" applyBorder="1" applyAlignment="1">
      <alignment horizontal="center" vertical="center"/>
    </xf>
    <xf numFmtId="0" fontId="63" fillId="0" borderId="1" xfId="0" applyFont="1" applyBorder="1" applyAlignment="1">
      <alignment horizontal="center" vertical="center"/>
    </xf>
    <xf numFmtId="0" fontId="63" fillId="0" borderId="45" xfId="0" applyFont="1" applyBorder="1" applyAlignment="1">
      <alignment horizontal="center" vertical="center"/>
    </xf>
    <xf numFmtId="0" fontId="79" fillId="30" borderId="34" xfId="0" applyFont="1" applyFill="1" applyBorder="1" applyAlignment="1">
      <alignment horizontal="center" vertical="center"/>
    </xf>
    <xf numFmtId="0" fontId="79" fillId="30" borderId="5" xfId="0" applyFont="1" applyFill="1" applyBorder="1" applyAlignment="1">
      <alignment horizontal="center" vertical="center"/>
    </xf>
    <xf numFmtId="0" fontId="79" fillId="30" borderId="35" xfId="0" applyFont="1" applyFill="1" applyBorder="1" applyAlignment="1">
      <alignment horizontal="center" vertical="center"/>
    </xf>
    <xf numFmtId="9" fontId="76" fillId="11" borderId="38" xfId="15" applyFont="1" applyFill="1" applyBorder="1" applyAlignment="1">
      <alignment horizontal="center" vertical="center"/>
    </xf>
    <xf numFmtId="9" fontId="76" fillId="11" borderId="2" xfId="15" applyFont="1" applyFill="1" applyBorder="1" applyAlignment="1">
      <alignment horizontal="center" vertical="center"/>
    </xf>
    <xf numFmtId="0" fontId="79" fillId="30" borderId="3" xfId="0" applyFont="1" applyFill="1" applyBorder="1" applyAlignment="1">
      <alignment horizontal="center" vertical="center"/>
    </xf>
    <xf numFmtId="0" fontId="79" fillId="30" borderId="3" xfId="0" quotePrefix="1" applyFont="1" applyFill="1" applyBorder="1" applyAlignment="1">
      <alignment horizontal="center" vertical="center"/>
    </xf>
    <xf numFmtId="2" fontId="76" fillId="11" borderId="2" xfId="0" applyNumberFormat="1" applyFont="1" applyFill="1" applyBorder="1" applyAlignment="1">
      <alignment horizontal="center" vertical="center"/>
    </xf>
    <xf numFmtId="2" fontId="0" fillId="0" borderId="0" xfId="25" applyNumberFormat="1" applyFont="1" applyAlignment="1">
      <alignment horizontal="center"/>
    </xf>
    <xf numFmtId="0" fontId="16" fillId="17" borderId="115" xfId="1" applyFill="1" applyBorder="1" applyAlignment="1">
      <alignment horizontal="center" vertical="center" readingOrder="1"/>
    </xf>
    <xf numFmtId="0" fontId="51" fillId="17" borderId="115" xfId="25" applyFont="1" applyFill="1" applyBorder="1" applyAlignment="1">
      <alignment horizontal="center"/>
    </xf>
    <xf numFmtId="0" fontId="0" fillId="0" borderId="0" xfId="25" applyFont="1" applyAlignment="1">
      <alignment horizontal="center"/>
    </xf>
    <xf numFmtId="0" fontId="26" fillId="4" borderId="139" xfId="25" applyFont="1" applyFill="1" applyBorder="1" applyAlignment="1">
      <alignment horizontal="center" vertical="center"/>
    </xf>
    <xf numFmtId="0" fontId="26" fillId="4" borderId="30" xfId="25" applyFont="1" applyFill="1" applyBorder="1" applyAlignment="1">
      <alignment horizontal="center" vertical="center"/>
    </xf>
    <xf numFmtId="0" fontId="26" fillId="4" borderId="31" xfId="25" applyFont="1" applyFill="1" applyBorder="1" applyAlignment="1">
      <alignment horizontal="center" vertical="center"/>
    </xf>
    <xf numFmtId="0" fontId="28" fillId="0" borderId="140" xfId="25" applyFont="1" applyBorder="1" applyAlignment="1">
      <alignment horizontal="center" vertical="center" wrapText="1"/>
    </xf>
    <xf numFmtId="0" fontId="28" fillId="0" borderId="141" xfId="25" applyFont="1" applyBorder="1" applyAlignment="1">
      <alignment horizontal="center" vertical="center" wrapText="1"/>
    </xf>
    <xf numFmtId="0" fontId="28" fillId="0" borderId="142" xfId="25" applyFont="1" applyBorder="1" applyAlignment="1">
      <alignment horizontal="center" vertical="center" wrapText="1"/>
    </xf>
    <xf numFmtId="0" fontId="8" fillId="38" borderId="212" xfId="0" applyFont="1" applyFill="1" applyBorder="1" applyAlignment="1">
      <alignment horizontal="center"/>
    </xf>
    <xf numFmtId="0" fontId="8" fillId="38" borderId="213" xfId="0" applyFont="1" applyFill="1" applyBorder="1" applyAlignment="1">
      <alignment horizontal="center"/>
    </xf>
    <xf numFmtId="0" fontId="8" fillId="38" borderId="158" xfId="0" applyFont="1" applyFill="1" applyBorder="1" applyAlignment="1">
      <alignment horizontal="center"/>
    </xf>
    <xf numFmtId="0" fontId="8" fillId="38" borderId="150" xfId="0" applyFont="1" applyFill="1" applyBorder="1" applyAlignment="1">
      <alignment horizontal="center"/>
    </xf>
    <xf numFmtId="0" fontId="63" fillId="0" borderId="122" xfId="28" applyFont="1" applyBorder="1" applyAlignment="1">
      <alignment horizontal="center" vertical="center"/>
    </xf>
    <xf numFmtId="0" fontId="63" fillId="0" borderId="124" xfId="28" applyFont="1" applyBorder="1" applyAlignment="1">
      <alignment horizontal="center" vertical="center"/>
    </xf>
    <xf numFmtId="0" fontId="53" fillId="35" borderId="0" xfId="0" applyFont="1" applyFill="1" applyAlignment="1">
      <alignment horizontal="left" vertical="center"/>
    </xf>
    <xf numFmtId="0" fontId="53" fillId="35" borderId="144" xfId="0" applyFont="1" applyFill="1" applyBorder="1" applyAlignment="1">
      <alignment horizontal="left" vertical="center"/>
    </xf>
    <xf numFmtId="0" fontId="54" fillId="0" borderId="122" xfId="0" applyFont="1" applyBorder="1" applyAlignment="1">
      <alignment horizontal="center" vertical="center"/>
    </xf>
    <xf numFmtId="0" fontId="54" fillId="0" borderId="125" xfId="0" applyFont="1" applyBorder="1" applyAlignment="1">
      <alignment horizontal="center" vertical="center"/>
    </xf>
    <xf numFmtId="0" fontId="54" fillId="0" borderId="124" xfId="0" applyFont="1" applyBorder="1" applyAlignment="1">
      <alignment horizontal="center" vertical="center"/>
    </xf>
    <xf numFmtId="0" fontId="54" fillId="0" borderId="132" xfId="0" applyFont="1" applyBorder="1" applyAlignment="1">
      <alignment horizontal="center" vertical="center" wrapText="1"/>
    </xf>
    <xf numFmtId="0" fontId="54" fillId="0" borderId="129" xfId="0" applyFont="1" applyBorder="1" applyAlignment="1">
      <alignment horizontal="center" vertical="center" wrapText="1"/>
    </xf>
    <xf numFmtId="0" fontId="59" fillId="27" borderId="131" xfId="0" applyFont="1" applyFill="1" applyBorder="1" applyAlignment="1">
      <alignment horizontal="center"/>
    </xf>
    <xf numFmtId="0" fontId="59" fillId="27" borderId="0" xfId="0" applyFont="1" applyFill="1" applyAlignment="1">
      <alignment horizontal="center"/>
    </xf>
    <xf numFmtId="0" fontId="59" fillId="27" borderId="143" xfId="0" applyFont="1" applyFill="1" applyBorder="1" applyAlignment="1">
      <alignment horizontal="center"/>
    </xf>
    <xf numFmtId="0" fontId="59" fillId="27" borderId="127" xfId="0" applyFont="1" applyFill="1" applyBorder="1" applyAlignment="1">
      <alignment horizontal="center"/>
    </xf>
    <xf numFmtId="0" fontId="59" fillId="27" borderId="194" xfId="0" applyFont="1" applyFill="1" applyBorder="1" applyAlignment="1">
      <alignment horizontal="center"/>
    </xf>
    <xf numFmtId="0" fontId="52" fillId="11" borderId="212" xfId="0" applyFont="1" applyFill="1" applyBorder="1" applyAlignment="1">
      <alignment horizontal="center"/>
    </xf>
    <xf numFmtId="0" fontId="52" fillId="11" borderId="213" xfId="0" applyFont="1" applyFill="1" applyBorder="1" applyAlignment="1">
      <alignment horizontal="center"/>
    </xf>
    <xf numFmtId="0" fontId="52" fillId="11" borderId="179" xfId="0" applyFont="1" applyFill="1" applyBorder="1" applyAlignment="1">
      <alignment horizontal="center"/>
    </xf>
    <xf numFmtId="0" fontId="52" fillId="38" borderId="212" xfId="0" applyFont="1" applyFill="1" applyBorder="1" applyAlignment="1">
      <alignment horizontal="center"/>
    </xf>
    <xf numFmtId="0" fontId="52" fillId="38" borderId="213" xfId="0" applyFont="1" applyFill="1" applyBorder="1" applyAlignment="1">
      <alignment horizontal="center"/>
    </xf>
    <xf numFmtId="0" fontId="52" fillId="38" borderId="179" xfId="0" applyFont="1" applyFill="1" applyBorder="1" applyAlignment="1">
      <alignment horizontal="center"/>
    </xf>
    <xf numFmtId="0" fontId="54" fillId="0" borderId="129" xfId="0" applyFont="1" applyBorder="1" applyAlignment="1">
      <alignment horizontal="center" vertical="center"/>
    </xf>
    <xf numFmtId="0" fontId="54" fillId="0" borderId="132" xfId="0" applyFont="1" applyBorder="1" applyAlignment="1">
      <alignment horizontal="center" vertical="center"/>
    </xf>
    <xf numFmtId="0" fontId="54" fillId="0" borderId="214" xfId="0" applyFont="1" applyBorder="1" applyAlignment="1">
      <alignment horizontal="center" vertical="center"/>
    </xf>
    <xf numFmtId="0" fontId="54" fillId="0" borderId="169" xfId="0" applyFont="1" applyBorder="1" applyAlignment="1">
      <alignment horizontal="center" vertical="center"/>
    </xf>
    <xf numFmtId="0" fontId="54" fillId="0" borderId="121" xfId="0" applyFont="1" applyBorder="1" applyAlignment="1">
      <alignment horizontal="center" vertical="center"/>
    </xf>
    <xf numFmtId="0" fontId="76" fillId="6" borderId="0" xfId="0" applyFont="1" applyFill="1" applyAlignment="1">
      <alignment horizontal="center"/>
    </xf>
    <xf numFmtId="0" fontId="41" fillId="0" borderId="0" xfId="0" applyFont="1" applyAlignment="1">
      <alignment horizontal="center"/>
    </xf>
    <xf numFmtId="0" fontId="9" fillId="0" borderId="0" xfId="0" applyFont="1" applyAlignment="1">
      <alignment horizontal="center"/>
    </xf>
    <xf numFmtId="0" fontId="37"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xf numFmtId="0" fontId="33" fillId="18" borderId="0" xfId="0" applyFont="1" applyFill="1" applyAlignment="1">
      <alignment horizontal="center"/>
    </xf>
    <xf numFmtId="4" fontId="33" fillId="18" borderId="0" xfId="0" applyNumberFormat="1" applyFont="1" applyFill="1" applyAlignment="1">
      <alignment horizontal="center"/>
    </xf>
    <xf numFmtId="0" fontId="33" fillId="0" borderId="0" xfId="0" applyFont="1" applyAlignment="1">
      <alignment horizontal="center"/>
    </xf>
    <xf numFmtId="0" fontId="22" fillId="0" borderId="0" xfId="0" applyFont="1" applyAlignment="1">
      <alignment horizontal="center"/>
    </xf>
    <xf numFmtId="0" fontId="33" fillId="56" borderId="0" xfId="0" applyFont="1" applyFill="1" applyAlignment="1">
      <alignment horizontal="left" indent="1"/>
    </xf>
    <xf numFmtId="3" fontId="33" fillId="56" borderId="0" xfId="0" applyNumberFormat="1" applyFont="1" applyFill="1" applyAlignment="1">
      <alignment horizontal="center" vertical="center"/>
    </xf>
    <xf numFmtId="0" fontId="13" fillId="57" borderId="143" xfId="0" applyFont="1" applyFill="1" applyBorder="1"/>
    <xf numFmtId="0" fontId="13" fillId="0" borderId="133" xfId="0" applyFont="1" applyBorder="1"/>
    <xf numFmtId="0" fontId="13" fillId="0" borderId="187" xfId="0" applyFont="1" applyBorder="1"/>
    <xf numFmtId="0" fontId="13" fillId="0" borderId="151" xfId="0" applyFont="1" applyBorder="1"/>
    <xf numFmtId="0" fontId="13" fillId="0" borderId="131" xfId="0" applyFont="1" applyBorder="1"/>
    <xf numFmtId="0" fontId="13" fillId="0" borderId="134" xfId="0" applyFont="1" applyBorder="1"/>
    <xf numFmtId="0" fontId="13" fillId="0" borderId="144" xfId="0" applyFont="1" applyBorder="1"/>
    <xf numFmtId="0" fontId="13" fillId="0" borderId="274" xfId="0" applyFont="1" applyBorder="1"/>
    <xf numFmtId="0" fontId="13" fillId="39" borderId="133" xfId="0" applyFont="1" applyFill="1" applyBorder="1"/>
    <xf numFmtId="0" fontId="0" fillId="39" borderId="133" xfId="0" applyFill="1" applyBorder="1"/>
    <xf numFmtId="0" fontId="0" fillId="39" borderId="187" xfId="0" applyFill="1" applyBorder="1"/>
    <xf numFmtId="0" fontId="0" fillId="39" borderId="151" xfId="0" applyFill="1" applyBorder="1"/>
    <xf numFmtId="0" fontId="0" fillId="39" borderId="175" xfId="0" applyFill="1" applyBorder="1"/>
    <xf numFmtId="0" fontId="0" fillId="39" borderId="0" xfId="0" applyFill="1"/>
    <xf numFmtId="0" fontId="0" fillId="39" borderId="236" xfId="0" applyFill="1" applyBorder="1"/>
    <xf numFmtId="0" fontId="0" fillId="0" borderId="128" xfId="0" applyBorder="1"/>
    <xf numFmtId="0" fontId="0" fillId="0" borderId="175" xfId="0" applyBorder="1"/>
    <xf numFmtId="9" fontId="0" fillId="0" borderId="131" xfId="0" applyNumberFormat="1" applyBorder="1"/>
    <xf numFmtId="9" fontId="0" fillId="0" borderId="175" xfId="0" applyNumberFormat="1" applyBorder="1"/>
    <xf numFmtId="9" fontId="0" fillId="0" borderId="236" xfId="0" applyNumberFormat="1" applyBorder="1"/>
    <xf numFmtId="0" fontId="13" fillId="39" borderId="131" xfId="0" applyFont="1" applyFill="1" applyBorder="1"/>
    <xf numFmtId="0" fontId="0" fillId="39" borderId="131" xfId="0" applyFill="1" applyBorder="1"/>
    <xf numFmtId="0" fontId="0" fillId="39" borderId="128" xfId="0" applyFill="1" applyBorder="1"/>
    <xf numFmtId="3" fontId="0" fillId="0" borderId="128" xfId="0" applyNumberFormat="1" applyBorder="1"/>
    <xf numFmtId="9" fontId="0" fillId="0" borderId="128" xfId="0" applyNumberFormat="1" applyBorder="1"/>
    <xf numFmtId="0" fontId="89" fillId="0" borderId="131" xfId="0" applyFont="1" applyBorder="1"/>
    <xf numFmtId="0" fontId="89" fillId="0" borderId="0" xfId="0" applyFont="1"/>
    <xf numFmtId="0" fontId="89" fillId="0" borderId="128" xfId="0" applyFont="1" applyBorder="1"/>
    <xf numFmtId="9" fontId="89" fillId="0" borderId="131" xfId="0" applyNumberFormat="1" applyFont="1" applyBorder="1"/>
    <xf numFmtId="9" fontId="89" fillId="0" borderId="0" xfId="0" applyNumberFormat="1" applyFont="1"/>
    <xf numFmtId="9" fontId="89" fillId="0" borderId="175" xfId="0" applyNumberFormat="1" applyFont="1" applyBorder="1"/>
    <xf numFmtId="9" fontId="89" fillId="0" borderId="236" xfId="0" applyNumberFormat="1" applyFont="1" applyBorder="1"/>
    <xf numFmtId="0" fontId="90" fillId="39" borderId="131" xfId="0" applyFont="1" applyFill="1" applyBorder="1"/>
    <xf numFmtId="0" fontId="89" fillId="39" borderId="131" xfId="0" applyFont="1" applyFill="1" applyBorder="1"/>
    <xf numFmtId="0" fontId="89" fillId="39" borderId="0" xfId="0" applyFont="1" applyFill="1"/>
    <xf numFmtId="0" fontId="89" fillId="39" borderId="128" xfId="0" applyFont="1" applyFill="1" applyBorder="1"/>
    <xf numFmtId="0" fontId="89" fillId="39" borderId="175" xfId="0" applyFont="1" applyFill="1" applyBorder="1"/>
    <xf numFmtId="0" fontId="89" fillId="39" borderId="236" xfId="0" applyFont="1" applyFill="1" applyBorder="1"/>
    <xf numFmtId="0" fontId="0" fillId="38" borderId="130" xfId="0" applyFill="1" applyBorder="1"/>
    <xf numFmtId="0" fontId="0" fillId="38" borderId="130" xfId="0" quotePrefix="1" applyFill="1" applyBorder="1"/>
    <xf numFmtId="0" fontId="0" fillId="38" borderId="144" xfId="0" quotePrefix="1" applyFill="1" applyBorder="1"/>
    <xf numFmtId="0" fontId="0" fillId="38" borderId="152" xfId="0" quotePrefix="1" applyFill="1" applyBorder="1"/>
    <xf numFmtId="9" fontId="0" fillId="38" borderId="130" xfId="0" applyNumberFormat="1" applyFill="1" applyBorder="1"/>
    <xf numFmtId="9" fontId="0" fillId="38" borderId="144" xfId="0" applyNumberFormat="1" applyFill="1" applyBorder="1"/>
    <xf numFmtId="9" fontId="0" fillId="38" borderId="120" xfId="0" applyNumberFormat="1" applyFill="1" applyBorder="1"/>
    <xf numFmtId="9" fontId="0" fillId="38" borderId="233" xfId="0" applyNumberFormat="1" applyFill="1" applyBorder="1"/>
    <xf numFmtId="9" fontId="0" fillId="38" borderId="184" xfId="0" applyNumberFormat="1" applyFill="1" applyBorder="1"/>
    <xf numFmtId="0" fontId="84" fillId="48" borderId="44" xfId="0" applyFont="1" applyFill="1" applyBorder="1" applyAlignment="1">
      <alignment horizontal="center" vertical="center"/>
    </xf>
    <xf numFmtId="0" fontId="84" fillId="48" borderId="275" xfId="0" applyFont="1" applyFill="1" applyBorder="1" applyAlignment="1">
      <alignment horizontal="center" vertical="center"/>
    </xf>
    <xf numFmtId="0" fontId="84" fillId="48" borderId="45" xfId="0" applyFont="1" applyFill="1" applyBorder="1" applyAlignment="1">
      <alignment horizontal="center" vertical="center"/>
    </xf>
    <xf numFmtId="0" fontId="85" fillId="0" borderId="6" xfId="0" applyFont="1" applyBorder="1" applyAlignment="1">
      <alignment horizontal="center" vertical="center"/>
    </xf>
    <xf numFmtId="0" fontId="85" fillId="0" borderId="125" xfId="0" applyFont="1" applyBorder="1" applyAlignment="1">
      <alignment horizontal="center" vertical="center"/>
    </xf>
    <xf numFmtId="0" fontId="85" fillId="0" borderId="36" xfId="0" quotePrefix="1" applyFont="1" applyBorder="1" applyAlignment="1">
      <alignment horizontal="center" vertical="center"/>
    </xf>
    <xf numFmtId="0" fontId="85" fillId="0" borderId="36" xfId="0" applyFont="1" applyBorder="1" applyAlignment="1">
      <alignment horizontal="center" vertical="center"/>
    </xf>
    <xf numFmtId="0" fontId="84" fillId="39" borderId="6" xfId="0" applyFont="1" applyFill="1" applyBorder="1" applyAlignment="1">
      <alignment horizontal="center" vertical="center"/>
    </xf>
    <xf numFmtId="0" fontId="85" fillId="39" borderId="125" xfId="0" applyFont="1" applyFill="1" applyBorder="1" applyAlignment="1">
      <alignment horizontal="center" vertical="center"/>
    </xf>
    <xf numFmtId="0" fontId="85" fillId="39" borderId="36" xfId="0" applyFont="1" applyFill="1" applyBorder="1" applyAlignment="1">
      <alignment horizontal="center" vertical="center"/>
    </xf>
    <xf numFmtId="0" fontId="85" fillId="58" borderId="36" xfId="0" applyFont="1" applyFill="1" applyBorder="1" applyAlignment="1">
      <alignment horizontal="center" vertical="center"/>
    </xf>
    <xf numFmtId="0" fontId="85" fillId="0" borderId="175" xfId="0" applyFont="1" applyBorder="1" applyAlignment="1">
      <alignment horizontal="center" vertical="center"/>
    </xf>
    <xf numFmtId="0" fontId="85" fillId="0" borderId="236" xfId="0" applyFont="1" applyBorder="1" applyAlignment="1">
      <alignment horizontal="center" vertical="center"/>
    </xf>
    <xf numFmtId="0" fontId="0" fillId="0" borderId="175" xfId="0" applyBorder="1" applyAlignment="1">
      <alignment horizontal="center" vertical="center"/>
    </xf>
    <xf numFmtId="0" fontId="0" fillId="0" borderId="120" xfId="0" applyBorder="1" applyAlignment="1">
      <alignment horizontal="center" vertical="center"/>
    </xf>
    <xf numFmtId="0" fontId="85" fillId="0" borderId="124" xfId="0" applyFont="1" applyBorder="1" applyAlignment="1">
      <alignment horizontal="center" vertical="center"/>
    </xf>
    <xf numFmtId="0" fontId="84" fillId="48" borderId="276" xfId="0" applyFont="1" applyFill="1" applyBorder="1" applyAlignment="1">
      <alignment horizontal="center" vertical="center"/>
    </xf>
    <xf numFmtId="0" fontId="84" fillId="48" borderId="277" xfId="0" applyFont="1" applyFill="1" applyBorder="1" applyAlignment="1">
      <alignment horizontal="center" vertical="center"/>
    </xf>
    <xf numFmtId="0" fontId="85" fillId="0" borderId="125" xfId="0" quotePrefix="1" applyFont="1" applyBorder="1" applyAlignment="1">
      <alignment horizontal="center" vertical="center"/>
    </xf>
    <xf numFmtId="9" fontId="85" fillId="0" borderId="236" xfId="0" applyNumberFormat="1" applyFont="1" applyBorder="1" applyAlignment="1">
      <alignment horizontal="center" vertical="center"/>
    </xf>
    <xf numFmtId="9" fontId="85" fillId="0" borderId="125" xfId="0" applyNumberFormat="1" applyFont="1" applyBorder="1" applyAlignment="1">
      <alignment horizontal="center" vertical="center"/>
    </xf>
    <xf numFmtId="0" fontId="84" fillId="39" borderId="175" xfId="0" applyFont="1" applyFill="1" applyBorder="1" applyAlignment="1">
      <alignment horizontal="center" vertical="center"/>
    </xf>
    <xf numFmtId="0" fontId="85" fillId="39" borderId="175" xfId="0" applyFont="1" applyFill="1" applyBorder="1" applyAlignment="1">
      <alignment horizontal="center" vertical="center"/>
    </xf>
    <xf numFmtId="9" fontId="85" fillId="39" borderId="125" xfId="0" applyNumberFormat="1" applyFont="1" applyFill="1" applyBorder="1" applyAlignment="1">
      <alignment horizontal="center" vertical="center"/>
    </xf>
    <xf numFmtId="9" fontId="85" fillId="39" borderId="236" xfId="0" applyNumberFormat="1" applyFont="1" applyFill="1" applyBorder="1" applyAlignment="1">
      <alignment horizontal="center" vertical="center"/>
    </xf>
    <xf numFmtId="0" fontId="0" fillId="39" borderId="175" xfId="0" applyFill="1" applyBorder="1" applyAlignment="1">
      <alignment horizontal="center" vertical="center"/>
    </xf>
    <xf numFmtId="0" fontId="85" fillId="50" borderId="175" xfId="0" applyFont="1" applyFill="1" applyBorder="1" applyAlignment="1">
      <alignment horizontal="center" vertical="center"/>
    </xf>
    <xf numFmtId="9" fontId="85" fillId="0" borderId="184" xfId="0" applyNumberFormat="1" applyFont="1" applyBorder="1" applyAlignment="1">
      <alignment horizontal="center" vertical="center"/>
    </xf>
    <xf numFmtId="0" fontId="95" fillId="3" borderId="0" xfId="0" applyFont="1" applyFill="1" applyAlignment="1">
      <alignment wrapText="1"/>
    </xf>
    <xf numFmtId="0" fontId="91" fillId="3" borderId="0" xfId="0" applyFont="1" applyFill="1" applyAlignment="1">
      <alignment wrapText="1"/>
    </xf>
    <xf numFmtId="0" fontId="0" fillId="0" borderId="10" xfId="0" applyBorder="1" applyAlignment="1"/>
    <xf numFmtId="0" fontId="13" fillId="57" borderId="133" xfId="0" applyFont="1" applyFill="1" applyBorder="1" applyAlignment="1"/>
    <xf numFmtId="0" fontId="13" fillId="57" borderId="187" xfId="0" applyFont="1" applyFill="1" applyBorder="1" applyAlignment="1"/>
    <xf numFmtId="0" fontId="13" fillId="57" borderId="143" xfId="0" applyFont="1" applyFill="1" applyBorder="1" applyAlignment="1"/>
    <xf numFmtId="0" fontId="13" fillId="57" borderId="127" xfId="0" applyFont="1" applyFill="1" applyBorder="1" applyAlignment="1"/>
    <xf numFmtId="0" fontId="13" fillId="57" borderId="271" xfId="0" applyFont="1" applyFill="1" applyBorder="1" applyAlignment="1"/>
    <xf numFmtId="0" fontId="13" fillId="57" borderId="272" xfId="0" applyFont="1" applyFill="1" applyBorder="1" applyAlignment="1"/>
    <xf numFmtId="0" fontId="13" fillId="57" borderId="273" xfId="0" applyFont="1" applyFill="1" applyBorder="1" applyAlignment="1"/>
    <xf numFmtId="0" fontId="13" fillId="53" borderId="34" xfId="0" applyFont="1" applyFill="1" applyBorder="1" applyAlignment="1"/>
    <xf numFmtId="0" fontId="13" fillId="53" borderId="5" xfId="0" applyFont="1" applyFill="1" applyBorder="1" applyAlignment="1"/>
    <xf numFmtId="0" fontId="0" fillId="0" borderId="6" xfId="0" applyBorder="1" applyAlignment="1"/>
    <xf numFmtId="0" fontId="0" fillId="0" borderId="0" xfId="0" applyAlignment="1"/>
    <xf numFmtId="0" fontId="13" fillId="53" borderId="44" xfId="0" applyFont="1" applyFill="1" applyBorder="1" applyAlignment="1"/>
    <xf numFmtId="0" fontId="13" fillId="53" borderId="1" xfId="0" applyFont="1" applyFill="1" applyBorder="1" applyAlignment="1"/>
    <xf numFmtId="0" fontId="88" fillId="50" borderId="34" xfId="0" applyFont="1" applyFill="1" applyBorder="1" applyAlignment="1"/>
    <xf numFmtId="0" fontId="88" fillId="50" borderId="5" xfId="0" applyFont="1" applyFill="1" applyBorder="1" applyAlignment="1"/>
    <xf numFmtId="0" fontId="0" fillId="50" borderId="6" xfId="0" applyFill="1" applyBorder="1" applyAlignment="1"/>
    <xf numFmtId="0" fontId="0" fillId="50" borderId="0" xfId="0" applyFill="1" applyAlignment="1"/>
    <xf numFmtId="0" fontId="8" fillId="50" borderId="37" xfId="0" applyFont="1" applyFill="1" applyBorder="1" applyAlignment="1"/>
    <xf numFmtId="0" fontId="8" fillId="50" borderId="32" xfId="0" applyFont="1" applyFill="1" applyBorder="1" applyAlignment="1"/>
    <xf numFmtId="0" fontId="8" fillId="50" borderId="34" xfId="0" applyFont="1" applyFill="1" applyBorder="1" applyAlignment="1"/>
    <xf numFmtId="0" fontId="8" fillId="50" borderId="269" xfId="0" applyFont="1" applyFill="1" applyBorder="1" applyAlignment="1"/>
    <xf numFmtId="0" fontId="8" fillId="50" borderId="6" xfId="0" applyFont="1" applyFill="1" applyBorder="1" applyAlignment="1"/>
    <xf numFmtId="0" fontId="8" fillId="50" borderId="0" xfId="0" applyFont="1" applyFill="1" applyAlignment="1"/>
    <xf numFmtId="0" fontId="0" fillId="50" borderId="37" xfId="0" applyFill="1" applyBorder="1" applyAlignment="1"/>
    <xf numFmtId="0" fontId="0" fillId="50" borderId="32" xfId="0" applyFill="1" applyBorder="1" applyAlignment="1"/>
    <xf numFmtId="0" fontId="84" fillId="48" borderId="131" xfId="0" applyFont="1" applyFill="1" applyBorder="1" applyAlignment="1"/>
    <xf numFmtId="0" fontId="84" fillId="48" borderId="128" xfId="0" applyFont="1" applyFill="1" applyBorder="1" applyAlignment="1"/>
    <xf numFmtId="0" fontId="84" fillId="49" borderId="131" xfId="0" applyFont="1" applyFill="1" applyBorder="1" applyAlignment="1"/>
    <xf numFmtId="0" fontId="84" fillId="49" borderId="128" xfId="0" applyFont="1" applyFill="1" applyBorder="1" applyAlignment="1"/>
    <xf numFmtId="0" fontId="84" fillId="50" borderId="131" xfId="0" applyFont="1" applyFill="1" applyBorder="1" applyAlignment="1"/>
    <xf numFmtId="0" fontId="84" fillId="50" borderId="128" xfId="0" applyFont="1" applyFill="1" applyBorder="1" applyAlignment="1"/>
    <xf numFmtId="0" fontId="85" fillId="50" borderId="131" xfId="0" applyFont="1" applyFill="1" applyBorder="1" applyAlignment="1"/>
    <xf numFmtId="0" fontId="85" fillId="50" borderId="128" xfId="0" applyFont="1" applyFill="1" applyBorder="1" applyAlignment="1"/>
    <xf numFmtId="0" fontId="84" fillId="51" borderId="131" xfId="0" applyFont="1" applyFill="1" applyBorder="1" applyAlignment="1"/>
    <xf numFmtId="0" fontId="84" fillId="51" borderId="128" xfId="0" applyFont="1" applyFill="1" applyBorder="1" applyAlignment="1"/>
    <xf numFmtId="0" fontId="85" fillId="39" borderId="131" xfId="0" applyFont="1" applyFill="1" applyBorder="1" applyAlignment="1"/>
    <xf numFmtId="0" fontId="85" fillId="39" borderId="128" xfId="0" applyFont="1" applyFill="1" applyBorder="1" applyAlignment="1"/>
    <xf numFmtId="0" fontId="85" fillId="0" borderId="131" xfId="0" applyFont="1" applyBorder="1" applyAlignment="1"/>
    <xf numFmtId="0" fontId="85" fillId="0" borderId="128" xfId="0" applyFont="1" applyBorder="1" applyAlignment="1"/>
    <xf numFmtId="0" fontId="85" fillId="49" borderId="131" xfId="0" applyFont="1" applyFill="1" applyBorder="1" applyAlignment="1"/>
    <xf numFmtId="0" fontId="85" fillId="49" borderId="128" xfId="0" applyFont="1" applyFill="1" applyBorder="1" applyAlignment="1"/>
    <xf numFmtId="0" fontId="84" fillId="51" borderId="130" xfId="0" applyFont="1" applyFill="1" applyBorder="1" applyAlignment="1"/>
    <xf numFmtId="0" fontId="84" fillId="51" borderId="152" xfId="0" applyFont="1" applyFill="1" applyBorder="1" applyAlignment="1"/>
  </cellXfs>
  <cellStyles count="33">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8000000}"/>
    <cellStyle name="fa_row_header_standard 2" xfId="9" xr:uid="{00000000-0005-0000-0000-000009000000}"/>
    <cellStyle name="Hiperligação" xfId="10" builtinId="8"/>
    <cellStyle name="Moneda 2" xfId="11" xr:uid="{00000000-0005-0000-0000-00000B000000}"/>
    <cellStyle name="Moneda 2 2" xfId="12" xr:uid="{00000000-0005-0000-0000-00000C000000}"/>
    <cellStyle name="Normal" xfId="0" builtinId="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5" xfId="29" xr:uid="{E3BE1569-E214-4855-8BF5-B868B88B5743}"/>
    <cellStyle name="Normal 9" xfId="32" xr:uid="{CACD4D4E-2C7F-4816-9692-26D0FDD559DC}"/>
    <cellStyle name="Percentagem" xfId="15" builtinId="5"/>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1" xr:uid="{C6A0E8B8-33DC-4334-89A4-99FF669E5EA8}"/>
    <cellStyle name="Porcentaje 5" xfId="30" xr:uid="{F07CEC0B-CE59-4BBC-A0C7-9B77A84167BF}"/>
  </cellStyles>
  <dxfs count="36">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C5D9F1"/>
      <color rgb="FF1B7087"/>
      <color rgb="FF1F497D"/>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Segments!$C$19:$C$22</c:f>
              <c:strCache>
                <c:ptCount val="4"/>
                <c:pt idx="0">
                  <c:v>Data Center</c:v>
                </c:pt>
                <c:pt idx="1">
                  <c:v>Client</c:v>
                </c:pt>
                <c:pt idx="2">
                  <c:v>Gaming</c:v>
                </c:pt>
                <c:pt idx="3">
                  <c:v>Embedded</c:v>
                </c:pt>
              </c:strCache>
            </c:strRef>
          </c:cat>
          <c:val>
            <c:numRef>
              <c:f>Segments!$D$19:$D$22</c:f>
              <c:numCache>
                <c:formatCode>"$"#,##0</c:formatCode>
                <c:ptCount val="4"/>
                <c:pt idx="0">
                  <c:v>6496</c:v>
                </c:pt>
                <c:pt idx="1">
                  <c:v>4651</c:v>
                </c:pt>
                <c:pt idx="2">
                  <c:v>6212</c:v>
                </c:pt>
                <c:pt idx="3">
                  <c:v>5321</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C0-4978-822B-C231DBE6DF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C0-4978-822B-C231DBE6DF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C0-4978-822B-C231DBE6DF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C0-4978-822B-C231DBE6DF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85A-4F78-BCBE-9764DFC2E0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Segments!$C$5:$C$13</c:f>
              <c:strCache>
                <c:ptCount val="7"/>
                <c:pt idx="0">
                  <c:v>United States</c:v>
                </c:pt>
                <c:pt idx="1">
                  <c:v>Japan</c:v>
                </c:pt>
                <c:pt idx="2">
                  <c:v>China (including Hong Kong)</c:v>
                </c:pt>
                <c:pt idx="3">
                  <c:v>Singapore</c:v>
                </c:pt>
                <c:pt idx="4">
                  <c:v>Europe</c:v>
                </c:pt>
                <c:pt idx="5">
                  <c:v>Taiwan</c:v>
                </c:pt>
                <c:pt idx="6">
                  <c:v>Other countries</c:v>
                </c:pt>
              </c:strCache>
            </c:strRef>
          </c:cat>
          <c:val>
            <c:numRef>
              <c:f>Segments!$D$5:$D$13</c:f>
              <c:numCache>
                <c:formatCode>"$"#,##0</c:formatCode>
                <c:ptCount val="7"/>
                <c:pt idx="0">
                  <c:v>7837</c:v>
                </c:pt>
                <c:pt idx="1">
                  <c:v>4629</c:v>
                </c:pt>
                <c:pt idx="2">
                  <c:v>3417</c:v>
                </c:pt>
                <c:pt idx="3">
                  <c:v>2231</c:v>
                </c:pt>
                <c:pt idx="4">
                  <c:v>2030</c:v>
                </c:pt>
                <c:pt idx="5">
                  <c:v>1841</c:v>
                </c:pt>
                <c:pt idx="6">
                  <c:v>695</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6396629888348594"/>
          <c:y val="0.44217837375957275"/>
          <c:w val="0.47206740223302807"/>
          <c:h val="0.5325380217883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ADVANCED MICRO DEVICES, INC. (XNAS:AMD)</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-0.43707748309932398</c:v>
                </c:pt>
              </c:numCache>
            </c:numRef>
          </c:xVal>
          <c:yVal>
            <c:numRef>
              <c:f>Peers!$C$37</c:f>
              <c:numCache>
                <c:formatCode>0.0</c:formatCode>
                <c:ptCount val="1"/>
                <c:pt idx="0">
                  <c:v>61.18299531981279</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nvidia</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0</c:v>
                </c:pt>
              </c:numCache>
            </c:numRef>
          </c:xVal>
          <c:yVal>
            <c:numRef>
              <c:f>Peers!$D$37</c:f>
              <c:numCache>
                <c:formatCode>0.0</c:formatCode>
                <c:ptCount val="1"/>
                <c:pt idx="0">
                  <c:v>0</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intel</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5.3132241813602015</c:v>
                </c:pt>
              </c:numCache>
            </c:numRef>
          </c:xVal>
          <c:yVal>
            <c:numRef>
              <c:f>Peers!$E$37</c:f>
              <c:numCache>
                <c:formatCode>0.0</c:formatCode>
                <c:ptCount val="1"/>
                <c:pt idx="0">
                  <c:v>32.071032745591943</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0</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0</c:v>
                </c:pt>
              </c:numCache>
            </c:numRef>
          </c:xVal>
          <c:yVal>
            <c:numRef>
              <c:f>Peers!$F$37</c:f>
              <c:numCache>
                <c:formatCode>0.0</c:formatCode>
                <c:ptCount val="1"/>
                <c:pt idx="0">
                  <c:v>0</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0</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0</c:v>
                </c:pt>
              </c:numCache>
            </c:numRef>
          </c:xVal>
          <c:yVal>
            <c:numRef>
              <c:f>Peers!$G$37</c:f>
              <c:numCache>
                <c:formatCode>0.0</c:formatCode>
                <c:ptCount val="1"/>
                <c:pt idx="0">
                  <c:v>0</c:v>
                </c:pt>
              </c:numCache>
            </c:numRef>
          </c:yVal>
          <c:smooth val="0"/>
          <c:extLst>
            <c:ext xmlns:c16="http://schemas.microsoft.com/office/drawing/2014/chart" uri="{C3380CC4-5D6E-409C-BE32-E72D297353CC}">
              <c16:uniqueId val="{00000005-B547-4DF9-892F-3129917FB3B3}"/>
            </c:ext>
          </c:extLst>
        </c:ser>
        <c:ser>
          <c:idx val="5"/>
          <c:order val="5"/>
          <c:tx>
            <c:strRef>
              <c:f>Peers!$H$8</c:f>
              <c:strCache>
                <c:ptCount val="1"/>
                <c:pt idx="0">
                  <c:v>0</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0</c:v>
                </c:pt>
              </c:numCache>
            </c:numRef>
          </c:xVal>
          <c:yVal>
            <c:numRef>
              <c:f>Peers!$H$37</c:f>
              <c:numCache>
                <c:formatCode>0.0</c:formatCode>
                <c:ptCount val="1"/>
                <c:pt idx="0">
                  <c:v>0</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ADVANCED MICRO DEVICES, INC. (XNAS:AMD)</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numCache>
            </c:numRef>
          </c:xVal>
          <c:yVal>
            <c:numRef>
              <c:f>Peers!$C$49</c:f>
              <c:numCache>
                <c:formatCode>0%</c:formatCode>
                <c:ptCount val="1"/>
                <c:pt idx="0">
                  <c:v>0.55648926237161533</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nvidia</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numCache>
            </c:numRef>
          </c:xVal>
          <c:yVal>
            <c:numRef>
              <c:f>Peers!$D$49</c:f>
              <c:numCache>
                <c:formatCode>0.00%</c:formatCode>
                <c:ptCount val="1"/>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intel</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numCache>
            </c:numRef>
          </c:xVal>
          <c:yVal>
            <c:numRef>
              <c:f>Peers!$E$49</c:f>
              <c:numCache>
                <c:formatCode>0.00%</c:formatCode>
                <c:ptCount val="1"/>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0</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numCache>
            </c:numRef>
          </c:xVal>
          <c:yVal>
            <c:numRef>
              <c:f>Peers!$F$49</c:f>
              <c:numCache>
                <c:formatCode>0.00%</c:formatCode>
                <c:ptCount val="1"/>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0</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numCache>
            </c:numRef>
          </c:xVal>
          <c:yVal>
            <c:numRef>
              <c:f>Peers!$G$49</c:f>
              <c:numCache>
                <c:formatCode>0.00%</c:formatCode>
                <c:ptCount val="1"/>
              </c:numCache>
            </c:numRef>
          </c:yVal>
          <c:smooth val="0"/>
          <c:extLst>
            <c:ext xmlns:c16="http://schemas.microsoft.com/office/drawing/2014/chart" uri="{C3380CC4-5D6E-409C-BE32-E72D297353CC}">
              <c16:uniqueId val="{00000005-A0AB-4E28-9E73-D8DF3D5B0514}"/>
            </c:ext>
          </c:extLst>
        </c:ser>
        <c:ser>
          <c:idx val="6"/>
          <c:order val="5"/>
          <c:tx>
            <c:strRef>
              <c:f>Peers!$H$8</c:f>
              <c:strCache>
                <c:ptCount val="1"/>
                <c:pt idx="0">
                  <c:v>0</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Peers!$H$44</c:f>
              <c:numCache>
                <c:formatCode>0%</c:formatCode>
                <c:ptCount val="1"/>
              </c:numCache>
            </c:numRef>
          </c:xVal>
          <c:yVal>
            <c:numRef>
              <c:f>Peers!$H$49</c:f>
              <c:numCache>
                <c:formatCode>0.00%</c:formatCode>
                <c:ptCount val="1"/>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General</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General</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General</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General</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General</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General</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General</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General</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General</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General</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General</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General</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General</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General</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General</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General</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General</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General</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25</xdr:row>
      <xdr:rowOff>76200</xdr:rowOff>
    </xdr:from>
    <xdr:to>
      <xdr:col>11</xdr:col>
      <xdr:colOff>666750</xdr:colOff>
      <xdr:row>30</xdr:row>
      <xdr:rowOff>666750</xdr:rowOff>
    </xdr:to>
    <xdr:graphicFrame macro="">
      <xdr:nvGraphicFramePr>
        <xdr:cNvPr id="7"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752475</xdr:colOff>
      <xdr:row>25</xdr:row>
      <xdr:rowOff>66675</xdr:rowOff>
    </xdr:from>
    <xdr:to>
      <xdr:col>15</xdr:col>
      <xdr:colOff>742950</xdr:colOff>
      <xdr:row>30</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24</xdr:row>
      <xdr:rowOff>247650</xdr:rowOff>
    </xdr:from>
    <xdr:to>
      <xdr:col>11</xdr:col>
      <xdr:colOff>714375</xdr:colOff>
      <xdr:row>31</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571500</xdr:colOff>
      <xdr:row>81</xdr:row>
      <xdr:rowOff>152400</xdr:rowOff>
    </xdr:from>
    <xdr:to>
      <xdr:col>43</xdr:col>
      <xdr:colOff>0</xdr:colOff>
      <xdr:row>87</xdr:row>
      <xdr:rowOff>142875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2D9F9EFF-8C8B-4839-A102-86B66E9BDF73}"/>
            </a:ext>
          </a:extLst>
        </xdr:cNvPr>
        <xdr:cNvSpPr/>
      </xdr:nvSpPr>
      <xdr:spPr bwMode="auto">
        <a:xfrm>
          <a:off x="35671125" y="14906625"/>
          <a:ext cx="952500" cy="962025"/>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262618</xdr:colOff>
      <xdr:row>1</xdr:row>
      <xdr:rowOff>112145</xdr:rowOff>
    </xdr:from>
    <xdr:to>
      <xdr:col>22</xdr:col>
      <xdr:colOff>953521</xdr:colOff>
      <xdr:row>7</xdr:row>
      <xdr:rowOff>204220</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281667</xdr:colOff>
      <xdr:row>8</xdr:row>
      <xdr:rowOff>95703</xdr:rowOff>
    </xdr:from>
    <xdr:to>
      <xdr:col>22</xdr:col>
      <xdr:colOff>967127</xdr:colOff>
      <xdr:row>13</xdr:row>
      <xdr:rowOff>87766</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294254</xdr:colOff>
      <xdr:row>14</xdr:row>
      <xdr:rowOff>50688</xdr:rowOff>
    </xdr:from>
    <xdr:to>
      <xdr:col>22</xdr:col>
      <xdr:colOff>979714</xdr:colOff>
      <xdr:row>20</xdr:row>
      <xdr:rowOff>134825</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283368</xdr:colOff>
      <xdr:row>21</xdr:row>
      <xdr:rowOff>141743</xdr:rowOff>
    </xdr:from>
    <xdr:to>
      <xdr:col>22</xdr:col>
      <xdr:colOff>968828</xdr:colOff>
      <xdr:row>29</xdr:row>
      <xdr:rowOff>29030</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https://www.bing.com/financeapi/forcetrigger?t=a1ndww&amp;q=XNAS%3aAMD&amp;form=skydnc</v>
    <v>Learn more on Bing</v>
  </rv>
  <rv s="1">
    <v>en-US</v>
    <v>a1ndww</v>
    <v>268435456</v>
    <v>1</v>
    <v>Powered by Refinitiv</v>
    <v>0</v>
    <v>ADVANCED MICRO DEVICES, INC. (XNAS:AMD)</v>
    <v>2</v>
    <v>3</v>
    <v>Finance</v>
    <v>4</v>
    <v>227.3</v>
    <v>81.02</v>
    <v>1.665</v>
    <v>-8.44</v>
    <v>-7.0920000000000002E-3</v>
    <v>-5.4424E-2</v>
    <v>-1.04</v>
    <v>USD</v>
    <v>Advanced Micro Devices, Inc. is a global semiconductor company. The Company is focused on high-performance computing, graphics and visualization technologies. Its segments include Data Center, Client, Gaming and Embedded. The Data Center segment includes server central processing unit (CPUs), graphics processing units (GPUs), accelerated processing units (APUs), data processing units (DPUs), field programmable gate arrays (FPGAs), smart network interface cards (SmartNICs), artificial intelligence (AI) accelerators and adaptive system-on-chip (SoC) products for data centers. The Client segment includes CPUs, APUs, and chipsets for desktop, notebook and handheld personal computers. The Gaming segment includes discrete GPUs, semi-custom SoC products and development services. The Embedded segment includes embedded CPUs, GPUs, APUs, FPGAs, system on modules (SOMs), and adaptive SoC products. The Company's products include AMD Ryzen AI, Radeon PRO and AMD Advantage Premium.</v>
    <v>26000</v>
    <v>Nasdaq Stock Market</v>
    <v>XNAS</v>
    <v>XNAS</v>
    <v>2485 Augustine Drive, SANTA CLARA, CA, 95054 US</v>
    <v>154.25</v>
    <v>Semiconductors &amp; Semiconductor Equipment</v>
    <v>Stock</v>
    <v>45401.999941330469</v>
    <v>0</v>
    <v>145.29</v>
    <v>236990800000</v>
    <v>ADVANCED MICRO DEVICES, INC.</v>
    <v>ADVANCED MICRO DEVICES, INC.</v>
    <v>151.59</v>
    <v>295.77359999999999</v>
    <v>155.08000000000001</v>
    <v>146.63999999999999</v>
    <v>145.6</v>
    <v>1616140000</v>
    <v>AMD</v>
    <v>ADVANCED MICRO DEVICES, INC. (XNAS:AMD)</v>
    <v>71618197</v>
    <v>65303274</v>
    <v>1969</v>
  </rv>
  <rv s="2">
    <v>1</v>
  </rv>
  <rv s="3">
    <v>0</v>
    <v>5</v>
  </rv>
  <rv s="4">
    <v>12</v>
    <v>Description</v>
    <v>0</v>
  </rv>
  <rv s="3">
    <v>1</v>
    <v>5</v>
  </rv>
  <rv s="4">
    <v>12</v>
    <v>Market cap</v>
    <v>0</v>
  </rv>
  <rv s="5">
    <v>12</v>
    <v>1</v>
  </rv>
  <rv s="4">
    <v>12</v>
    <v>Price</v>
    <v>0</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ocalImage">
    <k n="_rvRel:LocalImageIdentifier" t="i"/>
    <k n="CalcOrigin" t="i"/>
  </s>
  <s t="_error">
    <k n="errorType" t="i"/>
    <k n="field" t="s"/>
    <k n="subType" t="i"/>
  </s>
  <s t="_error">
    <k n="errorType" t="i"/>
    <k n="propagated" t="b"/>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m/d/yyyy\ h:mm"/>
    </x:dxf>
    <x:dxf>
      <x:numFmt numFmtId="0" formatCode="General"/>
    </x:dxf>
  </dxfs>
  <richProperties>
    <rPr n="NumberFormat" t="s"/>
    <rPr n="IsTitle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A11" zoomScaleNormal="100" workbookViewId="0">
      <selection activeCell="C20" sqref="C20"/>
    </sheetView>
  </sheetViews>
  <sheetFormatPr defaultColWidth="11.42578125" defaultRowHeight="12.75"/>
  <cols>
    <col min="1" max="1" width="0.42578125" customWidth="1"/>
    <col min="2" max="2" width="21.140625" bestFit="1" customWidth="1"/>
    <col min="3" max="3" width="23.42578125" customWidth="1"/>
    <col min="4" max="4" width="32" customWidth="1"/>
    <col min="5" max="5" width="20.42578125" bestFit="1" customWidth="1"/>
    <col min="6" max="6" width="17" bestFit="1" customWidth="1"/>
    <col min="7" max="7" width="13.42578125" bestFit="1" customWidth="1"/>
    <col min="8" max="8" width="24.85546875" customWidth="1"/>
    <col min="9" max="9" width="17.140625" customWidth="1"/>
    <col min="10" max="10" width="10.42578125" customWidth="1"/>
    <col min="11" max="11" width="13.7109375" customWidth="1"/>
    <col min="12" max="12" width="20.85546875" bestFit="1" customWidth="1"/>
    <col min="13" max="13" width="31" customWidth="1"/>
  </cols>
  <sheetData>
    <row r="1" spans="2:13" ht="3.75" customHeight="1" thickBot="1"/>
    <row r="2" spans="2:13" ht="22.5" customHeight="1">
      <c r="B2" s="392">
        <v>45039</v>
      </c>
      <c r="C2" s="272" t="s">
        <v>0</v>
      </c>
      <c r="D2" s="393"/>
      <c r="E2" s="1176" t="e" vm="1">
        <f>Inputs!H3</f>
        <v>#VALUE!</v>
      </c>
      <c r="F2" s="1177"/>
      <c r="G2" s="1177"/>
      <c r="H2" s="1177"/>
      <c r="I2" s="1177"/>
      <c r="J2" s="1177"/>
      <c r="K2" s="1178"/>
      <c r="L2" s="273" t="s">
        <v>1</v>
      </c>
      <c r="M2" s="468" t="s">
        <v>2</v>
      </c>
    </row>
    <row r="3" spans="2:13" ht="26.25" customHeight="1">
      <c r="B3" s="1154"/>
      <c r="C3" s="1155"/>
      <c r="D3" s="1187" t="s">
        <v>3</v>
      </c>
      <c r="E3" s="1187"/>
      <c r="F3" s="1187"/>
      <c r="G3" s="1187"/>
      <c r="H3" s="1187" t="s">
        <v>4</v>
      </c>
      <c r="I3" s="1187"/>
      <c r="J3" s="1187"/>
      <c r="K3" s="1187"/>
      <c r="L3" s="1187"/>
      <c r="M3" s="1188"/>
    </row>
    <row r="4" spans="2:13">
      <c r="B4" s="1154"/>
      <c r="C4" s="1155"/>
      <c r="D4" s="1186" t="str" cm="1">
        <f t="array" ref="D4">_FV(Inputs!H3,"Description")</f>
        <v>Advanced Micro Devices, Inc. is a global semiconductor company. The Company is focused on high-performance computing, graphics and visualization technologies. Its segments include Data Center, Client, Gaming and Embedded. The Data Center segment includes server central processing unit (CPUs), graphics processing units (GPUs), accelerated processing units (APUs), data processing units (DPUs), field programmable gate arrays (FPGAs), smart network interface cards (SmartNICs), artificial intelligence (AI) accelerators and adaptive system-on-chip (SoC) products for data centers. The Client segment includes CPUs, APUs, and chipsets for desktop, notebook and handheld personal computers. The Gaming segment includes discrete GPUs, semi-custom SoC products and development services. The Embedded segment includes embedded CPUs, GPUs, APUs, FPGAs, system on modules (SOMs), and adaptive SoC products. The Company's products include AMD Ryzen AI, Radeon PRO and AMD Advantage Premium.</v>
      </c>
      <c r="E4" s="1186"/>
      <c r="F4" s="1186"/>
      <c r="G4" s="1186"/>
      <c r="H4" s="105" t="s">
        <v>5</v>
      </c>
      <c r="I4" s="106" t="s">
        <v>6</v>
      </c>
      <c r="J4" s="106" t="s">
        <v>7</v>
      </c>
      <c r="K4" s="106" t="s">
        <v>8</v>
      </c>
      <c r="L4" s="106" t="s">
        <v>9</v>
      </c>
      <c r="M4" s="107" t="s">
        <v>10</v>
      </c>
    </row>
    <row r="5" spans="2:13">
      <c r="B5" s="1154"/>
      <c r="C5" s="1155"/>
      <c r="D5" s="1186"/>
      <c r="E5" s="1186"/>
      <c r="F5" s="1186"/>
      <c r="G5" s="1186"/>
      <c r="H5" s="108"/>
      <c r="I5" s="377"/>
      <c r="J5" s="377"/>
      <c r="K5" s="377"/>
      <c r="L5" s="377"/>
      <c r="M5" s="467"/>
    </row>
    <row r="6" spans="2:13">
      <c r="B6" s="1154"/>
      <c r="C6" s="1155"/>
      <c r="D6" s="1186"/>
      <c r="E6" s="1186"/>
      <c r="F6" s="1186"/>
      <c r="G6" s="1186"/>
      <c r="H6" s="108"/>
      <c r="I6" s="377"/>
      <c r="J6" s="377"/>
      <c r="K6" s="377"/>
      <c r="L6" s="377"/>
      <c r="M6" s="467"/>
    </row>
    <row r="7" spans="2:13">
      <c r="B7" s="1154"/>
      <c r="C7" s="1155"/>
      <c r="D7" s="1186"/>
      <c r="E7" s="1186"/>
      <c r="F7" s="1186"/>
      <c r="G7" s="1186"/>
      <c r="H7" s="108"/>
      <c r="I7" s="377"/>
      <c r="J7" s="377"/>
      <c r="K7" s="377"/>
      <c r="L7" s="377"/>
      <c r="M7" s="274"/>
    </row>
    <row r="8" spans="2:13">
      <c r="B8" s="1154"/>
      <c r="C8" s="1155"/>
      <c r="D8" s="1186"/>
      <c r="E8" s="1186"/>
      <c r="F8" s="1186"/>
      <c r="G8" s="1186"/>
      <c r="H8" s="108"/>
      <c r="I8" s="377"/>
      <c r="J8" s="377"/>
      <c r="K8" s="377"/>
      <c r="L8" s="377"/>
      <c r="M8" s="467"/>
    </row>
    <row r="9" spans="2:13">
      <c r="B9" s="1154"/>
      <c r="C9" s="1155"/>
      <c r="D9" s="1186"/>
      <c r="E9" s="1186"/>
      <c r="F9" s="1186"/>
      <c r="G9" s="1186"/>
      <c r="H9" s="108"/>
      <c r="I9" s="377"/>
      <c r="J9" s="377"/>
      <c r="K9" s="377"/>
      <c r="L9" s="377"/>
      <c r="M9" s="467"/>
    </row>
    <row r="10" spans="2:13">
      <c r="B10" s="1154"/>
      <c r="C10" s="1155"/>
      <c r="D10" s="1186"/>
      <c r="E10" s="1186"/>
      <c r="F10" s="1186"/>
      <c r="G10" s="1186"/>
      <c r="H10" s="108"/>
      <c r="I10" s="377"/>
      <c r="J10" s="377"/>
      <c r="K10" s="377"/>
      <c r="L10" s="377"/>
      <c r="M10" s="274"/>
    </row>
    <row r="11" spans="2:13">
      <c r="B11" s="1154"/>
      <c r="C11" s="1155"/>
      <c r="D11" s="1186"/>
      <c r="E11" s="1186"/>
      <c r="F11" s="1186"/>
      <c r="G11" s="1186"/>
      <c r="H11" s="108"/>
      <c r="I11" s="377"/>
      <c r="J11" s="377"/>
      <c r="K11" s="377"/>
      <c r="L11" s="377"/>
      <c r="M11" s="274"/>
    </row>
    <row r="12" spans="2:13">
      <c r="B12" s="1154"/>
      <c r="C12" s="1155"/>
      <c r="D12" s="1186"/>
      <c r="E12" s="1186"/>
      <c r="F12" s="1186"/>
      <c r="G12" s="1186"/>
      <c r="H12" s="108"/>
      <c r="I12" s="377"/>
      <c r="J12" s="377"/>
      <c r="K12" s="377"/>
      <c r="L12" s="377"/>
      <c r="M12" s="274"/>
    </row>
    <row r="13" spans="2:13">
      <c r="B13" s="1154"/>
      <c r="C13" s="1155"/>
      <c r="D13" s="1186"/>
      <c r="E13" s="1186"/>
      <c r="F13" s="1186"/>
      <c r="G13" s="1186"/>
      <c r="H13" s="108"/>
      <c r="I13" s="377"/>
      <c r="J13" s="377"/>
      <c r="K13" s="377"/>
      <c r="L13" s="377"/>
      <c r="M13" s="467"/>
    </row>
    <row r="14" spans="2:13" ht="24" customHeight="1">
      <c r="B14" s="1154"/>
      <c r="C14" s="1155"/>
      <c r="D14" s="1186"/>
      <c r="E14" s="1186"/>
      <c r="F14" s="1186"/>
      <c r="G14" s="1186"/>
      <c r="H14" s="108"/>
      <c r="I14" s="377"/>
      <c r="J14" s="377"/>
      <c r="K14" s="377"/>
      <c r="L14" s="377"/>
      <c r="M14" s="274"/>
    </row>
    <row r="15" spans="2:13" ht="25.5" customHeight="1">
      <c r="B15" s="1154"/>
      <c r="C15" s="1155"/>
      <c r="D15" s="1186"/>
      <c r="E15" s="1186"/>
      <c r="F15" s="1186"/>
      <c r="G15" s="1186"/>
      <c r="H15" s="108"/>
      <c r="I15" s="377"/>
      <c r="J15" s="377"/>
      <c r="K15" s="377"/>
      <c r="L15" s="377"/>
      <c r="M15" s="274"/>
    </row>
    <row r="16" spans="2:13">
      <c r="B16" s="1154"/>
      <c r="C16" s="1155"/>
      <c r="D16" s="1186"/>
      <c r="E16" s="1186"/>
      <c r="F16" s="1186"/>
      <c r="G16" s="1186"/>
      <c r="H16" s="108"/>
      <c r="I16" s="378"/>
      <c r="J16" s="377"/>
      <c r="K16" s="377"/>
      <c r="L16" s="377"/>
      <c r="M16" s="274"/>
    </row>
    <row r="17" spans="2:13">
      <c r="B17" s="1152" t="s">
        <v>11</v>
      </c>
      <c r="C17" s="1153"/>
      <c r="D17" s="1186"/>
      <c r="E17" s="1186"/>
      <c r="F17" s="1186"/>
      <c r="G17" s="1186"/>
      <c r="H17" s="108"/>
      <c r="I17" s="378"/>
      <c r="J17" s="377"/>
      <c r="K17" s="377"/>
      <c r="L17" s="377"/>
      <c r="M17" s="467"/>
    </row>
    <row r="18" spans="2:13" ht="18">
      <c r="B18" s="1130" t="s">
        <v>12</v>
      </c>
      <c r="C18" s="1131"/>
      <c r="D18" s="1131"/>
      <c r="E18" s="1131"/>
      <c r="F18" s="1131"/>
      <c r="G18" s="1131"/>
      <c r="H18" s="1131"/>
      <c r="I18" s="1131"/>
      <c r="J18" s="1131"/>
      <c r="K18" s="1131"/>
      <c r="L18" s="1131"/>
      <c r="M18" s="1132"/>
    </row>
    <row r="19" spans="2:13" ht="15.75">
      <c r="B19" s="1157" t="s">
        <v>13</v>
      </c>
      <c r="C19" s="1158"/>
      <c r="D19" s="1107" t="s">
        <v>14</v>
      </c>
      <c r="E19" s="1109"/>
      <c r="F19" s="1189" t="s">
        <v>15</v>
      </c>
      <c r="G19" s="1190"/>
      <c r="H19" s="1191"/>
      <c r="I19" s="1107" t="s">
        <v>16</v>
      </c>
      <c r="J19" s="1108"/>
      <c r="K19" s="1109"/>
      <c r="L19" s="1107" t="s">
        <v>17</v>
      </c>
      <c r="M19" s="1156"/>
    </row>
    <row r="20" spans="2:13">
      <c r="B20" s="466" t="s">
        <v>18</v>
      </c>
      <c r="C20" s="120" cm="1">
        <f t="array" ref="C20">_FV(E2,"Price")</f>
        <v>146.63999999999999</v>
      </c>
      <c r="D20" s="10" t="s">
        <v>19</v>
      </c>
      <c r="E20" s="118">
        <f>_xlfn.XLOOKUP(D20,'Fin. Data'!A:A,'Fin. Data'!B:B,,0)</f>
        <v>67885</v>
      </c>
      <c r="F20" s="1179" t="s">
        <v>20</v>
      </c>
      <c r="G20" s="1180"/>
      <c r="H20" s="99" t="s">
        <v>21</v>
      </c>
      <c r="I20" t="s">
        <v>22</v>
      </c>
      <c r="J20" s="1162">
        <v>2023</v>
      </c>
      <c r="K20" s="1163"/>
      <c r="L20" s="9" t="s">
        <v>23</v>
      </c>
      <c r="M20" s="501"/>
    </row>
    <row r="21" spans="2:13" ht="12.75" customHeight="1">
      <c r="B21" s="466" t="s">
        <v>24</v>
      </c>
      <c r="C21" s="312" cm="1">
        <f t="array" ref="C21">_FV(E2,"Shares outstanding",TRUE)</f>
        <v>1616140000</v>
      </c>
      <c r="D21" s="9" t="s">
        <v>25</v>
      </c>
      <c r="E21" s="118">
        <f>_xlfn.XLOOKUP(D21,'Fin. Data'!A:A,'Fin. Data'!B:B,,0)</f>
        <v>11993</v>
      </c>
      <c r="F21" s="1166" t="str">
        <f>Segments!C5</f>
        <v>United States</v>
      </c>
      <c r="G21" s="1167"/>
      <c r="H21" s="14">
        <f>Segments!B5</f>
        <v>0.3455467372134039</v>
      </c>
      <c r="I21" s="9" t="s">
        <v>26</v>
      </c>
      <c r="J21" s="1183">
        <v>45291</v>
      </c>
      <c r="K21" s="1184"/>
      <c r="L21" s="9" t="s">
        <v>27</v>
      </c>
      <c r="M21" s="464"/>
    </row>
    <row r="22" spans="2:13" ht="12.75" customHeight="1">
      <c r="B22" s="466" t="s">
        <v>28</v>
      </c>
      <c r="C22" s="50">
        <f>C20*C21/1000000</f>
        <v>236990.76959999997</v>
      </c>
      <c r="D22" s="9" t="s">
        <v>29</v>
      </c>
      <c r="E22" s="365">
        <f>_xlfn.XLOOKUP("Cash &amp; Eq.",'Fin. Data'!A:A,'Fin. Data'!B:B,,0)*1000000/C21</f>
        <v>2.4335762990830001</v>
      </c>
      <c r="F22" s="1166" t="str">
        <f>Segments!C6</f>
        <v>Japan</v>
      </c>
      <c r="G22" s="1167"/>
      <c r="H22" s="14">
        <f>Segments!B6</f>
        <v>0.20410052910052909</v>
      </c>
      <c r="I22" s="1117" t="s">
        <v>30</v>
      </c>
      <c r="J22" s="1117"/>
      <c r="K22" s="118">
        <f>_xlfn.XLOOKUP(I22,'Fin. Data'!A:A,'Fin. Data'!B:B,,0)</f>
        <v>3846</v>
      </c>
      <c r="L22" s="5" t="s">
        <v>31</v>
      </c>
      <c r="M22" s="465"/>
    </row>
    <row r="23" spans="2:13" ht="12.75" customHeight="1">
      <c r="B23" s="463" t="s">
        <v>32</v>
      </c>
      <c r="C23" s="50">
        <f>'Fin. Data'!B58</f>
        <v>2252</v>
      </c>
      <c r="D23" s="9" t="s">
        <v>33</v>
      </c>
      <c r="E23" s="365">
        <f>_xlfn.XLOOKUP("EBITDA",'Fin. Data'!A:A,'Fin. Data'!B:B,,0)/_xlfn.XLOOKUP("Net Financial Cost",'Fin. Data'!A:A,'Fin. Data'!B:B,,0)</f>
        <v>38.848484848484851</v>
      </c>
      <c r="F23" s="1166" t="str">
        <f>Segments!C7</f>
        <v>China (including Hong Kong)</v>
      </c>
      <c r="G23" s="1167"/>
      <c r="H23" s="14">
        <f>Segments!B7</f>
        <v>0.15066137566137566</v>
      </c>
      <c r="I23" s="1185" t="s">
        <v>34</v>
      </c>
      <c r="J23" s="1185"/>
      <c r="K23" s="118">
        <f>_xlfn.XLOOKUP(I23,'Fin. Data'!A:A,'Fin. Data'!B:B,,0)</f>
        <v>3453</v>
      </c>
      <c r="L23" s="9" t="s">
        <v>35</v>
      </c>
      <c r="M23" s="462"/>
    </row>
    <row r="24" spans="2:13" ht="12.75" customHeight="1">
      <c r="B24" s="463" t="s">
        <v>36</v>
      </c>
      <c r="C24" s="50">
        <f>'Fin. Data'!B39</f>
        <v>3933</v>
      </c>
      <c r="D24" s="9" t="s">
        <v>37</v>
      </c>
      <c r="E24" s="365">
        <f>_xlfn.XLOOKUP("Total Debt",'Fin. Data'!A:A,'Fin. Data'!B:B,,0)/_xlfn.XLOOKUP("EBITDA",'Fin. Data'!A:A,'Fin. Data'!B:B,,0)</f>
        <v>0.58554342173686946</v>
      </c>
      <c r="F24" s="1166" t="str">
        <f>Segments!C8</f>
        <v>Singapore</v>
      </c>
      <c r="G24" s="1167"/>
      <c r="H24" s="40">
        <f>Segments!B8</f>
        <v>9.8368606701940031E-2</v>
      </c>
      <c r="I24" s="1185" t="s">
        <v>38</v>
      </c>
      <c r="J24" s="1185"/>
      <c r="K24" s="118">
        <f>_xlfn.XLOOKUP(I24,'Fin. Data'!A:A,'Fin. Data'!B:B,,0)</f>
        <v>393</v>
      </c>
      <c r="L24" s="9" t="s">
        <v>39</v>
      </c>
      <c r="M24" s="461">
        <f>IFERROR((C20*C21/(E20-E21))/1000000,"")</f>
        <v>4.2401554712660126</v>
      </c>
    </row>
    <row r="25" spans="2:13" ht="12.75" customHeight="1">
      <c r="B25" s="463" t="s">
        <v>40</v>
      </c>
      <c r="C25" s="50">
        <f>C22+C23-C24</f>
        <v>235309.76959999997</v>
      </c>
      <c r="D25" s="9" t="s">
        <v>41</v>
      </c>
      <c r="E25" s="365">
        <f>_xlfn.XLOOKUP("Other Assets",'Fin. Data'!A:A,'Fin. Data'!B:B,,0)/_xlfn.XLOOKUP("Total Assets",'Fin. Data'!A:A,'Fin. Data'!B:B,,0)</f>
        <v>0.76458716947779337</v>
      </c>
      <c r="F25" s="1166" t="str">
        <f>Segments!C9</f>
        <v>Europe</v>
      </c>
      <c r="G25" s="1167"/>
      <c r="H25" s="40">
        <f>Segments!B9</f>
        <v>8.9506172839506168E-2</v>
      </c>
      <c r="I25" s="1117" t="s">
        <v>42</v>
      </c>
      <c r="J25" s="1117"/>
      <c r="K25" s="118">
        <f>_xlfn.XLOOKUP(I25,'Fin. Data'!A:A,'Fin. Data'!B:B,,0)</f>
        <v>854</v>
      </c>
      <c r="L25" s="9" t="s">
        <v>43</v>
      </c>
      <c r="M25" s="460">
        <f>IFERROR(K31/E20,"")</f>
        <v>2.6201173553313202E-2</v>
      </c>
    </row>
    <row r="26" spans="2:13" ht="12.75" customHeight="1">
      <c r="B26" s="463" t="s">
        <v>44</v>
      </c>
      <c r="C26" s="121" t="s">
        <v>45</v>
      </c>
      <c r="D26" s="9" t="s">
        <v>46</v>
      </c>
      <c r="E26" s="365">
        <f>_xlfn.XLOOKUP(D26,'Fin. Data'!A:A,'Fin. Data'!B:B,,0)</f>
        <v>3.3173749723797601E-2</v>
      </c>
      <c r="F26" s="1181" t="s">
        <v>47</v>
      </c>
      <c r="G26" s="1182"/>
      <c r="H26" s="100" t="s">
        <v>21</v>
      </c>
      <c r="I26" s="1117" t="s">
        <v>48</v>
      </c>
      <c r="J26" s="1117"/>
      <c r="K26" s="66">
        <f>1000000*K25/C21</f>
        <v>0.52841956761171682</v>
      </c>
      <c r="L26" s="9" t="s">
        <v>49</v>
      </c>
      <c r="M26" s="459">
        <f>IFERROR(C22/K30,"")</f>
        <v>133.24068755622187</v>
      </c>
    </row>
    <row r="27" spans="2:13" ht="12.75" customHeight="1">
      <c r="B27" s="466" t="s">
        <v>50</v>
      </c>
      <c r="C27" s="122" t="s">
        <v>45</v>
      </c>
      <c r="D27" s="9" t="s">
        <v>51</v>
      </c>
      <c r="E27" s="119">
        <f>AVERAGE(_xlfn.XLOOKUP("EBITDA Margin",'Fin. Data'!A:A,'Fin. Data'!B:D,,0))</f>
        <v>0.21508694812794649</v>
      </c>
      <c r="F27" s="1166" t="str">
        <f>Segments!C19</f>
        <v>Data Center</v>
      </c>
      <c r="G27" s="1167"/>
      <c r="H27" s="14">
        <f>Segments!B19</f>
        <v>0.28641975308641976</v>
      </c>
      <c r="I27" s="1117" t="s">
        <v>52</v>
      </c>
      <c r="J27" s="1117"/>
      <c r="K27" s="67">
        <f>K25/E20</f>
        <v>1.2580098696324666E-2</v>
      </c>
      <c r="L27" s="9" t="s">
        <v>53</v>
      </c>
      <c r="M27" s="458">
        <f>IFERROR(C25/E20,"")</f>
        <v>3.4662999130883105</v>
      </c>
    </row>
    <row r="28" spans="2:13" ht="12.75" customHeight="1">
      <c r="B28" s="466" t="s">
        <v>54</v>
      </c>
      <c r="C28" s="15"/>
      <c r="D28" s="9" t="s">
        <v>55</v>
      </c>
      <c r="E28" s="119">
        <f>AVERAGE(_xlfn.XLOOKUP("Operating Margin",'Fin. Data'!A:A,'Fin. Data'!B:D,,0))</f>
        <v>9.7596902286917808E-2</v>
      </c>
      <c r="F28" s="1166" t="str">
        <f>Segments!C21</f>
        <v>Gaming</v>
      </c>
      <c r="G28" s="1167"/>
      <c r="H28" s="14">
        <f>Segments!B21</f>
        <v>0.27389770723104057</v>
      </c>
      <c r="I28" s="1117" t="s">
        <v>56</v>
      </c>
      <c r="J28" s="1117"/>
      <c r="K28" s="67">
        <f>Peers!C18</f>
        <v>1.2515762483628783E-2</v>
      </c>
      <c r="L28" s="9" t="s">
        <v>57</v>
      </c>
      <c r="M28" s="458">
        <f>IFERROR(C25/K29,"")</f>
        <v>53.041498895484253</v>
      </c>
    </row>
    <row r="29" spans="2:13" ht="15.75">
      <c r="B29" s="1157" t="s">
        <v>58</v>
      </c>
      <c r="C29" s="1158"/>
      <c r="D29" s="9" t="s">
        <v>59</v>
      </c>
      <c r="E29" s="119">
        <f>AVERAGE(_xlfn.XLOOKUP("Net Income Margin",'Fin. Data'!A:A,'Fin. Data'!B:D,,0))</f>
        <v>9.5330047351998973E-2</v>
      </c>
      <c r="F29" s="1166" t="str">
        <f>Segments!C22</f>
        <v>Embedded</v>
      </c>
      <c r="G29" s="1167"/>
      <c r="H29" s="14">
        <f>Segments!B22</f>
        <v>0.23461199294532628</v>
      </c>
      <c r="I29" s="1116" t="s">
        <v>60</v>
      </c>
      <c r="J29" s="1116"/>
      <c r="K29" s="728">
        <f>AVERAGE(_xlfn.XLOOKUP("EBITDA",'Fin. Data'!A:A,'Fin. Data'!B:D,,0))</f>
        <v>4436.333333333333</v>
      </c>
      <c r="L29" s="9" t="s">
        <v>61</v>
      </c>
      <c r="M29" s="459">
        <f>IFERROR(C22/K31,"")</f>
        <v>133.24068755622187</v>
      </c>
    </row>
    <row r="30" spans="2:13" ht="12.75" customHeight="1">
      <c r="B30" s="6" t="s">
        <v>62</v>
      </c>
      <c r="C30" s="513"/>
      <c r="D30" s="646"/>
      <c r="E30" s="127"/>
      <c r="F30" s="1166" t="str">
        <f>Segments!C20</f>
        <v>Client</v>
      </c>
      <c r="G30" s="1167"/>
      <c r="H30" s="14">
        <f>Segments!B20</f>
        <v>0.20507054673721339</v>
      </c>
      <c r="I30" s="1117" t="s">
        <v>63</v>
      </c>
      <c r="J30" s="1117"/>
      <c r="K30" s="118">
        <f>AVERAGE(_xlfn.XLOOKUP("Net Income",'Fin. Data'!A:A,'Fin. Data'!B:D,,0))</f>
        <v>1778.6666666666667</v>
      </c>
      <c r="L30" s="9" t="s">
        <v>64</v>
      </c>
      <c r="M30" s="457" t="s">
        <v>45</v>
      </c>
    </row>
    <row r="31" spans="2:13" ht="12.75" customHeight="1">
      <c r="B31" s="6" t="s">
        <v>65</v>
      </c>
      <c r="C31" s="514"/>
      <c r="D31" s="9" t="s">
        <v>66</v>
      </c>
      <c r="E31" s="507">
        <f>-_xlfn.XLOOKUP("Net Financial Cost",'Fin. Data'!A:A,'Fin. Data'!B:B,,0)/AVERAGE(_xlfn.XLOOKUP("Net Debt",'Fin. Data'!A:A,'Fin. Data'!B:D,,0))</f>
        <v>5.0864874122281217E-2</v>
      </c>
      <c r="F31" s="1166" t="e">
        <f>Segments!#REF!</f>
        <v>#REF!</v>
      </c>
      <c r="G31" s="1167"/>
      <c r="H31" s="14" t="e">
        <f>Segments!#REF!</f>
        <v>#REF!</v>
      </c>
      <c r="I31" s="1117" t="s">
        <v>67</v>
      </c>
      <c r="J31" s="1117"/>
      <c r="K31" s="118">
        <f>AVERAGE(_xlfn.XLOOKUP("Net Income",'Fin. Data'!A:A,'Fin. Data'!B:D,,0))</f>
        <v>1778.6666666666667</v>
      </c>
      <c r="L31" s="9" t="s">
        <v>68</v>
      </c>
      <c r="M31" s="456">
        <f>-IFERROR(SUM(E52:E54)/(3*C22),"")</f>
        <v>9.0706767622002228E-3</v>
      </c>
    </row>
    <row r="32" spans="2:13" ht="12.6" customHeight="1">
      <c r="B32" s="6" t="s">
        <v>69</v>
      </c>
      <c r="C32" s="514"/>
      <c r="D32" s="124"/>
      <c r="E32" s="126"/>
      <c r="F32" s="1164"/>
      <c r="G32" s="1165"/>
      <c r="H32" s="16"/>
      <c r="I32" s="124"/>
      <c r="J32" s="125"/>
      <c r="K32" s="125"/>
      <c r="L32" s="9" t="s">
        <v>70</v>
      </c>
      <c r="M32" s="455">
        <f>-IFERROR(L53/C22,"")</f>
        <v>0</v>
      </c>
    </row>
    <row r="33" spans="1:19" ht="18.75" thickBot="1">
      <c r="B33" s="1130" t="s">
        <v>71</v>
      </c>
      <c r="C33" s="1131"/>
      <c r="D33" s="1131"/>
      <c r="E33" s="1131"/>
      <c r="F33" s="1131"/>
      <c r="G33" s="1131"/>
      <c r="H33" s="1131"/>
      <c r="I33" s="1131"/>
      <c r="J33" s="1131"/>
      <c r="K33" s="1131"/>
      <c r="L33" s="1131"/>
      <c r="M33" s="1132"/>
    </row>
    <row r="34" spans="1:19" ht="16.5" thickBot="1">
      <c r="B34" s="1105" t="s">
        <v>72</v>
      </c>
      <c r="C34" s="1106"/>
      <c r="D34" s="1106"/>
      <c r="E34" s="1106"/>
      <c r="F34" s="1106"/>
      <c r="G34" s="1106"/>
      <c r="H34" s="515" t="s">
        <v>73</v>
      </c>
      <c r="I34" s="1118" t="s">
        <v>74</v>
      </c>
      <c r="J34" s="1119"/>
      <c r="K34" s="1119"/>
      <c r="L34" s="1119"/>
      <c r="M34" s="1120"/>
      <c r="N34" s="8"/>
    </row>
    <row r="35" spans="1:19" ht="13.35" customHeight="1" thickBot="1">
      <c r="A35" s="8"/>
      <c r="B35" s="516" t="s">
        <v>75</v>
      </c>
      <c r="C35" s="1127" t="s">
        <v>76</v>
      </c>
      <c r="D35" s="1128"/>
      <c r="E35" s="1128"/>
      <c r="F35" s="1128"/>
      <c r="G35" s="1129"/>
      <c r="H35" s="1168"/>
      <c r="I35" s="1194"/>
      <c r="J35" s="1195"/>
      <c r="K35" s="1195"/>
      <c r="L35" s="1195"/>
      <c r="M35" s="1196"/>
    </row>
    <row r="36" spans="1:19" ht="24.6" customHeight="1" thickBot="1">
      <c r="A36" s="8"/>
      <c r="B36" s="517"/>
      <c r="C36" s="1133"/>
      <c r="D36" s="1134"/>
      <c r="E36" s="1134"/>
      <c r="F36" s="1134"/>
      <c r="G36" s="1135"/>
      <c r="H36" s="1168"/>
      <c r="I36" s="1197"/>
      <c r="J36" s="1198"/>
      <c r="K36" s="1198"/>
      <c r="L36" s="1198"/>
      <c r="M36" s="1199"/>
    </row>
    <row r="37" spans="1:19" ht="24.6" customHeight="1" thickBot="1">
      <c r="A37" s="8"/>
      <c r="B37" s="517"/>
      <c r="C37" s="1133"/>
      <c r="D37" s="1134"/>
      <c r="E37" s="1134"/>
      <c r="F37" s="1134"/>
      <c r="G37" s="1135"/>
      <c r="H37" s="1168"/>
      <c r="I37" s="1197"/>
      <c r="J37" s="1198"/>
      <c r="K37" s="1198"/>
      <c r="L37" s="1198"/>
      <c r="M37" s="1199"/>
    </row>
    <row r="38" spans="1:19" ht="24.6" customHeight="1" thickBot="1">
      <c r="B38" s="518"/>
      <c r="C38" s="1170"/>
      <c r="D38" s="1171"/>
      <c r="E38" s="1171"/>
      <c r="F38" s="1171"/>
      <c r="G38" s="1172"/>
      <c r="H38" s="1169"/>
      <c r="I38" s="1200"/>
      <c r="J38" s="1201"/>
      <c r="K38" s="1201"/>
      <c r="L38" s="1201"/>
      <c r="M38" s="1202"/>
    </row>
    <row r="39" spans="1:19" ht="16.5" thickBot="1">
      <c r="B39" s="1121" t="s">
        <v>77</v>
      </c>
      <c r="C39" s="1122"/>
      <c r="D39" s="1122"/>
      <c r="E39" s="1122"/>
      <c r="F39" s="1122"/>
      <c r="G39" s="1123"/>
      <c r="H39" s="519" t="s">
        <v>78</v>
      </c>
      <c r="I39" s="1203" t="s">
        <v>79</v>
      </c>
      <c r="J39" s="1203"/>
      <c r="K39" s="1203"/>
      <c r="L39" s="1203"/>
      <c r="M39" s="1204"/>
    </row>
    <row r="40" spans="1:19" ht="13.35" customHeight="1" thickBot="1">
      <c r="B40" s="520" t="s">
        <v>80</v>
      </c>
      <c r="C40" s="1124" t="s">
        <v>76</v>
      </c>
      <c r="D40" s="1125"/>
      <c r="E40" s="1125"/>
      <c r="F40" s="1125"/>
      <c r="G40" s="1126"/>
      <c r="H40" s="1159" t="e">
        <f>DCF!D75</f>
        <v>#DIV/0!</v>
      </c>
      <c r="I40" s="1137" t="s">
        <v>81</v>
      </c>
      <c r="J40" s="1139">
        <f>DCF!F50</f>
        <v>0</v>
      </c>
      <c r="K40" s="1140"/>
      <c r="L40" s="1145" t="s">
        <v>82</v>
      </c>
      <c r="M40" s="1149" t="e">
        <f>SARD!AJ14</f>
        <v>#NUM!</v>
      </c>
    </row>
    <row r="41" spans="1:19" ht="13.35" customHeight="1" thickBot="1">
      <c r="B41" s="517"/>
      <c r="C41" s="1173"/>
      <c r="D41" s="1174"/>
      <c r="E41" s="1174"/>
      <c r="F41" s="1174"/>
      <c r="G41" s="1175"/>
      <c r="H41" s="1160"/>
      <c r="I41" s="1138"/>
      <c r="J41" s="1141"/>
      <c r="K41" s="1142"/>
      <c r="L41" s="1146"/>
      <c r="M41" s="1150"/>
    </row>
    <row r="42" spans="1:19" ht="13.35" customHeight="1" thickBot="1">
      <c r="B42" s="521"/>
      <c r="C42" s="1113"/>
      <c r="D42" s="1114"/>
      <c r="E42" s="1114"/>
      <c r="F42" s="1114"/>
      <c r="G42" s="1115"/>
      <c r="H42" s="1160"/>
      <c r="I42" s="1137" t="s">
        <v>83</v>
      </c>
      <c r="J42" s="1143" t="e">
        <f>DCF!D74</f>
        <v>#DIV/0!</v>
      </c>
      <c r="K42" s="1144"/>
      <c r="L42" s="1147" t="s">
        <v>84</v>
      </c>
      <c r="M42" s="1151" t="e">
        <f>SARD!AM14</f>
        <v>#NUM!</v>
      </c>
    </row>
    <row r="43" spans="1:19" ht="12.75" customHeight="1" thickBot="1">
      <c r="B43" s="522"/>
      <c r="C43" s="1110"/>
      <c r="D43" s="1111"/>
      <c r="E43" s="1111"/>
      <c r="F43" s="1111"/>
      <c r="G43" s="1112"/>
      <c r="H43" s="1161"/>
      <c r="I43" s="1138"/>
      <c r="J43" s="1141"/>
      <c r="K43" s="1142"/>
      <c r="L43" s="1148"/>
      <c r="M43" s="1150"/>
    </row>
    <row r="44" spans="1:19" ht="18">
      <c r="B44" s="1130" t="s">
        <v>85</v>
      </c>
      <c r="C44" s="1131"/>
      <c r="D44" s="1131"/>
      <c r="E44" s="1131"/>
      <c r="F44" s="1131"/>
      <c r="G44" s="1131"/>
      <c r="H44" s="1131"/>
      <c r="I44" s="1131"/>
      <c r="J44" s="1131"/>
      <c r="K44" s="1131"/>
      <c r="L44" s="1131"/>
      <c r="M44" s="1132"/>
    </row>
    <row r="45" spans="1:19">
      <c r="B45" s="647" t="s">
        <v>86</v>
      </c>
      <c r="C45" s="109" t="s">
        <v>87</v>
      </c>
      <c r="D45" s="109" t="s">
        <v>88</v>
      </c>
      <c r="E45" s="131" t="s">
        <v>89</v>
      </c>
      <c r="F45" s="109" t="s">
        <v>90</v>
      </c>
      <c r="G45" s="109" t="s">
        <v>46</v>
      </c>
      <c r="H45" s="130" t="s">
        <v>34</v>
      </c>
      <c r="I45" s="130" t="s">
        <v>91</v>
      </c>
      <c r="J45" s="1088" t="s">
        <v>92</v>
      </c>
      <c r="K45" s="1088"/>
      <c r="L45" s="1088"/>
      <c r="M45" s="1136"/>
    </row>
    <row r="46" spans="1:19">
      <c r="B46" s="648">
        <f t="shared" ref="B46:B52" si="0">B47-1</f>
        <v>2015</v>
      </c>
      <c r="C46" s="129" cm="1">
        <f t="array" ref="C46:C54">_xlfn.SORTBY(TRANSPOSE(_xlfn.XLOOKUP(C$45,'Fin. Data'!$A:$A,'Fin. Data'!$B:$J,,0)),$B$46:$B$54,-1)</f>
        <v>3991</v>
      </c>
      <c r="D46" s="102" cm="1">
        <f t="array" ref="D46:D54">_xlfn.SORTBY(TRANSPOSE(_xlfn.XLOOKUP(D$45,'Fin. Data'!$A:$A,'Fin. Data'!$B:$J,,0)),$B$46:$B$54,-1)</f>
        <v>-0.12052117263843648</v>
      </c>
      <c r="E46" s="129" cm="1">
        <f t="array" ref="E46:E54">_xlfn.SORTBY(TRANSPOSE(_xlfn.XLOOKUP(E$45,'Fin. Data'!$A:$A,'Fin. Data'!$B:$J,,0)),$B$46:$B$54,-1)</f>
        <v>0</v>
      </c>
      <c r="F46" s="128">
        <f>Inputs!J77</f>
        <v>-20</v>
      </c>
      <c r="G46" s="102" cm="1">
        <f t="array" ref="G46:G54">_xlfn.SORTBY(TRANSPOSE(_xlfn.XLOOKUP(G$45,'Fin. Data'!$A:$A,'Fin. Data'!$B:$J,,0)),$B$46:$B$54,-1)</f>
        <v>0.72535667963683526</v>
      </c>
      <c r="H46" s="129" cm="1">
        <f t="array" ref="H46:H54">_xlfn.SORTBY(TRANSPOSE(_xlfn.XLOOKUP(H$45,'Fin. Data'!$A:$A,'Fin. Data'!$B:$J,,0)),$B$46:$B$54,-1)</f>
        <v>167</v>
      </c>
      <c r="I46" s="129" cm="1">
        <f t="array" ref="I46:I54">_xlfn.SORTBY(TRANSPOSE(_xlfn.XLOOKUP(I$45,'Fin. Data'!$A:$A,'Fin. Data'!$B:$J,,0)),$B$46:$B$54,-1)</f>
        <v>147</v>
      </c>
      <c r="J46" s="396"/>
      <c r="K46" s="124"/>
      <c r="L46" s="103">
        <f>J20</f>
        <v>2023</v>
      </c>
      <c r="M46" s="398">
        <f>L46-1</f>
        <v>2022</v>
      </c>
    </row>
    <row r="47" spans="1:19">
      <c r="B47" s="648">
        <f t="shared" si="0"/>
        <v>2016</v>
      </c>
      <c r="C47" s="129">
        <v>4272</v>
      </c>
      <c r="D47" s="101">
        <v>-0.10299625468164794</v>
      </c>
      <c r="E47" s="129">
        <v>0</v>
      </c>
      <c r="F47" s="128">
        <f>Inputs!I77</f>
        <v>479</v>
      </c>
      <c r="G47" s="102">
        <v>0.43209876543209874</v>
      </c>
      <c r="H47" s="129">
        <v>133</v>
      </c>
      <c r="I47" s="129">
        <v>265</v>
      </c>
      <c r="J47" s="1205" t="s">
        <v>42</v>
      </c>
      <c r="K47" s="1206"/>
      <c r="L47" s="50">
        <f>_xlfn.XLOOKUP($J47,'Fin. Data'!$A:$A,'Fin. Data'!B:B,,0)</f>
        <v>854</v>
      </c>
      <c r="M47" s="454">
        <f>_xlfn.XLOOKUP($J47,'Fin. Data'!$A:$A,'Fin. Data'!C:C,,0)</f>
        <v>1320</v>
      </c>
      <c r="N47" s="19">
        <f t="shared" ref="N47:N55" si="1">(C47/C46)-1</f>
        <v>7.0408418942620843E-2</v>
      </c>
      <c r="O47" s="19">
        <f t="shared" ref="O47:O55" si="2">(D47/D46)-1</f>
        <v>-0.1454094543982184</v>
      </c>
      <c r="P47" s="18"/>
      <c r="Q47" s="17"/>
      <c r="R47" s="17"/>
      <c r="S47" s="17"/>
    </row>
    <row r="48" spans="1:19">
      <c r="B48" s="648">
        <f t="shared" si="0"/>
        <v>2017</v>
      </c>
      <c r="C48" s="129">
        <v>5253</v>
      </c>
      <c r="D48" s="101">
        <v>2.1892252046449647E-2</v>
      </c>
      <c r="E48" s="129">
        <v>0</v>
      </c>
      <c r="F48" s="128">
        <f>Inputs!H77</f>
        <v>-75</v>
      </c>
      <c r="G48" s="102">
        <v>0.39273648648648651</v>
      </c>
      <c r="H48" s="129">
        <v>144</v>
      </c>
      <c r="I48" s="129">
        <v>-112</v>
      </c>
      <c r="J48" s="1205" t="s">
        <v>93</v>
      </c>
      <c r="K48" s="1206"/>
      <c r="L48" s="50">
        <f>_xlfn.XLOOKUP($J48,'Fin. Data'!$A:$A,'Fin. Data'!B:B,,0)</f>
        <v>1667</v>
      </c>
      <c r="M48" s="454">
        <f>_xlfn.XLOOKUP($J48,'Fin. Data'!$A:$A,'Fin. Data'!C:C,,0)</f>
        <v>3565</v>
      </c>
      <c r="N48" s="19">
        <f t="shared" si="1"/>
        <v>0.2296348314606742</v>
      </c>
      <c r="O48" s="19">
        <f t="shared" si="2"/>
        <v>-1.2125538653237111</v>
      </c>
      <c r="P48" s="18"/>
      <c r="Q48" s="17">
        <f t="shared" ref="Q48:Q54" si="3">F48/F47-1</f>
        <v>-1.1565762004175366</v>
      </c>
      <c r="R48" s="17">
        <f t="shared" ref="R48:S54" si="4">H48/H47-1</f>
        <v>8.2706766917293173E-2</v>
      </c>
      <c r="S48" s="17">
        <f t="shared" si="4"/>
        <v>-1.4226415094339622</v>
      </c>
    </row>
    <row r="49" spans="2:19">
      <c r="B49" s="648">
        <f t="shared" si="0"/>
        <v>2018</v>
      </c>
      <c r="C49" s="129">
        <v>6475</v>
      </c>
      <c r="D49" s="101">
        <v>6.7799227799227799E-2</v>
      </c>
      <c r="E49" s="129">
        <v>0</v>
      </c>
      <c r="F49" s="128">
        <f>Inputs!G77</f>
        <v>-108</v>
      </c>
      <c r="G49" s="102">
        <v>0.27436347673397715</v>
      </c>
      <c r="H49" s="129">
        <v>170</v>
      </c>
      <c r="I49" s="129">
        <v>-241</v>
      </c>
      <c r="J49" s="1205" t="s">
        <v>94</v>
      </c>
      <c r="K49" s="1206"/>
      <c r="L49" s="50">
        <f>_xlfn.XLOOKUP($J49,'Fin. Data'!$A:$A,'Fin. Data'!B:B,,0)</f>
        <v>-1423</v>
      </c>
      <c r="M49" s="454">
        <f>_xlfn.XLOOKUP($J49,'Fin. Data'!$A:$A,'Fin. Data'!C:C,,0)</f>
        <v>1999</v>
      </c>
      <c r="N49" s="19">
        <f t="shared" si="1"/>
        <v>0.23262897391966497</v>
      </c>
      <c r="O49" s="19">
        <f t="shared" si="2"/>
        <v>2.0969508141682054</v>
      </c>
      <c r="P49" s="18"/>
      <c r="Q49" s="17">
        <f t="shared" si="3"/>
        <v>0.43999999999999995</v>
      </c>
      <c r="R49" s="17">
        <f t="shared" si="4"/>
        <v>0.18055555555555558</v>
      </c>
      <c r="S49" s="17">
        <f t="shared" si="4"/>
        <v>1.1517857142857144</v>
      </c>
    </row>
    <row r="50" spans="2:19">
      <c r="B50" s="648">
        <f t="shared" si="0"/>
        <v>2019</v>
      </c>
      <c r="C50" s="129">
        <v>6731</v>
      </c>
      <c r="D50" s="101">
        <v>6.7597682365176048E-2</v>
      </c>
      <c r="E50" s="129">
        <v>0</v>
      </c>
      <c r="F50" s="128">
        <f>Inputs!F77</f>
        <v>387</v>
      </c>
      <c r="G50" s="102">
        <v>0.11363636363636363</v>
      </c>
      <c r="H50" s="129">
        <v>222</v>
      </c>
      <c r="I50" s="129">
        <v>-176</v>
      </c>
      <c r="J50" s="1207" t="s">
        <v>95</v>
      </c>
      <c r="K50" s="1208"/>
      <c r="L50" s="50">
        <f>_xlfn.XLOOKUP($J50,'Fin. Data'!$A:$A,'Fin. Data'!B:B,,0)</f>
        <v>-546</v>
      </c>
      <c r="M50" s="454">
        <f>_xlfn.XLOOKUP($J50,'Fin. Data'!$A:$A,'Fin. Data'!C:C,,0)</f>
        <v>-450</v>
      </c>
      <c r="N50" s="19">
        <f t="shared" si="1"/>
        <v>3.9536679536679609E-2</v>
      </c>
      <c r="O50" s="19">
        <f t="shared" si="2"/>
        <v>-2.9726803769591914E-3</v>
      </c>
      <c r="P50" s="18"/>
      <c r="Q50" s="17">
        <f t="shared" si="3"/>
        <v>-4.5833333333333339</v>
      </c>
      <c r="R50" s="17">
        <f t="shared" si="4"/>
        <v>0.30588235294117649</v>
      </c>
      <c r="S50" s="17">
        <f t="shared" si="4"/>
        <v>-0.26970954356846477</v>
      </c>
    </row>
    <row r="51" spans="2:19">
      <c r="B51" s="648">
        <f t="shared" si="0"/>
        <v>2020</v>
      </c>
      <c r="C51" s="129">
        <v>9763</v>
      </c>
      <c r="D51" s="101">
        <v>0.13469220526477518</v>
      </c>
      <c r="E51" s="129">
        <v>0</v>
      </c>
      <c r="F51" s="128">
        <f>Inputs!E77</f>
        <v>125</v>
      </c>
      <c r="G51" s="102">
        <v>5.925016737335416E-2</v>
      </c>
      <c r="H51" s="129">
        <v>312</v>
      </c>
      <c r="I51" s="129">
        <v>-952</v>
      </c>
      <c r="J51" s="1207" t="s">
        <v>96</v>
      </c>
      <c r="K51" s="1208"/>
      <c r="L51" s="50">
        <f>_xlfn.XLOOKUP($J51,'Fin. Data'!$A:$A,'Fin. Data'!B:B,,0)</f>
        <v>-866</v>
      </c>
      <c r="M51" s="454">
        <f>_xlfn.XLOOKUP($J51,'Fin. Data'!$A:$A,'Fin. Data'!C:C,,0)</f>
        <v>2465</v>
      </c>
      <c r="N51" s="19">
        <f t="shared" si="1"/>
        <v>0.45045312732134901</v>
      </c>
      <c r="O51" s="19">
        <f t="shared" si="2"/>
        <v>0.99255655744439952</v>
      </c>
      <c r="P51" s="18"/>
      <c r="Q51" s="17">
        <f t="shared" si="3"/>
        <v>-0.67700258397932811</v>
      </c>
      <c r="R51" s="17">
        <f t="shared" si="4"/>
        <v>0.40540540540540548</v>
      </c>
      <c r="S51" s="17">
        <f t="shared" si="4"/>
        <v>4.4090909090909092</v>
      </c>
    </row>
    <row r="52" spans="2:19">
      <c r="B52" s="648">
        <f t="shared" si="0"/>
        <v>2021</v>
      </c>
      <c r="C52" s="129">
        <v>16434</v>
      </c>
      <c r="D52" s="101">
        <v>0.22155287817938421</v>
      </c>
      <c r="E52" s="129">
        <v>-1762</v>
      </c>
      <c r="F52" s="128">
        <f>Inputs!D77</f>
        <v>940</v>
      </c>
      <c r="G52" s="102">
        <v>2.81021016184878E-2</v>
      </c>
      <c r="H52" s="129">
        <v>407</v>
      </c>
      <c r="I52" s="129">
        <v>-679</v>
      </c>
      <c r="J52" s="1205" t="s">
        <v>97</v>
      </c>
      <c r="K52" s="1206"/>
      <c r="L52" s="50">
        <f>_xlfn.XLOOKUP($J52,'Fin. Data'!$A:$A,'Fin. Data'!B:B,,0)</f>
        <v>-1146</v>
      </c>
      <c r="M52" s="454">
        <f>_xlfn.XLOOKUP($J52,'Fin. Data'!$A:$A,'Fin. Data'!C:C,,0)</f>
        <v>-3264</v>
      </c>
      <c r="N52" s="19">
        <f t="shared" si="1"/>
        <v>0.68329406944586712</v>
      </c>
      <c r="O52" s="19">
        <f t="shared" si="2"/>
        <v>0.64488269936526832</v>
      </c>
      <c r="P52" s="18"/>
      <c r="Q52" s="17">
        <f t="shared" si="3"/>
        <v>6.52</v>
      </c>
      <c r="R52" s="17">
        <f t="shared" si="4"/>
        <v>0.30448717948717952</v>
      </c>
      <c r="S52" s="17">
        <f t="shared" si="4"/>
        <v>-0.28676470588235292</v>
      </c>
    </row>
    <row r="53" spans="2:19">
      <c r="B53" s="648">
        <f>B54-1</f>
        <v>2022</v>
      </c>
      <c r="C53" s="129">
        <v>23601</v>
      </c>
      <c r="D53" s="101">
        <v>5.3557052667259859E-2</v>
      </c>
      <c r="E53" s="129">
        <v>-3702</v>
      </c>
      <c r="F53" s="128">
        <f>Inputs!C$77</f>
        <v>2300</v>
      </c>
      <c r="G53" s="102">
        <v>4.2364604912696065E-2</v>
      </c>
      <c r="H53" s="129">
        <v>4174</v>
      </c>
      <c r="I53" s="129">
        <v>2015</v>
      </c>
      <c r="J53" s="1207" t="s">
        <v>98</v>
      </c>
      <c r="K53" s="1208"/>
      <c r="L53" s="50">
        <f>_xlfn.XLOOKUP($J53,'Fin. Data'!$A:$A,'Fin. Data'!B:B,,0)</f>
        <v>0</v>
      </c>
      <c r="M53" s="454">
        <f>_xlfn.XLOOKUP($J53,'Fin. Data'!$A:$A,'Fin. Data'!C:C,,0)</f>
        <v>0</v>
      </c>
      <c r="N53" s="19">
        <f t="shared" si="1"/>
        <v>0.43610806863818907</v>
      </c>
      <c r="O53" s="19">
        <f t="shared" si="2"/>
        <v>-0.75826514596711103</v>
      </c>
      <c r="P53" s="18"/>
      <c r="Q53" s="17">
        <f t="shared" si="3"/>
        <v>1.4468085106382977</v>
      </c>
      <c r="R53" s="17">
        <f t="shared" si="4"/>
        <v>9.2555282555282563</v>
      </c>
      <c r="S53" s="17">
        <f t="shared" si="4"/>
        <v>-3.9675994108983801</v>
      </c>
    </row>
    <row r="54" spans="2:19">
      <c r="B54" s="648">
        <f>J20</f>
        <v>2023</v>
      </c>
      <c r="C54" s="129">
        <v>22680</v>
      </c>
      <c r="D54" s="101">
        <v>1.7680776014109348E-2</v>
      </c>
      <c r="E54" s="129">
        <v>-985</v>
      </c>
      <c r="F54" s="128">
        <f>Inputs!B77</f>
        <v>-902</v>
      </c>
      <c r="G54" s="102">
        <v>3.3173749723797601E-2</v>
      </c>
      <c r="H54" s="129">
        <v>3453</v>
      </c>
      <c r="I54" s="129">
        <v>-1412</v>
      </c>
      <c r="J54" s="1207" t="s">
        <v>99</v>
      </c>
      <c r="K54" s="1208"/>
      <c r="L54" s="50">
        <f>_xlfn.XLOOKUP($J54,'Fin. Data'!$A:$A,'Fin. Data'!B:B,,0)</f>
        <v>-985</v>
      </c>
      <c r="M54" s="454">
        <f>_xlfn.XLOOKUP($J54,'Fin. Data'!$A:$A,'Fin. Data'!C:C,,0)</f>
        <v>-3702</v>
      </c>
      <c r="N54" s="19">
        <f t="shared" si="1"/>
        <v>-3.9023770179229644E-2</v>
      </c>
      <c r="O54" s="19">
        <f t="shared" si="2"/>
        <v>-0.66987025735047889</v>
      </c>
      <c r="P54" s="18"/>
      <c r="Q54" s="17">
        <f t="shared" si="3"/>
        <v>-1.3921739130434783</v>
      </c>
      <c r="R54" s="17">
        <f t="shared" si="4"/>
        <v>-0.17273598466698614</v>
      </c>
      <c r="S54" s="17">
        <f t="shared" si="4"/>
        <v>-1.7007444168734491</v>
      </c>
    </row>
    <row r="55" spans="2:19">
      <c r="B55" s="649" t="s">
        <v>100</v>
      </c>
      <c r="C55" s="104">
        <f>IFERROR((C54/C46)^(1/8)-1,"")</f>
        <v>0.24256800091675901</v>
      </c>
      <c r="D55" s="104" t="str">
        <f>IFERROR((D54/D46)^(1/8)-1,"")</f>
        <v/>
      </c>
      <c r="E55" s="123"/>
      <c r="F55" s="104">
        <f>IFERROR((F54/F46)^(1/8)-1,"")</f>
        <v>0.60980053628255515</v>
      </c>
      <c r="G55" s="123"/>
      <c r="H55" s="104">
        <f>IFERROR((H54/H46)^(1/8)-1,"")</f>
        <v>0.46027622148232017</v>
      </c>
      <c r="I55" s="123"/>
      <c r="J55" s="1205" t="s">
        <v>101</v>
      </c>
      <c r="K55" s="1206"/>
      <c r="L55" s="50">
        <f>_xlfn.XLOOKUP($J55,'Fin. Data'!$A:$A,'Fin. Data'!B:B,,0)</f>
        <v>0</v>
      </c>
      <c r="M55" s="454">
        <f>_xlfn.XLOOKUP($J55,'Fin. Data'!$A:$A,'Fin. Data'!C:C,,0)</f>
        <v>0</v>
      </c>
      <c r="N55" s="19">
        <f t="shared" si="1"/>
        <v>-0.99998930476186432</v>
      </c>
      <c r="O55" s="19" t="e">
        <f t="shared" si="2"/>
        <v>#VALUE!</v>
      </c>
      <c r="P55" s="18"/>
      <c r="Q55" s="17"/>
      <c r="R55" s="17"/>
      <c r="S55" s="17"/>
    </row>
    <row r="56" spans="2:19">
      <c r="B56" s="649" t="s">
        <v>102</v>
      </c>
      <c r="C56" s="104">
        <f>IFERROR(AVERAGE(N47:N54),"")</f>
        <v>0.26288004988572694</v>
      </c>
      <c r="D56" s="104">
        <f>IFERROR(AVERAGE(O47:O54),"")</f>
        <v>0.11816483344517428</v>
      </c>
      <c r="E56" s="123"/>
      <c r="F56" s="104">
        <f>IFERROR(AVERAGE(Q47:Q54),"")</f>
        <v>8.53889256949458E-2</v>
      </c>
      <c r="G56" s="123"/>
      <c r="H56" s="104">
        <f>IFERROR(AVERAGE(S47:S54),"")</f>
        <v>-0.29808328046856936</v>
      </c>
      <c r="I56" s="123"/>
      <c r="J56" s="1209" t="s">
        <v>103</v>
      </c>
      <c r="K56" s="1210"/>
      <c r="L56" s="132">
        <f>L48-L49+L52-L53-L54</f>
        <v>2929</v>
      </c>
      <c r="M56" s="399">
        <f>M48-M49+M52-M53-M54</f>
        <v>2004</v>
      </c>
    </row>
    <row r="57" spans="2:19">
      <c r="B57" s="649" t="s">
        <v>104</v>
      </c>
      <c r="C57" s="104">
        <f>IFERROR(STDEV(C47:C54)/AVERAGE(C47:C54),"")</f>
        <v>0.66372217606019956</v>
      </c>
      <c r="D57" s="104">
        <f>IFERROR(STDEV(D46:D54)/AVERAGE(D46:D54),"")</f>
        <v>2.6525091232497222</v>
      </c>
      <c r="E57" s="123"/>
      <c r="F57" s="104">
        <f>IFERROR(STDEV(F46:F54)/AVERAGE(F46:F54),"")</f>
        <v>2.5577588318547604</v>
      </c>
      <c r="G57" s="123"/>
      <c r="H57" s="104">
        <f>IFERROR(STDEV(H46:H54)/AVERAGE(H46:H54),"")</f>
        <v>1.5646555095859058</v>
      </c>
      <c r="I57" s="123"/>
      <c r="J57" s="1211" t="s">
        <v>105</v>
      </c>
      <c r="K57" s="1212"/>
      <c r="L57" s="394">
        <f>IFERROR(SUM(I51:I54)/(C54-C50),"")</f>
        <v>-6.4455451752460965E-2</v>
      </c>
      <c r="M57" s="453">
        <f>IFERROR((SUM(I51:I54)-SUM(H51:H54))/(C54-C50),"")</f>
        <v>-0.58774844817856919</v>
      </c>
    </row>
    <row r="58" spans="2:19">
      <c r="B58" s="649" t="s">
        <v>106</v>
      </c>
      <c r="C58" s="104">
        <f>IFERROR(C54/C53-1,"")</f>
        <v>-3.9023770179229644E-2</v>
      </c>
      <c r="D58" s="104">
        <f>IFERROR(D54/D53-1,"")</f>
        <v>-0.66987025735047889</v>
      </c>
      <c r="E58" s="123"/>
      <c r="F58" s="104">
        <f>IFERROR(1-(F54/F53),"")</f>
        <v>1.3921739130434783</v>
      </c>
      <c r="G58" s="123"/>
      <c r="H58" s="104">
        <f>IFERROR(1-(H54/H53),"")</f>
        <v>0.17273598466698614</v>
      </c>
      <c r="I58" s="123"/>
      <c r="J58" s="1213" t="s">
        <v>107</v>
      </c>
      <c r="K58" s="1214"/>
      <c r="L58" s="395">
        <f>IFERROR(L57/E27,"")</f>
        <v>-0.29967160868412634</v>
      </c>
      <c r="M58" s="400">
        <f>IFERROR(M57/E27,"")</f>
        <v>-2.7326086184873546</v>
      </c>
    </row>
    <row r="59" spans="2:19" ht="18">
      <c r="B59" s="1130" t="s">
        <v>108</v>
      </c>
      <c r="C59" s="1131"/>
      <c r="D59" s="1131"/>
      <c r="E59" s="1131"/>
      <c r="F59" s="1131"/>
      <c r="G59" s="1131"/>
      <c r="H59" s="1131"/>
      <c r="I59" s="1131"/>
      <c r="J59" s="1131"/>
      <c r="K59" s="1131"/>
      <c r="L59" s="1131"/>
      <c r="M59" s="1132"/>
    </row>
    <row r="60" spans="2:19" ht="15.75">
      <c r="B60" s="1104" t="s">
        <v>109</v>
      </c>
      <c r="C60" s="1069"/>
      <c r="D60" s="1069"/>
      <c r="E60" s="1069"/>
      <c r="F60" s="1069"/>
      <c r="G60" s="1069"/>
      <c r="H60" s="1069"/>
      <c r="I60" s="1069"/>
      <c r="J60" s="1069" t="s">
        <v>110</v>
      </c>
      <c r="K60" s="1069"/>
      <c r="L60" s="1069"/>
      <c r="M60" s="1070"/>
    </row>
    <row r="61" spans="2:19">
      <c r="B61" s="1215" t="s">
        <v>111</v>
      </c>
      <c r="C61" s="1088"/>
      <c r="D61" s="1088"/>
      <c r="E61" s="1088" t="s">
        <v>112</v>
      </c>
      <c r="F61" s="1088"/>
      <c r="G61" s="1088"/>
      <c r="H61" s="1088"/>
      <c r="I61" s="1088"/>
      <c r="J61" s="1088" t="s">
        <v>5</v>
      </c>
      <c r="K61" s="1088"/>
      <c r="L61" s="1088"/>
      <c r="M61" s="397" t="s">
        <v>113</v>
      </c>
    </row>
    <row r="62" spans="2:19" ht="15" customHeight="1">
      <c r="B62" s="1089"/>
      <c r="C62" s="1080"/>
      <c r="D62" s="1081"/>
      <c r="E62" s="1071"/>
      <c r="F62" s="1080"/>
      <c r="G62" s="1080"/>
      <c r="H62" s="1080"/>
      <c r="I62" s="1081"/>
      <c r="J62" s="1092"/>
      <c r="K62" s="1093"/>
      <c r="L62" s="1093"/>
      <c r="M62" s="401"/>
    </row>
    <row r="63" spans="2:19" ht="15" customHeight="1">
      <c r="B63" s="1216"/>
      <c r="C63" s="1083"/>
      <c r="D63" s="1084"/>
      <c r="E63" s="1082"/>
      <c r="F63" s="1083"/>
      <c r="G63" s="1083"/>
      <c r="H63" s="1083"/>
      <c r="I63" s="1084"/>
      <c r="J63" s="1092"/>
      <c r="K63" s="1093"/>
      <c r="L63" s="1093"/>
      <c r="M63" s="401"/>
    </row>
    <row r="64" spans="2:19" ht="15" customHeight="1">
      <c r="B64" s="1216"/>
      <c r="C64" s="1083"/>
      <c r="D64" s="1084"/>
      <c r="E64" s="1082"/>
      <c r="F64" s="1083"/>
      <c r="G64" s="1083"/>
      <c r="H64" s="1083"/>
      <c r="I64" s="1084"/>
      <c r="J64" s="1092"/>
      <c r="K64" s="1093"/>
      <c r="L64" s="1093"/>
      <c r="M64" s="401"/>
    </row>
    <row r="65" spans="2:13" ht="15" customHeight="1">
      <c r="B65" s="1216"/>
      <c r="C65" s="1083"/>
      <c r="D65" s="1084"/>
      <c r="E65" s="1082"/>
      <c r="F65" s="1083"/>
      <c r="G65" s="1083"/>
      <c r="H65" s="1083"/>
      <c r="I65" s="1084"/>
      <c r="J65" s="1092"/>
      <c r="K65" s="1093"/>
      <c r="L65" s="1093"/>
      <c r="M65" s="401"/>
    </row>
    <row r="66" spans="2:13">
      <c r="B66" s="1216"/>
      <c r="C66" s="1083"/>
      <c r="D66" s="1084"/>
      <c r="E66" s="1082"/>
      <c r="F66" s="1083"/>
      <c r="G66" s="1083"/>
      <c r="H66" s="1083"/>
      <c r="I66" s="1084"/>
      <c r="J66" s="1092"/>
      <c r="K66" s="1093"/>
      <c r="L66" s="1093"/>
      <c r="M66" s="401"/>
    </row>
    <row r="67" spans="2:13">
      <c r="B67" s="1216"/>
      <c r="C67" s="1083"/>
      <c r="D67" s="1084"/>
      <c r="E67" s="1082"/>
      <c r="F67" s="1083"/>
      <c r="G67" s="1083"/>
      <c r="H67" s="1083"/>
      <c r="I67" s="1084"/>
      <c r="J67" s="1092"/>
      <c r="K67" s="1093"/>
      <c r="L67" s="1093"/>
      <c r="M67" s="401"/>
    </row>
    <row r="68" spans="2:13">
      <c r="B68" s="1216"/>
      <c r="C68" s="1083"/>
      <c r="D68" s="1084"/>
      <c r="E68" s="1082"/>
      <c r="F68" s="1083"/>
      <c r="G68" s="1083"/>
      <c r="H68" s="1083"/>
      <c r="I68" s="1084"/>
      <c r="J68" s="1092"/>
      <c r="K68" s="1093"/>
      <c r="L68" s="1093"/>
      <c r="M68" s="401"/>
    </row>
    <row r="69" spans="2:13">
      <c r="B69" s="1216"/>
      <c r="C69" s="1083"/>
      <c r="D69" s="1084"/>
      <c r="E69" s="1082"/>
      <c r="F69" s="1083"/>
      <c r="G69" s="1083"/>
      <c r="H69" s="1083"/>
      <c r="I69" s="1084"/>
      <c r="J69" s="1092"/>
      <c r="K69" s="1093"/>
      <c r="L69" s="1093"/>
      <c r="M69" s="401"/>
    </row>
    <row r="70" spans="2:13">
      <c r="B70" s="1216"/>
      <c r="C70" s="1083"/>
      <c r="D70" s="1084"/>
      <c r="E70" s="1082"/>
      <c r="F70" s="1083"/>
      <c r="G70" s="1083"/>
      <c r="H70" s="1083"/>
      <c r="I70" s="1084"/>
      <c r="J70" s="1092"/>
      <c r="K70" s="1093"/>
      <c r="L70" s="1093"/>
      <c r="M70" s="401"/>
    </row>
    <row r="71" spans="2:13">
      <c r="B71" s="1217"/>
      <c r="C71" s="1086"/>
      <c r="D71" s="1087"/>
      <c r="E71" s="1085"/>
      <c r="F71" s="1086"/>
      <c r="G71" s="1086"/>
      <c r="H71" s="1086"/>
      <c r="I71" s="1087"/>
      <c r="J71" s="1092"/>
      <c r="K71" s="1093"/>
      <c r="L71" s="1093"/>
      <c r="M71" s="401"/>
    </row>
    <row r="72" spans="2:13">
      <c r="B72" s="1215" t="s">
        <v>114</v>
      </c>
      <c r="C72" s="1088"/>
      <c r="D72" s="1088"/>
      <c r="E72" s="1088" t="s">
        <v>115</v>
      </c>
      <c r="F72" s="1088"/>
      <c r="G72" s="1088"/>
      <c r="H72" s="1088"/>
      <c r="I72" s="1088"/>
      <c r="J72" s="1092"/>
      <c r="K72" s="1093"/>
      <c r="L72" s="1093"/>
      <c r="M72" s="401"/>
    </row>
    <row r="73" spans="2:13" ht="15" customHeight="1">
      <c r="B73" s="1089"/>
      <c r="C73" s="1072"/>
      <c r="D73" s="1073"/>
      <c r="E73" s="1071"/>
      <c r="F73" s="1072"/>
      <c r="G73" s="1072"/>
      <c r="H73" s="1072"/>
      <c r="I73" s="1073"/>
      <c r="J73" s="1092"/>
      <c r="K73" s="1093"/>
      <c r="L73" s="1093"/>
      <c r="M73" s="401"/>
    </row>
    <row r="74" spans="2:13" ht="15" customHeight="1">
      <c r="B74" s="1090"/>
      <c r="C74" s="1075"/>
      <c r="D74" s="1076"/>
      <c r="E74" s="1074"/>
      <c r="F74" s="1075"/>
      <c r="G74" s="1075"/>
      <c r="H74" s="1075"/>
      <c r="I74" s="1076"/>
      <c r="J74" s="1092"/>
      <c r="K74" s="1093"/>
      <c r="L74" s="1093"/>
      <c r="M74" s="401"/>
    </row>
    <row r="75" spans="2:13" ht="15" customHeight="1">
      <c r="B75" s="1090"/>
      <c r="C75" s="1075"/>
      <c r="D75" s="1076"/>
      <c r="E75" s="1074"/>
      <c r="F75" s="1075"/>
      <c r="G75" s="1075"/>
      <c r="H75" s="1075"/>
      <c r="I75" s="1076"/>
      <c r="J75" s="1092"/>
      <c r="K75" s="1093"/>
      <c r="L75" s="1093"/>
      <c r="M75" s="401"/>
    </row>
    <row r="76" spans="2:13" ht="15" customHeight="1">
      <c r="B76" s="1090"/>
      <c r="C76" s="1075"/>
      <c r="D76" s="1076"/>
      <c r="E76" s="1074"/>
      <c r="F76" s="1075"/>
      <c r="G76" s="1075"/>
      <c r="H76" s="1075"/>
      <c r="I76" s="1076"/>
      <c r="J76" s="1092"/>
      <c r="K76" s="1093"/>
      <c r="L76" s="1093"/>
      <c r="M76" s="401"/>
    </row>
    <row r="77" spans="2:13">
      <c r="B77" s="1090"/>
      <c r="C77" s="1075"/>
      <c r="D77" s="1076"/>
      <c r="E77" s="1074"/>
      <c r="F77" s="1075"/>
      <c r="G77" s="1075"/>
      <c r="H77" s="1075"/>
      <c r="I77" s="1076"/>
      <c r="J77" s="1092"/>
      <c r="K77" s="1093"/>
      <c r="L77" s="1093"/>
      <c r="M77" s="401"/>
    </row>
    <row r="78" spans="2:13">
      <c r="B78" s="1090"/>
      <c r="C78" s="1075"/>
      <c r="D78" s="1076"/>
      <c r="E78" s="1074"/>
      <c r="F78" s="1075"/>
      <c r="G78" s="1075"/>
      <c r="H78" s="1075"/>
      <c r="I78" s="1076"/>
      <c r="J78" s="1092"/>
      <c r="K78" s="1093"/>
      <c r="L78" s="1093"/>
      <c r="M78" s="401"/>
    </row>
    <row r="79" spans="2:13">
      <c r="B79" s="1090"/>
      <c r="C79" s="1075"/>
      <c r="D79" s="1076"/>
      <c r="E79" s="1074"/>
      <c r="F79" s="1075"/>
      <c r="G79" s="1075"/>
      <c r="H79" s="1075"/>
      <c r="I79" s="1076"/>
      <c r="J79" s="1092"/>
      <c r="K79" s="1093"/>
      <c r="L79" s="1093"/>
      <c r="M79" s="401"/>
    </row>
    <row r="80" spans="2:13">
      <c r="B80" s="1090"/>
      <c r="C80" s="1075"/>
      <c r="D80" s="1076"/>
      <c r="E80" s="1074"/>
      <c r="F80" s="1075"/>
      <c r="G80" s="1075"/>
      <c r="H80" s="1075"/>
      <c r="I80" s="1076"/>
      <c r="J80" s="1094"/>
      <c r="K80" s="1095"/>
      <c r="L80" s="1095"/>
      <c r="M80" s="401"/>
    </row>
    <row r="81" spans="2:13">
      <c r="B81" s="1091"/>
      <c r="C81" s="1078"/>
      <c r="D81" s="1079"/>
      <c r="E81" s="1077"/>
      <c r="F81" s="1078"/>
      <c r="G81" s="1078"/>
      <c r="H81" s="1078"/>
      <c r="I81" s="1079"/>
      <c r="J81" s="1094"/>
      <c r="K81" s="1095"/>
      <c r="L81" s="1095"/>
      <c r="M81" s="401"/>
    </row>
    <row r="82" spans="2:13" ht="15.75">
      <c r="B82" s="1192" t="s">
        <v>116</v>
      </c>
      <c r="C82" s="1193"/>
      <c r="D82" s="1193"/>
      <c r="E82" s="1193"/>
      <c r="F82" s="1193"/>
      <c r="G82" s="1069" t="s">
        <v>117</v>
      </c>
      <c r="H82" s="1069"/>
      <c r="I82" s="1069"/>
      <c r="J82" s="1069"/>
      <c r="K82" s="1069"/>
      <c r="L82" s="1069"/>
      <c r="M82" s="1070"/>
    </row>
    <row r="83" spans="2:13" s="8" customFormat="1">
      <c r="B83" s="1455"/>
      <c r="C83" s="1096"/>
      <c r="D83" s="1096"/>
      <c r="E83" s="1096"/>
      <c r="F83" s="1097"/>
      <c r="G83"/>
      <c r="H83"/>
      <c r="I83"/>
      <c r="J83"/>
      <c r="K83"/>
      <c r="L83"/>
      <c r="M83" s="47"/>
    </row>
    <row r="84" spans="2:13">
      <c r="B84" s="1098"/>
      <c r="C84" s="1099"/>
      <c r="D84" s="1099"/>
      <c r="E84" s="1099"/>
      <c r="F84" s="1100"/>
      <c r="M84" s="47"/>
    </row>
    <row r="85" spans="2:13">
      <c r="B85" s="1098"/>
      <c r="C85" s="1099"/>
      <c r="D85" s="1099"/>
      <c r="E85" s="1099"/>
      <c r="F85" s="1100"/>
      <c r="M85" s="47"/>
    </row>
    <row r="86" spans="2:13">
      <c r="B86" s="1098"/>
      <c r="C86" s="1099"/>
      <c r="D86" s="1099"/>
      <c r="E86" s="1099"/>
      <c r="F86" s="1100"/>
      <c r="M86" s="47"/>
    </row>
    <row r="87" spans="2:13">
      <c r="B87" s="1098"/>
      <c r="C87" s="1099"/>
      <c r="D87" s="1099"/>
      <c r="E87" s="1099"/>
      <c r="F87" s="1100"/>
      <c r="M87" s="47"/>
    </row>
    <row r="88" spans="2:13">
      <c r="B88" s="1098"/>
      <c r="C88" s="1099"/>
      <c r="D88" s="1099"/>
      <c r="E88" s="1099"/>
      <c r="F88" s="1100"/>
      <c r="M88" s="47"/>
    </row>
    <row r="89" spans="2:13">
      <c r="B89" s="1098"/>
      <c r="C89" s="1099"/>
      <c r="D89" s="1099"/>
      <c r="E89" s="1099"/>
      <c r="F89" s="1100"/>
      <c r="M89" s="47"/>
    </row>
    <row r="90" spans="2:13">
      <c r="B90" s="1098"/>
      <c r="C90" s="1099"/>
      <c r="D90" s="1099"/>
      <c r="E90" s="1099"/>
      <c r="F90" s="1100"/>
      <c r="M90" s="47"/>
    </row>
    <row r="91" spans="2:13">
      <c r="B91" s="1098"/>
      <c r="C91" s="1099"/>
      <c r="D91" s="1099"/>
      <c r="E91" s="1099"/>
      <c r="F91" s="1100"/>
      <c r="M91" s="47"/>
    </row>
    <row r="92" spans="2:13">
      <c r="B92" s="1098"/>
      <c r="C92" s="1099"/>
      <c r="D92" s="1099"/>
      <c r="E92" s="1099"/>
      <c r="F92" s="1100"/>
      <c r="M92" s="47"/>
    </row>
    <row r="93" spans="2:13">
      <c r="B93" s="1098"/>
      <c r="C93" s="1099"/>
      <c r="D93" s="1099"/>
      <c r="E93" s="1099"/>
      <c r="F93" s="1100"/>
      <c r="M93" s="47"/>
    </row>
    <row r="94" spans="2:13">
      <c r="B94" s="1098"/>
      <c r="C94" s="1099"/>
      <c r="D94" s="1099"/>
      <c r="E94" s="1099"/>
      <c r="F94" s="1100"/>
      <c r="M94" s="47"/>
    </row>
    <row r="95" spans="2:13">
      <c r="B95" s="1098"/>
      <c r="C95" s="1099"/>
      <c r="D95" s="1099"/>
      <c r="E95" s="1099"/>
      <c r="F95" s="1100"/>
      <c r="M95" s="47"/>
    </row>
    <row r="96" spans="2:13">
      <c r="B96" s="1098"/>
      <c r="C96" s="1099"/>
      <c r="D96" s="1099"/>
      <c r="E96" s="1099"/>
      <c r="F96" s="1100"/>
      <c r="M96" s="47"/>
    </row>
    <row r="97" spans="2:8">
      <c r="B97" s="1098"/>
      <c r="C97" s="1099"/>
      <c r="D97" s="1099"/>
      <c r="E97" s="1099"/>
      <c r="F97" s="1100"/>
    </row>
    <row r="98" spans="2:8">
      <c r="B98" s="1098"/>
      <c r="C98" s="1099"/>
      <c r="D98" s="1099"/>
      <c r="E98" s="1099"/>
      <c r="F98" s="1100"/>
    </row>
    <row r="99" spans="2:8">
      <c r="B99" s="1098"/>
      <c r="C99" s="1099"/>
      <c r="D99" s="1099"/>
      <c r="E99" s="1099"/>
      <c r="F99" s="1100"/>
    </row>
    <row r="100" spans="2:8">
      <c r="B100" s="1098"/>
      <c r="C100" s="1099"/>
      <c r="D100" s="1099"/>
      <c r="E100" s="1099"/>
      <c r="F100" s="1100"/>
    </row>
    <row r="101" spans="2:8">
      <c r="B101" s="1098"/>
      <c r="C101" s="1099"/>
      <c r="D101" s="1099"/>
      <c r="E101" s="1099"/>
      <c r="F101" s="1100"/>
    </row>
    <row r="102" spans="2:8">
      <c r="B102" s="1098"/>
      <c r="C102" s="1099"/>
      <c r="D102" s="1099"/>
      <c r="E102" s="1099"/>
      <c r="F102" s="1100"/>
    </row>
    <row r="103" spans="2:8">
      <c r="B103" s="1098"/>
      <c r="C103" s="1099"/>
      <c r="D103" s="1099"/>
      <c r="E103" s="1099"/>
      <c r="F103" s="1100"/>
    </row>
    <row r="104" spans="2:8">
      <c r="B104" s="1098"/>
      <c r="C104" s="1099"/>
      <c r="D104" s="1099"/>
      <c r="E104" s="1099"/>
      <c r="F104" s="1100"/>
    </row>
    <row r="105" spans="2:8">
      <c r="B105" s="1098"/>
      <c r="C105" s="1099"/>
      <c r="D105" s="1099"/>
      <c r="E105" s="1099"/>
      <c r="F105" s="1100"/>
    </row>
    <row r="106" spans="2:8" ht="13.5" thickBot="1">
      <c r="B106" s="1098"/>
      <c r="C106" s="1099"/>
      <c r="D106" s="1099"/>
      <c r="E106" s="1099"/>
      <c r="F106" s="1100"/>
    </row>
    <row r="107" spans="2:8" ht="13.5" thickBot="1">
      <c r="B107" s="1101"/>
      <c r="C107" s="1102"/>
      <c r="D107" s="1102"/>
      <c r="E107" s="1102"/>
      <c r="F107" s="1103"/>
      <c r="G107" s="1068"/>
      <c r="H107" s="1068"/>
    </row>
  </sheetData>
  <mergeCells count="112">
    <mergeCell ref="B82:F82"/>
    <mergeCell ref="I35:M38"/>
    <mergeCell ref="I39:M39"/>
    <mergeCell ref="J47:K47"/>
    <mergeCell ref="J48:K48"/>
    <mergeCell ref="J49:K49"/>
    <mergeCell ref="J50:K50"/>
    <mergeCell ref="J51:K51"/>
    <mergeCell ref="J52:K52"/>
    <mergeCell ref="J53:K53"/>
    <mergeCell ref="J54:K54"/>
    <mergeCell ref="J55:K55"/>
    <mergeCell ref="J56:K56"/>
    <mergeCell ref="J57:K57"/>
    <mergeCell ref="J58:K58"/>
    <mergeCell ref="J76:L76"/>
    <mergeCell ref="J71:L71"/>
    <mergeCell ref="J72:L72"/>
    <mergeCell ref="J73:L73"/>
    <mergeCell ref="J74:L74"/>
    <mergeCell ref="B61:D61"/>
    <mergeCell ref="B72:D72"/>
    <mergeCell ref="B62:D71"/>
    <mergeCell ref="J60:M60"/>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F19:H19"/>
    <mergeCell ref="F22:G22"/>
    <mergeCell ref="F23:G23"/>
    <mergeCell ref="F24:G24"/>
    <mergeCell ref="F25:G25"/>
    <mergeCell ref="F21:G21"/>
    <mergeCell ref="B17:C17"/>
    <mergeCell ref="B3:C16"/>
    <mergeCell ref="L19:M19"/>
    <mergeCell ref="B19:C19"/>
    <mergeCell ref="B29:C29"/>
    <mergeCell ref="D19:E19"/>
    <mergeCell ref="B18:M18"/>
    <mergeCell ref="B33:M33"/>
    <mergeCell ref="H40:H43"/>
    <mergeCell ref="J20:K20"/>
    <mergeCell ref="F32:G32"/>
    <mergeCell ref="F31:G31"/>
    <mergeCell ref="F29:G29"/>
    <mergeCell ref="F30:G30"/>
    <mergeCell ref="H35:H38"/>
    <mergeCell ref="C37:G37"/>
    <mergeCell ref="C38:G38"/>
    <mergeCell ref="C41:G41"/>
    <mergeCell ref="B60:I60"/>
    <mergeCell ref="B34:G34"/>
    <mergeCell ref="I19:K19"/>
    <mergeCell ref="C43:G43"/>
    <mergeCell ref="C42:G42"/>
    <mergeCell ref="I29:J29"/>
    <mergeCell ref="I30:J30"/>
    <mergeCell ref="I31:J31"/>
    <mergeCell ref="I34:M34"/>
    <mergeCell ref="B39:G39"/>
    <mergeCell ref="C40:G40"/>
    <mergeCell ref="C35:G35"/>
    <mergeCell ref="B59:M59"/>
    <mergeCell ref="C36:G36"/>
    <mergeCell ref="J45:M45"/>
    <mergeCell ref="B44:M44"/>
    <mergeCell ref="I40:I41"/>
    <mergeCell ref="I42:I43"/>
    <mergeCell ref="J40:K41"/>
    <mergeCell ref="J42:K43"/>
    <mergeCell ref="L40:L41"/>
    <mergeCell ref="L42:L43"/>
    <mergeCell ref="M40:M41"/>
    <mergeCell ref="M42:M43"/>
    <mergeCell ref="G107:H107"/>
    <mergeCell ref="G82:M82"/>
    <mergeCell ref="E73:I81"/>
    <mergeCell ref="E62:I71"/>
    <mergeCell ref="J61:L61"/>
    <mergeCell ref="E72:I72"/>
    <mergeCell ref="B73:D81"/>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 ref="B83:F107"/>
  </mergeCells>
  <phoneticPr fontId="0" type="noConversion"/>
  <conditionalFormatting sqref="C46:C54 D46:E46">
    <cfRule type="dataBar" priority="11">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0">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7">
      <dataBar>
        <cfvo type="min"/>
        <cfvo type="max"/>
        <color rgb="FF638EC6"/>
      </dataBar>
      <extLst>
        <ext xmlns:x14="http://schemas.microsoft.com/office/spreadsheetml/2009/9/main" uri="{B025F937-C7B1-47D3-B67F-A62EFF666E3E}">
          <x14:id>{8F05AC94-FB75-41DC-A030-BD50695363B2}</x14:id>
        </ext>
      </extLst>
    </cfRule>
    <cfRule type="dataBar" priority="19">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9">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6">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1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5">
    <cfRule type="dataBar" priority="8">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7">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1">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3">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3">
    <cfRule type="cellIs" dxfId="35" priority="1" operator="lessThan">
      <formula>0</formula>
    </cfRule>
    <cfRule type="cellIs" dxfId="34" priority="2" operator="greaterThan">
      <formula>0</formula>
    </cfRule>
  </conditionalFormatting>
  <conditionalFormatting sqref="M40:M43">
    <cfRule type="cellIs" dxfId="33" priority="3" operator="lessThan">
      <formula>0</formula>
    </cfRule>
    <cfRule type="cellIs" dxfId="32" priority="4"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2:Y53"/>
  <sheetViews>
    <sheetView showGridLines="0" topLeftCell="A26" workbookViewId="0">
      <selection activeCell="B27" sqref="B27:C27"/>
    </sheetView>
  </sheetViews>
  <sheetFormatPr defaultColWidth="11.42578125" defaultRowHeight="12.75"/>
  <cols>
    <col min="1" max="1" width="2.140625" customWidth="1"/>
    <col min="2" max="2" width="11.140625" customWidth="1"/>
    <col min="3" max="3" width="42.85546875" customWidth="1"/>
    <col min="4" max="4" width="15.42578125" style="1" customWidth="1"/>
    <col min="5" max="9" width="15.42578125" customWidth="1"/>
    <col min="10" max="11" width="11.42578125" bestFit="1" customWidth="1"/>
    <col min="17" max="17" width="23.42578125" customWidth="1"/>
  </cols>
  <sheetData>
    <row r="2" spans="2:25" ht="20.25">
      <c r="B2" s="1271" t="str">
        <f>"Regions "&amp;"("&amp;OP!$J$20&amp;")"</f>
        <v>Regions (2023)</v>
      </c>
      <c r="C2" s="1272"/>
      <c r="D2" s="1272"/>
      <c r="E2" s="1272"/>
      <c r="F2" s="1272"/>
      <c r="G2" s="1272"/>
      <c r="H2" s="1272"/>
      <c r="I2" s="1272"/>
      <c r="J2" s="1272"/>
      <c r="K2" s="1272"/>
      <c r="L2" s="1272"/>
      <c r="M2" s="1272"/>
      <c r="N2" s="1272"/>
      <c r="O2" s="1272"/>
      <c r="P2" s="1272"/>
      <c r="Q2" s="1267" t="s">
        <v>118</v>
      </c>
      <c r="R2" s="1268"/>
      <c r="S2" s="1268"/>
      <c r="T2" s="1268"/>
      <c r="U2" s="1268"/>
      <c r="V2" s="1268"/>
      <c r="W2" s="1268"/>
      <c r="X2" s="1268"/>
      <c r="Y2" s="1269"/>
    </row>
    <row r="3" spans="2:25" ht="18.75" thickBot="1">
      <c r="B3" s="159"/>
      <c r="C3" s="160"/>
      <c r="D3" s="1282" t="s">
        <v>119</v>
      </c>
      <c r="E3" s="1282"/>
      <c r="F3" s="1282"/>
      <c r="G3" s="1282"/>
      <c r="H3" s="1282"/>
      <c r="I3" s="1283"/>
      <c r="J3" s="140"/>
      <c r="K3" s="1270" t="s">
        <v>120</v>
      </c>
      <c r="L3" s="1270"/>
      <c r="M3" s="1270"/>
      <c r="N3" s="1270"/>
      <c r="O3" s="1270"/>
      <c r="P3" s="1270"/>
      <c r="Q3" s="134"/>
      <c r="Y3" s="155"/>
    </row>
    <row r="4" spans="2:25" ht="13.5" thickBot="1">
      <c r="B4" s="146" t="s">
        <v>121</v>
      </c>
      <c r="C4" s="147" t="s">
        <v>122</v>
      </c>
      <c r="D4" s="148">
        <f>OP!J20</f>
        <v>2023</v>
      </c>
      <c r="E4" s="148">
        <f>D4-1</f>
        <v>2022</v>
      </c>
      <c r="F4" s="148">
        <f>E4-1</f>
        <v>2021</v>
      </c>
      <c r="G4" s="148">
        <f>F4-1</f>
        <v>2020</v>
      </c>
      <c r="H4" s="148">
        <f>G4-1</f>
        <v>2019</v>
      </c>
      <c r="I4" s="148">
        <f>H4-1</f>
        <v>2018</v>
      </c>
      <c r="J4" s="141"/>
      <c r="K4" s="148">
        <f>OP!J20</f>
        <v>2023</v>
      </c>
      <c r="L4" s="148">
        <f t="shared" ref="L4:P4" si="0">K4-1</f>
        <v>2022</v>
      </c>
      <c r="M4" s="148">
        <f t="shared" si="0"/>
        <v>2021</v>
      </c>
      <c r="N4" s="148">
        <f t="shared" si="0"/>
        <v>2020</v>
      </c>
      <c r="O4" s="148">
        <f t="shared" si="0"/>
        <v>2019</v>
      </c>
      <c r="P4" s="161">
        <f t="shared" si="0"/>
        <v>2018</v>
      </c>
      <c r="Q4" s="134"/>
      <c r="Y4" s="155"/>
    </row>
    <row r="5" spans="2:25">
      <c r="B5" s="144">
        <f t="shared" ref="B5:B13" si="1">IFERROR(D5/$D$14,"")</f>
        <v>0.3455467372134039</v>
      </c>
      <c r="C5" s="145" t="s">
        <v>123</v>
      </c>
      <c r="D5" s="149">
        <v>7837</v>
      </c>
      <c r="E5" s="149">
        <v>8049</v>
      </c>
      <c r="F5" s="149">
        <v>4656</v>
      </c>
      <c r="G5" s="149">
        <v>2294</v>
      </c>
      <c r="H5" s="149">
        <v>1764</v>
      </c>
      <c r="I5" s="149">
        <v>1327</v>
      </c>
      <c r="J5" s="142"/>
      <c r="K5" s="287">
        <f t="shared" ref="K5:O10" si="2">(D5-E5)/E5</f>
        <v>-2.6338675611877253E-2</v>
      </c>
      <c r="L5" s="287">
        <f t="shared" si="2"/>
        <v>0.72873711340206182</v>
      </c>
      <c r="M5" s="287">
        <f t="shared" si="2"/>
        <v>1.0296425457715781</v>
      </c>
      <c r="N5" s="287">
        <f t="shared" si="2"/>
        <v>0.30045351473922904</v>
      </c>
      <c r="O5" s="287">
        <f t="shared" si="2"/>
        <v>0.32931424265259984</v>
      </c>
      <c r="P5" s="287" t="s">
        <v>45</v>
      </c>
      <c r="Q5" s="134"/>
      <c r="Y5" s="155"/>
    </row>
    <row r="6" spans="2:25">
      <c r="B6" s="144">
        <f t="shared" si="1"/>
        <v>0.20410052910052909</v>
      </c>
      <c r="C6" s="145" t="s">
        <v>124</v>
      </c>
      <c r="D6" s="149">
        <v>4629</v>
      </c>
      <c r="E6" s="149">
        <v>4177</v>
      </c>
      <c r="F6" s="149">
        <v>2381</v>
      </c>
      <c r="G6" s="149">
        <v>1033</v>
      </c>
      <c r="H6" s="149">
        <v>840</v>
      </c>
      <c r="I6" s="149">
        <v>1225</v>
      </c>
      <c r="J6" s="142"/>
      <c r="K6" s="287">
        <f t="shared" ref="K6:O9" si="3">(D6-E6)/E6</f>
        <v>0.10821163514484079</v>
      </c>
      <c r="L6" s="287">
        <f t="shared" si="3"/>
        <v>0.75430491390172194</v>
      </c>
      <c r="M6" s="287">
        <f t="shared" si="3"/>
        <v>1.3049370764762827</v>
      </c>
      <c r="N6" s="287">
        <f t="shared" si="3"/>
        <v>0.22976190476190475</v>
      </c>
      <c r="O6" s="287">
        <f t="shared" si="3"/>
        <v>-0.31428571428571428</v>
      </c>
      <c r="P6" s="287" t="s">
        <v>45</v>
      </c>
      <c r="Q6" s="134"/>
      <c r="Y6" s="155"/>
    </row>
    <row r="7" spans="2:25">
      <c r="B7" s="144">
        <f t="shared" si="1"/>
        <v>0.15066137566137566</v>
      </c>
      <c r="C7" s="145" t="s">
        <v>125</v>
      </c>
      <c r="D7" s="149">
        <v>3417</v>
      </c>
      <c r="E7" s="149">
        <v>5207</v>
      </c>
      <c r="F7" s="149">
        <v>4096</v>
      </c>
      <c r="G7" s="149">
        <v>2329</v>
      </c>
      <c r="H7" s="149">
        <v>1736</v>
      </c>
      <c r="I7" s="149">
        <v>1319</v>
      </c>
      <c r="J7" s="142"/>
      <c r="K7" s="287">
        <f t="shared" si="3"/>
        <v>-0.34376800460917994</v>
      </c>
      <c r="L7" s="287">
        <f t="shared" si="3"/>
        <v>0.271240234375</v>
      </c>
      <c r="M7" s="287">
        <f t="shared" si="3"/>
        <v>0.75869471876341776</v>
      </c>
      <c r="N7" s="287">
        <f t="shared" si="3"/>
        <v>0.34158986175115208</v>
      </c>
      <c r="O7" s="287">
        <f t="shared" si="3"/>
        <v>0.31614859742228962</v>
      </c>
      <c r="P7" s="287" t="s">
        <v>45</v>
      </c>
      <c r="Q7" s="134"/>
      <c r="Y7" s="155"/>
    </row>
    <row r="8" spans="2:25">
      <c r="B8" s="144">
        <f t="shared" si="1"/>
        <v>9.8368606701940031E-2</v>
      </c>
      <c r="C8" s="145" t="s">
        <v>126</v>
      </c>
      <c r="D8" s="149">
        <v>2231</v>
      </c>
      <c r="E8" s="149">
        <v>1380</v>
      </c>
      <c r="F8" s="149">
        <v>1389</v>
      </c>
      <c r="G8" s="149">
        <v>1096</v>
      </c>
      <c r="H8" s="149">
        <v>597</v>
      </c>
      <c r="I8" s="149">
        <v>728</v>
      </c>
      <c r="J8" s="142"/>
      <c r="K8" s="287">
        <f t="shared" si="3"/>
        <v>0.6166666666666667</v>
      </c>
      <c r="L8" s="287">
        <f t="shared" si="3"/>
        <v>-6.4794816414686825E-3</v>
      </c>
      <c r="M8" s="287">
        <f t="shared" si="3"/>
        <v>0.26733576642335766</v>
      </c>
      <c r="N8" s="287">
        <f t="shared" si="3"/>
        <v>0.83584589614740368</v>
      </c>
      <c r="O8" s="287">
        <f t="shared" si="3"/>
        <v>-0.17994505494505494</v>
      </c>
      <c r="P8" s="287" t="s">
        <v>45</v>
      </c>
      <c r="Q8" s="134"/>
      <c r="Y8" s="155"/>
    </row>
    <row r="9" spans="2:25">
      <c r="B9" s="144">
        <f t="shared" si="1"/>
        <v>8.9506172839506168E-2</v>
      </c>
      <c r="C9" s="145" t="s">
        <v>127</v>
      </c>
      <c r="D9" s="149">
        <v>2030</v>
      </c>
      <c r="E9" s="149">
        <v>1773</v>
      </c>
      <c r="F9" s="149">
        <v>1249</v>
      </c>
      <c r="G9" s="149">
        <v>1108</v>
      </c>
      <c r="H9" s="149">
        <v>762</v>
      </c>
      <c r="I9" s="149">
        <v>470</v>
      </c>
      <c r="J9" s="142"/>
      <c r="K9" s="287">
        <f t="shared" si="3"/>
        <v>0.14495205865764241</v>
      </c>
      <c r="L9" s="287">
        <f t="shared" si="3"/>
        <v>0.41953562850280224</v>
      </c>
      <c r="M9" s="287">
        <f t="shared" si="3"/>
        <v>0.12725631768953069</v>
      </c>
      <c r="N9" s="287">
        <f t="shared" si="3"/>
        <v>0.45406824146981628</v>
      </c>
      <c r="O9" s="287">
        <f t="shared" si="3"/>
        <v>0.62127659574468086</v>
      </c>
      <c r="P9" s="287" t="s">
        <v>45</v>
      </c>
      <c r="Q9" s="134"/>
      <c r="Y9" s="155"/>
    </row>
    <row r="10" spans="2:25">
      <c r="B10" s="144">
        <f t="shared" si="1"/>
        <v>8.1172839506172836E-2</v>
      </c>
      <c r="C10" s="137" t="s">
        <v>128</v>
      </c>
      <c r="D10" s="139">
        <v>1841</v>
      </c>
      <c r="E10" s="139">
        <v>2369</v>
      </c>
      <c r="F10" s="139">
        <v>2091</v>
      </c>
      <c r="G10" s="139">
        <v>1187</v>
      </c>
      <c r="H10" s="139">
        <v>719</v>
      </c>
      <c r="I10" s="139">
        <v>1197</v>
      </c>
      <c r="J10" s="142"/>
      <c r="K10" s="287">
        <f t="shared" si="2"/>
        <v>-0.22287885183621781</v>
      </c>
      <c r="L10" s="287">
        <f t="shared" si="2"/>
        <v>0.13295074127211862</v>
      </c>
      <c r="M10" s="287">
        <f t="shared" si="2"/>
        <v>0.76158382476832354</v>
      </c>
      <c r="N10" s="287">
        <f t="shared" si="2"/>
        <v>0.65090403337969405</v>
      </c>
      <c r="O10" s="287">
        <f t="shared" si="2"/>
        <v>-0.3993316624895572</v>
      </c>
      <c r="P10" s="287" t="s">
        <v>45</v>
      </c>
      <c r="Q10" s="134"/>
      <c r="Y10" s="155"/>
    </row>
    <row r="11" spans="2:25" hidden="1">
      <c r="B11" s="144">
        <f t="shared" si="1"/>
        <v>0</v>
      </c>
      <c r="C11" s="137" t="s">
        <v>128</v>
      </c>
      <c r="D11" s="139"/>
      <c r="E11" s="139"/>
      <c r="F11" s="139"/>
      <c r="G11" s="139"/>
      <c r="H11" s="139"/>
      <c r="I11" s="139"/>
      <c r="J11" s="142"/>
      <c r="K11" s="287" t="e">
        <f t="shared" ref="K11:K13" si="4">(D11-E11)/E11</f>
        <v>#DIV/0!</v>
      </c>
      <c r="L11" s="287" t="e">
        <f t="shared" ref="L11:L13" si="5">(E11-F11)/F11</f>
        <v>#DIV/0!</v>
      </c>
      <c r="M11" s="287" t="e">
        <f t="shared" ref="M11:M13" si="6">(F11-G11)/G11</f>
        <v>#DIV/0!</v>
      </c>
      <c r="N11" s="287" t="e">
        <f t="shared" ref="N11:N13" si="7">(G11-H11)/H11</f>
        <v>#DIV/0!</v>
      </c>
      <c r="O11" s="287" t="e">
        <f t="shared" ref="O11:O13" si="8">(H11-I11)/I11</f>
        <v>#DIV/0!</v>
      </c>
      <c r="P11" s="162"/>
      <c r="Q11" s="134"/>
      <c r="Y11" s="155"/>
    </row>
    <row r="12" spans="2:25" hidden="1">
      <c r="B12" s="144">
        <f t="shared" si="1"/>
        <v>0</v>
      </c>
      <c r="C12" s="137" t="s">
        <v>128</v>
      </c>
      <c r="D12" s="139"/>
      <c r="E12" s="139"/>
      <c r="F12" s="139"/>
      <c r="G12" s="139"/>
      <c r="H12" s="139"/>
      <c r="I12" s="139"/>
      <c r="J12" s="142"/>
      <c r="K12" s="287" t="e">
        <f t="shared" si="4"/>
        <v>#DIV/0!</v>
      </c>
      <c r="L12" s="287" t="e">
        <f t="shared" si="5"/>
        <v>#DIV/0!</v>
      </c>
      <c r="M12" s="287" t="e">
        <f t="shared" si="6"/>
        <v>#DIV/0!</v>
      </c>
      <c r="N12" s="287" t="e">
        <f t="shared" si="7"/>
        <v>#DIV/0!</v>
      </c>
      <c r="O12" s="287" t="e">
        <f t="shared" si="8"/>
        <v>#DIV/0!</v>
      </c>
      <c r="P12" s="163"/>
      <c r="Q12" s="134"/>
      <c r="Y12" s="155"/>
    </row>
    <row r="13" spans="2:25" ht="13.5" thickBot="1">
      <c r="B13" s="144">
        <f t="shared" si="1"/>
        <v>3.0643738977072309E-2</v>
      </c>
      <c r="C13" s="137" t="s">
        <v>129</v>
      </c>
      <c r="D13" s="139">
        <v>695</v>
      </c>
      <c r="E13" s="139">
        <v>646</v>
      </c>
      <c r="F13" s="139">
        <v>572</v>
      </c>
      <c r="G13" s="139">
        <v>716</v>
      </c>
      <c r="H13" s="139">
        <v>313</v>
      </c>
      <c r="I13" s="139">
        <v>0</v>
      </c>
      <c r="J13" s="803"/>
      <c r="K13" s="287">
        <f t="shared" si="4"/>
        <v>7.5851393188854491E-2</v>
      </c>
      <c r="L13" s="287">
        <f t="shared" si="5"/>
        <v>0.12937062937062938</v>
      </c>
      <c r="M13" s="287">
        <f t="shared" si="6"/>
        <v>-0.2011173184357542</v>
      </c>
      <c r="N13" s="287">
        <f t="shared" si="7"/>
        <v>1.2875399361022364</v>
      </c>
      <c r="O13" s="287" t="e">
        <f t="shared" si="8"/>
        <v>#DIV/0!</v>
      </c>
      <c r="P13" s="287" t="s">
        <v>45</v>
      </c>
      <c r="Q13" s="134"/>
      <c r="Y13" s="155"/>
    </row>
    <row r="14" spans="2:25" ht="13.5" thickBot="1">
      <c r="B14" s="138">
        <f>SUM(B5:B12)</f>
        <v>0.9693562610229276</v>
      </c>
      <c r="C14" s="749" t="s">
        <v>130</v>
      </c>
      <c r="D14" s="746">
        <f>SUM(D5:D13)</f>
        <v>22680</v>
      </c>
      <c r="E14" s="746">
        <f t="shared" ref="E14:I14" si="9">SUM(E5:E13)</f>
        <v>23601</v>
      </c>
      <c r="F14" s="746">
        <f t="shared" si="9"/>
        <v>16434</v>
      </c>
      <c r="G14" s="746">
        <f t="shared" si="9"/>
        <v>9763</v>
      </c>
      <c r="H14" s="746">
        <f t="shared" si="9"/>
        <v>6731</v>
      </c>
      <c r="I14" s="746">
        <f t="shared" si="9"/>
        <v>6266</v>
      </c>
      <c r="J14" s="750"/>
      <c r="K14" s="289">
        <f>(D14-E14)/E14</f>
        <v>-3.9023770179229693E-2</v>
      </c>
      <c r="L14" s="289">
        <f>(E14-F14)/F14</f>
        <v>0.43610806863818913</v>
      </c>
      <c r="M14" s="289">
        <f>(F14-G14)/G14</f>
        <v>0.68329406944586701</v>
      </c>
      <c r="N14" s="289">
        <f t="shared" ref="N14:O14" si="10">(G14-H14)/H14</f>
        <v>0.45045312732134896</v>
      </c>
      <c r="O14" s="289">
        <f t="shared" si="10"/>
        <v>7.4210022342802426E-2</v>
      </c>
      <c r="P14" s="289" t="s">
        <v>45</v>
      </c>
      <c r="Q14" s="134"/>
      <c r="Y14" s="155"/>
    </row>
    <row r="15" spans="2:25">
      <c r="B15" s="157"/>
      <c r="C15" s="3"/>
      <c r="D15" s="12"/>
      <c r="E15" s="12"/>
      <c r="F15" s="12"/>
      <c r="G15" s="12"/>
      <c r="H15" s="12"/>
      <c r="I15" s="12"/>
      <c r="J15" s="12"/>
      <c r="K15" s="12"/>
      <c r="L15" s="12"/>
      <c r="M15" s="12"/>
      <c r="N15" s="12"/>
      <c r="O15" s="12"/>
      <c r="P15" s="12"/>
      <c r="Q15" s="134"/>
      <c r="Y15" s="155"/>
    </row>
    <row r="16" spans="2:25" ht="21" thickBot="1">
      <c r="B16" s="1271" t="str">
        <f>"Categories "&amp;"("&amp;OP!$J$20&amp;")"</f>
        <v>Categories (2023)</v>
      </c>
      <c r="C16" s="1272"/>
      <c r="D16" s="1272"/>
      <c r="E16" s="1272"/>
      <c r="F16" s="1272"/>
      <c r="G16" s="1272"/>
      <c r="H16" s="1272"/>
      <c r="I16" s="1272"/>
      <c r="J16" s="1272"/>
      <c r="K16" s="1272"/>
      <c r="L16" s="1272"/>
      <c r="M16" s="1272"/>
      <c r="N16" s="1272"/>
      <c r="O16" s="1272"/>
      <c r="P16" s="1272"/>
      <c r="Q16" s="134"/>
      <c r="S16" s="292"/>
      <c r="Y16" s="155"/>
    </row>
    <row r="17" spans="2:17" ht="20.25">
      <c r="B17" s="159"/>
      <c r="C17" s="160"/>
      <c r="D17" s="1243" t="s">
        <v>119</v>
      </c>
      <c r="E17" s="1244"/>
      <c r="F17" s="1244"/>
      <c r="G17" s="1244"/>
      <c r="H17" s="1244"/>
      <c r="I17" s="1245"/>
      <c r="J17" s="140"/>
      <c r="K17" s="1273" t="s">
        <v>120</v>
      </c>
      <c r="L17" s="1274"/>
      <c r="M17" s="1274"/>
      <c r="N17" s="1274"/>
      <c r="O17" s="1274"/>
      <c r="P17" s="1274"/>
      <c r="Q17" s="134"/>
    </row>
    <row r="18" spans="2:17">
      <c r="B18" s="158" t="s">
        <v>121</v>
      </c>
      <c r="C18" s="133" t="s">
        <v>131</v>
      </c>
      <c r="D18" s="148">
        <f>OP!J20</f>
        <v>2023</v>
      </c>
      <c r="E18" s="148">
        <f>D18-1</f>
        <v>2022</v>
      </c>
      <c r="F18" s="148">
        <f>E18-1</f>
        <v>2021</v>
      </c>
      <c r="G18" s="148">
        <f>F18-1</f>
        <v>2020</v>
      </c>
      <c r="H18" s="148">
        <f>G18-1</f>
        <v>2019</v>
      </c>
      <c r="I18" s="148">
        <f>H18-1</f>
        <v>2018</v>
      </c>
      <c r="J18" s="141"/>
      <c r="K18" s="143">
        <f>OP!J20</f>
        <v>2023</v>
      </c>
      <c r="L18" s="143">
        <f t="shared" ref="L18:P18" si="11">K18-1</f>
        <v>2022</v>
      </c>
      <c r="M18" s="143">
        <f t="shared" si="11"/>
        <v>2021</v>
      </c>
      <c r="N18" s="143">
        <f t="shared" si="11"/>
        <v>2020</v>
      </c>
      <c r="O18" s="143">
        <f t="shared" si="11"/>
        <v>2019</v>
      </c>
      <c r="P18" s="164">
        <f t="shared" si="11"/>
        <v>2018</v>
      </c>
      <c r="Q18" s="134"/>
    </row>
    <row r="19" spans="2:17">
      <c r="B19" s="144">
        <f>IFERROR(D19/$D$23,"")</f>
        <v>0.28641975308641976</v>
      </c>
      <c r="C19" s="136" t="s">
        <v>132</v>
      </c>
      <c r="D19" s="149">
        <v>6496</v>
      </c>
      <c r="E19" s="149">
        <v>6043</v>
      </c>
      <c r="F19" s="149">
        <v>3694</v>
      </c>
      <c r="G19" s="149"/>
      <c r="H19" s="149"/>
      <c r="I19" s="149"/>
      <c r="J19" s="142"/>
      <c r="K19" s="290">
        <f>(D19-E19)/E19</f>
        <v>7.4962766837663411E-2</v>
      </c>
      <c r="L19" s="290">
        <f t="shared" ref="L19:O23" si="12">(E19-F19)/F19</f>
        <v>0.63589604764482943</v>
      </c>
      <c r="M19" s="290" t="e">
        <f t="shared" si="12"/>
        <v>#DIV/0!</v>
      </c>
      <c r="N19" s="290" t="e">
        <f t="shared" si="12"/>
        <v>#DIV/0!</v>
      </c>
      <c r="O19" s="290" t="e">
        <f t="shared" si="12"/>
        <v>#DIV/0!</v>
      </c>
      <c r="P19" s="290" t="s">
        <v>45</v>
      </c>
      <c r="Q19" s="134"/>
    </row>
    <row r="20" spans="2:17">
      <c r="B20" s="144">
        <f>IFERROR(D20/$D$23,"")</f>
        <v>0.20507054673721339</v>
      </c>
      <c r="C20" s="571" t="s">
        <v>133</v>
      </c>
      <c r="D20" s="149">
        <v>4651</v>
      </c>
      <c r="E20" s="149">
        <v>6201</v>
      </c>
      <c r="F20" s="149">
        <v>6887</v>
      </c>
      <c r="G20" s="149"/>
      <c r="H20" s="149"/>
      <c r="I20" s="149"/>
      <c r="J20" s="142"/>
      <c r="K20" s="290">
        <f>(D20-E20)/E20</f>
        <v>-0.24995968392194806</v>
      </c>
      <c r="L20" s="290">
        <f t="shared" ref="L20" si="13">(E20-F20)/F20</f>
        <v>-9.9607957020473356E-2</v>
      </c>
      <c r="M20" s="290" t="e">
        <f t="shared" ref="M20" si="14">(F20-G20)/G20</f>
        <v>#DIV/0!</v>
      </c>
      <c r="N20" s="290" t="e">
        <f t="shared" ref="N20" si="15">(G20-H20)/H20</f>
        <v>#DIV/0!</v>
      </c>
      <c r="O20" s="290" t="e">
        <f t="shared" ref="O20" si="16">(H20-I20)/I20</f>
        <v>#DIV/0!</v>
      </c>
      <c r="P20" s="572" t="s">
        <v>45</v>
      </c>
      <c r="Q20" s="134"/>
    </row>
    <row r="21" spans="2:17">
      <c r="B21" s="144">
        <f>IFERROR(D21/$D$23,"")</f>
        <v>0.27389770723104057</v>
      </c>
      <c r="C21" s="137" t="s">
        <v>134</v>
      </c>
      <c r="D21" s="149">
        <v>6212</v>
      </c>
      <c r="E21" s="149">
        <v>6805</v>
      </c>
      <c r="F21" s="149">
        <v>5607</v>
      </c>
      <c r="G21" s="149"/>
      <c r="H21" s="149"/>
      <c r="I21" s="149"/>
      <c r="J21" s="142"/>
      <c r="K21" s="291">
        <f t="shared" ref="K21:K22" si="17">(D21-E21)/E21</f>
        <v>-8.714180749448934E-2</v>
      </c>
      <c r="L21" s="291">
        <f t="shared" si="12"/>
        <v>0.21366149456037095</v>
      </c>
      <c r="M21" s="291" t="e">
        <f t="shared" si="12"/>
        <v>#DIV/0!</v>
      </c>
      <c r="N21" s="291" t="e">
        <f t="shared" si="12"/>
        <v>#DIV/0!</v>
      </c>
      <c r="O21" s="291" t="e">
        <f t="shared" si="12"/>
        <v>#DIV/0!</v>
      </c>
      <c r="P21" s="291" t="s">
        <v>45</v>
      </c>
      <c r="Q21" s="134"/>
    </row>
    <row r="22" spans="2:17">
      <c r="B22" s="144">
        <f>IFERROR(D22/$D$23,"")</f>
        <v>0.23461199294532628</v>
      </c>
      <c r="C22" s="137" t="s">
        <v>135</v>
      </c>
      <c r="D22" s="149">
        <v>5321</v>
      </c>
      <c r="E22" s="149">
        <v>4552</v>
      </c>
      <c r="F22" s="149">
        <v>246</v>
      </c>
      <c r="G22" s="149"/>
      <c r="H22" s="149"/>
      <c r="I22" s="149"/>
      <c r="J22" s="142"/>
      <c r="K22" s="291">
        <f t="shared" si="17"/>
        <v>0.16893673110720561</v>
      </c>
      <c r="L22" s="291">
        <f t="shared" si="12"/>
        <v>17.504065040650406</v>
      </c>
      <c r="M22" s="291" t="e">
        <f t="shared" si="12"/>
        <v>#DIV/0!</v>
      </c>
      <c r="N22" s="291" t="e">
        <f t="shared" si="12"/>
        <v>#DIV/0!</v>
      </c>
      <c r="O22" s="291" t="e">
        <f t="shared" si="12"/>
        <v>#DIV/0!</v>
      </c>
      <c r="P22" s="291" t="s">
        <v>45</v>
      </c>
      <c r="Q22" s="134"/>
    </row>
    <row r="23" spans="2:17">
      <c r="B23" s="138">
        <f>SUM(B19:B22)</f>
        <v>1</v>
      </c>
      <c r="C23" s="749" t="s">
        <v>130</v>
      </c>
      <c r="D23" s="746">
        <f t="shared" ref="D23:I23" si="18">SUM(D19:D22)</f>
        <v>22680</v>
      </c>
      <c r="E23" s="747">
        <f t="shared" si="18"/>
        <v>23601</v>
      </c>
      <c r="F23" s="747">
        <f t="shared" si="18"/>
        <v>16434</v>
      </c>
      <c r="G23" s="747">
        <f t="shared" si="18"/>
        <v>0</v>
      </c>
      <c r="H23" s="747">
        <f t="shared" si="18"/>
        <v>0</v>
      </c>
      <c r="I23" s="748">
        <f t="shared" si="18"/>
        <v>0</v>
      </c>
      <c r="J23" s="750"/>
      <c r="K23" s="288">
        <f>(D23-E23)/E23</f>
        <v>-3.9023770179229693E-2</v>
      </c>
      <c r="L23" s="289">
        <f t="shared" si="12"/>
        <v>0.43610806863818913</v>
      </c>
      <c r="M23" s="289" t="e">
        <f t="shared" ref="M23" si="19">(F23-G23)/G23</f>
        <v>#DIV/0!</v>
      </c>
      <c r="N23" s="289" t="e">
        <f t="shared" ref="N23" si="20">(G23-H23)/H23</f>
        <v>#DIV/0!</v>
      </c>
      <c r="O23" s="289" t="e">
        <f t="shared" ref="O23" si="21">(H23-I23)/I23</f>
        <v>#DIV/0!</v>
      </c>
      <c r="P23" s="289" t="s">
        <v>45</v>
      </c>
      <c r="Q23" s="134"/>
    </row>
    <row r="24" spans="2:17">
      <c r="C24" s="11"/>
      <c r="D24" s="12"/>
      <c r="E24" s="13"/>
      <c r="F24" s="12"/>
      <c r="G24" s="13"/>
      <c r="H24" s="12"/>
      <c r="I24" s="13"/>
      <c r="Q24" s="134"/>
    </row>
    <row r="25" spans="2:17" ht="20.25">
      <c r="B25" s="1243" t="s">
        <v>47</v>
      </c>
      <c r="C25" s="1245"/>
      <c r="D25" s="1243" t="s">
        <v>136</v>
      </c>
      <c r="E25" s="1244"/>
      <c r="F25" s="1244"/>
      <c r="G25" s="1244"/>
      <c r="H25" s="1244"/>
      <c r="I25" s="1280" t="s">
        <v>137</v>
      </c>
      <c r="J25" s="1281"/>
      <c r="K25" s="1281"/>
      <c r="L25" s="1281"/>
      <c r="M25" s="1281"/>
      <c r="N25" s="1281"/>
      <c r="O25" s="1281"/>
      <c r="P25" s="1281"/>
      <c r="Q25" s="134"/>
    </row>
    <row r="26" spans="2:17" ht="81.75" customHeight="1">
      <c r="B26" s="1263" t="s">
        <v>132</v>
      </c>
      <c r="C26" s="1264"/>
      <c r="D26" s="1275" t="s">
        <v>138</v>
      </c>
      <c r="E26" s="1276"/>
      <c r="F26" s="1276"/>
      <c r="G26" s="1276"/>
      <c r="H26" s="1276"/>
      <c r="I26" s="134"/>
      <c r="Q26" s="134"/>
    </row>
    <row r="27" spans="2:17" ht="41.25" customHeight="1">
      <c r="B27" s="1263" t="s">
        <v>133</v>
      </c>
      <c r="C27" s="1264"/>
      <c r="D27" s="1275"/>
      <c r="E27" s="1276"/>
      <c r="F27" s="1276"/>
      <c r="G27" s="1276"/>
      <c r="H27" s="1276"/>
      <c r="I27" s="134"/>
      <c r="Q27" s="134"/>
    </row>
    <row r="28" spans="2:17" ht="28.35" customHeight="1">
      <c r="B28" s="1263" t="s">
        <v>134</v>
      </c>
      <c r="C28" s="1264"/>
      <c r="D28" s="1277"/>
      <c r="E28" s="1276"/>
      <c r="F28" s="1276"/>
      <c r="G28" s="1276"/>
      <c r="H28" s="1276"/>
      <c r="I28" s="134"/>
      <c r="Q28" s="134"/>
    </row>
    <row r="29" spans="2:17" ht="30.6" customHeight="1" thickBot="1">
      <c r="B29" s="1263" t="s">
        <v>135</v>
      </c>
      <c r="C29" s="1264"/>
      <c r="D29" s="1277"/>
      <c r="E29" s="1276"/>
      <c r="F29" s="1276"/>
      <c r="G29" s="1276"/>
      <c r="H29" s="1276"/>
      <c r="I29" s="134"/>
      <c r="Q29" s="134"/>
    </row>
    <row r="30" spans="2:17" ht="28.35" hidden="1" customHeight="1">
      <c r="B30" s="1263"/>
      <c r="C30" s="1264"/>
      <c r="D30" s="1278"/>
      <c r="E30" s="1279"/>
      <c r="F30" s="1279"/>
      <c r="G30" s="1279"/>
      <c r="H30" s="1279"/>
      <c r="I30" s="134"/>
      <c r="Q30" s="134"/>
    </row>
    <row r="31" spans="2:17" ht="56.25" customHeight="1" thickBot="1">
      <c r="I31" s="135"/>
      <c r="J31" s="156"/>
      <c r="K31" s="156"/>
      <c r="L31" s="156"/>
      <c r="M31" s="156"/>
      <c r="N31" s="156"/>
      <c r="O31" s="156"/>
      <c r="P31" s="156"/>
      <c r="Q31" s="135"/>
    </row>
    <row r="32" spans="2:17" ht="21" thickBot="1">
      <c r="B32" s="1243" t="s">
        <v>139</v>
      </c>
      <c r="C32" s="1244"/>
      <c r="D32" s="1244"/>
      <c r="E32" s="1244"/>
      <c r="F32" s="1244"/>
      <c r="G32" s="1244"/>
      <c r="H32" s="1244"/>
      <c r="I32" s="1245"/>
      <c r="J32" s="1221" t="s">
        <v>140</v>
      </c>
      <c r="K32" s="1222"/>
      <c r="L32" s="1222"/>
      <c r="M32" s="1222"/>
      <c r="N32" s="1222"/>
      <c r="O32" s="1222"/>
      <c r="P32" s="1222"/>
      <c r="Q32" s="1223"/>
    </row>
    <row r="33" spans="2:17">
      <c r="B33" s="1236" t="s">
        <v>141</v>
      </c>
      <c r="C33" s="1238"/>
      <c r="D33" s="1236" t="s">
        <v>136</v>
      </c>
      <c r="E33" s="1237"/>
      <c r="F33" s="1237"/>
      <c r="G33" s="1237"/>
      <c r="H33" s="1237"/>
      <c r="I33" s="1238"/>
      <c r="J33" s="150"/>
      <c r="K33" s="153"/>
      <c r="L33" s="153"/>
      <c r="M33" s="153"/>
      <c r="N33" s="153"/>
      <c r="O33" s="153"/>
      <c r="P33" s="153"/>
      <c r="Q33" s="154"/>
    </row>
    <row r="34" spans="2:17">
      <c r="B34" s="1249"/>
      <c r="C34" s="1250"/>
      <c r="D34" s="1253"/>
      <c r="E34" s="1254"/>
      <c r="F34" s="1254"/>
      <c r="G34" s="1254"/>
      <c r="H34" s="1254"/>
      <c r="I34" s="1255"/>
      <c r="J34" s="134"/>
      <c r="Q34" s="155"/>
    </row>
    <row r="35" spans="2:17">
      <c r="B35" s="1261"/>
      <c r="C35" s="1262"/>
      <c r="D35" s="1253"/>
      <c r="E35" s="1254"/>
      <c r="F35" s="1254"/>
      <c r="G35" s="1254"/>
      <c r="H35" s="1254"/>
      <c r="I35" s="1255"/>
      <c r="J35" s="134"/>
      <c r="Q35" s="155"/>
    </row>
    <row r="36" spans="2:17">
      <c r="B36" s="1236" t="s">
        <v>142</v>
      </c>
      <c r="C36" s="1237"/>
      <c r="D36" s="1237"/>
      <c r="E36" s="1237"/>
      <c r="F36" s="1237"/>
      <c r="G36" s="1237"/>
      <c r="H36" s="1237"/>
      <c r="I36" s="1238"/>
      <c r="J36" s="134"/>
      <c r="Q36" s="155"/>
    </row>
    <row r="37" spans="2:17" ht="13.5" customHeight="1">
      <c r="B37" s="1239" t="s">
        <v>143</v>
      </c>
      <c r="C37" s="1240"/>
      <c r="D37" s="1258" t="s">
        <v>144</v>
      </c>
      <c r="E37" s="1259"/>
      <c r="F37" s="1260"/>
      <c r="G37" s="1258" t="s">
        <v>145</v>
      </c>
      <c r="H37" s="1259"/>
      <c r="I37" s="1260"/>
      <c r="J37" s="134"/>
      <c r="Q37" s="155"/>
    </row>
    <row r="38" spans="2:17">
      <c r="B38" s="1241"/>
      <c r="C38" s="1242"/>
      <c r="D38" s="1230"/>
      <c r="E38" s="1231"/>
      <c r="F38" s="1232"/>
      <c r="G38" s="1224"/>
      <c r="H38" s="1225"/>
      <c r="I38" s="1226"/>
      <c r="J38" s="134"/>
      <c r="Q38" s="155"/>
    </row>
    <row r="39" spans="2:17">
      <c r="B39" s="1241"/>
      <c r="C39" s="1242"/>
      <c r="D39" s="1230"/>
      <c r="E39" s="1231"/>
      <c r="F39" s="1232"/>
      <c r="G39" s="1224"/>
      <c r="H39" s="1225"/>
      <c r="I39" s="1226"/>
      <c r="J39" s="134"/>
      <c r="Q39" s="155"/>
    </row>
    <row r="40" spans="2:17">
      <c r="B40" s="1265"/>
      <c r="C40" s="1266"/>
      <c r="D40" s="1233"/>
      <c r="E40" s="1234"/>
      <c r="F40" s="1235"/>
      <c r="G40" s="1227"/>
      <c r="H40" s="1228"/>
      <c r="I40" s="1229"/>
      <c r="J40" s="134"/>
      <c r="Q40" s="155"/>
    </row>
    <row r="41" spans="2:17" ht="12.6" customHeight="1">
      <c r="B41" s="1251" t="s">
        <v>146</v>
      </c>
      <c r="C41" s="1252"/>
      <c r="D41" s="1256" t="e">
        <f>AVERAGE(D38:F40)</f>
        <v>#DIV/0!</v>
      </c>
      <c r="E41" s="1256"/>
      <c r="F41" s="1256"/>
      <c r="G41" s="1256"/>
      <c r="H41" s="1256"/>
      <c r="I41" s="1257"/>
      <c r="Q41" s="155"/>
    </row>
    <row r="42" spans="2:17" ht="20.25">
      <c r="B42" s="1246" t="s">
        <v>147</v>
      </c>
      <c r="C42" s="1247"/>
      <c r="D42" s="1247"/>
      <c r="E42" s="1247"/>
      <c r="F42" s="1247"/>
      <c r="G42" s="1247"/>
      <c r="H42" s="1247"/>
      <c r="I42" s="1248"/>
      <c r="J42" s="134"/>
      <c r="Q42" s="155"/>
    </row>
    <row r="43" spans="2:17">
      <c r="B43" s="293"/>
      <c r="C43" s="151"/>
      <c r="D43" s="152"/>
      <c r="E43" s="153"/>
      <c r="F43" s="153"/>
      <c r="G43" s="153"/>
      <c r="H43" s="153"/>
      <c r="I43" s="154"/>
      <c r="J43" s="134"/>
      <c r="Q43" s="155"/>
    </row>
    <row r="44" spans="2:17">
      <c r="B44" s="134"/>
      <c r="I44" s="155"/>
      <c r="J44" s="134"/>
      <c r="Q44" s="155"/>
    </row>
    <row r="45" spans="2:17" ht="12.75" customHeight="1">
      <c r="B45" s="1218"/>
      <c r="C45" s="1219"/>
      <c r="D45" s="1219"/>
      <c r="E45" s="1219"/>
      <c r="F45" s="1219"/>
      <c r="G45" s="1219"/>
      <c r="H45" s="1219"/>
      <c r="I45" s="1220"/>
      <c r="J45" s="134"/>
      <c r="Q45" s="155"/>
    </row>
    <row r="46" spans="2:17">
      <c r="B46" s="1218"/>
      <c r="C46" s="1219"/>
      <c r="D46" s="1219"/>
      <c r="E46" s="1219"/>
      <c r="F46" s="1219"/>
      <c r="G46" s="1219"/>
      <c r="H46" s="1219"/>
      <c r="I46" s="1220"/>
      <c r="J46" s="134"/>
      <c r="Q46" s="155"/>
    </row>
    <row r="47" spans="2:17">
      <c r="B47" s="1218"/>
      <c r="C47" s="1219"/>
      <c r="D47" s="1219"/>
      <c r="E47" s="1219"/>
      <c r="F47" s="1219"/>
      <c r="G47" s="1219"/>
      <c r="H47" s="1219"/>
      <c r="I47" s="1220"/>
      <c r="J47" s="134"/>
      <c r="Q47" s="155"/>
    </row>
    <row r="48" spans="2:17">
      <c r="B48" s="1218"/>
      <c r="C48" s="1219"/>
      <c r="D48" s="1219"/>
      <c r="E48" s="1219"/>
      <c r="F48" s="1219"/>
      <c r="G48" s="1219"/>
      <c r="H48" s="1219"/>
      <c r="I48" s="1220"/>
      <c r="J48" s="134"/>
      <c r="Q48" s="155"/>
    </row>
    <row r="49" spans="2:9">
      <c r="B49" s="1218"/>
      <c r="C49" s="1219"/>
      <c r="D49" s="1219"/>
      <c r="E49" s="1219"/>
      <c r="F49" s="1219"/>
      <c r="G49" s="1219"/>
      <c r="H49" s="1219"/>
      <c r="I49" s="1220"/>
    </row>
    <row r="50" spans="2:9">
      <c r="B50" s="1218"/>
      <c r="C50" s="1219"/>
      <c r="D50" s="1219"/>
      <c r="E50" s="1219"/>
      <c r="F50" s="1219"/>
      <c r="G50" s="1219"/>
      <c r="H50" s="1219"/>
      <c r="I50" s="1220"/>
    </row>
    <row r="51" spans="2:9">
      <c r="B51" s="1218"/>
      <c r="C51" s="1219"/>
      <c r="D51" s="1219"/>
      <c r="E51" s="1219"/>
      <c r="F51" s="1219"/>
      <c r="G51" s="1219"/>
      <c r="H51" s="1219"/>
      <c r="I51" s="1220"/>
    </row>
    <row r="52" spans="2:9">
      <c r="B52" s="1218"/>
      <c r="C52" s="1219"/>
      <c r="D52" s="1219"/>
      <c r="E52" s="1219"/>
      <c r="F52" s="1219"/>
      <c r="G52" s="1219"/>
      <c r="H52" s="1219"/>
      <c r="I52" s="1220"/>
    </row>
    <row r="53" spans="2:9">
      <c r="B53" s="1218"/>
      <c r="C53" s="1219"/>
      <c r="D53" s="1219"/>
      <c r="E53" s="1219"/>
      <c r="F53" s="1219"/>
      <c r="G53" s="1219"/>
      <c r="H53" s="1219"/>
      <c r="I53" s="1220"/>
    </row>
  </sheetData>
  <mergeCells count="45">
    <mergeCell ref="Q2:Y2"/>
    <mergeCell ref="K3:P3"/>
    <mergeCell ref="B2:P2"/>
    <mergeCell ref="K17:P17"/>
    <mergeCell ref="B30:C30"/>
    <mergeCell ref="B16:P16"/>
    <mergeCell ref="D17:I17"/>
    <mergeCell ref="D25:H25"/>
    <mergeCell ref="D26:H26"/>
    <mergeCell ref="D27:H27"/>
    <mergeCell ref="D28:H28"/>
    <mergeCell ref="D29:H29"/>
    <mergeCell ref="D30:H30"/>
    <mergeCell ref="I25:P25"/>
    <mergeCell ref="D3:I3"/>
    <mergeCell ref="B26:C26"/>
    <mergeCell ref="B29:C29"/>
    <mergeCell ref="B25:C25"/>
    <mergeCell ref="B28:C28"/>
    <mergeCell ref="B27:C27"/>
    <mergeCell ref="B40:C40"/>
    <mergeCell ref="B41:C41"/>
    <mergeCell ref="D34:I34"/>
    <mergeCell ref="D35:I35"/>
    <mergeCell ref="D41:I41"/>
    <mergeCell ref="D37:F37"/>
    <mergeCell ref="G37:I37"/>
    <mergeCell ref="B35:C35"/>
    <mergeCell ref="B39:C39"/>
    <mergeCell ref="B45:I53"/>
    <mergeCell ref="J32:Q32"/>
    <mergeCell ref="G39:I39"/>
    <mergeCell ref="G40:I40"/>
    <mergeCell ref="D38:F38"/>
    <mergeCell ref="D39:F39"/>
    <mergeCell ref="D40:F40"/>
    <mergeCell ref="B36:I36"/>
    <mergeCell ref="B37:C37"/>
    <mergeCell ref="B38:C38"/>
    <mergeCell ref="G38:I38"/>
    <mergeCell ref="B32:I32"/>
    <mergeCell ref="B42:I42"/>
    <mergeCell ref="B33:C33"/>
    <mergeCell ref="B34:C34"/>
    <mergeCell ref="D33:I33"/>
  </mergeCells>
  <phoneticPr fontId="0" type="noConversion"/>
  <conditionalFormatting sqref="B5:B13">
    <cfRule type="dataBar" priority="69">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9:B22">
    <cfRule type="dataBar" priority="7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13">
    <cfRule type="dataBar" priority="52">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9:D22">
    <cfRule type="dataBar" priority="71">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13">
    <cfRule type="dataBar" priority="2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9:I22">
    <cfRule type="dataBar" priority="72">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13">
    <cfRule type="dataBar" priority="51">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9:E22">
    <cfRule type="dataBar" priority="73">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13">
    <cfRule type="dataBar" priority="50">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9:F22">
    <cfRule type="dataBar" priority="74">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G13">
    <cfRule type="dataBar" priority="49">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9:G22">
    <cfRule type="dataBar" priority="75">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13">
    <cfRule type="dataBar" priority="4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9:H22">
    <cfRule type="dataBar" priority="76">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13">
    <cfRule type="dataBar" priority="47">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9:I22">
    <cfRule type="dataBar" priority="77">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13">
    <cfRule type="dataBar" priority="59">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9:K22">
    <cfRule type="dataBar" priority="78">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9:O22">
    <cfRule type="dataBar" priority="79">
      <dataBar>
        <cfvo type="min"/>
        <cfvo type="max"/>
        <color rgb="FF63C384"/>
      </dataBar>
      <extLst>
        <ext xmlns:x14="http://schemas.microsoft.com/office/spreadsheetml/2009/9/main" uri="{B025F937-C7B1-47D3-B67F-A62EFF666E3E}">
          <x14:id>{BE9D279A-ADD8-46F4-B26E-577DEFFA037B}</x14:id>
        </ext>
      </extLst>
    </cfRule>
    <cfRule type="dataBar" priority="80">
      <dataBar>
        <cfvo type="min"/>
        <cfvo type="max"/>
        <color rgb="FF63C384"/>
      </dataBar>
      <extLst>
        <ext xmlns:x14="http://schemas.microsoft.com/office/spreadsheetml/2009/9/main" uri="{B025F937-C7B1-47D3-B67F-A62EFF666E3E}">
          <x14:id>{CBC457F7-3DB8-46A0-988B-11CCF8FF31E5}</x14:id>
        </ext>
      </extLst>
    </cfRule>
    <cfRule type="dataBar" priority="81">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10 K11:O13">
    <cfRule type="dataBar" priority="32">
      <dataBar>
        <cfvo type="min"/>
        <cfvo type="max"/>
        <color rgb="FF63C384"/>
      </dataBar>
      <extLst>
        <ext xmlns:x14="http://schemas.microsoft.com/office/spreadsheetml/2009/9/main" uri="{B025F937-C7B1-47D3-B67F-A62EFF666E3E}">
          <x14:id>{1642E512-5328-4DB9-81F4-5A67EFFA2D7A}</x14:id>
        </ext>
      </extLst>
    </cfRule>
    <cfRule type="dataBar" priority="33">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9:P22">
    <cfRule type="dataBar" priority="82">
      <dataBar>
        <cfvo type="min"/>
        <cfvo type="max"/>
        <color rgb="FF63C384"/>
      </dataBar>
      <extLst>
        <ext xmlns:x14="http://schemas.microsoft.com/office/spreadsheetml/2009/9/main" uri="{B025F937-C7B1-47D3-B67F-A62EFF666E3E}">
          <x14:id>{A85696C3-3FD4-4347-BBC8-6CEF041D9BC2}</x14:id>
        </ext>
      </extLst>
    </cfRule>
    <cfRule type="dataBar" priority="83">
      <dataBar>
        <cfvo type="min"/>
        <cfvo type="max"/>
        <color rgb="FF63C384"/>
      </dataBar>
      <extLst>
        <ext xmlns:x14="http://schemas.microsoft.com/office/spreadsheetml/2009/9/main" uri="{B025F937-C7B1-47D3-B67F-A62EFF666E3E}">
          <x14:id>{4CBCF4A4-EFBB-41F0-984E-0C4EF2D8C81C}</x14:id>
        </ext>
      </extLst>
    </cfRule>
    <cfRule type="dataBar" priority="84">
      <dataBar>
        <cfvo type="min"/>
        <cfvo type="max"/>
        <color rgb="FF63C384"/>
      </dataBar>
      <extLst>
        <ext xmlns:x14="http://schemas.microsoft.com/office/spreadsheetml/2009/9/main" uri="{B025F937-C7B1-47D3-B67F-A62EFF666E3E}">
          <x14:id>{9095667E-69EE-4811-BEDE-AFA010708C3B}</x14:id>
        </ext>
      </extLst>
    </cfRule>
    <cfRule type="dataBar" priority="85">
      <dataBar>
        <cfvo type="min"/>
        <cfvo type="max"/>
        <color rgb="FF63C384"/>
      </dataBar>
      <extLst>
        <ext xmlns:x14="http://schemas.microsoft.com/office/spreadsheetml/2009/9/main" uri="{B025F937-C7B1-47D3-B67F-A62EFF666E3E}">
          <x14:id>{00030478-9DDE-4C48-B970-8BFEEA7887D7}</x14:id>
        </ext>
      </extLst>
    </cfRule>
    <cfRule type="dataBar" priority="86">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L13">
    <cfRule type="dataBar" priority="57">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9:L22">
    <cfRule type="dataBar" priority="87">
      <dataBar>
        <cfvo type="min"/>
        <cfvo type="max"/>
        <color rgb="FF63C384"/>
      </dataBar>
      <extLst>
        <ext xmlns:x14="http://schemas.microsoft.com/office/spreadsheetml/2009/9/main" uri="{B025F937-C7B1-47D3-B67F-A62EFF666E3E}">
          <x14:id>{4BEF7755-0998-42F9-BE2B-3DDE71DD6879}</x14:id>
        </ext>
      </extLst>
    </cfRule>
  </conditionalFormatting>
  <conditionalFormatting sqref="M21:M22">
    <cfRule type="dataBar" priority="88">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10 M11:O13">
    <cfRule type="dataBar" priority="3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9:N22">
    <cfRule type="dataBar" priority="89">
      <dataBar>
        <cfvo type="min"/>
        <cfvo type="max"/>
        <color rgb="FF63C384"/>
      </dataBar>
      <extLst>
        <ext xmlns:x14="http://schemas.microsoft.com/office/spreadsheetml/2009/9/main" uri="{B025F937-C7B1-47D3-B67F-A62EFF666E3E}">
          <x14:id>{E359D2BF-B4C7-4D3A-9103-4CBEE70A31B4}</x14:id>
        </ext>
      </extLst>
    </cfRule>
  </conditionalFormatting>
  <conditionalFormatting sqref="O19:O22">
    <cfRule type="dataBar" priority="90">
      <dataBar>
        <cfvo type="min"/>
        <cfvo type="max"/>
        <color rgb="FF63C384"/>
      </dataBar>
      <extLst>
        <ext xmlns:x14="http://schemas.microsoft.com/office/spreadsheetml/2009/9/main" uri="{B025F937-C7B1-47D3-B67F-A62EFF666E3E}">
          <x14:id>{26AC0999-7FF4-4431-B91F-7A7C0E85B670}</x14:id>
        </ext>
      </extLst>
    </cfRule>
  </conditionalFormatting>
  <conditionalFormatting sqref="P11:P12">
    <cfRule type="dataBar" priority="53">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3">
    <cfRule type="dataBar" priority="1">
      <dataBar>
        <cfvo type="min"/>
        <cfvo type="max"/>
        <color rgb="FF63C384"/>
      </dataBar>
      <extLst>
        <ext xmlns:x14="http://schemas.microsoft.com/office/spreadsheetml/2009/9/main" uri="{B025F937-C7B1-47D3-B67F-A62EFF666E3E}">
          <x14:id>{BD1D8FFF-9173-4ACB-BBA1-62A3B463D33B}</x14:id>
        </ext>
      </extLst>
    </cfRule>
    <cfRule type="dataBar" priority="2">
      <dataBar>
        <cfvo type="min"/>
        <cfvo type="max"/>
        <color rgb="FF63C384"/>
      </dataBar>
      <extLst>
        <ext xmlns:x14="http://schemas.microsoft.com/office/spreadsheetml/2009/9/main" uri="{B025F937-C7B1-47D3-B67F-A62EFF666E3E}">
          <x14:id>{C5620D93-00F8-46A1-9BC7-8DFFC76E1413}</x14:id>
        </ext>
      </extLst>
    </cfRule>
    <cfRule type="dataBar" priority="3">
      <dataBar>
        <cfvo type="min"/>
        <cfvo type="max"/>
        <color rgb="FF63C384"/>
      </dataBar>
      <extLst>
        <ext xmlns:x14="http://schemas.microsoft.com/office/spreadsheetml/2009/9/main" uri="{B025F937-C7B1-47D3-B67F-A62EFF666E3E}">
          <x14:id>{A6371376-0732-4548-B96F-60ACA8CCB848}</x14:id>
        </ext>
      </extLst>
    </cfRule>
  </conditionalFormatting>
  <conditionalFormatting sqref="P19:P22">
    <cfRule type="dataBar" priority="91">
      <dataBar>
        <cfvo type="min"/>
        <cfvo type="max"/>
        <color rgb="FF63C384"/>
      </dataBar>
      <extLst>
        <ext xmlns:x14="http://schemas.microsoft.com/office/spreadsheetml/2009/9/main" uri="{B025F937-C7B1-47D3-B67F-A62EFF666E3E}">
          <x14:id>{00154FAC-2C70-4EF2-A308-BA8404420986}</x14:id>
        </ext>
      </extLst>
    </cfRule>
  </conditionalFormatting>
  <pageMargins left="0.75" right="0.75" top="1" bottom="1" header="0" footer="0"/>
  <pageSetup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B5:B13</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B19:B22</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D5:D13</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D19:D22</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D5:I13</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D19:I22</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E5:E13</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E19:E22</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F5:F13</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F19:F22</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G5:G13</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G19:G22</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H5:H13</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H19:H22</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I5:I13</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I19:I22</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K5:K13</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K19:K22</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K19:O22</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K5:P10 K11:O13</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K19:P22</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L5:L13</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L19:L22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M21:M22</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 M11:O13</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N19:N22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O19:O22</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BD1D8FFF-9173-4ACB-BBA1-62A3B463D33B}">
            <x14:dataBar minLength="0" maxLength="100" gradient="0">
              <x14:cfvo type="autoMin"/>
              <x14:cfvo type="autoMax"/>
              <x14:negativeFillColor rgb="FFFF0000"/>
              <x14:axisColor rgb="FF000000"/>
            </x14:dataBar>
          </x14:cfRule>
          <x14:cfRule type="dataBar" id="{C5620D93-00F8-46A1-9BC7-8DFFC76E14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6371376-0732-4548-B96F-60ACA8CCB848}">
            <x14:dataBar minLength="0" maxLength="100" gradient="0">
              <x14:cfvo type="autoMin"/>
              <x14:cfvo type="autoMax"/>
              <x14:negativeFillColor rgb="FFFF0000"/>
              <x14:axisColor rgb="FF000000"/>
            </x14:dataBar>
          </x14:cfRule>
          <xm:sqref>P13</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P19:P22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148</v>
      </c>
    </row>
    <row r="2" spans="1:1">
      <c r="A2" t="s">
        <v>149</v>
      </c>
    </row>
    <row r="3" spans="1:1">
      <c r="A3" t="s">
        <v>150</v>
      </c>
    </row>
    <row r="4" spans="1:1">
      <c r="A4" t="s">
        <v>151</v>
      </c>
    </row>
    <row r="5" spans="1:1">
      <c r="A5" t="s">
        <v>152</v>
      </c>
    </row>
    <row r="6" spans="1:1">
      <c r="A6" s="8" t="s">
        <v>153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74"/>
  <sheetViews>
    <sheetView showGridLines="0" tabSelected="1" topLeftCell="B51" zoomScaleNormal="100" workbookViewId="0">
      <selection activeCell="D54" sqref="D54"/>
    </sheetView>
  </sheetViews>
  <sheetFormatPr defaultColWidth="11.42578125" defaultRowHeight="12.75"/>
  <cols>
    <col min="1" max="1" width="0.42578125" customWidth="1"/>
    <col min="2" max="2" width="31.7109375" bestFit="1" customWidth="1"/>
    <col min="3" max="4" width="32.140625" customWidth="1"/>
    <col min="5" max="5" width="33.42578125" customWidth="1"/>
    <col min="6" max="6" width="33.85546875" customWidth="1"/>
    <col min="7" max="7" width="32.140625" customWidth="1"/>
    <col min="8" max="8" width="33.140625" customWidth="1"/>
    <col min="9" max="9" width="15.42578125" customWidth="1"/>
    <col min="10" max="10" width="10.7109375" customWidth="1"/>
  </cols>
  <sheetData>
    <row r="1" spans="1:14" ht="15">
      <c r="B1" s="190" t="s">
        <v>154</v>
      </c>
      <c r="C1" s="191" t="s">
        <v>155</v>
      </c>
      <c r="D1" s="1298" t="s">
        <v>136</v>
      </c>
      <c r="E1" s="1298"/>
      <c r="F1" s="1298"/>
      <c r="G1" s="1298"/>
      <c r="H1" s="1298"/>
    </row>
    <row r="2" spans="1:14" ht="81.75" customHeight="1">
      <c r="B2" s="192" t="e" vm="2">
        <v>#VALUE!</v>
      </c>
      <c r="C2" s="386" t="s">
        <v>156</v>
      </c>
      <c r="D2" s="1295" t="e" cm="1" vm="3">
        <f t="array" ref="D2">_FV(C2,"Description")</f>
        <v>#VALUE!</v>
      </c>
      <c r="E2" s="1296"/>
      <c r="F2" s="1296"/>
      <c r="G2" s="1296"/>
      <c r="H2" s="1297"/>
    </row>
    <row r="3" spans="1:14" ht="81.75" customHeight="1">
      <c r="A3" s="1453" t="s">
        <v>157</v>
      </c>
      <c r="B3" s="192" t="e" vm="4">
        <v>#VALUE!</v>
      </c>
      <c r="C3" s="387" t="s">
        <v>158</v>
      </c>
      <c r="D3" s="1295" t="e" cm="1" vm="3">
        <f t="array" ref="D3">_FV(C3,"Description")</f>
        <v>#VALUE!</v>
      </c>
      <c r="E3" s="1296"/>
      <c r="F3" s="1296"/>
      <c r="G3" s="1296"/>
      <c r="H3" s="1297"/>
    </row>
    <row r="4" spans="1:14" ht="81.75" customHeight="1">
      <c r="A4" s="1454" t="s">
        <v>159</v>
      </c>
      <c r="B4" s="192"/>
      <c r="C4" s="388"/>
      <c r="D4" s="1295" t="e" cm="1" vm="3">
        <f t="array" ref="D4">_FV(C4,"Description")</f>
        <v>#VALUE!</v>
      </c>
      <c r="E4" s="1296"/>
      <c r="F4" s="1296"/>
      <c r="G4" s="1296"/>
      <c r="H4" s="1297"/>
    </row>
    <row r="5" spans="1:14" ht="81.75" customHeight="1">
      <c r="A5" s="1454" t="s">
        <v>160</v>
      </c>
      <c r="B5" s="192"/>
      <c r="C5" s="389"/>
      <c r="D5" s="1295" t="e" cm="1" vm="3">
        <f t="array" ref="D5">_FV(C5,"Description")</f>
        <v>#VALUE!</v>
      </c>
      <c r="E5" s="1296"/>
      <c r="F5" s="1296"/>
      <c r="G5" s="1296"/>
      <c r="H5" s="1297"/>
    </row>
    <row r="6" spans="1:14" ht="81.75" customHeight="1">
      <c r="B6" s="192"/>
      <c r="C6" s="390"/>
      <c r="D6" s="1295" t="e" cm="1" vm="3">
        <f t="array" ref="D6">_FV(C6,"Description")</f>
        <v>#VALUE!</v>
      </c>
      <c r="E6" s="1296"/>
      <c r="F6" s="1296"/>
      <c r="G6" s="1296"/>
      <c r="H6" s="1297"/>
      <c r="L6" s="1"/>
    </row>
    <row r="7" spans="1:14" ht="13.5" thickBot="1">
      <c r="B7" s="8"/>
    </row>
    <row r="8" spans="1:14" ht="36" customHeight="1" thickBot="1">
      <c r="B8" s="189" t="s">
        <v>161</v>
      </c>
      <c r="C8" s="380" t="e" vm="1">
        <f>OP!E2</f>
        <v>#VALUE!</v>
      </c>
      <c r="D8" s="381" t="str">
        <f>C2</f>
        <v>nvidia</v>
      </c>
      <c r="E8" s="382" t="str">
        <f>C3</f>
        <v>intel</v>
      </c>
      <c r="F8" s="383">
        <f>C4</f>
        <v>0</v>
      </c>
      <c r="G8" s="658">
        <f>C5</f>
        <v>0</v>
      </c>
      <c r="H8" s="385">
        <f>C6</f>
        <v>0</v>
      </c>
      <c r="I8" s="185" t="s">
        <v>162</v>
      </c>
      <c r="J8" s="626" t="s">
        <v>163</v>
      </c>
    </row>
    <row r="9" spans="1:14" ht="16.5" customHeight="1" thickBot="1">
      <c r="B9" s="183" t="s">
        <v>164</v>
      </c>
      <c r="C9" s="167"/>
      <c r="D9" s="168"/>
      <c r="E9" s="168"/>
      <c r="F9" s="168"/>
      <c r="G9" s="168"/>
      <c r="H9" s="169"/>
      <c r="I9" s="170" t="str">
        <f>IFERROR(AVERAGE(C9:H9),"")</f>
        <v/>
      </c>
      <c r="J9" s="601"/>
      <c r="L9" s="1287" t="s">
        <v>165</v>
      </c>
      <c r="M9" s="1288"/>
      <c r="N9" s="1289"/>
    </row>
    <row r="10" spans="1:14" ht="13.5" customHeight="1" thickBot="1">
      <c r="B10" s="182" t="s">
        <v>166</v>
      </c>
      <c r="C10" s="165" cm="1">
        <f t="array" ref="C10">_FV(C8,"Market cap",TRUE)/1000000</f>
        <v>236990.8</v>
      </c>
      <c r="D10" s="165" t="e" cm="1" vm="5">
        <f t="array" ref="D10">_FV(D8,"Market cap",TRUE)/1000000</f>
        <v>#VALUE!</v>
      </c>
      <c r="E10" s="165">
        <f>4228*E45</f>
        <v>212457</v>
      </c>
      <c r="F10" s="165" t="e" cm="1" vm="5">
        <f t="array" ref="F10">_FV(F8,"Market cap",TRUE)/1000000</f>
        <v>#VALUE!</v>
      </c>
      <c r="G10" s="165" t="e" cm="1" vm="5">
        <f t="array" ref="G10">_FV(G8,"Market cap",TRUE)/1000000</f>
        <v>#VALUE!</v>
      </c>
      <c r="H10" s="165" t="e" cm="1" vm="5">
        <f t="array" ref="H10">_FV(H8,"Market cap",TRUE)/1000000</f>
        <v>#VALUE!</v>
      </c>
      <c r="I10" s="555" t="str">
        <f>IFERROR(AVERAGE(C10:H10),"")</f>
        <v/>
      </c>
      <c r="J10" s="602" t="e">
        <f>SQRT((C10-I10)^2)</f>
        <v>#VALUE!</v>
      </c>
      <c r="L10" s="1290"/>
      <c r="M10" s="1285" t="s">
        <v>167</v>
      </c>
      <c r="N10" s="1286"/>
    </row>
    <row r="11" spans="1:14" ht="13.5" thickBot="1">
      <c r="B11" s="523" t="s">
        <v>168</v>
      </c>
      <c r="C11" s="524">
        <f>C56</f>
        <v>22680</v>
      </c>
      <c r="D11" s="524">
        <f t="shared" ref="D11:H11" si="0">D56</f>
        <v>60922</v>
      </c>
      <c r="E11" s="524">
        <f t="shared" si="0"/>
        <v>54228</v>
      </c>
      <c r="F11" s="524">
        <f t="shared" si="0"/>
        <v>0</v>
      </c>
      <c r="G11" s="524">
        <f t="shared" si="0"/>
        <v>0</v>
      </c>
      <c r="H11" s="524">
        <f t="shared" si="0"/>
        <v>0</v>
      </c>
      <c r="I11" s="556">
        <f t="shared" ref="I11:I40" si="1">IFERROR(AVERAGE(C11:H11),"")</f>
        <v>22971.666666666668</v>
      </c>
      <c r="J11" s="603">
        <f t="shared" ref="J11:J50" si="2">SQRT((C11-I11)^2)</f>
        <v>291.66666666666788</v>
      </c>
      <c r="L11" s="1290"/>
      <c r="M11" s="1285"/>
      <c r="N11" s="1286"/>
    </row>
    <row r="12" spans="1:14" ht="16.5" customHeight="1" thickBot="1">
      <c r="B12" s="183" t="s">
        <v>169</v>
      </c>
      <c r="C12" s="188"/>
      <c r="D12" s="188"/>
      <c r="E12" s="188"/>
      <c r="F12" s="188"/>
      <c r="G12" s="188"/>
      <c r="H12" s="188"/>
      <c r="I12" s="557" t="str">
        <f t="shared" si="1"/>
        <v/>
      </c>
      <c r="J12" s="604"/>
      <c r="L12" s="1284"/>
      <c r="M12" s="1285" t="s">
        <v>170</v>
      </c>
      <c r="N12" s="1286"/>
    </row>
    <row r="13" spans="1:14" ht="13.5" thickBot="1">
      <c r="B13" s="182" t="s">
        <v>171</v>
      </c>
      <c r="C13" s="534">
        <f>C56/C55-1</f>
        <v>-3.9023770179229644E-2</v>
      </c>
      <c r="D13" s="534">
        <f t="shared" ref="D13:H13" si="3">D56/D55-1</f>
        <v>1.2585452658115224</v>
      </c>
      <c r="E13" s="534">
        <f t="shared" si="3"/>
        <v>-0.13997525930155108</v>
      </c>
      <c r="F13" s="534" t="e">
        <f t="shared" si="3"/>
        <v>#DIV/0!</v>
      </c>
      <c r="G13" s="534" t="e">
        <f t="shared" si="3"/>
        <v>#DIV/0!</v>
      </c>
      <c r="H13" s="534" t="e">
        <f t="shared" si="3"/>
        <v>#DIV/0!</v>
      </c>
      <c r="I13" s="558" t="str">
        <f t="shared" si="1"/>
        <v/>
      </c>
      <c r="J13" s="605" t="e">
        <f t="shared" si="2"/>
        <v>#VALUE!</v>
      </c>
      <c r="L13" s="1284"/>
      <c r="M13" s="1285"/>
      <c r="N13" s="1286"/>
    </row>
    <row r="14" spans="1:14" ht="13.5" thickBot="1">
      <c r="B14" s="525" t="s">
        <v>172</v>
      </c>
      <c r="C14" s="526">
        <f>C56/C54-1</f>
        <v>1.3230564375704188</v>
      </c>
      <c r="D14" s="526" t="e">
        <f t="shared" ref="D14:H14" si="4">D56/D54-1</f>
        <v>#DIV/0!</v>
      </c>
      <c r="E14" s="526">
        <f t="shared" si="4"/>
        <v>-0.30358174836580321</v>
      </c>
      <c r="F14" s="526" t="e">
        <f t="shared" si="4"/>
        <v>#DIV/0!</v>
      </c>
      <c r="G14" s="526" t="e">
        <f t="shared" si="4"/>
        <v>#DIV/0!</v>
      </c>
      <c r="H14" s="526" t="e">
        <f t="shared" si="4"/>
        <v>#DIV/0!</v>
      </c>
      <c r="I14" s="559" t="str">
        <f t="shared" si="1"/>
        <v/>
      </c>
      <c r="J14" s="606" t="e">
        <f t="shared" si="2"/>
        <v>#VALUE!</v>
      </c>
      <c r="L14" s="1291"/>
      <c r="M14" s="1285" t="s">
        <v>173</v>
      </c>
      <c r="N14" s="1286"/>
    </row>
    <row r="15" spans="1:14" ht="13.5" thickBot="1">
      <c r="B15" s="535" t="s">
        <v>88</v>
      </c>
      <c r="C15" s="536">
        <f>C59/C56</f>
        <v>1.7680776014109348E-2</v>
      </c>
      <c r="D15" s="536">
        <f t="shared" ref="D15:H15" si="5">D59/D56</f>
        <v>0</v>
      </c>
      <c r="E15" s="536">
        <f t="shared" si="5"/>
        <v>1.714981190528878E-3</v>
      </c>
      <c r="F15" s="536" t="e">
        <f t="shared" si="5"/>
        <v>#DIV/0!</v>
      </c>
      <c r="G15" s="536" t="e">
        <f t="shared" si="5"/>
        <v>#DIV/0!</v>
      </c>
      <c r="H15" s="536" t="e">
        <f t="shared" si="5"/>
        <v>#DIV/0!</v>
      </c>
      <c r="I15" s="559" t="str">
        <f>IFERROR(AVERAGE(C15:H15),"")</f>
        <v/>
      </c>
      <c r="J15" s="607" t="e">
        <f t="shared" si="2"/>
        <v>#VALUE!</v>
      </c>
      <c r="L15" s="1292"/>
      <c r="M15" s="1293"/>
      <c r="N15" s="1294"/>
    </row>
    <row r="16" spans="1:14" ht="13.5" thickBot="1">
      <c r="B16" s="525" t="s">
        <v>174</v>
      </c>
      <c r="C16" s="526">
        <f>C62/C56</f>
        <v>3.7654320987654324E-2</v>
      </c>
      <c r="D16" s="526">
        <f t="shared" ref="D16:H16" si="6">D62/D56</f>
        <v>0</v>
      </c>
      <c r="E16" s="526">
        <f t="shared" si="6"/>
        <v>3.088810208748248E-2</v>
      </c>
      <c r="F16" s="526" t="e">
        <f t="shared" si="6"/>
        <v>#DIV/0!</v>
      </c>
      <c r="G16" s="526" t="e">
        <f t="shared" si="6"/>
        <v>#DIV/0!</v>
      </c>
      <c r="H16" s="526" t="e">
        <f t="shared" si="6"/>
        <v>#DIV/0!</v>
      </c>
      <c r="I16" s="559" t="str">
        <f t="shared" si="1"/>
        <v/>
      </c>
      <c r="J16" s="606" t="e">
        <f t="shared" si="2"/>
        <v>#VALUE!</v>
      </c>
    </row>
    <row r="17" spans="1:10" ht="13.5" thickBot="1">
      <c r="B17" s="535" t="s">
        <v>175</v>
      </c>
      <c r="C17" s="536">
        <f>C62/C74</f>
        <v>1.5279467544550203E-2</v>
      </c>
      <c r="D17" s="536" t="e">
        <f t="shared" ref="D17:H17" si="7">D62/D74</f>
        <v>#DIV/0!</v>
      </c>
      <c r="E17" s="536">
        <f t="shared" si="7"/>
        <v>1.5863244625438016E-2</v>
      </c>
      <c r="F17" s="536" t="e">
        <f t="shared" si="7"/>
        <v>#DIV/0!</v>
      </c>
      <c r="G17" s="536" t="e">
        <f t="shared" si="7"/>
        <v>#DIV/0!</v>
      </c>
      <c r="H17" s="536" t="e">
        <f t="shared" si="7"/>
        <v>#DIV/0!</v>
      </c>
      <c r="I17" s="559" t="str">
        <f t="shared" si="1"/>
        <v/>
      </c>
      <c r="J17" s="607" t="e">
        <f t="shared" si="2"/>
        <v>#VALUE!</v>
      </c>
    </row>
    <row r="18" spans="1:10" ht="13.5" thickBot="1">
      <c r="B18" s="523" t="s">
        <v>176</v>
      </c>
      <c r="C18" s="527">
        <f>(1+C61/(C59+C60))*C59/(C73+C74-C65)</f>
        <v>1.2515762483628783E-2</v>
      </c>
      <c r="D18" s="527" t="e">
        <f t="shared" ref="D18:H18" si="8">(1+D61/(D59+D60))*D59/(D73+D74-D65)</f>
        <v>#DIV/0!</v>
      </c>
      <c r="E18" s="527">
        <f t="shared" si="8"/>
        <v>1.4251371531076706E-3</v>
      </c>
      <c r="F18" s="527" t="e">
        <f t="shared" si="8"/>
        <v>#DIV/0!</v>
      </c>
      <c r="G18" s="527" t="e">
        <f t="shared" si="8"/>
        <v>#DIV/0!</v>
      </c>
      <c r="H18" s="527" t="e">
        <f t="shared" si="8"/>
        <v>#DIV/0!</v>
      </c>
      <c r="I18" s="560" t="str">
        <f t="shared" si="1"/>
        <v/>
      </c>
      <c r="J18" s="608" t="e">
        <f t="shared" si="2"/>
        <v>#VALUE!</v>
      </c>
    </row>
    <row r="19" spans="1:10" ht="16.5" thickBot="1">
      <c r="B19" s="183" t="s">
        <v>177</v>
      </c>
      <c r="C19" s="188"/>
      <c r="D19" s="188"/>
      <c r="E19" s="188"/>
      <c r="F19" s="188"/>
      <c r="G19" s="188"/>
      <c r="H19" s="188"/>
      <c r="I19" s="561" t="str">
        <f t="shared" si="1"/>
        <v/>
      </c>
      <c r="J19" s="604"/>
    </row>
    <row r="20" spans="1:10" ht="13.5" thickBot="1">
      <c r="B20" s="182" t="s">
        <v>46</v>
      </c>
      <c r="C20" s="537">
        <f>C73/C70</f>
        <v>3.3173749723797601E-2</v>
      </c>
      <c r="D20" s="537" t="e">
        <f t="shared" ref="D20:H20" si="9">D73/D70</f>
        <v>#DIV/0!</v>
      </c>
      <c r="E20" s="537">
        <f t="shared" si="9"/>
        <v>0.25716701814461401</v>
      </c>
      <c r="F20" s="537" t="e">
        <f t="shared" si="9"/>
        <v>#DIV/0!</v>
      </c>
      <c r="G20" s="537" t="e">
        <f t="shared" si="9"/>
        <v>#DIV/0!</v>
      </c>
      <c r="H20" s="537" t="e">
        <f t="shared" si="9"/>
        <v>#DIV/0!</v>
      </c>
      <c r="I20" s="562" t="str">
        <f>IFERROR(AVERAGE(C20:H20),"")</f>
        <v/>
      </c>
      <c r="J20" s="609" t="e">
        <f t="shared" si="2"/>
        <v>#VALUE!</v>
      </c>
    </row>
    <row r="21" spans="1:10" ht="13.5" thickBot="1">
      <c r="B21" s="525" t="s">
        <v>178</v>
      </c>
      <c r="C21" s="528">
        <f>(C73-C65)/C58</f>
        <v>-0.43707748309932398</v>
      </c>
      <c r="D21" s="529" t="e">
        <f t="shared" ref="D21:H21" si="10">(D73-D65)/D58</f>
        <v>#DIV/0!</v>
      </c>
      <c r="E21" s="529">
        <f t="shared" si="10"/>
        <v>5.3132241813602015</v>
      </c>
      <c r="F21" s="529" t="e">
        <f t="shared" si="10"/>
        <v>#DIV/0!</v>
      </c>
      <c r="G21" s="529" t="e">
        <f t="shared" si="10"/>
        <v>#DIV/0!</v>
      </c>
      <c r="H21" s="529" t="e">
        <f t="shared" si="10"/>
        <v>#DIV/0!</v>
      </c>
      <c r="I21" s="562" t="str">
        <f t="shared" si="1"/>
        <v/>
      </c>
      <c r="J21" s="610" t="e">
        <f t="shared" si="2"/>
        <v>#VALUE!</v>
      </c>
    </row>
    <row r="22" spans="1:10" ht="13.5" thickBot="1">
      <c r="B22" s="538" t="s">
        <v>179</v>
      </c>
      <c r="C22" s="552">
        <f t="shared" ref="C22:H22" si="11">-C58/C60</f>
        <v>-38.848484848484851</v>
      </c>
      <c r="D22" s="552" t="e">
        <f t="shared" si="11"/>
        <v>#DIV/0!</v>
      </c>
      <c r="E22" s="552">
        <f t="shared" si="11"/>
        <v>-12.623211446740859</v>
      </c>
      <c r="F22" s="552" t="e">
        <f t="shared" si="11"/>
        <v>#DIV/0!</v>
      </c>
      <c r="G22" s="552" t="e">
        <f t="shared" si="11"/>
        <v>#DIV/0!</v>
      </c>
      <c r="H22" s="552" t="e">
        <f t="shared" si="11"/>
        <v>#DIV/0!</v>
      </c>
      <c r="I22" s="563" t="str">
        <f t="shared" si="1"/>
        <v/>
      </c>
      <c r="J22" s="611" t="e">
        <f t="shared" si="2"/>
        <v>#VALUE!</v>
      </c>
    </row>
    <row r="23" spans="1:10" ht="16.5" thickBot="1">
      <c r="B23" s="183" t="s">
        <v>180</v>
      </c>
      <c r="C23" s="188"/>
      <c r="D23" s="188"/>
      <c r="E23" s="188"/>
      <c r="F23" s="188"/>
      <c r="G23" s="188"/>
      <c r="H23" s="188"/>
      <c r="I23" s="564"/>
      <c r="J23" s="604"/>
    </row>
    <row r="24" spans="1:10" ht="13.5" thickBot="1">
      <c r="B24" s="530" t="s">
        <v>181</v>
      </c>
      <c r="C24" s="531">
        <f>C68/C72</f>
        <v>2.5068022125878309</v>
      </c>
      <c r="D24" s="531" t="e">
        <f t="shared" ref="D24:H24" si="12">D68/D72</f>
        <v>#DIV/0!</v>
      </c>
      <c r="E24" s="531">
        <f t="shared" si="12"/>
        <v>1.5424018821516416</v>
      </c>
      <c r="F24" s="531" t="e">
        <f t="shared" si="12"/>
        <v>#DIV/0!</v>
      </c>
      <c r="G24" s="531" t="e">
        <f t="shared" si="12"/>
        <v>#DIV/0!</v>
      </c>
      <c r="H24" s="531" t="e">
        <f t="shared" si="12"/>
        <v>#DIV/0!</v>
      </c>
      <c r="I24" s="565" t="str">
        <f t="shared" si="1"/>
        <v/>
      </c>
      <c r="J24" s="612" t="e">
        <f t="shared" si="2"/>
        <v>#VALUE!</v>
      </c>
    </row>
    <row r="25" spans="1:10" ht="13.5" thickBot="1">
      <c r="B25" s="538" t="s">
        <v>182</v>
      </c>
      <c r="C25" s="539">
        <f>(C65+C66)/C72</f>
        <v>1.3916878457168484</v>
      </c>
      <c r="D25" s="539" t="e">
        <f t="shared" ref="D25:H25" si="13">(D65+D66)/D72</f>
        <v>#DIV/0!</v>
      </c>
      <c r="E25" s="539">
        <f t="shared" si="13"/>
        <v>0.37361423020710799</v>
      </c>
      <c r="F25" s="539" t="e">
        <f t="shared" si="13"/>
        <v>#DIV/0!</v>
      </c>
      <c r="G25" s="539" t="e">
        <f t="shared" si="13"/>
        <v>#DIV/0!</v>
      </c>
      <c r="H25" s="539" t="e">
        <f t="shared" si="13"/>
        <v>#DIV/0!</v>
      </c>
      <c r="I25" s="563" t="str">
        <f t="shared" si="1"/>
        <v/>
      </c>
      <c r="J25" s="613" t="e">
        <f t="shared" si="2"/>
        <v>#VALUE!</v>
      </c>
    </row>
    <row r="26" spans="1:10" ht="16.5" thickBot="1">
      <c r="B26" s="183" t="s">
        <v>183</v>
      </c>
      <c r="C26" s="188"/>
      <c r="D26" s="188"/>
      <c r="E26" s="188"/>
      <c r="F26" s="188"/>
      <c r="G26" s="188"/>
      <c r="H26" s="188"/>
      <c r="I26" s="564" t="str">
        <f t="shared" si="1"/>
        <v/>
      </c>
      <c r="J26" s="604"/>
    </row>
    <row r="27" spans="1:10" ht="13.5" thickBot="1">
      <c r="B27" s="530" t="s">
        <v>184</v>
      </c>
      <c r="C27" s="540">
        <f>C57/C67</f>
        <v>2.8085497586761665</v>
      </c>
      <c r="D27" s="531" t="e">
        <f t="shared" ref="D27:H27" si="14">D57/D67</f>
        <v>#DIV/0!</v>
      </c>
      <c r="E27" s="531">
        <f t="shared" si="14"/>
        <v>2.9223510380156377</v>
      </c>
      <c r="F27" s="531" t="e">
        <f t="shared" si="14"/>
        <v>#DIV/0!</v>
      </c>
      <c r="G27" s="531" t="e">
        <f t="shared" si="14"/>
        <v>#DIV/0!</v>
      </c>
      <c r="H27" s="531" t="e">
        <f t="shared" si="14"/>
        <v>#DIV/0!</v>
      </c>
      <c r="I27" s="565" t="str">
        <f t="shared" si="1"/>
        <v/>
      </c>
      <c r="J27" s="612" t="e">
        <f t="shared" si="2"/>
        <v>#VALUE!</v>
      </c>
    </row>
    <row r="28" spans="1:10" ht="13.5" thickBot="1">
      <c r="B28" s="535" t="s">
        <v>185</v>
      </c>
      <c r="C28" s="539">
        <f>C56/C66</f>
        <v>4.21875</v>
      </c>
      <c r="D28" s="539" t="e">
        <f t="shared" ref="D28:H28" si="15">D56/D66</f>
        <v>#DIV/0!</v>
      </c>
      <c r="E28" s="539">
        <f>E56/E66</f>
        <v>15.940035273368606</v>
      </c>
      <c r="F28" s="539" t="e">
        <f t="shared" si="15"/>
        <v>#DIV/0!</v>
      </c>
      <c r="G28" s="539" t="e">
        <f>G56/G66</f>
        <v>#DIV/0!</v>
      </c>
      <c r="H28" s="539" t="e">
        <f t="shared" si="15"/>
        <v>#DIV/0!</v>
      </c>
      <c r="I28" s="562" t="str">
        <f t="shared" si="1"/>
        <v/>
      </c>
      <c r="J28" s="613" t="e">
        <f t="shared" si="2"/>
        <v>#VALUE!</v>
      </c>
    </row>
    <row r="29" spans="1:10" ht="13.5" thickBot="1">
      <c r="A29" s="8" t="s">
        <v>186</v>
      </c>
      <c r="B29" s="525" t="s">
        <v>187</v>
      </c>
      <c r="C29" s="532">
        <f>C57/C71</f>
        <v>5.053763440860215</v>
      </c>
      <c r="D29" s="529" t="e">
        <f t="shared" ref="D29:H29" si="16">D57/D71</f>
        <v>#DIV/0!</v>
      </c>
      <c r="E29" s="529">
        <f t="shared" si="16"/>
        <v>3.7907437631149454</v>
      </c>
      <c r="F29" s="529" t="e">
        <f t="shared" si="16"/>
        <v>#DIV/0!</v>
      </c>
      <c r="G29" s="529" t="e">
        <f t="shared" si="16"/>
        <v>#DIV/0!</v>
      </c>
      <c r="H29" s="529" t="e">
        <f t="shared" si="16"/>
        <v>#DIV/0!</v>
      </c>
      <c r="I29" s="562" t="str">
        <f t="shared" si="1"/>
        <v/>
      </c>
      <c r="J29" s="610" t="e">
        <f t="shared" si="2"/>
        <v>#VALUE!</v>
      </c>
    </row>
    <row r="30" spans="1:10" ht="13.5" thickBot="1">
      <c r="B30" s="535" t="s">
        <v>188</v>
      </c>
      <c r="C30" s="539">
        <f>C56/C69</f>
        <v>14.273127753303966</v>
      </c>
      <c r="D30" s="539" t="e">
        <f t="shared" ref="D30:H30" si="17">D56/D69</f>
        <v>#DIV/0!</v>
      </c>
      <c r="E30" s="539">
        <f t="shared" si="17"/>
        <v>0.5610934638426438</v>
      </c>
      <c r="F30" s="539" t="e">
        <f t="shared" si="17"/>
        <v>#DIV/0!</v>
      </c>
      <c r="G30" s="539" t="e">
        <f t="shared" si="17"/>
        <v>#DIV/0!</v>
      </c>
      <c r="H30" s="539" t="e">
        <f t="shared" si="17"/>
        <v>#DIV/0!</v>
      </c>
      <c r="I30" s="562" t="str">
        <f t="shared" si="1"/>
        <v/>
      </c>
      <c r="J30" s="613" t="e">
        <f t="shared" si="2"/>
        <v>#VALUE!</v>
      </c>
    </row>
    <row r="31" spans="1:10" ht="13.5" thickBot="1">
      <c r="B31" s="523" t="s">
        <v>189</v>
      </c>
      <c r="C31" s="541">
        <f>C56/C70</f>
        <v>0.33409442439419607</v>
      </c>
      <c r="D31" s="541" t="e">
        <f t="shared" ref="D31:H31" si="18">D56/D70</f>
        <v>#DIV/0!</v>
      </c>
      <c r="E31" s="541">
        <f t="shared" si="18"/>
        <v>0.2830685068799198</v>
      </c>
      <c r="F31" s="541" t="e">
        <f t="shared" si="18"/>
        <v>#DIV/0!</v>
      </c>
      <c r="G31" s="541" t="e">
        <f t="shared" si="18"/>
        <v>#DIV/0!</v>
      </c>
      <c r="H31" s="541" t="e">
        <f t="shared" si="18"/>
        <v>#DIV/0!</v>
      </c>
      <c r="I31" s="562" t="str">
        <f t="shared" si="1"/>
        <v/>
      </c>
      <c r="J31" s="614" t="e">
        <f t="shared" si="2"/>
        <v>#VALUE!</v>
      </c>
    </row>
    <row r="32" spans="1:10" ht="16.5" thickBot="1">
      <c r="B32" s="184" t="s">
        <v>79</v>
      </c>
      <c r="C32" s="188"/>
      <c r="D32" s="188"/>
      <c r="E32" s="188"/>
      <c r="F32" s="188"/>
      <c r="G32" s="188"/>
      <c r="H32" s="188"/>
      <c r="I32" s="566" t="str">
        <f t="shared" si="1"/>
        <v/>
      </c>
      <c r="J32" s="604"/>
    </row>
    <row r="33" spans="2:10" ht="13.5" thickBot="1">
      <c r="B33" s="182" t="s">
        <v>190</v>
      </c>
      <c r="C33" s="550">
        <f>C10/C62</f>
        <v>277.50679156908666</v>
      </c>
      <c r="D33" s="551" t="e" vm="6">
        <f t="shared" ref="D33:H33" si="19">D10/D62</f>
        <v>#VALUE!</v>
      </c>
      <c r="E33" s="551">
        <f t="shared" si="19"/>
        <v>126.84</v>
      </c>
      <c r="F33" s="551" t="e" vm="6">
        <f t="shared" si="19"/>
        <v>#VALUE!</v>
      </c>
      <c r="G33" s="551" t="e" vm="6">
        <f t="shared" si="19"/>
        <v>#VALUE!</v>
      </c>
      <c r="H33" s="551" t="e" vm="6">
        <f t="shared" si="19"/>
        <v>#VALUE!</v>
      </c>
      <c r="I33" s="565" t="str">
        <f t="shared" si="1"/>
        <v/>
      </c>
      <c r="J33" s="615" t="e">
        <f t="shared" si="2"/>
        <v>#VALUE!</v>
      </c>
    </row>
    <row r="34" spans="2:10" ht="13.5" thickBot="1">
      <c r="B34" s="525" t="s">
        <v>186</v>
      </c>
      <c r="C34" s="533">
        <f>C10/C56</f>
        <v>10.449329805996472</v>
      </c>
      <c r="D34" s="533" t="e" vm="6">
        <f t="shared" ref="D34:H34" si="20">D10/D56</f>
        <v>#VALUE!</v>
      </c>
      <c r="E34" s="533">
        <f t="shared" si="20"/>
        <v>3.917846868776278</v>
      </c>
      <c r="F34" s="533" t="e" vm="6">
        <f t="shared" si="20"/>
        <v>#VALUE!</v>
      </c>
      <c r="G34" s="533" t="e" vm="6">
        <f t="shared" si="20"/>
        <v>#VALUE!</v>
      </c>
      <c r="H34" s="533" t="e" vm="6">
        <f t="shared" si="20"/>
        <v>#VALUE!</v>
      </c>
      <c r="I34" s="562" t="str">
        <f t="shared" si="1"/>
        <v/>
      </c>
      <c r="J34" s="616" t="e">
        <f t="shared" si="2"/>
        <v>#VALUE!</v>
      </c>
    </row>
    <row r="35" spans="2:10" ht="13.5" thickBot="1">
      <c r="B35" s="535" t="s">
        <v>191</v>
      </c>
      <c r="C35" s="553">
        <f>C10/C74</f>
        <v>4.2401560151721176</v>
      </c>
      <c r="D35" s="553" t="e" vm="6">
        <f t="shared" ref="D35:H35" si="21">D10/D74</f>
        <v>#VALUE!</v>
      </c>
      <c r="E35" s="553">
        <f t="shared" si="21"/>
        <v>2.0120939482905578</v>
      </c>
      <c r="F35" s="553" t="e" vm="6">
        <f t="shared" si="21"/>
        <v>#VALUE!</v>
      </c>
      <c r="G35" s="553" t="e" vm="6">
        <f t="shared" si="21"/>
        <v>#VALUE!</v>
      </c>
      <c r="H35" s="553" t="e" vm="6">
        <f t="shared" si="21"/>
        <v>#VALUE!</v>
      </c>
      <c r="I35" s="562" t="str">
        <f t="shared" si="1"/>
        <v/>
      </c>
      <c r="J35" s="617" t="e">
        <f t="shared" si="2"/>
        <v>#VALUE!</v>
      </c>
    </row>
    <row r="36" spans="2:10" ht="13.5" thickBot="1">
      <c r="B36" s="525" t="s">
        <v>192</v>
      </c>
      <c r="C36" s="533">
        <f>(C73+C10-C65)/C56</f>
        <v>10.37521164021164</v>
      </c>
      <c r="D36" s="533" t="e" vm="6">
        <f t="shared" ref="D36:G36" si="22">(D73+D10-D65)/D56</f>
        <v>#VALUE!</v>
      </c>
      <c r="E36" s="533">
        <f t="shared" si="22"/>
        <v>4.6958029062476951</v>
      </c>
      <c r="F36" s="533" t="e" vm="6">
        <f t="shared" si="22"/>
        <v>#VALUE!</v>
      </c>
      <c r="G36" s="533" t="e" vm="6">
        <f t="shared" si="22"/>
        <v>#VALUE!</v>
      </c>
      <c r="H36" s="533" t="e" vm="6">
        <f>(H73+H10-H65)/H56</f>
        <v>#VALUE!</v>
      </c>
      <c r="I36" s="562" t="str">
        <f t="shared" si="1"/>
        <v/>
      </c>
      <c r="J36" s="616" t="e">
        <f t="shared" si="2"/>
        <v>#VALUE!</v>
      </c>
    </row>
    <row r="37" spans="2:10" ht="13.5" thickBot="1">
      <c r="B37" s="538" t="s">
        <v>193</v>
      </c>
      <c r="C37" s="549">
        <f>(C73+C10-C65)/C58</f>
        <v>61.18299531981279</v>
      </c>
      <c r="D37" s="549" t="e" vm="6">
        <f t="shared" ref="D37:H37" si="23">(D73+D10-D65)/D58</f>
        <v>#VALUE!</v>
      </c>
      <c r="E37" s="549">
        <f t="shared" si="23"/>
        <v>32.071032745591943</v>
      </c>
      <c r="F37" s="549" t="e" vm="6">
        <f t="shared" si="23"/>
        <v>#VALUE!</v>
      </c>
      <c r="G37" s="549" t="e" vm="6">
        <f t="shared" si="23"/>
        <v>#VALUE!</v>
      </c>
      <c r="H37" s="549" t="e" vm="6">
        <f t="shared" si="23"/>
        <v>#VALUE!</v>
      </c>
      <c r="I37" s="563" t="str">
        <f t="shared" si="1"/>
        <v/>
      </c>
      <c r="J37" s="618" t="e">
        <f t="shared" si="2"/>
        <v>#VALUE!</v>
      </c>
    </row>
    <row r="38" spans="2:10" ht="16.5" thickBot="1">
      <c r="B38" s="184" t="s">
        <v>194</v>
      </c>
      <c r="C38" s="188"/>
      <c r="D38" s="188"/>
      <c r="E38" s="188"/>
      <c r="F38" s="188"/>
      <c r="G38" s="188"/>
      <c r="H38" s="188"/>
      <c r="I38" s="567" t="str">
        <f t="shared" si="1"/>
        <v/>
      </c>
      <c r="J38" s="604"/>
    </row>
    <row r="39" spans="2:10" ht="13.5" thickBot="1">
      <c r="B39" s="182" t="s">
        <v>23</v>
      </c>
      <c r="C39" s="554">
        <f>1.6/1.62</f>
        <v>0.98765432098765427</v>
      </c>
      <c r="D39" s="554"/>
      <c r="E39" s="554">
        <f>4.22/4.26</f>
        <v>0.99061032863849763</v>
      </c>
      <c r="F39" s="554"/>
      <c r="G39" s="554"/>
      <c r="H39" s="554"/>
      <c r="I39" s="558">
        <f t="shared" si="1"/>
        <v>0.98913232481307589</v>
      </c>
      <c r="J39" s="619">
        <f t="shared" si="2"/>
        <v>1.4780038254216255E-3</v>
      </c>
    </row>
    <row r="40" spans="2:10" ht="13.5" thickBot="1">
      <c r="B40" s="542" t="s">
        <v>195</v>
      </c>
      <c r="C40" s="543">
        <v>1.63</v>
      </c>
      <c r="D40" s="543"/>
      <c r="E40" s="543">
        <v>1.01</v>
      </c>
      <c r="F40" s="543"/>
      <c r="G40" s="543"/>
      <c r="H40" s="543"/>
      <c r="I40" s="568">
        <f t="shared" si="1"/>
        <v>1.3199999999999998</v>
      </c>
      <c r="J40" s="620">
        <f t="shared" si="2"/>
        <v>0.31000000000000005</v>
      </c>
    </row>
    <row r="41" spans="2:10" ht="13.5" thickBot="1">
      <c r="B41" s="538" t="s">
        <v>196</v>
      </c>
      <c r="C41" s="547">
        <f>OP!M32</f>
        <v>0</v>
      </c>
      <c r="D41" s="548"/>
      <c r="E41" s="548">
        <v>2.1100000000000001E-2</v>
      </c>
      <c r="F41" s="548"/>
      <c r="G41" s="548"/>
      <c r="H41" s="548"/>
      <c r="I41" s="559">
        <f>IFERROR(AVERAGE(C41:H41),"")</f>
        <v>1.055E-2</v>
      </c>
      <c r="J41" s="621">
        <f t="shared" si="2"/>
        <v>1.055E-2</v>
      </c>
    </row>
    <row r="42" spans="2:10" ht="16.5" thickBot="1">
      <c r="B42" s="184" t="s">
        <v>197</v>
      </c>
      <c r="C42" s="188"/>
      <c r="D42" s="188"/>
      <c r="E42" s="188"/>
      <c r="F42" s="188"/>
      <c r="G42" s="188"/>
      <c r="H42" s="188"/>
      <c r="I42" s="569"/>
      <c r="J42" s="604"/>
    </row>
    <row r="43" spans="2:10" ht="13.5" thickBot="1">
      <c r="B43" s="186" t="s">
        <v>198</v>
      </c>
      <c r="C43" s="719">
        <v>0.67449999999999999</v>
      </c>
      <c r="D43" s="719"/>
      <c r="E43" s="719">
        <v>0.15310000000000001</v>
      </c>
      <c r="F43" s="719"/>
      <c r="G43" s="719"/>
      <c r="H43" s="719"/>
      <c r="I43" s="558">
        <f>IFERROR(AVERAGE(C43:H43),"")</f>
        <v>0.4138</v>
      </c>
      <c r="J43" s="597">
        <f t="shared" si="2"/>
        <v>0.26069999999999999</v>
      </c>
    </row>
    <row r="44" spans="2:10" ht="13.5" thickBot="1">
      <c r="B44" s="525" t="s">
        <v>199</v>
      </c>
      <c r="C44" s="720"/>
      <c r="D44" s="720"/>
      <c r="E44" s="720"/>
      <c r="F44" s="720"/>
      <c r="G44" s="720"/>
      <c r="H44" s="720"/>
      <c r="I44" s="558" t="str">
        <f t="shared" ref="I44:I47" si="24">IFERROR(AVERAGE(C44:H44),"")</f>
        <v/>
      </c>
      <c r="J44" s="622" t="e">
        <f t="shared" si="2"/>
        <v>#VALUE!</v>
      </c>
    </row>
    <row r="45" spans="2:10" ht="13.5" thickBot="1">
      <c r="B45" s="187" t="s">
        <v>200</v>
      </c>
      <c r="C45" s="751" cm="1">
        <f t="array" ref="C45">_FV(C8,"Price")</f>
        <v>146.63999999999999</v>
      </c>
      <c r="D45" s="751" t="e" cm="1" vm="7">
        <f t="array" ref="D45">_FV(D8,"Price")</f>
        <v>#VALUE!</v>
      </c>
      <c r="E45" s="751">
        <v>50.25</v>
      </c>
      <c r="F45" s="751" t="e" cm="1" vm="7">
        <f t="array" ref="F45">_FV(F8,"Price")</f>
        <v>#VALUE!</v>
      </c>
      <c r="G45" s="751" t="e" cm="1" vm="7">
        <f t="array" ref="G45">_FV(G8,"Price")</f>
        <v>#VALUE!</v>
      </c>
      <c r="H45" s="751" t="e" cm="1" vm="7">
        <f t="array" ref="H45">_FV(H8,"Price")</f>
        <v>#VALUE!</v>
      </c>
      <c r="I45" s="558" t="str">
        <f t="shared" si="24"/>
        <v/>
      </c>
      <c r="J45" s="623" t="e">
        <f t="shared" si="2"/>
        <v>#VALUE!</v>
      </c>
    </row>
    <row r="46" spans="2:10" ht="13.5" thickBot="1">
      <c r="B46" s="525" t="s">
        <v>201</v>
      </c>
      <c r="C46" s="544"/>
      <c r="D46" s="544"/>
      <c r="E46" s="544"/>
      <c r="F46" s="544"/>
      <c r="G46" s="544"/>
      <c r="H46" s="544"/>
      <c r="I46" s="558" t="str">
        <f t="shared" si="24"/>
        <v/>
      </c>
      <c r="J46" s="624" t="e">
        <f t="shared" si="2"/>
        <v>#VALUE!</v>
      </c>
    </row>
    <row r="47" spans="2:10" ht="13.5" thickBot="1">
      <c r="B47" s="545" t="s">
        <v>202</v>
      </c>
      <c r="C47" s="546">
        <f>C46/C45-1</f>
        <v>-1</v>
      </c>
      <c r="D47" s="546" t="e" vm="6">
        <f t="shared" ref="D47:H47" si="25">D46/D45-1</f>
        <v>#VALUE!</v>
      </c>
      <c r="E47" s="546">
        <f t="shared" si="25"/>
        <v>-1</v>
      </c>
      <c r="F47" s="546" t="e" vm="6">
        <f t="shared" si="25"/>
        <v>#VALUE!</v>
      </c>
      <c r="G47" s="546" t="e" vm="6">
        <f t="shared" si="25"/>
        <v>#VALUE!</v>
      </c>
      <c r="H47" s="546" t="e" vm="6">
        <f t="shared" si="25"/>
        <v>#VALUE!</v>
      </c>
      <c r="I47" s="570" t="str">
        <f t="shared" si="24"/>
        <v/>
      </c>
      <c r="J47" s="625" t="e">
        <f t="shared" si="2"/>
        <v>#VALUE!</v>
      </c>
    </row>
    <row r="48" spans="2:10" ht="16.5" thickBot="1">
      <c r="B48" s="184" t="s">
        <v>203</v>
      </c>
      <c r="C48" s="184"/>
      <c r="D48" s="184"/>
      <c r="E48" s="184"/>
      <c r="F48" s="184"/>
      <c r="G48" s="184"/>
      <c r="H48" s="184"/>
      <c r="I48" s="184" t="str">
        <f>IFERROR(AVERAGE(C48:H48),"")</f>
        <v/>
      </c>
      <c r="J48" s="596"/>
    </row>
    <row r="49" spans="2:10" ht="13.5" thickBot="1">
      <c r="B49" s="186" t="s">
        <v>204</v>
      </c>
      <c r="C49" s="627">
        <f>(Inputs!B59-Inputs!E59)/Inputs!E59</f>
        <v>0.55648926237161533</v>
      </c>
      <c r="D49" s="440"/>
      <c r="E49" s="440"/>
      <c r="F49" s="440"/>
      <c r="G49" s="440"/>
      <c r="H49" s="440"/>
      <c r="I49" s="570">
        <f>IFERROR(AVERAGE(C49:H49),"")</f>
        <v>0.55648926237161533</v>
      </c>
      <c r="J49" s="597">
        <f t="shared" si="2"/>
        <v>0</v>
      </c>
    </row>
    <row r="50" spans="2:10" ht="13.5" thickBot="1">
      <c r="B50" s="598" t="s">
        <v>205</v>
      </c>
      <c r="C50" s="599">
        <f t="shared" ref="C50:H50" si="26">C63/C11</f>
        <v>0</v>
      </c>
      <c r="D50" s="599">
        <f t="shared" si="26"/>
        <v>0</v>
      </c>
      <c r="E50" s="599">
        <f t="shared" si="26"/>
        <v>0</v>
      </c>
      <c r="F50" s="599" t="e">
        <f t="shared" si="26"/>
        <v>#DIV/0!</v>
      </c>
      <c r="G50" s="599" t="e">
        <f t="shared" si="26"/>
        <v>#DIV/0!</v>
      </c>
      <c r="H50" s="599" t="e">
        <f t="shared" si="26"/>
        <v>#DIV/0!</v>
      </c>
      <c r="I50" s="570" t="str">
        <f>IFERROR(AVERAGE(C50:H50),"")</f>
        <v/>
      </c>
      <c r="J50" s="600" t="e">
        <f t="shared" si="2"/>
        <v>#VALUE!</v>
      </c>
    </row>
    <row r="51" spans="2:10" ht="13.5" thickBot="1"/>
    <row r="52" spans="2:10" ht="16.5" thickBot="1">
      <c r="B52" s="510" t="s">
        <v>206</v>
      </c>
      <c r="C52" s="509" t="e" vm="1">
        <f>OP!E2</f>
        <v>#VALUE!</v>
      </c>
      <c r="D52" s="381" t="str">
        <f>D8</f>
        <v>nvidia</v>
      </c>
      <c r="E52" s="382" t="str">
        <f>E8</f>
        <v>intel</v>
      </c>
      <c r="F52" s="383">
        <f>F8</f>
        <v>0</v>
      </c>
      <c r="G52" s="384">
        <f>G8</f>
        <v>0</v>
      </c>
      <c r="H52" s="659">
        <f>H8</f>
        <v>0</v>
      </c>
    </row>
    <row r="53" spans="2:10">
      <c r="B53" s="176" t="s">
        <v>207</v>
      </c>
      <c r="C53" s="177"/>
      <c r="D53" s="177"/>
      <c r="E53" s="177"/>
      <c r="F53" s="177"/>
      <c r="G53" s="177"/>
      <c r="H53" s="178"/>
    </row>
    <row r="54" spans="2:10">
      <c r="B54" s="171" t="s">
        <v>208</v>
      </c>
      <c r="C54" s="193">
        <f>'Fin. Data'!E5</f>
        <v>9763</v>
      </c>
      <c r="D54" s="166"/>
      <c r="E54" s="804">
        <v>77867</v>
      </c>
      <c r="F54" s="166"/>
      <c r="G54" s="166"/>
      <c r="H54" s="174"/>
    </row>
    <row r="55" spans="2:10">
      <c r="B55" s="171" t="s">
        <v>209</v>
      </c>
      <c r="C55" s="193">
        <f>'Fin. Data'!C5</f>
        <v>23601</v>
      </c>
      <c r="D55" s="166">
        <v>26974</v>
      </c>
      <c r="E55" s="804">
        <v>63054</v>
      </c>
      <c r="F55" s="166"/>
      <c r="G55" s="166"/>
      <c r="H55" s="174"/>
    </row>
    <row r="56" spans="2:10">
      <c r="B56" s="171" t="s">
        <v>168</v>
      </c>
      <c r="C56" s="193">
        <f>'Fin. Data'!B5</f>
        <v>22680</v>
      </c>
      <c r="D56" s="166">
        <v>60922</v>
      </c>
      <c r="E56" s="166">
        <v>54228</v>
      </c>
      <c r="F56" s="166"/>
      <c r="G56" s="166"/>
      <c r="H56" s="174"/>
    </row>
    <row r="57" spans="2:10">
      <c r="B57" s="171" t="s">
        <v>210</v>
      </c>
      <c r="C57" s="193">
        <f>'Fin. Data'!B5-'Fin. Data'!B7</f>
        <v>12220</v>
      </c>
      <c r="D57" s="166"/>
      <c r="E57" s="166">
        <v>32517</v>
      </c>
      <c r="F57" s="166"/>
      <c r="G57" s="166"/>
      <c r="H57" s="174"/>
    </row>
    <row r="58" spans="2:10" ht="13.5" thickBot="1">
      <c r="B58" s="171" t="s">
        <v>30</v>
      </c>
      <c r="C58" s="193">
        <f>'Fin. Data'!B19</f>
        <v>3846</v>
      </c>
      <c r="D58" s="166"/>
      <c r="E58" s="166">
        <f>7847+E59</f>
        <v>7940</v>
      </c>
      <c r="F58" s="166"/>
      <c r="G58" s="166"/>
      <c r="H58" s="174"/>
    </row>
    <row r="59" spans="2:10" ht="13.5" thickBot="1">
      <c r="B59" s="171" t="s">
        <v>211</v>
      </c>
      <c r="C59" s="508">
        <f>'Fin. Data'!B11</f>
        <v>401</v>
      </c>
      <c r="D59" s="166"/>
      <c r="E59" s="166">
        <v>93</v>
      </c>
      <c r="F59" s="166"/>
      <c r="G59" s="166"/>
      <c r="H59" s="174"/>
    </row>
    <row r="60" spans="2:10" ht="13.5" thickBot="1">
      <c r="B60" s="171" t="s">
        <v>212</v>
      </c>
      <c r="C60" s="508">
        <f>'Fin. Data'!B14</f>
        <v>99</v>
      </c>
      <c r="D60" s="166"/>
      <c r="E60" s="166">
        <v>629</v>
      </c>
      <c r="F60" s="379"/>
      <c r="G60" s="166"/>
      <c r="H60" s="174"/>
    </row>
    <row r="61" spans="2:10" ht="13.5" thickBot="1">
      <c r="B61" s="171" t="s">
        <v>213</v>
      </c>
      <c r="C61" s="508">
        <f>'Fin. Data'!B21</f>
        <v>346</v>
      </c>
      <c r="D61" s="166"/>
      <c r="E61" s="166">
        <v>913</v>
      </c>
      <c r="F61" s="166"/>
      <c r="G61" s="166"/>
      <c r="H61" s="174"/>
    </row>
    <row r="62" spans="2:10" ht="13.5" thickBot="1">
      <c r="B62" s="171" t="s">
        <v>42</v>
      </c>
      <c r="C62" s="508">
        <f>'Fin. Data'!B23</f>
        <v>854</v>
      </c>
      <c r="D62" s="166"/>
      <c r="E62" s="166">
        <v>1675</v>
      </c>
      <c r="F62" s="166"/>
      <c r="G62" s="166"/>
      <c r="H62" s="174"/>
    </row>
    <row r="63" spans="2:10" ht="13.5" thickBot="1">
      <c r="B63" s="171" t="s">
        <v>214</v>
      </c>
      <c r="C63" s="508"/>
      <c r="D63" s="166"/>
      <c r="E63" s="166"/>
      <c r="F63" s="166"/>
      <c r="G63" s="166"/>
      <c r="H63" s="174"/>
    </row>
    <row r="64" spans="2:10" ht="13.5" thickBot="1">
      <c r="B64" s="179" t="s">
        <v>215</v>
      </c>
      <c r="C64" s="180"/>
      <c r="D64" s="180"/>
      <c r="E64" s="180"/>
      <c r="F64" s="180"/>
      <c r="G64" s="180"/>
      <c r="H64" s="181"/>
    </row>
    <row r="65" spans="2:8" ht="13.5" thickBot="1">
      <c r="B65" s="171" t="s">
        <v>216</v>
      </c>
      <c r="C65" s="193">
        <f>'Fin. Data'!B39</f>
        <v>3933</v>
      </c>
      <c r="D65" s="166"/>
      <c r="E65" s="166">
        <v>7079</v>
      </c>
      <c r="F65" s="166"/>
      <c r="G65" s="166"/>
      <c r="H65" s="174"/>
    </row>
    <row r="66" spans="2:8" ht="13.5" thickBot="1">
      <c r="B66" s="171" t="s">
        <v>217</v>
      </c>
      <c r="C66" s="193">
        <f>'Fin. Data'!B40</f>
        <v>5376</v>
      </c>
      <c r="D66" s="166"/>
      <c r="E66" s="166">
        <v>3402</v>
      </c>
      <c r="F66" s="166"/>
      <c r="G66" s="166"/>
      <c r="H66" s="174"/>
    </row>
    <row r="67" spans="2:8" ht="13.5" thickBot="1">
      <c r="B67" s="171" t="s">
        <v>218</v>
      </c>
      <c r="C67" s="193">
        <f>'Fin. Data'!B41</f>
        <v>4351</v>
      </c>
      <c r="D67" s="166"/>
      <c r="E67" s="166">
        <v>11127</v>
      </c>
      <c r="F67" s="166"/>
      <c r="G67" s="166"/>
      <c r="H67" s="174"/>
    </row>
    <row r="68" spans="2:8" ht="13.5" thickBot="1">
      <c r="B68" s="171" t="s">
        <v>219</v>
      </c>
      <c r="C68" s="193">
        <f>Inputs!B27</f>
        <v>16768</v>
      </c>
      <c r="D68" s="166"/>
      <c r="E68" s="166">
        <v>43269</v>
      </c>
      <c r="F68" s="166"/>
      <c r="G68" s="166"/>
      <c r="H68" s="174"/>
    </row>
    <row r="69" spans="2:8" ht="13.5" thickBot="1">
      <c r="B69" s="171" t="s">
        <v>220</v>
      </c>
      <c r="C69" s="193">
        <f>'Fin. Data'!B42</f>
        <v>1589</v>
      </c>
      <c r="D69" s="166"/>
      <c r="E69" s="166">
        <v>96647</v>
      </c>
      <c r="F69" s="166"/>
      <c r="G69" s="166"/>
      <c r="H69" s="174"/>
    </row>
    <row r="70" spans="2:8" ht="13.5" thickBot="1">
      <c r="B70" s="171" t="s">
        <v>19</v>
      </c>
      <c r="C70" s="193">
        <f>'Fin. Data'!B44</f>
        <v>67885</v>
      </c>
      <c r="D70" s="166"/>
      <c r="E70" s="166">
        <v>191572</v>
      </c>
      <c r="F70" s="166"/>
      <c r="G70" s="166"/>
      <c r="H70" s="174"/>
    </row>
    <row r="71" spans="2:8" ht="13.5" thickBot="1">
      <c r="B71" s="171" t="s">
        <v>221</v>
      </c>
      <c r="C71" s="193">
        <f>Inputs!B43</f>
        <v>2418</v>
      </c>
      <c r="D71" s="166"/>
      <c r="E71" s="166">
        <v>8578</v>
      </c>
      <c r="F71" s="166"/>
      <c r="G71" s="166"/>
      <c r="H71" s="174"/>
    </row>
    <row r="72" spans="2:8" ht="13.5" thickBot="1">
      <c r="B72" s="171" t="s">
        <v>222</v>
      </c>
      <c r="C72" s="193">
        <f>Inputs!B42</f>
        <v>6689</v>
      </c>
      <c r="D72" s="166"/>
      <c r="E72" s="166">
        <v>28053</v>
      </c>
      <c r="F72" s="166"/>
      <c r="G72" s="166"/>
      <c r="H72" s="174"/>
    </row>
    <row r="73" spans="2:8" ht="13.5" thickBot="1">
      <c r="B73" s="171" t="s">
        <v>223</v>
      </c>
      <c r="C73" s="193">
        <f>'Fin. Data'!B58</f>
        <v>2252</v>
      </c>
      <c r="D73" s="166"/>
      <c r="E73" s="166">
        <f>46978+2288</f>
        <v>49266</v>
      </c>
      <c r="F73" s="166"/>
      <c r="G73" s="166"/>
      <c r="H73" s="174"/>
    </row>
    <row r="74" spans="2:8" ht="13.5" thickBot="1">
      <c r="B74" s="172" t="s">
        <v>224</v>
      </c>
      <c r="C74" s="194">
        <f>'Fin. Data'!B64</f>
        <v>55892</v>
      </c>
      <c r="D74" s="173"/>
      <c r="E74" s="173">
        <v>105590</v>
      </c>
      <c r="F74" s="173"/>
      <c r="G74" s="173"/>
      <c r="H74" s="175"/>
    </row>
  </sheetData>
  <mergeCells count="13">
    <mergeCell ref="D6:H6"/>
    <mergeCell ref="D4:H4"/>
    <mergeCell ref="D1:H1"/>
    <mergeCell ref="D2:H2"/>
    <mergeCell ref="D3:H3"/>
    <mergeCell ref="D5:H5"/>
    <mergeCell ref="L12:L13"/>
    <mergeCell ref="M12:N13"/>
    <mergeCell ref="L9:N9"/>
    <mergeCell ref="L10:L11"/>
    <mergeCell ref="L14:L15"/>
    <mergeCell ref="M14:N15"/>
    <mergeCell ref="M10:N11"/>
  </mergeCells>
  <pageMargins left="0.7" right="0.7" top="0.75" bottom="0.75" header="0.3" footer="0.3"/>
  <pageSetup orientation="portrait" r:id="rId1"/>
  <ignoredErrors>
    <ignoredError sqref="J46" evalError="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dimension ref="A1:AN100"/>
  <sheetViews>
    <sheetView showGridLines="0" topLeftCell="R1" workbookViewId="0">
      <selection activeCell="X2" sqref="X2"/>
    </sheetView>
  </sheetViews>
  <sheetFormatPr defaultColWidth="8.85546875" defaultRowHeight="12.75" customHeight="1"/>
  <cols>
    <col min="1" max="1" width="12.42578125" style="669" customWidth="1"/>
    <col min="2" max="2" width="14.28515625" style="706" customWidth="1"/>
    <col min="3" max="3" width="21.42578125" style="669" customWidth="1"/>
    <col min="4" max="4" width="22.7109375" style="669" customWidth="1"/>
    <col min="5" max="5" width="12.85546875" style="669" customWidth="1"/>
    <col min="6" max="6" width="8.85546875" style="669"/>
    <col min="7" max="7" width="9.7109375" style="669" customWidth="1"/>
    <col min="8" max="8" width="17.140625" style="669" customWidth="1"/>
    <col min="9" max="9" width="11.28515625" style="669" customWidth="1"/>
    <col min="10" max="11" width="8.85546875" style="669"/>
    <col min="12" max="12" width="10" style="669" customWidth="1"/>
    <col min="13" max="16" width="8.85546875" style="669"/>
    <col min="17" max="17" width="10.42578125" style="669" customWidth="1"/>
    <col min="18" max="24" width="8.85546875" style="669"/>
    <col min="25" max="26" width="11.42578125" style="669" customWidth="1"/>
    <col min="27" max="27" width="8.85546875" style="669"/>
    <col min="28" max="28" width="12.7109375" style="669" customWidth="1"/>
    <col min="29" max="30" width="8.85546875" style="669"/>
    <col min="31" max="31" width="17.140625" style="669" customWidth="1"/>
    <col min="32" max="32" width="10" style="669" customWidth="1"/>
    <col min="33" max="33" width="14.28515625" style="669" customWidth="1"/>
    <col min="34" max="34" width="28.42578125" style="669" customWidth="1"/>
    <col min="35" max="35" width="12.85546875" style="669" customWidth="1"/>
    <col min="36" max="38" width="15" style="669" customWidth="1"/>
    <col min="39" max="40" width="20.28515625" style="669" customWidth="1"/>
    <col min="41" max="16384" width="8.85546875" style="669"/>
  </cols>
  <sheetData>
    <row r="1" spans="1:40" ht="18.75">
      <c r="B1" s="680"/>
      <c r="C1" s="375"/>
      <c r="D1" s="375"/>
      <c r="E1" s="375"/>
      <c r="F1" s="1299" t="s">
        <v>225</v>
      </c>
      <c r="G1" s="1300"/>
      <c r="H1" s="1300"/>
      <c r="I1" s="1300"/>
      <c r="J1" s="1301"/>
      <c r="K1" s="1302" t="s">
        <v>226</v>
      </c>
      <c r="L1" s="1303"/>
      <c r="M1" s="1303"/>
      <c r="N1" s="1303"/>
      <c r="O1" s="1304"/>
      <c r="P1" s="1299" t="s">
        <v>227</v>
      </c>
      <c r="Q1" s="1300"/>
      <c r="R1" s="1300"/>
      <c r="S1" s="1300"/>
      <c r="T1" s="1301"/>
      <c r="U1" s="1305" t="s">
        <v>228</v>
      </c>
      <c r="V1" s="1306"/>
      <c r="W1" s="1306"/>
      <c r="X1" s="681"/>
      <c r="Y1" s="1306" t="s">
        <v>229</v>
      </c>
      <c r="Z1" s="1306"/>
      <c r="AA1" s="1306"/>
      <c r="AB1" s="1306"/>
      <c r="AD1" s="1307">
        <f>B3</f>
        <v>0</v>
      </c>
      <c r="AE1" s="1307" t="s">
        <v>230</v>
      </c>
      <c r="AF1" s="1307"/>
      <c r="AG1" s="1307"/>
      <c r="AH1" s="1307"/>
      <c r="AI1" s="1307"/>
      <c r="AJ1" s="1308" t="s">
        <v>231</v>
      </c>
      <c r="AK1" s="1308"/>
      <c r="AL1" s="1308"/>
      <c r="AM1" s="1308" t="s">
        <v>232</v>
      </c>
      <c r="AN1" s="1308"/>
    </row>
    <row r="2" spans="1:40" ht="75">
      <c r="B2" s="662" t="s">
        <v>233</v>
      </c>
      <c r="C2" s="662" t="s">
        <v>234</v>
      </c>
      <c r="D2" s="662" t="s">
        <v>235</v>
      </c>
      <c r="E2" s="662" t="s">
        <v>236</v>
      </c>
      <c r="F2" s="663" t="s">
        <v>237</v>
      </c>
      <c r="G2" s="664" t="s">
        <v>238</v>
      </c>
      <c r="H2" s="665" t="s">
        <v>166</v>
      </c>
      <c r="I2" s="663" t="s">
        <v>239</v>
      </c>
      <c r="J2" s="663" t="s">
        <v>240</v>
      </c>
      <c r="K2" s="713" t="s">
        <v>237</v>
      </c>
      <c r="L2" s="714" t="s">
        <v>238</v>
      </c>
      <c r="M2" s="713" t="s">
        <v>166</v>
      </c>
      <c r="N2" s="713" t="s">
        <v>241</v>
      </c>
      <c r="O2" s="713" t="s">
        <v>240</v>
      </c>
      <c r="P2" s="663" t="s">
        <v>237</v>
      </c>
      <c r="Q2" s="664" t="s">
        <v>238</v>
      </c>
      <c r="R2" s="663" t="s">
        <v>166</v>
      </c>
      <c r="S2" s="663" t="s">
        <v>241</v>
      </c>
      <c r="T2" s="663" t="s">
        <v>240</v>
      </c>
      <c r="U2" s="666" t="s">
        <v>242</v>
      </c>
      <c r="V2" s="713" t="s">
        <v>243</v>
      </c>
      <c r="W2" s="666" t="s">
        <v>244</v>
      </c>
      <c r="X2" s="668"/>
      <c r="Y2" s="667" t="s">
        <v>245</v>
      </c>
      <c r="Z2" s="666" t="s">
        <v>246</v>
      </c>
      <c r="AA2" s="666" t="s">
        <v>247</v>
      </c>
      <c r="AB2" s="666" t="s">
        <v>248</v>
      </c>
      <c r="AD2" s="1307"/>
      <c r="AE2" s="715" t="s">
        <v>244</v>
      </c>
      <c r="AF2" s="678" t="s">
        <v>242</v>
      </c>
      <c r="AG2" s="678" t="s">
        <v>233</v>
      </c>
      <c r="AH2" s="678" t="s">
        <v>234</v>
      </c>
      <c r="AI2" s="678" t="s">
        <v>236</v>
      </c>
      <c r="AJ2" s="678" t="s">
        <v>249</v>
      </c>
      <c r="AK2" s="678" t="s">
        <v>250</v>
      </c>
      <c r="AL2" s="678" t="s">
        <v>251</v>
      </c>
      <c r="AM2" s="678" t="s">
        <v>252</v>
      </c>
      <c r="AN2" s="678" t="s">
        <v>253</v>
      </c>
    </row>
    <row r="3" spans="1:40" ht="15">
      <c r="A3" s="682" t="s">
        <v>254</v>
      </c>
      <c r="B3" s="683"/>
      <c r="C3" s="684"/>
      <c r="D3" s="684"/>
      <c r="E3" s="684"/>
      <c r="F3" s="660"/>
      <c r="G3" s="685"/>
      <c r="H3" s="686"/>
      <c r="I3" s="660"/>
      <c r="J3" s="660"/>
      <c r="K3" s="687" t="str">
        <f>IFERROR(_xlfn.RANK.EQ(F3,F$3:F$61),"N/A")</f>
        <v>N/A</v>
      </c>
      <c r="L3" s="687" t="str">
        <f t="shared" ref="L3:L34" si="0">IFERROR(_xlfn.RANK.EQ(G3,G$3:G$61),"N/A")</f>
        <v>N/A</v>
      </c>
      <c r="M3" s="687" t="str">
        <f t="shared" ref="M3:M34" si="1">IFERROR(_xlfn.RANK.EQ(H3,H$3:H$61),"N/A")</f>
        <v>N/A</v>
      </c>
      <c r="N3" s="687" t="str">
        <f t="shared" ref="N3:N34" si="2">IFERROR(_xlfn.RANK.EQ(I3,I$3:I$61),"N/A")</f>
        <v>N/A</v>
      </c>
      <c r="O3" s="687" t="str">
        <f t="shared" ref="O3:O34" si="3">IFERROR(_xlfn.RANK.EQ(J3,J$3:J$61),"N/A")</f>
        <v>N/A</v>
      </c>
      <c r="P3" s="687" t="s">
        <v>45</v>
      </c>
      <c r="Q3" s="687" t="s">
        <v>45</v>
      </c>
      <c r="R3" s="687" t="s">
        <v>45</v>
      </c>
      <c r="S3" s="687" t="s">
        <v>45</v>
      </c>
      <c r="T3" s="687" t="s">
        <v>45</v>
      </c>
      <c r="U3" s="687" t="s">
        <v>45</v>
      </c>
      <c r="V3" s="687" t="s">
        <v>45</v>
      </c>
      <c r="W3" s="687" t="s">
        <v>45</v>
      </c>
      <c r="X3" s="375"/>
      <c r="Y3" s="688" t="str">
        <f t="shared" ref="Y3:Y66" si="4">IF(OR(Z3="Y",AA3="Y"),"Not suitable","")</f>
        <v>Not suitable</v>
      </c>
      <c r="Z3" s="688" t="str">
        <f>IF(N3="N/A","Y","")</f>
        <v>Y</v>
      </c>
      <c r="AA3" s="661"/>
      <c r="AB3" s="687"/>
      <c r="AD3" s="1307"/>
      <c r="AE3" s="670" t="e" cm="1">
        <f t="array" ref="AE3">_xlfn._xlws.SORT(_xlfn._xlws.FILTER(SARD!W3:W61,SARD!W3:W61&lt;=SMALL(W3:W61,6)),,1)</f>
        <v>#NUM!</v>
      </c>
      <c r="AF3" s="677" t="e">
        <f t="shared" ref="AF3:AF8" si="5">_xlfn.XLOOKUP($AE3,$W:$W,U:U,,0)</f>
        <v>#NUM!</v>
      </c>
      <c r="AG3" s="677" t="e">
        <f>_xlfn.XLOOKUP($AE3,$W:$W,B:B,,0)</f>
        <v>#NUM!</v>
      </c>
      <c r="AH3" s="677" t="e">
        <f t="shared" ref="AG3:AH8" si="6">_xlfn.XLOOKUP($AE3,$W:$W,C:C,,0)</f>
        <v>#NUM!</v>
      </c>
      <c r="AI3" s="677" t="e">
        <f t="shared" ref="AI3:AI8" si="7">_xlfn.XLOOKUP($AE3,$W:$W,E:E,,0)</f>
        <v>#NUM!</v>
      </c>
      <c r="AJ3" s="671"/>
      <c r="AK3" s="671"/>
      <c r="AL3" s="671"/>
      <c r="AM3" s="671"/>
      <c r="AN3" s="671"/>
    </row>
    <row r="4" spans="1:40" ht="15">
      <c r="A4" s="689" t="s">
        <v>255</v>
      </c>
      <c r="B4" s="690"/>
      <c r="C4" s="684"/>
      <c r="D4" s="691"/>
      <c r="E4" s="684"/>
      <c r="F4" s="660"/>
      <c r="G4" s="685"/>
      <c r="H4" s="686"/>
      <c r="I4" s="660"/>
      <c r="J4" s="660"/>
      <c r="K4" s="687" t="str">
        <f t="shared" ref="K4:K34" si="8">IFERROR(_xlfn.RANK.EQ(F4,F$3:F$61),"N/A")</f>
        <v>N/A</v>
      </c>
      <c r="L4" s="687" t="str">
        <f t="shared" si="0"/>
        <v>N/A</v>
      </c>
      <c r="M4" s="687" t="str">
        <f t="shared" si="1"/>
        <v>N/A</v>
      </c>
      <c r="N4" s="687" t="str">
        <f t="shared" si="2"/>
        <v>N/A</v>
      </c>
      <c r="O4" s="687" t="str">
        <f t="shared" si="3"/>
        <v>N/A</v>
      </c>
      <c r="P4" s="687" t="str">
        <f t="shared" ref="P4:P35" si="9">IFERROR(ABS(K$3-K4),"N/A")</f>
        <v>N/A</v>
      </c>
      <c r="Q4" s="687" t="str">
        <f t="shared" ref="Q4:Q35" si="10">IFERROR(ABS(L$3-L4),"N/A")</f>
        <v>N/A</v>
      </c>
      <c r="R4" s="687" t="str">
        <f t="shared" ref="R4:R35" si="11">IFERROR(ABS(M$3-M4),"N/A")</f>
        <v>N/A</v>
      </c>
      <c r="S4" s="687" t="str">
        <f t="shared" ref="S4:S35" si="12">IFERROR(ABS(N$3-N4),"N/A")</f>
        <v>N/A</v>
      </c>
      <c r="T4" s="687" t="str">
        <f t="shared" ref="T4:T35" si="13">IFERROR(ABS(O$3-O4),"N/A")</f>
        <v>N/A</v>
      </c>
      <c r="U4" s="692">
        <f t="shared" ref="U4:U35" si="14">SUM(P4:T4)</f>
        <v>0</v>
      </c>
      <c r="V4" s="687">
        <f>_xlfn.RANK.EQ(U4,$U$4:$U$61,1)</f>
        <v>1</v>
      </c>
      <c r="W4" s="693" t="str">
        <f t="shared" ref="W4" si="15">IF(Y4="Not suitable","-",V4)</f>
        <v>-</v>
      </c>
      <c r="X4" s="375"/>
      <c r="Y4" s="694" t="str">
        <f t="shared" si="4"/>
        <v>Not suitable</v>
      </c>
      <c r="Z4" s="695" t="str">
        <f>IF(N4="N/A","Y","")</f>
        <v>Y</v>
      </c>
      <c r="AA4" s="661"/>
      <c r="AB4" s="687"/>
      <c r="AD4" s="1307"/>
      <c r="AE4" s="670"/>
      <c r="AF4" s="677" t="str">
        <f t="shared" si="5"/>
        <v>Results</v>
      </c>
      <c r="AG4" s="677">
        <f t="shared" si="6"/>
        <v>0</v>
      </c>
      <c r="AH4" s="677">
        <f t="shared" si="6"/>
        <v>0</v>
      </c>
      <c r="AI4" s="677">
        <f t="shared" si="7"/>
        <v>0</v>
      </c>
      <c r="AJ4" s="671"/>
      <c r="AK4" s="671"/>
      <c r="AL4" s="671"/>
      <c r="AM4" s="671"/>
      <c r="AN4" s="671"/>
    </row>
    <row r="5" spans="1:40" ht="15">
      <c r="A5" s="696"/>
      <c r="B5" s="697"/>
      <c r="C5" s="698"/>
      <c r="D5" s="699"/>
      <c r="E5" s="700"/>
      <c r="F5" s="676"/>
      <c r="G5" s="701"/>
      <c r="H5" s="702"/>
      <c r="I5" s="676"/>
      <c r="J5" s="676"/>
      <c r="K5" s="694" t="str">
        <f t="shared" si="8"/>
        <v>N/A</v>
      </c>
      <c r="L5" s="694" t="str">
        <f t="shared" si="0"/>
        <v>N/A</v>
      </c>
      <c r="M5" s="694" t="str">
        <f t="shared" si="1"/>
        <v>N/A</v>
      </c>
      <c r="N5" s="694" t="str">
        <f t="shared" si="2"/>
        <v>N/A</v>
      </c>
      <c r="O5" s="694" t="str">
        <f t="shared" si="3"/>
        <v>N/A</v>
      </c>
      <c r="P5" s="694" t="str">
        <f t="shared" si="9"/>
        <v>N/A</v>
      </c>
      <c r="Q5" s="694" t="str">
        <f t="shared" si="10"/>
        <v>N/A</v>
      </c>
      <c r="R5" s="694" t="str">
        <f t="shared" si="11"/>
        <v>N/A</v>
      </c>
      <c r="S5" s="694" t="str">
        <f t="shared" si="12"/>
        <v>N/A</v>
      </c>
      <c r="T5" s="694" t="str">
        <f t="shared" si="13"/>
        <v>N/A</v>
      </c>
      <c r="U5" s="694">
        <f t="shared" si="14"/>
        <v>0</v>
      </c>
      <c r="V5" s="694">
        <f>_xlfn.RANK.EQ(U5,$U$4:$U$61,1)</f>
        <v>1</v>
      </c>
      <c r="W5" s="694" t="str">
        <f t="shared" ref="W5:W36" si="16">IF(Y5="Not suitable","-",V5)</f>
        <v>-</v>
      </c>
      <c r="Y5" s="694" t="str">
        <f t="shared" si="4"/>
        <v>Not suitable</v>
      </c>
      <c r="Z5" s="703" t="str">
        <f>IF(N5="N/A","Y","")</f>
        <v>Y</v>
      </c>
      <c r="AA5" s="675"/>
      <c r="AB5" s="694"/>
      <c r="AD5" s="1307"/>
      <c r="AE5" s="670"/>
      <c r="AF5" s="677" t="str">
        <f t="shared" si="5"/>
        <v>Results</v>
      </c>
      <c r="AG5" s="677">
        <f t="shared" si="6"/>
        <v>0</v>
      </c>
      <c r="AH5" s="677">
        <f t="shared" si="6"/>
        <v>0</v>
      </c>
      <c r="AI5" s="677">
        <f t="shared" si="7"/>
        <v>0</v>
      </c>
      <c r="AJ5" s="671"/>
      <c r="AK5" s="671"/>
      <c r="AL5" s="671"/>
      <c r="AM5" s="671"/>
      <c r="AN5" s="671"/>
    </row>
    <row r="6" spans="1:40" ht="15">
      <c r="A6" s="689"/>
      <c r="B6" s="697"/>
      <c r="C6" s="699"/>
      <c r="D6" s="699"/>
      <c r="E6" s="699"/>
      <c r="F6" s="676"/>
      <c r="G6" s="701"/>
      <c r="H6" s="702"/>
      <c r="I6" s="676"/>
      <c r="J6" s="676"/>
      <c r="K6" s="694" t="str">
        <f t="shared" si="8"/>
        <v>N/A</v>
      </c>
      <c r="L6" s="694" t="str">
        <f t="shared" si="0"/>
        <v>N/A</v>
      </c>
      <c r="M6" s="694" t="str">
        <f t="shared" si="1"/>
        <v>N/A</v>
      </c>
      <c r="N6" s="694" t="str">
        <f t="shared" si="2"/>
        <v>N/A</v>
      </c>
      <c r="O6" s="694" t="str">
        <f t="shared" si="3"/>
        <v>N/A</v>
      </c>
      <c r="P6" s="694" t="str">
        <f t="shared" si="9"/>
        <v>N/A</v>
      </c>
      <c r="Q6" s="694" t="str">
        <f t="shared" si="10"/>
        <v>N/A</v>
      </c>
      <c r="R6" s="694" t="str">
        <f t="shared" si="11"/>
        <v>N/A</v>
      </c>
      <c r="S6" s="694" t="str">
        <f t="shared" si="12"/>
        <v>N/A</v>
      </c>
      <c r="T6" s="694" t="str">
        <f t="shared" si="13"/>
        <v>N/A</v>
      </c>
      <c r="U6" s="694">
        <f t="shared" si="14"/>
        <v>0</v>
      </c>
      <c r="V6" s="694">
        <f t="shared" ref="V6:V35" si="17">_xlfn.RANK.EQ(U6,$U$4:$U$61,1)</f>
        <v>1</v>
      </c>
      <c r="W6" s="694" t="str">
        <f t="shared" si="16"/>
        <v>-</v>
      </c>
      <c r="Y6" s="694" t="str">
        <f t="shared" si="4"/>
        <v>Not suitable</v>
      </c>
      <c r="Z6" s="703" t="str">
        <f t="shared" ref="Z6:Z69" si="18">IF(N6="N/A","Y","")</f>
        <v>Y</v>
      </c>
      <c r="AA6" s="675"/>
      <c r="AB6" s="694"/>
      <c r="AD6" s="1307"/>
      <c r="AE6" s="673"/>
      <c r="AF6" s="677" t="str">
        <f t="shared" si="5"/>
        <v>Results</v>
      </c>
      <c r="AG6" s="677">
        <f t="shared" si="6"/>
        <v>0</v>
      </c>
      <c r="AH6" s="677">
        <f t="shared" si="6"/>
        <v>0</v>
      </c>
      <c r="AI6" s="677">
        <f t="shared" si="7"/>
        <v>0</v>
      </c>
      <c r="AJ6" s="674"/>
      <c r="AK6" s="674"/>
      <c r="AL6" s="674"/>
      <c r="AM6" s="674"/>
      <c r="AN6" s="674"/>
    </row>
    <row r="7" spans="1:40" ht="15">
      <c r="A7" s="689"/>
      <c r="B7" s="697"/>
      <c r="C7" s="699"/>
      <c r="D7" s="699"/>
      <c r="E7" s="699"/>
      <c r="F7" s="676"/>
      <c r="G7" s="701"/>
      <c r="H7" s="702"/>
      <c r="I7" s="676"/>
      <c r="J7" s="676"/>
      <c r="K7" s="694" t="str">
        <f t="shared" si="8"/>
        <v>N/A</v>
      </c>
      <c r="L7" s="694" t="str">
        <f t="shared" si="0"/>
        <v>N/A</v>
      </c>
      <c r="M7" s="694" t="str">
        <f t="shared" si="1"/>
        <v>N/A</v>
      </c>
      <c r="N7" s="694" t="str">
        <f t="shared" si="2"/>
        <v>N/A</v>
      </c>
      <c r="O7" s="694" t="str">
        <f t="shared" si="3"/>
        <v>N/A</v>
      </c>
      <c r="P7" s="694" t="str">
        <f t="shared" si="9"/>
        <v>N/A</v>
      </c>
      <c r="Q7" s="694" t="str">
        <f t="shared" si="10"/>
        <v>N/A</v>
      </c>
      <c r="R7" s="694" t="str">
        <f t="shared" si="11"/>
        <v>N/A</v>
      </c>
      <c r="S7" s="694" t="str">
        <f t="shared" si="12"/>
        <v>N/A</v>
      </c>
      <c r="T7" s="694" t="str">
        <f t="shared" si="13"/>
        <v>N/A</v>
      </c>
      <c r="U7" s="694">
        <f t="shared" si="14"/>
        <v>0</v>
      </c>
      <c r="V7" s="694">
        <f t="shared" si="17"/>
        <v>1</v>
      </c>
      <c r="W7" s="694" t="str">
        <f t="shared" si="16"/>
        <v>-</v>
      </c>
      <c r="Y7" s="694" t="str">
        <f t="shared" si="4"/>
        <v>Not suitable</v>
      </c>
      <c r="Z7" s="703" t="str">
        <f t="shared" si="18"/>
        <v>Y</v>
      </c>
      <c r="AA7" s="675"/>
      <c r="AB7" s="694"/>
      <c r="AD7" s="1307"/>
      <c r="AE7" s="670"/>
      <c r="AF7" s="677" t="str">
        <f t="shared" si="5"/>
        <v>Results</v>
      </c>
      <c r="AG7" s="677">
        <f t="shared" si="6"/>
        <v>0</v>
      </c>
      <c r="AH7" s="677">
        <f t="shared" si="6"/>
        <v>0</v>
      </c>
      <c r="AI7" s="677">
        <f t="shared" si="7"/>
        <v>0</v>
      </c>
      <c r="AJ7" s="671"/>
      <c r="AK7" s="671"/>
      <c r="AL7" s="671"/>
      <c r="AM7" s="671"/>
      <c r="AN7" s="671"/>
    </row>
    <row r="8" spans="1:40" ht="15">
      <c r="A8" s="689"/>
      <c r="B8" s="697"/>
      <c r="C8" s="699"/>
      <c r="D8" s="699"/>
      <c r="E8" s="699"/>
      <c r="F8" s="676"/>
      <c r="G8" s="701"/>
      <c r="H8" s="702"/>
      <c r="I8" s="676"/>
      <c r="J8" s="676"/>
      <c r="K8" s="694" t="str">
        <f t="shared" si="8"/>
        <v>N/A</v>
      </c>
      <c r="L8" s="694" t="str">
        <f t="shared" si="0"/>
        <v>N/A</v>
      </c>
      <c r="M8" s="694" t="str">
        <f t="shared" si="1"/>
        <v>N/A</v>
      </c>
      <c r="N8" s="694" t="str">
        <f t="shared" si="2"/>
        <v>N/A</v>
      </c>
      <c r="O8" s="694" t="str">
        <f t="shared" si="3"/>
        <v>N/A</v>
      </c>
      <c r="P8" s="694" t="str">
        <f t="shared" si="9"/>
        <v>N/A</v>
      </c>
      <c r="Q8" s="694" t="str">
        <f t="shared" si="10"/>
        <v>N/A</v>
      </c>
      <c r="R8" s="694" t="str">
        <f t="shared" si="11"/>
        <v>N/A</v>
      </c>
      <c r="S8" s="694" t="str">
        <f t="shared" si="12"/>
        <v>N/A</v>
      </c>
      <c r="T8" s="694" t="str">
        <f t="shared" si="13"/>
        <v>N/A</v>
      </c>
      <c r="U8" s="694">
        <f t="shared" si="14"/>
        <v>0</v>
      </c>
      <c r="V8" s="694">
        <f t="shared" si="17"/>
        <v>1</v>
      </c>
      <c r="W8" s="694" t="str">
        <f t="shared" si="16"/>
        <v>-</v>
      </c>
      <c r="Y8" s="694" t="str">
        <f t="shared" si="4"/>
        <v>Not suitable</v>
      </c>
      <c r="Z8" s="703" t="str">
        <f t="shared" si="18"/>
        <v>Y</v>
      </c>
      <c r="AA8" s="675"/>
      <c r="AB8" s="694"/>
      <c r="AD8" s="1307"/>
      <c r="AE8" s="670"/>
      <c r="AF8" s="677" t="str">
        <f t="shared" si="5"/>
        <v>Results</v>
      </c>
      <c r="AG8" s="677">
        <f t="shared" si="6"/>
        <v>0</v>
      </c>
      <c r="AH8" s="677">
        <f t="shared" si="6"/>
        <v>0</v>
      </c>
      <c r="AI8" s="677">
        <f t="shared" si="7"/>
        <v>0</v>
      </c>
      <c r="AJ8" s="671"/>
      <c r="AK8" s="671"/>
      <c r="AL8" s="671"/>
      <c r="AM8" s="671"/>
      <c r="AN8" s="671"/>
    </row>
    <row r="9" spans="1:40" ht="15">
      <c r="A9" s="689"/>
      <c r="B9" s="697"/>
      <c r="C9" s="699"/>
      <c r="D9" s="699"/>
      <c r="E9" s="699"/>
      <c r="F9" s="676"/>
      <c r="G9" s="701"/>
      <c r="H9" s="702"/>
      <c r="I9" s="676"/>
      <c r="J9" s="676"/>
      <c r="K9" s="694" t="str">
        <f t="shared" si="8"/>
        <v>N/A</v>
      </c>
      <c r="L9" s="694" t="str">
        <f t="shared" si="0"/>
        <v>N/A</v>
      </c>
      <c r="M9" s="694" t="str">
        <f t="shared" si="1"/>
        <v>N/A</v>
      </c>
      <c r="N9" s="694" t="str">
        <f t="shared" si="2"/>
        <v>N/A</v>
      </c>
      <c r="O9" s="694" t="str">
        <f t="shared" si="3"/>
        <v>N/A</v>
      </c>
      <c r="P9" s="694" t="str">
        <f t="shared" si="9"/>
        <v>N/A</v>
      </c>
      <c r="Q9" s="694" t="str">
        <f t="shared" si="10"/>
        <v>N/A</v>
      </c>
      <c r="R9" s="694" t="str">
        <f t="shared" si="11"/>
        <v>N/A</v>
      </c>
      <c r="S9" s="694" t="str">
        <f t="shared" si="12"/>
        <v>N/A</v>
      </c>
      <c r="T9" s="694" t="str">
        <f t="shared" si="13"/>
        <v>N/A</v>
      </c>
      <c r="U9" s="694">
        <f t="shared" si="14"/>
        <v>0</v>
      </c>
      <c r="V9" s="694">
        <f t="shared" si="17"/>
        <v>1</v>
      </c>
      <c r="W9" s="694" t="str">
        <f t="shared" si="16"/>
        <v>-</v>
      </c>
      <c r="Y9" s="694" t="str">
        <f t="shared" si="4"/>
        <v>Not suitable</v>
      </c>
      <c r="Z9" s="703" t="str">
        <f t="shared" si="18"/>
        <v>Y</v>
      </c>
      <c r="AA9" s="675"/>
      <c r="AB9" s="694"/>
      <c r="AD9" s="1307"/>
      <c r="AE9" s="1313" t="s">
        <v>256</v>
      </c>
      <c r="AF9" s="1314"/>
      <c r="AG9" s="1314"/>
      <c r="AH9" s="1314"/>
      <c r="AI9" s="1315"/>
      <c r="AJ9" s="672" t="e">
        <f>MEDIAN(AJ3:AJ8)</f>
        <v>#NUM!</v>
      </c>
      <c r="AK9" s="672" t="e">
        <f t="shared" ref="AK9:AN9" si="19">MEDIAN(AK3:AK8)</f>
        <v>#NUM!</v>
      </c>
      <c r="AL9" s="672" t="e">
        <f t="shared" si="19"/>
        <v>#NUM!</v>
      </c>
      <c r="AM9" s="672" t="e">
        <f t="shared" si="19"/>
        <v>#NUM!</v>
      </c>
      <c r="AN9" s="672" t="e">
        <f t="shared" si="19"/>
        <v>#NUM!</v>
      </c>
    </row>
    <row r="10" spans="1:40" ht="18.75">
      <c r="A10" s="689"/>
      <c r="B10" s="697"/>
      <c r="C10" s="699"/>
      <c r="D10" s="699"/>
      <c r="E10" s="699"/>
      <c r="F10" s="676"/>
      <c r="G10" s="701"/>
      <c r="H10" s="702"/>
      <c r="I10" s="676"/>
      <c r="J10" s="676"/>
      <c r="K10" s="694" t="str">
        <f t="shared" si="8"/>
        <v>N/A</v>
      </c>
      <c r="L10" s="694" t="str">
        <f t="shared" si="0"/>
        <v>N/A</v>
      </c>
      <c r="M10" s="694" t="str">
        <f t="shared" si="1"/>
        <v>N/A</v>
      </c>
      <c r="N10" s="694" t="str">
        <f t="shared" si="2"/>
        <v>N/A</v>
      </c>
      <c r="O10" s="694" t="str">
        <f t="shared" si="3"/>
        <v>N/A</v>
      </c>
      <c r="P10" s="694" t="str">
        <f t="shared" si="9"/>
        <v>N/A</v>
      </c>
      <c r="Q10" s="694" t="str">
        <f t="shared" si="10"/>
        <v>N/A</v>
      </c>
      <c r="R10" s="694" t="str">
        <f t="shared" si="11"/>
        <v>N/A</v>
      </c>
      <c r="S10" s="694" t="str">
        <f t="shared" si="12"/>
        <v>N/A</v>
      </c>
      <c r="T10" s="694" t="str">
        <f t="shared" si="13"/>
        <v>N/A</v>
      </c>
      <c r="U10" s="694">
        <f t="shared" si="14"/>
        <v>0</v>
      </c>
      <c r="V10" s="694">
        <f t="shared" si="17"/>
        <v>1</v>
      </c>
      <c r="W10" s="694" t="str">
        <f t="shared" si="16"/>
        <v>-</v>
      </c>
      <c r="Y10" s="694" t="str">
        <f t="shared" si="4"/>
        <v>Not suitable</v>
      </c>
      <c r="Z10" s="703" t="str">
        <f t="shared" si="18"/>
        <v>Y</v>
      </c>
      <c r="AA10" s="675"/>
      <c r="AB10" s="694"/>
      <c r="AD10" s="1307"/>
      <c r="AE10" s="1307" t="s">
        <v>257</v>
      </c>
      <c r="AF10" s="1307"/>
      <c r="AG10" s="1307"/>
      <c r="AH10" s="1307"/>
      <c r="AI10" s="1307"/>
      <c r="AJ10" s="1308" t="s">
        <v>258</v>
      </c>
      <c r="AK10" s="1308"/>
      <c r="AL10" s="1308"/>
      <c r="AM10" s="1308"/>
      <c r="AN10" s="1308"/>
    </row>
    <row r="11" spans="1:40" ht="15">
      <c r="A11" s="689"/>
      <c r="B11" s="697"/>
      <c r="C11" s="699"/>
      <c r="D11" s="699"/>
      <c r="E11" s="699"/>
      <c r="F11" s="676"/>
      <c r="G11" s="701"/>
      <c r="H11" s="702"/>
      <c r="I11" s="676"/>
      <c r="J11" s="676"/>
      <c r="K11" s="694" t="str">
        <f t="shared" si="8"/>
        <v>N/A</v>
      </c>
      <c r="L11" s="694" t="str">
        <f t="shared" si="0"/>
        <v>N/A</v>
      </c>
      <c r="M11" s="694" t="str">
        <f t="shared" si="1"/>
        <v>N/A</v>
      </c>
      <c r="N11" s="694" t="str">
        <f t="shared" si="2"/>
        <v>N/A</v>
      </c>
      <c r="O11" s="694" t="str">
        <f t="shared" si="3"/>
        <v>N/A</v>
      </c>
      <c r="P11" s="694" t="str">
        <f t="shared" si="9"/>
        <v>N/A</v>
      </c>
      <c r="Q11" s="694" t="str">
        <f t="shared" si="10"/>
        <v>N/A</v>
      </c>
      <c r="R11" s="694" t="str">
        <f t="shared" si="11"/>
        <v>N/A</v>
      </c>
      <c r="S11" s="694" t="str">
        <f t="shared" si="12"/>
        <v>N/A</v>
      </c>
      <c r="T11" s="694" t="str">
        <f t="shared" si="13"/>
        <v>N/A</v>
      </c>
      <c r="U11" s="694">
        <f t="shared" si="14"/>
        <v>0</v>
      </c>
      <c r="V11" s="694">
        <f t="shared" si="17"/>
        <v>1</v>
      </c>
      <c r="W11" s="694" t="str">
        <f t="shared" si="16"/>
        <v>-</v>
      </c>
      <c r="Y11" s="694" t="str">
        <f t="shared" si="4"/>
        <v>Not suitable</v>
      </c>
      <c r="Z11" s="703" t="str">
        <f t="shared" si="18"/>
        <v>Y</v>
      </c>
      <c r="AA11" s="675"/>
      <c r="AB11" s="694"/>
      <c r="AD11" s="1307"/>
      <c r="AE11" s="678" t="s">
        <v>254</v>
      </c>
      <c r="AF11" s="679" t="s">
        <v>259</v>
      </c>
      <c r="AG11" s="678" t="s">
        <v>260</v>
      </c>
      <c r="AH11" s="1309" t="s">
        <v>261</v>
      </c>
      <c r="AI11" s="1310"/>
      <c r="AJ11" s="678" t="s">
        <v>249</v>
      </c>
      <c r="AK11" s="678" t="s">
        <v>250</v>
      </c>
      <c r="AL11" s="678" t="s">
        <v>251</v>
      </c>
      <c r="AM11" s="678" t="s">
        <v>252</v>
      </c>
      <c r="AN11" s="678" t="s">
        <v>253</v>
      </c>
    </row>
    <row r="12" spans="1:40" ht="15">
      <c r="A12" s="689"/>
      <c r="B12" s="697"/>
      <c r="C12" s="699"/>
      <c r="D12" s="699"/>
      <c r="E12" s="699"/>
      <c r="F12" s="676"/>
      <c r="G12" s="701"/>
      <c r="H12" s="702"/>
      <c r="I12" s="676"/>
      <c r="J12" s="676"/>
      <c r="K12" s="694" t="str">
        <f t="shared" si="8"/>
        <v>N/A</v>
      </c>
      <c r="L12" s="694" t="str">
        <f t="shared" si="0"/>
        <v>N/A</v>
      </c>
      <c r="M12" s="694" t="str">
        <f t="shared" si="1"/>
        <v>N/A</v>
      </c>
      <c r="N12" s="694" t="str">
        <f t="shared" si="2"/>
        <v>N/A</v>
      </c>
      <c r="O12" s="694" t="str">
        <f t="shared" si="3"/>
        <v>N/A</v>
      </c>
      <c r="P12" s="694" t="str">
        <f t="shared" si="9"/>
        <v>N/A</v>
      </c>
      <c r="Q12" s="694" t="str">
        <f t="shared" si="10"/>
        <v>N/A</v>
      </c>
      <c r="R12" s="694" t="str">
        <f t="shared" si="11"/>
        <v>N/A</v>
      </c>
      <c r="S12" s="694" t="str">
        <f t="shared" si="12"/>
        <v>N/A</v>
      </c>
      <c r="T12" s="694" t="str">
        <f t="shared" si="13"/>
        <v>N/A</v>
      </c>
      <c r="U12" s="694">
        <f t="shared" si="14"/>
        <v>0</v>
      </c>
      <c r="V12" s="694">
        <f t="shared" si="17"/>
        <v>1</v>
      </c>
      <c r="W12" s="694" t="str">
        <f t="shared" si="16"/>
        <v>-</v>
      </c>
      <c r="Y12" s="694" t="str">
        <f t="shared" si="4"/>
        <v>Not suitable</v>
      </c>
      <c r="Z12" s="703" t="str">
        <f t="shared" si="18"/>
        <v>Y</v>
      </c>
      <c r="AA12" s="675"/>
      <c r="AB12" s="694"/>
      <c r="AD12" s="1307"/>
      <c r="AE12" s="670">
        <f>C3</f>
        <v>0</v>
      </c>
      <c r="AF12" s="446">
        <v>1000000</v>
      </c>
      <c r="AG12" s="446">
        <f>OP!C21</f>
        <v>1616140000</v>
      </c>
      <c r="AH12" s="1311">
        <f>-'Fin. Data'!B58*SARD!AF12+'Fin. Data'!B39*SARD!AF12</f>
        <v>1681000000</v>
      </c>
      <c r="AI12" s="1312"/>
      <c r="AJ12" s="671" t="e">
        <f>AJ9*'Fin. Data'!B23*AF$12/AG$12</f>
        <v>#NUM!</v>
      </c>
      <c r="AK12" s="671" t="e">
        <f>AK9*'Fin. Data'!B64*AF$12/AG$12</f>
        <v>#NUM!</v>
      </c>
      <c r="AL12" s="709" t="e">
        <f>AL9*'Fin. Data'!B5*AF$12/AG$12</f>
        <v>#NUM!</v>
      </c>
      <c r="AM12" s="671" t="e">
        <f>(AM9*'Fin. Data'!B5*$AF12+$AH12)/$AG12</f>
        <v>#NUM!</v>
      </c>
      <c r="AN12" s="671" t="e">
        <f>(AN9*'Fin. Data'!B19*$AF12+$AH12)/$AG12</f>
        <v>#NUM!</v>
      </c>
    </row>
    <row r="13" spans="1:40" ht="18.75">
      <c r="A13" s="689"/>
      <c r="B13" s="697"/>
      <c r="C13" s="699"/>
      <c r="D13" s="699"/>
      <c r="E13" s="699"/>
      <c r="F13" s="676"/>
      <c r="G13" s="701"/>
      <c r="H13" s="702"/>
      <c r="I13" s="676"/>
      <c r="J13" s="676"/>
      <c r="K13" s="694" t="str">
        <f t="shared" si="8"/>
        <v>N/A</v>
      </c>
      <c r="L13" s="694" t="str">
        <f t="shared" si="0"/>
        <v>N/A</v>
      </c>
      <c r="M13" s="694" t="str">
        <f t="shared" si="1"/>
        <v>N/A</v>
      </c>
      <c r="N13" s="694" t="str">
        <f t="shared" si="2"/>
        <v>N/A</v>
      </c>
      <c r="O13" s="694" t="str">
        <f t="shared" si="3"/>
        <v>N/A</v>
      </c>
      <c r="P13" s="694" t="str">
        <f t="shared" si="9"/>
        <v>N/A</v>
      </c>
      <c r="Q13" s="694" t="str">
        <f t="shared" si="10"/>
        <v>N/A</v>
      </c>
      <c r="R13" s="694" t="str">
        <f t="shared" si="11"/>
        <v>N/A</v>
      </c>
      <c r="S13" s="694" t="str">
        <f t="shared" si="12"/>
        <v>N/A</v>
      </c>
      <c r="T13" s="694" t="str">
        <f t="shared" si="13"/>
        <v>N/A</v>
      </c>
      <c r="U13" s="694">
        <f t="shared" si="14"/>
        <v>0</v>
      </c>
      <c r="V13" s="694">
        <f t="shared" si="17"/>
        <v>1</v>
      </c>
      <c r="W13" s="694" t="str">
        <f t="shared" si="16"/>
        <v>-</v>
      </c>
      <c r="Y13" s="694" t="str">
        <f t="shared" si="4"/>
        <v>Not suitable</v>
      </c>
      <c r="Z13" s="703" t="str">
        <f t="shared" si="18"/>
        <v>Y</v>
      </c>
      <c r="AA13" s="675"/>
      <c r="AB13" s="694"/>
      <c r="AE13" s="1321" t="s">
        <v>262</v>
      </c>
      <c r="AF13" s="1321"/>
      <c r="AG13" s="1322"/>
      <c r="AH13" s="1322"/>
      <c r="AI13" s="1321"/>
      <c r="AJ13" s="1323" t="e">
        <f>AVERAGE(AJ12:AL12)</f>
        <v>#NUM!</v>
      </c>
      <c r="AK13" s="1323"/>
      <c r="AL13" s="1323"/>
      <c r="AM13" s="1323" t="e">
        <f>AVERAGE(AM12:AN12)</f>
        <v>#NUM!</v>
      </c>
      <c r="AN13" s="1323"/>
    </row>
    <row r="14" spans="1:40" ht="18.75" customHeight="1">
      <c r="A14" s="689"/>
      <c r="B14" s="697"/>
      <c r="C14" s="699"/>
      <c r="D14" s="699"/>
      <c r="E14" s="699"/>
      <c r="F14" s="676"/>
      <c r="G14" s="701"/>
      <c r="H14" s="702"/>
      <c r="I14" s="676"/>
      <c r="J14" s="676"/>
      <c r="K14" s="694" t="str">
        <f t="shared" si="8"/>
        <v>N/A</v>
      </c>
      <c r="L14" s="694" t="str">
        <f t="shared" si="0"/>
        <v>N/A</v>
      </c>
      <c r="M14" s="694" t="str">
        <f t="shared" si="1"/>
        <v>N/A</v>
      </c>
      <c r="N14" s="694" t="str">
        <f t="shared" si="2"/>
        <v>N/A</v>
      </c>
      <c r="O14" s="694" t="str">
        <f t="shared" si="3"/>
        <v>N/A</v>
      </c>
      <c r="P14" s="694" t="str">
        <f t="shared" si="9"/>
        <v>N/A</v>
      </c>
      <c r="Q14" s="694" t="str">
        <f t="shared" si="10"/>
        <v>N/A</v>
      </c>
      <c r="R14" s="694" t="str">
        <f t="shared" si="11"/>
        <v>N/A</v>
      </c>
      <c r="S14" s="694" t="str">
        <f t="shared" si="12"/>
        <v>N/A</v>
      </c>
      <c r="T14" s="694" t="str">
        <f t="shared" si="13"/>
        <v>N/A</v>
      </c>
      <c r="U14" s="694">
        <f t="shared" si="14"/>
        <v>0</v>
      </c>
      <c r="V14" s="694">
        <f t="shared" si="17"/>
        <v>1</v>
      </c>
      <c r="W14" s="694" t="str">
        <f t="shared" si="16"/>
        <v>-</v>
      </c>
      <c r="Y14" s="694" t="str">
        <f t="shared" si="4"/>
        <v>Not suitable</v>
      </c>
      <c r="Z14" s="703" t="str">
        <f t="shared" si="18"/>
        <v>Y</v>
      </c>
      <c r="AA14" s="675"/>
      <c r="AB14" s="694"/>
      <c r="AD14" s="704"/>
      <c r="AE14" s="1316" t="s">
        <v>83</v>
      </c>
      <c r="AF14" s="1317"/>
      <c r="AG14" s="1317"/>
      <c r="AH14" s="1317"/>
      <c r="AI14" s="1318"/>
      <c r="AJ14" s="1319" t="e">
        <f>AJ13/OP!C20-1</f>
        <v>#NUM!</v>
      </c>
      <c r="AK14" s="1320"/>
      <c r="AL14" s="1320"/>
      <c r="AM14" s="1320" t="e">
        <f>AM13/OP!C20-1</f>
        <v>#NUM!</v>
      </c>
      <c r="AN14" s="1320"/>
    </row>
    <row r="15" spans="1:40" ht="15">
      <c r="A15" s="689"/>
      <c r="B15" s="697"/>
      <c r="C15" s="699"/>
      <c r="D15" s="699"/>
      <c r="E15" s="699"/>
      <c r="F15" s="676"/>
      <c r="G15" s="701"/>
      <c r="H15" s="702"/>
      <c r="I15" s="676"/>
      <c r="J15" s="676"/>
      <c r="K15" s="694" t="str">
        <f t="shared" si="8"/>
        <v>N/A</v>
      </c>
      <c r="L15" s="694" t="str">
        <f t="shared" si="0"/>
        <v>N/A</v>
      </c>
      <c r="M15" s="694" t="str">
        <f t="shared" si="1"/>
        <v>N/A</v>
      </c>
      <c r="N15" s="694" t="str">
        <f t="shared" si="2"/>
        <v>N/A</v>
      </c>
      <c r="O15" s="694" t="str">
        <f t="shared" si="3"/>
        <v>N/A</v>
      </c>
      <c r="P15" s="694" t="str">
        <f t="shared" si="9"/>
        <v>N/A</v>
      </c>
      <c r="Q15" s="694" t="str">
        <f t="shared" si="10"/>
        <v>N/A</v>
      </c>
      <c r="R15" s="694" t="str">
        <f t="shared" si="11"/>
        <v>N/A</v>
      </c>
      <c r="S15" s="694" t="str">
        <f t="shared" si="12"/>
        <v>N/A</v>
      </c>
      <c r="T15" s="694" t="str">
        <f t="shared" si="13"/>
        <v>N/A</v>
      </c>
      <c r="U15" s="694">
        <f t="shared" si="14"/>
        <v>0</v>
      </c>
      <c r="V15" s="694">
        <f t="shared" si="17"/>
        <v>1</v>
      </c>
      <c r="W15" s="694" t="str">
        <f t="shared" si="16"/>
        <v>-</v>
      </c>
      <c r="Y15" s="694" t="str">
        <f t="shared" si="4"/>
        <v>Not suitable</v>
      </c>
      <c r="Z15" s="703" t="str">
        <f t="shared" si="18"/>
        <v>Y</v>
      </c>
      <c r="AA15" s="675"/>
      <c r="AB15" s="694"/>
      <c r="AE15" s="704"/>
      <c r="AF15" s="704"/>
      <c r="AG15" s="704"/>
      <c r="AH15" s="704"/>
      <c r="AI15" s="704"/>
      <c r="AJ15" s="704"/>
      <c r="AK15" s="704"/>
      <c r="AL15" s="704"/>
      <c r="AM15" s="704"/>
      <c r="AN15" s="704"/>
    </row>
    <row r="16" spans="1:40" ht="15">
      <c r="A16" s="689"/>
      <c r="B16" s="697"/>
      <c r="C16" s="699"/>
      <c r="D16" s="699"/>
      <c r="E16" s="699"/>
      <c r="F16" s="676"/>
      <c r="G16" s="701"/>
      <c r="H16" s="702"/>
      <c r="I16" s="676"/>
      <c r="J16" s="676"/>
      <c r="K16" s="694" t="str">
        <f t="shared" si="8"/>
        <v>N/A</v>
      </c>
      <c r="L16" s="694" t="str">
        <f t="shared" si="0"/>
        <v>N/A</v>
      </c>
      <c r="M16" s="694" t="str">
        <f t="shared" si="1"/>
        <v>N/A</v>
      </c>
      <c r="N16" s="694" t="str">
        <f t="shared" si="2"/>
        <v>N/A</v>
      </c>
      <c r="O16" s="694" t="str">
        <f t="shared" si="3"/>
        <v>N/A</v>
      </c>
      <c r="P16" s="694" t="str">
        <f t="shared" si="9"/>
        <v>N/A</v>
      </c>
      <c r="Q16" s="694" t="str">
        <f t="shared" si="10"/>
        <v>N/A</v>
      </c>
      <c r="R16" s="694" t="str">
        <f t="shared" si="11"/>
        <v>N/A</v>
      </c>
      <c r="S16" s="694" t="str">
        <f t="shared" si="12"/>
        <v>N/A</v>
      </c>
      <c r="T16" s="694" t="str">
        <f t="shared" si="13"/>
        <v>N/A</v>
      </c>
      <c r="U16" s="694">
        <f t="shared" si="14"/>
        <v>0</v>
      </c>
      <c r="V16" s="694">
        <f t="shared" si="17"/>
        <v>1</v>
      </c>
      <c r="W16" s="694" t="str">
        <f t="shared" si="16"/>
        <v>-</v>
      </c>
      <c r="Y16" s="694" t="str">
        <f t="shared" si="4"/>
        <v>Not suitable</v>
      </c>
      <c r="Z16" s="703" t="str">
        <f t="shared" si="18"/>
        <v>Y</v>
      </c>
      <c r="AA16" s="675"/>
      <c r="AB16" s="694"/>
      <c r="AE16" s="704"/>
      <c r="AF16" s="704"/>
      <c r="AG16" s="704"/>
      <c r="AH16" s="704"/>
      <c r="AI16" s="704"/>
      <c r="AJ16" s="704"/>
      <c r="AK16" s="704"/>
      <c r="AL16" s="704"/>
      <c r="AM16" s="704"/>
      <c r="AN16" s="704"/>
    </row>
    <row r="17" spans="1:28" ht="15">
      <c r="A17" s="689"/>
      <c r="B17" s="697"/>
      <c r="C17" s="699"/>
      <c r="D17" s="699"/>
      <c r="E17" s="699"/>
      <c r="F17" s="676"/>
      <c r="G17" s="701"/>
      <c r="H17" s="702"/>
      <c r="I17" s="676"/>
      <c r="J17" s="676"/>
      <c r="K17" s="694" t="str">
        <f t="shared" si="8"/>
        <v>N/A</v>
      </c>
      <c r="L17" s="694" t="str">
        <f t="shared" si="0"/>
        <v>N/A</v>
      </c>
      <c r="M17" s="694" t="str">
        <f t="shared" si="1"/>
        <v>N/A</v>
      </c>
      <c r="N17" s="694" t="str">
        <f t="shared" si="2"/>
        <v>N/A</v>
      </c>
      <c r="O17" s="694" t="str">
        <f t="shared" si="3"/>
        <v>N/A</v>
      </c>
      <c r="P17" s="694" t="str">
        <f t="shared" si="9"/>
        <v>N/A</v>
      </c>
      <c r="Q17" s="694" t="str">
        <f t="shared" si="10"/>
        <v>N/A</v>
      </c>
      <c r="R17" s="694" t="str">
        <f t="shared" si="11"/>
        <v>N/A</v>
      </c>
      <c r="S17" s="694" t="str">
        <f t="shared" si="12"/>
        <v>N/A</v>
      </c>
      <c r="T17" s="694" t="str">
        <f t="shared" si="13"/>
        <v>N/A</v>
      </c>
      <c r="U17" s="694">
        <f t="shared" si="14"/>
        <v>0</v>
      </c>
      <c r="V17" s="694">
        <f t="shared" si="17"/>
        <v>1</v>
      </c>
      <c r="W17" s="694" t="str">
        <f t="shared" si="16"/>
        <v>-</v>
      </c>
      <c r="Y17" s="694" t="str">
        <f t="shared" si="4"/>
        <v>Not suitable</v>
      </c>
      <c r="Z17" s="703" t="str">
        <f t="shared" si="18"/>
        <v>Y</v>
      </c>
      <c r="AA17" s="675"/>
      <c r="AB17" s="694"/>
    </row>
    <row r="18" spans="1:28" ht="15">
      <c r="A18" s="689"/>
      <c r="B18" s="697"/>
      <c r="C18" s="699"/>
      <c r="D18" s="699"/>
      <c r="E18" s="699"/>
      <c r="F18" s="676"/>
      <c r="G18" s="701"/>
      <c r="H18" s="702"/>
      <c r="I18" s="676"/>
      <c r="J18" s="676"/>
      <c r="K18" s="694" t="str">
        <f t="shared" si="8"/>
        <v>N/A</v>
      </c>
      <c r="L18" s="694" t="str">
        <f t="shared" si="0"/>
        <v>N/A</v>
      </c>
      <c r="M18" s="694" t="str">
        <f t="shared" si="1"/>
        <v>N/A</v>
      </c>
      <c r="N18" s="694" t="str">
        <f t="shared" si="2"/>
        <v>N/A</v>
      </c>
      <c r="O18" s="694" t="str">
        <f t="shared" si="3"/>
        <v>N/A</v>
      </c>
      <c r="P18" s="694" t="str">
        <f t="shared" si="9"/>
        <v>N/A</v>
      </c>
      <c r="Q18" s="694" t="str">
        <f t="shared" si="10"/>
        <v>N/A</v>
      </c>
      <c r="R18" s="694" t="str">
        <f t="shared" si="11"/>
        <v>N/A</v>
      </c>
      <c r="S18" s="694" t="str">
        <f t="shared" si="12"/>
        <v>N/A</v>
      </c>
      <c r="T18" s="694" t="str">
        <f t="shared" si="13"/>
        <v>N/A</v>
      </c>
      <c r="U18" s="694">
        <f t="shared" si="14"/>
        <v>0</v>
      </c>
      <c r="V18" s="694">
        <f t="shared" si="17"/>
        <v>1</v>
      </c>
      <c r="W18" s="694" t="str">
        <f t="shared" si="16"/>
        <v>-</v>
      </c>
      <c r="Y18" s="694" t="str">
        <f t="shared" si="4"/>
        <v>Not suitable</v>
      </c>
      <c r="Z18" s="703" t="str">
        <f t="shared" si="18"/>
        <v>Y</v>
      </c>
      <c r="AA18" s="675"/>
      <c r="AB18" s="694"/>
    </row>
    <row r="19" spans="1:28" ht="15">
      <c r="A19" s="689"/>
      <c r="B19" s="697"/>
      <c r="C19" s="699"/>
      <c r="D19" s="699"/>
      <c r="E19" s="699"/>
      <c r="F19" s="676"/>
      <c r="G19" s="701"/>
      <c r="H19" s="702"/>
      <c r="I19" s="676"/>
      <c r="J19" s="676"/>
      <c r="K19" s="694" t="str">
        <f t="shared" si="8"/>
        <v>N/A</v>
      </c>
      <c r="L19" s="694" t="str">
        <f t="shared" si="0"/>
        <v>N/A</v>
      </c>
      <c r="M19" s="694" t="str">
        <f t="shared" si="1"/>
        <v>N/A</v>
      </c>
      <c r="N19" s="694" t="str">
        <f t="shared" si="2"/>
        <v>N/A</v>
      </c>
      <c r="O19" s="694" t="str">
        <f t="shared" si="3"/>
        <v>N/A</v>
      </c>
      <c r="P19" s="694" t="str">
        <f t="shared" si="9"/>
        <v>N/A</v>
      </c>
      <c r="Q19" s="694" t="str">
        <f t="shared" si="10"/>
        <v>N/A</v>
      </c>
      <c r="R19" s="694" t="str">
        <f t="shared" si="11"/>
        <v>N/A</v>
      </c>
      <c r="S19" s="694" t="str">
        <f t="shared" si="12"/>
        <v>N/A</v>
      </c>
      <c r="T19" s="694" t="str">
        <f t="shared" si="13"/>
        <v>N/A</v>
      </c>
      <c r="U19" s="694">
        <f t="shared" si="14"/>
        <v>0</v>
      </c>
      <c r="V19" s="694">
        <f t="shared" si="17"/>
        <v>1</v>
      </c>
      <c r="W19" s="694" t="str">
        <f t="shared" si="16"/>
        <v>-</v>
      </c>
      <c r="Y19" s="694" t="str">
        <f t="shared" si="4"/>
        <v>Not suitable</v>
      </c>
      <c r="Z19" s="703" t="str">
        <f t="shared" si="18"/>
        <v>Y</v>
      </c>
      <c r="AA19" s="675"/>
      <c r="AB19" s="694"/>
    </row>
    <row r="20" spans="1:28" ht="15">
      <c r="A20" s="689"/>
      <c r="B20" s="697"/>
      <c r="C20" s="699"/>
      <c r="D20" s="699"/>
      <c r="E20" s="699"/>
      <c r="F20" s="676"/>
      <c r="G20" s="701"/>
      <c r="H20" s="702"/>
      <c r="I20" s="676"/>
      <c r="J20" s="676"/>
      <c r="K20" s="694" t="str">
        <f t="shared" si="8"/>
        <v>N/A</v>
      </c>
      <c r="L20" s="694" t="str">
        <f t="shared" si="0"/>
        <v>N/A</v>
      </c>
      <c r="M20" s="694" t="str">
        <f t="shared" si="1"/>
        <v>N/A</v>
      </c>
      <c r="N20" s="694" t="str">
        <f t="shared" si="2"/>
        <v>N/A</v>
      </c>
      <c r="O20" s="694" t="str">
        <f t="shared" si="3"/>
        <v>N/A</v>
      </c>
      <c r="P20" s="694" t="str">
        <f t="shared" si="9"/>
        <v>N/A</v>
      </c>
      <c r="Q20" s="694" t="str">
        <f t="shared" si="10"/>
        <v>N/A</v>
      </c>
      <c r="R20" s="694" t="str">
        <f t="shared" si="11"/>
        <v>N/A</v>
      </c>
      <c r="S20" s="694" t="str">
        <f t="shared" si="12"/>
        <v>N/A</v>
      </c>
      <c r="T20" s="694" t="str">
        <f t="shared" si="13"/>
        <v>N/A</v>
      </c>
      <c r="U20" s="694">
        <f t="shared" si="14"/>
        <v>0</v>
      </c>
      <c r="V20" s="694">
        <f t="shared" si="17"/>
        <v>1</v>
      </c>
      <c r="W20" s="694" t="str">
        <f t="shared" si="16"/>
        <v>-</v>
      </c>
      <c r="Y20" s="694" t="str">
        <f t="shared" si="4"/>
        <v>Not suitable</v>
      </c>
      <c r="Z20" s="703" t="str">
        <f t="shared" si="18"/>
        <v>Y</v>
      </c>
      <c r="AA20" s="675"/>
      <c r="AB20" s="694"/>
    </row>
    <row r="21" spans="1:28" ht="15">
      <c r="A21" s="689"/>
      <c r="B21" s="697"/>
      <c r="C21" s="699"/>
      <c r="D21" s="699"/>
      <c r="E21" s="699"/>
      <c r="F21" s="676"/>
      <c r="G21" s="701"/>
      <c r="H21" s="702"/>
      <c r="I21" s="676"/>
      <c r="J21" s="676"/>
      <c r="K21" s="694" t="str">
        <f t="shared" si="8"/>
        <v>N/A</v>
      </c>
      <c r="L21" s="694" t="str">
        <f t="shared" si="0"/>
        <v>N/A</v>
      </c>
      <c r="M21" s="694" t="str">
        <f t="shared" si="1"/>
        <v>N/A</v>
      </c>
      <c r="N21" s="694" t="str">
        <f t="shared" si="2"/>
        <v>N/A</v>
      </c>
      <c r="O21" s="694" t="str">
        <f t="shared" si="3"/>
        <v>N/A</v>
      </c>
      <c r="P21" s="694" t="str">
        <f t="shared" si="9"/>
        <v>N/A</v>
      </c>
      <c r="Q21" s="694" t="str">
        <f t="shared" si="10"/>
        <v>N/A</v>
      </c>
      <c r="R21" s="694" t="str">
        <f t="shared" si="11"/>
        <v>N/A</v>
      </c>
      <c r="S21" s="694" t="str">
        <f t="shared" si="12"/>
        <v>N/A</v>
      </c>
      <c r="T21" s="694" t="str">
        <f t="shared" si="13"/>
        <v>N/A</v>
      </c>
      <c r="U21" s="694">
        <f t="shared" si="14"/>
        <v>0</v>
      </c>
      <c r="V21" s="694">
        <f t="shared" si="17"/>
        <v>1</v>
      </c>
      <c r="W21" s="694" t="str">
        <f t="shared" si="16"/>
        <v>-</v>
      </c>
      <c r="Y21" s="694" t="str">
        <f t="shared" si="4"/>
        <v>Not suitable</v>
      </c>
      <c r="Z21" s="703" t="str">
        <f t="shared" si="18"/>
        <v>Y</v>
      </c>
      <c r="AA21" s="675"/>
      <c r="AB21" s="694"/>
    </row>
    <row r="22" spans="1:28" ht="15">
      <c r="A22" s="689"/>
      <c r="B22" s="697"/>
      <c r="C22" s="699"/>
      <c r="D22" s="699"/>
      <c r="E22" s="699"/>
      <c r="F22" s="676"/>
      <c r="G22" s="701"/>
      <c r="H22" s="702"/>
      <c r="I22" s="676"/>
      <c r="J22" s="676"/>
      <c r="K22" s="694" t="str">
        <f t="shared" si="8"/>
        <v>N/A</v>
      </c>
      <c r="L22" s="694" t="str">
        <f t="shared" si="0"/>
        <v>N/A</v>
      </c>
      <c r="M22" s="694" t="str">
        <f t="shared" si="1"/>
        <v>N/A</v>
      </c>
      <c r="N22" s="694" t="str">
        <f t="shared" si="2"/>
        <v>N/A</v>
      </c>
      <c r="O22" s="694" t="str">
        <f t="shared" si="3"/>
        <v>N/A</v>
      </c>
      <c r="P22" s="694" t="str">
        <f t="shared" si="9"/>
        <v>N/A</v>
      </c>
      <c r="Q22" s="694" t="str">
        <f t="shared" si="10"/>
        <v>N/A</v>
      </c>
      <c r="R22" s="694" t="str">
        <f t="shared" si="11"/>
        <v>N/A</v>
      </c>
      <c r="S22" s="694" t="str">
        <f t="shared" si="12"/>
        <v>N/A</v>
      </c>
      <c r="T22" s="694" t="str">
        <f t="shared" si="13"/>
        <v>N/A</v>
      </c>
      <c r="U22" s="694">
        <f t="shared" si="14"/>
        <v>0</v>
      </c>
      <c r="V22" s="694">
        <f t="shared" si="17"/>
        <v>1</v>
      </c>
      <c r="W22" s="694" t="str">
        <f t="shared" si="16"/>
        <v>-</v>
      </c>
      <c r="Y22" s="694" t="str">
        <f t="shared" si="4"/>
        <v>Not suitable</v>
      </c>
      <c r="Z22" s="703" t="str">
        <f t="shared" si="18"/>
        <v>Y</v>
      </c>
      <c r="AA22" s="675"/>
      <c r="AB22" s="694"/>
    </row>
    <row r="23" spans="1:28" ht="15">
      <c r="A23" s="689"/>
      <c r="B23" s="697"/>
      <c r="C23" s="699"/>
      <c r="D23" s="699"/>
      <c r="E23" s="699"/>
      <c r="F23" s="676"/>
      <c r="G23" s="701"/>
      <c r="H23" s="702"/>
      <c r="I23" s="676"/>
      <c r="J23" s="676"/>
      <c r="K23" s="694" t="str">
        <f t="shared" si="8"/>
        <v>N/A</v>
      </c>
      <c r="L23" s="694" t="str">
        <f t="shared" si="0"/>
        <v>N/A</v>
      </c>
      <c r="M23" s="694" t="str">
        <f t="shared" si="1"/>
        <v>N/A</v>
      </c>
      <c r="N23" s="694" t="str">
        <f t="shared" si="2"/>
        <v>N/A</v>
      </c>
      <c r="O23" s="694" t="str">
        <f t="shared" si="3"/>
        <v>N/A</v>
      </c>
      <c r="P23" s="694" t="str">
        <f t="shared" si="9"/>
        <v>N/A</v>
      </c>
      <c r="Q23" s="694" t="str">
        <f t="shared" si="10"/>
        <v>N/A</v>
      </c>
      <c r="R23" s="694" t="str">
        <f t="shared" si="11"/>
        <v>N/A</v>
      </c>
      <c r="S23" s="694" t="str">
        <f t="shared" si="12"/>
        <v>N/A</v>
      </c>
      <c r="T23" s="694" t="str">
        <f t="shared" si="13"/>
        <v>N/A</v>
      </c>
      <c r="U23" s="694">
        <f t="shared" si="14"/>
        <v>0</v>
      </c>
      <c r="V23" s="694">
        <f t="shared" si="17"/>
        <v>1</v>
      </c>
      <c r="W23" s="694" t="str">
        <f t="shared" si="16"/>
        <v>-</v>
      </c>
      <c r="Y23" s="694" t="str">
        <f t="shared" si="4"/>
        <v>Not suitable</v>
      </c>
      <c r="Z23" s="703" t="str">
        <f t="shared" si="18"/>
        <v>Y</v>
      </c>
      <c r="AA23" s="675"/>
      <c r="AB23" s="694"/>
    </row>
    <row r="24" spans="1:28" ht="15">
      <c r="A24" s="689"/>
      <c r="B24" s="697"/>
      <c r="C24" s="699"/>
      <c r="D24" s="699"/>
      <c r="E24" s="699"/>
      <c r="F24" s="676"/>
      <c r="G24" s="701"/>
      <c r="H24" s="702"/>
      <c r="I24" s="676"/>
      <c r="J24" s="676"/>
      <c r="K24" s="694" t="str">
        <f t="shared" si="8"/>
        <v>N/A</v>
      </c>
      <c r="L24" s="694" t="str">
        <f t="shared" si="0"/>
        <v>N/A</v>
      </c>
      <c r="M24" s="694" t="str">
        <f t="shared" si="1"/>
        <v>N/A</v>
      </c>
      <c r="N24" s="694" t="str">
        <f t="shared" si="2"/>
        <v>N/A</v>
      </c>
      <c r="O24" s="694" t="str">
        <f t="shared" si="3"/>
        <v>N/A</v>
      </c>
      <c r="P24" s="694" t="str">
        <f t="shared" si="9"/>
        <v>N/A</v>
      </c>
      <c r="Q24" s="694" t="str">
        <f t="shared" si="10"/>
        <v>N/A</v>
      </c>
      <c r="R24" s="694" t="str">
        <f t="shared" si="11"/>
        <v>N/A</v>
      </c>
      <c r="S24" s="694" t="str">
        <f t="shared" si="12"/>
        <v>N/A</v>
      </c>
      <c r="T24" s="694" t="str">
        <f t="shared" si="13"/>
        <v>N/A</v>
      </c>
      <c r="U24" s="694">
        <f t="shared" si="14"/>
        <v>0</v>
      </c>
      <c r="V24" s="694">
        <f t="shared" si="17"/>
        <v>1</v>
      </c>
      <c r="W24" s="694" t="str">
        <f t="shared" si="16"/>
        <v>-</v>
      </c>
      <c r="Y24" s="694" t="str">
        <f t="shared" si="4"/>
        <v>Not suitable</v>
      </c>
      <c r="Z24" s="703" t="str">
        <f t="shared" si="18"/>
        <v>Y</v>
      </c>
      <c r="AA24" s="675"/>
      <c r="AB24" s="694"/>
    </row>
    <row r="25" spans="1:28" ht="15">
      <c r="A25" s="689"/>
      <c r="B25" s="697"/>
      <c r="C25" s="699"/>
      <c r="D25" s="699"/>
      <c r="E25" s="699"/>
      <c r="F25" s="676"/>
      <c r="G25" s="701"/>
      <c r="H25" s="702"/>
      <c r="I25" s="676"/>
      <c r="J25" s="676"/>
      <c r="K25" s="694" t="str">
        <f t="shared" si="8"/>
        <v>N/A</v>
      </c>
      <c r="L25" s="694" t="str">
        <f t="shared" si="0"/>
        <v>N/A</v>
      </c>
      <c r="M25" s="694" t="str">
        <f t="shared" si="1"/>
        <v>N/A</v>
      </c>
      <c r="N25" s="694" t="str">
        <f t="shared" si="2"/>
        <v>N/A</v>
      </c>
      <c r="O25" s="694" t="str">
        <f t="shared" si="3"/>
        <v>N/A</v>
      </c>
      <c r="P25" s="694" t="str">
        <f t="shared" si="9"/>
        <v>N/A</v>
      </c>
      <c r="Q25" s="694" t="str">
        <f t="shared" si="10"/>
        <v>N/A</v>
      </c>
      <c r="R25" s="694" t="str">
        <f t="shared" si="11"/>
        <v>N/A</v>
      </c>
      <c r="S25" s="694" t="str">
        <f t="shared" si="12"/>
        <v>N/A</v>
      </c>
      <c r="T25" s="694" t="str">
        <f t="shared" si="13"/>
        <v>N/A</v>
      </c>
      <c r="U25" s="694">
        <f t="shared" si="14"/>
        <v>0</v>
      </c>
      <c r="V25" s="694">
        <f t="shared" si="17"/>
        <v>1</v>
      </c>
      <c r="W25" s="694" t="str">
        <f t="shared" si="16"/>
        <v>-</v>
      </c>
      <c r="Y25" s="694" t="str">
        <f t="shared" si="4"/>
        <v>Not suitable</v>
      </c>
      <c r="Z25" s="703" t="str">
        <f t="shared" si="18"/>
        <v>Y</v>
      </c>
      <c r="AA25" s="675"/>
      <c r="AB25" s="694"/>
    </row>
    <row r="26" spans="1:28" ht="15">
      <c r="A26" s="689"/>
      <c r="B26" s="697"/>
      <c r="C26" s="699"/>
      <c r="D26" s="699"/>
      <c r="E26" s="699"/>
      <c r="F26" s="676"/>
      <c r="G26" s="701"/>
      <c r="H26" s="702"/>
      <c r="I26" s="676"/>
      <c r="J26" s="676"/>
      <c r="K26" s="694" t="str">
        <f t="shared" si="8"/>
        <v>N/A</v>
      </c>
      <c r="L26" s="694" t="str">
        <f t="shared" si="0"/>
        <v>N/A</v>
      </c>
      <c r="M26" s="694" t="str">
        <f t="shared" si="1"/>
        <v>N/A</v>
      </c>
      <c r="N26" s="694" t="str">
        <f t="shared" si="2"/>
        <v>N/A</v>
      </c>
      <c r="O26" s="694" t="str">
        <f t="shared" si="3"/>
        <v>N/A</v>
      </c>
      <c r="P26" s="694" t="str">
        <f t="shared" si="9"/>
        <v>N/A</v>
      </c>
      <c r="Q26" s="694" t="str">
        <f t="shared" si="10"/>
        <v>N/A</v>
      </c>
      <c r="R26" s="694" t="str">
        <f t="shared" si="11"/>
        <v>N/A</v>
      </c>
      <c r="S26" s="694" t="str">
        <f t="shared" si="12"/>
        <v>N/A</v>
      </c>
      <c r="T26" s="694" t="str">
        <f t="shared" si="13"/>
        <v>N/A</v>
      </c>
      <c r="U26" s="694">
        <f t="shared" si="14"/>
        <v>0</v>
      </c>
      <c r="V26" s="694">
        <f t="shared" si="17"/>
        <v>1</v>
      </c>
      <c r="W26" s="694" t="str">
        <f t="shared" si="16"/>
        <v>-</v>
      </c>
      <c r="Y26" s="694" t="str">
        <f t="shared" si="4"/>
        <v>Not suitable</v>
      </c>
      <c r="Z26" s="703" t="str">
        <f t="shared" si="18"/>
        <v>Y</v>
      </c>
      <c r="AA26" s="675"/>
      <c r="AB26" s="694"/>
    </row>
    <row r="27" spans="1:28" ht="15">
      <c r="A27" s="689"/>
      <c r="B27" s="697"/>
      <c r="C27" s="699"/>
      <c r="D27" s="699"/>
      <c r="E27" s="699"/>
      <c r="F27" s="676"/>
      <c r="G27" s="701"/>
      <c r="H27" s="702"/>
      <c r="I27" s="676"/>
      <c r="J27" s="676"/>
      <c r="K27" s="694" t="str">
        <f t="shared" si="8"/>
        <v>N/A</v>
      </c>
      <c r="L27" s="694" t="str">
        <f t="shared" si="0"/>
        <v>N/A</v>
      </c>
      <c r="M27" s="694" t="str">
        <f t="shared" si="1"/>
        <v>N/A</v>
      </c>
      <c r="N27" s="694" t="str">
        <f t="shared" si="2"/>
        <v>N/A</v>
      </c>
      <c r="O27" s="694" t="str">
        <f t="shared" si="3"/>
        <v>N/A</v>
      </c>
      <c r="P27" s="694" t="str">
        <f t="shared" si="9"/>
        <v>N/A</v>
      </c>
      <c r="Q27" s="694" t="str">
        <f t="shared" si="10"/>
        <v>N/A</v>
      </c>
      <c r="R27" s="694" t="str">
        <f t="shared" si="11"/>
        <v>N/A</v>
      </c>
      <c r="S27" s="694" t="str">
        <f t="shared" si="12"/>
        <v>N/A</v>
      </c>
      <c r="T27" s="694" t="str">
        <f t="shared" si="13"/>
        <v>N/A</v>
      </c>
      <c r="U27" s="694">
        <f t="shared" si="14"/>
        <v>0</v>
      </c>
      <c r="V27" s="694">
        <f t="shared" si="17"/>
        <v>1</v>
      </c>
      <c r="W27" s="694" t="str">
        <f t="shared" si="16"/>
        <v>-</v>
      </c>
      <c r="Y27" s="694" t="str">
        <f t="shared" si="4"/>
        <v>Not suitable</v>
      </c>
      <c r="Z27" s="703" t="str">
        <f t="shared" si="18"/>
        <v>Y</v>
      </c>
      <c r="AA27" s="675"/>
      <c r="AB27" s="694"/>
    </row>
    <row r="28" spans="1:28" ht="15">
      <c r="A28" s="689"/>
      <c r="B28" s="697"/>
      <c r="C28" s="699"/>
      <c r="D28" s="699"/>
      <c r="E28" s="699"/>
      <c r="F28" s="676"/>
      <c r="G28" s="701"/>
      <c r="H28" s="702"/>
      <c r="I28" s="676"/>
      <c r="J28" s="676"/>
      <c r="K28" s="694" t="str">
        <f t="shared" si="8"/>
        <v>N/A</v>
      </c>
      <c r="L28" s="694" t="str">
        <f t="shared" si="0"/>
        <v>N/A</v>
      </c>
      <c r="M28" s="694" t="str">
        <f t="shared" si="1"/>
        <v>N/A</v>
      </c>
      <c r="N28" s="694" t="str">
        <f t="shared" si="2"/>
        <v>N/A</v>
      </c>
      <c r="O28" s="694" t="str">
        <f t="shared" si="3"/>
        <v>N/A</v>
      </c>
      <c r="P28" s="694" t="str">
        <f t="shared" si="9"/>
        <v>N/A</v>
      </c>
      <c r="Q28" s="694" t="str">
        <f t="shared" si="10"/>
        <v>N/A</v>
      </c>
      <c r="R28" s="694" t="str">
        <f t="shared" si="11"/>
        <v>N/A</v>
      </c>
      <c r="S28" s="694" t="str">
        <f t="shared" si="12"/>
        <v>N/A</v>
      </c>
      <c r="T28" s="694" t="str">
        <f t="shared" si="13"/>
        <v>N/A</v>
      </c>
      <c r="U28" s="694">
        <f t="shared" si="14"/>
        <v>0</v>
      </c>
      <c r="V28" s="694">
        <f t="shared" si="17"/>
        <v>1</v>
      </c>
      <c r="W28" s="694" t="str">
        <f t="shared" si="16"/>
        <v>-</v>
      </c>
      <c r="Y28" s="694" t="str">
        <f t="shared" si="4"/>
        <v>Not suitable</v>
      </c>
      <c r="Z28" s="703" t="str">
        <f t="shared" si="18"/>
        <v>Y</v>
      </c>
      <c r="AA28" s="675"/>
      <c r="AB28" s="694"/>
    </row>
    <row r="29" spans="1:28" ht="15">
      <c r="A29" s="689"/>
      <c r="B29" s="697"/>
      <c r="C29" s="699"/>
      <c r="D29" s="699"/>
      <c r="E29" s="699"/>
      <c r="F29" s="676"/>
      <c r="G29" s="701"/>
      <c r="H29" s="702"/>
      <c r="I29" s="676"/>
      <c r="J29" s="676"/>
      <c r="K29" s="694" t="str">
        <f t="shared" si="8"/>
        <v>N/A</v>
      </c>
      <c r="L29" s="694" t="str">
        <f t="shared" si="0"/>
        <v>N/A</v>
      </c>
      <c r="M29" s="694" t="str">
        <f t="shared" si="1"/>
        <v>N/A</v>
      </c>
      <c r="N29" s="694" t="str">
        <f t="shared" si="2"/>
        <v>N/A</v>
      </c>
      <c r="O29" s="694" t="str">
        <f t="shared" si="3"/>
        <v>N/A</v>
      </c>
      <c r="P29" s="694" t="str">
        <f t="shared" si="9"/>
        <v>N/A</v>
      </c>
      <c r="Q29" s="694" t="str">
        <f t="shared" si="10"/>
        <v>N/A</v>
      </c>
      <c r="R29" s="694" t="str">
        <f t="shared" si="11"/>
        <v>N/A</v>
      </c>
      <c r="S29" s="694" t="str">
        <f t="shared" si="12"/>
        <v>N/A</v>
      </c>
      <c r="T29" s="694" t="str">
        <f t="shared" si="13"/>
        <v>N/A</v>
      </c>
      <c r="U29" s="694">
        <f t="shared" si="14"/>
        <v>0</v>
      </c>
      <c r="V29" s="694">
        <f t="shared" si="17"/>
        <v>1</v>
      </c>
      <c r="W29" s="694" t="str">
        <f t="shared" si="16"/>
        <v>-</v>
      </c>
      <c r="Y29" s="694" t="str">
        <f t="shared" si="4"/>
        <v>Not suitable</v>
      </c>
      <c r="Z29" s="703" t="str">
        <f t="shared" si="18"/>
        <v>Y</v>
      </c>
      <c r="AA29" s="675"/>
      <c r="AB29" s="694"/>
    </row>
    <row r="30" spans="1:28" ht="15">
      <c r="A30" s="689"/>
      <c r="B30" s="697"/>
      <c r="C30" s="699"/>
      <c r="D30" s="699"/>
      <c r="E30" s="699"/>
      <c r="F30" s="676"/>
      <c r="G30" s="701"/>
      <c r="H30" s="702"/>
      <c r="I30" s="676"/>
      <c r="J30" s="676"/>
      <c r="K30" s="694" t="str">
        <f t="shared" si="8"/>
        <v>N/A</v>
      </c>
      <c r="L30" s="694" t="str">
        <f t="shared" si="0"/>
        <v>N/A</v>
      </c>
      <c r="M30" s="694" t="str">
        <f t="shared" si="1"/>
        <v>N/A</v>
      </c>
      <c r="N30" s="694" t="str">
        <f t="shared" si="2"/>
        <v>N/A</v>
      </c>
      <c r="O30" s="694" t="str">
        <f t="shared" si="3"/>
        <v>N/A</v>
      </c>
      <c r="P30" s="694" t="str">
        <f t="shared" si="9"/>
        <v>N/A</v>
      </c>
      <c r="Q30" s="694" t="str">
        <f t="shared" si="10"/>
        <v>N/A</v>
      </c>
      <c r="R30" s="694" t="str">
        <f t="shared" si="11"/>
        <v>N/A</v>
      </c>
      <c r="S30" s="694" t="str">
        <f t="shared" si="12"/>
        <v>N/A</v>
      </c>
      <c r="T30" s="694" t="str">
        <f t="shared" si="13"/>
        <v>N/A</v>
      </c>
      <c r="U30" s="694">
        <f t="shared" si="14"/>
        <v>0</v>
      </c>
      <c r="V30" s="694">
        <f t="shared" si="17"/>
        <v>1</v>
      </c>
      <c r="W30" s="694" t="str">
        <f t="shared" si="16"/>
        <v>-</v>
      </c>
      <c r="Y30" s="694" t="str">
        <f t="shared" si="4"/>
        <v>Not suitable</v>
      </c>
      <c r="Z30" s="703" t="str">
        <f t="shared" si="18"/>
        <v>Y</v>
      </c>
      <c r="AA30" s="675"/>
      <c r="AB30" s="694"/>
    </row>
    <row r="31" spans="1:28" ht="15">
      <c r="A31" s="689"/>
      <c r="B31" s="697"/>
      <c r="C31" s="699"/>
      <c r="D31" s="699"/>
      <c r="E31" s="699"/>
      <c r="F31" s="676"/>
      <c r="G31" s="701"/>
      <c r="H31" s="702"/>
      <c r="I31" s="676"/>
      <c r="J31" s="676"/>
      <c r="K31" s="694" t="str">
        <f t="shared" si="8"/>
        <v>N/A</v>
      </c>
      <c r="L31" s="694" t="str">
        <f t="shared" si="0"/>
        <v>N/A</v>
      </c>
      <c r="M31" s="694" t="str">
        <f t="shared" si="1"/>
        <v>N/A</v>
      </c>
      <c r="N31" s="694" t="str">
        <f t="shared" si="2"/>
        <v>N/A</v>
      </c>
      <c r="O31" s="694" t="str">
        <f t="shared" si="3"/>
        <v>N/A</v>
      </c>
      <c r="P31" s="694" t="str">
        <f t="shared" si="9"/>
        <v>N/A</v>
      </c>
      <c r="Q31" s="694" t="str">
        <f t="shared" si="10"/>
        <v>N/A</v>
      </c>
      <c r="R31" s="694" t="str">
        <f t="shared" si="11"/>
        <v>N/A</v>
      </c>
      <c r="S31" s="694" t="str">
        <f t="shared" si="12"/>
        <v>N/A</v>
      </c>
      <c r="T31" s="694" t="str">
        <f t="shared" si="13"/>
        <v>N/A</v>
      </c>
      <c r="U31" s="694">
        <f t="shared" si="14"/>
        <v>0</v>
      </c>
      <c r="V31" s="694">
        <f t="shared" si="17"/>
        <v>1</v>
      </c>
      <c r="W31" s="694" t="str">
        <f t="shared" si="16"/>
        <v>-</v>
      </c>
      <c r="Y31" s="694" t="str">
        <f t="shared" si="4"/>
        <v>Not suitable</v>
      </c>
      <c r="Z31" s="703" t="str">
        <f t="shared" si="18"/>
        <v>Y</v>
      </c>
      <c r="AA31" s="675"/>
      <c r="AB31" s="694"/>
    </row>
    <row r="32" spans="1:28" ht="15">
      <c r="A32" s="689"/>
      <c r="B32" s="697"/>
      <c r="C32" s="699"/>
      <c r="D32" s="699"/>
      <c r="E32" s="699"/>
      <c r="F32" s="676"/>
      <c r="G32" s="701"/>
      <c r="H32" s="702"/>
      <c r="I32" s="676"/>
      <c r="J32" s="676"/>
      <c r="K32" s="694" t="str">
        <f t="shared" si="8"/>
        <v>N/A</v>
      </c>
      <c r="L32" s="694" t="str">
        <f t="shared" si="0"/>
        <v>N/A</v>
      </c>
      <c r="M32" s="694" t="str">
        <f t="shared" si="1"/>
        <v>N/A</v>
      </c>
      <c r="N32" s="694" t="str">
        <f t="shared" si="2"/>
        <v>N/A</v>
      </c>
      <c r="O32" s="694" t="str">
        <f t="shared" si="3"/>
        <v>N/A</v>
      </c>
      <c r="P32" s="694" t="str">
        <f t="shared" si="9"/>
        <v>N/A</v>
      </c>
      <c r="Q32" s="694" t="str">
        <f t="shared" si="10"/>
        <v>N/A</v>
      </c>
      <c r="R32" s="694" t="str">
        <f t="shared" si="11"/>
        <v>N/A</v>
      </c>
      <c r="S32" s="694" t="str">
        <f t="shared" si="12"/>
        <v>N/A</v>
      </c>
      <c r="T32" s="694" t="str">
        <f t="shared" si="13"/>
        <v>N/A</v>
      </c>
      <c r="U32" s="694">
        <f t="shared" si="14"/>
        <v>0</v>
      </c>
      <c r="V32" s="694">
        <f t="shared" si="17"/>
        <v>1</v>
      </c>
      <c r="W32" s="694" t="str">
        <f t="shared" si="16"/>
        <v>-</v>
      </c>
      <c r="Y32" s="694" t="str">
        <f t="shared" si="4"/>
        <v>Not suitable</v>
      </c>
      <c r="Z32" s="703" t="str">
        <f t="shared" si="18"/>
        <v>Y</v>
      </c>
      <c r="AA32" s="675"/>
      <c r="AB32" s="694"/>
    </row>
    <row r="33" spans="1:28" ht="15">
      <c r="A33" s="689"/>
      <c r="B33" s="697"/>
      <c r="C33" s="699"/>
      <c r="D33" s="699"/>
      <c r="E33" s="699"/>
      <c r="F33" s="676"/>
      <c r="G33" s="701"/>
      <c r="H33" s="702"/>
      <c r="I33" s="676"/>
      <c r="J33" s="676"/>
      <c r="K33" s="694" t="str">
        <f t="shared" si="8"/>
        <v>N/A</v>
      </c>
      <c r="L33" s="694" t="str">
        <f t="shared" si="0"/>
        <v>N/A</v>
      </c>
      <c r="M33" s="694" t="str">
        <f t="shared" si="1"/>
        <v>N/A</v>
      </c>
      <c r="N33" s="694" t="str">
        <f t="shared" si="2"/>
        <v>N/A</v>
      </c>
      <c r="O33" s="694" t="str">
        <f t="shared" si="3"/>
        <v>N/A</v>
      </c>
      <c r="P33" s="694" t="str">
        <f t="shared" si="9"/>
        <v>N/A</v>
      </c>
      <c r="Q33" s="694" t="str">
        <f t="shared" si="10"/>
        <v>N/A</v>
      </c>
      <c r="R33" s="694" t="str">
        <f t="shared" si="11"/>
        <v>N/A</v>
      </c>
      <c r="S33" s="694" t="str">
        <f t="shared" si="12"/>
        <v>N/A</v>
      </c>
      <c r="T33" s="694" t="str">
        <f t="shared" si="13"/>
        <v>N/A</v>
      </c>
      <c r="U33" s="694">
        <f t="shared" si="14"/>
        <v>0</v>
      </c>
      <c r="V33" s="694">
        <f t="shared" si="17"/>
        <v>1</v>
      </c>
      <c r="W33" s="694" t="str">
        <f t="shared" si="16"/>
        <v>-</v>
      </c>
      <c r="Y33" s="694" t="str">
        <f t="shared" si="4"/>
        <v>Not suitable</v>
      </c>
      <c r="Z33" s="703" t="str">
        <f t="shared" si="18"/>
        <v>Y</v>
      </c>
      <c r="AA33" s="675"/>
      <c r="AB33" s="694"/>
    </row>
    <row r="34" spans="1:28" ht="15">
      <c r="A34" s="689"/>
      <c r="B34" s="697"/>
      <c r="C34" s="699"/>
      <c r="D34" s="699"/>
      <c r="E34" s="699"/>
      <c r="F34" s="676"/>
      <c r="G34" s="701"/>
      <c r="H34" s="702"/>
      <c r="I34" s="676"/>
      <c r="J34" s="676"/>
      <c r="K34" s="694" t="str">
        <f t="shared" si="8"/>
        <v>N/A</v>
      </c>
      <c r="L34" s="694" t="str">
        <f t="shared" si="0"/>
        <v>N/A</v>
      </c>
      <c r="M34" s="694" t="str">
        <f t="shared" si="1"/>
        <v>N/A</v>
      </c>
      <c r="N34" s="694" t="str">
        <f t="shared" si="2"/>
        <v>N/A</v>
      </c>
      <c r="O34" s="694" t="str">
        <f t="shared" si="3"/>
        <v>N/A</v>
      </c>
      <c r="P34" s="694" t="str">
        <f t="shared" si="9"/>
        <v>N/A</v>
      </c>
      <c r="Q34" s="694" t="str">
        <f t="shared" si="10"/>
        <v>N/A</v>
      </c>
      <c r="R34" s="694" t="str">
        <f t="shared" si="11"/>
        <v>N/A</v>
      </c>
      <c r="S34" s="694" t="str">
        <f t="shared" si="12"/>
        <v>N/A</v>
      </c>
      <c r="T34" s="694" t="str">
        <f t="shared" si="13"/>
        <v>N/A</v>
      </c>
      <c r="U34" s="694">
        <f t="shared" si="14"/>
        <v>0</v>
      </c>
      <c r="V34" s="694">
        <f t="shared" si="17"/>
        <v>1</v>
      </c>
      <c r="W34" s="694" t="str">
        <f t="shared" si="16"/>
        <v>-</v>
      </c>
      <c r="Y34" s="694" t="str">
        <f t="shared" si="4"/>
        <v>Not suitable</v>
      </c>
      <c r="Z34" s="703" t="str">
        <f t="shared" si="18"/>
        <v>Y</v>
      </c>
      <c r="AA34" s="675"/>
      <c r="AB34" s="694"/>
    </row>
    <row r="35" spans="1:28" ht="15">
      <c r="A35" s="689"/>
      <c r="B35" s="697"/>
      <c r="C35" s="699"/>
      <c r="D35" s="699"/>
      <c r="E35" s="699"/>
      <c r="F35" s="676"/>
      <c r="G35" s="701"/>
      <c r="H35" s="702"/>
      <c r="I35" s="676"/>
      <c r="J35" s="676"/>
      <c r="K35" s="694" t="str">
        <f t="shared" ref="K35:K66" si="20">IFERROR(_xlfn.RANK.EQ(F35,F$3:F$61),"N/A")</f>
        <v>N/A</v>
      </c>
      <c r="L35" s="694" t="str">
        <f t="shared" ref="L35:L66" si="21">IFERROR(_xlfn.RANK.EQ(G35,G$3:G$61),"N/A")</f>
        <v>N/A</v>
      </c>
      <c r="M35" s="694" t="str">
        <f t="shared" ref="M35:M66" si="22">IFERROR(_xlfn.RANK.EQ(H35,H$3:H$61),"N/A")</f>
        <v>N/A</v>
      </c>
      <c r="N35" s="694" t="str">
        <f t="shared" ref="N35:N66" si="23">IFERROR(_xlfn.RANK.EQ(I35,I$3:I$61),"N/A")</f>
        <v>N/A</v>
      </c>
      <c r="O35" s="694" t="str">
        <f t="shared" ref="O35:O66" si="24">IFERROR(_xlfn.RANK.EQ(J35,J$3:J$61),"N/A")</f>
        <v>N/A</v>
      </c>
      <c r="P35" s="694" t="str">
        <f t="shared" si="9"/>
        <v>N/A</v>
      </c>
      <c r="Q35" s="694" t="str">
        <f t="shared" si="10"/>
        <v>N/A</v>
      </c>
      <c r="R35" s="694" t="str">
        <f t="shared" si="11"/>
        <v>N/A</v>
      </c>
      <c r="S35" s="694" t="str">
        <f t="shared" si="12"/>
        <v>N/A</v>
      </c>
      <c r="T35" s="694" t="str">
        <f t="shared" si="13"/>
        <v>N/A</v>
      </c>
      <c r="U35" s="694">
        <f t="shared" si="14"/>
        <v>0</v>
      </c>
      <c r="V35" s="694">
        <f t="shared" si="17"/>
        <v>1</v>
      </c>
      <c r="W35" s="694" t="str">
        <f t="shared" si="16"/>
        <v>-</v>
      </c>
      <c r="Y35" s="694" t="str">
        <f t="shared" si="4"/>
        <v>Not suitable</v>
      </c>
      <c r="Z35" s="703" t="str">
        <f t="shared" si="18"/>
        <v>Y</v>
      </c>
      <c r="AA35" s="675"/>
      <c r="AB35" s="694"/>
    </row>
    <row r="36" spans="1:28" ht="15">
      <c r="A36" s="689"/>
      <c r="B36" s="697"/>
      <c r="C36" s="699"/>
      <c r="D36" s="699"/>
      <c r="E36" s="699"/>
      <c r="F36" s="676"/>
      <c r="G36" s="701"/>
      <c r="H36" s="702"/>
      <c r="I36" s="676"/>
      <c r="J36" s="676"/>
      <c r="K36" s="694" t="str">
        <f t="shared" si="20"/>
        <v>N/A</v>
      </c>
      <c r="L36" s="694" t="str">
        <f t="shared" si="21"/>
        <v>N/A</v>
      </c>
      <c r="M36" s="694" t="str">
        <f t="shared" si="22"/>
        <v>N/A</v>
      </c>
      <c r="N36" s="694" t="str">
        <f t="shared" si="23"/>
        <v>N/A</v>
      </c>
      <c r="O36" s="694" t="str">
        <f t="shared" si="24"/>
        <v>N/A</v>
      </c>
      <c r="P36" s="694" t="str">
        <f t="shared" ref="P36:P67" si="25">IFERROR(ABS(K$3-K36),"N/A")</f>
        <v>N/A</v>
      </c>
      <c r="Q36" s="694" t="str">
        <f t="shared" ref="Q36:Q67" si="26">IFERROR(ABS(L$3-L36),"N/A")</f>
        <v>N/A</v>
      </c>
      <c r="R36" s="694" t="str">
        <f t="shared" ref="R36:R67" si="27">IFERROR(ABS(M$3-M36),"N/A")</f>
        <v>N/A</v>
      </c>
      <c r="S36" s="694" t="str">
        <f t="shared" ref="S36:S67" si="28">IFERROR(ABS(N$3-N36),"N/A")</f>
        <v>N/A</v>
      </c>
      <c r="T36" s="694" t="str">
        <f t="shared" ref="T36:T67" si="29">IFERROR(ABS(O$3-O36),"N/A")</f>
        <v>N/A</v>
      </c>
      <c r="U36" s="694">
        <f t="shared" ref="U36:U67" si="30">SUM(P36:T36)</f>
        <v>0</v>
      </c>
      <c r="V36" s="694">
        <f t="shared" ref="V36:V67" si="31">_xlfn.RANK.EQ(U36,$U$4:$U$61,1)</f>
        <v>1</v>
      </c>
      <c r="W36" s="694" t="str">
        <f t="shared" si="16"/>
        <v>-</v>
      </c>
      <c r="Y36" s="694" t="str">
        <f t="shared" si="4"/>
        <v>Not suitable</v>
      </c>
      <c r="Z36" s="703" t="str">
        <f t="shared" si="18"/>
        <v>Y</v>
      </c>
      <c r="AA36" s="675"/>
      <c r="AB36" s="694"/>
    </row>
    <row r="37" spans="1:28" ht="15">
      <c r="A37" s="689"/>
      <c r="B37" s="697"/>
      <c r="C37" s="699"/>
      <c r="D37" s="699"/>
      <c r="E37" s="699"/>
      <c r="F37" s="676"/>
      <c r="G37" s="701"/>
      <c r="H37" s="702"/>
      <c r="I37" s="676"/>
      <c r="J37" s="676"/>
      <c r="K37" s="694" t="str">
        <f t="shared" si="20"/>
        <v>N/A</v>
      </c>
      <c r="L37" s="694" t="str">
        <f t="shared" si="21"/>
        <v>N/A</v>
      </c>
      <c r="M37" s="694" t="str">
        <f t="shared" si="22"/>
        <v>N/A</v>
      </c>
      <c r="N37" s="694" t="str">
        <f t="shared" si="23"/>
        <v>N/A</v>
      </c>
      <c r="O37" s="694" t="str">
        <f t="shared" si="24"/>
        <v>N/A</v>
      </c>
      <c r="P37" s="694" t="str">
        <f t="shared" si="25"/>
        <v>N/A</v>
      </c>
      <c r="Q37" s="694" t="str">
        <f t="shared" si="26"/>
        <v>N/A</v>
      </c>
      <c r="R37" s="694" t="str">
        <f t="shared" si="27"/>
        <v>N/A</v>
      </c>
      <c r="S37" s="694" t="str">
        <f t="shared" si="28"/>
        <v>N/A</v>
      </c>
      <c r="T37" s="694" t="str">
        <f t="shared" si="29"/>
        <v>N/A</v>
      </c>
      <c r="U37" s="694">
        <f t="shared" si="30"/>
        <v>0</v>
      </c>
      <c r="V37" s="694">
        <f t="shared" si="31"/>
        <v>1</v>
      </c>
      <c r="W37" s="694" t="str">
        <f t="shared" ref="W37:W68" si="32">IF(Y37="Not suitable","-",V37)</f>
        <v>-</v>
      </c>
      <c r="Y37" s="694" t="str">
        <f t="shared" si="4"/>
        <v>Not suitable</v>
      </c>
      <c r="Z37" s="703" t="str">
        <f t="shared" si="18"/>
        <v>Y</v>
      </c>
      <c r="AA37" s="675"/>
      <c r="AB37" s="694"/>
    </row>
    <row r="38" spans="1:28" ht="15">
      <c r="A38" s="689"/>
      <c r="B38" s="697"/>
      <c r="C38" s="699"/>
      <c r="D38" s="699"/>
      <c r="E38" s="699"/>
      <c r="F38" s="676"/>
      <c r="G38" s="701"/>
      <c r="H38" s="702"/>
      <c r="I38" s="676"/>
      <c r="J38" s="676"/>
      <c r="K38" s="694" t="str">
        <f t="shared" si="20"/>
        <v>N/A</v>
      </c>
      <c r="L38" s="694" t="str">
        <f t="shared" si="21"/>
        <v>N/A</v>
      </c>
      <c r="M38" s="694" t="str">
        <f t="shared" si="22"/>
        <v>N/A</v>
      </c>
      <c r="N38" s="694" t="str">
        <f t="shared" si="23"/>
        <v>N/A</v>
      </c>
      <c r="O38" s="694" t="str">
        <f t="shared" si="24"/>
        <v>N/A</v>
      </c>
      <c r="P38" s="694" t="str">
        <f t="shared" si="25"/>
        <v>N/A</v>
      </c>
      <c r="Q38" s="694" t="str">
        <f t="shared" si="26"/>
        <v>N/A</v>
      </c>
      <c r="R38" s="694" t="str">
        <f t="shared" si="27"/>
        <v>N/A</v>
      </c>
      <c r="S38" s="694" t="str">
        <f t="shared" si="28"/>
        <v>N/A</v>
      </c>
      <c r="T38" s="694" t="str">
        <f t="shared" si="29"/>
        <v>N/A</v>
      </c>
      <c r="U38" s="694">
        <f t="shared" si="30"/>
        <v>0</v>
      </c>
      <c r="V38" s="694">
        <f t="shared" si="31"/>
        <v>1</v>
      </c>
      <c r="W38" s="694" t="str">
        <f t="shared" si="32"/>
        <v>-</v>
      </c>
      <c r="Y38" s="694" t="str">
        <f t="shared" si="4"/>
        <v>Not suitable</v>
      </c>
      <c r="Z38" s="703" t="str">
        <f t="shared" si="18"/>
        <v>Y</v>
      </c>
      <c r="AA38" s="675"/>
      <c r="AB38" s="694"/>
    </row>
    <row r="39" spans="1:28" ht="15">
      <c r="A39" s="689"/>
      <c r="B39" s="697"/>
      <c r="C39" s="699"/>
      <c r="D39" s="699"/>
      <c r="E39" s="699"/>
      <c r="F39" s="676"/>
      <c r="G39" s="701"/>
      <c r="H39" s="702"/>
      <c r="I39" s="676"/>
      <c r="J39" s="676"/>
      <c r="K39" s="694" t="str">
        <f t="shared" si="20"/>
        <v>N/A</v>
      </c>
      <c r="L39" s="694" t="str">
        <f t="shared" si="21"/>
        <v>N/A</v>
      </c>
      <c r="M39" s="694" t="str">
        <f t="shared" si="22"/>
        <v>N/A</v>
      </c>
      <c r="N39" s="694" t="str">
        <f t="shared" si="23"/>
        <v>N/A</v>
      </c>
      <c r="O39" s="694" t="str">
        <f t="shared" si="24"/>
        <v>N/A</v>
      </c>
      <c r="P39" s="694" t="str">
        <f t="shared" si="25"/>
        <v>N/A</v>
      </c>
      <c r="Q39" s="694" t="str">
        <f t="shared" si="26"/>
        <v>N/A</v>
      </c>
      <c r="R39" s="694" t="str">
        <f t="shared" si="27"/>
        <v>N/A</v>
      </c>
      <c r="S39" s="694" t="str">
        <f t="shared" si="28"/>
        <v>N/A</v>
      </c>
      <c r="T39" s="694" t="str">
        <f t="shared" si="29"/>
        <v>N/A</v>
      </c>
      <c r="U39" s="694">
        <f t="shared" si="30"/>
        <v>0</v>
      </c>
      <c r="V39" s="694">
        <f t="shared" si="31"/>
        <v>1</v>
      </c>
      <c r="W39" s="694" t="str">
        <f t="shared" si="32"/>
        <v>-</v>
      </c>
      <c r="Y39" s="694" t="str">
        <f t="shared" si="4"/>
        <v>Not suitable</v>
      </c>
      <c r="Z39" s="703" t="str">
        <f t="shared" si="18"/>
        <v>Y</v>
      </c>
      <c r="AA39" s="675"/>
      <c r="AB39" s="694"/>
    </row>
    <row r="40" spans="1:28" ht="15">
      <c r="A40" s="689"/>
      <c r="B40" s="697"/>
      <c r="C40" s="699"/>
      <c r="D40" s="699"/>
      <c r="E40" s="699"/>
      <c r="F40" s="676"/>
      <c r="G40" s="701"/>
      <c r="H40" s="702"/>
      <c r="I40" s="676"/>
      <c r="J40" s="676"/>
      <c r="K40" s="694" t="str">
        <f t="shared" si="20"/>
        <v>N/A</v>
      </c>
      <c r="L40" s="694" t="str">
        <f t="shared" si="21"/>
        <v>N/A</v>
      </c>
      <c r="M40" s="694" t="str">
        <f t="shared" si="22"/>
        <v>N/A</v>
      </c>
      <c r="N40" s="694" t="str">
        <f t="shared" si="23"/>
        <v>N/A</v>
      </c>
      <c r="O40" s="694" t="str">
        <f t="shared" si="24"/>
        <v>N/A</v>
      </c>
      <c r="P40" s="694" t="str">
        <f t="shared" si="25"/>
        <v>N/A</v>
      </c>
      <c r="Q40" s="694" t="str">
        <f t="shared" si="26"/>
        <v>N/A</v>
      </c>
      <c r="R40" s="694" t="str">
        <f t="shared" si="27"/>
        <v>N/A</v>
      </c>
      <c r="S40" s="694" t="str">
        <f t="shared" si="28"/>
        <v>N/A</v>
      </c>
      <c r="T40" s="694" t="str">
        <f t="shared" si="29"/>
        <v>N/A</v>
      </c>
      <c r="U40" s="694">
        <f t="shared" si="30"/>
        <v>0</v>
      </c>
      <c r="V40" s="694">
        <f t="shared" si="31"/>
        <v>1</v>
      </c>
      <c r="W40" s="694" t="str">
        <f t="shared" si="32"/>
        <v>-</v>
      </c>
      <c r="Y40" s="694" t="str">
        <f t="shared" si="4"/>
        <v>Not suitable</v>
      </c>
      <c r="Z40" s="703" t="str">
        <f t="shared" si="18"/>
        <v>Y</v>
      </c>
      <c r="AA40" s="675"/>
      <c r="AB40" s="694"/>
    </row>
    <row r="41" spans="1:28" ht="15">
      <c r="A41" s="689"/>
      <c r="B41" s="697"/>
      <c r="C41" s="699"/>
      <c r="D41" s="699"/>
      <c r="E41" s="699"/>
      <c r="F41" s="676"/>
      <c r="G41" s="701"/>
      <c r="H41" s="702"/>
      <c r="I41" s="676"/>
      <c r="J41" s="676"/>
      <c r="K41" s="694" t="str">
        <f t="shared" si="20"/>
        <v>N/A</v>
      </c>
      <c r="L41" s="694" t="str">
        <f t="shared" si="21"/>
        <v>N/A</v>
      </c>
      <c r="M41" s="694" t="str">
        <f t="shared" si="22"/>
        <v>N/A</v>
      </c>
      <c r="N41" s="694" t="str">
        <f t="shared" si="23"/>
        <v>N/A</v>
      </c>
      <c r="O41" s="694" t="str">
        <f t="shared" si="24"/>
        <v>N/A</v>
      </c>
      <c r="P41" s="694" t="str">
        <f t="shared" si="25"/>
        <v>N/A</v>
      </c>
      <c r="Q41" s="694" t="str">
        <f t="shared" si="26"/>
        <v>N/A</v>
      </c>
      <c r="R41" s="694" t="str">
        <f t="shared" si="27"/>
        <v>N/A</v>
      </c>
      <c r="S41" s="694" t="str">
        <f t="shared" si="28"/>
        <v>N/A</v>
      </c>
      <c r="T41" s="694" t="str">
        <f t="shared" si="29"/>
        <v>N/A</v>
      </c>
      <c r="U41" s="694">
        <f t="shared" si="30"/>
        <v>0</v>
      </c>
      <c r="V41" s="694">
        <f t="shared" si="31"/>
        <v>1</v>
      </c>
      <c r="W41" s="694" t="str">
        <f t="shared" si="32"/>
        <v>-</v>
      </c>
      <c r="Y41" s="694" t="str">
        <f t="shared" si="4"/>
        <v>Not suitable</v>
      </c>
      <c r="Z41" s="703" t="str">
        <f t="shared" si="18"/>
        <v>Y</v>
      </c>
      <c r="AA41" s="675"/>
      <c r="AB41" s="694"/>
    </row>
    <row r="42" spans="1:28" ht="15">
      <c r="A42" s="689"/>
      <c r="B42" s="697"/>
      <c r="C42" s="699"/>
      <c r="D42" s="699"/>
      <c r="E42" s="699"/>
      <c r="F42" s="676"/>
      <c r="G42" s="701"/>
      <c r="H42" s="702"/>
      <c r="I42" s="676"/>
      <c r="J42" s="676"/>
      <c r="K42" s="694" t="str">
        <f t="shared" si="20"/>
        <v>N/A</v>
      </c>
      <c r="L42" s="694" t="str">
        <f t="shared" si="21"/>
        <v>N/A</v>
      </c>
      <c r="M42" s="694" t="str">
        <f t="shared" si="22"/>
        <v>N/A</v>
      </c>
      <c r="N42" s="694" t="str">
        <f t="shared" si="23"/>
        <v>N/A</v>
      </c>
      <c r="O42" s="694" t="str">
        <f t="shared" si="24"/>
        <v>N/A</v>
      </c>
      <c r="P42" s="694" t="str">
        <f t="shared" si="25"/>
        <v>N/A</v>
      </c>
      <c r="Q42" s="694" t="str">
        <f t="shared" si="26"/>
        <v>N/A</v>
      </c>
      <c r="R42" s="694" t="str">
        <f t="shared" si="27"/>
        <v>N/A</v>
      </c>
      <c r="S42" s="694" t="str">
        <f t="shared" si="28"/>
        <v>N/A</v>
      </c>
      <c r="T42" s="694" t="str">
        <f t="shared" si="29"/>
        <v>N/A</v>
      </c>
      <c r="U42" s="694">
        <f t="shared" si="30"/>
        <v>0</v>
      </c>
      <c r="V42" s="694">
        <f t="shared" si="31"/>
        <v>1</v>
      </c>
      <c r="W42" s="694" t="str">
        <f t="shared" si="32"/>
        <v>-</v>
      </c>
      <c r="Y42" s="694" t="str">
        <f t="shared" si="4"/>
        <v>Not suitable</v>
      </c>
      <c r="Z42" s="703" t="str">
        <f t="shared" si="18"/>
        <v>Y</v>
      </c>
      <c r="AA42" s="675"/>
      <c r="AB42" s="694"/>
    </row>
    <row r="43" spans="1:28" ht="15">
      <c r="A43" s="689"/>
      <c r="B43" s="697"/>
      <c r="C43" s="699"/>
      <c r="D43" s="699"/>
      <c r="E43" s="699"/>
      <c r="F43" s="676"/>
      <c r="G43" s="701"/>
      <c r="H43" s="702"/>
      <c r="I43" s="676"/>
      <c r="J43" s="676"/>
      <c r="K43" s="694" t="str">
        <f t="shared" si="20"/>
        <v>N/A</v>
      </c>
      <c r="L43" s="694" t="str">
        <f t="shared" si="21"/>
        <v>N/A</v>
      </c>
      <c r="M43" s="694" t="str">
        <f t="shared" si="22"/>
        <v>N/A</v>
      </c>
      <c r="N43" s="694" t="str">
        <f t="shared" si="23"/>
        <v>N/A</v>
      </c>
      <c r="O43" s="694" t="str">
        <f t="shared" si="24"/>
        <v>N/A</v>
      </c>
      <c r="P43" s="694" t="str">
        <f t="shared" si="25"/>
        <v>N/A</v>
      </c>
      <c r="Q43" s="694" t="str">
        <f t="shared" si="26"/>
        <v>N/A</v>
      </c>
      <c r="R43" s="694" t="str">
        <f t="shared" si="27"/>
        <v>N/A</v>
      </c>
      <c r="S43" s="694" t="str">
        <f t="shared" si="28"/>
        <v>N/A</v>
      </c>
      <c r="T43" s="694" t="str">
        <f t="shared" si="29"/>
        <v>N/A</v>
      </c>
      <c r="U43" s="694">
        <f t="shared" si="30"/>
        <v>0</v>
      </c>
      <c r="V43" s="694">
        <f t="shared" si="31"/>
        <v>1</v>
      </c>
      <c r="W43" s="694" t="str">
        <f t="shared" si="32"/>
        <v>-</v>
      </c>
      <c r="Y43" s="694" t="str">
        <f t="shared" si="4"/>
        <v>Not suitable</v>
      </c>
      <c r="Z43" s="703" t="str">
        <f t="shared" si="18"/>
        <v>Y</v>
      </c>
      <c r="AA43" s="675"/>
      <c r="AB43" s="694"/>
    </row>
    <row r="44" spans="1:28" ht="15">
      <c r="A44" s="689"/>
      <c r="B44" s="697"/>
      <c r="C44" s="699"/>
      <c r="D44" s="699"/>
      <c r="E44" s="699"/>
      <c r="F44" s="676"/>
      <c r="G44" s="701"/>
      <c r="H44" s="702"/>
      <c r="I44" s="676"/>
      <c r="J44" s="676"/>
      <c r="K44" s="694" t="str">
        <f t="shared" si="20"/>
        <v>N/A</v>
      </c>
      <c r="L44" s="694" t="str">
        <f t="shared" si="21"/>
        <v>N/A</v>
      </c>
      <c r="M44" s="694" t="str">
        <f t="shared" si="22"/>
        <v>N/A</v>
      </c>
      <c r="N44" s="694" t="str">
        <f t="shared" si="23"/>
        <v>N/A</v>
      </c>
      <c r="O44" s="694" t="str">
        <f t="shared" si="24"/>
        <v>N/A</v>
      </c>
      <c r="P44" s="694" t="str">
        <f t="shared" si="25"/>
        <v>N/A</v>
      </c>
      <c r="Q44" s="694" t="str">
        <f t="shared" si="26"/>
        <v>N/A</v>
      </c>
      <c r="R44" s="694" t="str">
        <f t="shared" si="27"/>
        <v>N/A</v>
      </c>
      <c r="S44" s="694" t="str">
        <f t="shared" si="28"/>
        <v>N/A</v>
      </c>
      <c r="T44" s="694" t="str">
        <f t="shared" si="29"/>
        <v>N/A</v>
      </c>
      <c r="U44" s="694">
        <f t="shared" si="30"/>
        <v>0</v>
      </c>
      <c r="V44" s="694">
        <f t="shared" si="31"/>
        <v>1</v>
      </c>
      <c r="W44" s="694" t="str">
        <f t="shared" si="32"/>
        <v>-</v>
      </c>
      <c r="Y44" s="694" t="str">
        <f t="shared" si="4"/>
        <v>Not suitable</v>
      </c>
      <c r="Z44" s="703" t="str">
        <f t="shared" si="18"/>
        <v>Y</v>
      </c>
      <c r="AA44" s="675"/>
      <c r="AB44" s="694"/>
    </row>
    <row r="45" spans="1:28" ht="15">
      <c r="A45" s="689"/>
      <c r="B45" s="697"/>
      <c r="C45" s="699"/>
      <c r="D45" s="699"/>
      <c r="E45" s="699"/>
      <c r="F45" s="676"/>
      <c r="G45" s="701"/>
      <c r="H45" s="702"/>
      <c r="I45" s="676"/>
      <c r="J45" s="676"/>
      <c r="K45" s="694" t="str">
        <f t="shared" si="20"/>
        <v>N/A</v>
      </c>
      <c r="L45" s="694" t="str">
        <f t="shared" si="21"/>
        <v>N/A</v>
      </c>
      <c r="M45" s="694" t="str">
        <f t="shared" si="22"/>
        <v>N/A</v>
      </c>
      <c r="N45" s="694" t="str">
        <f t="shared" si="23"/>
        <v>N/A</v>
      </c>
      <c r="O45" s="694" t="str">
        <f t="shared" si="24"/>
        <v>N/A</v>
      </c>
      <c r="P45" s="694" t="str">
        <f t="shared" si="25"/>
        <v>N/A</v>
      </c>
      <c r="Q45" s="694" t="str">
        <f t="shared" si="26"/>
        <v>N/A</v>
      </c>
      <c r="R45" s="694" t="str">
        <f t="shared" si="27"/>
        <v>N/A</v>
      </c>
      <c r="S45" s="694" t="str">
        <f t="shared" si="28"/>
        <v>N/A</v>
      </c>
      <c r="T45" s="694" t="str">
        <f t="shared" si="29"/>
        <v>N/A</v>
      </c>
      <c r="U45" s="694">
        <f t="shared" si="30"/>
        <v>0</v>
      </c>
      <c r="V45" s="694">
        <f t="shared" si="31"/>
        <v>1</v>
      </c>
      <c r="W45" s="694" t="str">
        <f t="shared" si="32"/>
        <v>-</v>
      </c>
      <c r="Y45" s="694" t="str">
        <f t="shared" si="4"/>
        <v>Not suitable</v>
      </c>
      <c r="Z45" s="703" t="str">
        <f t="shared" si="18"/>
        <v>Y</v>
      </c>
      <c r="AA45" s="675"/>
      <c r="AB45" s="694"/>
    </row>
    <row r="46" spans="1:28" ht="15">
      <c r="A46" s="689"/>
      <c r="B46" s="697"/>
      <c r="C46" s="699"/>
      <c r="D46" s="699"/>
      <c r="E46" s="699"/>
      <c r="F46" s="676"/>
      <c r="G46" s="701"/>
      <c r="H46" s="702"/>
      <c r="I46" s="676"/>
      <c r="J46" s="676"/>
      <c r="K46" s="694" t="str">
        <f t="shared" si="20"/>
        <v>N/A</v>
      </c>
      <c r="L46" s="694" t="str">
        <f t="shared" si="21"/>
        <v>N/A</v>
      </c>
      <c r="M46" s="694" t="str">
        <f t="shared" si="22"/>
        <v>N/A</v>
      </c>
      <c r="N46" s="694" t="str">
        <f t="shared" si="23"/>
        <v>N/A</v>
      </c>
      <c r="O46" s="694" t="str">
        <f t="shared" si="24"/>
        <v>N/A</v>
      </c>
      <c r="P46" s="694" t="str">
        <f t="shared" si="25"/>
        <v>N/A</v>
      </c>
      <c r="Q46" s="694" t="str">
        <f t="shared" si="26"/>
        <v>N/A</v>
      </c>
      <c r="R46" s="694" t="str">
        <f t="shared" si="27"/>
        <v>N/A</v>
      </c>
      <c r="S46" s="694" t="str">
        <f t="shared" si="28"/>
        <v>N/A</v>
      </c>
      <c r="T46" s="694" t="str">
        <f t="shared" si="29"/>
        <v>N/A</v>
      </c>
      <c r="U46" s="694">
        <f t="shared" si="30"/>
        <v>0</v>
      </c>
      <c r="V46" s="694">
        <f t="shared" si="31"/>
        <v>1</v>
      </c>
      <c r="W46" s="694" t="str">
        <f t="shared" si="32"/>
        <v>-</v>
      </c>
      <c r="Y46" s="694" t="str">
        <f t="shared" si="4"/>
        <v>Not suitable</v>
      </c>
      <c r="Z46" s="703" t="str">
        <f t="shared" si="18"/>
        <v>Y</v>
      </c>
      <c r="AA46" s="675"/>
      <c r="AB46" s="694"/>
    </row>
    <row r="47" spans="1:28" ht="15">
      <c r="A47" s="689"/>
      <c r="B47" s="697"/>
      <c r="C47" s="699"/>
      <c r="D47" s="699"/>
      <c r="E47" s="699"/>
      <c r="F47" s="676"/>
      <c r="G47" s="701"/>
      <c r="H47" s="702"/>
      <c r="I47" s="676"/>
      <c r="J47" s="676"/>
      <c r="K47" s="694" t="str">
        <f t="shared" si="20"/>
        <v>N/A</v>
      </c>
      <c r="L47" s="694" t="str">
        <f t="shared" si="21"/>
        <v>N/A</v>
      </c>
      <c r="M47" s="694" t="str">
        <f t="shared" si="22"/>
        <v>N/A</v>
      </c>
      <c r="N47" s="694" t="str">
        <f t="shared" si="23"/>
        <v>N/A</v>
      </c>
      <c r="O47" s="694" t="str">
        <f t="shared" si="24"/>
        <v>N/A</v>
      </c>
      <c r="P47" s="694" t="str">
        <f t="shared" si="25"/>
        <v>N/A</v>
      </c>
      <c r="Q47" s="694" t="str">
        <f t="shared" si="26"/>
        <v>N/A</v>
      </c>
      <c r="R47" s="694" t="str">
        <f t="shared" si="27"/>
        <v>N/A</v>
      </c>
      <c r="S47" s="694" t="str">
        <f t="shared" si="28"/>
        <v>N/A</v>
      </c>
      <c r="T47" s="694" t="str">
        <f t="shared" si="29"/>
        <v>N/A</v>
      </c>
      <c r="U47" s="694">
        <f t="shared" si="30"/>
        <v>0</v>
      </c>
      <c r="V47" s="694">
        <f t="shared" si="31"/>
        <v>1</v>
      </c>
      <c r="W47" s="694" t="str">
        <f t="shared" si="32"/>
        <v>-</v>
      </c>
      <c r="Y47" s="694" t="str">
        <f t="shared" si="4"/>
        <v>Not suitable</v>
      </c>
      <c r="Z47" s="703" t="str">
        <f t="shared" si="18"/>
        <v>Y</v>
      </c>
      <c r="AA47" s="675"/>
      <c r="AB47" s="694"/>
    </row>
    <row r="48" spans="1:28" ht="15">
      <c r="A48" s="689"/>
      <c r="B48" s="697"/>
      <c r="C48" s="699"/>
      <c r="D48" s="699"/>
      <c r="E48" s="699"/>
      <c r="F48" s="676"/>
      <c r="G48" s="701"/>
      <c r="H48" s="702"/>
      <c r="I48" s="676"/>
      <c r="J48" s="676"/>
      <c r="K48" s="694" t="str">
        <f t="shared" si="20"/>
        <v>N/A</v>
      </c>
      <c r="L48" s="694" t="str">
        <f t="shared" si="21"/>
        <v>N/A</v>
      </c>
      <c r="M48" s="694" t="str">
        <f t="shared" si="22"/>
        <v>N/A</v>
      </c>
      <c r="N48" s="694" t="str">
        <f t="shared" si="23"/>
        <v>N/A</v>
      </c>
      <c r="O48" s="694" t="str">
        <f t="shared" si="24"/>
        <v>N/A</v>
      </c>
      <c r="P48" s="694" t="str">
        <f t="shared" si="25"/>
        <v>N/A</v>
      </c>
      <c r="Q48" s="694" t="str">
        <f t="shared" si="26"/>
        <v>N/A</v>
      </c>
      <c r="R48" s="694" t="str">
        <f t="shared" si="27"/>
        <v>N/A</v>
      </c>
      <c r="S48" s="694" t="str">
        <f t="shared" si="28"/>
        <v>N/A</v>
      </c>
      <c r="T48" s="694" t="str">
        <f t="shared" si="29"/>
        <v>N/A</v>
      </c>
      <c r="U48" s="694">
        <f t="shared" si="30"/>
        <v>0</v>
      </c>
      <c r="V48" s="694">
        <f t="shared" si="31"/>
        <v>1</v>
      </c>
      <c r="W48" s="694" t="str">
        <f t="shared" si="32"/>
        <v>-</v>
      </c>
      <c r="Y48" s="694" t="str">
        <f t="shared" si="4"/>
        <v>Not suitable</v>
      </c>
      <c r="Z48" s="703" t="str">
        <f t="shared" si="18"/>
        <v>Y</v>
      </c>
      <c r="AA48" s="675"/>
      <c r="AB48" s="694"/>
    </row>
    <row r="49" spans="1:28" ht="15">
      <c r="A49" s="689"/>
      <c r="B49" s="697"/>
      <c r="C49" s="699"/>
      <c r="D49" s="699"/>
      <c r="E49" s="699"/>
      <c r="F49" s="676"/>
      <c r="G49" s="701"/>
      <c r="H49" s="702"/>
      <c r="I49" s="676"/>
      <c r="J49" s="676"/>
      <c r="K49" s="694" t="str">
        <f t="shared" si="20"/>
        <v>N/A</v>
      </c>
      <c r="L49" s="694" t="str">
        <f t="shared" si="21"/>
        <v>N/A</v>
      </c>
      <c r="M49" s="694" t="str">
        <f t="shared" si="22"/>
        <v>N/A</v>
      </c>
      <c r="N49" s="694" t="str">
        <f t="shared" si="23"/>
        <v>N/A</v>
      </c>
      <c r="O49" s="694" t="str">
        <f t="shared" si="24"/>
        <v>N/A</v>
      </c>
      <c r="P49" s="694" t="str">
        <f t="shared" si="25"/>
        <v>N/A</v>
      </c>
      <c r="Q49" s="694" t="str">
        <f t="shared" si="26"/>
        <v>N/A</v>
      </c>
      <c r="R49" s="694" t="str">
        <f t="shared" si="27"/>
        <v>N/A</v>
      </c>
      <c r="S49" s="694" t="str">
        <f t="shared" si="28"/>
        <v>N/A</v>
      </c>
      <c r="T49" s="694" t="str">
        <f t="shared" si="29"/>
        <v>N/A</v>
      </c>
      <c r="U49" s="694">
        <f t="shared" si="30"/>
        <v>0</v>
      </c>
      <c r="V49" s="694">
        <f t="shared" si="31"/>
        <v>1</v>
      </c>
      <c r="W49" s="694" t="str">
        <f t="shared" si="32"/>
        <v>-</v>
      </c>
      <c r="Y49" s="694" t="str">
        <f t="shared" si="4"/>
        <v>Not suitable</v>
      </c>
      <c r="Z49" s="703" t="str">
        <f t="shared" si="18"/>
        <v>Y</v>
      </c>
      <c r="AA49" s="675"/>
      <c r="AB49" s="694"/>
    </row>
    <row r="50" spans="1:28" ht="15">
      <c r="A50" s="689"/>
      <c r="B50" s="697"/>
      <c r="C50" s="699"/>
      <c r="D50" s="699"/>
      <c r="E50" s="699"/>
      <c r="F50" s="676"/>
      <c r="G50" s="701"/>
      <c r="H50" s="702"/>
      <c r="I50" s="676"/>
      <c r="J50" s="676"/>
      <c r="K50" s="694" t="str">
        <f t="shared" si="20"/>
        <v>N/A</v>
      </c>
      <c r="L50" s="694" t="str">
        <f t="shared" si="21"/>
        <v>N/A</v>
      </c>
      <c r="M50" s="694" t="str">
        <f t="shared" si="22"/>
        <v>N/A</v>
      </c>
      <c r="N50" s="694" t="str">
        <f t="shared" si="23"/>
        <v>N/A</v>
      </c>
      <c r="O50" s="694" t="str">
        <f t="shared" si="24"/>
        <v>N/A</v>
      </c>
      <c r="P50" s="694" t="str">
        <f t="shared" si="25"/>
        <v>N/A</v>
      </c>
      <c r="Q50" s="694" t="str">
        <f t="shared" si="26"/>
        <v>N/A</v>
      </c>
      <c r="R50" s="694" t="str">
        <f t="shared" si="27"/>
        <v>N/A</v>
      </c>
      <c r="S50" s="694" t="str">
        <f t="shared" si="28"/>
        <v>N/A</v>
      </c>
      <c r="T50" s="694" t="str">
        <f t="shared" si="29"/>
        <v>N/A</v>
      </c>
      <c r="U50" s="694">
        <f t="shared" si="30"/>
        <v>0</v>
      </c>
      <c r="V50" s="694">
        <f t="shared" si="31"/>
        <v>1</v>
      </c>
      <c r="W50" s="694" t="str">
        <f t="shared" si="32"/>
        <v>-</v>
      </c>
      <c r="Y50" s="694" t="str">
        <f t="shared" si="4"/>
        <v>Not suitable</v>
      </c>
      <c r="Z50" s="703" t="str">
        <f t="shared" si="18"/>
        <v>Y</v>
      </c>
      <c r="AA50" s="675"/>
      <c r="AB50" s="694"/>
    </row>
    <row r="51" spans="1:28" ht="15">
      <c r="A51" s="689"/>
      <c r="B51" s="697"/>
      <c r="C51" s="699"/>
      <c r="D51" s="699"/>
      <c r="E51" s="699"/>
      <c r="F51" s="676"/>
      <c r="G51" s="701"/>
      <c r="H51" s="702"/>
      <c r="I51" s="676"/>
      <c r="J51" s="676"/>
      <c r="K51" s="694" t="str">
        <f t="shared" si="20"/>
        <v>N/A</v>
      </c>
      <c r="L51" s="694" t="str">
        <f t="shared" si="21"/>
        <v>N/A</v>
      </c>
      <c r="M51" s="694" t="str">
        <f t="shared" si="22"/>
        <v>N/A</v>
      </c>
      <c r="N51" s="694" t="str">
        <f t="shared" si="23"/>
        <v>N/A</v>
      </c>
      <c r="O51" s="694" t="str">
        <f t="shared" si="24"/>
        <v>N/A</v>
      </c>
      <c r="P51" s="694" t="str">
        <f t="shared" si="25"/>
        <v>N/A</v>
      </c>
      <c r="Q51" s="694" t="str">
        <f t="shared" si="26"/>
        <v>N/A</v>
      </c>
      <c r="R51" s="694" t="str">
        <f t="shared" si="27"/>
        <v>N/A</v>
      </c>
      <c r="S51" s="694" t="str">
        <f t="shared" si="28"/>
        <v>N/A</v>
      </c>
      <c r="T51" s="694" t="str">
        <f t="shared" si="29"/>
        <v>N/A</v>
      </c>
      <c r="U51" s="694">
        <f t="shared" si="30"/>
        <v>0</v>
      </c>
      <c r="V51" s="694">
        <f t="shared" si="31"/>
        <v>1</v>
      </c>
      <c r="W51" s="694" t="str">
        <f t="shared" si="32"/>
        <v>-</v>
      </c>
      <c r="Y51" s="694" t="str">
        <f t="shared" si="4"/>
        <v>Not suitable</v>
      </c>
      <c r="Z51" s="703" t="str">
        <f t="shared" si="18"/>
        <v>Y</v>
      </c>
      <c r="AA51" s="675"/>
      <c r="AB51" s="694"/>
    </row>
    <row r="52" spans="1:28" ht="15">
      <c r="A52" s="689"/>
      <c r="B52" s="697"/>
      <c r="C52" s="699"/>
      <c r="D52" s="699"/>
      <c r="E52" s="699"/>
      <c r="F52" s="676"/>
      <c r="G52" s="701"/>
      <c r="H52" s="702"/>
      <c r="I52" s="676"/>
      <c r="J52" s="676"/>
      <c r="K52" s="694" t="str">
        <f t="shared" si="20"/>
        <v>N/A</v>
      </c>
      <c r="L52" s="694" t="str">
        <f t="shared" si="21"/>
        <v>N/A</v>
      </c>
      <c r="M52" s="694" t="str">
        <f t="shared" si="22"/>
        <v>N/A</v>
      </c>
      <c r="N52" s="694" t="str">
        <f t="shared" si="23"/>
        <v>N/A</v>
      </c>
      <c r="O52" s="694" t="str">
        <f t="shared" si="24"/>
        <v>N/A</v>
      </c>
      <c r="P52" s="694" t="str">
        <f t="shared" si="25"/>
        <v>N/A</v>
      </c>
      <c r="Q52" s="694" t="str">
        <f t="shared" si="26"/>
        <v>N/A</v>
      </c>
      <c r="R52" s="694" t="str">
        <f t="shared" si="27"/>
        <v>N/A</v>
      </c>
      <c r="S52" s="694" t="str">
        <f t="shared" si="28"/>
        <v>N/A</v>
      </c>
      <c r="T52" s="694" t="str">
        <f t="shared" si="29"/>
        <v>N/A</v>
      </c>
      <c r="U52" s="694">
        <f t="shared" si="30"/>
        <v>0</v>
      </c>
      <c r="V52" s="694">
        <f t="shared" si="31"/>
        <v>1</v>
      </c>
      <c r="W52" s="694" t="str">
        <f t="shared" si="32"/>
        <v>-</v>
      </c>
      <c r="Y52" s="694" t="str">
        <f t="shared" si="4"/>
        <v>Not suitable</v>
      </c>
      <c r="Z52" s="703" t="str">
        <f t="shared" si="18"/>
        <v>Y</v>
      </c>
      <c r="AA52" s="675"/>
      <c r="AB52" s="694"/>
    </row>
    <row r="53" spans="1:28" ht="15">
      <c r="A53" s="689"/>
      <c r="B53" s="697"/>
      <c r="C53" s="699"/>
      <c r="D53" s="699"/>
      <c r="E53" s="699"/>
      <c r="F53" s="676"/>
      <c r="G53" s="701"/>
      <c r="H53" s="702"/>
      <c r="I53" s="676"/>
      <c r="J53" s="676"/>
      <c r="K53" s="694" t="str">
        <f t="shared" si="20"/>
        <v>N/A</v>
      </c>
      <c r="L53" s="694" t="str">
        <f t="shared" si="21"/>
        <v>N/A</v>
      </c>
      <c r="M53" s="694" t="str">
        <f t="shared" si="22"/>
        <v>N/A</v>
      </c>
      <c r="N53" s="694" t="str">
        <f t="shared" si="23"/>
        <v>N/A</v>
      </c>
      <c r="O53" s="694" t="str">
        <f t="shared" si="24"/>
        <v>N/A</v>
      </c>
      <c r="P53" s="694" t="str">
        <f t="shared" si="25"/>
        <v>N/A</v>
      </c>
      <c r="Q53" s="694" t="str">
        <f t="shared" si="26"/>
        <v>N/A</v>
      </c>
      <c r="R53" s="694" t="str">
        <f t="shared" si="27"/>
        <v>N/A</v>
      </c>
      <c r="S53" s="694" t="str">
        <f t="shared" si="28"/>
        <v>N/A</v>
      </c>
      <c r="T53" s="694" t="str">
        <f t="shared" si="29"/>
        <v>N/A</v>
      </c>
      <c r="U53" s="694">
        <f t="shared" si="30"/>
        <v>0</v>
      </c>
      <c r="V53" s="694">
        <f t="shared" si="31"/>
        <v>1</v>
      </c>
      <c r="W53" s="694" t="str">
        <f t="shared" si="32"/>
        <v>-</v>
      </c>
      <c r="Y53" s="694" t="str">
        <f t="shared" si="4"/>
        <v>Not suitable</v>
      </c>
      <c r="Z53" s="703" t="str">
        <f t="shared" si="18"/>
        <v>Y</v>
      </c>
      <c r="AA53" s="675"/>
      <c r="AB53" s="694"/>
    </row>
    <row r="54" spans="1:28" ht="15">
      <c r="A54" s="689"/>
      <c r="B54" s="697"/>
      <c r="C54" s="699"/>
      <c r="D54" s="699"/>
      <c r="E54" s="699"/>
      <c r="F54" s="676"/>
      <c r="G54" s="701"/>
      <c r="H54" s="702"/>
      <c r="I54" s="676"/>
      <c r="J54" s="676"/>
      <c r="K54" s="694" t="str">
        <f t="shared" si="20"/>
        <v>N/A</v>
      </c>
      <c r="L54" s="694" t="str">
        <f t="shared" si="21"/>
        <v>N/A</v>
      </c>
      <c r="M54" s="694" t="str">
        <f t="shared" si="22"/>
        <v>N/A</v>
      </c>
      <c r="N54" s="694" t="str">
        <f t="shared" si="23"/>
        <v>N/A</v>
      </c>
      <c r="O54" s="694" t="str">
        <f t="shared" si="24"/>
        <v>N/A</v>
      </c>
      <c r="P54" s="694" t="str">
        <f t="shared" si="25"/>
        <v>N/A</v>
      </c>
      <c r="Q54" s="694" t="str">
        <f t="shared" si="26"/>
        <v>N/A</v>
      </c>
      <c r="R54" s="694" t="str">
        <f t="shared" si="27"/>
        <v>N/A</v>
      </c>
      <c r="S54" s="694" t="str">
        <f t="shared" si="28"/>
        <v>N/A</v>
      </c>
      <c r="T54" s="694" t="str">
        <f t="shared" si="29"/>
        <v>N/A</v>
      </c>
      <c r="U54" s="694">
        <f t="shared" si="30"/>
        <v>0</v>
      </c>
      <c r="V54" s="694">
        <f t="shared" si="31"/>
        <v>1</v>
      </c>
      <c r="W54" s="694" t="str">
        <f t="shared" si="32"/>
        <v>-</v>
      </c>
      <c r="Y54" s="694" t="str">
        <f t="shared" si="4"/>
        <v>Not suitable</v>
      </c>
      <c r="Z54" s="703" t="str">
        <f t="shared" si="18"/>
        <v>Y</v>
      </c>
      <c r="AA54" s="675"/>
      <c r="AB54" s="694"/>
    </row>
    <row r="55" spans="1:28" ht="15">
      <c r="A55" s="689"/>
      <c r="B55" s="697"/>
      <c r="C55" s="699"/>
      <c r="D55" s="699"/>
      <c r="E55" s="699"/>
      <c r="F55" s="676"/>
      <c r="G55" s="701"/>
      <c r="H55" s="702"/>
      <c r="I55" s="676"/>
      <c r="J55" s="676"/>
      <c r="K55" s="694" t="str">
        <f t="shared" si="20"/>
        <v>N/A</v>
      </c>
      <c r="L55" s="694" t="str">
        <f t="shared" si="21"/>
        <v>N/A</v>
      </c>
      <c r="M55" s="694" t="str">
        <f t="shared" si="22"/>
        <v>N/A</v>
      </c>
      <c r="N55" s="694" t="str">
        <f t="shared" si="23"/>
        <v>N/A</v>
      </c>
      <c r="O55" s="694" t="str">
        <f t="shared" si="24"/>
        <v>N/A</v>
      </c>
      <c r="P55" s="694" t="str">
        <f t="shared" si="25"/>
        <v>N/A</v>
      </c>
      <c r="Q55" s="694" t="str">
        <f t="shared" si="26"/>
        <v>N/A</v>
      </c>
      <c r="R55" s="694" t="str">
        <f t="shared" si="27"/>
        <v>N/A</v>
      </c>
      <c r="S55" s="694" t="str">
        <f t="shared" si="28"/>
        <v>N/A</v>
      </c>
      <c r="T55" s="694" t="str">
        <f t="shared" si="29"/>
        <v>N/A</v>
      </c>
      <c r="U55" s="694">
        <f t="shared" si="30"/>
        <v>0</v>
      </c>
      <c r="V55" s="694">
        <f t="shared" si="31"/>
        <v>1</v>
      </c>
      <c r="W55" s="694" t="str">
        <f t="shared" si="32"/>
        <v>-</v>
      </c>
      <c r="Y55" s="694" t="str">
        <f t="shared" si="4"/>
        <v>Not suitable</v>
      </c>
      <c r="Z55" s="703" t="str">
        <f t="shared" si="18"/>
        <v>Y</v>
      </c>
      <c r="AA55" s="675"/>
      <c r="AB55" s="694"/>
    </row>
    <row r="56" spans="1:28" ht="15">
      <c r="A56" s="689"/>
      <c r="B56" s="697"/>
      <c r="C56" s="699"/>
      <c r="D56" s="699"/>
      <c r="E56" s="699"/>
      <c r="F56" s="676"/>
      <c r="G56" s="701"/>
      <c r="H56" s="702"/>
      <c r="I56" s="676"/>
      <c r="J56" s="676"/>
      <c r="K56" s="694" t="str">
        <f t="shared" si="20"/>
        <v>N/A</v>
      </c>
      <c r="L56" s="694" t="str">
        <f t="shared" si="21"/>
        <v>N/A</v>
      </c>
      <c r="M56" s="694" t="str">
        <f t="shared" si="22"/>
        <v>N/A</v>
      </c>
      <c r="N56" s="694" t="str">
        <f t="shared" si="23"/>
        <v>N/A</v>
      </c>
      <c r="O56" s="694" t="str">
        <f t="shared" si="24"/>
        <v>N/A</v>
      </c>
      <c r="P56" s="694" t="str">
        <f t="shared" si="25"/>
        <v>N/A</v>
      </c>
      <c r="Q56" s="694" t="str">
        <f t="shared" si="26"/>
        <v>N/A</v>
      </c>
      <c r="R56" s="694" t="str">
        <f t="shared" si="27"/>
        <v>N/A</v>
      </c>
      <c r="S56" s="694" t="str">
        <f t="shared" si="28"/>
        <v>N/A</v>
      </c>
      <c r="T56" s="694" t="str">
        <f t="shared" si="29"/>
        <v>N/A</v>
      </c>
      <c r="U56" s="694">
        <f t="shared" si="30"/>
        <v>0</v>
      </c>
      <c r="V56" s="694">
        <f t="shared" si="31"/>
        <v>1</v>
      </c>
      <c r="W56" s="694" t="str">
        <f t="shared" si="32"/>
        <v>-</v>
      </c>
      <c r="Y56" s="694" t="str">
        <f t="shared" si="4"/>
        <v>Not suitable</v>
      </c>
      <c r="Z56" s="703" t="str">
        <f t="shared" si="18"/>
        <v>Y</v>
      </c>
      <c r="AA56" s="675"/>
      <c r="AB56" s="694"/>
    </row>
    <row r="57" spans="1:28" ht="15">
      <c r="A57" s="689"/>
      <c r="B57" s="697"/>
      <c r="C57" s="699"/>
      <c r="D57" s="699"/>
      <c r="E57" s="699"/>
      <c r="F57" s="676"/>
      <c r="G57" s="701"/>
      <c r="H57" s="702"/>
      <c r="I57" s="676"/>
      <c r="J57" s="676"/>
      <c r="K57" s="694" t="str">
        <f t="shared" si="20"/>
        <v>N/A</v>
      </c>
      <c r="L57" s="694" t="str">
        <f t="shared" si="21"/>
        <v>N/A</v>
      </c>
      <c r="M57" s="694" t="str">
        <f t="shared" si="22"/>
        <v>N/A</v>
      </c>
      <c r="N57" s="694" t="str">
        <f t="shared" si="23"/>
        <v>N/A</v>
      </c>
      <c r="O57" s="694" t="str">
        <f t="shared" si="24"/>
        <v>N/A</v>
      </c>
      <c r="P57" s="694" t="str">
        <f t="shared" si="25"/>
        <v>N/A</v>
      </c>
      <c r="Q57" s="694" t="str">
        <f t="shared" si="26"/>
        <v>N/A</v>
      </c>
      <c r="R57" s="694" t="str">
        <f t="shared" si="27"/>
        <v>N/A</v>
      </c>
      <c r="S57" s="694" t="str">
        <f t="shared" si="28"/>
        <v>N/A</v>
      </c>
      <c r="T57" s="694" t="str">
        <f t="shared" si="29"/>
        <v>N/A</v>
      </c>
      <c r="U57" s="694">
        <f t="shared" si="30"/>
        <v>0</v>
      </c>
      <c r="V57" s="694">
        <f t="shared" si="31"/>
        <v>1</v>
      </c>
      <c r="W57" s="694" t="str">
        <f t="shared" si="32"/>
        <v>-</v>
      </c>
      <c r="Y57" s="694" t="str">
        <f t="shared" si="4"/>
        <v>Not suitable</v>
      </c>
      <c r="Z57" s="703" t="str">
        <f t="shared" si="18"/>
        <v>Y</v>
      </c>
      <c r="AA57" s="675"/>
      <c r="AB57" s="694"/>
    </row>
    <row r="58" spans="1:28" ht="15">
      <c r="A58" s="689"/>
      <c r="B58" s="697"/>
      <c r="C58" s="699"/>
      <c r="D58" s="699"/>
      <c r="E58" s="699"/>
      <c r="F58" s="676"/>
      <c r="G58" s="701"/>
      <c r="H58" s="702"/>
      <c r="I58" s="676"/>
      <c r="J58" s="676"/>
      <c r="K58" s="694" t="str">
        <f t="shared" si="20"/>
        <v>N/A</v>
      </c>
      <c r="L58" s="694" t="str">
        <f t="shared" si="21"/>
        <v>N/A</v>
      </c>
      <c r="M58" s="694" t="str">
        <f t="shared" si="22"/>
        <v>N/A</v>
      </c>
      <c r="N58" s="694" t="str">
        <f t="shared" si="23"/>
        <v>N/A</v>
      </c>
      <c r="O58" s="694" t="str">
        <f t="shared" si="24"/>
        <v>N/A</v>
      </c>
      <c r="P58" s="694" t="str">
        <f t="shared" si="25"/>
        <v>N/A</v>
      </c>
      <c r="Q58" s="694" t="str">
        <f t="shared" si="26"/>
        <v>N/A</v>
      </c>
      <c r="R58" s="694" t="str">
        <f t="shared" si="27"/>
        <v>N/A</v>
      </c>
      <c r="S58" s="694" t="str">
        <f t="shared" si="28"/>
        <v>N/A</v>
      </c>
      <c r="T58" s="694" t="str">
        <f t="shared" si="29"/>
        <v>N/A</v>
      </c>
      <c r="U58" s="694">
        <f t="shared" si="30"/>
        <v>0</v>
      </c>
      <c r="V58" s="694">
        <f t="shared" si="31"/>
        <v>1</v>
      </c>
      <c r="W58" s="694" t="str">
        <f t="shared" si="32"/>
        <v>-</v>
      </c>
      <c r="Y58" s="694" t="str">
        <f t="shared" si="4"/>
        <v>Not suitable</v>
      </c>
      <c r="Z58" s="703" t="str">
        <f t="shared" si="18"/>
        <v>Y</v>
      </c>
      <c r="AA58" s="675"/>
      <c r="AB58" s="694"/>
    </row>
    <row r="59" spans="1:28" ht="15">
      <c r="A59" s="689"/>
      <c r="B59" s="697"/>
      <c r="C59" s="699"/>
      <c r="D59" s="699"/>
      <c r="E59" s="699"/>
      <c r="F59" s="676"/>
      <c r="G59" s="701"/>
      <c r="H59" s="702"/>
      <c r="I59" s="676"/>
      <c r="J59" s="676"/>
      <c r="K59" s="694" t="str">
        <f t="shared" si="20"/>
        <v>N/A</v>
      </c>
      <c r="L59" s="694" t="str">
        <f t="shared" si="21"/>
        <v>N/A</v>
      </c>
      <c r="M59" s="694" t="str">
        <f t="shared" si="22"/>
        <v>N/A</v>
      </c>
      <c r="N59" s="694" t="str">
        <f t="shared" si="23"/>
        <v>N/A</v>
      </c>
      <c r="O59" s="694" t="str">
        <f t="shared" si="24"/>
        <v>N/A</v>
      </c>
      <c r="P59" s="694" t="str">
        <f t="shared" si="25"/>
        <v>N/A</v>
      </c>
      <c r="Q59" s="694" t="str">
        <f t="shared" si="26"/>
        <v>N/A</v>
      </c>
      <c r="R59" s="694" t="str">
        <f t="shared" si="27"/>
        <v>N/A</v>
      </c>
      <c r="S59" s="694" t="str">
        <f t="shared" si="28"/>
        <v>N/A</v>
      </c>
      <c r="T59" s="694" t="str">
        <f t="shared" si="29"/>
        <v>N/A</v>
      </c>
      <c r="U59" s="694">
        <f t="shared" si="30"/>
        <v>0</v>
      </c>
      <c r="V59" s="694">
        <f t="shared" si="31"/>
        <v>1</v>
      </c>
      <c r="W59" s="694" t="str">
        <f t="shared" si="32"/>
        <v>-</v>
      </c>
      <c r="Y59" s="694" t="str">
        <f t="shared" si="4"/>
        <v>Not suitable</v>
      </c>
      <c r="Z59" s="703" t="str">
        <f t="shared" si="18"/>
        <v>Y</v>
      </c>
      <c r="AA59" s="675"/>
      <c r="AB59" s="694"/>
    </row>
    <row r="60" spans="1:28" ht="15">
      <c r="A60" s="689"/>
      <c r="B60" s="697"/>
      <c r="C60" s="699"/>
      <c r="D60" s="699"/>
      <c r="E60" s="699"/>
      <c r="F60" s="676"/>
      <c r="G60" s="701"/>
      <c r="H60" s="702"/>
      <c r="I60" s="676"/>
      <c r="J60" s="676"/>
      <c r="K60" s="694" t="str">
        <f t="shared" si="20"/>
        <v>N/A</v>
      </c>
      <c r="L60" s="694" t="str">
        <f t="shared" si="21"/>
        <v>N/A</v>
      </c>
      <c r="M60" s="694" t="str">
        <f t="shared" si="22"/>
        <v>N/A</v>
      </c>
      <c r="N60" s="694" t="str">
        <f t="shared" si="23"/>
        <v>N/A</v>
      </c>
      <c r="O60" s="694" t="str">
        <f t="shared" si="24"/>
        <v>N/A</v>
      </c>
      <c r="P60" s="694" t="str">
        <f t="shared" si="25"/>
        <v>N/A</v>
      </c>
      <c r="Q60" s="694" t="str">
        <f t="shared" si="26"/>
        <v>N/A</v>
      </c>
      <c r="R60" s="694" t="str">
        <f t="shared" si="27"/>
        <v>N/A</v>
      </c>
      <c r="S60" s="694" t="str">
        <f t="shared" si="28"/>
        <v>N/A</v>
      </c>
      <c r="T60" s="694" t="str">
        <f t="shared" si="29"/>
        <v>N/A</v>
      </c>
      <c r="U60" s="694">
        <f t="shared" si="30"/>
        <v>0</v>
      </c>
      <c r="V60" s="694">
        <f t="shared" si="31"/>
        <v>1</v>
      </c>
      <c r="W60" s="694" t="str">
        <f t="shared" si="32"/>
        <v>-</v>
      </c>
      <c r="Y60" s="694" t="str">
        <f t="shared" si="4"/>
        <v>Not suitable</v>
      </c>
      <c r="Z60" s="703" t="str">
        <f t="shared" si="18"/>
        <v>Y</v>
      </c>
      <c r="AA60" s="675"/>
      <c r="AB60" s="694"/>
    </row>
    <row r="61" spans="1:28" ht="15">
      <c r="A61" s="689"/>
      <c r="B61" s="697"/>
      <c r="C61" s="699"/>
      <c r="D61" s="699"/>
      <c r="E61" s="699"/>
      <c r="F61" s="676"/>
      <c r="G61" s="701"/>
      <c r="H61" s="702"/>
      <c r="I61" s="676"/>
      <c r="J61" s="676"/>
      <c r="K61" s="694" t="str">
        <f t="shared" si="20"/>
        <v>N/A</v>
      </c>
      <c r="L61" s="694" t="str">
        <f t="shared" si="21"/>
        <v>N/A</v>
      </c>
      <c r="M61" s="694" t="str">
        <f t="shared" si="22"/>
        <v>N/A</v>
      </c>
      <c r="N61" s="694" t="str">
        <f t="shared" si="23"/>
        <v>N/A</v>
      </c>
      <c r="O61" s="694" t="str">
        <f t="shared" si="24"/>
        <v>N/A</v>
      </c>
      <c r="P61" s="694" t="str">
        <f t="shared" si="25"/>
        <v>N/A</v>
      </c>
      <c r="Q61" s="694" t="str">
        <f t="shared" si="26"/>
        <v>N/A</v>
      </c>
      <c r="R61" s="694" t="str">
        <f t="shared" si="27"/>
        <v>N/A</v>
      </c>
      <c r="S61" s="694" t="str">
        <f t="shared" si="28"/>
        <v>N/A</v>
      </c>
      <c r="T61" s="694" t="str">
        <f t="shared" si="29"/>
        <v>N/A</v>
      </c>
      <c r="U61" s="694">
        <f t="shared" si="30"/>
        <v>0</v>
      </c>
      <c r="V61" s="694">
        <f t="shared" si="31"/>
        <v>1</v>
      </c>
      <c r="W61" s="694" t="str">
        <f t="shared" si="32"/>
        <v>-</v>
      </c>
      <c r="Y61" s="694" t="str">
        <f t="shared" si="4"/>
        <v>Not suitable</v>
      </c>
      <c r="Z61" s="375" t="str">
        <f t="shared" si="18"/>
        <v>Y</v>
      </c>
      <c r="AA61" s="675"/>
      <c r="AB61" s="703"/>
    </row>
    <row r="62" spans="1:28">
      <c r="A62" s="689"/>
      <c r="B62" s="710"/>
      <c r="C62" s="700"/>
      <c r="D62" s="700"/>
      <c r="E62" s="698"/>
      <c r="F62" s="694"/>
      <c r="G62" s="703"/>
      <c r="H62" s="703"/>
      <c r="I62" s="703"/>
      <c r="J62" s="703"/>
      <c r="K62" s="703" t="str">
        <f t="shared" si="20"/>
        <v>N/A</v>
      </c>
      <c r="L62" s="694" t="str">
        <f t="shared" si="21"/>
        <v>N/A</v>
      </c>
      <c r="M62" s="694" t="str">
        <f t="shared" si="22"/>
        <v>N/A</v>
      </c>
      <c r="N62" s="694" t="str">
        <f t="shared" si="23"/>
        <v>N/A</v>
      </c>
      <c r="O62" s="694" t="str">
        <f t="shared" si="24"/>
        <v>N/A</v>
      </c>
      <c r="P62" s="694" t="str">
        <f t="shared" si="25"/>
        <v>N/A</v>
      </c>
      <c r="Q62" s="694" t="str">
        <f t="shared" si="26"/>
        <v>N/A</v>
      </c>
      <c r="R62" s="694" t="str">
        <f t="shared" si="27"/>
        <v>N/A</v>
      </c>
      <c r="S62" s="694" t="str">
        <f t="shared" si="28"/>
        <v>N/A</v>
      </c>
      <c r="T62" s="694" t="str">
        <f t="shared" si="29"/>
        <v>N/A</v>
      </c>
      <c r="U62" s="694">
        <f t="shared" si="30"/>
        <v>0</v>
      </c>
      <c r="V62" s="694">
        <f t="shared" si="31"/>
        <v>1</v>
      </c>
      <c r="W62" s="694" t="str">
        <f t="shared" si="32"/>
        <v>-</v>
      </c>
      <c r="Y62" s="694" t="str">
        <f t="shared" si="4"/>
        <v>Not suitable</v>
      </c>
      <c r="Z62" s="703" t="str">
        <f t="shared" si="18"/>
        <v>Y</v>
      </c>
      <c r="AA62" s="694"/>
      <c r="AB62" s="694"/>
    </row>
    <row r="63" spans="1:28">
      <c r="A63" s="689"/>
      <c r="C63" s="699"/>
      <c r="D63" s="699"/>
      <c r="E63" s="699"/>
      <c r="F63" s="694"/>
      <c r="G63" s="694"/>
      <c r="H63" s="694"/>
      <c r="I63" s="694"/>
      <c r="J63" s="694"/>
      <c r="K63" s="694" t="str">
        <f t="shared" si="20"/>
        <v>N/A</v>
      </c>
      <c r="L63" s="694" t="str">
        <f t="shared" si="21"/>
        <v>N/A</v>
      </c>
      <c r="M63" s="694" t="str">
        <f t="shared" si="22"/>
        <v>N/A</v>
      </c>
      <c r="N63" s="694" t="str">
        <f t="shared" si="23"/>
        <v>N/A</v>
      </c>
      <c r="O63" s="694" t="str">
        <f t="shared" si="24"/>
        <v>N/A</v>
      </c>
      <c r="P63" s="694" t="str">
        <f t="shared" si="25"/>
        <v>N/A</v>
      </c>
      <c r="Q63" s="694" t="str">
        <f t="shared" si="26"/>
        <v>N/A</v>
      </c>
      <c r="R63" s="694" t="str">
        <f t="shared" si="27"/>
        <v>N/A</v>
      </c>
      <c r="S63" s="694" t="str">
        <f t="shared" si="28"/>
        <v>N/A</v>
      </c>
      <c r="T63" s="694" t="str">
        <f t="shared" si="29"/>
        <v>N/A</v>
      </c>
      <c r="U63" s="694">
        <f t="shared" si="30"/>
        <v>0</v>
      </c>
      <c r="V63" s="694">
        <f t="shared" si="31"/>
        <v>1</v>
      </c>
      <c r="W63" s="694" t="str">
        <f t="shared" si="32"/>
        <v>-</v>
      </c>
      <c r="Y63" s="694" t="str">
        <f t="shared" si="4"/>
        <v>Not suitable</v>
      </c>
      <c r="Z63" s="703" t="str">
        <f t="shared" si="18"/>
        <v>Y</v>
      </c>
      <c r="AA63" s="694"/>
      <c r="AB63" s="694"/>
    </row>
    <row r="64" spans="1:28">
      <c r="A64" s="689"/>
      <c r="C64" s="699"/>
      <c r="D64" s="699"/>
      <c r="E64" s="699"/>
      <c r="F64" s="694"/>
      <c r="G64" s="694"/>
      <c r="H64" s="694"/>
      <c r="I64" s="694"/>
      <c r="J64" s="694"/>
      <c r="K64" s="694" t="str">
        <f t="shared" si="20"/>
        <v>N/A</v>
      </c>
      <c r="L64" s="694" t="str">
        <f t="shared" si="21"/>
        <v>N/A</v>
      </c>
      <c r="M64" s="694" t="str">
        <f t="shared" si="22"/>
        <v>N/A</v>
      </c>
      <c r="N64" s="694" t="str">
        <f t="shared" si="23"/>
        <v>N/A</v>
      </c>
      <c r="O64" s="694" t="str">
        <f t="shared" si="24"/>
        <v>N/A</v>
      </c>
      <c r="P64" s="694" t="str">
        <f t="shared" si="25"/>
        <v>N/A</v>
      </c>
      <c r="Q64" s="694" t="str">
        <f t="shared" si="26"/>
        <v>N/A</v>
      </c>
      <c r="R64" s="694" t="str">
        <f t="shared" si="27"/>
        <v>N/A</v>
      </c>
      <c r="S64" s="694" t="str">
        <f t="shared" si="28"/>
        <v>N/A</v>
      </c>
      <c r="T64" s="694" t="str">
        <f t="shared" si="29"/>
        <v>N/A</v>
      </c>
      <c r="U64" s="694">
        <f t="shared" si="30"/>
        <v>0</v>
      </c>
      <c r="V64" s="694">
        <f t="shared" si="31"/>
        <v>1</v>
      </c>
      <c r="W64" s="694" t="str">
        <f t="shared" si="32"/>
        <v>-</v>
      </c>
      <c r="Y64" s="694" t="str">
        <f t="shared" si="4"/>
        <v>Not suitable</v>
      </c>
      <c r="Z64" s="703" t="str">
        <f t="shared" si="18"/>
        <v>Y</v>
      </c>
      <c r="AA64" s="694"/>
      <c r="AB64" s="694"/>
    </row>
    <row r="65" spans="1:28">
      <c r="A65" s="689"/>
      <c r="C65" s="699"/>
      <c r="D65" s="699"/>
      <c r="E65" s="699"/>
      <c r="F65" s="694"/>
      <c r="G65" s="694"/>
      <c r="H65" s="694"/>
      <c r="I65" s="694"/>
      <c r="J65" s="694"/>
      <c r="K65" s="694" t="str">
        <f t="shared" si="20"/>
        <v>N/A</v>
      </c>
      <c r="L65" s="694" t="str">
        <f t="shared" si="21"/>
        <v>N/A</v>
      </c>
      <c r="M65" s="694" t="str">
        <f t="shared" si="22"/>
        <v>N/A</v>
      </c>
      <c r="N65" s="694" t="str">
        <f t="shared" si="23"/>
        <v>N/A</v>
      </c>
      <c r="O65" s="694" t="str">
        <f t="shared" si="24"/>
        <v>N/A</v>
      </c>
      <c r="P65" s="694" t="str">
        <f t="shared" si="25"/>
        <v>N/A</v>
      </c>
      <c r="Q65" s="694" t="str">
        <f t="shared" si="26"/>
        <v>N/A</v>
      </c>
      <c r="R65" s="694" t="str">
        <f t="shared" si="27"/>
        <v>N/A</v>
      </c>
      <c r="S65" s="694" t="str">
        <f t="shared" si="28"/>
        <v>N/A</v>
      </c>
      <c r="T65" s="694" t="str">
        <f t="shared" si="29"/>
        <v>N/A</v>
      </c>
      <c r="U65" s="694">
        <f t="shared" si="30"/>
        <v>0</v>
      </c>
      <c r="V65" s="694">
        <f t="shared" si="31"/>
        <v>1</v>
      </c>
      <c r="W65" s="694" t="str">
        <f t="shared" si="32"/>
        <v>-</v>
      </c>
      <c r="Y65" s="694" t="str">
        <f t="shared" si="4"/>
        <v>Not suitable</v>
      </c>
      <c r="Z65" s="703" t="str">
        <f t="shared" si="18"/>
        <v>Y</v>
      </c>
      <c r="AA65" s="694"/>
      <c r="AB65" s="694"/>
    </row>
    <row r="66" spans="1:28">
      <c r="A66" s="689"/>
      <c r="C66" s="699"/>
      <c r="D66" s="699"/>
      <c r="E66" s="699"/>
      <c r="F66" s="694"/>
      <c r="G66" s="694"/>
      <c r="H66" s="694"/>
      <c r="I66" s="694"/>
      <c r="J66" s="694"/>
      <c r="K66" s="694" t="str">
        <f t="shared" si="20"/>
        <v>N/A</v>
      </c>
      <c r="L66" s="694" t="str">
        <f t="shared" si="21"/>
        <v>N/A</v>
      </c>
      <c r="M66" s="694" t="str">
        <f t="shared" si="22"/>
        <v>N/A</v>
      </c>
      <c r="N66" s="694" t="str">
        <f t="shared" si="23"/>
        <v>N/A</v>
      </c>
      <c r="O66" s="694" t="str">
        <f t="shared" si="24"/>
        <v>N/A</v>
      </c>
      <c r="P66" s="694" t="str">
        <f t="shared" si="25"/>
        <v>N/A</v>
      </c>
      <c r="Q66" s="694" t="str">
        <f t="shared" si="26"/>
        <v>N/A</v>
      </c>
      <c r="R66" s="694" t="str">
        <f t="shared" si="27"/>
        <v>N/A</v>
      </c>
      <c r="S66" s="694" t="str">
        <f t="shared" si="28"/>
        <v>N/A</v>
      </c>
      <c r="T66" s="694" t="str">
        <f t="shared" si="29"/>
        <v>N/A</v>
      </c>
      <c r="U66" s="694">
        <f t="shared" si="30"/>
        <v>0</v>
      </c>
      <c r="V66" s="694">
        <f t="shared" si="31"/>
        <v>1</v>
      </c>
      <c r="W66" s="694" t="str">
        <f t="shared" si="32"/>
        <v>-</v>
      </c>
      <c r="Y66" s="694" t="str">
        <f t="shared" si="4"/>
        <v>Not suitable</v>
      </c>
      <c r="Z66" s="703" t="str">
        <f t="shared" si="18"/>
        <v>Y</v>
      </c>
      <c r="AA66" s="694"/>
      <c r="AB66" s="694"/>
    </row>
    <row r="67" spans="1:28">
      <c r="A67" s="689"/>
      <c r="C67" s="699"/>
      <c r="D67" s="699"/>
      <c r="E67" s="699"/>
      <c r="F67" s="694"/>
      <c r="G67" s="694"/>
      <c r="H67" s="694"/>
      <c r="I67" s="694"/>
      <c r="J67" s="694"/>
      <c r="K67" s="694" t="str">
        <f t="shared" ref="K67:K100" si="33">IFERROR(_xlfn.RANK.EQ(F67,F$3:F$61),"N/A")</f>
        <v>N/A</v>
      </c>
      <c r="L67" s="694" t="str">
        <f t="shared" ref="L67:L100" si="34">IFERROR(_xlfn.RANK.EQ(G67,G$3:G$61),"N/A")</f>
        <v>N/A</v>
      </c>
      <c r="M67" s="694" t="str">
        <f t="shared" ref="M67:M100" si="35">IFERROR(_xlfn.RANK.EQ(H67,H$3:H$61),"N/A")</f>
        <v>N/A</v>
      </c>
      <c r="N67" s="694" t="str">
        <f t="shared" ref="N67:N100" si="36">IFERROR(_xlfn.RANK.EQ(I67,I$3:I$61),"N/A")</f>
        <v>N/A</v>
      </c>
      <c r="O67" s="694" t="str">
        <f t="shared" ref="O67:O100" si="37">IFERROR(_xlfn.RANK.EQ(J67,J$3:J$61),"N/A")</f>
        <v>N/A</v>
      </c>
      <c r="P67" s="694" t="str">
        <f t="shared" si="25"/>
        <v>N/A</v>
      </c>
      <c r="Q67" s="694" t="str">
        <f t="shared" si="26"/>
        <v>N/A</v>
      </c>
      <c r="R67" s="694" t="str">
        <f t="shared" si="27"/>
        <v>N/A</v>
      </c>
      <c r="S67" s="694" t="str">
        <f t="shared" si="28"/>
        <v>N/A</v>
      </c>
      <c r="T67" s="694" t="str">
        <f t="shared" si="29"/>
        <v>N/A</v>
      </c>
      <c r="U67" s="694">
        <f t="shared" si="30"/>
        <v>0</v>
      </c>
      <c r="V67" s="694">
        <f t="shared" si="31"/>
        <v>1</v>
      </c>
      <c r="W67" s="694" t="str">
        <f t="shared" si="32"/>
        <v>-</v>
      </c>
      <c r="Y67" s="694" t="str">
        <f t="shared" ref="Y67:Y100" si="38">IF(OR(Z67="Y",AA67="Y"),"Not suitable","")</f>
        <v>Not suitable</v>
      </c>
      <c r="Z67" s="703" t="str">
        <f t="shared" si="18"/>
        <v>Y</v>
      </c>
      <c r="AA67" s="694"/>
      <c r="AB67" s="694"/>
    </row>
    <row r="68" spans="1:28">
      <c r="A68" s="689"/>
      <c r="C68" s="699"/>
      <c r="D68" s="699"/>
      <c r="E68" s="699"/>
      <c r="F68" s="694"/>
      <c r="G68" s="694"/>
      <c r="H68" s="694"/>
      <c r="I68" s="694"/>
      <c r="J68" s="694"/>
      <c r="K68" s="694" t="str">
        <f t="shared" si="33"/>
        <v>N/A</v>
      </c>
      <c r="L68" s="694" t="str">
        <f t="shared" si="34"/>
        <v>N/A</v>
      </c>
      <c r="M68" s="694" t="str">
        <f t="shared" si="35"/>
        <v>N/A</v>
      </c>
      <c r="N68" s="694" t="str">
        <f t="shared" si="36"/>
        <v>N/A</v>
      </c>
      <c r="O68" s="694" t="str">
        <f t="shared" si="37"/>
        <v>N/A</v>
      </c>
      <c r="P68" s="694" t="str">
        <f t="shared" ref="P68:P100" si="39">IFERROR(ABS(K$3-K68),"N/A")</f>
        <v>N/A</v>
      </c>
      <c r="Q68" s="694" t="str">
        <f t="shared" ref="Q68:Q100" si="40">IFERROR(ABS(L$3-L68),"N/A")</f>
        <v>N/A</v>
      </c>
      <c r="R68" s="694" t="str">
        <f t="shared" ref="R68:R100" si="41">IFERROR(ABS(M$3-M68),"N/A")</f>
        <v>N/A</v>
      </c>
      <c r="S68" s="694" t="str">
        <f t="shared" ref="S68:S100" si="42">IFERROR(ABS(N$3-N68),"N/A")</f>
        <v>N/A</v>
      </c>
      <c r="T68" s="694" t="str">
        <f t="shared" ref="T68:T100" si="43">IFERROR(ABS(O$3-O68),"N/A")</f>
        <v>N/A</v>
      </c>
      <c r="U68" s="694">
        <f t="shared" ref="U68:U99" si="44">SUM(P68:T68)</f>
        <v>0</v>
      </c>
      <c r="V68" s="694">
        <f t="shared" ref="V68:V99" si="45">_xlfn.RANK.EQ(U68,$U$4:$U$61,1)</f>
        <v>1</v>
      </c>
      <c r="W68" s="694" t="str">
        <f t="shared" si="32"/>
        <v>-</v>
      </c>
      <c r="Y68" s="694" t="str">
        <f t="shared" si="38"/>
        <v>Not suitable</v>
      </c>
      <c r="Z68" s="703" t="str">
        <f t="shared" si="18"/>
        <v>Y</v>
      </c>
      <c r="AA68" s="694"/>
      <c r="AB68" s="694"/>
    </row>
    <row r="69" spans="1:28">
      <c r="A69" s="689"/>
      <c r="C69" s="699"/>
      <c r="D69" s="699"/>
      <c r="E69" s="699"/>
      <c r="F69" s="694"/>
      <c r="G69" s="694"/>
      <c r="H69" s="694"/>
      <c r="I69" s="694"/>
      <c r="J69" s="694"/>
      <c r="K69" s="694" t="str">
        <f t="shared" si="33"/>
        <v>N/A</v>
      </c>
      <c r="L69" s="694" t="str">
        <f t="shared" si="34"/>
        <v>N/A</v>
      </c>
      <c r="M69" s="694" t="str">
        <f t="shared" si="35"/>
        <v>N/A</v>
      </c>
      <c r="N69" s="694" t="str">
        <f t="shared" si="36"/>
        <v>N/A</v>
      </c>
      <c r="O69" s="694" t="str">
        <f t="shared" si="37"/>
        <v>N/A</v>
      </c>
      <c r="P69" s="694" t="str">
        <f t="shared" si="39"/>
        <v>N/A</v>
      </c>
      <c r="Q69" s="694" t="str">
        <f t="shared" si="40"/>
        <v>N/A</v>
      </c>
      <c r="R69" s="694" t="str">
        <f t="shared" si="41"/>
        <v>N/A</v>
      </c>
      <c r="S69" s="694" t="str">
        <f t="shared" si="42"/>
        <v>N/A</v>
      </c>
      <c r="T69" s="694" t="str">
        <f t="shared" si="43"/>
        <v>N/A</v>
      </c>
      <c r="U69" s="694">
        <f t="shared" si="44"/>
        <v>0</v>
      </c>
      <c r="V69" s="694">
        <f t="shared" si="45"/>
        <v>1</v>
      </c>
      <c r="W69" s="694" t="str">
        <f t="shared" ref="W69:W100" si="46">IF(Y69="Not suitable","-",V69)</f>
        <v>-</v>
      </c>
      <c r="Y69" s="694" t="str">
        <f t="shared" si="38"/>
        <v>Not suitable</v>
      </c>
      <c r="Z69" s="703" t="str">
        <f t="shared" si="18"/>
        <v>Y</v>
      </c>
      <c r="AA69" s="694"/>
      <c r="AB69" s="694"/>
    </row>
    <row r="70" spans="1:28">
      <c r="A70" s="689"/>
      <c r="C70" s="699"/>
      <c r="D70" s="699"/>
      <c r="E70" s="699"/>
      <c r="F70" s="694"/>
      <c r="G70" s="694"/>
      <c r="H70" s="694"/>
      <c r="I70" s="694"/>
      <c r="J70" s="694"/>
      <c r="K70" s="694" t="str">
        <f t="shared" si="33"/>
        <v>N/A</v>
      </c>
      <c r="L70" s="694" t="str">
        <f t="shared" si="34"/>
        <v>N/A</v>
      </c>
      <c r="M70" s="694" t="str">
        <f t="shared" si="35"/>
        <v>N/A</v>
      </c>
      <c r="N70" s="694" t="str">
        <f t="shared" si="36"/>
        <v>N/A</v>
      </c>
      <c r="O70" s="694" t="str">
        <f t="shared" si="37"/>
        <v>N/A</v>
      </c>
      <c r="P70" s="694" t="str">
        <f t="shared" si="39"/>
        <v>N/A</v>
      </c>
      <c r="Q70" s="694" t="str">
        <f t="shared" si="40"/>
        <v>N/A</v>
      </c>
      <c r="R70" s="694" t="str">
        <f t="shared" si="41"/>
        <v>N/A</v>
      </c>
      <c r="S70" s="694" t="str">
        <f t="shared" si="42"/>
        <v>N/A</v>
      </c>
      <c r="T70" s="694" t="str">
        <f t="shared" si="43"/>
        <v>N/A</v>
      </c>
      <c r="U70" s="694">
        <f t="shared" si="44"/>
        <v>0</v>
      </c>
      <c r="V70" s="694">
        <f t="shared" si="45"/>
        <v>1</v>
      </c>
      <c r="W70" s="694" t="str">
        <f t="shared" si="46"/>
        <v>-</v>
      </c>
      <c r="Y70" s="694" t="str">
        <f t="shared" si="38"/>
        <v>Not suitable</v>
      </c>
      <c r="Z70" s="703" t="str">
        <f t="shared" ref="Z70:Z100" si="47">IF(N70="N/A","Y","")</f>
        <v>Y</v>
      </c>
      <c r="AA70" s="694"/>
      <c r="AB70" s="694"/>
    </row>
    <row r="71" spans="1:28">
      <c r="A71" s="689"/>
      <c r="C71" s="699"/>
      <c r="D71" s="699"/>
      <c r="E71" s="699"/>
      <c r="F71" s="694"/>
      <c r="G71" s="694"/>
      <c r="H71" s="694"/>
      <c r="I71" s="694"/>
      <c r="J71" s="694"/>
      <c r="K71" s="694" t="str">
        <f t="shared" si="33"/>
        <v>N/A</v>
      </c>
      <c r="L71" s="694" t="str">
        <f t="shared" si="34"/>
        <v>N/A</v>
      </c>
      <c r="M71" s="694" t="str">
        <f t="shared" si="35"/>
        <v>N/A</v>
      </c>
      <c r="N71" s="694" t="str">
        <f t="shared" si="36"/>
        <v>N/A</v>
      </c>
      <c r="O71" s="694" t="str">
        <f t="shared" si="37"/>
        <v>N/A</v>
      </c>
      <c r="P71" s="694" t="str">
        <f t="shared" si="39"/>
        <v>N/A</v>
      </c>
      <c r="Q71" s="694" t="str">
        <f t="shared" si="40"/>
        <v>N/A</v>
      </c>
      <c r="R71" s="694" t="str">
        <f t="shared" si="41"/>
        <v>N/A</v>
      </c>
      <c r="S71" s="694" t="str">
        <f t="shared" si="42"/>
        <v>N/A</v>
      </c>
      <c r="T71" s="694" t="str">
        <f t="shared" si="43"/>
        <v>N/A</v>
      </c>
      <c r="U71" s="694">
        <f t="shared" si="44"/>
        <v>0</v>
      </c>
      <c r="V71" s="694">
        <f t="shared" si="45"/>
        <v>1</v>
      </c>
      <c r="W71" s="694" t="str">
        <f t="shared" si="46"/>
        <v>-</v>
      </c>
      <c r="Y71" s="694" t="str">
        <f t="shared" si="38"/>
        <v>Not suitable</v>
      </c>
      <c r="Z71" s="703" t="str">
        <f t="shared" si="47"/>
        <v>Y</v>
      </c>
      <c r="AA71" s="694"/>
      <c r="AB71" s="694"/>
    </row>
    <row r="72" spans="1:28">
      <c r="A72" s="689"/>
      <c r="C72" s="699"/>
      <c r="D72" s="699"/>
      <c r="E72" s="699"/>
      <c r="F72" s="694"/>
      <c r="G72" s="694"/>
      <c r="H72" s="694"/>
      <c r="I72" s="694"/>
      <c r="J72" s="694"/>
      <c r="K72" s="694" t="str">
        <f t="shared" si="33"/>
        <v>N/A</v>
      </c>
      <c r="L72" s="694" t="str">
        <f t="shared" si="34"/>
        <v>N/A</v>
      </c>
      <c r="M72" s="694" t="str">
        <f t="shared" si="35"/>
        <v>N/A</v>
      </c>
      <c r="N72" s="694" t="str">
        <f t="shared" si="36"/>
        <v>N/A</v>
      </c>
      <c r="O72" s="694" t="str">
        <f t="shared" si="37"/>
        <v>N/A</v>
      </c>
      <c r="P72" s="694" t="str">
        <f t="shared" si="39"/>
        <v>N/A</v>
      </c>
      <c r="Q72" s="694" t="str">
        <f t="shared" si="40"/>
        <v>N/A</v>
      </c>
      <c r="R72" s="694" t="str">
        <f t="shared" si="41"/>
        <v>N/A</v>
      </c>
      <c r="S72" s="694" t="str">
        <f t="shared" si="42"/>
        <v>N/A</v>
      </c>
      <c r="T72" s="694" t="str">
        <f t="shared" si="43"/>
        <v>N/A</v>
      </c>
      <c r="U72" s="694">
        <f t="shared" si="44"/>
        <v>0</v>
      </c>
      <c r="V72" s="694">
        <f t="shared" si="45"/>
        <v>1</v>
      </c>
      <c r="W72" s="694" t="str">
        <f t="shared" si="46"/>
        <v>-</v>
      </c>
      <c r="Y72" s="694" t="str">
        <f t="shared" si="38"/>
        <v>Not suitable</v>
      </c>
      <c r="Z72" s="703" t="str">
        <f t="shared" si="47"/>
        <v>Y</v>
      </c>
      <c r="AA72" s="694"/>
      <c r="AB72" s="694"/>
    </row>
    <row r="73" spans="1:28">
      <c r="A73" s="689"/>
      <c r="C73" s="699"/>
      <c r="D73" s="699"/>
      <c r="E73" s="699"/>
      <c r="F73" s="694"/>
      <c r="G73" s="694"/>
      <c r="H73" s="694"/>
      <c r="I73" s="694"/>
      <c r="J73" s="694"/>
      <c r="K73" s="694" t="str">
        <f t="shared" si="33"/>
        <v>N/A</v>
      </c>
      <c r="L73" s="694" t="str">
        <f t="shared" si="34"/>
        <v>N/A</v>
      </c>
      <c r="M73" s="694" t="str">
        <f t="shared" si="35"/>
        <v>N/A</v>
      </c>
      <c r="N73" s="694" t="str">
        <f t="shared" si="36"/>
        <v>N/A</v>
      </c>
      <c r="O73" s="694" t="str">
        <f t="shared" si="37"/>
        <v>N/A</v>
      </c>
      <c r="P73" s="694" t="str">
        <f t="shared" si="39"/>
        <v>N/A</v>
      </c>
      <c r="Q73" s="694" t="str">
        <f t="shared" si="40"/>
        <v>N/A</v>
      </c>
      <c r="R73" s="694" t="str">
        <f t="shared" si="41"/>
        <v>N/A</v>
      </c>
      <c r="S73" s="694" t="str">
        <f t="shared" si="42"/>
        <v>N/A</v>
      </c>
      <c r="T73" s="694" t="str">
        <f t="shared" si="43"/>
        <v>N/A</v>
      </c>
      <c r="U73" s="694">
        <f t="shared" si="44"/>
        <v>0</v>
      </c>
      <c r="V73" s="694">
        <f t="shared" si="45"/>
        <v>1</v>
      </c>
      <c r="W73" s="694" t="str">
        <f t="shared" si="46"/>
        <v>-</v>
      </c>
      <c r="Y73" s="694" t="str">
        <f t="shared" si="38"/>
        <v>Not suitable</v>
      </c>
      <c r="Z73" s="703" t="str">
        <f t="shared" si="47"/>
        <v>Y</v>
      </c>
      <c r="AA73" s="694"/>
      <c r="AB73" s="694"/>
    </row>
    <row r="74" spans="1:28">
      <c r="A74" s="689"/>
      <c r="C74" s="699"/>
      <c r="D74" s="699"/>
      <c r="E74" s="699"/>
      <c r="F74" s="694"/>
      <c r="G74" s="694"/>
      <c r="H74" s="694"/>
      <c r="I74" s="694"/>
      <c r="J74" s="694"/>
      <c r="K74" s="694" t="str">
        <f t="shared" si="33"/>
        <v>N/A</v>
      </c>
      <c r="L74" s="694" t="str">
        <f t="shared" si="34"/>
        <v>N/A</v>
      </c>
      <c r="M74" s="694" t="str">
        <f t="shared" si="35"/>
        <v>N/A</v>
      </c>
      <c r="N74" s="694" t="str">
        <f t="shared" si="36"/>
        <v>N/A</v>
      </c>
      <c r="O74" s="694" t="str">
        <f t="shared" si="37"/>
        <v>N/A</v>
      </c>
      <c r="P74" s="694" t="str">
        <f t="shared" si="39"/>
        <v>N/A</v>
      </c>
      <c r="Q74" s="694" t="str">
        <f t="shared" si="40"/>
        <v>N/A</v>
      </c>
      <c r="R74" s="694" t="str">
        <f t="shared" si="41"/>
        <v>N/A</v>
      </c>
      <c r="S74" s="694" t="str">
        <f t="shared" si="42"/>
        <v>N/A</v>
      </c>
      <c r="T74" s="694" t="str">
        <f t="shared" si="43"/>
        <v>N/A</v>
      </c>
      <c r="U74" s="694">
        <f t="shared" si="44"/>
        <v>0</v>
      </c>
      <c r="V74" s="694">
        <f t="shared" si="45"/>
        <v>1</v>
      </c>
      <c r="W74" s="694" t="str">
        <f t="shared" si="46"/>
        <v>-</v>
      </c>
      <c r="Y74" s="694" t="str">
        <f t="shared" si="38"/>
        <v>Not suitable</v>
      </c>
      <c r="Z74" s="703" t="str">
        <f t="shared" si="47"/>
        <v>Y</v>
      </c>
      <c r="AA74" s="694"/>
      <c r="AB74" s="694"/>
    </row>
    <row r="75" spans="1:28">
      <c r="A75" s="689"/>
      <c r="C75" s="699"/>
      <c r="D75" s="699"/>
      <c r="E75" s="699"/>
      <c r="F75" s="694"/>
      <c r="G75" s="694"/>
      <c r="H75" s="694"/>
      <c r="I75" s="694"/>
      <c r="J75" s="694"/>
      <c r="K75" s="694" t="str">
        <f t="shared" si="33"/>
        <v>N/A</v>
      </c>
      <c r="L75" s="694" t="str">
        <f t="shared" si="34"/>
        <v>N/A</v>
      </c>
      <c r="M75" s="694" t="str">
        <f t="shared" si="35"/>
        <v>N/A</v>
      </c>
      <c r="N75" s="694" t="str">
        <f t="shared" si="36"/>
        <v>N/A</v>
      </c>
      <c r="O75" s="694" t="str">
        <f t="shared" si="37"/>
        <v>N/A</v>
      </c>
      <c r="P75" s="694" t="str">
        <f t="shared" si="39"/>
        <v>N/A</v>
      </c>
      <c r="Q75" s="694" t="str">
        <f t="shared" si="40"/>
        <v>N/A</v>
      </c>
      <c r="R75" s="694" t="str">
        <f t="shared" si="41"/>
        <v>N/A</v>
      </c>
      <c r="S75" s="694" t="str">
        <f t="shared" si="42"/>
        <v>N/A</v>
      </c>
      <c r="T75" s="694" t="str">
        <f t="shared" si="43"/>
        <v>N/A</v>
      </c>
      <c r="U75" s="694">
        <f t="shared" si="44"/>
        <v>0</v>
      </c>
      <c r="V75" s="694">
        <f t="shared" si="45"/>
        <v>1</v>
      </c>
      <c r="W75" s="694" t="str">
        <f t="shared" si="46"/>
        <v>-</v>
      </c>
      <c r="Y75" s="694" t="str">
        <f t="shared" si="38"/>
        <v>Not suitable</v>
      </c>
      <c r="Z75" s="703" t="str">
        <f t="shared" si="47"/>
        <v>Y</v>
      </c>
      <c r="AA75" s="694"/>
      <c r="AB75" s="694"/>
    </row>
    <row r="76" spans="1:28">
      <c r="A76" s="689"/>
      <c r="C76" s="699"/>
      <c r="D76" s="699"/>
      <c r="E76" s="699"/>
      <c r="F76" s="694"/>
      <c r="G76" s="694"/>
      <c r="H76" s="694"/>
      <c r="I76" s="694"/>
      <c r="J76" s="694"/>
      <c r="K76" s="694" t="str">
        <f t="shared" si="33"/>
        <v>N/A</v>
      </c>
      <c r="L76" s="694" t="str">
        <f t="shared" si="34"/>
        <v>N/A</v>
      </c>
      <c r="M76" s="694" t="str">
        <f t="shared" si="35"/>
        <v>N/A</v>
      </c>
      <c r="N76" s="694" t="str">
        <f t="shared" si="36"/>
        <v>N/A</v>
      </c>
      <c r="O76" s="694" t="str">
        <f t="shared" si="37"/>
        <v>N/A</v>
      </c>
      <c r="P76" s="694" t="str">
        <f t="shared" si="39"/>
        <v>N/A</v>
      </c>
      <c r="Q76" s="694" t="str">
        <f t="shared" si="40"/>
        <v>N/A</v>
      </c>
      <c r="R76" s="694" t="str">
        <f t="shared" si="41"/>
        <v>N/A</v>
      </c>
      <c r="S76" s="694" t="str">
        <f t="shared" si="42"/>
        <v>N/A</v>
      </c>
      <c r="T76" s="694" t="str">
        <f t="shared" si="43"/>
        <v>N/A</v>
      </c>
      <c r="U76" s="694">
        <f t="shared" si="44"/>
        <v>0</v>
      </c>
      <c r="V76" s="694">
        <f t="shared" si="45"/>
        <v>1</v>
      </c>
      <c r="W76" s="694" t="str">
        <f t="shared" si="46"/>
        <v>-</v>
      </c>
      <c r="Y76" s="694" t="str">
        <f t="shared" si="38"/>
        <v>Not suitable</v>
      </c>
      <c r="Z76" s="703" t="str">
        <f t="shared" si="47"/>
        <v>Y</v>
      </c>
      <c r="AA76" s="694"/>
      <c r="AB76" s="694"/>
    </row>
    <row r="77" spans="1:28">
      <c r="A77" s="689"/>
      <c r="C77" s="699"/>
      <c r="D77" s="699"/>
      <c r="E77" s="699"/>
      <c r="F77" s="694"/>
      <c r="G77" s="694"/>
      <c r="H77" s="694"/>
      <c r="I77" s="694"/>
      <c r="J77" s="694"/>
      <c r="K77" s="694" t="str">
        <f t="shared" si="33"/>
        <v>N/A</v>
      </c>
      <c r="L77" s="694" t="str">
        <f t="shared" si="34"/>
        <v>N/A</v>
      </c>
      <c r="M77" s="694" t="str">
        <f t="shared" si="35"/>
        <v>N/A</v>
      </c>
      <c r="N77" s="694" t="str">
        <f t="shared" si="36"/>
        <v>N/A</v>
      </c>
      <c r="O77" s="694" t="str">
        <f t="shared" si="37"/>
        <v>N/A</v>
      </c>
      <c r="P77" s="694" t="str">
        <f t="shared" si="39"/>
        <v>N/A</v>
      </c>
      <c r="Q77" s="694" t="str">
        <f t="shared" si="40"/>
        <v>N/A</v>
      </c>
      <c r="R77" s="694" t="str">
        <f t="shared" si="41"/>
        <v>N/A</v>
      </c>
      <c r="S77" s="694" t="str">
        <f t="shared" si="42"/>
        <v>N/A</v>
      </c>
      <c r="T77" s="694" t="str">
        <f t="shared" si="43"/>
        <v>N/A</v>
      </c>
      <c r="U77" s="694">
        <f t="shared" si="44"/>
        <v>0</v>
      </c>
      <c r="V77" s="694">
        <f t="shared" si="45"/>
        <v>1</v>
      </c>
      <c r="W77" s="694" t="str">
        <f t="shared" si="46"/>
        <v>-</v>
      </c>
      <c r="Y77" s="694" t="str">
        <f t="shared" si="38"/>
        <v>Not suitable</v>
      </c>
      <c r="Z77" s="703" t="str">
        <f t="shared" si="47"/>
        <v>Y</v>
      </c>
      <c r="AA77" s="694"/>
      <c r="AB77" s="694"/>
    </row>
    <row r="78" spans="1:28">
      <c r="A78" s="689"/>
      <c r="C78" s="699"/>
      <c r="D78" s="699"/>
      <c r="E78" s="699"/>
      <c r="F78" s="694"/>
      <c r="G78" s="694"/>
      <c r="H78" s="694"/>
      <c r="I78" s="694"/>
      <c r="J78" s="694"/>
      <c r="K78" s="694" t="str">
        <f t="shared" si="33"/>
        <v>N/A</v>
      </c>
      <c r="L78" s="694" t="str">
        <f t="shared" si="34"/>
        <v>N/A</v>
      </c>
      <c r="M78" s="694" t="str">
        <f t="shared" si="35"/>
        <v>N/A</v>
      </c>
      <c r="N78" s="694" t="str">
        <f t="shared" si="36"/>
        <v>N/A</v>
      </c>
      <c r="O78" s="694" t="str">
        <f t="shared" si="37"/>
        <v>N/A</v>
      </c>
      <c r="P78" s="694" t="str">
        <f t="shared" si="39"/>
        <v>N/A</v>
      </c>
      <c r="Q78" s="694" t="str">
        <f t="shared" si="40"/>
        <v>N/A</v>
      </c>
      <c r="R78" s="694" t="str">
        <f t="shared" si="41"/>
        <v>N/A</v>
      </c>
      <c r="S78" s="694" t="str">
        <f t="shared" si="42"/>
        <v>N/A</v>
      </c>
      <c r="T78" s="694" t="str">
        <f t="shared" si="43"/>
        <v>N/A</v>
      </c>
      <c r="U78" s="694">
        <f t="shared" si="44"/>
        <v>0</v>
      </c>
      <c r="V78" s="694">
        <f t="shared" si="45"/>
        <v>1</v>
      </c>
      <c r="W78" s="694" t="str">
        <f t="shared" si="46"/>
        <v>-</v>
      </c>
      <c r="Y78" s="694" t="str">
        <f t="shared" si="38"/>
        <v>Not suitable</v>
      </c>
      <c r="Z78" s="703" t="str">
        <f t="shared" si="47"/>
        <v>Y</v>
      </c>
      <c r="AA78" s="694"/>
      <c r="AB78" s="694"/>
    </row>
    <row r="79" spans="1:28">
      <c r="A79" s="689"/>
      <c r="C79" s="699"/>
      <c r="D79" s="699"/>
      <c r="E79" s="699"/>
      <c r="F79" s="694"/>
      <c r="G79" s="694"/>
      <c r="H79" s="694"/>
      <c r="I79" s="694"/>
      <c r="J79" s="694"/>
      <c r="K79" s="694" t="str">
        <f t="shared" si="33"/>
        <v>N/A</v>
      </c>
      <c r="L79" s="694" t="str">
        <f t="shared" si="34"/>
        <v>N/A</v>
      </c>
      <c r="M79" s="694" t="str">
        <f t="shared" si="35"/>
        <v>N/A</v>
      </c>
      <c r="N79" s="694" t="str">
        <f t="shared" si="36"/>
        <v>N/A</v>
      </c>
      <c r="O79" s="694" t="str">
        <f t="shared" si="37"/>
        <v>N/A</v>
      </c>
      <c r="P79" s="694" t="str">
        <f t="shared" si="39"/>
        <v>N/A</v>
      </c>
      <c r="Q79" s="694" t="str">
        <f t="shared" si="40"/>
        <v>N/A</v>
      </c>
      <c r="R79" s="694" t="str">
        <f t="shared" si="41"/>
        <v>N/A</v>
      </c>
      <c r="S79" s="694" t="str">
        <f t="shared" si="42"/>
        <v>N/A</v>
      </c>
      <c r="T79" s="694" t="str">
        <f t="shared" si="43"/>
        <v>N/A</v>
      </c>
      <c r="U79" s="694">
        <f t="shared" si="44"/>
        <v>0</v>
      </c>
      <c r="V79" s="694">
        <f t="shared" si="45"/>
        <v>1</v>
      </c>
      <c r="W79" s="694" t="str">
        <f t="shared" si="46"/>
        <v>-</v>
      </c>
      <c r="Y79" s="694" t="str">
        <f t="shared" si="38"/>
        <v>Not suitable</v>
      </c>
      <c r="Z79" s="703" t="str">
        <f t="shared" si="47"/>
        <v>Y</v>
      </c>
      <c r="AA79" s="694"/>
      <c r="AB79" s="694"/>
    </row>
    <row r="80" spans="1:28">
      <c r="A80" s="689"/>
      <c r="C80" s="699"/>
      <c r="D80" s="699"/>
      <c r="E80" s="699"/>
      <c r="F80" s="694"/>
      <c r="G80" s="694"/>
      <c r="H80" s="694"/>
      <c r="I80" s="694"/>
      <c r="J80" s="694"/>
      <c r="K80" s="694" t="str">
        <f t="shared" si="33"/>
        <v>N/A</v>
      </c>
      <c r="L80" s="694" t="str">
        <f t="shared" si="34"/>
        <v>N/A</v>
      </c>
      <c r="M80" s="694" t="str">
        <f t="shared" si="35"/>
        <v>N/A</v>
      </c>
      <c r="N80" s="694" t="str">
        <f t="shared" si="36"/>
        <v>N/A</v>
      </c>
      <c r="O80" s="694" t="str">
        <f t="shared" si="37"/>
        <v>N/A</v>
      </c>
      <c r="P80" s="694" t="str">
        <f t="shared" si="39"/>
        <v>N/A</v>
      </c>
      <c r="Q80" s="694" t="str">
        <f t="shared" si="40"/>
        <v>N/A</v>
      </c>
      <c r="R80" s="694" t="str">
        <f t="shared" si="41"/>
        <v>N/A</v>
      </c>
      <c r="S80" s="694" t="str">
        <f t="shared" si="42"/>
        <v>N/A</v>
      </c>
      <c r="T80" s="694" t="str">
        <f t="shared" si="43"/>
        <v>N/A</v>
      </c>
      <c r="U80" s="694">
        <f t="shared" si="44"/>
        <v>0</v>
      </c>
      <c r="V80" s="694">
        <f t="shared" si="45"/>
        <v>1</v>
      </c>
      <c r="W80" s="694" t="str">
        <f t="shared" si="46"/>
        <v>-</v>
      </c>
      <c r="Y80" s="694" t="str">
        <f t="shared" si="38"/>
        <v>Not suitable</v>
      </c>
      <c r="Z80" s="703" t="str">
        <f t="shared" si="47"/>
        <v>Y</v>
      </c>
      <c r="AA80" s="694"/>
      <c r="AB80" s="694"/>
    </row>
    <row r="81" spans="1:28">
      <c r="A81" s="689"/>
      <c r="C81" s="699"/>
      <c r="D81" s="699"/>
      <c r="E81" s="699"/>
      <c r="F81" s="694"/>
      <c r="G81" s="694"/>
      <c r="H81" s="694"/>
      <c r="I81" s="694"/>
      <c r="J81" s="694"/>
      <c r="K81" s="694" t="str">
        <f t="shared" si="33"/>
        <v>N/A</v>
      </c>
      <c r="L81" s="694" t="str">
        <f t="shared" si="34"/>
        <v>N/A</v>
      </c>
      <c r="M81" s="694" t="str">
        <f t="shared" si="35"/>
        <v>N/A</v>
      </c>
      <c r="N81" s="694" t="str">
        <f t="shared" si="36"/>
        <v>N/A</v>
      </c>
      <c r="O81" s="694" t="str">
        <f t="shared" si="37"/>
        <v>N/A</v>
      </c>
      <c r="P81" s="694" t="str">
        <f t="shared" si="39"/>
        <v>N/A</v>
      </c>
      <c r="Q81" s="694" t="str">
        <f t="shared" si="40"/>
        <v>N/A</v>
      </c>
      <c r="R81" s="694" t="str">
        <f t="shared" si="41"/>
        <v>N/A</v>
      </c>
      <c r="S81" s="694" t="str">
        <f t="shared" si="42"/>
        <v>N/A</v>
      </c>
      <c r="T81" s="694" t="str">
        <f t="shared" si="43"/>
        <v>N/A</v>
      </c>
      <c r="U81" s="694">
        <f t="shared" si="44"/>
        <v>0</v>
      </c>
      <c r="V81" s="694">
        <f t="shared" si="45"/>
        <v>1</v>
      </c>
      <c r="W81" s="694" t="str">
        <f t="shared" si="46"/>
        <v>-</v>
      </c>
      <c r="Y81" s="694" t="str">
        <f t="shared" si="38"/>
        <v>Not suitable</v>
      </c>
      <c r="Z81" s="703" t="str">
        <f t="shared" si="47"/>
        <v>Y</v>
      </c>
      <c r="AA81" s="694"/>
      <c r="AB81" s="694"/>
    </row>
    <row r="82" spans="1:28">
      <c r="A82" s="689"/>
      <c r="C82" s="699"/>
      <c r="D82" s="699"/>
      <c r="E82" s="699"/>
      <c r="F82" s="694"/>
      <c r="G82" s="694"/>
      <c r="H82" s="694"/>
      <c r="I82" s="694"/>
      <c r="J82" s="694"/>
      <c r="K82" s="694" t="str">
        <f t="shared" si="33"/>
        <v>N/A</v>
      </c>
      <c r="L82" s="694" t="str">
        <f t="shared" si="34"/>
        <v>N/A</v>
      </c>
      <c r="M82" s="694" t="str">
        <f t="shared" si="35"/>
        <v>N/A</v>
      </c>
      <c r="N82" s="694" t="str">
        <f t="shared" si="36"/>
        <v>N/A</v>
      </c>
      <c r="O82" s="694" t="str">
        <f t="shared" si="37"/>
        <v>N/A</v>
      </c>
      <c r="P82" s="694" t="str">
        <f t="shared" si="39"/>
        <v>N/A</v>
      </c>
      <c r="Q82" s="694" t="str">
        <f t="shared" si="40"/>
        <v>N/A</v>
      </c>
      <c r="R82" s="694" t="str">
        <f t="shared" si="41"/>
        <v>N/A</v>
      </c>
      <c r="S82" s="694" t="str">
        <f t="shared" si="42"/>
        <v>N/A</v>
      </c>
      <c r="T82" s="694" t="str">
        <f t="shared" si="43"/>
        <v>N/A</v>
      </c>
      <c r="U82" s="694">
        <f t="shared" si="44"/>
        <v>0</v>
      </c>
      <c r="V82" s="694">
        <f t="shared" si="45"/>
        <v>1</v>
      </c>
      <c r="W82" s="694" t="str">
        <f t="shared" si="46"/>
        <v>-</v>
      </c>
      <c r="Y82" s="694" t="str">
        <f t="shared" si="38"/>
        <v>Not suitable</v>
      </c>
      <c r="Z82" s="703" t="str">
        <f t="shared" si="47"/>
        <v>Y</v>
      </c>
      <c r="AA82" s="694"/>
      <c r="AB82" s="694"/>
    </row>
    <row r="83" spans="1:28">
      <c r="A83" s="689"/>
      <c r="C83" s="699"/>
      <c r="D83" s="699"/>
      <c r="E83" s="699"/>
      <c r="F83" s="694"/>
      <c r="G83" s="694"/>
      <c r="H83" s="694"/>
      <c r="I83" s="694"/>
      <c r="J83" s="694"/>
      <c r="K83" s="694" t="str">
        <f t="shared" si="33"/>
        <v>N/A</v>
      </c>
      <c r="L83" s="694" t="str">
        <f t="shared" si="34"/>
        <v>N/A</v>
      </c>
      <c r="M83" s="694" t="str">
        <f t="shared" si="35"/>
        <v>N/A</v>
      </c>
      <c r="N83" s="694" t="str">
        <f t="shared" si="36"/>
        <v>N/A</v>
      </c>
      <c r="O83" s="694" t="str">
        <f t="shared" si="37"/>
        <v>N/A</v>
      </c>
      <c r="P83" s="694" t="str">
        <f t="shared" si="39"/>
        <v>N/A</v>
      </c>
      <c r="Q83" s="694" t="str">
        <f t="shared" si="40"/>
        <v>N/A</v>
      </c>
      <c r="R83" s="694" t="str">
        <f t="shared" si="41"/>
        <v>N/A</v>
      </c>
      <c r="S83" s="694" t="str">
        <f t="shared" si="42"/>
        <v>N/A</v>
      </c>
      <c r="T83" s="694" t="str">
        <f t="shared" si="43"/>
        <v>N/A</v>
      </c>
      <c r="U83" s="694">
        <f t="shared" si="44"/>
        <v>0</v>
      </c>
      <c r="V83" s="694">
        <f t="shared" si="45"/>
        <v>1</v>
      </c>
      <c r="W83" s="694" t="str">
        <f t="shared" si="46"/>
        <v>-</v>
      </c>
      <c r="Y83" s="694" t="str">
        <f t="shared" si="38"/>
        <v>Not suitable</v>
      </c>
      <c r="Z83" s="703" t="str">
        <f t="shared" si="47"/>
        <v>Y</v>
      </c>
      <c r="AA83" s="694"/>
      <c r="AB83" s="694"/>
    </row>
    <row r="84" spans="1:28">
      <c r="A84" s="689"/>
      <c r="C84" s="699"/>
      <c r="D84" s="699"/>
      <c r="E84" s="699"/>
      <c r="F84" s="694"/>
      <c r="G84" s="694"/>
      <c r="H84" s="694"/>
      <c r="I84" s="694"/>
      <c r="J84" s="694"/>
      <c r="K84" s="694" t="str">
        <f t="shared" si="33"/>
        <v>N/A</v>
      </c>
      <c r="L84" s="694" t="str">
        <f t="shared" si="34"/>
        <v>N/A</v>
      </c>
      <c r="M84" s="694" t="str">
        <f t="shared" si="35"/>
        <v>N/A</v>
      </c>
      <c r="N84" s="694" t="str">
        <f t="shared" si="36"/>
        <v>N/A</v>
      </c>
      <c r="O84" s="694" t="str">
        <f t="shared" si="37"/>
        <v>N/A</v>
      </c>
      <c r="P84" s="694" t="str">
        <f t="shared" si="39"/>
        <v>N/A</v>
      </c>
      <c r="Q84" s="694" t="str">
        <f t="shared" si="40"/>
        <v>N/A</v>
      </c>
      <c r="R84" s="694" t="str">
        <f t="shared" si="41"/>
        <v>N/A</v>
      </c>
      <c r="S84" s="694" t="str">
        <f t="shared" si="42"/>
        <v>N/A</v>
      </c>
      <c r="T84" s="694" t="str">
        <f t="shared" si="43"/>
        <v>N/A</v>
      </c>
      <c r="U84" s="694">
        <f t="shared" si="44"/>
        <v>0</v>
      </c>
      <c r="V84" s="694">
        <f t="shared" si="45"/>
        <v>1</v>
      </c>
      <c r="W84" s="694" t="str">
        <f t="shared" si="46"/>
        <v>-</v>
      </c>
      <c r="Y84" s="694" t="str">
        <f t="shared" si="38"/>
        <v>Not suitable</v>
      </c>
      <c r="Z84" s="703" t="str">
        <f t="shared" si="47"/>
        <v>Y</v>
      </c>
      <c r="AA84" s="694"/>
      <c r="AB84" s="694"/>
    </row>
    <row r="85" spans="1:28">
      <c r="A85" s="689"/>
      <c r="C85" s="699"/>
      <c r="D85" s="699"/>
      <c r="E85" s="699"/>
      <c r="F85" s="694"/>
      <c r="G85" s="694"/>
      <c r="H85" s="694"/>
      <c r="I85" s="694"/>
      <c r="J85" s="694"/>
      <c r="K85" s="694" t="str">
        <f t="shared" si="33"/>
        <v>N/A</v>
      </c>
      <c r="L85" s="694" t="str">
        <f t="shared" si="34"/>
        <v>N/A</v>
      </c>
      <c r="M85" s="694" t="str">
        <f t="shared" si="35"/>
        <v>N/A</v>
      </c>
      <c r="N85" s="694" t="str">
        <f t="shared" si="36"/>
        <v>N/A</v>
      </c>
      <c r="O85" s="694" t="str">
        <f t="shared" si="37"/>
        <v>N/A</v>
      </c>
      <c r="P85" s="694" t="str">
        <f t="shared" si="39"/>
        <v>N/A</v>
      </c>
      <c r="Q85" s="694" t="str">
        <f t="shared" si="40"/>
        <v>N/A</v>
      </c>
      <c r="R85" s="694" t="str">
        <f t="shared" si="41"/>
        <v>N/A</v>
      </c>
      <c r="S85" s="694" t="str">
        <f t="shared" si="42"/>
        <v>N/A</v>
      </c>
      <c r="T85" s="694" t="str">
        <f t="shared" si="43"/>
        <v>N/A</v>
      </c>
      <c r="U85" s="694">
        <f t="shared" si="44"/>
        <v>0</v>
      </c>
      <c r="V85" s="694">
        <f t="shared" si="45"/>
        <v>1</v>
      </c>
      <c r="W85" s="694" t="str">
        <f t="shared" si="46"/>
        <v>-</v>
      </c>
      <c r="Y85" s="694" t="str">
        <f t="shared" si="38"/>
        <v>Not suitable</v>
      </c>
      <c r="Z85" s="703" t="str">
        <f t="shared" si="47"/>
        <v>Y</v>
      </c>
      <c r="AA85" s="694"/>
      <c r="AB85" s="694"/>
    </row>
    <row r="86" spans="1:28">
      <c r="A86" s="689"/>
      <c r="C86" s="699"/>
      <c r="D86" s="699"/>
      <c r="E86" s="699"/>
      <c r="F86" s="694"/>
      <c r="G86" s="694"/>
      <c r="H86" s="694"/>
      <c r="I86" s="694"/>
      <c r="J86" s="694"/>
      <c r="K86" s="694" t="str">
        <f t="shared" si="33"/>
        <v>N/A</v>
      </c>
      <c r="L86" s="694" t="str">
        <f t="shared" si="34"/>
        <v>N/A</v>
      </c>
      <c r="M86" s="694" t="str">
        <f t="shared" si="35"/>
        <v>N/A</v>
      </c>
      <c r="N86" s="694" t="str">
        <f t="shared" si="36"/>
        <v>N/A</v>
      </c>
      <c r="O86" s="694" t="str">
        <f t="shared" si="37"/>
        <v>N/A</v>
      </c>
      <c r="P86" s="694" t="str">
        <f t="shared" si="39"/>
        <v>N/A</v>
      </c>
      <c r="Q86" s="694" t="str">
        <f t="shared" si="40"/>
        <v>N/A</v>
      </c>
      <c r="R86" s="694" t="str">
        <f t="shared" si="41"/>
        <v>N/A</v>
      </c>
      <c r="S86" s="694" t="str">
        <f t="shared" si="42"/>
        <v>N/A</v>
      </c>
      <c r="T86" s="694" t="str">
        <f t="shared" si="43"/>
        <v>N/A</v>
      </c>
      <c r="U86" s="694">
        <f t="shared" si="44"/>
        <v>0</v>
      </c>
      <c r="V86" s="694">
        <f t="shared" si="45"/>
        <v>1</v>
      </c>
      <c r="W86" s="694" t="str">
        <f t="shared" si="46"/>
        <v>-</v>
      </c>
      <c r="Y86" s="694" t="str">
        <f t="shared" si="38"/>
        <v>Not suitable</v>
      </c>
      <c r="Z86" s="703" t="str">
        <f t="shared" si="47"/>
        <v>Y</v>
      </c>
      <c r="AA86" s="694"/>
      <c r="AB86" s="694"/>
    </row>
    <row r="87" spans="1:28">
      <c r="A87" s="689"/>
      <c r="C87" s="699"/>
      <c r="D87" s="699"/>
      <c r="E87" s="699"/>
      <c r="F87" s="694"/>
      <c r="G87" s="694"/>
      <c r="H87" s="694"/>
      <c r="I87" s="694"/>
      <c r="J87" s="694"/>
      <c r="K87" s="694" t="str">
        <f t="shared" si="33"/>
        <v>N/A</v>
      </c>
      <c r="L87" s="694" t="str">
        <f t="shared" si="34"/>
        <v>N/A</v>
      </c>
      <c r="M87" s="694" t="str">
        <f t="shared" si="35"/>
        <v>N/A</v>
      </c>
      <c r="N87" s="694" t="str">
        <f t="shared" si="36"/>
        <v>N/A</v>
      </c>
      <c r="O87" s="694" t="str">
        <f t="shared" si="37"/>
        <v>N/A</v>
      </c>
      <c r="P87" s="694" t="str">
        <f t="shared" si="39"/>
        <v>N/A</v>
      </c>
      <c r="Q87" s="694" t="str">
        <f t="shared" si="40"/>
        <v>N/A</v>
      </c>
      <c r="R87" s="694" t="str">
        <f t="shared" si="41"/>
        <v>N/A</v>
      </c>
      <c r="S87" s="694" t="str">
        <f t="shared" si="42"/>
        <v>N/A</v>
      </c>
      <c r="T87" s="694" t="str">
        <f t="shared" si="43"/>
        <v>N/A</v>
      </c>
      <c r="U87" s="694">
        <f t="shared" si="44"/>
        <v>0</v>
      </c>
      <c r="V87" s="694">
        <f t="shared" si="45"/>
        <v>1</v>
      </c>
      <c r="W87" s="694" t="str">
        <f t="shared" si="46"/>
        <v>-</v>
      </c>
      <c r="Y87" s="694" t="str">
        <f t="shared" si="38"/>
        <v>Not suitable</v>
      </c>
      <c r="Z87" s="703" t="str">
        <f t="shared" si="47"/>
        <v>Y</v>
      </c>
      <c r="AA87" s="694"/>
      <c r="AB87" s="694"/>
    </row>
    <row r="88" spans="1:28">
      <c r="A88" s="689"/>
      <c r="C88" s="699"/>
      <c r="D88" s="699"/>
      <c r="E88" s="699"/>
      <c r="F88" s="694"/>
      <c r="G88" s="694"/>
      <c r="H88" s="694"/>
      <c r="I88" s="694"/>
      <c r="J88" s="694"/>
      <c r="K88" s="694" t="str">
        <f t="shared" si="33"/>
        <v>N/A</v>
      </c>
      <c r="L88" s="694" t="str">
        <f t="shared" si="34"/>
        <v>N/A</v>
      </c>
      <c r="M88" s="694" t="str">
        <f t="shared" si="35"/>
        <v>N/A</v>
      </c>
      <c r="N88" s="694" t="str">
        <f t="shared" si="36"/>
        <v>N/A</v>
      </c>
      <c r="O88" s="694" t="str">
        <f t="shared" si="37"/>
        <v>N/A</v>
      </c>
      <c r="P88" s="694" t="str">
        <f t="shared" si="39"/>
        <v>N/A</v>
      </c>
      <c r="Q88" s="694" t="str">
        <f t="shared" si="40"/>
        <v>N/A</v>
      </c>
      <c r="R88" s="694" t="str">
        <f t="shared" si="41"/>
        <v>N/A</v>
      </c>
      <c r="S88" s="694" t="str">
        <f t="shared" si="42"/>
        <v>N/A</v>
      </c>
      <c r="T88" s="694" t="str">
        <f t="shared" si="43"/>
        <v>N/A</v>
      </c>
      <c r="U88" s="694">
        <f t="shared" si="44"/>
        <v>0</v>
      </c>
      <c r="V88" s="694">
        <f t="shared" si="45"/>
        <v>1</v>
      </c>
      <c r="W88" s="694" t="str">
        <f t="shared" si="46"/>
        <v>-</v>
      </c>
      <c r="Y88" s="694" t="str">
        <f t="shared" si="38"/>
        <v>Not suitable</v>
      </c>
      <c r="Z88" s="703" t="str">
        <f t="shared" si="47"/>
        <v>Y</v>
      </c>
      <c r="AA88" s="694"/>
      <c r="AB88" s="694"/>
    </row>
    <row r="89" spans="1:28">
      <c r="A89" s="689"/>
      <c r="C89" s="699"/>
      <c r="D89" s="699"/>
      <c r="E89" s="699"/>
      <c r="F89" s="694"/>
      <c r="G89" s="694"/>
      <c r="H89" s="694"/>
      <c r="I89" s="694"/>
      <c r="J89" s="694"/>
      <c r="K89" s="694" t="str">
        <f t="shared" si="33"/>
        <v>N/A</v>
      </c>
      <c r="L89" s="694" t="str">
        <f t="shared" si="34"/>
        <v>N/A</v>
      </c>
      <c r="M89" s="694" t="str">
        <f t="shared" si="35"/>
        <v>N/A</v>
      </c>
      <c r="N89" s="694" t="str">
        <f t="shared" si="36"/>
        <v>N/A</v>
      </c>
      <c r="O89" s="694" t="str">
        <f t="shared" si="37"/>
        <v>N/A</v>
      </c>
      <c r="P89" s="694" t="str">
        <f t="shared" si="39"/>
        <v>N/A</v>
      </c>
      <c r="Q89" s="694" t="str">
        <f t="shared" si="40"/>
        <v>N/A</v>
      </c>
      <c r="R89" s="694" t="str">
        <f t="shared" si="41"/>
        <v>N/A</v>
      </c>
      <c r="S89" s="694" t="str">
        <f t="shared" si="42"/>
        <v>N/A</v>
      </c>
      <c r="T89" s="694" t="str">
        <f t="shared" si="43"/>
        <v>N/A</v>
      </c>
      <c r="U89" s="694">
        <f t="shared" si="44"/>
        <v>0</v>
      </c>
      <c r="V89" s="694">
        <f t="shared" si="45"/>
        <v>1</v>
      </c>
      <c r="W89" s="694" t="str">
        <f t="shared" si="46"/>
        <v>-</v>
      </c>
      <c r="Y89" s="694" t="str">
        <f t="shared" si="38"/>
        <v>Not suitable</v>
      </c>
      <c r="Z89" s="703" t="str">
        <f t="shared" si="47"/>
        <v>Y</v>
      </c>
      <c r="AA89" s="694"/>
      <c r="AB89" s="694"/>
    </row>
    <row r="90" spans="1:28">
      <c r="A90" s="689"/>
      <c r="C90" s="699"/>
      <c r="D90" s="699"/>
      <c r="E90" s="699"/>
      <c r="F90" s="694"/>
      <c r="G90" s="694"/>
      <c r="H90" s="694"/>
      <c r="I90" s="694"/>
      <c r="J90" s="694"/>
      <c r="K90" s="694" t="str">
        <f t="shared" si="33"/>
        <v>N/A</v>
      </c>
      <c r="L90" s="694" t="str">
        <f t="shared" si="34"/>
        <v>N/A</v>
      </c>
      <c r="M90" s="694" t="str">
        <f t="shared" si="35"/>
        <v>N/A</v>
      </c>
      <c r="N90" s="694" t="str">
        <f t="shared" si="36"/>
        <v>N/A</v>
      </c>
      <c r="O90" s="694" t="str">
        <f t="shared" si="37"/>
        <v>N/A</v>
      </c>
      <c r="P90" s="694" t="str">
        <f t="shared" si="39"/>
        <v>N/A</v>
      </c>
      <c r="Q90" s="694" t="str">
        <f t="shared" si="40"/>
        <v>N/A</v>
      </c>
      <c r="R90" s="694" t="str">
        <f t="shared" si="41"/>
        <v>N/A</v>
      </c>
      <c r="S90" s="694" t="str">
        <f t="shared" si="42"/>
        <v>N/A</v>
      </c>
      <c r="T90" s="694" t="str">
        <f t="shared" si="43"/>
        <v>N/A</v>
      </c>
      <c r="U90" s="694">
        <f t="shared" si="44"/>
        <v>0</v>
      </c>
      <c r="V90" s="694">
        <f t="shared" si="45"/>
        <v>1</v>
      </c>
      <c r="W90" s="694" t="str">
        <f t="shared" si="46"/>
        <v>-</v>
      </c>
      <c r="Y90" s="694" t="str">
        <f t="shared" si="38"/>
        <v>Not suitable</v>
      </c>
      <c r="Z90" s="703" t="str">
        <f t="shared" si="47"/>
        <v>Y</v>
      </c>
      <c r="AA90" s="694"/>
      <c r="AB90" s="694"/>
    </row>
    <row r="91" spans="1:28">
      <c r="A91" s="689"/>
      <c r="C91" s="699"/>
      <c r="D91" s="699"/>
      <c r="E91" s="699"/>
      <c r="F91" s="694"/>
      <c r="G91" s="694"/>
      <c r="H91" s="694"/>
      <c r="I91" s="694"/>
      <c r="J91" s="694"/>
      <c r="K91" s="694" t="str">
        <f t="shared" si="33"/>
        <v>N/A</v>
      </c>
      <c r="L91" s="694" t="str">
        <f t="shared" si="34"/>
        <v>N/A</v>
      </c>
      <c r="M91" s="694" t="str">
        <f t="shared" si="35"/>
        <v>N/A</v>
      </c>
      <c r="N91" s="694" t="str">
        <f t="shared" si="36"/>
        <v>N/A</v>
      </c>
      <c r="O91" s="694" t="str">
        <f t="shared" si="37"/>
        <v>N/A</v>
      </c>
      <c r="P91" s="694" t="str">
        <f t="shared" si="39"/>
        <v>N/A</v>
      </c>
      <c r="Q91" s="694" t="str">
        <f t="shared" si="40"/>
        <v>N/A</v>
      </c>
      <c r="R91" s="694" t="str">
        <f t="shared" si="41"/>
        <v>N/A</v>
      </c>
      <c r="S91" s="694" t="str">
        <f t="shared" si="42"/>
        <v>N/A</v>
      </c>
      <c r="T91" s="694" t="str">
        <f t="shared" si="43"/>
        <v>N/A</v>
      </c>
      <c r="U91" s="694">
        <f t="shared" si="44"/>
        <v>0</v>
      </c>
      <c r="V91" s="694">
        <f t="shared" si="45"/>
        <v>1</v>
      </c>
      <c r="W91" s="694" t="str">
        <f t="shared" si="46"/>
        <v>-</v>
      </c>
      <c r="Y91" s="694" t="str">
        <f t="shared" si="38"/>
        <v>Not suitable</v>
      </c>
      <c r="Z91" s="703" t="str">
        <f t="shared" si="47"/>
        <v>Y</v>
      </c>
      <c r="AA91" s="694"/>
      <c r="AB91" s="694"/>
    </row>
    <row r="92" spans="1:28">
      <c r="A92" s="689"/>
      <c r="C92" s="699"/>
      <c r="D92" s="699"/>
      <c r="E92" s="699"/>
      <c r="F92" s="694"/>
      <c r="G92" s="694"/>
      <c r="H92" s="694"/>
      <c r="I92" s="694"/>
      <c r="J92" s="694"/>
      <c r="K92" s="694" t="str">
        <f t="shared" si="33"/>
        <v>N/A</v>
      </c>
      <c r="L92" s="694" t="str">
        <f t="shared" si="34"/>
        <v>N/A</v>
      </c>
      <c r="M92" s="694" t="str">
        <f t="shared" si="35"/>
        <v>N/A</v>
      </c>
      <c r="N92" s="694" t="str">
        <f t="shared" si="36"/>
        <v>N/A</v>
      </c>
      <c r="O92" s="694" t="str">
        <f t="shared" si="37"/>
        <v>N/A</v>
      </c>
      <c r="P92" s="694" t="str">
        <f t="shared" si="39"/>
        <v>N/A</v>
      </c>
      <c r="Q92" s="694" t="str">
        <f t="shared" si="40"/>
        <v>N/A</v>
      </c>
      <c r="R92" s="694" t="str">
        <f t="shared" si="41"/>
        <v>N/A</v>
      </c>
      <c r="S92" s="694" t="str">
        <f t="shared" si="42"/>
        <v>N/A</v>
      </c>
      <c r="T92" s="694" t="str">
        <f t="shared" si="43"/>
        <v>N/A</v>
      </c>
      <c r="U92" s="694">
        <f t="shared" si="44"/>
        <v>0</v>
      </c>
      <c r="V92" s="694">
        <f t="shared" si="45"/>
        <v>1</v>
      </c>
      <c r="W92" s="694" t="str">
        <f t="shared" si="46"/>
        <v>-</v>
      </c>
      <c r="Y92" s="694" t="str">
        <f t="shared" si="38"/>
        <v>Not suitable</v>
      </c>
      <c r="Z92" s="703" t="str">
        <f t="shared" si="47"/>
        <v>Y</v>
      </c>
      <c r="AA92" s="694"/>
      <c r="AB92" s="694"/>
    </row>
    <row r="93" spans="1:28">
      <c r="A93" s="689"/>
      <c r="C93" s="699"/>
      <c r="D93" s="699"/>
      <c r="E93" s="699"/>
      <c r="F93" s="694"/>
      <c r="G93" s="694"/>
      <c r="H93" s="694"/>
      <c r="I93" s="694"/>
      <c r="J93" s="694"/>
      <c r="K93" s="694" t="str">
        <f t="shared" si="33"/>
        <v>N/A</v>
      </c>
      <c r="L93" s="694" t="str">
        <f t="shared" si="34"/>
        <v>N/A</v>
      </c>
      <c r="M93" s="694" t="str">
        <f t="shared" si="35"/>
        <v>N/A</v>
      </c>
      <c r="N93" s="694" t="str">
        <f t="shared" si="36"/>
        <v>N/A</v>
      </c>
      <c r="O93" s="694" t="str">
        <f t="shared" si="37"/>
        <v>N/A</v>
      </c>
      <c r="P93" s="694" t="str">
        <f t="shared" si="39"/>
        <v>N/A</v>
      </c>
      <c r="Q93" s="694" t="str">
        <f t="shared" si="40"/>
        <v>N/A</v>
      </c>
      <c r="R93" s="694" t="str">
        <f t="shared" si="41"/>
        <v>N/A</v>
      </c>
      <c r="S93" s="694" t="str">
        <f t="shared" si="42"/>
        <v>N/A</v>
      </c>
      <c r="T93" s="694" t="str">
        <f t="shared" si="43"/>
        <v>N/A</v>
      </c>
      <c r="U93" s="694">
        <f t="shared" si="44"/>
        <v>0</v>
      </c>
      <c r="V93" s="694">
        <f t="shared" si="45"/>
        <v>1</v>
      </c>
      <c r="W93" s="694" t="str">
        <f t="shared" si="46"/>
        <v>-</v>
      </c>
      <c r="Y93" s="694" t="str">
        <f t="shared" si="38"/>
        <v>Not suitable</v>
      </c>
      <c r="Z93" s="703" t="str">
        <f t="shared" si="47"/>
        <v>Y</v>
      </c>
      <c r="AA93" s="694"/>
      <c r="AB93" s="694"/>
    </row>
    <row r="94" spans="1:28">
      <c r="A94" s="689"/>
      <c r="C94" s="699"/>
      <c r="D94" s="699"/>
      <c r="E94" s="699"/>
      <c r="F94" s="694"/>
      <c r="G94" s="694"/>
      <c r="H94" s="694"/>
      <c r="I94" s="694"/>
      <c r="J94" s="694"/>
      <c r="K94" s="694" t="str">
        <f t="shared" si="33"/>
        <v>N/A</v>
      </c>
      <c r="L94" s="694" t="str">
        <f t="shared" si="34"/>
        <v>N/A</v>
      </c>
      <c r="M94" s="694" t="str">
        <f t="shared" si="35"/>
        <v>N/A</v>
      </c>
      <c r="N94" s="694" t="str">
        <f t="shared" si="36"/>
        <v>N/A</v>
      </c>
      <c r="O94" s="694" t="str">
        <f t="shared" si="37"/>
        <v>N/A</v>
      </c>
      <c r="P94" s="694" t="str">
        <f t="shared" si="39"/>
        <v>N/A</v>
      </c>
      <c r="Q94" s="694" t="str">
        <f t="shared" si="40"/>
        <v>N/A</v>
      </c>
      <c r="R94" s="694" t="str">
        <f t="shared" si="41"/>
        <v>N/A</v>
      </c>
      <c r="S94" s="694" t="str">
        <f t="shared" si="42"/>
        <v>N/A</v>
      </c>
      <c r="T94" s="694" t="str">
        <f t="shared" si="43"/>
        <v>N/A</v>
      </c>
      <c r="U94" s="694">
        <f t="shared" si="44"/>
        <v>0</v>
      </c>
      <c r="V94" s="694">
        <f t="shared" si="45"/>
        <v>1</v>
      </c>
      <c r="W94" s="694" t="str">
        <f t="shared" si="46"/>
        <v>-</v>
      </c>
      <c r="Y94" s="694" t="str">
        <f t="shared" si="38"/>
        <v>Not suitable</v>
      </c>
      <c r="Z94" s="703" t="str">
        <f t="shared" si="47"/>
        <v>Y</v>
      </c>
      <c r="AA94" s="694"/>
      <c r="AB94" s="694"/>
    </row>
    <row r="95" spans="1:28">
      <c r="A95" s="689"/>
      <c r="C95" s="699"/>
      <c r="D95" s="699"/>
      <c r="E95" s="699"/>
      <c r="F95" s="694"/>
      <c r="G95" s="694"/>
      <c r="H95" s="694"/>
      <c r="I95" s="694"/>
      <c r="J95" s="694"/>
      <c r="K95" s="694" t="str">
        <f t="shared" si="33"/>
        <v>N/A</v>
      </c>
      <c r="L95" s="694" t="str">
        <f t="shared" si="34"/>
        <v>N/A</v>
      </c>
      <c r="M95" s="694" t="str">
        <f t="shared" si="35"/>
        <v>N/A</v>
      </c>
      <c r="N95" s="694" t="str">
        <f t="shared" si="36"/>
        <v>N/A</v>
      </c>
      <c r="O95" s="694" t="str">
        <f t="shared" si="37"/>
        <v>N/A</v>
      </c>
      <c r="P95" s="694" t="str">
        <f t="shared" si="39"/>
        <v>N/A</v>
      </c>
      <c r="Q95" s="694" t="str">
        <f t="shared" si="40"/>
        <v>N/A</v>
      </c>
      <c r="R95" s="694" t="str">
        <f t="shared" si="41"/>
        <v>N/A</v>
      </c>
      <c r="S95" s="694" t="str">
        <f t="shared" si="42"/>
        <v>N/A</v>
      </c>
      <c r="T95" s="694" t="str">
        <f t="shared" si="43"/>
        <v>N/A</v>
      </c>
      <c r="U95" s="694">
        <f t="shared" si="44"/>
        <v>0</v>
      </c>
      <c r="V95" s="694">
        <f t="shared" si="45"/>
        <v>1</v>
      </c>
      <c r="W95" s="694" t="str">
        <f t="shared" si="46"/>
        <v>-</v>
      </c>
      <c r="Y95" s="694" t="str">
        <f t="shared" si="38"/>
        <v>Not suitable</v>
      </c>
      <c r="Z95" s="703" t="str">
        <f t="shared" si="47"/>
        <v>Y</v>
      </c>
      <c r="AA95" s="694"/>
      <c r="AB95" s="694"/>
    </row>
    <row r="96" spans="1:28">
      <c r="A96" s="689"/>
      <c r="C96" s="699"/>
      <c r="D96" s="699"/>
      <c r="E96" s="699"/>
      <c r="F96" s="694"/>
      <c r="G96" s="694"/>
      <c r="H96" s="694"/>
      <c r="I96" s="694"/>
      <c r="J96" s="694"/>
      <c r="K96" s="694" t="str">
        <f t="shared" si="33"/>
        <v>N/A</v>
      </c>
      <c r="L96" s="694" t="str">
        <f t="shared" si="34"/>
        <v>N/A</v>
      </c>
      <c r="M96" s="694" t="str">
        <f t="shared" si="35"/>
        <v>N/A</v>
      </c>
      <c r="N96" s="694" t="str">
        <f t="shared" si="36"/>
        <v>N/A</v>
      </c>
      <c r="O96" s="694" t="str">
        <f t="shared" si="37"/>
        <v>N/A</v>
      </c>
      <c r="P96" s="694" t="str">
        <f t="shared" si="39"/>
        <v>N/A</v>
      </c>
      <c r="Q96" s="694" t="str">
        <f t="shared" si="40"/>
        <v>N/A</v>
      </c>
      <c r="R96" s="694" t="str">
        <f t="shared" si="41"/>
        <v>N/A</v>
      </c>
      <c r="S96" s="694" t="str">
        <f t="shared" si="42"/>
        <v>N/A</v>
      </c>
      <c r="T96" s="694" t="str">
        <f t="shared" si="43"/>
        <v>N/A</v>
      </c>
      <c r="U96" s="694">
        <f t="shared" si="44"/>
        <v>0</v>
      </c>
      <c r="V96" s="694">
        <f t="shared" si="45"/>
        <v>1</v>
      </c>
      <c r="W96" s="694" t="str">
        <f t="shared" si="46"/>
        <v>-</v>
      </c>
      <c r="Y96" s="694" t="str">
        <f t="shared" si="38"/>
        <v>Not suitable</v>
      </c>
      <c r="Z96" s="703" t="str">
        <f t="shared" si="47"/>
        <v>Y</v>
      </c>
      <c r="AA96" s="694"/>
      <c r="AB96" s="694"/>
    </row>
    <row r="97" spans="1:28">
      <c r="A97" s="689"/>
      <c r="C97" s="699"/>
      <c r="D97" s="699"/>
      <c r="E97" s="699"/>
      <c r="F97" s="694"/>
      <c r="G97" s="694"/>
      <c r="H97" s="694"/>
      <c r="I97" s="694"/>
      <c r="J97" s="694"/>
      <c r="K97" s="694" t="str">
        <f t="shared" si="33"/>
        <v>N/A</v>
      </c>
      <c r="L97" s="694" t="str">
        <f t="shared" si="34"/>
        <v>N/A</v>
      </c>
      <c r="M97" s="694" t="str">
        <f t="shared" si="35"/>
        <v>N/A</v>
      </c>
      <c r="N97" s="694" t="str">
        <f t="shared" si="36"/>
        <v>N/A</v>
      </c>
      <c r="O97" s="694" t="str">
        <f t="shared" si="37"/>
        <v>N/A</v>
      </c>
      <c r="P97" s="694" t="str">
        <f t="shared" si="39"/>
        <v>N/A</v>
      </c>
      <c r="Q97" s="694" t="str">
        <f t="shared" si="40"/>
        <v>N/A</v>
      </c>
      <c r="R97" s="694" t="str">
        <f t="shared" si="41"/>
        <v>N/A</v>
      </c>
      <c r="S97" s="694" t="str">
        <f t="shared" si="42"/>
        <v>N/A</v>
      </c>
      <c r="T97" s="694" t="str">
        <f t="shared" si="43"/>
        <v>N/A</v>
      </c>
      <c r="U97" s="694">
        <f t="shared" si="44"/>
        <v>0</v>
      </c>
      <c r="V97" s="694">
        <f t="shared" si="45"/>
        <v>1</v>
      </c>
      <c r="W97" s="694" t="str">
        <f t="shared" si="46"/>
        <v>-</v>
      </c>
      <c r="Y97" s="694" t="str">
        <f t="shared" si="38"/>
        <v>Not suitable</v>
      </c>
      <c r="Z97" s="703" t="str">
        <f t="shared" si="47"/>
        <v>Y</v>
      </c>
      <c r="AA97" s="694"/>
      <c r="AB97" s="694"/>
    </row>
    <row r="98" spans="1:28">
      <c r="A98" s="689"/>
      <c r="C98" s="699"/>
      <c r="D98" s="699"/>
      <c r="E98" s="699"/>
      <c r="F98" s="694"/>
      <c r="G98" s="694"/>
      <c r="H98" s="694"/>
      <c r="I98" s="694"/>
      <c r="J98" s="694"/>
      <c r="K98" s="694" t="str">
        <f t="shared" si="33"/>
        <v>N/A</v>
      </c>
      <c r="L98" s="694" t="str">
        <f t="shared" si="34"/>
        <v>N/A</v>
      </c>
      <c r="M98" s="694" t="str">
        <f t="shared" si="35"/>
        <v>N/A</v>
      </c>
      <c r="N98" s="694" t="str">
        <f t="shared" si="36"/>
        <v>N/A</v>
      </c>
      <c r="O98" s="694" t="str">
        <f t="shared" si="37"/>
        <v>N/A</v>
      </c>
      <c r="P98" s="694" t="str">
        <f t="shared" si="39"/>
        <v>N/A</v>
      </c>
      <c r="Q98" s="694" t="str">
        <f t="shared" si="40"/>
        <v>N/A</v>
      </c>
      <c r="R98" s="694" t="str">
        <f t="shared" si="41"/>
        <v>N/A</v>
      </c>
      <c r="S98" s="694" t="str">
        <f t="shared" si="42"/>
        <v>N/A</v>
      </c>
      <c r="T98" s="694" t="str">
        <f t="shared" si="43"/>
        <v>N/A</v>
      </c>
      <c r="U98" s="694">
        <f t="shared" si="44"/>
        <v>0</v>
      </c>
      <c r="V98" s="694">
        <f t="shared" si="45"/>
        <v>1</v>
      </c>
      <c r="W98" s="694" t="str">
        <f t="shared" si="46"/>
        <v>-</v>
      </c>
      <c r="Y98" s="694" t="str">
        <f t="shared" si="38"/>
        <v>Not suitable</v>
      </c>
      <c r="Z98" s="703" t="str">
        <f t="shared" si="47"/>
        <v>Y</v>
      </c>
      <c r="AA98" s="694"/>
      <c r="AB98" s="694"/>
    </row>
    <row r="99" spans="1:28">
      <c r="A99" s="689"/>
      <c r="C99" s="699"/>
      <c r="D99" s="699"/>
      <c r="E99" s="699"/>
      <c r="F99" s="694"/>
      <c r="G99" s="694"/>
      <c r="H99" s="694"/>
      <c r="I99" s="694"/>
      <c r="J99" s="694"/>
      <c r="K99" s="694" t="str">
        <f t="shared" si="33"/>
        <v>N/A</v>
      </c>
      <c r="L99" s="694" t="str">
        <f t="shared" si="34"/>
        <v>N/A</v>
      </c>
      <c r="M99" s="694" t="str">
        <f t="shared" si="35"/>
        <v>N/A</v>
      </c>
      <c r="N99" s="694" t="str">
        <f t="shared" si="36"/>
        <v>N/A</v>
      </c>
      <c r="O99" s="694" t="str">
        <f t="shared" si="37"/>
        <v>N/A</v>
      </c>
      <c r="P99" s="694" t="str">
        <f t="shared" si="39"/>
        <v>N/A</v>
      </c>
      <c r="Q99" s="694" t="str">
        <f t="shared" si="40"/>
        <v>N/A</v>
      </c>
      <c r="R99" s="694" t="str">
        <f t="shared" si="41"/>
        <v>N/A</v>
      </c>
      <c r="S99" s="694" t="str">
        <f t="shared" si="42"/>
        <v>N/A</v>
      </c>
      <c r="T99" s="694" t="str">
        <f t="shared" si="43"/>
        <v>N/A</v>
      </c>
      <c r="U99" s="694">
        <f t="shared" si="44"/>
        <v>0</v>
      </c>
      <c r="V99" s="694">
        <f t="shared" si="45"/>
        <v>1</v>
      </c>
      <c r="W99" s="694" t="str">
        <f t="shared" si="46"/>
        <v>-</v>
      </c>
      <c r="Y99" s="694" t="str">
        <f t="shared" si="38"/>
        <v>Not suitable</v>
      </c>
      <c r="Z99" s="703" t="str">
        <f t="shared" si="47"/>
        <v>Y</v>
      </c>
      <c r="AA99" s="694"/>
      <c r="AB99" s="694"/>
    </row>
    <row r="100" spans="1:28">
      <c r="A100" s="712"/>
      <c r="B100" s="711"/>
      <c r="C100" s="708"/>
      <c r="D100" s="705"/>
      <c r="E100" s="707"/>
      <c r="F100" s="707"/>
      <c r="G100" s="707"/>
      <c r="H100" s="707"/>
      <c r="I100" s="707"/>
      <c r="J100" s="707"/>
      <c r="K100" s="707" t="str">
        <f t="shared" si="33"/>
        <v>N/A</v>
      </c>
      <c r="L100" s="707" t="str">
        <f t="shared" si="34"/>
        <v>N/A</v>
      </c>
      <c r="M100" s="707" t="str">
        <f t="shared" si="35"/>
        <v>N/A</v>
      </c>
      <c r="N100" s="707" t="str">
        <f t="shared" si="36"/>
        <v>N/A</v>
      </c>
      <c r="O100" s="707" t="str">
        <f t="shared" si="37"/>
        <v>N/A</v>
      </c>
      <c r="P100" s="707" t="str">
        <f t="shared" si="39"/>
        <v>N/A</v>
      </c>
      <c r="Q100" s="707" t="str">
        <f t="shared" si="40"/>
        <v>N/A</v>
      </c>
      <c r="R100" s="707" t="str">
        <f t="shared" si="41"/>
        <v>N/A</v>
      </c>
      <c r="S100" s="707" t="str">
        <f t="shared" si="42"/>
        <v>N/A</v>
      </c>
      <c r="T100" s="707" t="str">
        <f t="shared" si="43"/>
        <v>N/A</v>
      </c>
      <c r="U100" s="707">
        <f t="shared" ref="U100" si="48">SUM(P100:T100)</f>
        <v>0</v>
      </c>
      <c r="V100" s="707">
        <f t="shared" ref="V100" si="49">_xlfn.RANK.EQ(U100,$U$4:$U$61,1)</f>
        <v>1</v>
      </c>
      <c r="W100" s="707" t="str">
        <f t="shared" si="46"/>
        <v>-</v>
      </c>
      <c r="Y100" s="707" t="str">
        <f t="shared" si="38"/>
        <v>Not suitable</v>
      </c>
      <c r="Z100" s="708" t="str">
        <f t="shared" si="47"/>
        <v>Y</v>
      </c>
      <c r="AA100" s="707"/>
      <c r="AB100" s="707"/>
    </row>
  </sheetData>
  <mergeCells count="20">
    <mergeCell ref="AE14:AI14"/>
    <mergeCell ref="AJ14:AL14"/>
    <mergeCell ref="AM14:AN14"/>
    <mergeCell ref="AE13:AI13"/>
    <mergeCell ref="AJ13:AL13"/>
    <mergeCell ref="AM13:AN13"/>
    <mergeCell ref="AD1:AD12"/>
    <mergeCell ref="AE1:AI1"/>
    <mergeCell ref="AJ1:AL1"/>
    <mergeCell ref="AM1:AN1"/>
    <mergeCell ref="AE10:AI10"/>
    <mergeCell ref="AJ10:AN10"/>
    <mergeCell ref="AH11:AI11"/>
    <mergeCell ref="AH12:AI12"/>
    <mergeCell ref="AE9:AI9"/>
    <mergeCell ref="F1:J1"/>
    <mergeCell ref="K1:O1"/>
    <mergeCell ref="P1:T1"/>
    <mergeCell ref="U1:W1"/>
    <mergeCell ref="Y1:AB1"/>
  </mergeCells>
  <conditionalFormatting sqref="AJ14:AN14">
    <cfRule type="cellIs" dxfId="31" priority="1" operator="lessThan">
      <formula>0</formula>
    </cfRule>
    <cfRule type="cellIs" dxfId="30" priority="2" operator="greater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T90"/>
  <sheetViews>
    <sheetView showGridLines="0" zoomScale="80" zoomScaleNormal="80" workbookViewId="0">
      <selection activeCell="R9" sqref="R4:R9"/>
    </sheetView>
  </sheetViews>
  <sheetFormatPr defaultColWidth="11.42578125" defaultRowHeight="12.75"/>
  <cols>
    <col min="1" max="1" width="1.140625" style="70" customWidth="1"/>
    <col min="2" max="2" width="59.42578125" style="70" customWidth="1"/>
    <col min="3" max="4" width="12.85546875" style="70" customWidth="1"/>
    <col min="5" max="5" width="11.42578125" style="70" bestFit="1" customWidth="1"/>
    <col min="6" max="6" width="11" style="70" customWidth="1"/>
    <col min="7" max="7" width="10.42578125" style="70" customWidth="1"/>
    <col min="8" max="8" width="20.28515625" style="500" customWidth="1"/>
    <col min="9" max="9" width="22.42578125" style="500" customWidth="1"/>
    <col min="10" max="10" width="64.140625" style="70" customWidth="1"/>
    <col min="11" max="11" width="34.7109375" style="70" bestFit="1" customWidth="1"/>
    <col min="12" max="12" width="21.28515625" style="70" customWidth="1"/>
    <col min="13" max="13" width="19.85546875" style="70" customWidth="1"/>
    <col min="14" max="14" width="20.85546875" style="70" bestFit="1" customWidth="1"/>
    <col min="15" max="15" width="19.85546875" style="70" bestFit="1" customWidth="1"/>
    <col min="16" max="16" width="19.85546875" style="70" customWidth="1"/>
    <col min="17" max="17" width="22.28515625" style="70" bestFit="1" customWidth="1"/>
    <col min="18" max="18" width="11.42578125" style="70" customWidth="1"/>
    <col min="19" max="19" width="10.42578125" style="70" customWidth="1"/>
    <col min="20" max="20" width="12.28515625" style="70" bestFit="1" customWidth="1"/>
    <col min="21" max="21" width="15.42578125" style="70" customWidth="1"/>
    <col min="22" max="22" width="18.140625" style="70" bestFit="1" customWidth="1"/>
    <col min="23" max="23" width="18.28515625" style="70" bestFit="1" customWidth="1"/>
    <col min="24" max="24" width="17.28515625" style="70" bestFit="1" customWidth="1"/>
    <col min="25" max="30" width="11.42578125" style="70"/>
    <col min="31" max="31" width="13" style="70" bestFit="1" customWidth="1"/>
    <col min="32" max="16384" width="11.42578125" style="70"/>
  </cols>
  <sheetData>
    <row r="1" spans="1:20">
      <c r="B1" s="210" t="s">
        <v>263</v>
      </c>
      <c r="C1" s="74"/>
      <c r="D1" s="74"/>
      <c r="E1" s="74"/>
      <c r="F1" s="74"/>
      <c r="G1" s="74"/>
      <c r="H1" s="495"/>
      <c r="I1" s="495"/>
      <c r="J1" s="74"/>
      <c r="T1" s="81" t="s">
        <v>264</v>
      </c>
    </row>
    <row r="2" spans="1:20" ht="13.5" thickBot="1">
      <c r="B2" s="77" t="s">
        <v>265</v>
      </c>
      <c r="C2" s="211" t="s">
        <v>266</v>
      </c>
      <c r="D2" s="74"/>
      <c r="E2" s="74"/>
      <c r="F2" s="74"/>
      <c r="G2" s="74"/>
      <c r="H2" s="495"/>
      <c r="I2" s="495"/>
      <c r="J2" s="74"/>
      <c r="T2" s="81" t="s">
        <v>267</v>
      </c>
    </row>
    <row r="3" spans="1:20" ht="21" thickBot="1">
      <c r="B3" s="1325" t="s">
        <v>268</v>
      </c>
      <c r="C3" s="1325"/>
      <c r="D3" s="1325"/>
      <c r="E3" s="1325"/>
      <c r="F3" s="1325"/>
      <c r="G3" s="1325"/>
      <c r="H3" s="1325"/>
      <c r="I3" s="1325"/>
      <c r="J3" s="1325"/>
      <c r="K3" s="1326" t="s">
        <v>269</v>
      </c>
      <c r="L3" s="1326"/>
      <c r="M3" s="1326"/>
      <c r="N3" s="1326"/>
      <c r="O3" s="1326"/>
      <c r="P3" s="1326"/>
      <c r="Q3" s="1326"/>
    </row>
    <row r="4" spans="1:20" ht="32.25" thickBot="1">
      <c r="B4" s="201" t="s">
        <v>270</v>
      </c>
      <c r="C4" s="233" t="s">
        <v>271</v>
      </c>
      <c r="D4" s="233" t="s">
        <v>272</v>
      </c>
      <c r="E4" s="233" t="s">
        <v>273</v>
      </c>
      <c r="F4" s="233" t="s">
        <v>274</v>
      </c>
      <c r="G4" s="233" t="s">
        <v>275</v>
      </c>
      <c r="H4" s="202" t="s">
        <v>276</v>
      </c>
      <c r="I4" s="202" t="s">
        <v>277</v>
      </c>
      <c r="J4" s="203" t="s">
        <v>278</v>
      </c>
      <c r="K4" s="201" t="s">
        <v>270</v>
      </c>
      <c r="L4" s="236" t="e" vm="1">
        <f>Peers!C8</f>
        <v>#VALUE!</v>
      </c>
      <c r="M4" s="236" t="str">
        <f>Peers!D8</f>
        <v>nvidia</v>
      </c>
      <c r="N4" s="236" t="str">
        <f>Peers!E8</f>
        <v>intel</v>
      </c>
      <c r="O4" s="236">
        <f>Peers!F8</f>
        <v>0</v>
      </c>
      <c r="P4" s="236">
        <f>Peers!G8</f>
        <v>0</v>
      </c>
      <c r="Q4" s="236">
        <f>Peers!H8</f>
        <v>0</v>
      </c>
      <c r="R4" s="657" t="s">
        <v>162</v>
      </c>
    </row>
    <row r="5" spans="1:20" ht="15.75" thickBot="1">
      <c r="B5" s="212" t="s">
        <v>279</v>
      </c>
      <c r="C5" s="213"/>
      <c r="D5" s="214"/>
      <c r="E5" s="214"/>
      <c r="F5" s="214"/>
      <c r="G5" s="214"/>
      <c r="H5" s="496"/>
      <c r="I5" s="496"/>
      <c r="J5" s="215"/>
      <c r="K5" s="212" t="s">
        <v>280</v>
      </c>
      <c r="L5" s="214"/>
      <c r="M5" s="214"/>
      <c r="N5" s="214"/>
      <c r="O5" s="214"/>
      <c r="P5" s="215"/>
      <c r="Q5" s="215"/>
      <c r="R5" s="215"/>
    </row>
    <row r="6" spans="1:20" ht="18.75" thickBot="1">
      <c r="A6" s="70">
        <v>1</v>
      </c>
      <c r="B6" s="206" t="s">
        <v>281</v>
      </c>
      <c r="C6" s="204" t="str">
        <f>VLOOKUP($B$2,'Sector Impact'!$K$4:$AA$16,A6+1,FALSE)</f>
        <v>Low</v>
      </c>
      <c r="D6" s="204"/>
      <c r="E6" s="204"/>
      <c r="F6" s="216"/>
      <c r="G6" s="298"/>
      <c r="H6" s="205"/>
      <c r="I6" s="205"/>
      <c r="J6" s="205"/>
      <c r="K6" s="206" t="s">
        <v>282</v>
      </c>
      <c r="L6" s="473" t="e">
        <f>L12/L$11</f>
        <v>#DIV/0!</v>
      </c>
      <c r="M6" s="473" t="e">
        <f t="shared" ref="M6:O6" si="0">M12/M$11</f>
        <v>#DIV/0!</v>
      </c>
      <c r="N6" s="473" t="e">
        <f t="shared" si="0"/>
        <v>#DIV/0!</v>
      </c>
      <c r="O6" s="473" t="e">
        <f t="shared" si="0"/>
        <v>#DIV/0!</v>
      </c>
      <c r="P6" s="473" t="e">
        <f t="shared" ref="P6:Q9" si="1">P12/P$11</f>
        <v>#DIV/0!</v>
      </c>
      <c r="Q6" s="473" t="e">
        <f t="shared" si="1"/>
        <v>#DIV/0!</v>
      </c>
      <c r="R6" s="558" t="str">
        <f t="shared" ref="R6:R9" si="2">IFERROR(AVERAGE(L6:Q6),"")</f>
        <v/>
      </c>
    </row>
    <row r="7" spans="1:20" s="74" customFormat="1" ht="18.75" thickBot="1">
      <c r="A7" s="74">
        <v>2</v>
      </c>
      <c r="B7" s="206" t="s">
        <v>283</v>
      </c>
      <c r="C7" s="204" t="str">
        <f>VLOOKUP($B$2,'Sector Impact'!$K$4:$AA$16,A7+1,FALSE)</f>
        <v>Low</v>
      </c>
      <c r="D7" s="204"/>
      <c r="E7" s="204"/>
      <c r="F7" s="216"/>
      <c r="G7" s="298"/>
      <c r="H7" s="205"/>
      <c r="I7" s="205"/>
      <c r="J7" s="205"/>
      <c r="K7" s="206" t="s">
        <v>284</v>
      </c>
      <c r="L7" s="473" t="e">
        <f t="shared" ref="L7:O9" si="3">L13/L$11</f>
        <v>#DIV/0!</v>
      </c>
      <c r="M7" s="473" t="e">
        <f t="shared" si="3"/>
        <v>#DIV/0!</v>
      </c>
      <c r="N7" s="473" t="e">
        <f t="shared" si="3"/>
        <v>#DIV/0!</v>
      </c>
      <c r="O7" s="473" t="e">
        <f t="shared" si="3"/>
        <v>#DIV/0!</v>
      </c>
      <c r="P7" s="473" t="e">
        <f t="shared" si="1"/>
        <v>#DIV/0!</v>
      </c>
      <c r="Q7" s="473" t="e">
        <f t="shared" si="1"/>
        <v>#DIV/0!</v>
      </c>
      <c r="R7" s="559" t="str">
        <f t="shared" si="2"/>
        <v/>
      </c>
    </row>
    <row r="8" spans="1:20" ht="18.75" thickBot="1">
      <c r="A8" s="70">
        <v>3</v>
      </c>
      <c r="B8" s="206" t="s">
        <v>285</v>
      </c>
      <c r="C8" s="204" t="str">
        <f>VLOOKUP($B$2,'Sector Impact'!$K$4:$AA$16,A8+1,FALSE)</f>
        <v>Low</v>
      </c>
      <c r="D8" s="204"/>
      <c r="E8" s="204"/>
      <c r="F8" s="216"/>
      <c r="G8" s="298"/>
      <c r="H8" s="205"/>
      <c r="I8" s="205"/>
      <c r="J8" s="205"/>
      <c r="K8" s="206" t="s">
        <v>286</v>
      </c>
      <c r="L8" s="473" t="e">
        <f t="shared" si="3"/>
        <v>#DIV/0!</v>
      </c>
      <c r="M8" s="473" t="e">
        <f t="shared" si="3"/>
        <v>#DIV/0!</v>
      </c>
      <c r="N8" s="473" t="e">
        <f t="shared" si="3"/>
        <v>#DIV/0!</v>
      </c>
      <c r="O8" s="473" t="e">
        <f t="shared" si="3"/>
        <v>#DIV/0!</v>
      </c>
      <c r="P8" s="473" t="e">
        <f t="shared" si="1"/>
        <v>#DIV/0!</v>
      </c>
      <c r="Q8" s="473" t="e">
        <f t="shared" si="1"/>
        <v>#DIV/0!</v>
      </c>
      <c r="R8" s="559" t="str">
        <f>IFERROR(AVERAGE(L8:Q8),"")</f>
        <v/>
      </c>
    </row>
    <row r="9" spans="1:20" ht="18.75" thickBot="1">
      <c r="A9" s="70">
        <v>4</v>
      </c>
      <c r="B9" s="206" t="s">
        <v>287</v>
      </c>
      <c r="C9" s="204" t="str">
        <f>VLOOKUP($B$2,'Sector Impact'!$K$4:$AA$16,A9+1,FALSE)</f>
        <v>Medium</v>
      </c>
      <c r="D9" s="204"/>
      <c r="E9" s="204"/>
      <c r="F9" s="216"/>
      <c r="G9" s="295"/>
      <c r="H9" s="205"/>
      <c r="I9" s="205"/>
      <c r="J9" s="207"/>
      <c r="K9" s="206" t="s">
        <v>288</v>
      </c>
      <c r="L9" s="473" t="e">
        <f t="shared" si="3"/>
        <v>#DIV/0!</v>
      </c>
      <c r="M9" s="473" t="e">
        <f t="shared" si="3"/>
        <v>#DIV/0!</v>
      </c>
      <c r="N9" s="473" t="e">
        <f t="shared" si="3"/>
        <v>#DIV/0!</v>
      </c>
      <c r="O9" s="473" t="e">
        <f t="shared" si="3"/>
        <v>#DIV/0!</v>
      </c>
      <c r="P9" s="473" t="e">
        <f t="shared" si="1"/>
        <v>#DIV/0!</v>
      </c>
      <c r="Q9" s="473" t="e">
        <f t="shared" si="1"/>
        <v>#DIV/0!</v>
      </c>
      <c r="R9" s="559" t="str">
        <f t="shared" si="2"/>
        <v/>
      </c>
    </row>
    <row r="10" spans="1:20" ht="15.75" thickBot="1">
      <c r="A10" s="70">
        <v>5</v>
      </c>
      <c r="B10" s="206" t="s">
        <v>289</v>
      </c>
      <c r="C10" s="204" t="str">
        <f>VLOOKUP($B$2,'Sector Impact'!$K$4:$AA$16,A10+1,FALSE)</f>
        <v>Medium</v>
      </c>
      <c r="D10" s="204"/>
      <c r="E10" s="204"/>
      <c r="F10" s="216"/>
      <c r="G10" s="295"/>
      <c r="H10" s="205"/>
      <c r="I10" s="205"/>
      <c r="J10" s="207"/>
      <c r="K10" s="212" t="s">
        <v>290</v>
      </c>
      <c r="L10" s="214"/>
      <c r="M10" s="214"/>
      <c r="N10" s="214"/>
      <c r="O10" s="214"/>
      <c r="P10" s="214"/>
      <c r="Q10" s="215"/>
      <c r="S10"/>
    </row>
    <row r="11" spans="1:20" ht="15">
      <c r="B11" s="212" t="s">
        <v>291</v>
      </c>
      <c r="C11" s="209"/>
      <c r="D11" s="209"/>
      <c r="E11" s="218"/>
      <c r="F11" s="218"/>
      <c r="G11" s="219"/>
      <c r="H11" s="497"/>
      <c r="I11" s="497"/>
      <c r="J11" s="220"/>
      <c r="K11" s="206" t="s">
        <v>292</v>
      </c>
      <c r="L11" s="474"/>
      <c r="M11" s="474"/>
      <c r="N11" s="474"/>
      <c r="O11" s="474"/>
      <c r="P11" s="474"/>
      <c r="Q11" s="474"/>
      <c r="S11"/>
    </row>
    <row r="12" spans="1:20">
      <c r="A12" s="70">
        <v>6</v>
      </c>
      <c r="B12" s="206" t="s">
        <v>293</v>
      </c>
      <c r="C12" s="204" t="str">
        <f>VLOOKUP($B$2,'Sector Impact'!$K$4:$AA$16,A12+1,FALSE)</f>
        <v>Low</v>
      </c>
      <c r="D12" s="204"/>
      <c r="E12" s="204"/>
      <c r="F12" s="216"/>
      <c r="G12" s="300"/>
      <c r="H12" s="205"/>
      <c r="I12" s="205"/>
      <c r="J12" s="221"/>
      <c r="K12" s="206" t="s">
        <v>294</v>
      </c>
      <c r="L12" s="235"/>
      <c r="M12" s="235"/>
      <c r="N12" s="235"/>
      <c r="O12" s="235"/>
      <c r="P12" s="235"/>
      <c r="Q12" s="235"/>
      <c r="S12"/>
    </row>
    <row r="13" spans="1:20">
      <c r="A13" s="70">
        <v>7</v>
      </c>
      <c r="B13" s="206" t="s">
        <v>295</v>
      </c>
      <c r="C13" s="204" t="str">
        <f>VLOOKUP($B$2,'Sector Impact'!$K$4:$AA$16,A13+1,FALSE)</f>
        <v>Medium</v>
      </c>
      <c r="D13" s="204"/>
      <c r="E13" s="204"/>
      <c r="F13" s="222"/>
      <c r="G13" s="301"/>
      <c r="H13" s="205"/>
      <c r="I13" s="205"/>
      <c r="J13" s="223"/>
      <c r="K13" s="206" t="s">
        <v>296</v>
      </c>
      <c r="L13" s="235"/>
      <c r="M13" s="235"/>
      <c r="N13" s="235"/>
      <c r="O13" s="235"/>
      <c r="P13" s="235"/>
      <c r="Q13" s="235"/>
      <c r="S13"/>
    </row>
    <row r="14" spans="1:20">
      <c r="A14" s="70">
        <v>8</v>
      </c>
      <c r="B14" s="224" t="s">
        <v>297</v>
      </c>
      <c r="C14" s="204" t="str">
        <f>VLOOKUP($B$2,'Sector Impact'!$K$4:$AA$16,A14+1,FALSE)</f>
        <v>Medium</v>
      </c>
      <c r="D14" s="204"/>
      <c r="E14" s="204"/>
      <c r="F14" s="216"/>
      <c r="G14" s="511"/>
      <c r="H14" s="205"/>
      <c r="I14" s="205"/>
      <c r="J14" s="223"/>
      <c r="K14" s="206" t="s">
        <v>298</v>
      </c>
      <c r="L14" s="235"/>
      <c r="M14" s="235"/>
      <c r="N14" s="235"/>
      <c r="O14" s="235"/>
      <c r="P14" s="235"/>
      <c r="Q14" s="235"/>
      <c r="S14"/>
    </row>
    <row r="15" spans="1:20">
      <c r="A15" s="70">
        <v>9</v>
      </c>
      <c r="B15" s="224" t="s">
        <v>299</v>
      </c>
      <c r="C15" s="204" t="str">
        <f>VLOOKUP($B$2,'Sector Impact'!$K$4:$AA$16,A15+1,FALSE)</f>
        <v>High</v>
      </c>
      <c r="D15" s="204"/>
      <c r="E15" s="204"/>
      <c r="F15" s="216" t="s">
        <v>264</v>
      </c>
      <c r="G15" s="217"/>
      <c r="H15" s="498"/>
      <c r="I15" s="498"/>
      <c r="J15" s="223"/>
      <c r="K15" s="206" t="s">
        <v>300</v>
      </c>
      <c r="L15" s="235"/>
      <c r="M15" s="235"/>
      <c r="N15" s="235"/>
      <c r="O15" s="235"/>
      <c r="P15" s="235"/>
      <c r="Q15" s="235"/>
      <c r="S15"/>
    </row>
    <row r="16" spans="1:20" ht="42" customHeight="1">
      <c r="A16" s="70">
        <v>10</v>
      </c>
      <c r="B16" s="206" t="s">
        <v>301</v>
      </c>
      <c r="C16" s="204" t="str">
        <f>VLOOKUP($B$2,'Sector Impact'!$K$4:$AA$16,A16+1,FALSE)</f>
        <v>Medium</v>
      </c>
      <c r="D16" s="204"/>
      <c r="E16" s="204"/>
      <c r="F16" s="216"/>
      <c r="G16" s="512"/>
      <c r="H16" s="205"/>
      <c r="I16" s="499"/>
      <c r="J16" s="223"/>
      <c r="K16" s="212" t="s">
        <v>302</v>
      </c>
      <c r="L16" s="214"/>
      <c r="M16" s="214"/>
      <c r="N16" s="214"/>
      <c r="O16" s="214"/>
      <c r="P16" s="215"/>
      <c r="Q16" s="215"/>
      <c r="S16"/>
    </row>
    <row r="17" spans="1:17">
      <c r="A17" s="70">
        <v>11</v>
      </c>
      <c r="B17" s="206" t="s">
        <v>303</v>
      </c>
      <c r="C17" s="204" t="str">
        <f>VLOOKUP($B$2,'Sector Impact'!$K$4:$AA$16,A17+1,FALSE)</f>
        <v>Low</v>
      </c>
      <c r="D17" s="225"/>
      <c r="E17" s="225"/>
      <c r="F17" s="225"/>
      <c r="G17" s="295"/>
      <c r="H17" s="205"/>
      <c r="I17" s="499"/>
      <c r="J17" s="223"/>
      <c r="K17" s="206" t="s">
        <v>304</v>
      </c>
      <c r="L17" s="234"/>
      <c r="M17" s="234"/>
      <c r="N17" s="234"/>
      <c r="O17" s="234"/>
      <c r="P17" s="234"/>
      <c r="Q17" s="234"/>
    </row>
    <row r="18" spans="1:17">
      <c r="A18" s="70">
        <v>12</v>
      </c>
      <c r="B18" s="206" t="s">
        <v>305</v>
      </c>
      <c r="C18" s="204" t="str">
        <f>VLOOKUP($B$2,'Sector Impact'!$K$4:$AA$16,A18+1,FALSE)</f>
        <v>Low</v>
      </c>
      <c r="D18" s="204"/>
      <c r="E18" s="204"/>
      <c r="F18" s="216"/>
      <c r="G18" s="217"/>
      <c r="H18" s="498"/>
      <c r="I18" s="498"/>
      <c r="J18" s="226"/>
      <c r="K18" s="206" t="s">
        <v>306</v>
      </c>
      <c r="L18" s="234"/>
      <c r="M18" s="234"/>
      <c r="N18" s="234"/>
      <c r="O18" s="234"/>
      <c r="P18" s="234"/>
      <c r="Q18" s="234"/>
    </row>
    <row r="19" spans="1:17">
      <c r="A19" s="70">
        <v>13</v>
      </c>
      <c r="B19" s="206" t="s">
        <v>307</v>
      </c>
      <c r="C19" s="204" t="str">
        <f>VLOOKUP($B$2,'Sector Impact'!$K$4:$AA$16,A19+1,FALSE)</f>
        <v>Medium</v>
      </c>
      <c r="D19" s="204"/>
      <c r="E19" s="204"/>
      <c r="F19" s="216"/>
      <c r="G19" s="299"/>
      <c r="H19" s="205"/>
      <c r="I19" s="499"/>
      <c r="J19" s="223"/>
      <c r="K19" s="206" t="s">
        <v>308</v>
      </c>
      <c r="L19" s="235"/>
      <c r="M19" s="235"/>
      <c r="N19" s="235"/>
      <c r="O19" s="235"/>
      <c r="P19" s="235"/>
      <c r="Q19" s="235"/>
    </row>
    <row r="20" spans="1:17">
      <c r="A20" s="70">
        <v>14</v>
      </c>
      <c r="B20" s="206" t="s">
        <v>309</v>
      </c>
      <c r="C20" s="204" t="str">
        <f>VLOOKUP($B$2,'Sector Impact'!$K$4:$AA$16,A20+1,FALSE)</f>
        <v>Medium</v>
      </c>
      <c r="D20" s="204"/>
      <c r="E20" s="204"/>
      <c r="F20" s="216"/>
      <c r="G20" s="217"/>
      <c r="H20" s="498"/>
      <c r="I20" s="498"/>
      <c r="J20" s="223"/>
      <c r="K20" s="206" t="s">
        <v>310</v>
      </c>
      <c r="L20" s="234"/>
      <c r="M20" s="234"/>
      <c r="N20" s="234"/>
      <c r="O20" s="234"/>
      <c r="P20" s="234"/>
      <c r="Q20" s="234"/>
    </row>
    <row r="21" spans="1:17">
      <c r="A21" s="70">
        <v>15</v>
      </c>
      <c r="B21" s="206" t="s">
        <v>311</v>
      </c>
      <c r="C21" s="204" t="str">
        <f>VLOOKUP($B$2,'Sector Impact'!$K$4:$AA$16,A21+1,FALSE)</f>
        <v>High</v>
      </c>
      <c r="D21" s="204"/>
      <c r="E21" s="204"/>
      <c r="F21" s="216"/>
      <c r="G21" s="295"/>
      <c r="H21" s="205"/>
      <c r="I21" s="499"/>
      <c r="J21" s="223"/>
    </row>
    <row r="22" spans="1:17" ht="13.5" thickBot="1">
      <c r="A22" s="70">
        <v>16</v>
      </c>
      <c r="B22" s="206" t="s">
        <v>312</v>
      </c>
      <c r="C22" s="208" t="str">
        <f>VLOOKUP($B$2,'Sector Impact'!$K$4:$AA$16,A22+1,FALSE)</f>
        <v>Low</v>
      </c>
      <c r="D22" s="204" t="s">
        <v>264</v>
      </c>
      <c r="E22" s="204"/>
      <c r="F22" s="216"/>
      <c r="G22" s="217"/>
      <c r="H22" s="498"/>
      <c r="I22" s="498"/>
      <c r="J22" s="207"/>
    </row>
    <row r="23" spans="1:17" ht="15.75" thickBot="1">
      <c r="B23" s="212" t="s">
        <v>313</v>
      </c>
      <c r="C23" s="227"/>
      <c r="D23" s="209"/>
      <c r="E23" s="218"/>
      <c r="F23" s="218"/>
      <c r="G23" s="219"/>
      <c r="H23" s="497"/>
      <c r="I23" s="497"/>
      <c r="J23" s="220"/>
      <c r="K23" s="1328" t="s">
        <v>314</v>
      </c>
      <c r="L23" s="1329"/>
      <c r="M23" s="1330"/>
    </row>
    <row r="24" spans="1:17" ht="13.5" thickBot="1">
      <c r="A24" s="70">
        <v>17</v>
      </c>
      <c r="B24" s="206" t="s">
        <v>315</v>
      </c>
      <c r="C24" s="228"/>
      <c r="D24" s="229"/>
      <c r="E24" s="222"/>
      <c r="F24" s="222"/>
      <c r="G24" s="299"/>
      <c r="H24" s="205"/>
      <c r="I24" s="499"/>
      <c r="J24" s="230"/>
      <c r="K24" s="256" t="s">
        <v>316</v>
      </c>
      <c r="L24" s="71" t="s">
        <v>317</v>
      </c>
      <c r="M24" s="72" t="s">
        <v>318</v>
      </c>
      <c r="O24" s="628" t="s">
        <v>165</v>
      </c>
    </row>
    <row r="25" spans="1:17" ht="15.75" customHeight="1" thickBot="1">
      <c r="A25" s="70">
        <v>18</v>
      </c>
      <c r="B25" s="206" t="s">
        <v>319</v>
      </c>
      <c r="C25" s="228"/>
      <c r="D25" s="229"/>
      <c r="E25" s="222"/>
      <c r="F25" s="222"/>
      <c r="G25" s="295"/>
      <c r="H25" s="205"/>
      <c r="I25" s="499"/>
      <c r="J25" s="223"/>
      <c r="K25" s="195" t="s">
        <v>320</v>
      </c>
      <c r="L25" s="196" t="s">
        <v>321</v>
      </c>
      <c r="M25" s="1331" t="s">
        <v>322</v>
      </c>
      <c r="O25" s="629"/>
    </row>
    <row r="26" spans="1:17" ht="15.75" customHeight="1" thickBot="1">
      <c r="A26" s="70">
        <v>19</v>
      </c>
      <c r="B26" s="206" t="s">
        <v>323</v>
      </c>
      <c r="C26" s="228"/>
      <c r="D26" s="229"/>
      <c r="E26" s="222"/>
      <c r="F26" s="222"/>
      <c r="G26" s="295"/>
      <c r="H26" s="205"/>
      <c r="I26" s="499"/>
      <c r="J26" s="230"/>
      <c r="K26" s="195" t="s">
        <v>324</v>
      </c>
      <c r="L26" s="196" t="s">
        <v>325</v>
      </c>
      <c r="M26" s="1332"/>
      <c r="O26" s="630"/>
    </row>
    <row r="27" spans="1:17" ht="13.5" thickBot="1">
      <c r="A27" s="70">
        <v>20</v>
      </c>
      <c r="B27" s="206" t="s">
        <v>326</v>
      </c>
      <c r="C27" s="228"/>
      <c r="D27" s="229"/>
      <c r="E27" s="222"/>
      <c r="F27" s="222"/>
      <c r="G27" s="295"/>
      <c r="H27" s="205"/>
      <c r="I27" s="499"/>
      <c r="J27" s="230"/>
      <c r="K27" s="197" t="s">
        <v>327</v>
      </c>
      <c r="L27" s="198" t="s">
        <v>324</v>
      </c>
      <c r="M27" s="1332"/>
      <c r="O27" s="631"/>
    </row>
    <row r="28" spans="1:17" ht="13.5" thickBot="1">
      <c r="A28" s="70">
        <v>21</v>
      </c>
      <c r="B28" s="206" t="s">
        <v>328</v>
      </c>
      <c r="C28" s="228"/>
      <c r="D28" s="229"/>
      <c r="E28" s="222"/>
      <c r="F28" s="222"/>
      <c r="G28" s="299"/>
      <c r="H28" s="205"/>
      <c r="I28" s="499"/>
      <c r="J28" s="223"/>
      <c r="K28" s="199" t="s">
        <v>329</v>
      </c>
      <c r="L28" s="200" t="s">
        <v>330</v>
      </c>
      <c r="M28" s="1333"/>
    </row>
    <row r="29" spans="1:17" ht="13.5" thickBot="1">
      <c r="A29" s="70">
        <v>22</v>
      </c>
      <c r="B29" s="206" t="s">
        <v>331</v>
      </c>
      <c r="C29" s="228"/>
      <c r="D29" s="229"/>
      <c r="E29" s="222"/>
      <c r="F29" s="222"/>
      <c r="G29" s="299"/>
      <c r="H29" s="205"/>
      <c r="I29" s="499"/>
      <c r="J29" s="223"/>
    </row>
    <row r="30" spans="1:17" ht="26.1" customHeight="1" thickBot="1">
      <c r="A30" s="70">
        <v>23</v>
      </c>
      <c r="B30" s="206" t="s">
        <v>332</v>
      </c>
      <c r="C30" s="228"/>
      <c r="D30" s="229"/>
      <c r="E30" s="222"/>
      <c r="F30" s="222"/>
      <c r="G30" s="299"/>
      <c r="H30" s="205"/>
      <c r="I30" s="499"/>
      <c r="J30" s="230"/>
    </row>
    <row r="31" spans="1:17" ht="20.25" customHeight="1" thickBot="1">
      <c r="A31" s="70">
        <v>24</v>
      </c>
      <c r="B31" s="231" t="s">
        <v>333</v>
      </c>
      <c r="C31" s="228"/>
      <c r="D31" s="229"/>
      <c r="E31" s="222"/>
      <c r="F31" s="222"/>
      <c r="G31" s="299"/>
      <c r="H31" s="205"/>
      <c r="I31" s="499"/>
      <c r="J31" s="221"/>
      <c r="L31" s="594"/>
    </row>
    <row r="32" spans="1:17" ht="13.5" customHeight="1" thickBot="1">
      <c r="A32" s="70">
        <v>25</v>
      </c>
      <c r="B32" s="206" t="s">
        <v>334</v>
      </c>
      <c r="C32" s="228"/>
      <c r="D32" s="222"/>
      <c r="E32" s="222"/>
      <c r="F32" s="222"/>
      <c r="G32" s="295"/>
      <c r="H32" s="205"/>
      <c r="I32" s="499"/>
      <c r="J32" s="223"/>
      <c r="L32" s="595"/>
    </row>
    <row r="33" spans="1:14" ht="13.5" customHeight="1" thickBot="1">
      <c r="A33" s="70">
        <v>26</v>
      </c>
      <c r="B33" s="206" t="s">
        <v>335</v>
      </c>
      <c r="C33" s="228"/>
      <c r="D33" s="222"/>
      <c r="E33" s="222"/>
      <c r="F33" s="222"/>
      <c r="G33" s="299"/>
      <c r="H33" s="205"/>
      <c r="I33" s="499"/>
      <c r="J33" s="223"/>
      <c r="L33" s="296"/>
      <c r="N33" s="296"/>
    </row>
    <row r="34" spans="1:14" ht="13.5" customHeight="1" thickBot="1">
      <c r="A34" s="70">
        <v>27</v>
      </c>
      <c r="B34" s="206" t="s">
        <v>336</v>
      </c>
      <c r="C34" s="228"/>
      <c r="D34" s="232"/>
      <c r="E34" s="222"/>
      <c r="F34" s="222"/>
      <c r="G34" s="299"/>
      <c r="H34" s="205"/>
      <c r="I34" s="499"/>
      <c r="J34" s="223"/>
      <c r="L34" s="297"/>
      <c r="N34" s="297"/>
    </row>
    <row r="54" spans="14:19">
      <c r="N54" s="1327"/>
      <c r="O54" s="1327"/>
      <c r="P54" s="1327"/>
      <c r="Q54" s="1327"/>
      <c r="R54" s="1327"/>
      <c r="S54" s="1327"/>
    </row>
    <row r="66" spans="14:19">
      <c r="N66" s="1324"/>
      <c r="O66" s="1324"/>
      <c r="P66" s="1324"/>
      <c r="Q66" s="1324"/>
      <c r="R66" s="1324"/>
      <c r="S66" s="1324"/>
    </row>
    <row r="67" spans="14:19">
      <c r="N67" s="502"/>
      <c r="O67" s="502"/>
      <c r="P67" s="502"/>
      <c r="Q67" s="502"/>
      <c r="R67" s="502"/>
      <c r="S67" s="502"/>
    </row>
    <row r="68" spans="14:19">
      <c r="N68" s="502"/>
      <c r="O68" s="502"/>
      <c r="P68" s="502"/>
      <c r="Q68" s="502"/>
      <c r="R68" s="502"/>
      <c r="S68" s="502"/>
    </row>
    <row r="69" spans="14:19">
      <c r="N69" s="502"/>
      <c r="O69" s="502"/>
      <c r="P69" s="502"/>
      <c r="Q69" s="502"/>
      <c r="R69" s="502"/>
      <c r="S69" s="502"/>
    </row>
    <row r="70" spans="14:19">
      <c r="N70" s="502"/>
      <c r="O70" s="502"/>
      <c r="P70" s="502"/>
      <c r="Q70" s="502"/>
      <c r="R70" s="502"/>
      <c r="S70" s="502"/>
    </row>
    <row r="71" spans="14:19">
      <c r="N71" s="502"/>
      <c r="O71" s="502"/>
      <c r="P71" s="502"/>
      <c r="Q71" s="502"/>
      <c r="R71" s="502"/>
      <c r="S71" s="502"/>
    </row>
    <row r="72" spans="14:19">
      <c r="N72" s="502"/>
      <c r="O72" s="502"/>
      <c r="P72" s="502"/>
      <c r="Q72" s="502"/>
      <c r="R72" s="502"/>
      <c r="S72" s="502"/>
    </row>
    <row r="73" spans="14:19">
      <c r="N73" s="502"/>
      <c r="O73" s="502"/>
      <c r="P73" s="502"/>
      <c r="Q73" s="502"/>
      <c r="R73" s="502"/>
      <c r="S73" s="502"/>
    </row>
    <row r="74" spans="14:19">
      <c r="N74" s="503"/>
      <c r="O74" s="502"/>
      <c r="P74" s="502"/>
      <c r="Q74" s="502"/>
      <c r="R74" s="502"/>
      <c r="S74" s="502"/>
    </row>
    <row r="75" spans="14:19">
      <c r="N75" s="503"/>
      <c r="O75" s="502"/>
      <c r="P75" s="502"/>
      <c r="Q75" s="502"/>
      <c r="R75" s="502"/>
      <c r="S75" s="502"/>
    </row>
    <row r="76" spans="14:19">
      <c r="N76" s="503"/>
      <c r="O76" s="502"/>
      <c r="P76" s="502"/>
      <c r="Q76" s="502"/>
      <c r="R76" s="502"/>
      <c r="S76" s="502"/>
    </row>
    <row r="77" spans="14:19">
      <c r="N77" s="502"/>
      <c r="O77" s="502"/>
      <c r="P77" s="502"/>
      <c r="Q77" s="502"/>
      <c r="R77" s="502"/>
      <c r="S77" s="502"/>
    </row>
    <row r="78" spans="14:19">
      <c r="N78" s="1324"/>
      <c r="O78" s="1324"/>
      <c r="P78" s="1324"/>
      <c r="Q78" s="1324"/>
      <c r="R78" s="1324"/>
      <c r="S78" s="1324"/>
    </row>
    <row r="90" spans="14:19">
      <c r="N90" s="1324"/>
      <c r="O90" s="1324"/>
      <c r="P90" s="1324"/>
      <c r="Q90" s="1324"/>
      <c r="R90" s="1324"/>
      <c r="S90" s="1324"/>
    </row>
  </sheetData>
  <mergeCells count="8">
    <mergeCell ref="N90:S90"/>
    <mergeCell ref="B3:J3"/>
    <mergeCell ref="K3:Q3"/>
    <mergeCell ref="N54:S54"/>
    <mergeCell ref="N66:S66"/>
    <mergeCell ref="N78:S78"/>
    <mergeCell ref="K23:M23"/>
    <mergeCell ref="M25:M28"/>
  </mergeCells>
  <conditionalFormatting sqref="C10:G10">
    <cfRule type="expression" dxfId="29" priority="18">
      <formula>$C$10="Low"</formula>
    </cfRule>
  </conditionalFormatting>
  <conditionalFormatting sqref="D6:F6 H6:J6">
    <cfRule type="expression" dxfId="28" priority="35">
      <formula>$C$6="Low"</formula>
    </cfRule>
  </conditionalFormatting>
  <conditionalFormatting sqref="D7:G7 J7">
    <cfRule type="expression" dxfId="27" priority="34">
      <formula>$C$7="Low"</formula>
    </cfRule>
  </conditionalFormatting>
  <conditionalFormatting sqref="D8:G8 J8">
    <cfRule type="expression" dxfId="26" priority="33">
      <formula>$C$8="Low"</formula>
    </cfRule>
  </conditionalFormatting>
  <conditionalFormatting sqref="D9:G9 J9:J10">
    <cfRule type="expression" dxfId="25" priority="32">
      <formula>$C$9="Low"</formula>
    </cfRule>
  </conditionalFormatting>
  <conditionalFormatting sqref="D12:G12 J12">
    <cfRule type="expression" dxfId="24" priority="30">
      <formula>$C$12="Low"</formula>
    </cfRule>
  </conditionalFormatting>
  <conditionalFormatting sqref="D13:G13 J13">
    <cfRule type="expression" dxfId="23" priority="29">
      <formula>$C$13="Low"</formula>
    </cfRule>
  </conditionalFormatting>
  <conditionalFormatting sqref="D14:G14 J14">
    <cfRule type="expression" dxfId="22" priority="28">
      <formula>$C$14="Low"</formula>
    </cfRule>
  </conditionalFormatting>
  <conditionalFormatting sqref="D16:G16 I16:J16">
    <cfRule type="expression" dxfId="21" priority="26">
      <formula>$C$16="Low"</formula>
    </cfRule>
  </conditionalFormatting>
  <conditionalFormatting sqref="D17:G17 J17">
    <cfRule type="expression" dxfId="20" priority="25">
      <formula>$C$17="Low"</formula>
    </cfRule>
  </conditionalFormatting>
  <conditionalFormatting sqref="D19:G19 J20">
    <cfRule type="expression" dxfId="19" priority="23">
      <formula>$C$19="Low"</formula>
    </cfRule>
  </conditionalFormatting>
  <conditionalFormatting sqref="D21:G21 J21">
    <cfRule type="expression" dxfId="18" priority="21">
      <formula>$C$21="Low"</formula>
    </cfRule>
  </conditionalFormatting>
  <conditionalFormatting sqref="D15:J15">
    <cfRule type="expression" dxfId="17" priority="27">
      <formula>$C$15="Low"</formula>
    </cfRule>
  </conditionalFormatting>
  <conditionalFormatting sqref="D18:J18">
    <cfRule type="expression" dxfId="16" priority="24">
      <formula>$C$18="Low"</formula>
    </cfRule>
  </conditionalFormatting>
  <conditionalFormatting sqref="D20:J20">
    <cfRule type="expression" dxfId="15" priority="22">
      <formula>$C$20="Low"</formula>
    </cfRule>
  </conditionalFormatting>
  <conditionalFormatting sqref="D22:J22">
    <cfRule type="expression" dxfId="14" priority="20">
      <formula>$C$22="Low"</formula>
    </cfRule>
  </conditionalFormatting>
  <conditionalFormatting sqref="G6">
    <cfRule type="expression" dxfId="13" priority="16">
      <formula>$C$7="Low"</formula>
    </cfRule>
  </conditionalFormatting>
  <conditionalFormatting sqref="H16:H17">
    <cfRule type="expression" dxfId="12" priority="5">
      <formula>$C$6="Low"</formula>
    </cfRule>
  </conditionalFormatting>
  <conditionalFormatting sqref="H19">
    <cfRule type="expression" dxfId="11" priority="4">
      <formula>$C$6="Low"</formula>
    </cfRule>
  </conditionalFormatting>
  <conditionalFormatting sqref="H21">
    <cfRule type="expression" dxfId="10" priority="3">
      <formula>$C$6="Low"</formula>
    </cfRule>
  </conditionalFormatting>
  <conditionalFormatting sqref="H24:H34">
    <cfRule type="expression" dxfId="9" priority="2">
      <formula>$C$6="Low"</formula>
    </cfRule>
  </conditionalFormatting>
  <conditionalFormatting sqref="H7:I10">
    <cfRule type="expression" dxfId="8" priority="13">
      <formula>$C$6="Low"</formula>
    </cfRule>
  </conditionalFormatting>
  <conditionalFormatting sqref="H12:I14">
    <cfRule type="expression" dxfId="7" priority="6">
      <formula>$C$6="Low"</formula>
    </cfRule>
  </conditionalFormatting>
  <conditionalFormatting sqref="I17">
    <cfRule type="expression" dxfId="6" priority="10">
      <formula>$C$16="Low"</formula>
    </cfRule>
  </conditionalFormatting>
  <conditionalFormatting sqref="I19">
    <cfRule type="expression" dxfId="5" priority="9">
      <formula>$C$16="Low"</formula>
    </cfRule>
  </conditionalFormatting>
  <conditionalFormatting sqref="I21">
    <cfRule type="expression" dxfId="4" priority="8">
      <formula>$C$16="Low"</formula>
    </cfRule>
  </conditionalFormatting>
  <conditionalFormatting sqref="I24:I34">
    <cfRule type="expression" dxfId="3" priority="7">
      <formula>$C$16="Low"</formula>
    </cfRule>
  </conditionalFormatting>
  <conditionalFormatting sqref="J19">
    <cfRule type="expression" dxfId="2" priority="1">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H80"/>
  <sheetViews>
    <sheetView showGridLines="0" topLeftCell="A14" zoomScaleNormal="85" workbookViewId="0">
      <selection activeCell="I55" sqref="I55"/>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1" customWidth="1"/>
    <col min="8" max="8" width="12.42578125" style="1" customWidth="1"/>
    <col min="9" max="32" width="11.140625" style="1" customWidth="1"/>
    <col min="33" max="33" width="14.42578125" customWidth="1"/>
  </cols>
  <sheetData>
    <row r="1" spans="1:34" ht="21" customHeight="1">
      <c r="A1" s="1340" t="s">
        <v>337</v>
      </c>
      <c r="B1" s="1340"/>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1340"/>
      <c r="AE1" s="1340"/>
      <c r="AF1" s="1340"/>
      <c r="AG1" s="8"/>
      <c r="AH1" s="8"/>
    </row>
    <row r="2" spans="1:34" ht="3.75" customHeight="1" thickBot="1">
      <c r="A2" s="1341"/>
      <c r="B2" s="1341"/>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c r="AD2" s="1341"/>
      <c r="AE2" s="1341"/>
      <c r="AF2" s="1341"/>
      <c r="AG2" s="504"/>
      <c r="AH2" s="8"/>
    </row>
    <row r="3" spans="1:34" ht="18.75">
      <c r="A3" s="237"/>
      <c r="B3" s="237"/>
      <c r="C3" s="237"/>
      <c r="D3" s="237"/>
      <c r="E3" s="237"/>
      <c r="F3" s="237"/>
      <c r="G3" s="1347" t="s">
        <v>338</v>
      </c>
      <c r="H3" s="1348"/>
      <c r="I3" s="1348"/>
      <c r="J3" s="1348"/>
      <c r="K3" s="1349" t="s">
        <v>339</v>
      </c>
      <c r="L3" s="1350"/>
      <c r="M3" s="1350"/>
      <c r="N3" s="1350"/>
      <c r="O3" s="1350"/>
      <c r="P3" s="1350"/>
      <c r="Q3" s="1350"/>
      <c r="R3" s="1350"/>
      <c r="S3" s="1350"/>
      <c r="T3" s="1350"/>
      <c r="U3" s="1350"/>
      <c r="V3" s="1350"/>
      <c r="W3" s="1350"/>
      <c r="X3" s="1350"/>
      <c r="Y3" s="1350"/>
      <c r="Z3" s="1350"/>
      <c r="AA3" s="1350"/>
      <c r="AB3" s="1350"/>
      <c r="AC3" s="1350"/>
      <c r="AD3" s="1350"/>
      <c r="AE3" s="1350"/>
      <c r="AF3" s="1351"/>
      <c r="AG3" s="504"/>
      <c r="AH3" s="8"/>
    </row>
    <row r="4" spans="1:34" ht="15">
      <c r="A4" s="260" t="s">
        <v>340</v>
      </c>
      <c r="B4" s="797" t="s">
        <v>341</v>
      </c>
      <c r="C4" s="798" t="s">
        <v>342</v>
      </c>
      <c r="D4" s="267" t="s">
        <v>343</v>
      </c>
      <c r="E4" s="267" t="s">
        <v>344</v>
      </c>
      <c r="F4" s="268" t="s">
        <v>345</v>
      </c>
      <c r="G4" s="267">
        <v>2024</v>
      </c>
      <c r="H4" s="267">
        <f>G4+1</f>
        <v>2025</v>
      </c>
      <c r="I4" s="267">
        <f t="shared" ref="I4:AF4" si="0">H4+1</f>
        <v>2026</v>
      </c>
      <c r="J4" s="268">
        <f t="shared" si="0"/>
        <v>2027</v>
      </c>
      <c r="K4" s="269">
        <f t="shared" si="0"/>
        <v>2028</v>
      </c>
      <c r="L4" s="269">
        <f t="shared" si="0"/>
        <v>2029</v>
      </c>
      <c r="M4" s="269">
        <f t="shared" si="0"/>
        <v>2030</v>
      </c>
      <c r="N4" s="269">
        <f t="shared" si="0"/>
        <v>2031</v>
      </c>
      <c r="O4" s="269">
        <f t="shared" si="0"/>
        <v>2032</v>
      </c>
      <c r="P4" s="269">
        <f t="shared" si="0"/>
        <v>2033</v>
      </c>
      <c r="Q4" s="269">
        <f t="shared" si="0"/>
        <v>2034</v>
      </c>
      <c r="R4" s="269">
        <f t="shared" si="0"/>
        <v>2035</v>
      </c>
      <c r="S4" s="269">
        <f t="shared" si="0"/>
        <v>2036</v>
      </c>
      <c r="T4" s="269">
        <f t="shared" si="0"/>
        <v>2037</v>
      </c>
      <c r="U4" s="269">
        <f t="shared" si="0"/>
        <v>2038</v>
      </c>
      <c r="V4" s="269">
        <f t="shared" si="0"/>
        <v>2039</v>
      </c>
      <c r="W4" s="269">
        <f t="shared" si="0"/>
        <v>2040</v>
      </c>
      <c r="X4" s="269">
        <f t="shared" si="0"/>
        <v>2041</v>
      </c>
      <c r="Y4" s="269">
        <f t="shared" si="0"/>
        <v>2042</v>
      </c>
      <c r="Z4" s="269">
        <f t="shared" si="0"/>
        <v>2043</v>
      </c>
      <c r="AA4" s="269">
        <f t="shared" si="0"/>
        <v>2044</v>
      </c>
      <c r="AB4" s="269">
        <f t="shared" si="0"/>
        <v>2045</v>
      </c>
      <c r="AC4" s="269">
        <f t="shared" si="0"/>
        <v>2046</v>
      </c>
      <c r="AD4" s="269">
        <f t="shared" si="0"/>
        <v>2047</v>
      </c>
      <c r="AE4" s="269">
        <f t="shared" si="0"/>
        <v>2048</v>
      </c>
      <c r="AF4" s="270">
        <f t="shared" si="0"/>
        <v>2049</v>
      </c>
      <c r="AG4" s="504"/>
      <c r="AH4" s="8"/>
    </row>
    <row r="5" spans="1:34">
      <c r="A5" s="1197" t="s">
        <v>346</v>
      </c>
      <c r="B5" s="781">
        <v>1</v>
      </c>
      <c r="C5" s="799" t="s">
        <v>347</v>
      </c>
      <c r="D5" s="787">
        <f>'Fin. Data'!D6</f>
        <v>0.68329406944586712</v>
      </c>
      <c r="E5" s="277">
        <f t="shared" ref="E5:AF5" si="1">+E6/D6-1</f>
        <v>0.43610806863818907</v>
      </c>
      <c r="F5" s="316">
        <f t="shared" si="1"/>
        <v>-3.9023770179229644E-2</v>
      </c>
      <c r="G5" s="331">
        <f>+G6/F6-1</f>
        <v>-1</v>
      </c>
      <c r="H5" s="332" t="e">
        <f>+H6/G6-1</f>
        <v>#DIV/0!</v>
      </c>
      <c r="I5" s="332" t="e">
        <f>+I6/H6-1</f>
        <v>#DIV/0!</v>
      </c>
      <c r="J5" s="333" t="e">
        <f>+J6/I6-1</f>
        <v>#DIV/0!</v>
      </c>
      <c r="K5" s="331" t="e">
        <f t="shared" si="1"/>
        <v>#DIV/0!</v>
      </c>
      <c r="L5" s="332" t="e">
        <f t="shared" si="1"/>
        <v>#DIV/0!</v>
      </c>
      <c r="M5" s="332" t="e">
        <f t="shared" si="1"/>
        <v>#DIV/0!</v>
      </c>
      <c r="N5" s="332" t="e">
        <f t="shared" si="1"/>
        <v>#DIV/0!</v>
      </c>
      <c r="O5" s="332" t="e">
        <f t="shared" si="1"/>
        <v>#DIV/0!</v>
      </c>
      <c r="P5" s="332" t="e">
        <f t="shared" si="1"/>
        <v>#DIV/0!</v>
      </c>
      <c r="Q5" s="332" t="e">
        <f t="shared" si="1"/>
        <v>#DIV/0!</v>
      </c>
      <c r="R5" s="332" t="e">
        <f t="shared" si="1"/>
        <v>#DIV/0!</v>
      </c>
      <c r="S5" s="332" t="e">
        <f t="shared" si="1"/>
        <v>#DIV/0!</v>
      </c>
      <c r="T5" s="332" t="e">
        <f t="shared" si="1"/>
        <v>#DIV/0!</v>
      </c>
      <c r="U5" s="332" t="e">
        <f t="shared" si="1"/>
        <v>#DIV/0!</v>
      </c>
      <c r="V5" s="332" t="e">
        <f t="shared" si="1"/>
        <v>#DIV/0!</v>
      </c>
      <c r="W5" s="332" t="e">
        <f t="shared" si="1"/>
        <v>#DIV/0!</v>
      </c>
      <c r="X5" s="332" t="e">
        <f t="shared" si="1"/>
        <v>#DIV/0!</v>
      </c>
      <c r="Y5" s="332" t="e">
        <f t="shared" si="1"/>
        <v>#DIV/0!</v>
      </c>
      <c r="Z5" s="332" t="e">
        <f t="shared" si="1"/>
        <v>#DIV/0!</v>
      </c>
      <c r="AA5" s="332" t="e">
        <f t="shared" si="1"/>
        <v>#DIV/0!</v>
      </c>
      <c r="AB5" s="332" t="e">
        <f t="shared" si="1"/>
        <v>#DIV/0!</v>
      </c>
      <c r="AC5" s="332" t="e">
        <f t="shared" si="1"/>
        <v>#DIV/0!</v>
      </c>
      <c r="AD5" s="332" t="e">
        <f t="shared" si="1"/>
        <v>#DIV/0!</v>
      </c>
      <c r="AE5" s="332" t="e">
        <f t="shared" si="1"/>
        <v>#DIV/0!</v>
      </c>
      <c r="AF5" s="333" t="e">
        <f t="shared" si="1"/>
        <v>#DIV/0!</v>
      </c>
      <c r="AG5" s="402"/>
      <c r="AH5" s="8"/>
    </row>
    <row r="6" spans="1:34" ht="15">
      <c r="A6" s="1197"/>
      <c r="B6" s="781">
        <v>2</v>
      </c>
      <c r="C6" s="782" t="s">
        <v>348</v>
      </c>
      <c r="D6" s="788">
        <f>Inputs!D6</f>
        <v>16434</v>
      </c>
      <c r="E6" s="718">
        <f>Inputs!C6</f>
        <v>23601</v>
      </c>
      <c r="F6" s="317">
        <f>Inputs!B6</f>
        <v>22680</v>
      </c>
      <c r="G6" s="325"/>
      <c r="H6" s="323"/>
      <c r="I6" s="323"/>
      <c r="J6" s="326"/>
      <c r="K6" s="325"/>
      <c r="L6" s="323"/>
      <c r="M6" s="323"/>
      <c r="N6" s="323"/>
      <c r="O6" s="323"/>
      <c r="P6" s="323"/>
      <c r="Q6" s="323"/>
      <c r="R6" s="323"/>
      <c r="S6" s="323"/>
      <c r="T6" s="323"/>
      <c r="U6" s="323"/>
      <c r="V6" s="323"/>
      <c r="W6" s="323"/>
      <c r="X6" s="323"/>
      <c r="Y6" s="323"/>
      <c r="Z6" s="323"/>
      <c r="AA6" s="323"/>
      <c r="AB6" s="323"/>
      <c r="AC6" s="323"/>
      <c r="AD6" s="323"/>
      <c r="AE6" s="323"/>
      <c r="AF6" s="326"/>
      <c r="AG6" s="505"/>
      <c r="AH6" s="8"/>
    </row>
    <row r="7" spans="1:34">
      <c r="A7" s="1197"/>
      <c r="B7" s="781">
        <v>3</v>
      </c>
      <c r="C7" s="783" t="s">
        <v>349</v>
      </c>
      <c r="D7" s="789">
        <f>D8/D6</f>
        <v>0.22155287817938421</v>
      </c>
      <c r="E7" s="313">
        <f t="shared" ref="E7:F7" si="2">E8/E6</f>
        <v>5.3557052667259859E-2</v>
      </c>
      <c r="F7" s="318">
        <f t="shared" si="2"/>
        <v>1.7680776014109348E-2</v>
      </c>
      <c r="G7" s="334"/>
      <c r="H7" s="335"/>
      <c r="I7" s="335"/>
      <c r="J7" s="336"/>
      <c r="K7" s="334"/>
      <c r="L7" s="335"/>
      <c r="M7" s="335"/>
      <c r="N7" s="335"/>
      <c r="O7" s="335"/>
      <c r="P7" s="335"/>
      <c r="Q7" s="335"/>
      <c r="R7" s="335"/>
      <c r="S7" s="335"/>
      <c r="T7" s="335"/>
      <c r="U7" s="335"/>
      <c r="V7" s="335"/>
      <c r="W7" s="335"/>
      <c r="X7" s="335"/>
      <c r="Y7" s="335"/>
      <c r="Z7" s="335"/>
      <c r="AA7" s="335"/>
      <c r="AB7" s="335"/>
      <c r="AC7" s="335"/>
      <c r="AD7" s="335"/>
      <c r="AE7" s="335"/>
      <c r="AF7" s="336"/>
      <c r="AG7" s="402"/>
      <c r="AH7" s="8"/>
    </row>
    <row r="8" spans="1:34" ht="15">
      <c r="A8" s="1197"/>
      <c r="B8" s="781">
        <v>4</v>
      </c>
      <c r="C8" s="784" t="s">
        <v>38</v>
      </c>
      <c r="D8" s="790">
        <f>'Fin. Data'!D11</f>
        <v>3641</v>
      </c>
      <c r="E8" s="314">
        <f>'Fin. Data'!C11</f>
        <v>1264</v>
      </c>
      <c r="F8" s="319">
        <f>'Fin. Data'!B11</f>
        <v>401</v>
      </c>
      <c r="G8" s="325">
        <f>G7*G6</f>
        <v>0</v>
      </c>
      <c r="H8" s="323">
        <f t="shared" ref="H8:AF8" si="3">H7*H6</f>
        <v>0</v>
      </c>
      <c r="I8" s="323">
        <f t="shared" si="3"/>
        <v>0</v>
      </c>
      <c r="J8" s="326">
        <f t="shared" si="3"/>
        <v>0</v>
      </c>
      <c r="K8" s="325">
        <f t="shared" si="3"/>
        <v>0</v>
      </c>
      <c r="L8" s="323">
        <f t="shared" si="3"/>
        <v>0</v>
      </c>
      <c r="M8" s="323">
        <f t="shared" si="3"/>
        <v>0</v>
      </c>
      <c r="N8" s="323">
        <f t="shared" si="3"/>
        <v>0</v>
      </c>
      <c r="O8" s="323">
        <f t="shared" si="3"/>
        <v>0</v>
      </c>
      <c r="P8" s="323">
        <f t="shared" si="3"/>
        <v>0</v>
      </c>
      <c r="Q8" s="323">
        <f t="shared" si="3"/>
        <v>0</v>
      </c>
      <c r="R8" s="323">
        <f t="shared" si="3"/>
        <v>0</v>
      </c>
      <c r="S8" s="323">
        <f t="shared" si="3"/>
        <v>0</v>
      </c>
      <c r="T8" s="323">
        <f t="shared" si="3"/>
        <v>0</v>
      </c>
      <c r="U8" s="323">
        <f t="shared" si="3"/>
        <v>0</v>
      </c>
      <c r="V8" s="323">
        <f t="shared" si="3"/>
        <v>0</v>
      </c>
      <c r="W8" s="323">
        <f t="shared" si="3"/>
        <v>0</v>
      </c>
      <c r="X8" s="323">
        <f t="shared" si="3"/>
        <v>0</v>
      </c>
      <c r="Y8" s="323">
        <f t="shared" si="3"/>
        <v>0</v>
      </c>
      <c r="Z8" s="323">
        <f t="shared" si="3"/>
        <v>0</v>
      </c>
      <c r="AA8" s="323">
        <f t="shared" si="3"/>
        <v>0</v>
      </c>
      <c r="AB8" s="323">
        <f t="shared" si="3"/>
        <v>0</v>
      </c>
      <c r="AC8" s="323">
        <f t="shared" si="3"/>
        <v>0</v>
      </c>
      <c r="AD8" s="323">
        <f t="shared" si="3"/>
        <v>0</v>
      </c>
      <c r="AE8" s="323">
        <f t="shared" si="3"/>
        <v>0</v>
      </c>
      <c r="AF8" s="326">
        <f t="shared" si="3"/>
        <v>0</v>
      </c>
      <c r="AG8" s="492"/>
      <c r="AH8" s="4"/>
    </row>
    <row r="9" spans="1:34" ht="15">
      <c r="A9" s="1197"/>
      <c r="B9" s="781" t="s">
        <v>350</v>
      </c>
      <c r="C9" s="782" t="s">
        <v>351</v>
      </c>
      <c r="D9" s="791"/>
      <c r="E9" s="480"/>
      <c r="F9" s="481"/>
      <c r="G9" s="482">
        <f>$D$53*DCF!F40</f>
        <v>0</v>
      </c>
      <c r="H9" s="483">
        <f>$D$53*DCF!G40</f>
        <v>0</v>
      </c>
      <c r="I9" s="483">
        <f>$D$53*DCF!H40</f>
        <v>0</v>
      </c>
      <c r="J9" s="484">
        <f>$D$53*DCF!I40</f>
        <v>0</v>
      </c>
      <c r="K9" s="485">
        <f>$E$53*DCF!J40</f>
        <v>0</v>
      </c>
      <c r="L9" s="486">
        <f>$E$53*DCF!K40</f>
        <v>0</v>
      </c>
      <c r="M9" s="486">
        <f>$E$53*DCF!L40</f>
        <v>0</v>
      </c>
      <c r="N9" s="486">
        <f>$E$53*DCF!M40</f>
        <v>0</v>
      </c>
      <c r="O9" s="486">
        <f>$E$53*DCF!N40</f>
        <v>0</v>
      </c>
      <c r="P9" s="486">
        <f>$E$53*DCF!O40</f>
        <v>0</v>
      </c>
      <c r="Q9" s="486">
        <f>$E$53*DCF!P40</f>
        <v>0</v>
      </c>
      <c r="R9" s="486">
        <f>$E$53*DCF!Q40</f>
        <v>0</v>
      </c>
      <c r="S9" s="486">
        <f>$E$53*DCF!R40</f>
        <v>0</v>
      </c>
      <c r="T9" s="486">
        <f>$E$53*DCF!S40</f>
        <v>0</v>
      </c>
      <c r="U9" s="486">
        <f>$E$53*DCF!T40</f>
        <v>0</v>
      </c>
      <c r="V9" s="486">
        <f>$E$53*DCF!U40</f>
        <v>0</v>
      </c>
      <c r="W9" s="486">
        <f>$E$53*DCF!V40</f>
        <v>0</v>
      </c>
      <c r="X9" s="486">
        <f>$E$53*DCF!W40</f>
        <v>0</v>
      </c>
      <c r="Y9" s="486">
        <f>$E$53*DCF!X40</f>
        <v>0</v>
      </c>
      <c r="Z9" s="486">
        <f>$E$53*DCF!Y40</f>
        <v>0</v>
      </c>
      <c r="AA9" s="486">
        <f>$E$53*DCF!Z40</f>
        <v>0</v>
      </c>
      <c r="AB9" s="486">
        <f>$E$53*DCF!AA40</f>
        <v>0</v>
      </c>
      <c r="AC9" s="486">
        <f>$E$53*DCF!AB40</f>
        <v>0</v>
      </c>
      <c r="AD9" s="486">
        <f>$E$53*DCF!AC40</f>
        <v>0</v>
      </c>
      <c r="AE9" s="486">
        <f>$E$53*DCF!AD40</f>
        <v>0</v>
      </c>
      <c r="AF9" s="487">
        <f>$E$53*DCF!AE40</f>
        <v>0</v>
      </c>
      <c r="AG9" s="493">
        <f>SUM(D9:AF9)</f>
        <v>0</v>
      </c>
      <c r="AH9" s="4"/>
    </row>
    <row r="10" spans="1:34" ht="15">
      <c r="A10" s="1197"/>
      <c r="B10" s="781" t="s">
        <v>352</v>
      </c>
      <c r="C10" s="782" t="s">
        <v>353</v>
      </c>
      <c r="D10" s="791"/>
      <c r="E10" s="480"/>
      <c r="F10" s="481"/>
      <c r="G10" s="482">
        <f t="shared" ref="G10:J10" si="4">F38*$D$54</f>
        <v>0</v>
      </c>
      <c r="H10" s="488">
        <f t="shared" si="4"/>
        <v>0</v>
      </c>
      <c r="I10" s="488">
        <f t="shared" si="4"/>
        <v>0</v>
      </c>
      <c r="J10" s="489">
        <f t="shared" si="4"/>
        <v>0</v>
      </c>
      <c r="K10" s="485">
        <f t="shared" ref="K10:AF10" si="5">J38*$E$54</f>
        <v>0</v>
      </c>
      <c r="L10" s="486">
        <f t="shared" si="5"/>
        <v>0</v>
      </c>
      <c r="M10" s="486">
        <f t="shared" si="5"/>
        <v>0</v>
      </c>
      <c r="N10" s="486">
        <f t="shared" si="5"/>
        <v>0</v>
      </c>
      <c r="O10" s="486">
        <f t="shared" si="5"/>
        <v>0</v>
      </c>
      <c r="P10" s="486">
        <f t="shared" si="5"/>
        <v>0</v>
      </c>
      <c r="Q10" s="486">
        <f t="shared" si="5"/>
        <v>0</v>
      </c>
      <c r="R10" s="486">
        <f t="shared" si="5"/>
        <v>0</v>
      </c>
      <c r="S10" s="486">
        <f t="shared" si="5"/>
        <v>0</v>
      </c>
      <c r="T10" s="486">
        <f t="shared" si="5"/>
        <v>0</v>
      </c>
      <c r="U10" s="486">
        <f t="shared" si="5"/>
        <v>0</v>
      </c>
      <c r="V10" s="486">
        <f t="shared" si="5"/>
        <v>0</v>
      </c>
      <c r="W10" s="486">
        <f t="shared" si="5"/>
        <v>0</v>
      </c>
      <c r="X10" s="486">
        <f t="shared" si="5"/>
        <v>0</v>
      </c>
      <c r="Y10" s="486">
        <f t="shared" si="5"/>
        <v>0</v>
      </c>
      <c r="Z10" s="486">
        <f t="shared" si="5"/>
        <v>0</v>
      </c>
      <c r="AA10" s="486">
        <f t="shared" si="5"/>
        <v>0</v>
      </c>
      <c r="AB10" s="486">
        <f t="shared" si="5"/>
        <v>0</v>
      </c>
      <c r="AC10" s="486">
        <f t="shared" si="5"/>
        <v>0</v>
      </c>
      <c r="AD10" s="486">
        <f t="shared" si="5"/>
        <v>0</v>
      </c>
      <c r="AE10" s="486">
        <f t="shared" si="5"/>
        <v>0</v>
      </c>
      <c r="AF10" s="487">
        <f t="shared" si="5"/>
        <v>0</v>
      </c>
      <c r="AG10" s="492"/>
      <c r="AH10" s="4"/>
    </row>
    <row r="11" spans="1:34" ht="15">
      <c r="A11" s="1197"/>
      <c r="B11" s="781" t="s">
        <v>354</v>
      </c>
      <c r="C11" s="782" t="s">
        <v>355</v>
      </c>
      <c r="D11" s="791">
        <f>D20</f>
        <v>0</v>
      </c>
      <c r="E11" s="480">
        <f>E20</f>
        <v>0</v>
      </c>
      <c r="F11" s="481">
        <f>F20</f>
        <v>0</v>
      </c>
      <c r="G11" s="482">
        <f>G6*$D$55</f>
        <v>0</v>
      </c>
      <c r="H11" s="488">
        <f t="shared" ref="H11:AF11" si="6">H6*$D$55</f>
        <v>0</v>
      </c>
      <c r="I11" s="488">
        <f t="shared" si="6"/>
        <v>0</v>
      </c>
      <c r="J11" s="489">
        <f t="shared" si="6"/>
        <v>0</v>
      </c>
      <c r="K11" s="482">
        <f t="shared" si="6"/>
        <v>0</v>
      </c>
      <c r="L11" s="488">
        <f t="shared" si="6"/>
        <v>0</v>
      </c>
      <c r="M11" s="488">
        <f t="shared" si="6"/>
        <v>0</v>
      </c>
      <c r="N11" s="488">
        <f t="shared" si="6"/>
        <v>0</v>
      </c>
      <c r="O11" s="488">
        <f t="shared" si="6"/>
        <v>0</v>
      </c>
      <c r="P11" s="488">
        <f t="shared" si="6"/>
        <v>0</v>
      </c>
      <c r="Q11" s="488">
        <f t="shared" si="6"/>
        <v>0</v>
      </c>
      <c r="R11" s="488">
        <f t="shared" si="6"/>
        <v>0</v>
      </c>
      <c r="S11" s="488">
        <f t="shared" si="6"/>
        <v>0</v>
      </c>
      <c r="T11" s="488">
        <f t="shared" si="6"/>
        <v>0</v>
      </c>
      <c r="U11" s="488">
        <f t="shared" si="6"/>
        <v>0</v>
      </c>
      <c r="V11" s="488">
        <f t="shared" si="6"/>
        <v>0</v>
      </c>
      <c r="W11" s="488">
        <f t="shared" si="6"/>
        <v>0</v>
      </c>
      <c r="X11" s="488">
        <f t="shared" si="6"/>
        <v>0</v>
      </c>
      <c r="Y11" s="488">
        <f t="shared" si="6"/>
        <v>0</v>
      </c>
      <c r="Z11" s="488">
        <f t="shared" si="6"/>
        <v>0</v>
      </c>
      <c r="AA11" s="488">
        <f t="shared" si="6"/>
        <v>0</v>
      </c>
      <c r="AB11" s="488">
        <f t="shared" si="6"/>
        <v>0</v>
      </c>
      <c r="AC11" s="488">
        <f t="shared" si="6"/>
        <v>0</v>
      </c>
      <c r="AD11" s="488">
        <f t="shared" si="6"/>
        <v>0</v>
      </c>
      <c r="AE11" s="488">
        <f t="shared" si="6"/>
        <v>0</v>
      </c>
      <c r="AF11" s="489">
        <f t="shared" si="6"/>
        <v>0</v>
      </c>
      <c r="AG11" s="492"/>
      <c r="AH11" s="4"/>
    </row>
    <row r="12" spans="1:34" ht="15">
      <c r="A12" s="1197"/>
      <c r="B12" s="781">
        <v>6</v>
      </c>
      <c r="C12" s="784" t="s">
        <v>30</v>
      </c>
      <c r="D12" s="790">
        <f>D8-D9-D10</f>
        <v>3641</v>
      </c>
      <c r="E12" s="285">
        <f t="shared" ref="E12:AF12" si="7">E8-E9-E10</f>
        <v>1264</v>
      </c>
      <c r="F12" s="320">
        <f t="shared" si="7"/>
        <v>401</v>
      </c>
      <c r="G12" s="337">
        <f>G8-G9-G10</f>
        <v>0</v>
      </c>
      <c r="H12" s="338">
        <f t="shared" si="7"/>
        <v>0</v>
      </c>
      <c r="I12" s="338">
        <f t="shared" si="7"/>
        <v>0</v>
      </c>
      <c r="J12" s="339">
        <f t="shared" si="7"/>
        <v>0</v>
      </c>
      <c r="K12" s="337">
        <f t="shared" si="7"/>
        <v>0</v>
      </c>
      <c r="L12" s="338">
        <f t="shared" si="7"/>
        <v>0</v>
      </c>
      <c r="M12" s="338">
        <f t="shared" si="7"/>
        <v>0</v>
      </c>
      <c r="N12" s="338">
        <f t="shared" si="7"/>
        <v>0</v>
      </c>
      <c r="O12" s="338">
        <f t="shared" si="7"/>
        <v>0</v>
      </c>
      <c r="P12" s="338">
        <f t="shared" si="7"/>
        <v>0</v>
      </c>
      <c r="Q12" s="338">
        <f t="shared" si="7"/>
        <v>0</v>
      </c>
      <c r="R12" s="338">
        <f t="shared" si="7"/>
        <v>0</v>
      </c>
      <c r="S12" s="338">
        <f t="shared" si="7"/>
        <v>0</v>
      </c>
      <c r="T12" s="338">
        <f t="shared" si="7"/>
        <v>0</v>
      </c>
      <c r="U12" s="338">
        <f t="shared" si="7"/>
        <v>0</v>
      </c>
      <c r="V12" s="338">
        <f t="shared" si="7"/>
        <v>0</v>
      </c>
      <c r="W12" s="338">
        <f t="shared" si="7"/>
        <v>0</v>
      </c>
      <c r="X12" s="338">
        <f t="shared" si="7"/>
        <v>0</v>
      </c>
      <c r="Y12" s="338">
        <f t="shared" si="7"/>
        <v>0</v>
      </c>
      <c r="Z12" s="338">
        <f t="shared" si="7"/>
        <v>0</v>
      </c>
      <c r="AA12" s="338">
        <f t="shared" si="7"/>
        <v>0</v>
      </c>
      <c r="AB12" s="338">
        <f t="shared" si="7"/>
        <v>0</v>
      </c>
      <c r="AC12" s="338">
        <f t="shared" si="7"/>
        <v>0</v>
      </c>
      <c r="AD12" s="338">
        <f t="shared" si="7"/>
        <v>0</v>
      </c>
      <c r="AE12" s="338">
        <f t="shared" si="7"/>
        <v>0</v>
      </c>
      <c r="AF12" s="339">
        <f t="shared" si="7"/>
        <v>0</v>
      </c>
      <c r="AG12" s="306"/>
      <c r="AH12" s="4"/>
    </row>
    <row r="13" spans="1:34" ht="15">
      <c r="A13" s="1197"/>
      <c r="B13" s="781">
        <v>7</v>
      </c>
      <c r="C13" s="782" t="s">
        <v>356</v>
      </c>
      <c r="D13" s="792">
        <f>'Fin. Data'!D14</f>
        <v>30</v>
      </c>
      <c r="E13" s="478">
        <f>'Fin. Data'!C14</f>
        <v>-85</v>
      </c>
      <c r="F13" s="479">
        <f>'Fin. Data'!B14</f>
        <v>99</v>
      </c>
      <c r="G13" s="485">
        <f t="shared" ref="G13:J13" si="8">F43*$D$58-F44*$D$57</f>
        <v>0</v>
      </c>
      <c r="H13" s="486">
        <f t="shared" si="8"/>
        <v>0</v>
      </c>
      <c r="I13" s="486" t="e">
        <f t="shared" si="8"/>
        <v>#DIV/0!</v>
      </c>
      <c r="J13" s="487" t="e">
        <f t="shared" si="8"/>
        <v>#DIV/0!</v>
      </c>
      <c r="K13" s="485" t="e">
        <f>J43*$E$58-J44*$E$57</f>
        <v>#DIV/0!</v>
      </c>
      <c r="L13" s="486" t="e">
        <f t="shared" ref="L13:AF13" si="9">K43*$E$58-K44*$E$57</f>
        <v>#DIV/0!</v>
      </c>
      <c r="M13" s="486" t="e">
        <f t="shared" si="9"/>
        <v>#DIV/0!</v>
      </c>
      <c r="N13" s="486" t="e">
        <f t="shared" si="9"/>
        <v>#DIV/0!</v>
      </c>
      <c r="O13" s="486" t="e">
        <f t="shared" si="9"/>
        <v>#DIV/0!</v>
      </c>
      <c r="P13" s="486" t="e">
        <f t="shared" si="9"/>
        <v>#DIV/0!</v>
      </c>
      <c r="Q13" s="486" t="e">
        <f t="shared" si="9"/>
        <v>#DIV/0!</v>
      </c>
      <c r="R13" s="486" t="e">
        <f t="shared" si="9"/>
        <v>#DIV/0!</v>
      </c>
      <c r="S13" s="486" t="e">
        <f t="shared" si="9"/>
        <v>#DIV/0!</v>
      </c>
      <c r="T13" s="486" t="e">
        <f t="shared" si="9"/>
        <v>#DIV/0!</v>
      </c>
      <c r="U13" s="486" t="e">
        <f t="shared" si="9"/>
        <v>#DIV/0!</v>
      </c>
      <c r="V13" s="486" t="e">
        <f t="shared" si="9"/>
        <v>#DIV/0!</v>
      </c>
      <c r="W13" s="486" t="e">
        <f t="shared" si="9"/>
        <v>#DIV/0!</v>
      </c>
      <c r="X13" s="486" t="e">
        <f t="shared" si="9"/>
        <v>#DIV/0!</v>
      </c>
      <c r="Y13" s="486" t="e">
        <f t="shared" si="9"/>
        <v>#DIV/0!</v>
      </c>
      <c r="Z13" s="486" t="e">
        <f t="shared" si="9"/>
        <v>#DIV/0!</v>
      </c>
      <c r="AA13" s="486" t="e">
        <f t="shared" si="9"/>
        <v>#DIV/0!</v>
      </c>
      <c r="AB13" s="486" t="e">
        <f t="shared" si="9"/>
        <v>#DIV/0!</v>
      </c>
      <c r="AC13" s="486" t="e">
        <f t="shared" si="9"/>
        <v>#DIV/0!</v>
      </c>
      <c r="AD13" s="486" t="e">
        <f t="shared" si="9"/>
        <v>#DIV/0!</v>
      </c>
      <c r="AE13" s="486" t="e">
        <f t="shared" si="9"/>
        <v>#DIV/0!</v>
      </c>
      <c r="AF13" s="487" t="e">
        <f t="shared" si="9"/>
        <v>#DIV/0!</v>
      </c>
      <c r="AG13" s="492"/>
      <c r="AH13" s="4"/>
    </row>
    <row r="14" spans="1:34" ht="15">
      <c r="A14" s="1197"/>
      <c r="B14" s="781">
        <v>8</v>
      </c>
      <c r="C14" s="782" t="s">
        <v>357</v>
      </c>
      <c r="D14" s="793">
        <f>'Fin. Data'!D15</f>
        <v>4</v>
      </c>
      <c r="E14" s="315">
        <f>'Fin. Data'!C15</f>
        <v>19</v>
      </c>
      <c r="F14" s="321">
        <f>'Fin. Data'!B15</f>
        <v>8</v>
      </c>
      <c r="G14" s="325">
        <f>AVERAGE(D14:F14)*(1+G5)</f>
        <v>0</v>
      </c>
      <c r="H14" s="323" t="e">
        <f t="shared" ref="H14:AF14" si="10">AVERAGE(E14:G14)*(1+H5)</f>
        <v>#DIV/0!</v>
      </c>
      <c r="I14" s="323" t="e">
        <f t="shared" si="10"/>
        <v>#DIV/0!</v>
      </c>
      <c r="J14" s="326" t="e">
        <f t="shared" si="10"/>
        <v>#DIV/0!</v>
      </c>
      <c r="K14" s="325" t="e">
        <f t="shared" si="10"/>
        <v>#DIV/0!</v>
      </c>
      <c r="L14" s="323" t="e">
        <f t="shared" si="10"/>
        <v>#DIV/0!</v>
      </c>
      <c r="M14" s="323" t="e">
        <f t="shared" si="10"/>
        <v>#DIV/0!</v>
      </c>
      <c r="N14" s="323" t="e">
        <f t="shared" si="10"/>
        <v>#DIV/0!</v>
      </c>
      <c r="O14" s="323" t="e">
        <f t="shared" si="10"/>
        <v>#DIV/0!</v>
      </c>
      <c r="P14" s="323" t="e">
        <f t="shared" si="10"/>
        <v>#DIV/0!</v>
      </c>
      <c r="Q14" s="323" t="e">
        <f t="shared" si="10"/>
        <v>#DIV/0!</v>
      </c>
      <c r="R14" s="323" t="e">
        <f t="shared" si="10"/>
        <v>#DIV/0!</v>
      </c>
      <c r="S14" s="323" t="e">
        <f t="shared" si="10"/>
        <v>#DIV/0!</v>
      </c>
      <c r="T14" s="323" t="e">
        <f t="shared" si="10"/>
        <v>#DIV/0!</v>
      </c>
      <c r="U14" s="323" t="e">
        <f t="shared" si="10"/>
        <v>#DIV/0!</v>
      </c>
      <c r="V14" s="323" t="e">
        <f t="shared" si="10"/>
        <v>#DIV/0!</v>
      </c>
      <c r="W14" s="323" t="e">
        <f t="shared" si="10"/>
        <v>#DIV/0!</v>
      </c>
      <c r="X14" s="323" t="e">
        <f t="shared" si="10"/>
        <v>#DIV/0!</v>
      </c>
      <c r="Y14" s="323" t="e">
        <f t="shared" si="10"/>
        <v>#DIV/0!</v>
      </c>
      <c r="Z14" s="323" t="e">
        <f t="shared" si="10"/>
        <v>#DIV/0!</v>
      </c>
      <c r="AA14" s="323" t="e">
        <f t="shared" si="10"/>
        <v>#DIV/0!</v>
      </c>
      <c r="AB14" s="323" t="e">
        <f t="shared" si="10"/>
        <v>#DIV/0!</v>
      </c>
      <c r="AC14" s="323" t="e">
        <f t="shared" si="10"/>
        <v>#DIV/0!</v>
      </c>
      <c r="AD14" s="323" t="e">
        <f t="shared" si="10"/>
        <v>#DIV/0!</v>
      </c>
      <c r="AE14" s="323" t="e">
        <f t="shared" si="10"/>
        <v>#DIV/0!</v>
      </c>
      <c r="AF14" s="326" t="e">
        <f t="shared" si="10"/>
        <v>#DIV/0!</v>
      </c>
      <c r="AG14" s="492"/>
      <c r="AH14" s="4"/>
    </row>
    <row r="15" spans="1:34" ht="15">
      <c r="A15" s="1197"/>
      <c r="B15" s="781">
        <v>9</v>
      </c>
      <c r="C15" s="784" t="s">
        <v>358</v>
      </c>
      <c r="D15" s="794">
        <f t="shared" ref="D15:AF15" si="11">D8+D13+D14</f>
        <v>3675</v>
      </c>
      <c r="E15" s="285">
        <f t="shared" si="11"/>
        <v>1198</v>
      </c>
      <c r="F15" s="320">
        <f t="shared" si="11"/>
        <v>508</v>
      </c>
      <c r="G15" s="337">
        <f t="shared" si="11"/>
        <v>0</v>
      </c>
      <c r="H15" s="338" t="e">
        <f t="shared" si="11"/>
        <v>#DIV/0!</v>
      </c>
      <c r="I15" s="338" t="e">
        <f t="shared" si="11"/>
        <v>#DIV/0!</v>
      </c>
      <c r="J15" s="339" t="e">
        <f t="shared" si="11"/>
        <v>#DIV/0!</v>
      </c>
      <c r="K15" s="337" t="e">
        <f t="shared" si="11"/>
        <v>#DIV/0!</v>
      </c>
      <c r="L15" s="338" t="e">
        <f t="shared" si="11"/>
        <v>#DIV/0!</v>
      </c>
      <c r="M15" s="338" t="e">
        <f t="shared" si="11"/>
        <v>#DIV/0!</v>
      </c>
      <c r="N15" s="338" t="e">
        <f t="shared" si="11"/>
        <v>#DIV/0!</v>
      </c>
      <c r="O15" s="338" t="e">
        <f t="shared" si="11"/>
        <v>#DIV/0!</v>
      </c>
      <c r="P15" s="338" t="e">
        <f t="shared" si="11"/>
        <v>#DIV/0!</v>
      </c>
      <c r="Q15" s="338" t="e">
        <f t="shared" si="11"/>
        <v>#DIV/0!</v>
      </c>
      <c r="R15" s="338" t="e">
        <f t="shared" si="11"/>
        <v>#DIV/0!</v>
      </c>
      <c r="S15" s="338" t="e">
        <f t="shared" si="11"/>
        <v>#DIV/0!</v>
      </c>
      <c r="T15" s="338" t="e">
        <f t="shared" si="11"/>
        <v>#DIV/0!</v>
      </c>
      <c r="U15" s="338" t="e">
        <f t="shared" si="11"/>
        <v>#DIV/0!</v>
      </c>
      <c r="V15" s="338" t="e">
        <f t="shared" si="11"/>
        <v>#DIV/0!</v>
      </c>
      <c r="W15" s="338" t="e">
        <f t="shared" si="11"/>
        <v>#DIV/0!</v>
      </c>
      <c r="X15" s="338" t="e">
        <f t="shared" si="11"/>
        <v>#DIV/0!</v>
      </c>
      <c r="Y15" s="338" t="e">
        <f t="shared" si="11"/>
        <v>#DIV/0!</v>
      </c>
      <c r="Z15" s="338" t="e">
        <f t="shared" si="11"/>
        <v>#DIV/0!</v>
      </c>
      <c r="AA15" s="338" t="e">
        <f t="shared" si="11"/>
        <v>#DIV/0!</v>
      </c>
      <c r="AB15" s="338" t="e">
        <f t="shared" si="11"/>
        <v>#DIV/0!</v>
      </c>
      <c r="AC15" s="338" t="e">
        <f t="shared" si="11"/>
        <v>#DIV/0!</v>
      </c>
      <c r="AD15" s="338" t="e">
        <f t="shared" si="11"/>
        <v>#DIV/0!</v>
      </c>
      <c r="AE15" s="338" t="e">
        <f t="shared" si="11"/>
        <v>#DIV/0!</v>
      </c>
      <c r="AF15" s="339" t="e">
        <f t="shared" si="11"/>
        <v>#DIV/0!</v>
      </c>
      <c r="AG15" s="492"/>
      <c r="AH15" s="4"/>
    </row>
    <row r="16" spans="1:34" ht="15">
      <c r="A16" s="1197"/>
      <c r="B16" s="781">
        <v>10</v>
      </c>
      <c r="C16" s="782" t="s">
        <v>359</v>
      </c>
      <c r="D16" s="795">
        <f>'Fin. Data'!D21</f>
        <v>-513</v>
      </c>
      <c r="E16" s="476">
        <f>'Fin. Data'!C21</f>
        <v>122</v>
      </c>
      <c r="F16" s="477">
        <f>'Fin. Data'!B21</f>
        <v>346</v>
      </c>
      <c r="G16" s="452">
        <f>-$D$56*G15</f>
        <v>0</v>
      </c>
      <c r="H16" s="417" t="e">
        <f>-$D$56*H15</f>
        <v>#DIV/0!</v>
      </c>
      <c r="I16" s="417" t="e">
        <f t="shared" ref="I16:J16" si="12">-$D$56*I15</f>
        <v>#DIV/0!</v>
      </c>
      <c r="J16" s="417" t="e">
        <f t="shared" si="12"/>
        <v>#DIV/0!</v>
      </c>
      <c r="K16" s="416" t="e">
        <f>-$E$56*K15</f>
        <v>#DIV/0!</v>
      </c>
      <c r="L16" s="417" t="e">
        <f>-$E$56*L15</f>
        <v>#DIV/0!</v>
      </c>
      <c r="M16" s="417" t="e">
        <f t="shared" ref="M16:AE16" si="13">-$E$56*M15</f>
        <v>#DIV/0!</v>
      </c>
      <c r="N16" s="417" t="e">
        <f t="shared" si="13"/>
        <v>#DIV/0!</v>
      </c>
      <c r="O16" s="417" t="e">
        <f t="shared" si="13"/>
        <v>#DIV/0!</v>
      </c>
      <c r="P16" s="417" t="e">
        <f t="shared" si="13"/>
        <v>#DIV/0!</v>
      </c>
      <c r="Q16" s="417" t="e">
        <f t="shared" si="13"/>
        <v>#DIV/0!</v>
      </c>
      <c r="R16" s="417" t="e">
        <f t="shared" si="13"/>
        <v>#DIV/0!</v>
      </c>
      <c r="S16" s="417" t="e">
        <f t="shared" si="13"/>
        <v>#DIV/0!</v>
      </c>
      <c r="T16" s="417" t="e">
        <f t="shared" si="13"/>
        <v>#DIV/0!</v>
      </c>
      <c r="U16" s="417" t="e">
        <f t="shared" si="13"/>
        <v>#DIV/0!</v>
      </c>
      <c r="V16" s="417" t="e">
        <f t="shared" si="13"/>
        <v>#DIV/0!</v>
      </c>
      <c r="W16" s="417" t="e">
        <f t="shared" si="13"/>
        <v>#DIV/0!</v>
      </c>
      <c r="X16" s="417" t="e">
        <f t="shared" si="13"/>
        <v>#DIV/0!</v>
      </c>
      <c r="Y16" s="417" t="e">
        <f t="shared" si="13"/>
        <v>#DIV/0!</v>
      </c>
      <c r="Z16" s="417" t="e">
        <f t="shared" si="13"/>
        <v>#DIV/0!</v>
      </c>
      <c r="AA16" s="417" t="e">
        <f t="shared" si="13"/>
        <v>#DIV/0!</v>
      </c>
      <c r="AB16" s="417" t="e">
        <f t="shared" si="13"/>
        <v>#DIV/0!</v>
      </c>
      <c r="AC16" s="417" t="e">
        <f t="shared" si="13"/>
        <v>#DIV/0!</v>
      </c>
      <c r="AD16" s="417" t="e">
        <f t="shared" si="13"/>
        <v>#DIV/0!</v>
      </c>
      <c r="AE16" s="417" t="e">
        <f t="shared" si="13"/>
        <v>#DIV/0!</v>
      </c>
      <c r="AF16" s="418" t="e">
        <f>-$E$56*AF15</f>
        <v>#DIV/0!</v>
      </c>
      <c r="AG16" s="492"/>
      <c r="AH16" s="4"/>
    </row>
    <row r="17" spans="1:34" ht="15">
      <c r="A17" s="1197"/>
      <c r="B17" s="785">
        <v>11</v>
      </c>
      <c r="C17" s="786" t="s">
        <v>360</v>
      </c>
      <c r="D17" s="796">
        <f>'Fin. Data'!D23</f>
        <v>3162</v>
      </c>
      <c r="E17" s="716">
        <f>'Fin. Data'!C23</f>
        <v>1320</v>
      </c>
      <c r="F17" s="322">
        <f>'Fin. Data'!B23</f>
        <v>854</v>
      </c>
      <c r="G17" s="328">
        <f t="shared" ref="G17:AF17" si="14">G16+G15</f>
        <v>0</v>
      </c>
      <c r="H17" s="329" t="e">
        <f t="shared" si="14"/>
        <v>#DIV/0!</v>
      </c>
      <c r="I17" s="329" t="e">
        <f t="shared" si="14"/>
        <v>#DIV/0!</v>
      </c>
      <c r="J17" s="330" t="e">
        <f t="shared" si="14"/>
        <v>#DIV/0!</v>
      </c>
      <c r="K17" s="328" t="e">
        <f t="shared" si="14"/>
        <v>#DIV/0!</v>
      </c>
      <c r="L17" s="329" t="e">
        <f t="shared" si="14"/>
        <v>#DIV/0!</v>
      </c>
      <c r="M17" s="329" t="e">
        <f t="shared" si="14"/>
        <v>#DIV/0!</v>
      </c>
      <c r="N17" s="329" t="e">
        <f t="shared" si="14"/>
        <v>#DIV/0!</v>
      </c>
      <c r="O17" s="329" t="e">
        <f t="shared" si="14"/>
        <v>#DIV/0!</v>
      </c>
      <c r="P17" s="329" t="e">
        <f t="shared" si="14"/>
        <v>#DIV/0!</v>
      </c>
      <c r="Q17" s="329" t="e">
        <f t="shared" si="14"/>
        <v>#DIV/0!</v>
      </c>
      <c r="R17" s="329" t="e">
        <f t="shared" si="14"/>
        <v>#DIV/0!</v>
      </c>
      <c r="S17" s="329" t="e">
        <f t="shared" si="14"/>
        <v>#DIV/0!</v>
      </c>
      <c r="T17" s="329" t="e">
        <f t="shared" si="14"/>
        <v>#DIV/0!</v>
      </c>
      <c r="U17" s="329" t="e">
        <f t="shared" si="14"/>
        <v>#DIV/0!</v>
      </c>
      <c r="V17" s="329" t="e">
        <f t="shared" si="14"/>
        <v>#DIV/0!</v>
      </c>
      <c r="W17" s="329" t="e">
        <f t="shared" si="14"/>
        <v>#DIV/0!</v>
      </c>
      <c r="X17" s="329" t="e">
        <f t="shared" si="14"/>
        <v>#DIV/0!</v>
      </c>
      <c r="Y17" s="329" t="e">
        <f t="shared" si="14"/>
        <v>#DIV/0!</v>
      </c>
      <c r="Z17" s="329" t="e">
        <f t="shared" si="14"/>
        <v>#DIV/0!</v>
      </c>
      <c r="AA17" s="329" t="e">
        <f t="shared" si="14"/>
        <v>#DIV/0!</v>
      </c>
      <c r="AB17" s="329" t="e">
        <f t="shared" si="14"/>
        <v>#DIV/0!</v>
      </c>
      <c r="AC17" s="329" t="e">
        <f t="shared" si="14"/>
        <v>#DIV/0!</v>
      </c>
      <c r="AD17" s="329" t="e">
        <f t="shared" si="14"/>
        <v>#DIV/0!</v>
      </c>
      <c r="AE17" s="329" t="e">
        <f t="shared" si="14"/>
        <v>#DIV/0!</v>
      </c>
      <c r="AF17" s="330" t="e">
        <f t="shared" si="14"/>
        <v>#DIV/0!</v>
      </c>
      <c r="AG17" s="492"/>
      <c r="AH17" s="4"/>
    </row>
    <row r="18" spans="1:34" ht="15">
      <c r="A18" s="249"/>
      <c r="B18" s="261"/>
      <c r="C18" s="262" t="s">
        <v>361</v>
      </c>
      <c r="D18" s="266" t="s">
        <v>361</v>
      </c>
      <c r="E18" s="266" t="s">
        <v>361</v>
      </c>
      <c r="F18" s="266" t="s">
        <v>361</v>
      </c>
      <c r="G18" s="263" t="s">
        <v>361</v>
      </c>
      <c r="H18" s="263" t="s">
        <v>361</v>
      </c>
      <c r="I18" s="263" t="s">
        <v>361</v>
      </c>
      <c r="J18" s="263" t="s">
        <v>361</v>
      </c>
      <c r="K18" s="263" t="s">
        <v>361</v>
      </c>
      <c r="L18" s="263" t="s">
        <v>361</v>
      </c>
      <c r="M18" s="263" t="s">
        <v>361</v>
      </c>
      <c r="N18" s="263" t="s">
        <v>361</v>
      </c>
      <c r="O18" s="263" t="s">
        <v>361</v>
      </c>
      <c r="P18" s="263" t="s">
        <v>361</v>
      </c>
      <c r="Q18" s="263" t="s">
        <v>361</v>
      </c>
      <c r="R18" s="263" t="s">
        <v>361</v>
      </c>
      <c r="S18" s="263" t="s">
        <v>361</v>
      </c>
      <c r="T18" s="263" t="s">
        <v>361</v>
      </c>
      <c r="U18" s="263" t="s">
        <v>361</v>
      </c>
      <c r="V18" s="263" t="s">
        <v>361</v>
      </c>
      <c r="W18" s="263" t="s">
        <v>361</v>
      </c>
      <c r="X18" s="263" t="s">
        <v>361</v>
      </c>
      <c r="Y18" s="263" t="s">
        <v>361</v>
      </c>
      <c r="Z18" s="263" t="s">
        <v>361</v>
      </c>
      <c r="AA18" s="263" t="s">
        <v>361</v>
      </c>
      <c r="AB18" s="263" t="s">
        <v>361</v>
      </c>
      <c r="AC18" s="263" t="s">
        <v>361</v>
      </c>
      <c r="AD18" s="263" t="s">
        <v>361</v>
      </c>
      <c r="AE18" s="263" t="s">
        <v>361</v>
      </c>
      <c r="AF18" s="271" t="s">
        <v>361</v>
      </c>
      <c r="AG18" s="492"/>
      <c r="AH18" s="4"/>
    </row>
    <row r="19" spans="1:34" ht="15">
      <c r="A19" s="1345" t="s">
        <v>362</v>
      </c>
      <c r="B19" s="239">
        <v>12</v>
      </c>
      <c r="C19" s="430" t="s">
        <v>363</v>
      </c>
      <c r="D19" s="415"/>
      <c r="E19" s="278"/>
      <c r="F19" s="774"/>
      <c r="G19" s="752">
        <f>G17-G10-G9-G11</f>
        <v>0</v>
      </c>
      <c r="H19" s="753" t="e">
        <f t="shared" ref="H19:AF19" si="15">H17-H10-H9-H11</f>
        <v>#DIV/0!</v>
      </c>
      <c r="I19" s="753" t="e">
        <f t="shared" si="15"/>
        <v>#DIV/0!</v>
      </c>
      <c r="J19" s="754" t="e">
        <f t="shared" si="15"/>
        <v>#DIV/0!</v>
      </c>
      <c r="K19" s="755" t="e">
        <f t="shared" si="15"/>
        <v>#DIV/0!</v>
      </c>
      <c r="L19" s="753" t="e">
        <f t="shared" si="15"/>
        <v>#DIV/0!</v>
      </c>
      <c r="M19" s="753" t="e">
        <f t="shared" si="15"/>
        <v>#DIV/0!</v>
      </c>
      <c r="N19" s="753" t="e">
        <f t="shared" si="15"/>
        <v>#DIV/0!</v>
      </c>
      <c r="O19" s="753" t="e">
        <f t="shared" si="15"/>
        <v>#DIV/0!</v>
      </c>
      <c r="P19" s="753" t="e">
        <f t="shared" si="15"/>
        <v>#DIV/0!</v>
      </c>
      <c r="Q19" s="753" t="e">
        <f t="shared" si="15"/>
        <v>#DIV/0!</v>
      </c>
      <c r="R19" s="753" t="e">
        <f t="shared" si="15"/>
        <v>#DIV/0!</v>
      </c>
      <c r="S19" s="753" t="e">
        <f t="shared" si="15"/>
        <v>#DIV/0!</v>
      </c>
      <c r="T19" s="753" t="e">
        <f t="shared" si="15"/>
        <v>#DIV/0!</v>
      </c>
      <c r="U19" s="753" t="e">
        <f t="shared" si="15"/>
        <v>#DIV/0!</v>
      </c>
      <c r="V19" s="753" t="e">
        <f t="shared" si="15"/>
        <v>#DIV/0!</v>
      </c>
      <c r="W19" s="753" t="e">
        <f t="shared" si="15"/>
        <v>#DIV/0!</v>
      </c>
      <c r="X19" s="753" t="e">
        <f t="shared" si="15"/>
        <v>#DIV/0!</v>
      </c>
      <c r="Y19" s="753" t="e">
        <f t="shared" si="15"/>
        <v>#DIV/0!</v>
      </c>
      <c r="Z19" s="753" t="e">
        <f t="shared" si="15"/>
        <v>#DIV/0!</v>
      </c>
      <c r="AA19" s="753" t="e">
        <f t="shared" si="15"/>
        <v>#DIV/0!</v>
      </c>
      <c r="AB19" s="753" t="e">
        <f t="shared" si="15"/>
        <v>#DIV/0!</v>
      </c>
      <c r="AC19" s="753" t="e">
        <f t="shared" si="15"/>
        <v>#DIV/0!</v>
      </c>
      <c r="AD19" s="753" t="e">
        <f t="shared" si="15"/>
        <v>#DIV/0!</v>
      </c>
      <c r="AE19" s="753" t="e">
        <f t="shared" si="15"/>
        <v>#DIV/0!</v>
      </c>
      <c r="AF19" s="756" t="e">
        <f t="shared" si="15"/>
        <v>#DIV/0!</v>
      </c>
      <c r="AG19" s="492"/>
      <c r="AH19" s="4"/>
    </row>
    <row r="20" spans="1:34" ht="15">
      <c r="A20" s="1346"/>
      <c r="B20" s="239">
        <v>13</v>
      </c>
      <c r="C20" s="259" t="s">
        <v>364</v>
      </c>
      <c r="D20" s="279"/>
      <c r="E20" s="280"/>
      <c r="F20" s="775"/>
      <c r="G20" s="757">
        <f>G11</f>
        <v>0</v>
      </c>
      <c r="H20" s="490">
        <f t="shared" ref="H20:AF20" si="16">H11</f>
        <v>0</v>
      </c>
      <c r="I20" s="490">
        <f t="shared" si="16"/>
        <v>0</v>
      </c>
      <c r="J20" s="491">
        <f t="shared" si="16"/>
        <v>0</v>
      </c>
      <c r="K20" s="472">
        <f t="shared" si="16"/>
        <v>0</v>
      </c>
      <c r="L20" s="490">
        <f t="shared" si="16"/>
        <v>0</v>
      </c>
      <c r="M20" s="490">
        <f t="shared" si="16"/>
        <v>0</v>
      </c>
      <c r="N20" s="490">
        <f t="shared" si="16"/>
        <v>0</v>
      </c>
      <c r="O20" s="490">
        <f t="shared" si="16"/>
        <v>0</v>
      </c>
      <c r="P20" s="490">
        <f t="shared" si="16"/>
        <v>0</v>
      </c>
      <c r="Q20" s="490">
        <f t="shared" si="16"/>
        <v>0</v>
      </c>
      <c r="R20" s="490">
        <f t="shared" si="16"/>
        <v>0</v>
      </c>
      <c r="S20" s="490">
        <f t="shared" si="16"/>
        <v>0</v>
      </c>
      <c r="T20" s="490">
        <f t="shared" si="16"/>
        <v>0</v>
      </c>
      <c r="U20" s="490">
        <f t="shared" si="16"/>
        <v>0</v>
      </c>
      <c r="V20" s="490">
        <f t="shared" si="16"/>
        <v>0</v>
      </c>
      <c r="W20" s="490">
        <f t="shared" si="16"/>
        <v>0</v>
      </c>
      <c r="X20" s="490">
        <f t="shared" si="16"/>
        <v>0</v>
      </c>
      <c r="Y20" s="490">
        <f t="shared" si="16"/>
        <v>0</v>
      </c>
      <c r="Z20" s="490">
        <f t="shared" si="16"/>
        <v>0</v>
      </c>
      <c r="AA20" s="490">
        <f t="shared" si="16"/>
        <v>0</v>
      </c>
      <c r="AB20" s="490">
        <f t="shared" si="16"/>
        <v>0</v>
      </c>
      <c r="AC20" s="490">
        <f t="shared" si="16"/>
        <v>0</v>
      </c>
      <c r="AD20" s="490">
        <f t="shared" si="16"/>
        <v>0</v>
      </c>
      <c r="AE20" s="490">
        <f t="shared" si="16"/>
        <v>0</v>
      </c>
      <c r="AF20" s="758">
        <f t="shared" si="16"/>
        <v>0</v>
      </c>
      <c r="AG20" s="492"/>
      <c r="AH20" s="4"/>
    </row>
    <row r="21" spans="1:34" ht="15">
      <c r="A21" s="1346"/>
      <c r="B21" s="239">
        <v>14</v>
      </c>
      <c r="C21" s="259" t="s">
        <v>365</v>
      </c>
      <c r="D21" s="284">
        <f>Inputs!D62</f>
        <v>-774</v>
      </c>
      <c r="E21" s="283">
        <f>Inputs!C62</f>
        <v>-1846</v>
      </c>
      <c r="F21" s="776">
        <f>Inputs!B62</f>
        <v>-3049</v>
      </c>
      <c r="G21" s="759">
        <f t="shared" ref="G21:J21" si="17">$D$60*(G6-F6)</f>
        <v>0</v>
      </c>
      <c r="H21" s="446">
        <f t="shared" si="17"/>
        <v>0</v>
      </c>
      <c r="I21" s="446">
        <f t="shared" si="17"/>
        <v>0</v>
      </c>
      <c r="J21" s="447">
        <f t="shared" si="17"/>
        <v>0</v>
      </c>
      <c r="K21" s="327">
        <f t="shared" ref="K21:AF21" si="18">$E$60*(K6-J6)</f>
        <v>0</v>
      </c>
      <c r="L21" s="324">
        <f t="shared" si="18"/>
        <v>0</v>
      </c>
      <c r="M21" s="324">
        <f t="shared" si="18"/>
        <v>0</v>
      </c>
      <c r="N21" s="324">
        <f t="shared" si="18"/>
        <v>0</v>
      </c>
      <c r="O21" s="324">
        <f t="shared" si="18"/>
        <v>0</v>
      </c>
      <c r="P21" s="324">
        <f t="shared" si="18"/>
        <v>0</v>
      </c>
      <c r="Q21" s="324">
        <f t="shared" si="18"/>
        <v>0</v>
      </c>
      <c r="R21" s="324">
        <f t="shared" si="18"/>
        <v>0</v>
      </c>
      <c r="S21" s="324">
        <f t="shared" si="18"/>
        <v>0</v>
      </c>
      <c r="T21" s="324">
        <f t="shared" si="18"/>
        <v>0</v>
      </c>
      <c r="U21" s="324">
        <f t="shared" si="18"/>
        <v>0</v>
      </c>
      <c r="V21" s="324">
        <f t="shared" si="18"/>
        <v>0</v>
      </c>
      <c r="W21" s="324">
        <f t="shared" si="18"/>
        <v>0</v>
      </c>
      <c r="X21" s="324">
        <f t="shared" si="18"/>
        <v>0</v>
      </c>
      <c r="Y21" s="324">
        <f t="shared" si="18"/>
        <v>0</v>
      </c>
      <c r="Z21" s="324">
        <f t="shared" si="18"/>
        <v>0</v>
      </c>
      <c r="AA21" s="324">
        <f t="shared" si="18"/>
        <v>0</v>
      </c>
      <c r="AB21" s="324">
        <f t="shared" si="18"/>
        <v>0</v>
      </c>
      <c r="AC21" s="324">
        <f t="shared" si="18"/>
        <v>0</v>
      </c>
      <c r="AD21" s="324">
        <f t="shared" si="18"/>
        <v>0</v>
      </c>
      <c r="AE21" s="324">
        <f t="shared" si="18"/>
        <v>0</v>
      </c>
      <c r="AF21" s="760">
        <f t="shared" si="18"/>
        <v>0</v>
      </c>
      <c r="AG21" s="492"/>
      <c r="AH21" s="4"/>
    </row>
    <row r="22" spans="1:34" ht="15">
      <c r="A22" s="1346"/>
      <c r="B22" s="239">
        <v>15</v>
      </c>
      <c r="C22" s="264" t="s">
        <v>366</v>
      </c>
      <c r="D22" s="281">
        <f t="shared" ref="D22:AF22" si="19">D19+D20+D21</f>
        <v>-774</v>
      </c>
      <c r="E22" s="282">
        <f t="shared" si="19"/>
        <v>-1846</v>
      </c>
      <c r="F22" s="777">
        <f t="shared" si="19"/>
        <v>-3049</v>
      </c>
      <c r="G22" s="761">
        <f>G19+G20+G21</f>
        <v>0</v>
      </c>
      <c r="H22" s="444" t="e">
        <f t="shared" si="19"/>
        <v>#DIV/0!</v>
      </c>
      <c r="I22" s="444" t="e">
        <f t="shared" si="19"/>
        <v>#DIV/0!</v>
      </c>
      <c r="J22" s="445" t="e">
        <f t="shared" si="19"/>
        <v>#DIV/0!</v>
      </c>
      <c r="K22" s="443" t="e">
        <f t="shared" si="19"/>
        <v>#DIV/0!</v>
      </c>
      <c r="L22" s="444" t="e">
        <f t="shared" si="19"/>
        <v>#DIV/0!</v>
      </c>
      <c r="M22" s="444" t="e">
        <f t="shared" si="19"/>
        <v>#DIV/0!</v>
      </c>
      <c r="N22" s="444" t="e">
        <f t="shared" si="19"/>
        <v>#DIV/0!</v>
      </c>
      <c r="O22" s="444" t="e">
        <f t="shared" si="19"/>
        <v>#DIV/0!</v>
      </c>
      <c r="P22" s="444" t="e">
        <f t="shared" si="19"/>
        <v>#DIV/0!</v>
      </c>
      <c r="Q22" s="444" t="e">
        <f t="shared" si="19"/>
        <v>#DIV/0!</v>
      </c>
      <c r="R22" s="444" t="e">
        <f t="shared" si="19"/>
        <v>#DIV/0!</v>
      </c>
      <c r="S22" s="444" t="e">
        <f t="shared" si="19"/>
        <v>#DIV/0!</v>
      </c>
      <c r="T22" s="444" t="e">
        <f t="shared" si="19"/>
        <v>#DIV/0!</v>
      </c>
      <c r="U22" s="444" t="e">
        <f t="shared" si="19"/>
        <v>#DIV/0!</v>
      </c>
      <c r="V22" s="444" t="e">
        <f t="shared" si="19"/>
        <v>#DIV/0!</v>
      </c>
      <c r="W22" s="444" t="e">
        <f t="shared" si="19"/>
        <v>#DIV/0!</v>
      </c>
      <c r="X22" s="444" t="e">
        <f t="shared" si="19"/>
        <v>#DIV/0!</v>
      </c>
      <c r="Y22" s="444" t="e">
        <f t="shared" si="19"/>
        <v>#DIV/0!</v>
      </c>
      <c r="Z22" s="444" t="e">
        <f t="shared" si="19"/>
        <v>#DIV/0!</v>
      </c>
      <c r="AA22" s="444" t="e">
        <f t="shared" si="19"/>
        <v>#DIV/0!</v>
      </c>
      <c r="AB22" s="444" t="e">
        <f t="shared" si="19"/>
        <v>#DIV/0!</v>
      </c>
      <c r="AC22" s="444" t="e">
        <f t="shared" si="19"/>
        <v>#DIV/0!</v>
      </c>
      <c r="AD22" s="444" t="e">
        <f t="shared" si="19"/>
        <v>#DIV/0!</v>
      </c>
      <c r="AE22" s="444" t="e">
        <f t="shared" si="19"/>
        <v>#DIV/0!</v>
      </c>
      <c r="AF22" s="762" t="e">
        <f t="shared" si="19"/>
        <v>#DIV/0!</v>
      </c>
      <c r="AG22" s="492"/>
      <c r="AH22" s="4"/>
    </row>
    <row r="23" spans="1:34" ht="15">
      <c r="A23" s="1346"/>
      <c r="B23" s="239">
        <v>16</v>
      </c>
      <c r="C23" s="259" t="s">
        <v>367</v>
      </c>
      <c r="D23" s="303">
        <f>'Fin. Data'!D32</f>
        <v>-301</v>
      </c>
      <c r="E23" s="302">
        <f>'Fin. Data'!C32</f>
        <v>-450</v>
      </c>
      <c r="F23" s="778">
        <f>'Fin. Data'!B32</f>
        <v>-546</v>
      </c>
      <c r="G23" s="763">
        <f>G6*$D$62</f>
        <v>0</v>
      </c>
      <c r="H23" s="324">
        <f t="shared" ref="H23:J23" si="20">H6*$D$62</f>
        <v>0</v>
      </c>
      <c r="I23" s="324">
        <f t="shared" si="20"/>
        <v>0</v>
      </c>
      <c r="J23" s="429">
        <f t="shared" si="20"/>
        <v>0</v>
      </c>
      <c r="K23" s="327">
        <f t="shared" ref="K23:AF23" si="21">K6*$E$62</f>
        <v>0</v>
      </c>
      <c r="L23" s="324">
        <f t="shared" si="21"/>
        <v>0</v>
      </c>
      <c r="M23" s="324">
        <f t="shared" si="21"/>
        <v>0</v>
      </c>
      <c r="N23" s="324">
        <f t="shared" si="21"/>
        <v>0</v>
      </c>
      <c r="O23" s="324">
        <f t="shared" si="21"/>
        <v>0</v>
      </c>
      <c r="P23" s="324">
        <f t="shared" si="21"/>
        <v>0</v>
      </c>
      <c r="Q23" s="324">
        <f t="shared" si="21"/>
        <v>0</v>
      </c>
      <c r="R23" s="324">
        <f t="shared" si="21"/>
        <v>0</v>
      </c>
      <c r="S23" s="324">
        <f t="shared" si="21"/>
        <v>0</v>
      </c>
      <c r="T23" s="324">
        <f t="shared" si="21"/>
        <v>0</v>
      </c>
      <c r="U23" s="324">
        <f t="shared" si="21"/>
        <v>0</v>
      </c>
      <c r="V23" s="324">
        <f t="shared" si="21"/>
        <v>0</v>
      </c>
      <c r="W23" s="324">
        <f t="shared" si="21"/>
        <v>0</v>
      </c>
      <c r="X23" s="324">
        <f t="shared" si="21"/>
        <v>0</v>
      </c>
      <c r="Y23" s="324">
        <f t="shared" si="21"/>
        <v>0</v>
      </c>
      <c r="Z23" s="324">
        <f t="shared" si="21"/>
        <v>0</v>
      </c>
      <c r="AA23" s="324">
        <f t="shared" si="21"/>
        <v>0</v>
      </c>
      <c r="AB23" s="324">
        <f t="shared" si="21"/>
        <v>0</v>
      </c>
      <c r="AC23" s="324">
        <f t="shared" si="21"/>
        <v>0</v>
      </c>
      <c r="AD23" s="324">
        <f t="shared" si="21"/>
        <v>0</v>
      </c>
      <c r="AE23" s="324">
        <f t="shared" si="21"/>
        <v>0</v>
      </c>
      <c r="AF23" s="760">
        <f t="shared" si="21"/>
        <v>0</v>
      </c>
      <c r="AG23" s="493">
        <f>SUM(D23:AF23)</f>
        <v>-1297</v>
      </c>
      <c r="AH23" s="4"/>
    </row>
    <row r="24" spans="1:34" ht="15">
      <c r="A24" s="1346"/>
      <c r="B24" s="239">
        <v>17</v>
      </c>
      <c r="C24" s="259" t="s">
        <v>368</v>
      </c>
      <c r="D24" s="284">
        <f>Inputs!D66</f>
        <v>-378</v>
      </c>
      <c r="E24" s="283">
        <f>'Fin. Data'!C33</f>
        <v>2465</v>
      </c>
      <c r="F24" s="776">
        <f>'Fin. Data'!B33</f>
        <v>-866</v>
      </c>
      <c r="G24" s="763">
        <f>G6*$D$63</f>
        <v>0</v>
      </c>
      <c r="H24" s="324">
        <f t="shared" ref="H24:J24" si="22">H6*$D$63</f>
        <v>0</v>
      </c>
      <c r="I24" s="324">
        <f t="shared" si="22"/>
        <v>0</v>
      </c>
      <c r="J24" s="429">
        <f t="shared" si="22"/>
        <v>0</v>
      </c>
      <c r="K24" s="327">
        <f t="shared" ref="K24:AF24" si="23">K6*$E$63</f>
        <v>0</v>
      </c>
      <c r="L24" s="324">
        <f t="shared" si="23"/>
        <v>0</v>
      </c>
      <c r="M24" s="324">
        <f t="shared" si="23"/>
        <v>0</v>
      </c>
      <c r="N24" s="324">
        <f t="shared" si="23"/>
        <v>0</v>
      </c>
      <c r="O24" s="324">
        <f t="shared" si="23"/>
        <v>0</v>
      </c>
      <c r="P24" s="324">
        <f t="shared" si="23"/>
        <v>0</v>
      </c>
      <c r="Q24" s="324">
        <f t="shared" si="23"/>
        <v>0</v>
      </c>
      <c r="R24" s="324">
        <f t="shared" si="23"/>
        <v>0</v>
      </c>
      <c r="S24" s="324">
        <f t="shared" si="23"/>
        <v>0</v>
      </c>
      <c r="T24" s="324">
        <f t="shared" si="23"/>
        <v>0</v>
      </c>
      <c r="U24" s="324">
        <f t="shared" si="23"/>
        <v>0</v>
      </c>
      <c r="V24" s="324">
        <f t="shared" si="23"/>
        <v>0</v>
      </c>
      <c r="W24" s="324">
        <f t="shared" si="23"/>
        <v>0</v>
      </c>
      <c r="X24" s="324">
        <f t="shared" si="23"/>
        <v>0</v>
      </c>
      <c r="Y24" s="324">
        <f t="shared" si="23"/>
        <v>0</v>
      </c>
      <c r="Z24" s="324">
        <f t="shared" si="23"/>
        <v>0</v>
      </c>
      <c r="AA24" s="324">
        <f t="shared" si="23"/>
        <v>0</v>
      </c>
      <c r="AB24" s="324">
        <f t="shared" si="23"/>
        <v>0</v>
      </c>
      <c r="AC24" s="324">
        <f t="shared" si="23"/>
        <v>0</v>
      </c>
      <c r="AD24" s="324">
        <f t="shared" si="23"/>
        <v>0</v>
      </c>
      <c r="AE24" s="324">
        <f t="shared" si="23"/>
        <v>0</v>
      </c>
      <c r="AF24" s="760">
        <f t="shared" si="23"/>
        <v>0</v>
      </c>
      <c r="AG24" s="492"/>
      <c r="AH24" s="494">
        <f>AG9-AG23</f>
        <v>1297</v>
      </c>
    </row>
    <row r="25" spans="1:34" ht="15">
      <c r="A25" s="1346"/>
      <c r="B25" s="239">
        <v>18</v>
      </c>
      <c r="C25" s="259" t="s">
        <v>369</v>
      </c>
      <c r="D25" s="284">
        <f>Inputs!D67</f>
        <v>-7</v>
      </c>
      <c r="E25" s="283">
        <f>Inputs!C67</f>
        <v>-16</v>
      </c>
      <c r="F25" s="776">
        <f>Inputs!B67</f>
        <v>-11</v>
      </c>
      <c r="G25" s="763">
        <f>(1+G5)*AVERAGE(D25:F25)</f>
        <v>0</v>
      </c>
      <c r="H25" s="324" t="e">
        <f t="shared" ref="H25:AF25" si="24">(1+H5)*AVERAGE(E25:G25)</f>
        <v>#DIV/0!</v>
      </c>
      <c r="I25" s="324" t="e">
        <f t="shared" si="24"/>
        <v>#DIV/0!</v>
      </c>
      <c r="J25" s="429" t="e">
        <f t="shared" si="24"/>
        <v>#DIV/0!</v>
      </c>
      <c r="K25" s="327" t="e">
        <f t="shared" si="24"/>
        <v>#DIV/0!</v>
      </c>
      <c r="L25" s="324" t="e">
        <f t="shared" si="24"/>
        <v>#DIV/0!</v>
      </c>
      <c r="M25" s="324" t="e">
        <f t="shared" si="24"/>
        <v>#DIV/0!</v>
      </c>
      <c r="N25" s="324" t="e">
        <f t="shared" si="24"/>
        <v>#DIV/0!</v>
      </c>
      <c r="O25" s="324" t="e">
        <f t="shared" si="24"/>
        <v>#DIV/0!</v>
      </c>
      <c r="P25" s="324" t="e">
        <f t="shared" si="24"/>
        <v>#DIV/0!</v>
      </c>
      <c r="Q25" s="324" t="e">
        <f t="shared" si="24"/>
        <v>#DIV/0!</v>
      </c>
      <c r="R25" s="324" t="e">
        <f t="shared" si="24"/>
        <v>#DIV/0!</v>
      </c>
      <c r="S25" s="324" t="e">
        <f t="shared" si="24"/>
        <v>#DIV/0!</v>
      </c>
      <c r="T25" s="324" t="e">
        <f t="shared" si="24"/>
        <v>#DIV/0!</v>
      </c>
      <c r="U25" s="324" t="e">
        <f t="shared" si="24"/>
        <v>#DIV/0!</v>
      </c>
      <c r="V25" s="324" t="e">
        <f t="shared" si="24"/>
        <v>#DIV/0!</v>
      </c>
      <c r="W25" s="324" t="e">
        <f t="shared" si="24"/>
        <v>#DIV/0!</v>
      </c>
      <c r="X25" s="324" t="e">
        <f t="shared" si="24"/>
        <v>#DIV/0!</v>
      </c>
      <c r="Y25" s="324" t="e">
        <f t="shared" si="24"/>
        <v>#DIV/0!</v>
      </c>
      <c r="Z25" s="324" t="e">
        <f t="shared" si="24"/>
        <v>#DIV/0!</v>
      </c>
      <c r="AA25" s="324" t="e">
        <f t="shared" si="24"/>
        <v>#DIV/0!</v>
      </c>
      <c r="AB25" s="324" t="e">
        <f t="shared" si="24"/>
        <v>#DIV/0!</v>
      </c>
      <c r="AC25" s="324" t="e">
        <f t="shared" si="24"/>
        <v>#DIV/0!</v>
      </c>
      <c r="AD25" s="324" t="e">
        <f t="shared" si="24"/>
        <v>#DIV/0!</v>
      </c>
      <c r="AE25" s="324" t="e">
        <f t="shared" si="24"/>
        <v>#DIV/0!</v>
      </c>
      <c r="AF25" s="760" t="e">
        <f t="shared" si="24"/>
        <v>#DIV/0!</v>
      </c>
      <c r="AG25" s="306"/>
      <c r="AH25" s="4"/>
    </row>
    <row r="26" spans="1:34" ht="15">
      <c r="A26" s="1346"/>
      <c r="B26" s="239">
        <v>19</v>
      </c>
      <c r="C26" s="264" t="s">
        <v>370</v>
      </c>
      <c r="D26" s="281">
        <f t="shared" ref="D26:AF26" si="25">D23+D24+D25</f>
        <v>-686</v>
      </c>
      <c r="E26" s="282">
        <f t="shared" si="25"/>
        <v>1999</v>
      </c>
      <c r="F26" s="777">
        <f t="shared" si="25"/>
        <v>-1423</v>
      </c>
      <c r="G26" s="764">
        <f>G23+G24+G25</f>
        <v>0</v>
      </c>
      <c r="H26" s="340" t="e">
        <f t="shared" si="25"/>
        <v>#DIV/0!</v>
      </c>
      <c r="I26" s="340" t="e">
        <f t="shared" si="25"/>
        <v>#DIV/0!</v>
      </c>
      <c r="J26" s="428" t="e">
        <f t="shared" si="25"/>
        <v>#DIV/0!</v>
      </c>
      <c r="K26" s="341" t="e">
        <f t="shared" si="25"/>
        <v>#DIV/0!</v>
      </c>
      <c r="L26" s="340" t="e">
        <f t="shared" si="25"/>
        <v>#DIV/0!</v>
      </c>
      <c r="M26" s="340" t="e">
        <f t="shared" si="25"/>
        <v>#DIV/0!</v>
      </c>
      <c r="N26" s="340" t="e">
        <f t="shared" si="25"/>
        <v>#DIV/0!</v>
      </c>
      <c r="O26" s="340" t="e">
        <f t="shared" si="25"/>
        <v>#DIV/0!</v>
      </c>
      <c r="P26" s="340" t="e">
        <f t="shared" si="25"/>
        <v>#DIV/0!</v>
      </c>
      <c r="Q26" s="340" t="e">
        <f t="shared" si="25"/>
        <v>#DIV/0!</v>
      </c>
      <c r="R26" s="340" t="e">
        <f t="shared" si="25"/>
        <v>#DIV/0!</v>
      </c>
      <c r="S26" s="340" t="e">
        <f t="shared" si="25"/>
        <v>#DIV/0!</v>
      </c>
      <c r="T26" s="340" t="e">
        <f t="shared" si="25"/>
        <v>#DIV/0!</v>
      </c>
      <c r="U26" s="340" t="e">
        <f t="shared" si="25"/>
        <v>#DIV/0!</v>
      </c>
      <c r="V26" s="340" t="e">
        <f t="shared" si="25"/>
        <v>#DIV/0!</v>
      </c>
      <c r="W26" s="340" t="e">
        <f t="shared" si="25"/>
        <v>#DIV/0!</v>
      </c>
      <c r="X26" s="340" t="e">
        <f t="shared" si="25"/>
        <v>#DIV/0!</v>
      </c>
      <c r="Y26" s="340" t="e">
        <f t="shared" si="25"/>
        <v>#DIV/0!</v>
      </c>
      <c r="Z26" s="340" t="e">
        <f t="shared" si="25"/>
        <v>#DIV/0!</v>
      </c>
      <c r="AA26" s="340" t="e">
        <f t="shared" si="25"/>
        <v>#DIV/0!</v>
      </c>
      <c r="AB26" s="340" t="e">
        <f t="shared" si="25"/>
        <v>#DIV/0!</v>
      </c>
      <c r="AC26" s="340" t="e">
        <f t="shared" si="25"/>
        <v>#DIV/0!</v>
      </c>
      <c r="AD26" s="340" t="e">
        <f t="shared" si="25"/>
        <v>#DIV/0!</v>
      </c>
      <c r="AE26" s="340" t="e">
        <f t="shared" si="25"/>
        <v>#DIV/0!</v>
      </c>
      <c r="AF26" s="765" t="e">
        <f t="shared" si="25"/>
        <v>#DIV/0!</v>
      </c>
      <c r="AG26" s="492"/>
      <c r="AH26" s="4"/>
    </row>
    <row r="27" spans="1:34" ht="15">
      <c r="A27" s="1346"/>
      <c r="B27" s="239">
        <v>20</v>
      </c>
      <c r="C27" s="259" t="s">
        <v>371</v>
      </c>
      <c r="D27" s="284">
        <f>Inputs!D71+Inputs!D72</f>
        <v>0</v>
      </c>
      <c r="E27" s="283">
        <f>Inputs!C71+Inputs!C72</f>
        <v>0</v>
      </c>
      <c r="F27" s="778">
        <f>Inputs!B71+Inputs!B72</f>
        <v>0</v>
      </c>
      <c r="G27" s="766">
        <f>G6*$D$66</f>
        <v>0</v>
      </c>
      <c r="H27" s="286">
        <f t="shared" ref="H27:J27" si="26">H6*$D$66</f>
        <v>0</v>
      </c>
      <c r="I27" s="286">
        <f t="shared" si="26"/>
        <v>0</v>
      </c>
      <c r="J27" s="739">
        <f t="shared" si="26"/>
        <v>0</v>
      </c>
      <c r="K27" s="738">
        <f>$E$66*K6</f>
        <v>0</v>
      </c>
      <c r="L27" s="286">
        <f>$E$66*L6</f>
        <v>0</v>
      </c>
      <c r="M27" s="286">
        <f t="shared" ref="M27:AE27" si="27">$E$66*M6</f>
        <v>0</v>
      </c>
      <c r="N27" s="286">
        <f t="shared" si="27"/>
        <v>0</v>
      </c>
      <c r="O27" s="286">
        <f t="shared" si="27"/>
        <v>0</v>
      </c>
      <c r="P27" s="286">
        <f t="shared" si="27"/>
        <v>0</v>
      </c>
      <c r="Q27" s="286">
        <f t="shared" si="27"/>
        <v>0</v>
      </c>
      <c r="R27" s="286">
        <f t="shared" si="27"/>
        <v>0</v>
      </c>
      <c r="S27" s="286">
        <f t="shared" si="27"/>
        <v>0</v>
      </c>
      <c r="T27" s="286">
        <f t="shared" si="27"/>
        <v>0</v>
      </c>
      <c r="U27" s="286">
        <f t="shared" si="27"/>
        <v>0</v>
      </c>
      <c r="V27" s="286">
        <f t="shared" si="27"/>
        <v>0</v>
      </c>
      <c r="W27" s="286">
        <f t="shared" si="27"/>
        <v>0</v>
      </c>
      <c r="X27" s="286">
        <f t="shared" si="27"/>
        <v>0</v>
      </c>
      <c r="Y27" s="286">
        <f t="shared" si="27"/>
        <v>0</v>
      </c>
      <c r="Z27" s="286">
        <f t="shared" si="27"/>
        <v>0</v>
      </c>
      <c r="AA27" s="286">
        <f t="shared" si="27"/>
        <v>0</v>
      </c>
      <c r="AB27" s="286">
        <f t="shared" si="27"/>
        <v>0</v>
      </c>
      <c r="AC27" s="286">
        <f t="shared" si="27"/>
        <v>0</v>
      </c>
      <c r="AD27" s="286">
        <f t="shared" si="27"/>
        <v>0</v>
      </c>
      <c r="AE27" s="286">
        <f t="shared" si="27"/>
        <v>0</v>
      </c>
      <c r="AF27" s="767">
        <f>$E$66*AF6</f>
        <v>0</v>
      </c>
      <c r="AG27" s="492"/>
      <c r="AH27" s="4"/>
    </row>
    <row r="28" spans="1:34" ht="15">
      <c r="A28" s="1346"/>
      <c r="B28" s="239">
        <v>21</v>
      </c>
      <c r="C28" s="259" t="s">
        <v>372</v>
      </c>
      <c r="D28" s="303">
        <f>+SUM(Inputs!D69:D70)</f>
        <v>0</v>
      </c>
      <c r="E28" s="283">
        <f>+SUM(Inputs!C69:C70)</f>
        <v>679</v>
      </c>
      <c r="F28" s="776">
        <f>+SUM(Inputs!B69:B70)</f>
        <v>0</v>
      </c>
      <c r="G28" s="763">
        <f>G44-F44</f>
        <v>-2252</v>
      </c>
      <c r="H28" s="324">
        <f t="shared" ref="H28:AF28" si="28">H44-G44</f>
        <v>0</v>
      </c>
      <c r="I28" s="324">
        <f t="shared" si="28"/>
        <v>0</v>
      </c>
      <c r="J28" s="429">
        <f t="shared" si="28"/>
        <v>0</v>
      </c>
      <c r="K28" s="327">
        <f t="shared" si="28"/>
        <v>0</v>
      </c>
      <c r="L28" s="324">
        <f t="shared" si="28"/>
        <v>0</v>
      </c>
      <c r="M28" s="324">
        <f t="shared" si="28"/>
        <v>0</v>
      </c>
      <c r="N28" s="324">
        <f t="shared" si="28"/>
        <v>0</v>
      </c>
      <c r="O28" s="324">
        <f t="shared" si="28"/>
        <v>0</v>
      </c>
      <c r="P28" s="324">
        <f t="shared" si="28"/>
        <v>0</v>
      </c>
      <c r="Q28" s="324">
        <f t="shared" si="28"/>
        <v>0</v>
      </c>
      <c r="R28" s="324">
        <f t="shared" si="28"/>
        <v>0</v>
      </c>
      <c r="S28" s="324">
        <f t="shared" si="28"/>
        <v>0</v>
      </c>
      <c r="T28" s="324">
        <f t="shared" si="28"/>
        <v>0</v>
      </c>
      <c r="U28" s="324">
        <f t="shared" si="28"/>
        <v>0</v>
      </c>
      <c r="V28" s="324">
        <f t="shared" si="28"/>
        <v>0</v>
      </c>
      <c r="W28" s="324">
        <f t="shared" si="28"/>
        <v>0</v>
      </c>
      <c r="X28" s="324">
        <f t="shared" si="28"/>
        <v>0</v>
      </c>
      <c r="Y28" s="324">
        <f t="shared" si="28"/>
        <v>0</v>
      </c>
      <c r="Z28" s="324">
        <f t="shared" si="28"/>
        <v>0</v>
      </c>
      <c r="AA28" s="324">
        <f t="shared" si="28"/>
        <v>0</v>
      </c>
      <c r="AB28" s="324">
        <f t="shared" si="28"/>
        <v>0</v>
      </c>
      <c r="AC28" s="324">
        <f t="shared" si="28"/>
        <v>0</v>
      </c>
      <c r="AD28" s="324">
        <f t="shared" si="28"/>
        <v>0</v>
      </c>
      <c r="AE28" s="324">
        <f t="shared" si="28"/>
        <v>0</v>
      </c>
      <c r="AF28" s="760">
        <f t="shared" si="28"/>
        <v>0</v>
      </c>
      <c r="AG28" s="492"/>
      <c r="AH28" s="4"/>
    </row>
    <row r="29" spans="1:34" ht="15">
      <c r="A29" s="1346"/>
      <c r="B29" s="239">
        <v>22</v>
      </c>
      <c r="C29" s="259" t="s">
        <v>373</v>
      </c>
      <c r="D29" s="303">
        <f>'Fin. Data'!D28</f>
        <v>-1762</v>
      </c>
      <c r="E29" s="283">
        <f>'Fin. Data'!C28</f>
        <v>-3702</v>
      </c>
      <c r="F29" s="778">
        <f>'Fin. Data'!B28</f>
        <v>-985</v>
      </c>
      <c r="G29" s="763">
        <f>-G17*$D$65</f>
        <v>0</v>
      </c>
      <c r="H29" s="324" t="e">
        <f>-H17*$D$65</f>
        <v>#DIV/0!</v>
      </c>
      <c r="I29" s="324" t="e">
        <f>-I17*$D$65</f>
        <v>#DIV/0!</v>
      </c>
      <c r="J29" s="429" t="e">
        <f>-J17*$D$65</f>
        <v>#DIV/0!</v>
      </c>
      <c r="K29" s="327" t="e">
        <f t="shared" ref="K29:AF29" si="29">-K17*$E$65</f>
        <v>#DIV/0!</v>
      </c>
      <c r="L29" s="324" t="e">
        <f t="shared" si="29"/>
        <v>#DIV/0!</v>
      </c>
      <c r="M29" s="324" t="e">
        <f t="shared" si="29"/>
        <v>#DIV/0!</v>
      </c>
      <c r="N29" s="324" t="e">
        <f t="shared" si="29"/>
        <v>#DIV/0!</v>
      </c>
      <c r="O29" s="324" t="e">
        <f t="shared" si="29"/>
        <v>#DIV/0!</v>
      </c>
      <c r="P29" s="324" t="e">
        <f t="shared" si="29"/>
        <v>#DIV/0!</v>
      </c>
      <c r="Q29" s="324" t="e">
        <f t="shared" si="29"/>
        <v>#DIV/0!</v>
      </c>
      <c r="R29" s="324" t="e">
        <f t="shared" si="29"/>
        <v>#DIV/0!</v>
      </c>
      <c r="S29" s="324" t="e">
        <f t="shared" si="29"/>
        <v>#DIV/0!</v>
      </c>
      <c r="T29" s="324" t="e">
        <f t="shared" si="29"/>
        <v>#DIV/0!</v>
      </c>
      <c r="U29" s="324" t="e">
        <f t="shared" si="29"/>
        <v>#DIV/0!</v>
      </c>
      <c r="V29" s="324" t="e">
        <f t="shared" si="29"/>
        <v>#DIV/0!</v>
      </c>
      <c r="W29" s="324" t="e">
        <f t="shared" si="29"/>
        <v>#DIV/0!</v>
      </c>
      <c r="X29" s="324" t="e">
        <f t="shared" si="29"/>
        <v>#DIV/0!</v>
      </c>
      <c r="Y29" s="324" t="e">
        <f t="shared" si="29"/>
        <v>#DIV/0!</v>
      </c>
      <c r="Z29" s="324" t="e">
        <f t="shared" si="29"/>
        <v>#DIV/0!</v>
      </c>
      <c r="AA29" s="324" t="e">
        <f t="shared" si="29"/>
        <v>#DIV/0!</v>
      </c>
      <c r="AB29" s="324" t="e">
        <f t="shared" si="29"/>
        <v>#DIV/0!</v>
      </c>
      <c r="AC29" s="324" t="e">
        <f t="shared" si="29"/>
        <v>#DIV/0!</v>
      </c>
      <c r="AD29" s="324" t="e">
        <f t="shared" si="29"/>
        <v>#DIV/0!</v>
      </c>
      <c r="AE29" s="324" t="e">
        <f t="shared" si="29"/>
        <v>#DIV/0!</v>
      </c>
      <c r="AF29" s="760" t="e">
        <f t="shared" si="29"/>
        <v>#DIV/0!</v>
      </c>
      <c r="AG29" s="492"/>
      <c r="AH29" s="4"/>
    </row>
    <row r="30" spans="1:34" s="4" customFormat="1" ht="15">
      <c r="A30" s="1346"/>
      <c r="B30" s="239">
        <v>23</v>
      </c>
      <c r="C30" s="259" t="s">
        <v>374</v>
      </c>
      <c r="D30" s="284">
        <f>'Fin. Data'!D27</f>
        <v>0</v>
      </c>
      <c r="E30" s="283">
        <f>'Fin. Data'!C27</f>
        <v>0</v>
      </c>
      <c r="F30" s="776">
        <f>'Fin. Data'!B27</f>
        <v>0</v>
      </c>
      <c r="G30" s="763">
        <f>-$D$64*G17</f>
        <v>0</v>
      </c>
      <c r="H30" s="324" t="e">
        <f t="shared" ref="H30:J30" si="30">-$D$64*H17</f>
        <v>#DIV/0!</v>
      </c>
      <c r="I30" s="324" t="e">
        <f t="shared" si="30"/>
        <v>#DIV/0!</v>
      </c>
      <c r="J30" s="429" t="e">
        <f t="shared" si="30"/>
        <v>#DIV/0!</v>
      </c>
      <c r="K30" s="327" t="e">
        <f t="shared" ref="K30:AF30" si="31">-$E$64*K17</f>
        <v>#DIV/0!</v>
      </c>
      <c r="L30" s="324" t="e">
        <f t="shared" si="31"/>
        <v>#DIV/0!</v>
      </c>
      <c r="M30" s="324" t="e">
        <f t="shared" si="31"/>
        <v>#DIV/0!</v>
      </c>
      <c r="N30" s="324" t="e">
        <f t="shared" si="31"/>
        <v>#DIV/0!</v>
      </c>
      <c r="O30" s="324" t="e">
        <f t="shared" si="31"/>
        <v>#DIV/0!</v>
      </c>
      <c r="P30" s="324" t="e">
        <f t="shared" si="31"/>
        <v>#DIV/0!</v>
      </c>
      <c r="Q30" s="324" t="e">
        <f t="shared" si="31"/>
        <v>#DIV/0!</v>
      </c>
      <c r="R30" s="324" t="e">
        <f t="shared" si="31"/>
        <v>#DIV/0!</v>
      </c>
      <c r="S30" s="324" t="e">
        <f t="shared" si="31"/>
        <v>#DIV/0!</v>
      </c>
      <c r="T30" s="324" t="e">
        <f t="shared" si="31"/>
        <v>#DIV/0!</v>
      </c>
      <c r="U30" s="324" t="e">
        <f t="shared" si="31"/>
        <v>#DIV/0!</v>
      </c>
      <c r="V30" s="324" t="e">
        <f t="shared" si="31"/>
        <v>#DIV/0!</v>
      </c>
      <c r="W30" s="324" t="e">
        <f t="shared" si="31"/>
        <v>#DIV/0!</v>
      </c>
      <c r="X30" s="324" t="e">
        <f t="shared" si="31"/>
        <v>#DIV/0!</v>
      </c>
      <c r="Y30" s="324" t="e">
        <f t="shared" si="31"/>
        <v>#DIV/0!</v>
      </c>
      <c r="Z30" s="324" t="e">
        <f t="shared" si="31"/>
        <v>#DIV/0!</v>
      </c>
      <c r="AA30" s="324" t="e">
        <f t="shared" si="31"/>
        <v>#DIV/0!</v>
      </c>
      <c r="AB30" s="324" t="e">
        <f t="shared" si="31"/>
        <v>#DIV/0!</v>
      </c>
      <c r="AC30" s="324" t="e">
        <f t="shared" si="31"/>
        <v>#DIV/0!</v>
      </c>
      <c r="AD30" s="324" t="e">
        <f t="shared" si="31"/>
        <v>#DIV/0!</v>
      </c>
      <c r="AE30" s="324" t="e">
        <f t="shared" si="31"/>
        <v>#DIV/0!</v>
      </c>
      <c r="AF30" s="760" t="e">
        <f t="shared" si="31"/>
        <v>#DIV/0!</v>
      </c>
      <c r="AG30" s="492"/>
    </row>
    <row r="31" spans="1:34" s="2" customFormat="1" ht="15">
      <c r="A31" s="1346"/>
      <c r="B31" s="239">
        <v>24</v>
      </c>
      <c r="C31" s="259" t="s">
        <v>375</v>
      </c>
      <c r="D31" s="364">
        <f>Inputs!D75</f>
        <v>-133</v>
      </c>
      <c r="E31" s="363">
        <f>Inputs!C75</f>
        <v>-241</v>
      </c>
      <c r="F31" s="779">
        <f>Inputs!B75</f>
        <v>-161</v>
      </c>
      <c r="G31" s="763">
        <f>(1+G5)*AVERAGE(D31:F31)</f>
        <v>0</v>
      </c>
      <c r="H31" s="324" t="e">
        <f t="shared" ref="H31:AF31" si="32">(1+H5)*AVERAGE(E31:G31)</f>
        <v>#DIV/0!</v>
      </c>
      <c r="I31" s="324" t="e">
        <f t="shared" si="32"/>
        <v>#DIV/0!</v>
      </c>
      <c r="J31" s="429" t="e">
        <f t="shared" si="32"/>
        <v>#DIV/0!</v>
      </c>
      <c r="K31" s="470" t="e">
        <f t="shared" si="32"/>
        <v>#DIV/0!</v>
      </c>
      <c r="L31" s="471" t="e">
        <f t="shared" si="32"/>
        <v>#DIV/0!</v>
      </c>
      <c r="M31" s="471" t="e">
        <f t="shared" si="32"/>
        <v>#DIV/0!</v>
      </c>
      <c r="N31" s="471" t="e">
        <f t="shared" si="32"/>
        <v>#DIV/0!</v>
      </c>
      <c r="O31" s="471" t="e">
        <f t="shared" si="32"/>
        <v>#DIV/0!</v>
      </c>
      <c r="P31" s="471" t="e">
        <f t="shared" si="32"/>
        <v>#DIV/0!</v>
      </c>
      <c r="Q31" s="471" t="e">
        <f t="shared" si="32"/>
        <v>#DIV/0!</v>
      </c>
      <c r="R31" s="471" t="e">
        <f t="shared" si="32"/>
        <v>#DIV/0!</v>
      </c>
      <c r="S31" s="471" t="e">
        <f t="shared" si="32"/>
        <v>#DIV/0!</v>
      </c>
      <c r="T31" s="471" t="e">
        <f t="shared" si="32"/>
        <v>#DIV/0!</v>
      </c>
      <c r="U31" s="471" t="e">
        <f t="shared" si="32"/>
        <v>#DIV/0!</v>
      </c>
      <c r="V31" s="471" t="e">
        <f t="shared" si="32"/>
        <v>#DIV/0!</v>
      </c>
      <c r="W31" s="471" t="e">
        <f t="shared" si="32"/>
        <v>#DIV/0!</v>
      </c>
      <c r="X31" s="471" t="e">
        <f t="shared" si="32"/>
        <v>#DIV/0!</v>
      </c>
      <c r="Y31" s="471" t="e">
        <f t="shared" si="32"/>
        <v>#DIV/0!</v>
      </c>
      <c r="Z31" s="471" t="e">
        <f t="shared" si="32"/>
        <v>#DIV/0!</v>
      </c>
      <c r="AA31" s="471" t="e">
        <f t="shared" si="32"/>
        <v>#DIV/0!</v>
      </c>
      <c r="AB31" s="471" t="e">
        <f t="shared" si="32"/>
        <v>#DIV/0!</v>
      </c>
      <c r="AC31" s="471" t="e">
        <f t="shared" si="32"/>
        <v>#DIV/0!</v>
      </c>
      <c r="AD31" s="471" t="e">
        <f t="shared" si="32"/>
        <v>#DIV/0!</v>
      </c>
      <c r="AE31" s="471" t="e">
        <f t="shared" si="32"/>
        <v>#DIV/0!</v>
      </c>
      <c r="AF31" s="768" t="e">
        <f t="shared" si="32"/>
        <v>#DIV/0!</v>
      </c>
      <c r="AG31" s="492"/>
      <c r="AH31" s="506"/>
    </row>
    <row r="32" spans="1:34" s="4" customFormat="1" ht="16.5" customHeight="1">
      <c r="A32" s="1346"/>
      <c r="B32" s="240">
        <v>25</v>
      </c>
      <c r="C32" s="265" t="s">
        <v>376</v>
      </c>
      <c r="D32" s="423">
        <f t="shared" ref="D32:AF32" si="33">D27+D28+D29+D30+D31</f>
        <v>-1895</v>
      </c>
      <c r="E32" s="424">
        <f t="shared" si="33"/>
        <v>-3264</v>
      </c>
      <c r="F32" s="425">
        <f t="shared" si="33"/>
        <v>-1146</v>
      </c>
      <c r="G32" s="769">
        <f>G27+G28+G29+G30+G31</f>
        <v>-2252</v>
      </c>
      <c r="H32" s="770" t="e">
        <f t="shared" si="33"/>
        <v>#DIV/0!</v>
      </c>
      <c r="I32" s="770" t="e">
        <f t="shared" si="33"/>
        <v>#DIV/0!</v>
      </c>
      <c r="J32" s="771" t="e">
        <f t="shared" si="33"/>
        <v>#DIV/0!</v>
      </c>
      <c r="K32" s="772" t="e">
        <f t="shared" si="33"/>
        <v>#DIV/0!</v>
      </c>
      <c r="L32" s="770" t="e">
        <f t="shared" si="33"/>
        <v>#DIV/0!</v>
      </c>
      <c r="M32" s="770" t="e">
        <f t="shared" si="33"/>
        <v>#DIV/0!</v>
      </c>
      <c r="N32" s="770" t="e">
        <f t="shared" si="33"/>
        <v>#DIV/0!</v>
      </c>
      <c r="O32" s="770" t="e">
        <f t="shared" si="33"/>
        <v>#DIV/0!</v>
      </c>
      <c r="P32" s="770" t="e">
        <f t="shared" si="33"/>
        <v>#DIV/0!</v>
      </c>
      <c r="Q32" s="770" t="e">
        <f t="shared" si="33"/>
        <v>#DIV/0!</v>
      </c>
      <c r="R32" s="770" t="e">
        <f t="shared" si="33"/>
        <v>#DIV/0!</v>
      </c>
      <c r="S32" s="770" t="e">
        <f t="shared" si="33"/>
        <v>#DIV/0!</v>
      </c>
      <c r="T32" s="770" t="e">
        <f t="shared" si="33"/>
        <v>#DIV/0!</v>
      </c>
      <c r="U32" s="770" t="e">
        <f t="shared" si="33"/>
        <v>#DIV/0!</v>
      </c>
      <c r="V32" s="770" t="e">
        <f t="shared" si="33"/>
        <v>#DIV/0!</v>
      </c>
      <c r="W32" s="770" t="e">
        <f t="shared" si="33"/>
        <v>#DIV/0!</v>
      </c>
      <c r="X32" s="770" t="e">
        <f t="shared" si="33"/>
        <v>#DIV/0!</v>
      </c>
      <c r="Y32" s="770" t="e">
        <f t="shared" si="33"/>
        <v>#DIV/0!</v>
      </c>
      <c r="Z32" s="770" t="e">
        <f t="shared" si="33"/>
        <v>#DIV/0!</v>
      </c>
      <c r="AA32" s="770" t="e">
        <f t="shared" si="33"/>
        <v>#DIV/0!</v>
      </c>
      <c r="AB32" s="770" t="e">
        <f t="shared" si="33"/>
        <v>#DIV/0!</v>
      </c>
      <c r="AC32" s="770" t="e">
        <f t="shared" si="33"/>
        <v>#DIV/0!</v>
      </c>
      <c r="AD32" s="770" t="e">
        <f t="shared" si="33"/>
        <v>#DIV/0!</v>
      </c>
      <c r="AE32" s="770" t="e">
        <f t="shared" si="33"/>
        <v>#DIV/0!</v>
      </c>
      <c r="AF32" s="773" t="e">
        <f t="shared" si="33"/>
        <v>#DIV/0!</v>
      </c>
      <c r="AG32" s="492"/>
    </row>
    <row r="33" spans="1:33">
      <c r="A33" s="1334"/>
      <c r="B33" s="1335"/>
      <c r="C33" s="1335"/>
      <c r="D33" s="1335"/>
      <c r="E33" s="1335"/>
      <c r="F33" s="1335"/>
      <c r="G33" s="1336"/>
      <c r="H33" s="1336"/>
      <c r="I33" s="1336"/>
      <c r="J33" s="1336"/>
      <c r="K33" s="1336"/>
      <c r="L33" s="1336"/>
      <c r="M33" s="1336"/>
      <c r="N33" s="1336"/>
      <c r="O33" s="1336"/>
      <c r="P33" s="1336"/>
      <c r="Q33" s="1336"/>
      <c r="R33" s="1336"/>
      <c r="S33" s="1336"/>
      <c r="T33" s="1336"/>
      <c r="U33" s="1336"/>
      <c r="V33" s="1336"/>
      <c r="W33" s="1336"/>
      <c r="X33" s="1336"/>
      <c r="Y33" s="1336"/>
      <c r="Z33" s="1336"/>
      <c r="AA33" s="1336"/>
      <c r="AB33" s="1336"/>
      <c r="AC33" s="1336"/>
      <c r="AD33" s="1336"/>
      <c r="AE33" s="1336"/>
      <c r="AF33" s="1337"/>
      <c r="AG33" s="4"/>
    </row>
    <row r="34" spans="1:33" ht="15">
      <c r="A34" s="1358" t="s">
        <v>377</v>
      </c>
      <c r="B34" s="239">
        <v>26</v>
      </c>
      <c r="C34" s="243" t="s">
        <v>378</v>
      </c>
      <c r="D34" s="419">
        <f>D22+D26+D27+D28+D31</f>
        <v>-1593</v>
      </c>
      <c r="E34" s="420">
        <f t="shared" ref="E34:AF34" si="34">E22+E26+E27+E28+E31</f>
        <v>591</v>
      </c>
      <c r="F34" s="449">
        <f t="shared" si="34"/>
        <v>-4633</v>
      </c>
      <c r="G34" s="579">
        <f t="shared" si="34"/>
        <v>-2252</v>
      </c>
      <c r="H34" s="421" t="e">
        <f t="shared" si="34"/>
        <v>#DIV/0!</v>
      </c>
      <c r="I34" s="421" t="e">
        <f t="shared" si="34"/>
        <v>#DIV/0!</v>
      </c>
      <c r="J34" s="422" t="e">
        <f t="shared" si="34"/>
        <v>#DIV/0!</v>
      </c>
      <c r="K34" s="448" t="e">
        <f t="shared" si="34"/>
        <v>#DIV/0!</v>
      </c>
      <c r="L34" s="421" t="e">
        <f t="shared" si="34"/>
        <v>#DIV/0!</v>
      </c>
      <c r="M34" s="421" t="e">
        <f t="shared" si="34"/>
        <v>#DIV/0!</v>
      </c>
      <c r="N34" s="421" t="e">
        <f t="shared" si="34"/>
        <v>#DIV/0!</v>
      </c>
      <c r="O34" s="421" t="e">
        <f t="shared" si="34"/>
        <v>#DIV/0!</v>
      </c>
      <c r="P34" s="421" t="e">
        <f t="shared" si="34"/>
        <v>#DIV/0!</v>
      </c>
      <c r="Q34" s="421" t="e">
        <f t="shared" si="34"/>
        <v>#DIV/0!</v>
      </c>
      <c r="R34" s="421" t="e">
        <f t="shared" si="34"/>
        <v>#DIV/0!</v>
      </c>
      <c r="S34" s="421" t="e">
        <f t="shared" si="34"/>
        <v>#DIV/0!</v>
      </c>
      <c r="T34" s="421" t="e">
        <f t="shared" si="34"/>
        <v>#DIV/0!</v>
      </c>
      <c r="U34" s="421" t="e">
        <f t="shared" si="34"/>
        <v>#DIV/0!</v>
      </c>
      <c r="V34" s="421" t="e">
        <f t="shared" si="34"/>
        <v>#DIV/0!</v>
      </c>
      <c r="W34" s="421" t="e">
        <f t="shared" si="34"/>
        <v>#DIV/0!</v>
      </c>
      <c r="X34" s="421" t="e">
        <f t="shared" si="34"/>
        <v>#DIV/0!</v>
      </c>
      <c r="Y34" s="421" t="e">
        <f t="shared" si="34"/>
        <v>#DIV/0!</v>
      </c>
      <c r="Z34" s="421" t="e">
        <f t="shared" si="34"/>
        <v>#DIV/0!</v>
      </c>
      <c r="AA34" s="421" t="e">
        <f t="shared" si="34"/>
        <v>#DIV/0!</v>
      </c>
      <c r="AB34" s="421" t="e">
        <f t="shared" si="34"/>
        <v>#DIV/0!</v>
      </c>
      <c r="AC34" s="421" t="e">
        <f t="shared" si="34"/>
        <v>#DIV/0!</v>
      </c>
      <c r="AD34" s="421" t="e">
        <f t="shared" si="34"/>
        <v>#DIV/0!</v>
      </c>
      <c r="AE34" s="421" t="e">
        <f t="shared" si="34"/>
        <v>#DIV/0!</v>
      </c>
      <c r="AF34" s="422" t="e">
        <f t="shared" si="34"/>
        <v>#DIV/0!</v>
      </c>
      <c r="AG34" s="492"/>
    </row>
    <row r="35" spans="1:33" s="2" customFormat="1" ht="15">
      <c r="A35" s="1358"/>
      <c r="B35" s="239">
        <v>27</v>
      </c>
      <c r="C35" s="243" t="s">
        <v>379</v>
      </c>
      <c r="D35" s="345">
        <f>-1*(D29+D30)</f>
        <v>1762</v>
      </c>
      <c r="E35" s="342">
        <f t="shared" ref="E35:AF35" si="35">-1*(E29+E30)</f>
        <v>3702</v>
      </c>
      <c r="F35" s="347">
        <f t="shared" si="35"/>
        <v>985</v>
      </c>
      <c r="G35" s="355">
        <f t="shared" si="35"/>
        <v>0</v>
      </c>
      <c r="H35" s="304" t="e">
        <f t="shared" si="35"/>
        <v>#DIV/0!</v>
      </c>
      <c r="I35" s="304" t="e">
        <f t="shared" si="35"/>
        <v>#DIV/0!</v>
      </c>
      <c r="J35" s="356" t="e">
        <f t="shared" si="35"/>
        <v>#DIV/0!</v>
      </c>
      <c r="K35" s="304" t="e">
        <f t="shared" si="35"/>
        <v>#DIV/0!</v>
      </c>
      <c r="L35" s="304" t="e">
        <f t="shared" si="35"/>
        <v>#DIV/0!</v>
      </c>
      <c r="M35" s="304" t="e">
        <f t="shared" si="35"/>
        <v>#DIV/0!</v>
      </c>
      <c r="N35" s="304" t="e">
        <f t="shared" si="35"/>
        <v>#DIV/0!</v>
      </c>
      <c r="O35" s="304" t="e">
        <f t="shared" si="35"/>
        <v>#DIV/0!</v>
      </c>
      <c r="P35" s="304" t="e">
        <f t="shared" si="35"/>
        <v>#DIV/0!</v>
      </c>
      <c r="Q35" s="304" t="e">
        <f t="shared" si="35"/>
        <v>#DIV/0!</v>
      </c>
      <c r="R35" s="304" t="e">
        <f t="shared" si="35"/>
        <v>#DIV/0!</v>
      </c>
      <c r="S35" s="304" t="e">
        <f t="shared" si="35"/>
        <v>#DIV/0!</v>
      </c>
      <c r="T35" s="304" t="e">
        <f t="shared" si="35"/>
        <v>#DIV/0!</v>
      </c>
      <c r="U35" s="304" t="e">
        <f t="shared" si="35"/>
        <v>#DIV/0!</v>
      </c>
      <c r="V35" s="304" t="e">
        <f t="shared" si="35"/>
        <v>#DIV/0!</v>
      </c>
      <c r="W35" s="304" t="e">
        <f t="shared" si="35"/>
        <v>#DIV/0!</v>
      </c>
      <c r="X35" s="304" t="e">
        <f t="shared" si="35"/>
        <v>#DIV/0!</v>
      </c>
      <c r="Y35" s="304" t="e">
        <f t="shared" si="35"/>
        <v>#DIV/0!</v>
      </c>
      <c r="Z35" s="304" t="e">
        <f t="shared" si="35"/>
        <v>#DIV/0!</v>
      </c>
      <c r="AA35" s="304" t="e">
        <f t="shared" si="35"/>
        <v>#DIV/0!</v>
      </c>
      <c r="AB35" s="304" t="e">
        <f t="shared" si="35"/>
        <v>#DIV/0!</v>
      </c>
      <c r="AC35" s="304" t="e">
        <f t="shared" si="35"/>
        <v>#DIV/0!</v>
      </c>
      <c r="AD35" s="304" t="e">
        <f t="shared" si="35"/>
        <v>#DIV/0!</v>
      </c>
      <c r="AE35" s="304" t="e">
        <f t="shared" si="35"/>
        <v>#DIV/0!</v>
      </c>
      <c r="AF35" s="356" t="e">
        <f t="shared" si="35"/>
        <v>#DIV/0!</v>
      </c>
      <c r="AG35" s="492"/>
    </row>
    <row r="36" spans="1:33" s="4" customFormat="1" ht="15.75" thickBot="1">
      <c r="A36" s="1358"/>
      <c r="B36" s="240">
        <v>28</v>
      </c>
      <c r="C36" s="238" t="s">
        <v>380</v>
      </c>
      <c r="D36" s="405">
        <f>D34-D35</f>
        <v>-3355</v>
      </c>
      <c r="E36" s="406">
        <f>E34-E35</f>
        <v>-3111</v>
      </c>
      <c r="F36" s="348">
        <f>F34-F35</f>
        <v>-5618</v>
      </c>
      <c r="G36" s="357">
        <f>G34-G35</f>
        <v>-2252</v>
      </c>
      <c r="H36" s="358" t="e">
        <f t="shared" ref="H36:AF36" si="36">H34-H35</f>
        <v>#DIV/0!</v>
      </c>
      <c r="I36" s="358" t="e">
        <f t="shared" si="36"/>
        <v>#DIV/0!</v>
      </c>
      <c r="J36" s="359" t="e">
        <f t="shared" si="36"/>
        <v>#DIV/0!</v>
      </c>
      <c r="K36" s="358" t="e">
        <f t="shared" si="36"/>
        <v>#DIV/0!</v>
      </c>
      <c r="L36" s="358" t="e">
        <f t="shared" si="36"/>
        <v>#DIV/0!</v>
      </c>
      <c r="M36" s="358" t="e">
        <f t="shared" si="36"/>
        <v>#DIV/0!</v>
      </c>
      <c r="N36" s="358" t="e">
        <f t="shared" si="36"/>
        <v>#DIV/0!</v>
      </c>
      <c r="O36" s="358" t="e">
        <f t="shared" si="36"/>
        <v>#DIV/0!</v>
      </c>
      <c r="P36" s="358" t="e">
        <f t="shared" si="36"/>
        <v>#DIV/0!</v>
      </c>
      <c r="Q36" s="358" t="e">
        <f t="shared" si="36"/>
        <v>#DIV/0!</v>
      </c>
      <c r="R36" s="358" t="e">
        <f t="shared" si="36"/>
        <v>#DIV/0!</v>
      </c>
      <c r="S36" s="358" t="e">
        <f t="shared" si="36"/>
        <v>#DIV/0!</v>
      </c>
      <c r="T36" s="358" t="e">
        <f t="shared" si="36"/>
        <v>#DIV/0!</v>
      </c>
      <c r="U36" s="358" t="e">
        <f t="shared" si="36"/>
        <v>#DIV/0!</v>
      </c>
      <c r="V36" s="358" t="e">
        <f t="shared" si="36"/>
        <v>#DIV/0!</v>
      </c>
      <c r="W36" s="358" t="e">
        <f t="shared" si="36"/>
        <v>#DIV/0!</v>
      </c>
      <c r="X36" s="358" t="e">
        <f t="shared" si="36"/>
        <v>#DIV/0!</v>
      </c>
      <c r="Y36" s="358" t="e">
        <f t="shared" si="36"/>
        <v>#DIV/0!</v>
      </c>
      <c r="Z36" s="358" t="e">
        <f t="shared" si="36"/>
        <v>#DIV/0!</v>
      </c>
      <c r="AA36" s="358" t="e">
        <f t="shared" si="36"/>
        <v>#DIV/0!</v>
      </c>
      <c r="AB36" s="358" t="e">
        <f t="shared" si="36"/>
        <v>#DIV/0!</v>
      </c>
      <c r="AC36" s="358" t="e">
        <f t="shared" si="36"/>
        <v>#DIV/0!</v>
      </c>
      <c r="AD36" s="358" t="e">
        <f t="shared" si="36"/>
        <v>#DIV/0!</v>
      </c>
      <c r="AE36" s="358" t="e">
        <f t="shared" si="36"/>
        <v>#DIV/0!</v>
      </c>
      <c r="AF36" s="359" t="e">
        <f t="shared" si="36"/>
        <v>#DIV/0!</v>
      </c>
      <c r="AG36" s="492"/>
    </row>
    <row r="37" spans="1:33" ht="15.75" thickBot="1">
      <c r="A37" s="248"/>
      <c r="B37" s="246"/>
      <c r="C37" s="247"/>
      <c r="D37" s="426"/>
      <c r="E37" s="426"/>
      <c r="F37" s="426"/>
      <c r="G37" s="426"/>
      <c r="H37" s="426"/>
      <c r="I37" s="426"/>
      <c r="J37" s="426"/>
      <c r="K37" s="426"/>
      <c r="L37" s="426"/>
      <c r="M37" s="426"/>
      <c r="N37" s="426"/>
      <c r="O37" s="426"/>
      <c r="P37" s="426"/>
      <c r="Q37" s="426"/>
      <c r="R37" s="426"/>
      <c r="S37" s="426"/>
      <c r="T37" s="426"/>
      <c r="U37" s="426"/>
      <c r="V37" s="426"/>
      <c r="W37" s="426"/>
      <c r="X37" s="426"/>
      <c r="Y37" s="426"/>
      <c r="Z37" s="426"/>
      <c r="AA37" s="426"/>
      <c r="AB37" s="426"/>
      <c r="AC37" s="426"/>
      <c r="AD37" s="426"/>
      <c r="AE37" s="426"/>
      <c r="AF37" s="427"/>
      <c r="AG37" s="492"/>
    </row>
    <row r="38" spans="1:33" ht="15">
      <c r="A38" s="1359" t="s">
        <v>381</v>
      </c>
      <c r="B38" s="241">
        <v>29</v>
      </c>
      <c r="C38" s="243" t="s">
        <v>382</v>
      </c>
      <c r="D38" s="343"/>
      <c r="E38" s="344"/>
      <c r="F38" s="346"/>
      <c r="G38" s="350">
        <f>+F38+(-G10)</f>
        <v>0</v>
      </c>
      <c r="H38" s="351">
        <f t="shared" ref="H38:AF38" si="37">+G38+(-H10)</f>
        <v>0</v>
      </c>
      <c r="I38" s="351">
        <f t="shared" si="37"/>
        <v>0</v>
      </c>
      <c r="J38" s="352">
        <f t="shared" si="37"/>
        <v>0</v>
      </c>
      <c r="K38" s="450">
        <f t="shared" si="37"/>
        <v>0</v>
      </c>
      <c r="L38" s="351">
        <f t="shared" si="37"/>
        <v>0</v>
      </c>
      <c r="M38" s="351">
        <f t="shared" si="37"/>
        <v>0</v>
      </c>
      <c r="N38" s="351">
        <f t="shared" si="37"/>
        <v>0</v>
      </c>
      <c r="O38" s="351">
        <f t="shared" si="37"/>
        <v>0</v>
      </c>
      <c r="P38" s="351">
        <f t="shared" si="37"/>
        <v>0</v>
      </c>
      <c r="Q38" s="351">
        <f t="shared" si="37"/>
        <v>0</v>
      </c>
      <c r="R38" s="351">
        <f t="shared" si="37"/>
        <v>0</v>
      </c>
      <c r="S38" s="351">
        <f t="shared" si="37"/>
        <v>0</v>
      </c>
      <c r="T38" s="351">
        <f t="shared" si="37"/>
        <v>0</v>
      </c>
      <c r="U38" s="351">
        <f t="shared" si="37"/>
        <v>0</v>
      </c>
      <c r="V38" s="351">
        <f t="shared" si="37"/>
        <v>0</v>
      </c>
      <c r="W38" s="351">
        <f t="shared" si="37"/>
        <v>0</v>
      </c>
      <c r="X38" s="351">
        <f t="shared" si="37"/>
        <v>0</v>
      </c>
      <c r="Y38" s="351">
        <f t="shared" si="37"/>
        <v>0</v>
      </c>
      <c r="Z38" s="351">
        <f t="shared" si="37"/>
        <v>0</v>
      </c>
      <c r="AA38" s="351">
        <f t="shared" si="37"/>
        <v>0</v>
      </c>
      <c r="AB38" s="351">
        <f t="shared" si="37"/>
        <v>0</v>
      </c>
      <c r="AC38" s="351">
        <f t="shared" si="37"/>
        <v>0</v>
      </c>
      <c r="AD38" s="351">
        <f t="shared" si="37"/>
        <v>0</v>
      </c>
      <c r="AE38" s="351">
        <f t="shared" si="37"/>
        <v>0</v>
      </c>
      <c r="AF38" s="352">
        <f t="shared" si="37"/>
        <v>0</v>
      </c>
      <c r="AG38" s="493">
        <f>SUM(G38:AF38)</f>
        <v>0</v>
      </c>
    </row>
    <row r="39" spans="1:33" ht="15">
      <c r="A39" s="1358"/>
      <c r="B39" s="241">
        <v>30</v>
      </c>
      <c r="C39" s="243" t="s">
        <v>383</v>
      </c>
      <c r="D39" s="345"/>
      <c r="E39" s="342"/>
      <c r="F39" s="347"/>
      <c r="G39" s="353">
        <f>F39-G10</f>
        <v>0</v>
      </c>
      <c r="H39" s="349">
        <f t="shared" ref="H39:AF39" si="38">G39-H10</f>
        <v>0</v>
      </c>
      <c r="I39" s="349">
        <f t="shared" si="38"/>
        <v>0</v>
      </c>
      <c r="J39" s="354">
        <f t="shared" si="38"/>
        <v>0</v>
      </c>
      <c r="K39" s="451">
        <f t="shared" si="38"/>
        <v>0</v>
      </c>
      <c r="L39" s="349">
        <f t="shared" si="38"/>
        <v>0</v>
      </c>
      <c r="M39" s="349">
        <f t="shared" si="38"/>
        <v>0</v>
      </c>
      <c r="N39" s="349">
        <f t="shared" si="38"/>
        <v>0</v>
      </c>
      <c r="O39" s="349">
        <f t="shared" si="38"/>
        <v>0</v>
      </c>
      <c r="P39" s="349">
        <f t="shared" si="38"/>
        <v>0</v>
      </c>
      <c r="Q39" s="349">
        <f t="shared" si="38"/>
        <v>0</v>
      </c>
      <c r="R39" s="349">
        <f t="shared" si="38"/>
        <v>0</v>
      </c>
      <c r="S39" s="349">
        <f t="shared" si="38"/>
        <v>0</v>
      </c>
      <c r="T39" s="349">
        <f t="shared" si="38"/>
        <v>0</v>
      </c>
      <c r="U39" s="349">
        <f t="shared" si="38"/>
        <v>0</v>
      </c>
      <c r="V39" s="349">
        <f t="shared" si="38"/>
        <v>0</v>
      </c>
      <c r="W39" s="349">
        <f t="shared" si="38"/>
        <v>0</v>
      </c>
      <c r="X39" s="349">
        <f t="shared" si="38"/>
        <v>0</v>
      </c>
      <c r="Y39" s="349">
        <f t="shared" si="38"/>
        <v>0</v>
      </c>
      <c r="Z39" s="349">
        <f t="shared" si="38"/>
        <v>0</v>
      </c>
      <c r="AA39" s="349">
        <f t="shared" si="38"/>
        <v>0</v>
      </c>
      <c r="AB39" s="349">
        <f t="shared" si="38"/>
        <v>0</v>
      </c>
      <c r="AC39" s="349">
        <f t="shared" si="38"/>
        <v>0</v>
      </c>
      <c r="AD39" s="349">
        <f t="shared" si="38"/>
        <v>0</v>
      </c>
      <c r="AE39" s="349">
        <f t="shared" si="38"/>
        <v>0</v>
      </c>
      <c r="AF39" s="354">
        <f t="shared" si="38"/>
        <v>0</v>
      </c>
      <c r="AG39" s="493">
        <f>SUM(G39:AF39)</f>
        <v>0</v>
      </c>
    </row>
    <row r="40" spans="1:33" ht="15">
      <c r="A40" s="1358"/>
      <c r="B40" s="241">
        <v>31</v>
      </c>
      <c r="C40" s="243" t="s">
        <v>384</v>
      </c>
      <c r="D40" s="345"/>
      <c r="E40" s="342"/>
      <c r="F40" s="347"/>
      <c r="G40" s="353">
        <f>F40+(-G23)</f>
        <v>0</v>
      </c>
      <c r="H40" s="349">
        <f t="shared" ref="H40:AF40" si="39">G40+(-H23)</f>
        <v>0</v>
      </c>
      <c r="I40" s="349">
        <f t="shared" si="39"/>
        <v>0</v>
      </c>
      <c r="J40" s="354">
        <f t="shared" si="39"/>
        <v>0</v>
      </c>
      <c r="K40" s="451">
        <f t="shared" si="39"/>
        <v>0</v>
      </c>
      <c r="L40" s="349">
        <f t="shared" si="39"/>
        <v>0</v>
      </c>
      <c r="M40" s="349">
        <f t="shared" si="39"/>
        <v>0</v>
      </c>
      <c r="N40" s="349">
        <f t="shared" si="39"/>
        <v>0</v>
      </c>
      <c r="O40" s="349">
        <f t="shared" si="39"/>
        <v>0</v>
      </c>
      <c r="P40" s="349">
        <f t="shared" si="39"/>
        <v>0</v>
      </c>
      <c r="Q40" s="349">
        <f t="shared" si="39"/>
        <v>0</v>
      </c>
      <c r="R40" s="349">
        <f t="shared" si="39"/>
        <v>0</v>
      </c>
      <c r="S40" s="349">
        <f t="shared" si="39"/>
        <v>0</v>
      </c>
      <c r="T40" s="349">
        <f t="shared" si="39"/>
        <v>0</v>
      </c>
      <c r="U40" s="349">
        <f t="shared" si="39"/>
        <v>0</v>
      </c>
      <c r="V40" s="349">
        <f t="shared" si="39"/>
        <v>0</v>
      </c>
      <c r="W40" s="349">
        <f t="shared" si="39"/>
        <v>0</v>
      </c>
      <c r="X40" s="349">
        <f t="shared" si="39"/>
        <v>0</v>
      </c>
      <c r="Y40" s="349">
        <f t="shared" si="39"/>
        <v>0</v>
      </c>
      <c r="Z40" s="349">
        <f t="shared" si="39"/>
        <v>0</v>
      </c>
      <c r="AA40" s="349">
        <f t="shared" si="39"/>
        <v>0</v>
      </c>
      <c r="AB40" s="349">
        <f t="shared" si="39"/>
        <v>0</v>
      </c>
      <c r="AC40" s="349">
        <f t="shared" si="39"/>
        <v>0</v>
      </c>
      <c r="AD40" s="349">
        <f t="shared" si="39"/>
        <v>0</v>
      </c>
      <c r="AE40" s="349">
        <f t="shared" si="39"/>
        <v>0</v>
      </c>
      <c r="AF40" s="354">
        <f t="shared" si="39"/>
        <v>0</v>
      </c>
      <c r="AG40" s="493">
        <f>SUM(G40:AF40)</f>
        <v>0</v>
      </c>
    </row>
    <row r="41" spans="1:33" ht="15.75" thickBot="1">
      <c r="A41" s="1358"/>
      <c r="B41" s="242">
        <v>32</v>
      </c>
      <c r="C41" s="238" t="s">
        <v>385</v>
      </c>
      <c r="D41" s="580"/>
      <c r="E41" s="581"/>
      <c r="F41" s="582"/>
      <c r="G41" s="583">
        <f>F41-G9</f>
        <v>0</v>
      </c>
      <c r="H41" s="584">
        <f t="shared" ref="H41:AF41" si="40">G41-H9</f>
        <v>0</v>
      </c>
      <c r="I41" s="584">
        <f t="shared" si="40"/>
        <v>0</v>
      </c>
      <c r="J41" s="585">
        <f t="shared" si="40"/>
        <v>0</v>
      </c>
      <c r="K41" s="586">
        <f t="shared" si="40"/>
        <v>0</v>
      </c>
      <c r="L41" s="584">
        <f t="shared" si="40"/>
        <v>0</v>
      </c>
      <c r="M41" s="584">
        <f t="shared" si="40"/>
        <v>0</v>
      </c>
      <c r="N41" s="584">
        <f t="shared" si="40"/>
        <v>0</v>
      </c>
      <c r="O41" s="584">
        <f t="shared" si="40"/>
        <v>0</v>
      </c>
      <c r="P41" s="584">
        <f t="shared" si="40"/>
        <v>0</v>
      </c>
      <c r="Q41" s="584">
        <f t="shared" si="40"/>
        <v>0</v>
      </c>
      <c r="R41" s="584">
        <f t="shared" si="40"/>
        <v>0</v>
      </c>
      <c r="S41" s="584">
        <f t="shared" si="40"/>
        <v>0</v>
      </c>
      <c r="T41" s="584">
        <f t="shared" si="40"/>
        <v>0</v>
      </c>
      <c r="U41" s="584">
        <f t="shared" si="40"/>
        <v>0</v>
      </c>
      <c r="V41" s="584">
        <f t="shared" si="40"/>
        <v>0</v>
      </c>
      <c r="W41" s="584">
        <f t="shared" si="40"/>
        <v>0</v>
      </c>
      <c r="X41" s="584">
        <f t="shared" si="40"/>
        <v>0</v>
      </c>
      <c r="Y41" s="584">
        <f t="shared" si="40"/>
        <v>0</v>
      </c>
      <c r="Z41" s="584">
        <f t="shared" si="40"/>
        <v>0</v>
      </c>
      <c r="AA41" s="584">
        <f t="shared" si="40"/>
        <v>0</v>
      </c>
      <c r="AB41" s="584">
        <f t="shared" si="40"/>
        <v>0</v>
      </c>
      <c r="AC41" s="584">
        <f t="shared" si="40"/>
        <v>0</v>
      </c>
      <c r="AD41" s="584">
        <f t="shared" si="40"/>
        <v>0</v>
      </c>
      <c r="AE41" s="584">
        <f t="shared" si="40"/>
        <v>0</v>
      </c>
      <c r="AF41" s="585">
        <f t="shared" si="40"/>
        <v>0</v>
      </c>
      <c r="AG41" s="493">
        <f>SUM(G41:AF41)</f>
        <v>0</v>
      </c>
    </row>
    <row r="42" spans="1:33" s="4" customFormat="1" ht="15.75" thickBot="1">
      <c r="A42" s="1352"/>
      <c r="B42" s="1353"/>
      <c r="C42" s="1353"/>
      <c r="D42" s="1353"/>
      <c r="E42" s="1353"/>
      <c r="F42" s="1353"/>
      <c r="G42" s="1353"/>
      <c r="H42" s="1353"/>
      <c r="I42" s="1353"/>
      <c r="J42" s="1353"/>
      <c r="K42" s="1353"/>
      <c r="L42" s="1353"/>
      <c r="M42" s="1353"/>
      <c r="N42" s="1353"/>
      <c r="O42" s="1353"/>
      <c r="P42" s="1353"/>
      <c r="Q42" s="1353"/>
      <c r="R42" s="1353"/>
      <c r="S42" s="1353"/>
      <c r="T42" s="1353"/>
      <c r="U42" s="1353"/>
      <c r="V42" s="1353"/>
      <c r="W42" s="1353"/>
      <c r="X42" s="1353"/>
      <c r="Y42" s="1353"/>
      <c r="Z42" s="1353"/>
      <c r="AA42" s="1353"/>
      <c r="AB42" s="1353"/>
      <c r="AC42" s="1353"/>
      <c r="AD42" s="1353"/>
      <c r="AE42" s="1353"/>
      <c r="AF42" s="1354"/>
      <c r="AG42" s="492"/>
    </row>
    <row r="43" spans="1:33" ht="15" customHeight="1">
      <c r="A43" s="1346" t="s">
        <v>386</v>
      </c>
      <c r="B43" s="239">
        <v>33</v>
      </c>
      <c r="C43" s="243" t="s">
        <v>387</v>
      </c>
      <c r="D43" s="573">
        <f>'Fin. Data'!D39</f>
        <v>2535</v>
      </c>
      <c r="E43" s="311">
        <f>E36+D43</f>
        <v>-576</v>
      </c>
      <c r="F43" s="587">
        <f>F36+E43</f>
        <v>-6194</v>
      </c>
      <c r="G43" s="588">
        <f>G36+F43</f>
        <v>-8446</v>
      </c>
      <c r="H43" s="589" t="e">
        <f t="shared" ref="H43:AF43" si="41">H36+G43</f>
        <v>#DIV/0!</v>
      </c>
      <c r="I43" s="589" t="e">
        <f t="shared" si="41"/>
        <v>#DIV/0!</v>
      </c>
      <c r="J43" s="590" t="e">
        <f t="shared" si="41"/>
        <v>#DIV/0!</v>
      </c>
      <c r="K43" s="732" t="e">
        <f t="shared" si="41"/>
        <v>#DIV/0!</v>
      </c>
      <c r="L43" s="733" t="e">
        <f t="shared" si="41"/>
        <v>#DIV/0!</v>
      </c>
      <c r="M43" s="733" t="e">
        <f t="shared" si="41"/>
        <v>#DIV/0!</v>
      </c>
      <c r="N43" s="733" t="e">
        <f t="shared" si="41"/>
        <v>#DIV/0!</v>
      </c>
      <c r="O43" s="733" t="e">
        <f t="shared" si="41"/>
        <v>#DIV/0!</v>
      </c>
      <c r="P43" s="733" t="e">
        <f t="shared" si="41"/>
        <v>#DIV/0!</v>
      </c>
      <c r="Q43" s="733" t="e">
        <f t="shared" si="41"/>
        <v>#DIV/0!</v>
      </c>
      <c r="R43" s="733" t="e">
        <f t="shared" si="41"/>
        <v>#DIV/0!</v>
      </c>
      <c r="S43" s="733" t="e">
        <f t="shared" si="41"/>
        <v>#DIV/0!</v>
      </c>
      <c r="T43" s="733" t="e">
        <f t="shared" si="41"/>
        <v>#DIV/0!</v>
      </c>
      <c r="U43" s="733" t="e">
        <f t="shared" si="41"/>
        <v>#DIV/0!</v>
      </c>
      <c r="V43" s="733" t="e">
        <f t="shared" si="41"/>
        <v>#DIV/0!</v>
      </c>
      <c r="W43" s="733" t="e">
        <f t="shared" si="41"/>
        <v>#DIV/0!</v>
      </c>
      <c r="X43" s="733" t="e">
        <f t="shared" si="41"/>
        <v>#DIV/0!</v>
      </c>
      <c r="Y43" s="733" t="e">
        <f t="shared" si="41"/>
        <v>#DIV/0!</v>
      </c>
      <c r="Z43" s="733" t="e">
        <f t="shared" si="41"/>
        <v>#DIV/0!</v>
      </c>
      <c r="AA43" s="733" t="e">
        <f t="shared" si="41"/>
        <v>#DIV/0!</v>
      </c>
      <c r="AB43" s="733" t="e">
        <f t="shared" si="41"/>
        <v>#DIV/0!</v>
      </c>
      <c r="AC43" s="733" t="e">
        <f t="shared" si="41"/>
        <v>#DIV/0!</v>
      </c>
      <c r="AD43" s="733" t="e">
        <f t="shared" si="41"/>
        <v>#DIV/0!</v>
      </c>
      <c r="AE43" s="733" t="e">
        <f t="shared" si="41"/>
        <v>#DIV/0!</v>
      </c>
      <c r="AF43" s="734" t="e">
        <f t="shared" si="41"/>
        <v>#DIV/0!</v>
      </c>
      <c r="AG43" s="492"/>
    </row>
    <row r="44" spans="1:33" ht="15">
      <c r="A44" s="1346"/>
      <c r="B44" s="239">
        <v>34</v>
      </c>
      <c r="C44" s="243" t="s">
        <v>223</v>
      </c>
      <c r="D44" s="573">
        <f>'Fin. Data'!D58</f>
        <v>349</v>
      </c>
      <c r="E44" s="310">
        <f>'Fin. Data'!C58</f>
        <v>2863</v>
      </c>
      <c r="F44" s="574">
        <f>'Fin. Data'!B58</f>
        <v>2252</v>
      </c>
      <c r="G44" s="729">
        <f>G12*$D$67</f>
        <v>0</v>
      </c>
      <c r="H44" s="730">
        <f>H12*$D$67</f>
        <v>0</v>
      </c>
      <c r="I44" s="730">
        <f>I12*$D$67</f>
        <v>0</v>
      </c>
      <c r="J44" s="731">
        <f>J12*$D$67</f>
        <v>0</v>
      </c>
      <c r="K44" s="729">
        <f t="shared" ref="K44:AF44" si="42">K12*$E$67</f>
        <v>0</v>
      </c>
      <c r="L44" s="730">
        <f t="shared" si="42"/>
        <v>0</v>
      </c>
      <c r="M44" s="730">
        <f t="shared" si="42"/>
        <v>0</v>
      </c>
      <c r="N44" s="730">
        <f t="shared" si="42"/>
        <v>0</v>
      </c>
      <c r="O44" s="730">
        <f t="shared" si="42"/>
        <v>0</v>
      </c>
      <c r="P44" s="730">
        <f t="shared" si="42"/>
        <v>0</v>
      </c>
      <c r="Q44" s="730">
        <f t="shared" si="42"/>
        <v>0</v>
      </c>
      <c r="R44" s="730">
        <f t="shared" si="42"/>
        <v>0</v>
      </c>
      <c r="S44" s="730">
        <f t="shared" si="42"/>
        <v>0</v>
      </c>
      <c r="T44" s="730">
        <f t="shared" si="42"/>
        <v>0</v>
      </c>
      <c r="U44" s="730">
        <f t="shared" si="42"/>
        <v>0</v>
      </c>
      <c r="V44" s="730">
        <f t="shared" si="42"/>
        <v>0</v>
      </c>
      <c r="W44" s="730">
        <f t="shared" si="42"/>
        <v>0</v>
      </c>
      <c r="X44" s="730">
        <f t="shared" si="42"/>
        <v>0</v>
      </c>
      <c r="Y44" s="730">
        <f t="shared" si="42"/>
        <v>0</v>
      </c>
      <c r="Z44" s="730">
        <f t="shared" si="42"/>
        <v>0</v>
      </c>
      <c r="AA44" s="730">
        <f t="shared" si="42"/>
        <v>0</v>
      </c>
      <c r="AB44" s="730">
        <f t="shared" si="42"/>
        <v>0</v>
      </c>
      <c r="AC44" s="730">
        <f t="shared" si="42"/>
        <v>0</v>
      </c>
      <c r="AD44" s="730">
        <f t="shared" si="42"/>
        <v>0</v>
      </c>
      <c r="AE44" s="730">
        <f t="shared" si="42"/>
        <v>0</v>
      </c>
      <c r="AF44" s="731">
        <f t="shared" si="42"/>
        <v>0</v>
      </c>
      <c r="AG44" s="505"/>
    </row>
    <row r="45" spans="1:33" ht="15">
      <c r="A45" s="1346"/>
      <c r="B45" s="239">
        <v>35</v>
      </c>
      <c r="C45" s="243" t="s">
        <v>388</v>
      </c>
      <c r="D45" s="575"/>
      <c r="E45" s="414"/>
      <c r="F45" s="576">
        <f>1/((1+$F$50)^G50)</f>
        <v>1</v>
      </c>
      <c r="G45" s="360">
        <f t="shared" ref="G45:AF45" si="43">1/((1+$F$50)^G49)</f>
        <v>1</v>
      </c>
      <c r="H45" s="305">
        <f t="shared" si="43"/>
        <v>1</v>
      </c>
      <c r="I45" s="305">
        <f t="shared" si="43"/>
        <v>1</v>
      </c>
      <c r="J45" s="361">
        <f t="shared" si="43"/>
        <v>1</v>
      </c>
      <c r="K45" s="360">
        <f t="shared" si="43"/>
        <v>1</v>
      </c>
      <c r="L45" s="305">
        <f t="shared" si="43"/>
        <v>1</v>
      </c>
      <c r="M45" s="305">
        <f t="shared" si="43"/>
        <v>1</v>
      </c>
      <c r="N45" s="305">
        <f t="shared" si="43"/>
        <v>1</v>
      </c>
      <c r="O45" s="305">
        <f t="shared" si="43"/>
        <v>1</v>
      </c>
      <c r="P45" s="305">
        <f t="shared" si="43"/>
        <v>1</v>
      </c>
      <c r="Q45" s="305">
        <f t="shared" si="43"/>
        <v>1</v>
      </c>
      <c r="R45" s="305">
        <f t="shared" si="43"/>
        <v>1</v>
      </c>
      <c r="S45" s="305">
        <f t="shared" si="43"/>
        <v>1</v>
      </c>
      <c r="T45" s="305">
        <f t="shared" si="43"/>
        <v>1</v>
      </c>
      <c r="U45" s="305">
        <f t="shared" si="43"/>
        <v>1</v>
      </c>
      <c r="V45" s="305">
        <f t="shared" si="43"/>
        <v>1</v>
      </c>
      <c r="W45" s="305">
        <f t="shared" si="43"/>
        <v>1</v>
      </c>
      <c r="X45" s="305">
        <f t="shared" si="43"/>
        <v>1</v>
      </c>
      <c r="Y45" s="305">
        <f t="shared" si="43"/>
        <v>1</v>
      </c>
      <c r="Z45" s="305">
        <f t="shared" si="43"/>
        <v>1</v>
      </c>
      <c r="AA45" s="305">
        <f t="shared" si="43"/>
        <v>1</v>
      </c>
      <c r="AB45" s="305">
        <f t="shared" si="43"/>
        <v>1</v>
      </c>
      <c r="AC45" s="305">
        <f t="shared" si="43"/>
        <v>1</v>
      </c>
      <c r="AD45" s="305">
        <f t="shared" si="43"/>
        <v>1</v>
      </c>
      <c r="AE45" s="305">
        <f t="shared" si="43"/>
        <v>1</v>
      </c>
      <c r="AF45" s="727">
        <f t="shared" si="43"/>
        <v>1</v>
      </c>
      <c r="AG45" s="505"/>
    </row>
    <row r="46" spans="1:33" ht="15">
      <c r="A46" s="1346"/>
      <c r="B46" s="239">
        <v>36</v>
      </c>
      <c r="C46" s="243" t="s">
        <v>389</v>
      </c>
      <c r="D46" s="577"/>
      <c r="E46" s="578" t="s">
        <v>390</v>
      </c>
      <c r="F46" s="361">
        <f>1/((1+$F$50+0.001)^G50)</f>
        <v>1</v>
      </c>
      <c r="G46" s="360">
        <f>1/((1+$F$50+0.001)^G49)</f>
        <v>0.99900099900099915</v>
      </c>
      <c r="H46" s="305">
        <f t="shared" ref="H46:AF46" si="44">1/((1+$F$50+0.001)^H49)</f>
        <v>0.99800299600499431</v>
      </c>
      <c r="I46" s="305">
        <f t="shared" si="44"/>
        <v>0.99700599001497947</v>
      </c>
      <c r="J46" s="361">
        <f t="shared" si="44"/>
        <v>0.99600998003494456</v>
      </c>
      <c r="K46" s="360">
        <f t="shared" si="44"/>
        <v>0.99501496506987486</v>
      </c>
      <c r="L46" s="305">
        <f t="shared" si="44"/>
        <v>0.99402094412574937</v>
      </c>
      <c r="M46" s="305">
        <f t="shared" si="44"/>
        <v>0.99302791620954001</v>
      </c>
      <c r="N46" s="305">
        <f t="shared" si="44"/>
        <v>0.99203588032921075</v>
      </c>
      <c r="O46" s="305">
        <f t="shared" si="44"/>
        <v>0.99104483549371702</v>
      </c>
      <c r="P46" s="305">
        <f t="shared" si="44"/>
        <v>0.99005478071300423</v>
      </c>
      <c r="Q46" s="305">
        <f t="shared" si="44"/>
        <v>0.98906571499800655</v>
      </c>
      <c r="R46" s="305">
        <f t="shared" si="44"/>
        <v>0.98807763736064591</v>
      </c>
      <c r="S46" s="305">
        <f t="shared" si="44"/>
        <v>0.98709054681383213</v>
      </c>
      <c r="T46" s="305">
        <f t="shared" si="44"/>
        <v>0.986104442371461</v>
      </c>
      <c r="U46" s="305">
        <f t="shared" si="44"/>
        <v>0.98511932304841265</v>
      </c>
      <c r="V46" s="305">
        <f t="shared" si="44"/>
        <v>0.98413518786055221</v>
      </c>
      <c r="W46" s="305">
        <f t="shared" si="44"/>
        <v>0.98315203582472765</v>
      </c>
      <c r="X46" s="305">
        <f t="shared" si="44"/>
        <v>0.98216986595876898</v>
      </c>
      <c r="Y46" s="305">
        <f t="shared" si="44"/>
        <v>0.98118867728148773</v>
      </c>
      <c r="Z46" s="305">
        <f t="shared" si="44"/>
        <v>0.98020846881267509</v>
      </c>
      <c r="AA46" s="305">
        <f t="shared" si="44"/>
        <v>0.97922923957310215</v>
      </c>
      <c r="AB46" s="305">
        <f t="shared" si="44"/>
        <v>0.97825098858451787</v>
      </c>
      <c r="AC46" s="305">
        <f t="shared" si="44"/>
        <v>0.97727371486964842</v>
      </c>
      <c r="AD46" s="305">
        <f t="shared" si="44"/>
        <v>0.976297417452196</v>
      </c>
      <c r="AE46" s="305">
        <f t="shared" si="44"/>
        <v>0.97532209535683934</v>
      </c>
      <c r="AF46" s="361">
        <f t="shared" si="44"/>
        <v>0.97434774760923015</v>
      </c>
      <c r="AG46" s="505"/>
    </row>
    <row r="47" spans="1:33" ht="15.75" thickBot="1">
      <c r="A47" s="1346"/>
      <c r="B47" s="240">
        <v>37</v>
      </c>
      <c r="C47" s="238" t="s">
        <v>391</v>
      </c>
      <c r="D47" s="577"/>
      <c r="E47" s="578" t="s">
        <v>392</v>
      </c>
      <c r="F47" s="591">
        <f>1/((1+$F$50+0.005)^G50)</f>
        <v>1</v>
      </c>
      <c r="G47" s="592">
        <f t="shared" ref="G47:AF47" si="45">1/((1+$F$50+0.005)^G49)</f>
        <v>0.99502487562189068</v>
      </c>
      <c r="H47" s="593">
        <f t="shared" si="45"/>
        <v>0.99007450310635903</v>
      </c>
      <c r="I47" s="593">
        <f t="shared" si="45"/>
        <v>0.98514875930981005</v>
      </c>
      <c r="J47" s="591">
        <f t="shared" si="45"/>
        <v>0.9802475217013038</v>
      </c>
      <c r="K47" s="735">
        <f t="shared" si="45"/>
        <v>0.97537066835950648</v>
      </c>
      <c r="L47" s="736">
        <f t="shared" si="45"/>
        <v>0.97051807796965839</v>
      </c>
      <c r="M47" s="736">
        <f t="shared" si="45"/>
        <v>0.96568962982055562</v>
      </c>
      <c r="N47" s="736">
        <f t="shared" si="45"/>
        <v>0.96088520380154796</v>
      </c>
      <c r="O47" s="736">
        <f t="shared" si="45"/>
        <v>0.95610468039955032</v>
      </c>
      <c r="P47" s="736">
        <f t="shared" si="45"/>
        <v>0.95134794069607009</v>
      </c>
      <c r="Q47" s="736">
        <f t="shared" si="45"/>
        <v>0.94661486636424896</v>
      </c>
      <c r="R47" s="736">
        <f t="shared" si="45"/>
        <v>0.94190533966591972</v>
      </c>
      <c r="S47" s="736">
        <f t="shared" si="45"/>
        <v>0.93721924344867635</v>
      </c>
      <c r="T47" s="736">
        <f t="shared" si="45"/>
        <v>0.93255646114296176</v>
      </c>
      <c r="U47" s="736">
        <f t="shared" si="45"/>
        <v>0.92791687675916612</v>
      </c>
      <c r="V47" s="736">
        <f t="shared" si="45"/>
        <v>0.92330037488474248</v>
      </c>
      <c r="W47" s="736">
        <f t="shared" si="45"/>
        <v>0.9187068406813359</v>
      </c>
      <c r="X47" s="736">
        <f t="shared" si="45"/>
        <v>0.91413615988192654</v>
      </c>
      <c r="Y47" s="736">
        <f t="shared" si="45"/>
        <v>0.90958821878798668</v>
      </c>
      <c r="Z47" s="736">
        <f t="shared" si="45"/>
        <v>0.90506290426665348</v>
      </c>
      <c r="AA47" s="736">
        <f t="shared" si="45"/>
        <v>0.90056010374791418</v>
      </c>
      <c r="AB47" s="736">
        <f t="shared" si="45"/>
        <v>0.89607970522180524</v>
      </c>
      <c r="AC47" s="736">
        <f t="shared" si="45"/>
        <v>0.89162159723562728</v>
      </c>
      <c r="AD47" s="736">
        <f t="shared" si="45"/>
        <v>0.88718566889117134</v>
      </c>
      <c r="AE47" s="736">
        <f t="shared" si="45"/>
        <v>0.8827718098419618</v>
      </c>
      <c r="AF47" s="737">
        <f t="shared" si="45"/>
        <v>0.87837991029050932</v>
      </c>
      <c r="AG47" s="505"/>
    </row>
    <row r="48" spans="1:33" ht="15.75" thickBot="1">
      <c r="A48" s="1355" t="s">
        <v>361</v>
      </c>
      <c r="B48" s="1356"/>
      <c r="C48" s="1356"/>
      <c r="D48" s="1356"/>
      <c r="E48" s="1356"/>
      <c r="F48" s="1356"/>
      <c r="G48" s="1356"/>
      <c r="H48" s="1356"/>
      <c r="I48" s="1356"/>
      <c r="J48" s="1356"/>
      <c r="K48" s="1356"/>
      <c r="L48" s="1356"/>
      <c r="M48" s="1356"/>
      <c r="N48" s="1356"/>
      <c r="O48" s="1356"/>
      <c r="P48" s="1356"/>
      <c r="Q48" s="1356"/>
      <c r="R48" s="1356"/>
      <c r="S48" s="1356"/>
      <c r="T48" s="1356"/>
      <c r="U48" s="1356"/>
      <c r="V48" s="1356"/>
      <c r="W48" s="1356"/>
      <c r="X48" s="1356"/>
      <c r="Y48" s="1356"/>
      <c r="Z48" s="1356"/>
      <c r="AA48" s="1356"/>
      <c r="AB48" s="1356"/>
      <c r="AC48" s="1356"/>
      <c r="AD48" s="1356"/>
      <c r="AE48" s="1356"/>
      <c r="AF48" s="1357"/>
      <c r="AG48" s="505"/>
    </row>
    <row r="49" spans="1:32" ht="15">
      <c r="A49" s="1360" t="s">
        <v>393</v>
      </c>
      <c r="C49" s="254" t="s">
        <v>394</v>
      </c>
      <c r="D49" s="244" t="s">
        <v>395</v>
      </c>
      <c r="E49" s="245" t="s">
        <v>396</v>
      </c>
      <c r="F49" s="255" t="s">
        <v>397</v>
      </c>
      <c r="G49" s="306">
        <v>1</v>
      </c>
      <c r="H49" s="307">
        <v>2</v>
      </c>
      <c r="I49" s="307">
        <v>3</v>
      </c>
      <c r="J49" s="306">
        <v>4</v>
      </c>
      <c r="K49" s="307">
        <v>5</v>
      </c>
      <c r="L49" s="307">
        <v>6</v>
      </c>
      <c r="M49" s="306">
        <v>7</v>
      </c>
      <c r="N49" s="307">
        <v>8</v>
      </c>
      <c r="O49" s="307">
        <v>9</v>
      </c>
      <c r="P49" s="306">
        <v>10</v>
      </c>
      <c r="Q49" s="307">
        <v>11</v>
      </c>
      <c r="R49" s="307">
        <v>12</v>
      </c>
      <c r="S49" s="306">
        <v>13</v>
      </c>
      <c r="T49" s="307">
        <v>14</v>
      </c>
      <c r="U49" s="307">
        <v>15</v>
      </c>
      <c r="V49" s="306">
        <v>16</v>
      </c>
      <c r="W49" s="307">
        <v>17</v>
      </c>
      <c r="X49" s="307">
        <v>18</v>
      </c>
      <c r="Y49" s="306">
        <v>19</v>
      </c>
      <c r="Z49" s="307">
        <v>20</v>
      </c>
      <c r="AA49" s="307">
        <v>21</v>
      </c>
      <c r="AB49" s="306">
        <v>22</v>
      </c>
      <c r="AC49" s="307">
        <v>23</v>
      </c>
      <c r="AD49" s="307">
        <v>24</v>
      </c>
      <c r="AE49" s="306">
        <v>25</v>
      </c>
      <c r="AF49" s="307">
        <v>26</v>
      </c>
    </row>
    <row r="50" spans="1:32" ht="15.75" thickBot="1">
      <c r="A50" s="1361"/>
      <c r="C50" s="250"/>
      <c r="D50" s="251"/>
      <c r="E50" s="252"/>
      <c r="F50" s="253">
        <f>E50+D50+C50</f>
        <v>0</v>
      </c>
      <c r="G50" s="306">
        <v>0</v>
      </c>
      <c r="S50" s="237"/>
      <c r="T50" s="237"/>
      <c r="U50" s="237"/>
      <c r="V50" s="237"/>
      <c r="W50" s="237"/>
      <c r="X50" s="237"/>
      <c r="Y50" s="237"/>
      <c r="Z50" s="237"/>
      <c r="AA50" s="237"/>
      <c r="AB50" s="237"/>
      <c r="AC50" s="237"/>
      <c r="AD50" s="237"/>
      <c r="AE50" s="237"/>
      <c r="AF50" s="237"/>
    </row>
    <row r="51" spans="1:32" ht="15">
      <c r="A51" s="237"/>
      <c r="C51" s="237"/>
      <c r="D51" s="237"/>
      <c r="G51"/>
      <c r="H51" s="237"/>
      <c r="I51" s="237"/>
      <c r="J51" s="237"/>
      <c r="K51" s="237"/>
      <c r="S51" s="237"/>
      <c r="T51" s="237"/>
      <c r="U51" s="237"/>
      <c r="V51" s="237"/>
      <c r="W51" s="237"/>
      <c r="X51" s="237"/>
      <c r="Y51" s="237"/>
      <c r="Z51" s="237"/>
      <c r="AA51" s="237"/>
      <c r="AB51" s="237"/>
      <c r="AC51" s="237"/>
      <c r="AD51" s="237"/>
      <c r="AE51" s="237"/>
      <c r="AF51" s="237"/>
    </row>
    <row r="52" spans="1:32" ht="15" customHeight="1">
      <c r="A52" s="1362" t="s">
        <v>398</v>
      </c>
      <c r="C52" s="434" t="s">
        <v>361</v>
      </c>
      <c r="D52" s="435" t="s">
        <v>338</v>
      </c>
      <c r="E52" s="436" t="s">
        <v>339</v>
      </c>
      <c r="F52" s="435" t="s">
        <v>399</v>
      </c>
      <c r="G52" s="237"/>
      <c r="I52" s="469"/>
      <c r="J52" s="469"/>
      <c r="K52" s="237"/>
      <c r="S52" s="237"/>
      <c r="T52" s="237"/>
      <c r="U52" s="237"/>
      <c r="V52" s="237"/>
      <c r="W52" s="237"/>
      <c r="X52" s="237"/>
      <c r="Y52" s="237"/>
      <c r="Z52" s="237"/>
      <c r="AA52" s="237"/>
      <c r="AB52" s="237"/>
      <c r="AC52" s="237"/>
      <c r="AD52" s="237"/>
      <c r="AE52" s="237"/>
      <c r="AF52" s="237"/>
    </row>
    <row r="53" spans="1:32" ht="15" customHeight="1">
      <c r="A53" s="1362"/>
      <c r="C53" s="437" t="s">
        <v>400</v>
      </c>
      <c r="D53" s="403">
        <f>Assumptions!S17</f>
        <v>0</v>
      </c>
      <c r="E53" s="404">
        <f>Assumptions!T17</f>
        <v>0</v>
      </c>
      <c r="F53" s="438" t="str">
        <f>Assumptions!V17</f>
        <v>% PPE</v>
      </c>
      <c r="G53" s="475"/>
      <c r="I53" s="237"/>
      <c r="J53" s="237"/>
      <c r="K53" s="237"/>
      <c r="S53" s="237"/>
      <c r="T53" s="237"/>
      <c r="U53" s="237"/>
      <c r="V53" s="237"/>
      <c r="W53" s="237"/>
      <c r="X53" s="237"/>
      <c r="Y53" s="237"/>
      <c r="Z53" s="237"/>
      <c r="AA53" s="237"/>
      <c r="AB53" s="237"/>
      <c r="AC53" s="237"/>
      <c r="AD53" s="237"/>
      <c r="AE53" s="237"/>
      <c r="AF53" s="237"/>
    </row>
    <row r="54" spans="1:32" ht="15" customHeight="1">
      <c r="A54" s="1362"/>
      <c r="C54" s="439" t="s">
        <v>401</v>
      </c>
      <c r="D54" s="403">
        <f>Assumptions!S18</f>
        <v>0</v>
      </c>
      <c r="E54" s="404">
        <f>Assumptions!T18</f>
        <v>0</v>
      </c>
      <c r="F54" s="438" t="str">
        <f>Assumptions!V18</f>
        <v>% IA</v>
      </c>
      <c r="G54" s="237"/>
      <c r="I54" s="237"/>
      <c r="J54" s="237"/>
      <c r="K54" s="237"/>
      <c r="S54" s="237"/>
      <c r="T54" s="237"/>
      <c r="U54" s="237"/>
      <c r="V54" s="237"/>
      <c r="W54" s="237"/>
      <c r="X54" s="237"/>
      <c r="Y54" s="237"/>
      <c r="Z54" s="237"/>
      <c r="AA54" s="237"/>
      <c r="AB54" s="237"/>
      <c r="AC54" s="237"/>
      <c r="AD54" s="237"/>
      <c r="AE54" s="237"/>
      <c r="AF54" s="237"/>
    </row>
    <row r="55" spans="1:32" ht="15" customHeight="1">
      <c r="A55" s="1362"/>
      <c r="C55" s="413" t="s">
        <v>402</v>
      </c>
      <c r="D55" s="403">
        <f>Assumptions!S19</f>
        <v>0</v>
      </c>
      <c r="E55" s="404">
        <f>Assumptions!T19</f>
        <v>0</v>
      </c>
      <c r="F55" s="438" t="str">
        <f>Assumptions!V19</f>
        <v>% Revenue</v>
      </c>
      <c r="G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row>
    <row r="56" spans="1:32" ht="15" customHeight="1">
      <c r="A56" s="1362"/>
      <c r="C56" s="439" t="s">
        <v>403</v>
      </c>
      <c r="D56" s="403">
        <f>Assumptions!S20</f>
        <v>0</v>
      </c>
      <c r="E56" s="404">
        <f>Assumptions!T20</f>
        <v>0</v>
      </c>
      <c r="F56" s="438" t="str">
        <f>Assumptions!V20</f>
        <v>% EBT</v>
      </c>
      <c r="G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row>
    <row r="57" spans="1:32" ht="15" customHeight="1">
      <c r="A57" s="1362"/>
      <c r="C57" s="413" t="s">
        <v>404</v>
      </c>
      <c r="D57" s="403">
        <f>Assumptions!S21</f>
        <v>0</v>
      </c>
      <c r="E57" s="404">
        <f>Assumptions!T21</f>
        <v>0</v>
      </c>
      <c r="F57" s="438" t="str">
        <f>Assumptions!V21</f>
        <v>% Debt</v>
      </c>
      <c r="G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row>
    <row r="58" spans="1:32" ht="15" customHeight="1">
      <c r="A58" s="1362"/>
      <c r="C58" s="439" t="s">
        <v>405</v>
      </c>
      <c r="D58" s="403">
        <f>Assumptions!S22</f>
        <v>0</v>
      </c>
      <c r="E58" s="404">
        <f>Assumptions!T22</f>
        <v>0</v>
      </c>
      <c r="F58" s="438" t="str">
        <f>Assumptions!V22</f>
        <v xml:space="preserve">% Cash </v>
      </c>
      <c r="G58" s="237"/>
      <c r="H58" s="237"/>
      <c r="I58" s="238"/>
      <c r="J58" s="257"/>
      <c r="K58" s="257"/>
      <c r="L58" s="257"/>
      <c r="M58" s="257"/>
      <c r="N58" s="257"/>
      <c r="O58" s="237"/>
      <c r="P58" s="237"/>
      <c r="Q58" s="237"/>
      <c r="R58" s="237"/>
      <c r="S58" s="237"/>
      <c r="T58" s="237"/>
      <c r="U58" s="237"/>
      <c r="V58" s="237"/>
      <c r="W58" s="237"/>
      <c r="X58" s="237"/>
      <c r="Y58" s="237"/>
      <c r="Z58" s="237"/>
      <c r="AA58" s="237"/>
      <c r="AB58" s="237"/>
      <c r="AC58" s="237"/>
      <c r="AD58" s="237"/>
      <c r="AE58" s="237"/>
      <c r="AF58" s="237"/>
    </row>
    <row r="59" spans="1:32" ht="15" customHeight="1">
      <c r="A59" s="1362"/>
      <c r="C59" s="413" t="s">
        <v>406</v>
      </c>
      <c r="D59" s="403" t="str">
        <f>Assumptions!S23</f>
        <v>- -</v>
      </c>
      <c r="E59" s="404" t="str">
        <f>Assumptions!T23</f>
        <v>- -</v>
      </c>
      <c r="F59" s="438" t="str">
        <f>Assumptions!V23</f>
        <v>Growing with CAPEX</v>
      </c>
      <c r="G59" s="237"/>
      <c r="H59" s="237"/>
      <c r="I59" s="237"/>
      <c r="J59" s="258"/>
      <c r="K59" s="258"/>
      <c r="L59" s="258"/>
      <c r="M59" s="258"/>
      <c r="N59" s="257"/>
      <c r="O59" s="237"/>
      <c r="P59" s="237"/>
      <c r="Q59" s="237"/>
      <c r="R59" s="237"/>
      <c r="S59" s="237"/>
      <c r="T59" s="237"/>
      <c r="U59" s="237"/>
      <c r="V59" s="237"/>
      <c r="W59" s="237"/>
      <c r="X59" s="237"/>
      <c r="Y59" s="237"/>
      <c r="Z59" s="237"/>
      <c r="AA59" s="237"/>
      <c r="AB59" s="237"/>
      <c r="AC59" s="237"/>
      <c r="AD59" s="237"/>
      <c r="AE59" s="237"/>
      <c r="AF59" s="237"/>
    </row>
    <row r="60" spans="1:32" ht="15" customHeight="1">
      <c r="A60" s="1362"/>
      <c r="C60" s="434" t="s">
        <v>407</v>
      </c>
      <c r="D60" s="403">
        <f>Assumptions!S24</f>
        <v>0</v>
      </c>
      <c r="E60" s="404">
        <f>Assumptions!T24</f>
        <v>0</v>
      </c>
      <c r="F60" s="438" t="str">
        <f>Assumptions!V24</f>
        <v xml:space="preserve">% Change in Revenues </v>
      </c>
      <c r="G60" s="237"/>
      <c r="H60" s="237"/>
      <c r="I60" s="237"/>
      <c r="J60" s="257"/>
      <c r="K60" s="257"/>
      <c r="L60" s="257"/>
      <c r="M60" s="257"/>
      <c r="N60" s="257"/>
      <c r="O60" s="237"/>
      <c r="P60" s="237"/>
      <c r="Q60" s="237"/>
      <c r="R60" s="237"/>
      <c r="S60" s="237"/>
      <c r="T60" s="237"/>
      <c r="U60" s="237"/>
      <c r="V60" s="237"/>
      <c r="W60" s="237"/>
      <c r="X60" s="237"/>
      <c r="Y60" s="237"/>
      <c r="Z60" s="237"/>
      <c r="AA60" s="237"/>
      <c r="AB60" s="237"/>
      <c r="AC60" s="237"/>
      <c r="AD60" s="237"/>
      <c r="AE60" s="237"/>
      <c r="AF60" s="237"/>
    </row>
    <row r="61" spans="1:32" ht="15" customHeight="1">
      <c r="A61" s="1362"/>
      <c r="C61" s="441" t="s">
        <v>408</v>
      </c>
      <c r="D61" s="403" t="str">
        <f>Assumptions!S25</f>
        <v>- -</v>
      </c>
      <c r="E61" s="404" t="str">
        <f>Assumptions!T25</f>
        <v>- -</v>
      </c>
      <c r="F61" s="438" t="str">
        <f>Assumptions!V25</f>
        <v>Growing with Amortization</v>
      </c>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row>
    <row r="62" spans="1:32" ht="15" customHeight="1">
      <c r="A62" s="1362"/>
      <c r="C62" s="441" t="s">
        <v>409</v>
      </c>
      <c r="D62" s="403">
        <f>Assumptions!S26</f>
        <v>0</v>
      </c>
      <c r="E62" s="404">
        <f>Assumptions!T26</f>
        <v>0</v>
      </c>
      <c r="F62" s="438" t="str">
        <f>Assumptions!V26</f>
        <v>% Revenue</v>
      </c>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row>
    <row r="63" spans="1:32" ht="15" customHeight="1">
      <c r="A63" s="1362"/>
      <c r="C63" s="441" t="s">
        <v>410</v>
      </c>
      <c r="D63" s="403">
        <f>Assumptions!S27</f>
        <v>0</v>
      </c>
      <c r="E63" s="404">
        <f>Assumptions!T27</f>
        <v>0</v>
      </c>
      <c r="F63" s="438" t="str">
        <f>Assumptions!V27</f>
        <v>% Revenue</v>
      </c>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row>
    <row r="64" spans="1:32" ht="15" customHeight="1">
      <c r="A64" s="1362"/>
      <c r="C64" s="441" t="s">
        <v>98</v>
      </c>
      <c r="D64" s="403">
        <f>Assumptions!S28</f>
        <v>0</v>
      </c>
      <c r="E64" s="404">
        <f>Assumptions!T28</f>
        <v>0</v>
      </c>
      <c r="F64" s="438" t="str">
        <f>Assumptions!V28</f>
        <v>% Net Income</v>
      </c>
      <c r="G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row>
    <row r="65" spans="1:6" ht="15" customHeight="1">
      <c r="A65" s="1362"/>
      <c r="C65" s="441" t="s">
        <v>411</v>
      </c>
      <c r="D65" s="403">
        <f>Assumptions!S29</f>
        <v>0</v>
      </c>
      <c r="E65" s="404">
        <f>Assumptions!T29</f>
        <v>0</v>
      </c>
      <c r="F65" s="438" t="str">
        <f>Assumptions!V29</f>
        <v>% Net Income</v>
      </c>
    </row>
    <row r="66" spans="1:6" ht="15" customHeight="1">
      <c r="A66" s="1362"/>
      <c r="C66" s="441" t="s">
        <v>412</v>
      </c>
      <c r="D66" s="403">
        <f>Assumptions!S30</f>
        <v>0</v>
      </c>
      <c r="E66" s="404">
        <f>Assumptions!T30</f>
        <v>0</v>
      </c>
      <c r="F66" s="438" t="str">
        <f>Assumptions!V30</f>
        <v>% Revenue</v>
      </c>
    </row>
    <row r="67" spans="1:6" ht="15.75" customHeight="1">
      <c r="A67" s="1362"/>
      <c r="C67" s="439" t="s">
        <v>223</v>
      </c>
      <c r="D67" s="743">
        <f>Assumptions!S31</f>
        <v>0</v>
      </c>
      <c r="E67" s="743">
        <f>Assumptions!T31</f>
        <v>0</v>
      </c>
      <c r="F67" s="742" t="str">
        <f>Assumptions!V31</f>
        <v>% EBITDA</v>
      </c>
    </row>
    <row r="68" spans="1:6" ht="15">
      <c r="A68" s="237"/>
      <c r="C68" s="237"/>
      <c r="D68" s="237"/>
      <c r="E68" s="237"/>
      <c r="F68" s="237"/>
    </row>
    <row r="69" spans="1:6">
      <c r="A69" s="1342" t="s">
        <v>79</v>
      </c>
      <c r="C69" s="308"/>
      <c r="D69" s="407" t="s">
        <v>413</v>
      </c>
      <c r="E69" s="1"/>
    </row>
    <row r="70" spans="1:6">
      <c r="A70" s="1343"/>
      <c r="C70" s="308" t="s">
        <v>414</v>
      </c>
      <c r="D70" s="408" t="e">
        <f>SUMPRODUCT(G35:AF35,G45:AF45)+((AF43-AF44)*AF45)</f>
        <v>#DIV/0!</v>
      </c>
      <c r="E70" s="362" t="e">
        <f>D70/D72</f>
        <v>#DIV/0!</v>
      </c>
    </row>
    <row r="71" spans="1:6">
      <c r="A71" s="1343"/>
      <c r="C71" s="308" t="s">
        <v>415</v>
      </c>
      <c r="D71" s="408" t="e">
        <f>(AF34/(F50-AF5))*AF45</f>
        <v>#DIV/0!</v>
      </c>
      <c r="E71" s="362" t="e">
        <f>D71/D72</f>
        <v>#DIV/0!</v>
      </c>
    </row>
    <row r="72" spans="1:6">
      <c r="A72" s="1343"/>
      <c r="C72" s="308" t="s">
        <v>416</v>
      </c>
      <c r="D72" s="408" t="e">
        <f>D70+D71</f>
        <v>#DIV/0!</v>
      </c>
      <c r="E72" s="1"/>
    </row>
    <row r="73" spans="1:6" ht="15">
      <c r="A73" s="1343"/>
      <c r="C73" s="724" t="s">
        <v>417</v>
      </c>
      <c r="D73" s="725">
        <f>OP!C20</f>
        <v>146.63999999999999</v>
      </c>
      <c r="E73" s="309"/>
    </row>
    <row r="74" spans="1:6" ht="15">
      <c r="A74" s="1343"/>
      <c r="C74" s="724" t="s">
        <v>418</v>
      </c>
      <c r="D74" s="409" t="e">
        <f>D75/D73-1</f>
        <v>#DIV/0!</v>
      </c>
    </row>
    <row r="75" spans="1:6" ht="15">
      <c r="A75" s="1344"/>
      <c r="C75" s="410" t="s">
        <v>419</v>
      </c>
      <c r="D75" s="411" t="e">
        <f>D72*1000000/OP!C21</f>
        <v>#DIV/0!</v>
      </c>
    </row>
    <row r="76" spans="1:6" ht="15">
      <c r="A76" s="391"/>
      <c r="C76" s="309"/>
      <c r="D76" s="726"/>
    </row>
    <row r="77" spans="1:6" ht="15">
      <c r="A77" s="1338" t="s">
        <v>420</v>
      </c>
      <c r="C77" s="433" t="s">
        <v>421</v>
      </c>
      <c r="D77" s="725" t="e">
        <f>(SUMPRODUCT(G35:AF35,G45:AF45)+((AF43-AF44)*AF45)+(AF34/(F50+0.001-AF5))*AF45)*1000000/OP!C21</f>
        <v>#DIV/0!</v>
      </c>
      <c r="E77" s="412" t="e">
        <f>D77/D75-1</f>
        <v>#DIV/0!</v>
      </c>
    </row>
    <row r="78" spans="1:6" ht="15">
      <c r="A78" s="1339"/>
      <c r="C78" s="433" t="s">
        <v>422</v>
      </c>
      <c r="D78" s="725" t="e">
        <f>(SUMPRODUCT(G35:AF35,G45:AF45)+((AF43-AF44)*AF45)+(AF34/(F50+0.005-AF5))*AF45)*1000000/OP!C21</f>
        <v>#DIV/0!</v>
      </c>
      <c r="E78" s="412" t="e">
        <f>D78/D75-1</f>
        <v>#DIV/0!</v>
      </c>
    </row>
    <row r="79" spans="1:6" ht="15">
      <c r="A79" s="431"/>
      <c r="C79" s="432"/>
      <c r="D79" s="726"/>
      <c r="E79" s="412"/>
    </row>
    <row r="80" spans="1:6" ht="15">
      <c r="A80" s="780" t="s">
        <v>423</v>
      </c>
      <c r="C80" s="745" t="s">
        <v>424</v>
      </c>
      <c r="D80" s="411" t="e">
        <f>D75/1.15</f>
        <v>#DIV/0!</v>
      </c>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B2:AZ210"/>
  <sheetViews>
    <sheetView showGridLines="0" zoomScaleNormal="100" workbookViewId="0">
      <selection activeCell="F75" sqref="F75"/>
    </sheetView>
  </sheetViews>
  <sheetFormatPr defaultColWidth="9.140625" defaultRowHeight="12.75" customHeight="1"/>
  <cols>
    <col min="1" max="1" width="9.140625" style="636"/>
    <col min="2" max="2" width="25.85546875" style="636" customWidth="1"/>
    <col min="3" max="4" width="12.7109375" style="636" customWidth="1"/>
    <col min="5" max="5" width="13.42578125" style="636" customWidth="1"/>
    <col min="6" max="6" width="16.28515625" style="636" bestFit="1" customWidth="1"/>
    <col min="7" max="7" width="19.5703125" style="636" bestFit="1" customWidth="1"/>
    <col min="8" max="13" width="14.140625" style="636" customWidth="1"/>
    <col min="14" max="16" width="11.28515625" style="636" bestFit="1" customWidth="1"/>
    <col min="17" max="17" width="11.7109375" style="636" bestFit="1" customWidth="1"/>
    <col min="18" max="18" width="11.28515625" style="636" bestFit="1" customWidth="1"/>
    <col min="19" max="19" width="18.42578125" style="636" bestFit="1" customWidth="1"/>
    <col min="20" max="20" width="18.140625" style="636" bestFit="1" customWidth="1"/>
    <col min="21" max="34" width="12.28515625" style="636" bestFit="1" customWidth="1"/>
    <col min="35" max="16384" width="9.140625" style="636"/>
  </cols>
  <sheetData>
    <row r="2" spans="2:22" s="635" customFormat="1" ht="15" customHeight="1">
      <c r="B2" s="633" t="s">
        <v>425</v>
      </c>
      <c r="C2" s="634"/>
      <c r="D2" s="632"/>
      <c r="E2" s="632"/>
      <c r="F2" s="632"/>
      <c r="G2" s="632"/>
      <c r="H2" s="632"/>
      <c r="I2" s="632"/>
      <c r="J2" s="632"/>
      <c r="K2" s="632"/>
      <c r="L2" s="632"/>
      <c r="M2" s="632"/>
      <c r="N2" s="632"/>
      <c r="O2" s="632"/>
      <c r="P2" s="632"/>
      <c r="Q2" s="632"/>
      <c r="R2" s="632"/>
      <c r="S2" s="632"/>
      <c r="T2" s="632"/>
      <c r="U2" s="632"/>
      <c r="V2" s="632"/>
    </row>
    <row r="3" spans="2:22" ht="12.6" customHeight="1">
      <c r="C3" s="637"/>
    </row>
    <row r="4" spans="2:22">
      <c r="B4" s="636" t="s">
        <v>426</v>
      </c>
      <c r="F4" s="638"/>
      <c r="G4" s="639"/>
      <c r="H4" s="639"/>
      <c r="I4" s="639"/>
      <c r="J4" s="639"/>
      <c r="K4" s="639"/>
      <c r="L4" s="639"/>
      <c r="M4" s="639"/>
    </row>
    <row r="5" spans="2:22">
      <c r="B5" s="640"/>
      <c r="G5" s="641"/>
      <c r="H5" s="641"/>
      <c r="I5" s="641"/>
      <c r="J5" s="641"/>
      <c r="K5" s="641"/>
      <c r="L5" s="641"/>
      <c r="M5" s="641"/>
    </row>
    <row r="6" spans="2:22">
      <c r="B6" s="636" t="s">
        <v>427</v>
      </c>
    </row>
    <row r="8" spans="2:22">
      <c r="B8" s="639"/>
      <c r="C8" s="656">
        <v>2023</v>
      </c>
      <c r="D8" s="656">
        <f>C8-1</f>
        <v>2022</v>
      </c>
      <c r="E8" s="656">
        <f t="shared" ref="E8:G8" si="0">D8-1</f>
        <v>2021</v>
      </c>
      <c r="F8" s="656">
        <f t="shared" si="0"/>
        <v>2020</v>
      </c>
      <c r="G8" s="656">
        <f t="shared" si="0"/>
        <v>2019</v>
      </c>
      <c r="H8" s="656">
        <f t="shared" ref="H8" si="1">G8-1</f>
        <v>2018</v>
      </c>
      <c r="I8" s="656">
        <f t="shared" ref="I8" si="2">H8-1</f>
        <v>2017</v>
      </c>
      <c r="J8" s="656">
        <f t="shared" ref="J8" si="3">I8-1</f>
        <v>2016</v>
      </c>
      <c r="K8" s="656">
        <f t="shared" ref="K8:M8" si="4">J8-1</f>
        <v>2015</v>
      </c>
      <c r="L8" s="656">
        <f t="shared" si="4"/>
        <v>2014</v>
      </c>
      <c r="M8" s="656">
        <f t="shared" si="4"/>
        <v>2013</v>
      </c>
      <c r="O8" s="656" t="s">
        <v>428</v>
      </c>
      <c r="P8" s="656" t="s">
        <v>429</v>
      </c>
      <c r="Q8" s="656" t="s">
        <v>430</v>
      </c>
      <c r="S8" s="651" t="s">
        <v>431</v>
      </c>
      <c r="T8" s="651" t="s">
        <v>432</v>
      </c>
    </row>
    <row r="9" spans="2:22">
      <c r="B9" s="655" t="s">
        <v>433</v>
      </c>
      <c r="C9" s="294">
        <f>(Inputs!B6-Inputs!C6)/Inputs!C6</f>
        <v>-3.9023770179229693E-2</v>
      </c>
      <c r="D9" s="294">
        <f>(Inputs!C6-Inputs!D6)/Inputs!D6</f>
        <v>0.43610806863818913</v>
      </c>
      <c r="E9" s="294">
        <f>(Inputs!D6-Inputs!E6)/Inputs!E6</f>
        <v>0.68329406944586701</v>
      </c>
      <c r="F9" s="294">
        <f>(Inputs!E6-Inputs!F6)/Inputs!F6</f>
        <v>0.45045312732134896</v>
      </c>
      <c r="G9" s="294">
        <f>(Inputs!F6-Inputs!G6)/Inputs!G6</f>
        <v>3.9536679536679539E-2</v>
      </c>
      <c r="H9" s="294">
        <f>(Inputs!G6-Inputs!H6)/Inputs!H6</f>
        <v>0.23262897391966494</v>
      </c>
      <c r="I9" s="294">
        <f>(Inputs!H6-Inputs!I6)/Inputs!I6</f>
        <v>0.22963483146067415</v>
      </c>
      <c r="J9" s="294">
        <f>(Inputs!I6-Inputs!J6)/Inputs!J6</f>
        <v>7.0408418942620898E-2</v>
      </c>
      <c r="K9" s="294">
        <f>(Inputs!J6-Inputs!K6)/Inputs!K6</f>
        <v>-0.2751543770432256</v>
      </c>
      <c r="L9" s="294">
        <f>(Inputs!K6-Inputs!L6)/Inputs!L6</f>
        <v>3.9063974334780149E-2</v>
      </c>
      <c r="M9" s="294">
        <f>(Inputs!L6-Inputs!M6)/Inputs!M6</f>
        <v>-2.268535595721136E-2</v>
      </c>
      <c r="O9" s="641">
        <f>AVERAGE(C9:M9)</f>
        <v>0.167660421856378</v>
      </c>
      <c r="P9" s="644">
        <f>AVERAGE(C9:G9)</f>
        <v>0.31407363495257101</v>
      </c>
      <c r="Q9" s="644">
        <f>AVERAGE(C9:E9)</f>
        <v>0.36012612263494215</v>
      </c>
      <c r="S9" s="652"/>
      <c r="T9" s="652"/>
    </row>
    <row r="10" spans="2:22" ht="12.75" customHeight="1">
      <c r="B10" s="655" t="s">
        <v>88</v>
      </c>
      <c r="C10" s="294">
        <f>Inputs!B8/Inputs!B6</f>
        <v>1.7680776014109348E-2</v>
      </c>
      <c r="D10" s="294">
        <f>Inputs!C8/Inputs!C6</f>
        <v>5.3557052667259859E-2</v>
      </c>
      <c r="E10" s="294">
        <f>Inputs!D8/Inputs!D6</f>
        <v>0.22155287817938421</v>
      </c>
      <c r="F10" s="294">
        <f>Inputs!E8/Inputs!E6</f>
        <v>0.13469220526477518</v>
      </c>
      <c r="G10" s="294">
        <f>Inputs!F8/Inputs!F6</f>
        <v>6.7597682365176048E-2</v>
      </c>
      <c r="H10" s="294">
        <f>Inputs!G8/Inputs!G6</f>
        <v>6.7799227799227799E-2</v>
      </c>
      <c r="I10" s="294">
        <f>Inputs!H8/Inputs!H6</f>
        <v>2.1892252046449647E-2</v>
      </c>
      <c r="J10" s="294">
        <f>Inputs!I8/Inputs!I6</f>
        <v>-0.10299625468164794</v>
      </c>
      <c r="K10" s="294">
        <f>Inputs!J8/Inputs!J6</f>
        <v>-0.12052117263843648</v>
      </c>
      <c r="L10" s="294">
        <f>Inputs!K8/Inputs!K6</f>
        <v>-3.9229930984380677E-2</v>
      </c>
      <c r="M10" s="294">
        <f>Inputs!L8/Inputs!L6</f>
        <v>1.9248914889601811E-2</v>
      </c>
      <c r="O10" s="641">
        <f>AVERAGE(C10:M10)</f>
        <v>3.1024875538319882E-2</v>
      </c>
      <c r="P10" s="644">
        <f>AVERAGE(C10:G10)</f>
        <v>9.9016118898140923E-2</v>
      </c>
      <c r="Q10" s="644">
        <f>AVERAGE(C10:E10)</f>
        <v>9.7596902286917808E-2</v>
      </c>
      <c r="S10" s="652"/>
      <c r="T10" s="652"/>
      <c r="V10" s="636" t="s">
        <v>434</v>
      </c>
    </row>
    <row r="13" spans="2:22" s="635" customFormat="1" ht="15">
      <c r="B13" s="634" t="s">
        <v>435</v>
      </c>
      <c r="C13" s="634"/>
      <c r="D13" s="632"/>
      <c r="E13" s="632"/>
      <c r="F13" s="632"/>
      <c r="G13" s="632"/>
      <c r="H13" s="632"/>
      <c r="I13" s="632"/>
      <c r="J13" s="632"/>
      <c r="K13" s="632"/>
      <c r="L13" s="632"/>
      <c r="M13" s="632"/>
      <c r="N13" s="632"/>
      <c r="O13" s="632"/>
      <c r="P13" s="632"/>
      <c r="Q13" s="632"/>
      <c r="R13" s="632"/>
      <c r="S13" s="632"/>
      <c r="T13" s="632"/>
      <c r="U13" s="632"/>
      <c r="V13" s="632"/>
    </row>
    <row r="14" spans="2:22" ht="15">
      <c r="B14" s="654"/>
      <c r="C14" s="654"/>
      <c r="D14" s="653"/>
      <c r="E14" s="653"/>
      <c r="F14" s="653"/>
      <c r="G14" s="653"/>
      <c r="H14" s="653"/>
      <c r="I14" s="653"/>
      <c r="J14" s="653"/>
      <c r="K14" s="653"/>
      <c r="L14" s="653"/>
      <c r="M14" s="653"/>
      <c r="N14" s="653"/>
      <c r="O14" s="653"/>
      <c r="P14" s="653"/>
      <c r="Q14" s="653"/>
      <c r="R14" s="653"/>
      <c r="S14" s="653"/>
      <c r="T14" s="653"/>
      <c r="U14" s="653"/>
      <c r="V14" s="653"/>
    </row>
    <row r="15" spans="2:22" ht="15">
      <c r="C15" s="1363" t="s">
        <v>436</v>
      </c>
      <c r="D15" s="1363"/>
      <c r="E15" s="1363"/>
      <c r="F15" s="1363"/>
      <c r="G15" s="1363"/>
      <c r="H15" s="1363"/>
      <c r="I15" s="1363"/>
      <c r="J15" s="1363"/>
      <c r="K15" s="1363"/>
      <c r="L15" s="1363"/>
      <c r="M15" s="1363"/>
    </row>
    <row r="16" spans="2:22" ht="15">
      <c r="B16" s="642"/>
      <c r="C16" s="650">
        <f>C8</f>
        <v>2023</v>
      </c>
      <c r="D16" s="650">
        <f>D8</f>
        <v>2022</v>
      </c>
      <c r="E16" s="650">
        <f>E8</f>
        <v>2021</v>
      </c>
      <c r="F16" s="650">
        <f>F8</f>
        <v>2020</v>
      </c>
      <c r="G16" s="650">
        <f>G8</f>
        <v>2019</v>
      </c>
      <c r="H16" s="650">
        <f t="shared" ref="H16:Q16" si="5">H8</f>
        <v>2018</v>
      </c>
      <c r="I16" s="650">
        <f t="shared" si="5"/>
        <v>2017</v>
      </c>
      <c r="J16" s="650">
        <f t="shared" si="5"/>
        <v>2016</v>
      </c>
      <c r="K16" s="650">
        <f t="shared" si="5"/>
        <v>2015</v>
      </c>
      <c r="L16" s="650">
        <f t="shared" si="5"/>
        <v>2014</v>
      </c>
      <c r="M16" s="650">
        <f t="shared" si="5"/>
        <v>2013</v>
      </c>
      <c r="N16" s="650"/>
      <c r="O16" s="650" t="str">
        <f t="shared" si="5"/>
        <v xml:space="preserve">10Y Average </v>
      </c>
      <c r="P16" s="650" t="str">
        <f t="shared" si="5"/>
        <v xml:space="preserve">5Y Average </v>
      </c>
      <c r="Q16" s="650" t="str">
        <f t="shared" si="5"/>
        <v xml:space="preserve">3Y Average </v>
      </c>
      <c r="S16" s="651" t="s">
        <v>431</v>
      </c>
      <c r="T16" s="651" t="s">
        <v>432</v>
      </c>
      <c r="V16" s="741" t="s">
        <v>437</v>
      </c>
    </row>
    <row r="17" spans="2:22" ht="15">
      <c r="B17" s="655" t="s">
        <v>400</v>
      </c>
      <c r="C17" s="643"/>
      <c r="D17" s="643"/>
      <c r="E17" s="643"/>
      <c r="F17" s="643"/>
      <c r="G17" s="643"/>
      <c r="H17" s="643"/>
      <c r="I17" s="643"/>
      <c r="J17" s="643"/>
      <c r="K17" s="643"/>
      <c r="L17" s="643"/>
      <c r="O17" s="643" t="e">
        <f>AVERAGE(C17:M17)</f>
        <v>#DIV/0!</v>
      </c>
      <c r="P17" s="644" t="e">
        <f>AVERAGE(C17:G17)</f>
        <v>#DIV/0!</v>
      </c>
      <c r="Q17" s="644" t="e">
        <f>AVERAGE(C17:E17)</f>
        <v>#DIV/0!</v>
      </c>
      <c r="S17" s="652"/>
      <c r="T17" s="652"/>
      <c r="V17" s="740" t="s">
        <v>438</v>
      </c>
    </row>
    <row r="18" spans="2:22" ht="15">
      <c r="B18" s="655" t="s">
        <v>401</v>
      </c>
      <c r="C18" s="643"/>
      <c r="D18" s="643"/>
      <c r="E18" s="643"/>
      <c r="F18" s="643"/>
      <c r="G18" s="643"/>
      <c r="H18" s="643"/>
      <c r="I18" s="643"/>
      <c r="J18" s="643"/>
      <c r="K18" s="643"/>
      <c r="L18" s="643"/>
      <c r="O18" s="643" t="e">
        <f>AVERAGE(C18:M18)</f>
        <v>#DIV/0!</v>
      </c>
      <c r="P18" s="644" t="e">
        <f t="shared" ref="P18:P31" si="6">AVERAGE(C18:G18)</f>
        <v>#DIV/0!</v>
      </c>
      <c r="Q18" s="644" t="e">
        <f t="shared" ref="Q18:Q31" si="7">AVERAGE(C18:E18)</f>
        <v>#DIV/0!</v>
      </c>
      <c r="S18" s="652"/>
      <c r="T18" s="652"/>
      <c r="V18" s="740" t="s">
        <v>439</v>
      </c>
    </row>
    <row r="19" spans="2:22" ht="15">
      <c r="B19" s="655" t="s">
        <v>402</v>
      </c>
      <c r="C19" s="643"/>
      <c r="D19" s="643"/>
      <c r="E19" s="643"/>
      <c r="F19" s="643"/>
      <c r="G19" s="643"/>
      <c r="H19" s="643"/>
      <c r="I19" s="643"/>
      <c r="J19" s="643"/>
      <c r="K19" s="643"/>
      <c r="L19" s="643"/>
      <c r="O19" s="643" t="e">
        <f t="shared" ref="O19:O31" si="8">AVERAGE(C19:M19)</f>
        <v>#DIV/0!</v>
      </c>
      <c r="P19" s="644" t="e">
        <f t="shared" si="6"/>
        <v>#DIV/0!</v>
      </c>
      <c r="Q19" s="644" t="e">
        <f t="shared" si="7"/>
        <v>#DIV/0!</v>
      </c>
      <c r="S19" s="652"/>
      <c r="T19" s="652"/>
      <c r="V19" s="740" t="s">
        <v>440</v>
      </c>
    </row>
    <row r="20" spans="2:22" ht="12.6" customHeight="1">
      <c r="B20" s="655" t="s">
        <v>403</v>
      </c>
      <c r="C20" s="643">
        <f>'Fin. Data'!B21/('Fin. Data'!B21+'Fin. Data'!B23)</f>
        <v>0.28833333333333333</v>
      </c>
      <c r="D20" s="643">
        <f>'Fin. Data'!C21/('Fin. Data'!C21+'Fin. Data'!C23)</f>
        <v>8.4604715672676842E-2</v>
      </c>
      <c r="E20" s="643">
        <f>'Fin. Data'!D21/('Fin. Data'!D21+'Fin. Data'!D23)</f>
        <v>-0.19365798414496035</v>
      </c>
      <c r="F20" s="643">
        <f>'Fin. Data'!E21/('Fin. Data'!E21+'Fin. Data'!E23)</f>
        <v>0.32702702702702702</v>
      </c>
      <c r="G20" s="643">
        <f>'Fin. Data'!F21/('Fin. Data'!F21+'Fin. Data'!F23)</f>
        <v>-0.14814814814814814</v>
      </c>
      <c r="H20" s="643">
        <f>'Fin. Data'!G21/('Fin. Data'!G21+'Fin. Data'!G23)</f>
        <v>6.1281337047353758E-2</v>
      </c>
      <c r="I20" s="643">
        <f>'Fin. Data'!H21/('Fin. Data'!H21+'Fin. Data'!H23)</f>
        <v>0.97205757832345474</v>
      </c>
      <c r="J20" s="643">
        <f>'Fin. Data'!I21/('Fin. Data'!I21+'Fin. Data'!I23)</f>
        <v>7.2761194029850748E-2</v>
      </c>
      <c r="K20" s="643">
        <f>'Fin. Data'!J21/('Fin. Data'!J21+'Fin. Data'!J23)</f>
        <v>2.0771513353115726E-2</v>
      </c>
      <c r="L20" s="643">
        <f>'Fin. Data'!K21/('Fin. Data'!K21+'Fin. Data'!K23)</f>
        <v>1.2254901960784314E-2</v>
      </c>
      <c r="M20" s="643">
        <f>'Fin. Data'!L21/('Fin. Data'!L21+'Fin. Data'!L23)</f>
        <v>9.7826086956521743E-2</v>
      </c>
      <c r="O20" s="643">
        <f t="shared" si="8"/>
        <v>0.14501014140100088</v>
      </c>
      <c r="P20" s="644">
        <f t="shared" si="6"/>
        <v>7.1631788747985745E-2</v>
      </c>
      <c r="Q20" s="644">
        <f t="shared" si="7"/>
        <v>5.9760021620349942E-2</v>
      </c>
      <c r="S20" s="652"/>
      <c r="T20" s="652"/>
      <c r="V20" s="740" t="s">
        <v>441</v>
      </c>
    </row>
    <row r="21" spans="2:22" ht="15">
      <c r="B21" s="655" t="s">
        <v>404</v>
      </c>
      <c r="C21" s="645"/>
      <c r="D21" s="645"/>
      <c r="E21" s="645"/>
      <c r="F21" s="645"/>
      <c r="G21" s="645"/>
      <c r="H21" s="645"/>
      <c r="I21" s="645"/>
      <c r="J21" s="645"/>
      <c r="K21" s="645"/>
      <c r="L21" s="645"/>
      <c r="M21" s="645"/>
      <c r="O21" s="643" t="e">
        <f t="shared" si="8"/>
        <v>#DIV/0!</v>
      </c>
      <c r="P21" s="644" t="e">
        <f t="shared" si="6"/>
        <v>#DIV/0!</v>
      </c>
      <c r="Q21" s="644" t="e">
        <f t="shared" si="7"/>
        <v>#DIV/0!</v>
      </c>
      <c r="S21" s="652"/>
      <c r="T21" s="652"/>
      <c r="V21" s="740" t="s">
        <v>442</v>
      </c>
    </row>
    <row r="22" spans="2:22" ht="15">
      <c r="B22" s="655" t="s">
        <v>405</v>
      </c>
      <c r="C22" s="645"/>
      <c r="D22" s="645"/>
      <c r="E22" s="645"/>
      <c r="F22" s="645"/>
      <c r="G22" s="645"/>
      <c r="H22" s="645"/>
      <c r="I22" s="645"/>
      <c r="J22" s="645"/>
      <c r="K22" s="645"/>
      <c r="L22" s="645"/>
      <c r="M22" s="645"/>
      <c r="O22" s="643" t="e">
        <f t="shared" si="8"/>
        <v>#DIV/0!</v>
      </c>
      <c r="P22" s="644" t="e">
        <f t="shared" si="6"/>
        <v>#DIV/0!</v>
      </c>
      <c r="Q22" s="644" t="e">
        <f t="shared" si="7"/>
        <v>#DIV/0!</v>
      </c>
      <c r="S22" s="652"/>
      <c r="T22" s="652"/>
      <c r="V22" s="740" t="s">
        <v>443</v>
      </c>
    </row>
    <row r="23" spans="2:22" ht="15">
      <c r="B23" s="655" t="s">
        <v>406</v>
      </c>
      <c r="C23" s="645">
        <f>Inputs!B33/Inputs!C33-1</f>
        <v>5.0231328486450844E-2</v>
      </c>
      <c r="D23" s="645">
        <f>Inputs!C33/Inputs!D33-1</f>
        <v>1.1552706552706553</v>
      </c>
      <c r="E23" s="645">
        <f>Inputs!D33/Inputs!E33-1</f>
        <v>9.5163806552262198E-2</v>
      </c>
      <c r="F23" s="645">
        <f>Inputs!E33/Inputs!F33-1</f>
        <v>0.28200000000000003</v>
      </c>
      <c r="G23" s="645">
        <f>Inputs!F33/Inputs!G33-1</f>
        <v>0.43678160919540221</v>
      </c>
      <c r="H23" s="645">
        <f>Inputs!G33/Inputs!H33-1</f>
        <v>0.33333333333333326</v>
      </c>
      <c r="I23" s="645">
        <f>Inputs!H33/Inputs!I33-1</f>
        <v>0.59146341463414642</v>
      </c>
      <c r="J23" s="645">
        <f>Inputs!I33/Inputs!J33-1</f>
        <v>-0.12765957446808507</v>
      </c>
      <c r="K23" s="645">
        <f>Inputs!J33/Inputs!K33-1</f>
        <v>-0.37748344370860931</v>
      </c>
      <c r="L23" s="645">
        <f>Inputs!K33/Inputs!L33-1</f>
        <v>-0.12716763005780352</v>
      </c>
      <c r="M23" s="645">
        <f>Inputs!L33/Inputs!M33-1</f>
        <v>-0.47416413373860178</v>
      </c>
      <c r="O23" s="643">
        <f t="shared" si="8"/>
        <v>0.16706994231810468</v>
      </c>
      <c r="P23" s="644">
        <f t="shared" si="6"/>
        <v>0.40388947990095414</v>
      </c>
      <c r="Q23" s="644">
        <f t="shared" si="7"/>
        <v>0.43355526343645612</v>
      </c>
      <c r="S23" s="652" t="s">
        <v>444</v>
      </c>
      <c r="T23" s="652" t="s">
        <v>444</v>
      </c>
      <c r="V23" s="740" t="s">
        <v>445</v>
      </c>
    </row>
    <row r="24" spans="2:22" ht="15">
      <c r="B24" s="655" t="s">
        <v>407</v>
      </c>
      <c r="C24" s="643"/>
      <c r="D24" s="643"/>
      <c r="E24" s="643"/>
      <c r="F24" s="643"/>
      <c r="G24" s="643"/>
      <c r="H24" s="643"/>
      <c r="I24" s="643"/>
      <c r="J24" s="643"/>
      <c r="K24" s="643"/>
      <c r="L24" s="643"/>
      <c r="M24" s="643"/>
      <c r="O24" s="643" t="e">
        <f t="shared" si="8"/>
        <v>#DIV/0!</v>
      </c>
      <c r="P24" s="644" t="e">
        <f t="shared" si="6"/>
        <v>#DIV/0!</v>
      </c>
      <c r="Q24" s="644" t="e">
        <f t="shared" si="7"/>
        <v>#DIV/0!</v>
      </c>
      <c r="S24" s="652"/>
      <c r="T24" s="652"/>
      <c r="V24" s="740" t="s">
        <v>446</v>
      </c>
    </row>
    <row r="25" spans="2:22" ht="15">
      <c r="B25" s="655" t="s">
        <v>408</v>
      </c>
      <c r="C25" s="643"/>
      <c r="D25" s="643"/>
      <c r="E25" s="643"/>
      <c r="F25" s="643"/>
      <c r="G25" s="643"/>
      <c r="H25" s="643"/>
      <c r="I25" s="643"/>
      <c r="J25" s="643"/>
      <c r="K25" s="643"/>
      <c r="L25" s="643"/>
      <c r="M25" s="643"/>
      <c r="O25" s="643" t="e">
        <f t="shared" si="8"/>
        <v>#DIV/0!</v>
      </c>
      <c r="P25" s="644" t="e">
        <f t="shared" si="6"/>
        <v>#DIV/0!</v>
      </c>
      <c r="Q25" s="644" t="e">
        <f t="shared" si="7"/>
        <v>#DIV/0!</v>
      </c>
      <c r="S25" s="652" t="s">
        <v>444</v>
      </c>
      <c r="T25" s="652" t="s">
        <v>444</v>
      </c>
      <c r="V25" s="740" t="s">
        <v>447</v>
      </c>
    </row>
    <row r="26" spans="2:22" ht="12.6" customHeight="1">
      <c r="B26" s="655" t="s">
        <v>448</v>
      </c>
      <c r="C26" s="643">
        <f>Inputs!B65/Inputs!B6</f>
        <v>-2.4074074074074074E-2</v>
      </c>
      <c r="D26" s="643">
        <f>Inputs!C65/Inputs!C6</f>
        <v>-1.9066988686920045E-2</v>
      </c>
      <c r="E26" s="643">
        <f>Inputs!D65/Inputs!D6</f>
        <v>-1.8315686990385785E-2</v>
      </c>
      <c r="F26" s="643">
        <f>Inputs!E65/Inputs!E6</f>
        <v>-3.0113694561098022E-2</v>
      </c>
      <c r="G26" s="643">
        <f>Inputs!F65/Inputs!F6</f>
        <v>-3.2238894666468579E-2</v>
      </c>
      <c r="H26" s="643">
        <f>Inputs!G65/Inputs!G6</f>
        <v>-2.5173745173745175E-2</v>
      </c>
      <c r="I26" s="643">
        <f>Inputs!H65/Inputs!H6</f>
        <v>-2.1511517228250523E-2</v>
      </c>
      <c r="J26" s="643">
        <f>Inputs!I65/Inputs!I6</f>
        <v>-1.8024344569288388E-2</v>
      </c>
      <c r="K26" s="643">
        <f>Inputs!J65/Inputs!J6</f>
        <v>-2.405412177399148E-2</v>
      </c>
      <c r="L26" s="643">
        <f>Inputs!K65/Inputs!K6</f>
        <v>-1.7253904831093354E-2</v>
      </c>
      <c r="M26" s="643">
        <f>Inputs!L65/Inputs!L6</f>
        <v>-1.5852047556142668E-2</v>
      </c>
      <c r="O26" s="643">
        <f t="shared" si="8"/>
        <v>-2.2334456373768918E-2</v>
      </c>
      <c r="P26" s="644">
        <f t="shared" si="6"/>
        <v>-2.4761867795789302E-2</v>
      </c>
      <c r="Q26" s="644">
        <f t="shared" si="7"/>
        <v>-2.048558325045997E-2</v>
      </c>
      <c r="S26" s="652"/>
      <c r="T26" s="652"/>
      <c r="V26" s="740" t="s">
        <v>440</v>
      </c>
    </row>
    <row r="27" spans="2:22" ht="15">
      <c r="B27" s="655" t="s">
        <v>410</v>
      </c>
      <c r="C27" s="643">
        <f>Inputs!B66/Inputs!B6</f>
        <v>-3.8183421516754849E-2</v>
      </c>
      <c r="D27" s="643">
        <f>Inputs!C66/Inputs!C6</f>
        <v>0.10444472691835091</v>
      </c>
      <c r="E27" s="643">
        <f>Inputs!D66/Inputs!D6</f>
        <v>-2.3001095290251915E-2</v>
      </c>
      <c r="F27" s="643">
        <f>Inputs!E66/Inputs!E6</f>
        <v>-6.7397316398647961E-2</v>
      </c>
      <c r="G27" s="643">
        <f>Inputs!F66/Inputs!F6</f>
        <v>6.0912197296092707E-3</v>
      </c>
      <c r="H27" s="643">
        <f>Inputs!G66/Inputs!G6</f>
        <v>-1.2046332046332046E-2</v>
      </c>
      <c r="I27" s="643">
        <f>Inputs!H66/Inputs!H6</f>
        <v>1.9036740909956216E-4</v>
      </c>
      <c r="J27" s="643">
        <f>Inputs!I66/Inputs!I6</f>
        <v>8.00561797752809E-2</v>
      </c>
      <c r="K27" s="643">
        <f>Inputs!J66/Inputs!J6</f>
        <v>6.0886995740415936E-2</v>
      </c>
      <c r="L27" s="643">
        <f>Inputs!K66/Inputs!K6</f>
        <v>1.5074464220849982E-2</v>
      </c>
      <c r="M27" s="643">
        <f>Inputs!L66/Inputs!L6</f>
        <v>0.10171730515191546</v>
      </c>
      <c r="O27" s="643">
        <f t="shared" si="8"/>
        <v>2.0712099426685022E-2</v>
      </c>
      <c r="P27" s="644">
        <f t="shared" si="6"/>
        <v>-3.6091773115389109E-3</v>
      </c>
      <c r="Q27" s="644">
        <f t="shared" si="7"/>
        <v>1.4420070037114712E-2</v>
      </c>
      <c r="S27" s="652"/>
      <c r="T27" s="652"/>
      <c r="V27" s="740" t="s">
        <v>440</v>
      </c>
    </row>
    <row r="28" spans="2:22" ht="15">
      <c r="B28" s="655" t="s">
        <v>98</v>
      </c>
      <c r="C28" s="643">
        <f>Inputs!B73/Inputs!B6</f>
        <v>0</v>
      </c>
      <c r="D28" s="643">
        <f>Inputs!C73/Inputs!C6</f>
        <v>0</v>
      </c>
      <c r="E28" s="643">
        <f>Inputs!D73/Inputs!D6</f>
        <v>0</v>
      </c>
      <c r="F28" s="643">
        <f>Inputs!E73/Inputs!E6</f>
        <v>0</v>
      </c>
      <c r="G28" s="643">
        <f>Inputs!F73/Inputs!F6</f>
        <v>0</v>
      </c>
      <c r="H28" s="643">
        <f>Inputs!G73/Inputs!G6</f>
        <v>0</v>
      </c>
      <c r="I28" s="643">
        <f>Inputs!H73/Inputs!H6</f>
        <v>0</v>
      </c>
      <c r="J28" s="643">
        <f>Inputs!I73/Inputs!I6</f>
        <v>0</v>
      </c>
      <c r="K28" s="643">
        <f>Inputs!J73/Inputs!J6</f>
        <v>0</v>
      </c>
      <c r="L28" s="643">
        <f>Inputs!K73/Inputs!K6</f>
        <v>0</v>
      </c>
      <c r="M28" s="643">
        <f>Inputs!L73/Inputs!L6</f>
        <v>0</v>
      </c>
      <c r="O28" s="643">
        <f t="shared" si="8"/>
        <v>0</v>
      </c>
      <c r="P28" s="644">
        <f t="shared" si="6"/>
        <v>0</v>
      </c>
      <c r="Q28" s="644">
        <f t="shared" si="7"/>
        <v>0</v>
      </c>
      <c r="S28" s="652"/>
      <c r="T28" s="652"/>
      <c r="V28" s="740" t="s">
        <v>449</v>
      </c>
    </row>
    <row r="29" spans="2:22" ht="15">
      <c r="B29" s="655" t="s">
        <v>411</v>
      </c>
      <c r="C29" s="643">
        <f>Inputs!B74/Inputs!B6</f>
        <v>-4.3430335097001761E-2</v>
      </c>
      <c r="D29" s="643">
        <f>Inputs!C74/Inputs!C6</f>
        <v>-0.15685776026439557</v>
      </c>
      <c r="E29" s="643">
        <f>Inputs!D74/Inputs!D6</f>
        <v>-0.10721674577096264</v>
      </c>
      <c r="F29" s="643">
        <f>Inputs!E74/Inputs!E6</f>
        <v>0</v>
      </c>
      <c r="G29" s="643">
        <f>Inputs!F74/Inputs!F6</f>
        <v>0</v>
      </c>
      <c r="H29" s="643">
        <f>Inputs!G74/Inputs!G6</f>
        <v>0</v>
      </c>
      <c r="I29" s="643">
        <f>Inputs!H74/Inputs!H6</f>
        <v>0</v>
      </c>
      <c r="J29" s="643">
        <f>Inputs!I74/Inputs!I6</f>
        <v>0</v>
      </c>
      <c r="K29" s="643">
        <f>Inputs!J74/Inputs!J6</f>
        <v>0</v>
      </c>
      <c r="L29" s="643">
        <f>Inputs!K74/Inputs!K6</f>
        <v>0</v>
      </c>
      <c r="M29" s="643">
        <f>Inputs!L74/Inputs!L6</f>
        <v>0</v>
      </c>
      <c r="O29" s="643">
        <f t="shared" si="8"/>
        <v>-2.795498555748727E-2</v>
      </c>
      <c r="P29" s="644">
        <f t="shared" si="6"/>
        <v>-6.1500968226471997E-2</v>
      </c>
      <c r="Q29" s="644">
        <f t="shared" si="7"/>
        <v>-0.10250161371078666</v>
      </c>
      <c r="S29" s="652"/>
      <c r="T29" s="652"/>
      <c r="V29" s="740" t="s">
        <v>449</v>
      </c>
    </row>
    <row r="30" spans="2:22" ht="15">
      <c r="B30" s="655" t="s">
        <v>412</v>
      </c>
      <c r="C30" s="643"/>
      <c r="D30" s="643"/>
      <c r="E30" s="643"/>
      <c r="F30" s="643"/>
      <c r="G30" s="643"/>
      <c r="H30" s="643"/>
      <c r="I30" s="643"/>
      <c r="J30" s="643"/>
      <c r="K30" s="643"/>
      <c r="L30" s="643"/>
      <c r="M30" s="643"/>
      <c r="O30" s="643" t="e">
        <f t="shared" si="8"/>
        <v>#DIV/0!</v>
      </c>
      <c r="P30" s="644" t="e">
        <f t="shared" si="6"/>
        <v>#DIV/0!</v>
      </c>
      <c r="Q30" s="644" t="e">
        <f t="shared" si="7"/>
        <v>#DIV/0!</v>
      </c>
      <c r="S30" s="652"/>
      <c r="T30" s="652"/>
      <c r="V30" s="740" t="s">
        <v>440</v>
      </c>
    </row>
    <row r="31" spans="2:22" ht="15">
      <c r="B31" s="655" t="s">
        <v>223</v>
      </c>
      <c r="C31" s="744">
        <f>'Fin. Data'!B58/'Fin. Data'!B19</f>
        <v>0.58554342173686946</v>
      </c>
      <c r="D31" s="744">
        <f>'Fin. Data'!C58/'Fin. Data'!C19</f>
        <v>0.52832625945746448</v>
      </c>
      <c r="E31" s="744">
        <f>'Fin. Data'!D58/'Fin. Data'!D19</f>
        <v>8.6300692383778438E-2</v>
      </c>
      <c r="F31" s="744">
        <f>'Fin. Data'!E58/'Fin. Data'!E19</f>
        <v>0.32717190388170053</v>
      </c>
      <c r="G31" s="744">
        <f>'Fin. Data'!F58/'Fin. Data'!F19</f>
        <v>1.0269865067466266</v>
      </c>
      <c r="H31" s="744">
        <f>'Fin. Data'!G58/'Fin. Data'!G19</f>
        <v>1.9936204146730463</v>
      </c>
      <c r="I31" s="744">
        <f>'Fin. Data'!H58/'Fin. Data'!H19</f>
        <v>-1.6145833333333333</v>
      </c>
      <c r="J31" s="744">
        <f>'Fin. Data'!I58/'Fin. Data'!I19</f>
        <v>-3.246606334841629</v>
      </c>
      <c r="K31" s="744">
        <f>'Fin. Data'!J58/'Fin. Data'!J19</f>
        <v>-7.1698717948717947</v>
      </c>
      <c r="L31" s="744">
        <f>'Fin. Data'!K58/'Fin. Data'!K19</f>
        <v>-276.5</v>
      </c>
      <c r="M31" s="744">
        <f>'Fin. Data'!L58/'Fin. Data'!L19</f>
        <v>6.052941176470588</v>
      </c>
      <c r="O31" s="643">
        <f t="shared" si="8"/>
        <v>-25.266379189790609</v>
      </c>
      <c r="P31" s="644">
        <f t="shared" si="6"/>
        <v>0.51086575684128788</v>
      </c>
      <c r="Q31" s="644">
        <f t="shared" si="7"/>
        <v>0.40005679119270415</v>
      </c>
      <c r="S31" s="717"/>
      <c r="T31" s="717"/>
      <c r="V31" s="740" t="s">
        <v>450</v>
      </c>
    </row>
    <row r="34" spans="2:11" s="635" customFormat="1"/>
    <row r="35" spans="2:11" customFormat="1" ht="12.75" customHeight="1"/>
    <row r="36" spans="2:11" customFormat="1" ht="12.6" customHeight="1"/>
    <row r="37" spans="2:11" customFormat="1" ht="12.75" customHeight="1"/>
    <row r="38" spans="2:11" customFormat="1" ht="12.6" customHeight="1"/>
    <row r="39" spans="2:11" customFormat="1" ht="12.75" customHeight="1"/>
    <row r="40" spans="2:11" customFormat="1" ht="12.75" customHeight="1">
      <c r="B40" s="1425" t="s">
        <v>86</v>
      </c>
      <c r="C40" s="1426" t="s">
        <v>451</v>
      </c>
      <c r="D40" s="1427" t="s">
        <v>120</v>
      </c>
      <c r="F40" s="1441" t="s">
        <v>86</v>
      </c>
      <c r="G40" s="1441" t="s">
        <v>452</v>
      </c>
      <c r="H40" s="1426" t="s">
        <v>120</v>
      </c>
      <c r="I40" s="1442" t="s">
        <v>453</v>
      </c>
      <c r="J40" s="1442" t="s">
        <v>454</v>
      </c>
      <c r="K40" s="1442" t="s">
        <v>455</v>
      </c>
    </row>
    <row r="41" spans="2:11" customFormat="1" ht="12.75" customHeight="1">
      <c r="B41" s="1428">
        <v>2016</v>
      </c>
      <c r="C41" s="1429"/>
      <c r="D41" s="1430"/>
      <c r="F41" s="1436">
        <v>2016</v>
      </c>
      <c r="G41" s="1436"/>
      <c r="H41" s="1443"/>
      <c r="I41" s="1444"/>
      <c r="J41" s="1437"/>
      <c r="K41" s="1437"/>
    </row>
    <row r="42" spans="2:11" customFormat="1" ht="12.75" customHeight="1">
      <c r="B42" s="1428">
        <v>2017</v>
      </c>
      <c r="C42" s="1429"/>
      <c r="D42" s="1431"/>
      <c r="F42" s="1436">
        <v>2017</v>
      </c>
      <c r="G42" s="1436"/>
      <c r="H42" s="1445"/>
      <c r="I42" s="1444"/>
      <c r="J42" s="1444"/>
      <c r="K42" s="1444"/>
    </row>
    <row r="43" spans="2:11" customFormat="1" ht="12.6" customHeight="1">
      <c r="B43" s="1428">
        <v>2018</v>
      </c>
      <c r="C43" s="1429"/>
      <c r="D43" s="1431"/>
      <c r="F43" s="1436">
        <v>2018</v>
      </c>
      <c r="G43" s="1436"/>
      <c r="H43" s="1445"/>
      <c r="I43" s="1444"/>
      <c r="J43" s="1444"/>
      <c r="K43" s="1444"/>
    </row>
    <row r="44" spans="2:11" customFormat="1" ht="12.75" customHeight="1">
      <c r="B44" s="1428">
        <v>2019</v>
      </c>
      <c r="C44" s="1429"/>
      <c r="D44" s="1431"/>
      <c r="F44" s="1436">
        <v>2019</v>
      </c>
      <c r="G44" s="1436"/>
      <c r="H44" s="1445"/>
      <c r="I44" s="1444"/>
      <c r="J44" s="1444"/>
      <c r="K44" s="1444"/>
    </row>
    <row r="45" spans="2:11" customFormat="1" ht="12.75" customHeight="1">
      <c r="B45" s="1428">
        <v>2020</v>
      </c>
      <c r="C45" s="1429"/>
      <c r="D45" s="1431"/>
      <c r="F45" s="1436">
        <v>2020</v>
      </c>
      <c r="G45" s="1436"/>
      <c r="H45" s="1445"/>
      <c r="I45" s="1444"/>
      <c r="J45" s="1444"/>
      <c r="K45" s="1444"/>
    </row>
    <row r="46" spans="2:11" customFormat="1" ht="12.75" customHeight="1">
      <c r="B46" s="1428">
        <v>2021</v>
      </c>
      <c r="C46" s="1429"/>
      <c r="D46" s="1431"/>
      <c r="F46" s="1436">
        <v>2021</v>
      </c>
      <c r="G46" s="1436"/>
      <c r="H46" s="1445"/>
      <c r="I46" s="1444"/>
      <c r="J46" s="1444"/>
      <c r="K46" s="1444"/>
    </row>
    <row r="47" spans="2:11" customFormat="1" ht="12.75" customHeight="1">
      <c r="B47" s="1428">
        <v>2022</v>
      </c>
      <c r="C47" s="1429"/>
      <c r="D47" s="1431"/>
      <c r="F47" s="1436">
        <v>2022</v>
      </c>
      <c r="G47" s="1436"/>
      <c r="H47" s="1445"/>
      <c r="I47" s="1444"/>
      <c r="J47" s="1444"/>
      <c r="K47" s="1444"/>
    </row>
    <row r="48" spans="2:11" customFormat="1" ht="12.75" customHeight="1">
      <c r="B48" s="1432">
        <v>2023</v>
      </c>
      <c r="C48" s="1433"/>
      <c r="D48" s="1434"/>
      <c r="F48" s="1446">
        <v>2023</v>
      </c>
      <c r="G48" s="1447"/>
      <c r="H48" s="1448"/>
      <c r="I48" s="1449"/>
      <c r="J48" s="1449"/>
      <c r="K48" s="1449"/>
    </row>
    <row r="49" spans="2:11" customFormat="1" ht="12.75" customHeight="1">
      <c r="B49" s="1428" t="s">
        <v>456</v>
      </c>
      <c r="C49" s="1429"/>
      <c r="D49" s="1431"/>
      <c r="F49" s="1436" t="s">
        <v>457</v>
      </c>
      <c r="G49" s="1436"/>
      <c r="H49" s="1429"/>
      <c r="I49" s="1444"/>
      <c r="J49" s="1444"/>
      <c r="K49" s="1444"/>
    </row>
    <row r="50" spans="2:11" customFormat="1" ht="12.75" customHeight="1">
      <c r="B50" s="1428" t="s">
        <v>458</v>
      </c>
      <c r="C50" s="1429"/>
      <c r="D50" s="1431"/>
      <c r="F50" s="1436" t="s">
        <v>458</v>
      </c>
      <c r="G50" s="1438"/>
      <c r="H50" s="1429"/>
      <c r="I50" s="1444"/>
      <c r="J50" s="1444"/>
      <c r="K50" s="1444"/>
    </row>
    <row r="51" spans="2:11" customFormat="1" ht="12.75" customHeight="1">
      <c r="B51" s="1428" t="s">
        <v>459</v>
      </c>
      <c r="C51" s="1429"/>
      <c r="D51" s="1431"/>
      <c r="F51" s="1436" t="s">
        <v>459</v>
      </c>
      <c r="G51" s="1438"/>
      <c r="H51" s="1429"/>
      <c r="I51" s="1444"/>
      <c r="J51" s="1444"/>
      <c r="K51" s="1444"/>
    </row>
    <row r="52" spans="2:11" customFormat="1" ht="12.75" customHeight="1">
      <c r="B52" s="1432" t="s">
        <v>460</v>
      </c>
      <c r="C52" s="1433"/>
      <c r="D52" s="1434"/>
      <c r="F52" s="1446" t="s">
        <v>460</v>
      </c>
      <c r="G52" s="1450"/>
      <c r="H52" s="1433"/>
      <c r="I52" s="1449"/>
      <c r="J52" s="1449"/>
      <c r="K52" s="1449"/>
    </row>
    <row r="53" spans="2:11" customFormat="1" ht="12.75" customHeight="1">
      <c r="B53" s="1428" t="s">
        <v>461</v>
      </c>
      <c r="C53" s="1429"/>
      <c r="D53" s="1431"/>
      <c r="F53" s="1436" t="s">
        <v>461</v>
      </c>
      <c r="G53" s="1438"/>
      <c r="H53" s="1429"/>
      <c r="I53" s="1444"/>
      <c r="J53" s="1444"/>
      <c r="K53" s="1444"/>
    </row>
    <row r="54" spans="2:11" customFormat="1" ht="12.75" customHeight="1">
      <c r="B54" s="1428" t="s">
        <v>462</v>
      </c>
      <c r="C54" s="1429"/>
      <c r="D54" s="1431"/>
      <c r="F54" s="1436" t="s">
        <v>462</v>
      </c>
      <c r="G54" s="1438"/>
      <c r="H54" s="1429"/>
      <c r="I54" s="1444"/>
      <c r="J54" s="1444"/>
      <c r="K54" s="1444"/>
    </row>
    <row r="55" spans="2:11" customFormat="1" ht="12.75" customHeight="1">
      <c r="B55" s="1428" t="s">
        <v>463</v>
      </c>
      <c r="C55" s="1429"/>
      <c r="D55" s="1431"/>
      <c r="F55" s="1436" t="s">
        <v>463</v>
      </c>
      <c r="G55" s="1438"/>
      <c r="H55" s="1429"/>
      <c r="I55" s="1444"/>
      <c r="J55" s="1444"/>
      <c r="K55" s="1444"/>
    </row>
    <row r="56" spans="2:11" customFormat="1" ht="12.75" customHeight="1">
      <c r="B56" s="1428" t="s">
        <v>464</v>
      </c>
      <c r="C56" s="1429"/>
      <c r="D56" s="1431"/>
      <c r="F56" s="1436" t="s">
        <v>464</v>
      </c>
      <c r="G56" s="1438"/>
      <c r="H56" s="1429"/>
      <c r="I56" s="1444"/>
      <c r="J56" s="1444"/>
      <c r="K56" s="1444"/>
    </row>
    <row r="57" spans="2:11" customFormat="1" ht="12.75" customHeight="1">
      <c r="B57" s="1432" t="s">
        <v>465</v>
      </c>
      <c r="C57" s="1433"/>
      <c r="D57" s="1434"/>
      <c r="F57" s="1446" t="s">
        <v>465</v>
      </c>
      <c r="G57" s="1450"/>
      <c r="H57" s="1433"/>
      <c r="I57" s="1449"/>
      <c r="J57" s="1449"/>
      <c r="K57" s="1449"/>
    </row>
    <row r="58" spans="2:11" customFormat="1" ht="12.75" customHeight="1">
      <c r="B58" s="1428" t="s">
        <v>466</v>
      </c>
      <c r="C58" s="1429"/>
      <c r="D58" s="1431"/>
      <c r="F58" s="1436" t="s">
        <v>466</v>
      </c>
      <c r="G58" s="1438"/>
      <c r="H58" s="1429"/>
      <c r="I58" s="1444"/>
      <c r="J58" s="1444"/>
      <c r="K58" s="1444"/>
    </row>
    <row r="59" spans="2:11" customFormat="1" ht="12.75" customHeight="1">
      <c r="B59" s="1428" t="s">
        <v>467</v>
      </c>
      <c r="C59" s="1429"/>
      <c r="D59" s="1431"/>
      <c r="F59" s="1436" t="s">
        <v>467</v>
      </c>
      <c r="G59" s="1438"/>
      <c r="H59" s="1429"/>
      <c r="I59" s="1444"/>
      <c r="J59" s="1444"/>
      <c r="K59" s="1444"/>
    </row>
    <row r="60" spans="2:11" customFormat="1" ht="12.75" customHeight="1">
      <c r="B60" s="1428" t="s">
        <v>468</v>
      </c>
      <c r="C60" s="1429"/>
      <c r="D60" s="1435"/>
      <c r="F60" s="1436" t="s">
        <v>468</v>
      </c>
      <c r="G60" s="1438"/>
      <c r="H60" s="1429"/>
      <c r="I60" s="1444"/>
      <c r="J60" s="1444"/>
      <c r="K60" s="1444"/>
    </row>
    <row r="61" spans="2:11" customFormat="1" ht="12.75" customHeight="1">
      <c r="B61" s="1428" t="s">
        <v>469</v>
      </c>
      <c r="C61" s="1429"/>
      <c r="D61" s="1431"/>
      <c r="F61" s="1436" t="s">
        <v>469</v>
      </c>
      <c r="G61" s="1438"/>
      <c r="H61" s="1429"/>
      <c r="I61" s="1444"/>
      <c r="J61" s="1444"/>
      <c r="K61" s="1444"/>
    </row>
    <row r="62" spans="2:11" customFormat="1" ht="12.75" customHeight="1">
      <c r="B62" s="1428" t="s">
        <v>470</v>
      </c>
      <c r="C62" s="1429"/>
      <c r="D62" s="1431"/>
      <c r="F62" s="1436" t="s">
        <v>470</v>
      </c>
      <c r="G62" s="1438"/>
      <c r="H62" s="1429"/>
      <c r="I62" s="1444"/>
      <c r="J62" s="1444"/>
      <c r="K62" s="1444"/>
    </row>
    <row r="63" spans="2:11" customFormat="1" ht="12.75" customHeight="1">
      <c r="B63" s="1436" t="s">
        <v>471</v>
      </c>
      <c r="C63" s="1429"/>
      <c r="D63" s="1437"/>
      <c r="F63" s="1436" t="s">
        <v>471</v>
      </c>
      <c r="G63" s="1438"/>
      <c r="H63" s="1429"/>
      <c r="I63" s="1444"/>
      <c r="J63" s="1444"/>
      <c r="K63" s="1444"/>
    </row>
    <row r="64" spans="2:11" customFormat="1" ht="12.75" customHeight="1">
      <c r="B64" s="1436" t="s">
        <v>472</v>
      </c>
      <c r="C64" s="1429"/>
      <c r="D64" s="1437"/>
      <c r="F64" s="1436" t="s">
        <v>472</v>
      </c>
      <c r="G64" s="1438"/>
      <c r="H64" s="1429"/>
      <c r="I64" s="1444"/>
      <c r="J64" s="1444"/>
      <c r="K64" s="1444"/>
    </row>
    <row r="65" spans="2:11" customFormat="1" ht="12.75" customHeight="1">
      <c r="B65" s="1436" t="s">
        <v>473</v>
      </c>
      <c r="C65" s="1429"/>
      <c r="D65" s="1437"/>
      <c r="F65" s="1436" t="s">
        <v>473</v>
      </c>
      <c r="G65" s="1438"/>
      <c r="H65" s="1429"/>
      <c r="I65" s="1444"/>
      <c r="J65" s="1444"/>
      <c r="K65" s="1444"/>
    </row>
    <row r="66" spans="2:11" customFormat="1" ht="12.75" customHeight="1">
      <c r="B66" s="1436" t="s">
        <v>474</v>
      </c>
      <c r="C66" s="1429"/>
      <c r="D66" s="1437"/>
      <c r="F66" s="1451" t="s">
        <v>474</v>
      </c>
      <c r="G66" s="1438"/>
      <c r="H66" s="1429"/>
      <c r="I66" s="1444"/>
      <c r="J66" s="1444"/>
      <c r="K66" s="1444"/>
    </row>
    <row r="67" spans="2:11" customFormat="1" ht="12.75" customHeight="1">
      <c r="B67" s="1436" t="s">
        <v>475</v>
      </c>
      <c r="C67" s="1429"/>
      <c r="D67" s="1437"/>
      <c r="F67" s="1436" t="s">
        <v>475</v>
      </c>
      <c r="G67" s="1438"/>
      <c r="H67" s="1429"/>
      <c r="I67" s="1444"/>
      <c r="J67" s="1444"/>
      <c r="K67" s="1444"/>
    </row>
    <row r="68" spans="2:11" customFormat="1" ht="12.75" customHeight="1">
      <c r="B68" s="1436" t="s">
        <v>476</v>
      </c>
      <c r="C68" s="1429"/>
      <c r="D68" s="1437"/>
      <c r="F68" s="1436" t="s">
        <v>476</v>
      </c>
      <c r="G68" s="1438"/>
      <c r="H68" s="1429"/>
      <c r="I68" s="1444"/>
      <c r="J68" s="1444"/>
      <c r="K68" s="1444"/>
    </row>
    <row r="69" spans="2:11" customFormat="1" ht="12.75" customHeight="1">
      <c r="B69" s="1438" t="s">
        <v>477</v>
      </c>
      <c r="C69" s="1429"/>
      <c r="D69" s="703"/>
      <c r="F69" s="1438" t="s">
        <v>477</v>
      </c>
      <c r="G69" s="1438"/>
      <c r="H69" s="1429"/>
      <c r="I69" s="1444"/>
      <c r="J69" s="1444"/>
      <c r="K69" s="1444"/>
    </row>
    <row r="70" spans="2:11" customFormat="1" ht="12.75" customHeight="1">
      <c r="B70" s="1438" t="s">
        <v>478</v>
      </c>
      <c r="C70" s="1429"/>
      <c r="D70" s="703"/>
      <c r="F70" s="1438" t="s">
        <v>478</v>
      </c>
      <c r="G70" s="1438"/>
      <c r="H70" s="1429"/>
      <c r="I70" s="1444"/>
      <c r="J70" s="1444"/>
      <c r="K70" s="1444"/>
    </row>
    <row r="71" spans="2:11" customFormat="1" ht="12.75" customHeight="1">
      <c r="B71" s="1438" t="s">
        <v>479</v>
      </c>
      <c r="C71" s="1429"/>
      <c r="D71" s="703"/>
      <c r="F71" s="1438" t="s">
        <v>479</v>
      </c>
      <c r="G71" s="1438"/>
      <c r="H71" s="1429"/>
      <c r="I71" s="1444"/>
      <c r="J71" s="1444"/>
      <c r="K71" s="1444"/>
    </row>
    <row r="72" spans="2:11" customFormat="1" ht="12.75" customHeight="1">
      <c r="B72" s="1438" t="s">
        <v>480</v>
      </c>
      <c r="C72" s="1429"/>
      <c r="D72" s="703"/>
      <c r="F72" s="1438" t="s">
        <v>480</v>
      </c>
      <c r="G72" s="1438"/>
      <c r="H72" s="1429"/>
      <c r="I72" s="1444"/>
      <c r="J72" s="1444"/>
      <c r="K72" s="1444"/>
    </row>
    <row r="73" spans="2:11" customFormat="1" ht="12.75" customHeight="1">
      <c r="B73" s="1439" t="s">
        <v>481</v>
      </c>
      <c r="C73" s="1440"/>
      <c r="D73" s="708"/>
      <c r="F73" s="1439" t="s">
        <v>481</v>
      </c>
      <c r="G73" s="1439"/>
      <c r="H73" s="1440"/>
      <c r="I73" s="1452"/>
      <c r="J73" s="1452"/>
      <c r="K73" s="1452"/>
    </row>
    <row r="74" spans="2:11" customFormat="1" ht="12.75" customHeight="1"/>
    <row r="75" spans="2:11" customFormat="1" ht="12.75" customHeight="1"/>
    <row r="76" spans="2:11" customFormat="1" ht="12.75" customHeight="1"/>
    <row r="77" spans="2:11" customFormat="1" ht="12.75" customHeight="1"/>
    <row r="78" spans="2:11" customFormat="1" ht="12.75" customHeight="1"/>
    <row r="79" spans="2:11" customFormat="1" ht="12.75" customHeight="1"/>
    <row r="80" spans="2:11" customFormat="1" ht="12.75" customHeight="1"/>
    <row r="81" customFormat="1" ht="12.75" customHeight="1"/>
    <row r="82" customFormat="1" ht="12.75" customHeight="1"/>
    <row r="83" customFormat="1" ht="12.75" customHeight="1"/>
    <row r="84" customFormat="1" ht="12.75" customHeight="1"/>
    <row r="85" customFormat="1" ht="12.75" customHeight="1"/>
    <row r="86" customFormat="1" ht="12.75" customHeight="1"/>
    <row r="87" customFormat="1" ht="12.75" customHeight="1"/>
    <row r="88" customFormat="1" ht="12.75" customHeight="1"/>
    <row r="89" customFormat="1" ht="12.75" customHeight="1"/>
    <row r="90" customFormat="1" ht="12.75" customHeight="1"/>
    <row r="91" customFormat="1" ht="12.75" customHeight="1"/>
    <row r="92" customFormat="1" ht="12.75" customHeight="1"/>
    <row r="93" customFormat="1" ht="12.75" customHeight="1"/>
    <row r="94" customFormat="1" ht="12.75" customHeight="1"/>
    <row r="95" customFormat="1" ht="12.75" customHeight="1"/>
    <row r="96" customFormat="1" ht="12.75" customHeight="1"/>
    <row r="97" spans="22:52" customFormat="1" ht="12.75" customHeight="1"/>
    <row r="98" spans="22:52" customFormat="1" ht="12.75" customHeight="1"/>
    <row r="99" spans="22:52" customFormat="1" ht="12.75" customHeight="1"/>
    <row r="100" spans="22:52" customFormat="1" ht="12.75" customHeight="1"/>
    <row r="101" spans="22:52" customFormat="1" ht="12.75" customHeight="1"/>
    <row r="102" spans="22:52" customFormat="1" ht="12.75" customHeight="1"/>
    <row r="103" spans="22:52" customFormat="1" ht="12.75" customHeight="1"/>
    <row r="104" spans="22:52" customFormat="1" ht="12.75" customHeight="1"/>
    <row r="105" spans="22:52" customFormat="1" ht="12.75" customHeight="1"/>
    <row r="106" spans="22:52" customFormat="1" ht="12.75" customHeight="1">
      <c r="W106" s="1456" t="s">
        <v>482</v>
      </c>
      <c r="X106" s="1457"/>
      <c r="Y106" s="1457"/>
      <c r="Z106" s="1457"/>
      <c r="AA106" s="1378" t="s">
        <v>483</v>
      </c>
      <c r="AB106" s="1456" t="s">
        <v>484</v>
      </c>
      <c r="AC106" s="1457"/>
      <c r="AD106" s="1457"/>
      <c r="AE106" s="1457"/>
      <c r="AF106" s="1458" t="s">
        <v>485</v>
      </c>
      <c r="AG106" s="1459"/>
      <c r="AH106" s="1459"/>
      <c r="AI106" s="1459"/>
      <c r="AJ106" s="1459"/>
      <c r="AK106" s="1460" t="s">
        <v>486</v>
      </c>
      <c r="AL106" s="1461"/>
      <c r="AM106" s="1461"/>
      <c r="AN106" s="1461"/>
      <c r="AO106" s="1461"/>
      <c r="AP106" s="1461"/>
      <c r="AQ106" s="1461"/>
      <c r="AR106" s="1461"/>
      <c r="AS106" s="1461"/>
      <c r="AT106" s="1461"/>
      <c r="AU106" s="1461"/>
      <c r="AV106" s="1461"/>
      <c r="AW106" s="1461"/>
      <c r="AX106" s="1461"/>
      <c r="AY106" s="1461"/>
      <c r="AZ106" s="1462"/>
    </row>
    <row r="107" spans="22:52" customFormat="1" ht="12.75" customHeight="1">
      <c r="W107" s="1379">
        <v>2020</v>
      </c>
      <c r="X107" s="1380">
        <v>2021</v>
      </c>
      <c r="Y107" s="1380">
        <v>2022</v>
      </c>
      <c r="Z107" s="1381">
        <v>2023</v>
      </c>
      <c r="AA107" s="11"/>
      <c r="AB107" s="1379">
        <v>2024</v>
      </c>
      <c r="AC107" s="1380">
        <v>2025</v>
      </c>
      <c r="AD107" s="1380">
        <v>2026</v>
      </c>
      <c r="AE107" s="1380">
        <v>2027</v>
      </c>
      <c r="AF107" s="1382">
        <v>2028</v>
      </c>
      <c r="AG107" s="11">
        <v>2029</v>
      </c>
      <c r="AH107" s="11">
        <v>2030</v>
      </c>
      <c r="AI107" s="11">
        <v>2031</v>
      </c>
      <c r="AJ107" s="11">
        <v>2032</v>
      </c>
      <c r="AK107" s="1383">
        <v>2033</v>
      </c>
      <c r="AL107" s="1384">
        <v>2034</v>
      </c>
      <c r="AM107" s="1384">
        <v>2035</v>
      </c>
      <c r="AN107" s="1384">
        <v>2036</v>
      </c>
      <c r="AO107" s="1384">
        <v>2037</v>
      </c>
      <c r="AP107" s="1384">
        <v>2038</v>
      </c>
      <c r="AQ107" s="1384">
        <v>2039</v>
      </c>
      <c r="AR107" s="1384">
        <v>2040</v>
      </c>
      <c r="AS107" s="1384">
        <v>2041</v>
      </c>
      <c r="AT107" s="1384">
        <v>2042</v>
      </c>
      <c r="AU107" s="1384">
        <v>2043</v>
      </c>
      <c r="AV107" s="1384">
        <v>2044</v>
      </c>
      <c r="AW107" s="1384">
        <v>2045</v>
      </c>
      <c r="AX107" s="1384">
        <v>2046</v>
      </c>
      <c r="AY107" s="1384">
        <v>2047</v>
      </c>
      <c r="AZ107" s="1385">
        <v>2048</v>
      </c>
    </row>
    <row r="108" spans="22:52" customFormat="1" ht="12.75" customHeight="1">
      <c r="V108" s="1386" t="s">
        <v>487</v>
      </c>
      <c r="W108" s="1387"/>
      <c r="X108" s="1388"/>
      <c r="Y108" s="1388"/>
      <c r="Z108" s="1389"/>
      <c r="AA108" s="1388"/>
      <c r="AB108" s="1387"/>
      <c r="AC108" s="1388"/>
      <c r="AD108" s="1388"/>
      <c r="AE108" s="1388"/>
      <c r="AF108" s="1387"/>
      <c r="AG108" s="1388"/>
      <c r="AH108" s="1388"/>
      <c r="AI108" s="1388"/>
      <c r="AJ108" s="1388"/>
      <c r="AK108" s="1390"/>
      <c r="AL108" s="1391"/>
      <c r="AM108" s="1391"/>
      <c r="AN108" s="1391"/>
      <c r="AO108" s="1391"/>
      <c r="AP108" s="1391"/>
      <c r="AQ108" s="1391"/>
      <c r="AR108" s="1391"/>
      <c r="AS108" s="1391"/>
      <c r="AT108" s="1391"/>
      <c r="AU108" s="1391"/>
      <c r="AV108" s="1391"/>
      <c r="AW108" s="1391"/>
      <c r="AX108" s="1391"/>
      <c r="AY108" s="1391"/>
      <c r="AZ108" s="1392"/>
    </row>
    <row r="109" spans="22:52" customFormat="1" ht="12.75" customHeight="1">
      <c r="V109" s="1011" t="s">
        <v>210</v>
      </c>
      <c r="W109" s="1011"/>
      <c r="Z109" s="1393"/>
      <c r="AB109" s="1011"/>
      <c r="AF109" s="1011"/>
      <c r="AK109" s="1394"/>
      <c r="AZ109" s="1065"/>
    </row>
    <row r="110" spans="22:52" customFormat="1" ht="12.75" customHeight="1">
      <c r="V110" s="1011" t="s">
        <v>488</v>
      </c>
      <c r="W110" s="1011"/>
      <c r="Z110" s="1393"/>
      <c r="AB110" s="1395"/>
      <c r="AC110" s="157"/>
      <c r="AD110" s="157"/>
      <c r="AE110" s="157"/>
      <c r="AF110" s="1395"/>
      <c r="AG110" s="157"/>
      <c r="AH110" s="157"/>
      <c r="AI110" s="157"/>
      <c r="AJ110" s="157"/>
      <c r="AK110" s="1396"/>
      <c r="AL110" s="157"/>
      <c r="AM110" s="157"/>
      <c r="AN110" s="157"/>
      <c r="AO110" s="157"/>
      <c r="AP110" s="157"/>
      <c r="AQ110" s="157"/>
      <c r="AR110" s="157"/>
      <c r="AS110" s="157"/>
      <c r="AT110" s="157"/>
      <c r="AU110" s="157"/>
      <c r="AV110" s="157"/>
      <c r="AW110" s="157"/>
      <c r="AX110" s="157"/>
      <c r="AY110" s="157"/>
      <c r="AZ110" s="1397"/>
    </row>
    <row r="111" spans="22:52" customFormat="1" ht="12.75" customHeight="1">
      <c r="V111" s="1398" t="s">
        <v>489</v>
      </c>
      <c r="W111" s="1399"/>
      <c r="X111" s="1391"/>
      <c r="Y111" s="1391"/>
      <c r="Z111" s="1400"/>
      <c r="AA111" s="1391"/>
      <c r="AB111" s="1399"/>
      <c r="AC111" s="1391"/>
      <c r="AD111" s="1391"/>
      <c r="AE111" s="1391"/>
      <c r="AF111" s="1399"/>
      <c r="AG111" s="1391"/>
      <c r="AH111" s="1391"/>
      <c r="AI111" s="1391"/>
      <c r="AJ111" s="1391"/>
      <c r="AK111" s="1390"/>
      <c r="AL111" s="1391"/>
      <c r="AM111" s="1391"/>
      <c r="AN111" s="1391"/>
      <c r="AO111" s="1391"/>
      <c r="AP111" s="1391"/>
      <c r="AQ111" s="1391"/>
      <c r="AR111" s="1391"/>
      <c r="AS111" s="1391"/>
      <c r="AT111" s="1391"/>
      <c r="AU111" s="1391"/>
      <c r="AV111" s="1391"/>
      <c r="AW111" s="1391"/>
      <c r="AX111" s="1391"/>
      <c r="AY111" s="1391"/>
      <c r="AZ111" s="1392"/>
    </row>
    <row r="112" spans="22:52" customFormat="1" ht="12.75" customHeight="1">
      <c r="V112" s="1011" t="s">
        <v>488</v>
      </c>
      <c r="W112" s="1011"/>
      <c r="Z112" s="1393"/>
      <c r="AB112" s="1395"/>
      <c r="AC112" s="157"/>
      <c r="AD112" s="157"/>
      <c r="AE112" s="157"/>
      <c r="AF112" s="1395"/>
      <c r="AG112" s="157"/>
      <c r="AH112" s="157"/>
      <c r="AI112" s="157"/>
      <c r="AJ112" s="157"/>
      <c r="AK112" s="1396"/>
      <c r="AL112" s="157"/>
      <c r="AM112" s="157"/>
      <c r="AN112" s="157"/>
      <c r="AO112" s="157"/>
      <c r="AP112" s="157"/>
      <c r="AQ112" s="157"/>
      <c r="AR112" s="157"/>
      <c r="AS112" s="157"/>
      <c r="AT112" s="157"/>
      <c r="AU112" s="157"/>
      <c r="AV112" s="157"/>
      <c r="AW112" s="157"/>
      <c r="AX112" s="157"/>
      <c r="AY112" s="157"/>
      <c r="AZ112" s="1397"/>
    </row>
    <row r="113" spans="2:52" customFormat="1" ht="12.75" customHeight="1">
      <c r="V113" s="1011" t="s">
        <v>490</v>
      </c>
      <c r="W113" s="1011"/>
      <c r="Z113" s="1393"/>
      <c r="AB113" s="1011"/>
      <c r="AF113" s="1011"/>
      <c r="AK113" s="1394"/>
      <c r="AZ113" s="1065"/>
    </row>
    <row r="114" spans="2:52" customFormat="1" ht="12.75" customHeight="1">
      <c r="V114" s="1011" t="s">
        <v>491</v>
      </c>
      <c r="W114" s="1011"/>
      <c r="Z114" s="1393"/>
      <c r="AB114" s="1395"/>
      <c r="AC114" s="157"/>
      <c r="AD114" s="157"/>
      <c r="AE114" s="157"/>
      <c r="AF114" s="1395"/>
      <c r="AG114" s="157"/>
      <c r="AH114" s="157"/>
      <c r="AI114" s="157"/>
      <c r="AJ114" s="157"/>
      <c r="AK114" s="1396"/>
      <c r="AL114" s="157"/>
      <c r="AM114" s="157"/>
      <c r="AN114" s="157"/>
      <c r="AO114" s="157"/>
      <c r="AP114" s="157"/>
      <c r="AQ114" s="157"/>
      <c r="AR114" s="157"/>
      <c r="AS114" s="157"/>
      <c r="AT114" s="157"/>
      <c r="AU114" s="157"/>
      <c r="AV114" s="157"/>
      <c r="AW114" s="157"/>
      <c r="AX114" s="157"/>
      <c r="AY114" s="157"/>
      <c r="AZ114" s="1397"/>
    </row>
    <row r="115" spans="2:52" customFormat="1" ht="12.75" customHeight="1">
      <c r="V115" s="1011" t="s">
        <v>214</v>
      </c>
      <c r="W115" s="1011"/>
      <c r="X115" s="292"/>
      <c r="Y115" s="292"/>
      <c r="Z115" s="1401"/>
      <c r="AB115" s="1011"/>
      <c r="AF115" s="1011"/>
      <c r="AK115" s="1394"/>
      <c r="AZ115" s="1065"/>
    </row>
    <row r="116" spans="2:52" customFormat="1" ht="12.75" customHeight="1">
      <c r="V116" s="1011" t="s">
        <v>491</v>
      </c>
      <c r="W116" s="1395"/>
      <c r="X116" s="157"/>
      <c r="Y116" s="157"/>
      <c r="Z116" s="1402"/>
      <c r="AA116" s="157"/>
      <c r="AB116" s="1395"/>
      <c r="AC116" s="157"/>
      <c r="AD116" s="157"/>
      <c r="AE116" s="157"/>
      <c r="AF116" s="1395"/>
      <c r="AG116" s="157"/>
      <c r="AH116" s="157"/>
      <c r="AI116" s="157"/>
      <c r="AJ116" s="157"/>
      <c r="AK116" s="1396"/>
      <c r="AL116" s="157"/>
      <c r="AM116" s="157"/>
      <c r="AN116" s="157"/>
      <c r="AO116" s="157"/>
      <c r="AP116" s="157"/>
      <c r="AQ116" s="157"/>
      <c r="AR116" s="157"/>
      <c r="AS116" s="157"/>
      <c r="AT116" s="157"/>
      <c r="AU116" s="157"/>
      <c r="AV116" s="157"/>
      <c r="AW116" s="157"/>
      <c r="AX116" s="157"/>
      <c r="AY116" s="157"/>
      <c r="AZ116" s="1397"/>
    </row>
    <row r="117" spans="2:52" customFormat="1" ht="12.75" customHeight="1">
      <c r="V117" s="1403" t="s">
        <v>492</v>
      </c>
      <c r="W117" s="1403"/>
      <c r="X117" s="1404"/>
      <c r="Y117" s="1404"/>
      <c r="Z117" s="1405"/>
      <c r="AB117" s="1011"/>
      <c r="AF117" s="1011"/>
      <c r="AK117" s="1394"/>
      <c r="AZ117" s="1065"/>
    </row>
    <row r="118" spans="2:52" customFormat="1" ht="12.75" customHeight="1">
      <c r="V118" s="1403" t="s">
        <v>491</v>
      </c>
      <c r="W118" s="1403"/>
      <c r="X118" s="1404"/>
      <c r="Y118" s="1404"/>
      <c r="Z118" s="1405"/>
      <c r="AA118" s="1404"/>
      <c r="AB118" s="1406"/>
      <c r="AC118" s="1407"/>
      <c r="AD118" s="1407"/>
      <c r="AE118" s="1407"/>
      <c r="AF118" s="1406"/>
      <c r="AG118" s="1407"/>
      <c r="AH118" s="1407"/>
      <c r="AI118" s="1407"/>
      <c r="AJ118" s="1407"/>
      <c r="AK118" s="1408"/>
      <c r="AL118" s="1407"/>
      <c r="AM118" s="1407"/>
      <c r="AN118" s="1407"/>
      <c r="AO118" s="1407"/>
      <c r="AP118" s="1407"/>
      <c r="AQ118" s="1407"/>
      <c r="AR118" s="1407"/>
      <c r="AS118" s="1407"/>
      <c r="AT118" s="1407"/>
      <c r="AU118" s="1407"/>
      <c r="AV118" s="1407"/>
      <c r="AW118" s="1407"/>
      <c r="AX118" s="1407"/>
      <c r="AY118" s="1407"/>
      <c r="AZ118" s="1409"/>
    </row>
    <row r="119" spans="2:52" customFormat="1" ht="12.75" customHeight="1">
      <c r="V119" s="1410" t="s">
        <v>493</v>
      </c>
      <c r="W119" s="1411"/>
      <c r="X119" s="1412"/>
      <c r="Y119" s="1412"/>
      <c r="Z119" s="1413"/>
      <c r="AA119" s="1412"/>
      <c r="AB119" s="1411"/>
      <c r="AC119" s="1412"/>
      <c r="AD119" s="1412"/>
      <c r="AE119" s="1412"/>
      <c r="AF119" s="1411"/>
      <c r="AG119" s="1412"/>
      <c r="AH119" s="1412"/>
      <c r="AI119" s="1412"/>
      <c r="AJ119" s="1412"/>
      <c r="AK119" s="1414"/>
      <c r="AL119" s="1412"/>
      <c r="AM119" s="1412"/>
      <c r="AN119" s="1412"/>
      <c r="AO119" s="1412"/>
      <c r="AP119" s="1412"/>
      <c r="AQ119" s="1412"/>
      <c r="AR119" s="1412"/>
      <c r="AS119" s="1412"/>
      <c r="AT119" s="1412"/>
      <c r="AU119" s="1412"/>
      <c r="AV119" s="1412"/>
      <c r="AW119" s="1412"/>
      <c r="AX119" s="1412"/>
      <c r="AY119" s="1412"/>
      <c r="AZ119" s="1415"/>
    </row>
    <row r="120" spans="2:52" customFormat="1" ht="12.75" customHeight="1">
      <c r="V120" s="1403" t="s">
        <v>491</v>
      </c>
      <c r="W120" s="1403"/>
      <c r="X120" s="1404"/>
      <c r="Y120" s="1404"/>
      <c r="Z120" s="1405"/>
      <c r="AA120" s="1404"/>
      <c r="AB120" s="1406"/>
      <c r="AC120" s="1407"/>
      <c r="AD120" s="1407"/>
      <c r="AE120" s="1407"/>
      <c r="AF120" s="1406"/>
      <c r="AG120" s="1407"/>
      <c r="AH120" s="1407"/>
      <c r="AI120" s="1407"/>
      <c r="AJ120" s="1407"/>
      <c r="AK120" s="1408"/>
      <c r="AL120" s="1407"/>
      <c r="AM120" s="1407"/>
      <c r="AN120" s="1407"/>
      <c r="AO120" s="1407"/>
      <c r="AP120" s="1407"/>
      <c r="AQ120" s="1407"/>
      <c r="AR120" s="1407"/>
      <c r="AS120" s="1407"/>
      <c r="AT120" s="1407"/>
      <c r="AU120" s="1407"/>
      <c r="AV120" s="1407"/>
      <c r="AW120" s="1407"/>
      <c r="AX120" s="1407"/>
      <c r="AY120" s="1407"/>
      <c r="AZ120" s="1409"/>
    </row>
    <row r="121" spans="2:52" customFormat="1" ht="12.75" customHeight="1">
      <c r="V121" s="1410" t="s">
        <v>494</v>
      </c>
      <c r="W121" s="1411"/>
      <c r="X121" s="1412"/>
      <c r="Y121" s="1412"/>
      <c r="Z121" s="1413"/>
      <c r="AA121" s="1412"/>
      <c r="AB121" s="1411"/>
      <c r="AC121" s="1412"/>
      <c r="AD121" s="1412"/>
      <c r="AE121" s="1412"/>
      <c r="AF121" s="1411"/>
      <c r="AG121" s="1412"/>
      <c r="AH121" s="1412"/>
      <c r="AI121" s="1412"/>
      <c r="AJ121" s="1412"/>
      <c r="AK121" s="1414"/>
      <c r="AL121" s="1412"/>
      <c r="AM121" s="1412"/>
      <c r="AN121" s="1412"/>
      <c r="AO121" s="1412"/>
      <c r="AP121" s="1412"/>
      <c r="AQ121" s="1412"/>
      <c r="AR121" s="1412"/>
      <c r="AS121" s="1412"/>
      <c r="AT121" s="1412"/>
      <c r="AU121" s="1412"/>
      <c r="AV121" s="1412"/>
      <c r="AW121" s="1412"/>
      <c r="AX121" s="1412"/>
      <c r="AY121" s="1412"/>
      <c r="AZ121" s="1415"/>
    </row>
    <row r="122" spans="2:52" customFormat="1" ht="12.75" customHeight="1">
      <c r="V122" s="1416" t="s">
        <v>491</v>
      </c>
      <c r="W122" s="1417"/>
      <c r="X122" s="1418"/>
      <c r="Y122" s="1418"/>
      <c r="Z122" s="1419"/>
      <c r="AA122" s="1418"/>
      <c r="AB122" s="1420"/>
      <c r="AC122" s="1421"/>
      <c r="AD122" s="1421"/>
      <c r="AE122" s="1421"/>
      <c r="AF122" s="1420"/>
      <c r="AG122" s="1421"/>
      <c r="AH122" s="1421"/>
      <c r="AI122" s="1421"/>
      <c r="AJ122" s="1421"/>
      <c r="AK122" s="1422"/>
      <c r="AL122" s="1423"/>
      <c r="AM122" s="1423"/>
      <c r="AN122" s="1423"/>
      <c r="AO122" s="1423"/>
      <c r="AP122" s="1423"/>
      <c r="AQ122" s="1423"/>
      <c r="AR122" s="1423"/>
      <c r="AS122" s="1423"/>
      <c r="AT122" s="1423"/>
      <c r="AU122" s="1423"/>
      <c r="AV122" s="1423"/>
      <c r="AW122" s="1423"/>
      <c r="AX122" s="1423"/>
      <c r="AY122" s="1423"/>
      <c r="AZ122" s="1424"/>
    </row>
    <row r="123" spans="2:52" customFormat="1" ht="12.75" customHeight="1"/>
    <row r="124" spans="2:52" customFormat="1" ht="12.75" customHeight="1"/>
    <row r="125" spans="2:52" customFormat="1" ht="12.75" customHeight="1"/>
    <row r="126" spans="2:52" customFormat="1" ht="12.75" customHeight="1"/>
    <row r="127" spans="2:52" customFormat="1" ht="12.75" customHeight="1">
      <c r="B127" s="1063" t="s">
        <v>403</v>
      </c>
      <c r="C127" s="1064"/>
      <c r="D127" s="957">
        <v>2023</v>
      </c>
      <c r="E127" s="957">
        <v>2022</v>
      </c>
      <c r="F127" s="957">
        <v>2021</v>
      </c>
      <c r="G127" s="957">
        <v>2020</v>
      </c>
      <c r="H127" s="1056">
        <v>2019</v>
      </c>
      <c r="I127" s="1056" t="s">
        <v>495</v>
      </c>
      <c r="J127" s="636"/>
      <c r="K127" s="636"/>
      <c r="L127" s="1463" t="s">
        <v>401</v>
      </c>
      <c r="M127" s="1464"/>
      <c r="N127" s="1047">
        <v>2023</v>
      </c>
      <c r="O127" s="957">
        <v>2022</v>
      </c>
      <c r="P127" s="957">
        <v>2021</v>
      </c>
      <c r="Q127" s="957">
        <v>2020</v>
      </c>
      <c r="R127" s="957">
        <v>2019</v>
      </c>
      <c r="S127" s="957" t="s">
        <v>495</v>
      </c>
      <c r="T127" s="636"/>
      <c r="U127" s="636"/>
      <c r="V127" s="636"/>
      <c r="W127" s="636"/>
      <c r="X127" s="636"/>
      <c r="Y127" s="636"/>
      <c r="Z127" s="636"/>
      <c r="AA127" s="636"/>
      <c r="AB127" s="636"/>
      <c r="AC127" s="636"/>
      <c r="AD127" s="636"/>
      <c r="AE127" s="636"/>
      <c r="AF127" s="636"/>
    </row>
    <row r="128" spans="2:52" customFormat="1" ht="12.75" customHeight="1">
      <c r="B128" s="85" t="s">
        <v>360</v>
      </c>
      <c r="C128" s="1065"/>
      <c r="D128" s="86"/>
      <c r="E128" s="86"/>
      <c r="F128" s="86"/>
      <c r="G128" s="86"/>
      <c r="H128" s="86"/>
      <c r="I128" s="86"/>
      <c r="J128" s="636"/>
      <c r="K128" s="636"/>
      <c r="L128" s="1465" t="s">
        <v>496</v>
      </c>
      <c r="M128" s="1466"/>
      <c r="N128" s="84"/>
      <c r="O128" s="86"/>
      <c r="P128" s="86"/>
      <c r="Q128" s="86"/>
      <c r="R128" s="86"/>
      <c r="S128" s="86"/>
      <c r="T128" s="636"/>
      <c r="U128" s="636"/>
      <c r="V128" s="636"/>
      <c r="W128" s="636"/>
      <c r="X128" s="636"/>
      <c r="Y128" s="636"/>
      <c r="Z128" s="636"/>
      <c r="AA128" s="636"/>
      <c r="AB128" s="636"/>
      <c r="AC128" s="636"/>
      <c r="AD128" s="636"/>
      <c r="AE128" s="636"/>
      <c r="AF128" s="636"/>
    </row>
    <row r="129" spans="2:32" customFormat="1" ht="12.75" customHeight="1">
      <c r="B129" s="85" t="s">
        <v>497</v>
      </c>
      <c r="C129" s="1065"/>
      <c r="D129" s="86"/>
      <c r="E129" s="86"/>
      <c r="F129" s="86"/>
      <c r="G129" s="86"/>
      <c r="H129" s="86"/>
      <c r="I129" s="86"/>
      <c r="J129" s="636"/>
      <c r="K129" s="636"/>
      <c r="L129" s="1053" t="s">
        <v>498</v>
      </c>
      <c r="M129" s="8"/>
      <c r="N129" s="84"/>
      <c r="O129" s="86"/>
      <c r="P129" s="86"/>
      <c r="Q129" s="86"/>
      <c r="R129" s="86"/>
      <c r="S129" s="86"/>
      <c r="T129" s="636"/>
      <c r="U129" s="636"/>
      <c r="V129" s="636"/>
      <c r="W129" s="636"/>
      <c r="X129" s="636"/>
      <c r="Y129" s="636"/>
      <c r="Z129" s="636"/>
      <c r="AA129" s="636"/>
      <c r="AB129" s="636"/>
      <c r="AC129" s="636"/>
      <c r="AD129" s="636"/>
      <c r="AE129" s="636"/>
      <c r="AF129" s="636"/>
    </row>
    <row r="130" spans="2:32" customFormat="1" ht="12.75" customHeight="1">
      <c r="B130" s="1066" t="s">
        <v>499</v>
      </c>
      <c r="C130" s="1067"/>
      <c r="D130" s="1050"/>
      <c r="E130" s="1050"/>
      <c r="F130" s="1050"/>
      <c r="G130" s="1050"/>
      <c r="H130" s="1050"/>
      <c r="I130" s="1050"/>
      <c r="J130" s="636"/>
      <c r="K130" s="636"/>
      <c r="L130" s="1053" t="s">
        <v>500</v>
      </c>
      <c r="M130" s="1054"/>
      <c r="N130" s="86"/>
      <c r="O130" s="86"/>
      <c r="P130" s="86"/>
      <c r="Q130" s="86"/>
      <c r="R130" s="86"/>
      <c r="S130" s="86"/>
      <c r="T130" s="636"/>
      <c r="U130" s="636"/>
      <c r="V130" s="636"/>
      <c r="W130" s="636"/>
      <c r="X130" s="636"/>
      <c r="Y130" s="636"/>
      <c r="Z130" s="636"/>
      <c r="AA130" s="636"/>
      <c r="AB130" s="636"/>
      <c r="AC130" s="636"/>
      <c r="AD130" s="636"/>
      <c r="AE130" s="636"/>
      <c r="AF130" s="636"/>
    </row>
    <row r="131" spans="2:32" customFormat="1" ht="12.75" customHeight="1">
      <c r="B131" s="636"/>
      <c r="C131" s="636"/>
      <c r="D131" s="636"/>
      <c r="E131" s="636"/>
      <c r="F131" s="636"/>
      <c r="G131" s="636"/>
      <c r="H131" s="636"/>
      <c r="I131" s="636"/>
      <c r="J131" s="636"/>
      <c r="K131" s="636"/>
      <c r="L131" s="1053" t="s">
        <v>501</v>
      </c>
      <c r="M131" s="1054"/>
      <c r="N131" s="1048"/>
      <c r="O131" s="1048"/>
      <c r="P131" s="1048"/>
      <c r="Q131" s="1048"/>
      <c r="R131" s="1048"/>
      <c r="S131" s="1048"/>
      <c r="T131" s="636"/>
      <c r="U131" s="636"/>
      <c r="V131" s="636"/>
      <c r="W131" s="636"/>
      <c r="X131" s="636"/>
      <c r="Y131" s="636"/>
      <c r="Z131" s="636"/>
      <c r="AA131" s="636"/>
      <c r="AB131" s="636"/>
      <c r="AC131" s="636"/>
      <c r="AD131" s="636"/>
      <c r="AE131" s="636"/>
      <c r="AF131" s="636"/>
    </row>
    <row r="132" spans="2:32" customFormat="1" ht="12.75" customHeight="1">
      <c r="B132" s="636"/>
      <c r="C132" s="636"/>
      <c r="D132" s="636"/>
      <c r="E132" s="636"/>
      <c r="F132" s="636"/>
      <c r="G132" s="636"/>
      <c r="H132" s="636"/>
      <c r="I132" s="636"/>
      <c r="J132" s="636"/>
      <c r="K132" s="636"/>
      <c r="L132" s="117" t="s">
        <v>502</v>
      </c>
      <c r="M132" s="1055"/>
      <c r="N132" s="1049"/>
      <c r="O132" s="1049"/>
      <c r="P132" s="1049"/>
      <c r="Q132" s="1049"/>
      <c r="R132" s="1049"/>
      <c r="S132" s="1050"/>
      <c r="T132" s="636"/>
      <c r="U132" s="636"/>
      <c r="V132" s="636"/>
      <c r="W132" s="636"/>
      <c r="X132" s="636"/>
      <c r="Y132" s="636"/>
      <c r="Z132" s="636"/>
      <c r="AA132" s="636"/>
      <c r="AB132" s="636"/>
      <c r="AC132" s="636"/>
      <c r="AD132" s="636"/>
      <c r="AE132" s="636"/>
      <c r="AF132" s="636"/>
    </row>
    <row r="133" spans="2:32" customFormat="1" ht="12.75" customHeight="1">
      <c r="B133" s="636"/>
      <c r="C133" s="636"/>
      <c r="D133" s="636"/>
      <c r="E133" s="636"/>
      <c r="F133" s="636"/>
      <c r="G133" s="636"/>
      <c r="H133" s="636"/>
      <c r="I133" s="636"/>
      <c r="J133" s="636"/>
      <c r="K133" s="636"/>
      <c r="L133" s="85" t="s">
        <v>487</v>
      </c>
      <c r="N133" s="1051"/>
      <c r="O133" s="1052"/>
      <c r="P133" s="1052"/>
      <c r="Q133" s="1052"/>
      <c r="R133" s="1052"/>
      <c r="S133" s="86"/>
      <c r="T133" s="636"/>
      <c r="U133" s="636"/>
      <c r="V133" s="636"/>
      <c r="W133" s="636"/>
      <c r="X133" s="636"/>
      <c r="Y133" s="636"/>
      <c r="Z133" s="636"/>
      <c r="AA133" s="636"/>
      <c r="AB133" s="636"/>
      <c r="AC133" s="636"/>
      <c r="AD133" s="636"/>
      <c r="AE133" s="636"/>
      <c r="AF133" s="636"/>
    </row>
    <row r="134" spans="2:32" customFormat="1" ht="12.75" customHeight="1">
      <c r="B134" s="636"/>
      <c r="C134" s="636"/>
      <c r="D134" s="636"/>
      <c r="E134" s="636"/>
      <c r="F134" s="636"/>
      <c r="G134" s="636"/>
      <c r="H134" s="636"/>
      <c r="I134" s="636"/>
      <c r="J134" s="636"/>
      <c r="K134" s="636"/>
      <c r="L134" s="88" t="s">
        <v>503</v>
      </c>
      <c r="M134" s="89"/>
      <c r="N134" s="960"/>
      <c r="O134" s="960"/>
      <c r="P134" s="960"/>
      <c r="Q134" s="960"/>
      <c r="R134" s="960"/>
      <c r="S134" s="1050"/>
      <c r="T134" s="636"/>
      <c r="U134" s="636"/>
      <c r="V134" s="636"/>
      <c r="W134" s="636"/>
      <c r="X134" s="636"/>
      <c r="Y134" s="636"/>
      <c r="Z134" s="636"/>
      <c r="AA134" s="636"/>
      <c r="AB134" s="636"/>
      <c r="AC134" s="636"/>
      <c r="AD134" s="636"/>
      <c r="AE134" s="636"/>
      <c r="AF134" s="636"/>
    </row>
    <row r="135" spans="2:32" customFormat="1" ht="12.75" customHeight="1">
      <c r="B135" s="636"/>
      <c r="C135" s="636"/>
      <c r="D135" s="636"/>
      <c r="E135" s="636"/>
      <c r="F135" s="636"/>
      <c r="G135" s="636"/>
      <c r="H135" s="636"/>
      <c r="I135" s="636"/>
      <c r="J135" s="636"/>
      <c r="K135" s="636"/>
      <c r="L135" s="636"/>
      <c r="M135" s="636"/>
      <c r="N135" s="636"/>
      <c r="O135" s="636"/>
      <c r="P135" s="636"/>
      <c r="Q135" s="636"/>
      <c r="R135" s="636"/>
      <c r="S135" s="636"/>
      <c r="T135" s="636"/>
      <c r="U135" s="636"/>
      <c r="V135" s="636"/>
      <c r="W135" s="636"/>
      <c r="X135" s="636"/>
      <c r="Y135" s="636"/>
      <c r="Z135" s="636"/>
      <c r="AA135" s="636"/>
      <c r="AB135" s="636"/>
      <c r="AC135" s="636"/>
      <c r="AD135" s="636"/>
      <c r="AE135" s="636"/>
      <c r="AF135" s="636"/>
    </row>
    <row r="136" spans="2:32" customFormat="1" ht="12.75" customHeight="1">
      <c r="B136" s="636"/>
      <c r="C136" s="636"/>
      <c r="D136" s="636"/>
      <c r="E136" s="636"/>
      <c r="F136" s="636"/>
      <c r="G136" s="636"/>
      <c r="H136" s="636"/>
      <c r="I136" s="636"/>
      <c r="J136" s="636"/>
      <c r="K136" s="636"/>
      <c r="L136" s="636"/>
      <c r="M136" s="636"/>
      <c r="N136" s="636"/>
      <c r="O136" s="636"/>
      <c r="P136" s="636"/>
      <c r="Q136" s="636"/>
      <c r="R136" s="636"/>
      <c r="S136" s="636"/>
      <c r="T136" s="636"/>
      <c r="U136" s="636"/>
      <c r="V136" s="636"/>
      <c r="W136" s="636"/>
      <c r="X136" s="636"/>
      <c r="Y136" s="636"/>
      <c r="Z136" s="636"/>
      <c r="AA136" s="636"/>
      <c r="AB136" s="636"/>
      <c r="AC136" s="636"/>
      <c r="AD136" s="636"/>
      <c r="AE136" s="636"/>
      <c r="AF136" s="636"/>
    </row>
    <row r="137" spans="2:32" customFormat="1" ht="12.75" customHeight="1">
      <c r="B137" s="636"/>
      <c r="C137" s="636"/>
      <c r="D137" s="636"/>
      <c r="E137" s="636"/>
      <c r="F137" s="636"/>
      <c r="G137" s="636"/>
      <c r="H137" s="636"/>
      <c r="I137" s="636"/>
      <c r="J137" s="636"/>
      <c r="K137" s="636"/>
      <c r="L137" s="636"/>
      <c r="M137" s="636"/>
      <c r="N137" s="636"/>
      <c r="O137" s="636"/>
      <c r="P137" s="636"/>
      <c r="Q137" s="636"/>
      <c r="R137" s="636"/>
      <c r="S137" s="636"/>
      <c r="T137" s="636"/>
      <c r="U137" s="636"/>
      <c r="V137" s="636"/>
      <c r="W137" s="636"/>
      <c r="X137" s="636"/>
      <c r="Y137" s="636"/>
      <c r="Z137" s="636"/>
      <c r="AA137" s="636"/>
      <c r="AB137" s="636"/>
      <c r="AC137" s="636"/>
      <c r="AD137" s="636"/>
      <c r="AE137" s="636"/>
      <c r="AF137" s="636"/>
    </row>
    <row r="138" spans="2:32" customFormat="1" ht="12.75" customHeight="1">
      <c r="B138" s="636"/>
      <c r="C138" s="636"/>
      <c r="D138" s="636"/>
      <c r="E138" s="636"/>
      <c r="F138" s="636"/>
      <c r="G138" s="636"/>
      <c r="H138" s="636"/>
      <c r="I138" s="636"/>
      <c r="J138" s="636"/>
      <c r="K138" s="636"/>
      <c r="L138" s="636"/>
      <c r="M138" s="636"/>
      <c r="N138" s="636"/>
      <c r="O138" s="636"/>
      <c r="P138" s="636"/>
      <c r="Q138" s="636"/>
      <c r="R138" s="636"/>
      <c r="S138" s="636"/>
      <c r="T138" s="636"/>
      <c r="U138" s="636"/>
      <c r="V138" s="636"/>
      <c r="W138" s="636"/>
      <c r="X138" s="636"/>
      <c r="Y138" s="636"/>
      <c r="Z138" s="636"/>
      <c r="AA138" s="636"/>
      <c r="AB138" s="636"/>
      <c r="AC138" s="636"/>
      <c r="AD138" s="636"/>
      <c r="AE138" s="636"/>
      <c r="AF138" s="636"/>
    </row>
    <row r="139" spans="2:32" customFormat="1" ht="12.75" customHeight="1">
      <c r="B139" s="636"/>
      <c r="C139" s="636"/>
      <c r="D139" s="636"/>
      <c r="E139" s="636"/>
      <c r="F139" s="636"/>
      <c r="G139" s="636"/>
      <c r="H139" s="636"/>
      <c r="I139" s="636"/>
      <c r="J139" s="636"/>
      <c r="K139" s="636"/>
      <c r="L139" s="636"/>
      <c r="M139" s="636"/>
      <c r="N139" s="636"/>
      <c r="O139" s="636"/>
      <c r="P139" s="636"/>
      <c r="Q139" s="636"/>
      <c r="R139" s="636"/>
      <c r="S139" s="636"/>
      <c r="T139" s="636"/>
      <c r="U139" s="636"/>
      <c r="V139" s="636"/>
      <c r="W139" s="636"/>
      <c r="X139" s="636"/>
      <c r="Y139" s="636"/>
      <c r="Z139" s="636"/>
      <c r="AA139" s="636"/>
      <c r="AB139" s="636"/>
      <c r="AC139" s="636"/>
      <c r="AD139" s="636"/>
      <c r="AE139" s="636"/>
      <c r="AF139" s="636"/>
    </row>
    <row r="140" spans="2:32" customFormat="1" ht="12.75" customHeight="1">
      <c r="B140" s="636"/>
      <c r="C140" s="636"/>
      <c r="D140" s="636"/>
      <c r="E140" s="636"/>
      <c r="F140" s="636"/>
      <c r="G140" s="636"/>
      <c r="H140" s="636"/>
      <c r="I140" s="636"/>
      <c r="J140" s="636"/>
      <c r="K140" s="636"/>
      <c r="L140" s="636"/>
      <c r="M140" s="636"/>
      <c r="N140" s="636"/>
      <c r="O140" s="636"/>
      <c r="P140" s="636"/>
      <c r="Q140" s="636"/>
      <c r="R140" s="636"/>
      <c r="S140" s="636"/>
      <c r="T140" s="636"/>
      <c r="U140" s="636"/>
      <c r="V140" s="636"/>
      <c r="W140" s="636"/>
      <c r="X140" s="636"/>
      <c r="Y140" s="636"/>
      <c r="Z140" s="636"/>
      <c r="AA140" s="636"/>
      <c r="AB140" s="636"/>
      <c r="AC140" s="636"/>
      <c r="AD140" s="636"/>
      <c r="AE140" s="636"/>
      <c r="AF140" s="636"/>
    </row>
    <row r="141" spans="2:32" customFormat="1" ht="12.75" customHeight="1">
      <c r="B141" s="636"/>
      <c r="C141" s="636"/>
      <c r="D141" s="636"/>
      <c r="E141" s="636"/>
      <c r="F141" s="636"/>
      <c r="G141" s="636"/>
      <c r="H141" s="636"/>
      <c r="I141" s="636"/>
      <c r="J141" s="636"/>
      <c r="K141" s="636"/>
      <c r="L141" s="636"/>
      <c r="M141" s="636"/>
      <c r="N141" s="636"/>
      <c r="O141" s="636"/>
      <c r="P141" s="636"/>
      <c r="Q141" s="636"/>
      <c r="R141" s="636"/>
      <c r="S141" s="636"/>
      <c r="T141" s="636"/>
      <c r="U141" s="636"/>
      <c r="V141" s="636"/>
      <c r="W141" s="636"/>
      <c r="X141" s="636"/>
      <c r="Y141" s="636"/>
      <c r="Z141" s="636"/>
      <c r="AA141" s="636"/>
      <c r="AB141" s="636"/>
      <c r="AC141" s="636"/>
      <c r="AD141" s="636"/>
      <c r="AE141" s="636"/>
      <c r="AF141" s="636"/>
    </row>
    <row r="142" spans="2:32" customFormat="1" ht="12.75" customHeight="1">
      <c r="B142" s="636"/>
      <c r="C142" s="991" t="s">
        <v>482</v>
      </c>
      <c r="D142" s="992"/>
      <c r="E142" s="992"/>
      <c r="F142" s="993"/>
      <c r="G142" s="994" t="s">
        <v>483</v>
      </c>
      <c r="H142" s="1059" t="s">
        <v>484</v>
      </c>
      <c r="I142" s="995"/>
      <c r="J142" s="995"/>
      <c r="K142" s="994"/>
      <c r="L142" s="995" t="s">
        <v>485</v>
      </c>
      <c r="M142" s="995"/>
      <c r="N142" s="995"/>
      <c r="O142" s="995"/>
      <c r="P142" s="995"/>
      <c r="Q142" s="1060" t="s">
        <v>486</v>
      </c>
      <c r="R142" s="1061"/>
      <c r="S142" s="1061"/>
      <c r="T142" s="1061"/>
      <c r="U142" s="1061"/>
      <c r="V142" s="1061"/>
      <c r="W142" s="1061"/>
      <c r="X142" s="1061"/>
      <c r="Y142" s="1061"/>
      <c r="Z142" s="1061"/>
      <c r="AA142" s="1061"/>
      <c r="AB142" s="1061"/>
      <c r="AC142" s="1061"/>
      <c r="AD142" s="1061"/>
      <c r="AE142" s="1061"/>
      <c r="AF142" s="1062"/>
    </row>
    <row r="143" spans="2:32" customFormat="1" ht="12.75" customHeight="1">
      <c r="C143" s="996">
        <v>2020</v>
      </c>
      <c r="D143" s="997">
        <v>2021</v>
      </c>
      <c r="E143" s="997">
        <v>2022</v>
      </c>
      <c r="F143" s="998">
        <v>2023</v>
      </c>
      <c r="G143" s="999"/>
      <c r="H143" s="997">
        <v>2024</v>
      </c>
      <c r="I143" s="997">
        <v>2025</v>
      </c>
      <c r="J143" s="997">
        <v>2026</v>
      </c>
      <c r="K143" s="998">
        <v>2027</v>
      </c>
      <c r="L143" s="1000">
        <v>2028</v>
      </c>
      <c r="M143" s="1000">
        <v>2029</v>
      </c>
      <c r="N143" s="1000">
        <v>2030</v>
      </c>
      <c r="O143" s="1000">
        <v>2031</v>
      </c>
      <c r="P143" s="1000">
        <v>2032</v>
      </c>
      <c r="Q143" s="1001">
        <v>2033</v>
      </c>
      <c r="R143" s="997">
        <v>2034</v>
      </c>
      <c r="S143" s="997">
        <v>2035</v>
      </c>
      <c r="T143" s="997">
        <v>2036</v>
      </c>
      <c r="U143" s="997">
        <v>2037</v>
      </c>
      <c r="V143" s="997">
        <v>2038</v>
      </c>
      <c r="W143" s="997">
        <v>2039</v>
      </c>
      <c r="X143" s="997">
        <v>2040</v>
      </c>
      <c r="Y143" s="997">
        <v>2041</v>
      </c>
      <c r="Z143" s="997">
        <v>2042</v>
      </c>
      <c r="AA143" s="997">
        <v>2043</v>
      </c>
      <c r="AB143" s="997">
        <v>2044</v>
      </c>
      <c r="AC143" s="997">
        <v>2045</v>
      </c>
      <c r="AD143" s="997">
        <v>2046</v>
      </c>
      <c r="AE143" s="997">
        <v>2047</v>
      </c>
      <c r="AF143" s="998">
        <v>2048</v>
      </c>
    </row>
    <row r="144" spans="2:32" customFormat="1" ht="12.75" customHeight="1">
      <c r="B144" s="1002" t="s">
        <v>487</v>
      </c>
      <c r="C144" s="1003"/>
      <c r="D144" s="1004"/>
      <c r="E144" s="1004"/>
      <c r="F144" s="1005"/>
      <c r="G144" s="1006"/>
      <c r="H144" s="1007"/>
      <c r="I144" s="1008"/>
      <c r="J144" s="1008"/>
      <c r="K144" s="1009"/>
      <c r="L144" s="1008"/>
      <c r="M144" s="1008"/>
      <c r="N144" s="1008"/>
      <c r="O144" s="1008"/>
      <c r="P144" s="1008"/>
      <c r="Q144" s="1010"/>
      <c r="R144" s="1008"/>
      <c r="S144" s="1008"/>
      <c r="T144" s="1008"/>
      <c r="U144" s="1008"/>
      <c r="V144" s="1008"/>
      <c r="W144" s="1008"/>
      <c r="X144" s="1008"/>
      <c r="Y144" s="1008"/>
      <c r="Z144" s="1008"/>
      <c r="AA144" s="1008"/>
      <c r="AB144" s="1008"/>
      <c r="AC144" s="1008"/>
      <c r="AD144" s="1008"/>
      <c r="AE144" s="1008"/>
      <c r="AF144" s="1009"/>
    </row>
    <row r="145" spans="2:32" customFormat="1" ht="12.75" customHeight="1">
      <c r="B145" s="1011" t="s">
        <v>347</v>
      </c>
      <c r="C145" s="1012"/>
      <c r="D145" s="440"/>
      <c r="E145" s="440"/>
      <c r="F145" s="1013"/>
      <c r="G145" s="1013"/>
      <c r="H145" s="440"/>
      <c r="I145" s="440"/>
      <c r="J145" s="440"/>
      <c r="K145" s="1013"/>
      <c r="L145" s="440"/>
      <c r="M145" s="440"/>
      <c r="N145" s="440"/>
      <c r="O145" s="440"/>
      <c r="P145" s="440"/>
      <c r="Q145" s="1014"/>
      <c r="R145" s="440"/>
      <c r="S145" s="440"/>
      <c r="T145" s="440"/>
      <c r="U145" s="440"/>
      <c r="V145" s="440"/>
      <c r="W145" s="440"/>
      <c r="X145" s="440"/>
      <c r="Y145" s="440"/>
      <c r="Z145" s="440"/>
      <c r="AA145" s="440"/>
      <c r="AB145" s="440"/>
      <c r="AC145" s="440"/>
      <c r="AD145" s="440"/>
      <c r="AE145" s="440"/>
      <c r="AF145" s="1013"/>
    </row>
    <row r="146" spans="2:32" customFormat="1" ht="12.75" customHeight="1">
      <c r="B146" s="1015" t="s">
        <v>504</v>
      </c>
      <c r="C146" s="1016"/>
      <c r="D146" s="375"/>
      <c r="E146" s="375"/>
      <c r="F146" s="1017"/>
      <c r="G146" s="1017"/>
      <c r="H146" s="375"/>
      <c r="I146" s="375"/>
      <c r="J146" s="375"/>
      <c r="K146" s="1017"/>
      <c r="L146" s="375"/>
      <c r="M146" s="375"/>
      <c r="N146" s="375"/>
      <c r="O146" s="375"/>
      <c r="P146" s="375"/>
      <c r="Q146" s="1016"/>
      <c r="R146" s="375"/>
      <c r="S146" s="375"/>
      <c r="T146" s="375"/>
      <c r="U146" s="375"/>
      <c r="V146" s="375"/>
      <c r="W146" s="375"/>
      <c r="X146" s="375"/>
      <c r="Y146" s="375"/>
      <c r="Z146" s="375"/>
      <c r="AA146" s="375"/>
      <c r="AB146" s="375"/>
      <c r="AC146" s="375"/>
      <c r="AD146" s="375"/>
      <c r="AE146" s="375"/>
      <c r="AF146" s="1017"/>
    </row>
    <row r="147" spans="2:32" customFormat="1" ht="12.75" customHeight="1">
      <c r="B147" s="1018" t="s">
        <v>505</v>
      </c>
      <c r="C147" s="1019"/>
      <c r="D147" s="1020"/>
      <c r="E147" s="1021"/>
      <c r="F147" s="1022"/>
      <c r="G147" s="1022"/>
      <c r="H147" s="1023"/>
      <c r="I147" s="1023"/>
      <c r="J147" s="1023"/>
      <c r="K147" s="1024"/>
      <c r="L147" s="1023"/>
      <c r="M147" s="1023"/>
      <c r="N147" s="1023"/>
      <c r="O147" s="1023"/>
      <c r="P147" s="1023"/>
      <c r="Q147" s="1025"/>
      <c r="R147" s="1023"/>
      <c r="S147" s="1023"/>
      <c r="T147" s="1023"/>
      <c r="U147" s="1023"/>
      <c r="V147" s="1023"/>
      <c r="W147" s="1023"/>
      <c r="X147" s="1023"/>
      <c r="Y147" s="1023"/>
      <c r="Z147" s="1023"/>
      <c r="AA147" s="1023"/>
      <c r="AB147" s="1023"/>
      <c r="AC147" s="1023"/>
      <c r="AD147" s="1023"/>
      <c r="AE147" s="1023"/>
      <c r="AF147" s="1024"/>
    </row>
    <row r="148" spans="2:32" customFormat="1" ht="12.75" customHeight="1">
      <c r="B148" s="1026" t="s">
        <v>491</v>
      </c>
      <c r="C148" s="1014"/>
      <c r="D148" s="440"/>
      <c r="E148" s="440"/>
      <c r="F148" s="1013"/>
      <c r="G148" s="1013"/>
      <c r="H148" s="1027"/>
      <c r="I148" s="1027"/>
      <c r="J148" s="1027"/>
      <c r="K148" s="1028"/>
      <c r="L148" s="1027"/>
      <c r="M148" s="1027"/>
      <c r="N148" s="1027"/>
      <c r="O148" s="1027"/>
      <c r="P148" s="1027"/>
      <c r="Q148" s="1029"/>
      <c r="R148" s="1027"/>
      <c r="S148" s="1027"/>
      <c r="T148" s="1027"/>
      <c r="U148" s="1027"/>
      <c r="V148" s="1027"/>
      <c r="W148" s="1027"/>
      <c r="X148" s="1027"/>
      <c r="Y148" s="1027"/>
      <c r="Z148" s="1027"/>
      <c r="AA148" s="1027"/>
      <c r="AB148" s="1027"/>
      <c r="AC148" s="1027"/>
      <c r="AD148" s="1027"/>
      <c r="AE148" s="1027"/>
      <c r="AF148" s="1028"/>
    </row>
    <row r="149" spans="2:32" customFormat="1" ht="12.75" customHeight="1">
      <c r="B149" s="1018" t="s">
        <v>506</v>
      </c>
      <c r="C149" s="1019"/>
      <c r="D149" s="1021"/>
      <c r="E149" s="1021"/>
      <c r="F149" s="1022"/>
      <c r="G149" s="1022"/>
      <c r="H149" s="1023"/>
      <c r="I149" s="1023"/>
      <c r="J149" s="1023"/>
      <c r="K149" s="1024"/>
      <c r="L149" s="1023"/>
      <c r="M149" s="1023"/>
      <c r="N149" s="1023"/>
      <c r="O149" s="1023"/>
      <c r="P149" s="1023"/>
      <c r="Q149" s="1025"/>
      <c r="R149" s="1023"/>
      <c r="S149" s="1023"/>
      <c r="T149" s="1023"/>
      <c r="U149" s="1023"/>
      <c r="V149" s="1023"/>
      <c r="W149" s="1023"/>
      <c r="X149" s="1023"/>
      <c r="Y149" s="1023"/>
      <c r="Z149" s="1023"/>
      <c r="AA149" s="1023"/>
      <c r="AB149" s="1023"/>
      <c r="AC149" s="1023"/>
      <c r="AD149" s="1023"/>
      <c r="AE149" s="1023"/>
      <c r="AF149" s="1024"/>
    </row>
    <row r="150" spans="2:32" customFormat="1" ht="12.75" customHeight="1">
      <c r="B150" s="1026" t="s">
        <v>491</v>
      </c>
      <c r="C150" s="1014"/>
      <c r="D150" s="440"/>
      <c r="E150" s="440"/>
      <c r="F150" s="1013"/>
      <c r="G150" s="1013"/>
      <c r="H150" s="1027"/>
      <c r="I150" s="1027"/>
      <c r="J150" s="1027"/>
      <c r="K150" s="1028"/>
      <c r="L150" s="1027"/>
      <c r="M150" s="1027"/>
      <c r="N150" s="1027"/>
      <c r="O150" s="1027"/>
      <c r="P150" s="1027"/>
      <c r="Q150" s="1029"/>
      <c r="R150" s="1027"/>
      <c r="S150" s="1027"/>
      <c r="T150" s="1027"/>
      <c r="U150" s="1027"/>
      <c r="V150" s="1027"/>
      <c r="W150" s="1027"/>
      <c r="X150" s="1027"/>
      <c r="Y150" s="1027"/>
      <c r="Z150" s="1027"/>
      <c r="AA150" s="1027"/>
      <c r="AB150" s="1027"/>
      <c r="AC150" s="1027"/>
      <c r="AD150" s="1027"/>
      <c r="AE150" s="1027"/>
      <c r="AF150" s="1028"/>
    </row>
    <row r="151" spans="2:32" customFormat="1" ht="12.75" customHeight="1">
      <c r="B151" s="1018" t="s">
        <v>507</v>
      </c>
      <c r="C151" s="1019"/>
      <c r="D151" s="1021"/>
      <c r="E151" s="1021"/>
      <c r="F151" s="1022"/>
      <c r="G151" s="1030"/>
      <c r="H151" s="1021"/>
      <c r="I151" s="1023"/>
      <c r="J151" s="1023"/>
      <c r="K151" s="1024"/>
      <c r="L151" s="1023"/>
      <c r="M151" s="1023"/>
      <c r="N151" s="1023"/>
      <c r="O151" s="1023"/>
      <c r="P151" s="1023"/>
      <c r="Q151" s="1025"/>
      <c r="R151" s="1023"/>
      <c r="S151" s="1023"/>
      <c r="T151" s="1023"/>
      <c r="U151" s="1023"/>
      <c r="V151" s="1023"/>
      <c r="W151" s="1023"/>
      <c r="X151" s="1023"/>
      <c r="Y151" s="1023"/>
      <c r="Z151" s="1023"/>
      <c r="AA151" s="1023"/>
      <c r="AB151" s="1023"/>
      <c r="AC151" s="1023"/>
      <c r="AD151" s="1023"/>
      <c r="AE151" s="1023"/>
      <c r="AF151" s="1024"/>
    </row>
    <row r="152" spans="2:32" customFormat="1" ht="12.75" customHeight="1">
      <c r="B152" s="1026" t="s">
        <v>491</v>
      </c>
      <c r="C152" s="1014"/>
      <c r="D152" s="440"/>
      <c r="E152" s="440"/>
      <c r="F152" s="1013"/>
      <c r="G152" s="1013"/>
      <c r="H152" s="440"/>
      <c r="I152" s="440"/>
      <c r="J152" s="440"/>
      <c r="K152" s="1013"/>
      <c r="L152" s="1027"/>
      <c r="M152" s="1027"/>
      <c r="N152" s="1027"/>
      <c r="O152" s="1027"/>
      <c r="P152" s="1027"/>
      <c r="Q152" s="1029"/>
      <c r="R152" s="1027"/>
      <c r="S152" s="1027"/>
      <c r="T152" s="1027"/>
      <c r="U152" s="1027"/>
      <c r="V152" s="1027"/>
      <c r="W152" s="1027"/>
      <c r="X152" s="1027"/>
      <c r="Y152" s="1027"/>
      <c r="Z152" s="1027"/>
      <c r="AA152" s="1027"/>
      <c r="AB152" s="1027"/>
      <c r="AC152" s="1027"/>
      <c r="AD152" s="1027"/>
      <c r="AE152" s="1027"/>
      <c r="AF152" s="1028"/>
    </row>
    <row r="153" spans="2:32" customFormat="1" ht="12.75" customHeight="1">
      <c r="B153" s="1018" t="s">
        <v>508</v>
      </c>
      <c r="C153" s="1019"/>
      <c r="D153" s="1021"/>
      <c r="E153" s="1021"/>
      <c r="F153" s="1022"/>
      <c r="G153" s="1030"/>
      <c r="H153" s="1023"/>
      <c r="I153" s="1023"/>
      <c r="J153" s="1023"/>
      <c r="K153" s="1024"/>
      <c r="L153" s="1023"/>
      <c r="M153" s="1023"/>
      <c r="N153" s="1023"/>
      <c r="O153" s="1023"/>
      <c r="P153" s="1023"/>
      <c r="Q153" s="1025"/>
      <c r="R153" s="1023"/>
      <c r="S153" s="1023"/>
      <c r="T153" s="1023"/>
      <c r="U153" s="1023"/>
      <c r="V153" s="1023"/>
      <c r="W153" s="1023"/>
      <c r="X153" s="1023"/>
      <c r="Y153" s="1023"/>
      <c r="Z153" s="1023"/>
      <c r="AA153" s="1023"/>
      <c r="AB153" s="1023"/>
      <c r="AC153" s="1023"/>
      <c r="AD153" s="1023"/>
      <c r="AE153" s="1023"/>
      <c r="AF153" s="1024"/>
    </row>
    <row r="154" spans="2:32" customFormat="1" ht="12.75" customHeight="1">
      <c r="B154" s="1011" t="s">
        <v>491</v>
      </c>
      <c r="C154" s="1014"/>
      <c r="D154" s="440"/>
      <c r="E154" s="440"/>
      <c r="F154" s="1013"/>
      <c r="G154" s="1013"/>
      <c r="H154" s="440"/>
      <c r="I154" s="440"/>
      <c r="J154" s="440"/>
      <c r="K154" s="1013"/>
      <c r="L154" s="440"/>
      <c r="M154" s="440"/>
      <c r="N154" s="440"/>
      <c r="O154" s="440"/>
      <c r="P154" s="440"/>
      <c r="Q154" s="1014"/>
      <c r="R154" s="440"/>
      <c r="S154" s="440"/>
      <c r="T154" s="440"/>
      <c r="U154" s="440"/>
      <c r="V154" s="440"/>
      <c r="W154" s="440"/>
      <c r="X154" s="440"/>
      <c r="Y154" s="440"/>
      <c r="Z154" s="440"/>
      <c r="AA154" s="440"/>
      <c r="AB154" s="440"/>
      <c r="AC154" s="440"/>
      <c r="AD154" s="440"/>
      <c r="AE154" s="440"/>
      <c r="AF154" s="1013"/>
    </row>
    <row r="155" spans="2:32" customFormat="1" ht="12.75" customHeight="1">
      <c r="B155" s="1018" t="s">
        <v>509</v>
      </c>
      <c r="C155" s="1019"/>
      <c r="D155" s="1021"/>
      <c r="E155" s="1021"/>
      <c r="F155" s="1022"/>
      <c r="G155" s="1030"/>
      <c r="H155" s="1023"/>
      <c r="I155" s="1023"/>
      <c r="J155" s="1023"/>
      <c r="K155" s="1024"/>
      <c r="L155" s="1023"/>
      <c r="M155" s="1023"/>
      <c r="N155" s="1023"/>
      <c r="O155" s="1023"/>
      <c r="P155" s="1023"/>
      <c r="Q155" s="1025"/>
      <c r="R155" s="1023"/>
      <c r="S155" s="1023"/>
      <c r="T155" s="1023"/>
      <c r="U155" s="1023"/>
      <c r="V155" s="1023"/>
      <c r="W155" s="1023"/>
      <c r="X155" s="1023"/>
      <c r="Y155" s="1023"/>
      <c r="Z155" s="1023"/>
      <c r="AA155" s="1023"/>
      <c r="AB155" s="1023"/>
      <c r="AC155" s="1023"/>
      <c r="AD155" s="1023"/>
      <c r="AE155" s="1023"/>
      <c r="AF155" s="1024"/>
    </row>
    <row r="156" spans="2:32" customFormat="1" ht="12.75" customHeight="1">
      <c r="B156" s="1011" t="s">
        <v>491</v>
      </c>
      <c r="C156" s="1014"/>
      <c r="D156" s="440"/>
      <c r="E156" s="440"/>
      <c r="F156" s="1013"/>
      <c r="G156" s="1013"/>
      <c r="H156" s="1027"/>
      <c r="I156" s="1027"/>
      <c r="J156" s="1027"/>
      <c r="K156" s="1028"/>
      <c r="L156" s="440"/>
      <c r="M156" s="440"/>
      <c r="N156" s="440"/>
      <c r="O156" s="440"/>
      <c r="P156" s="440"/>
      <c r="Q156" s="1029"/>
      <c r="R156" s="1027"/>
      <c r="S156" s="1027"/>
      <c r="T156" s="1027"/>
      <c r="U156" s="1027"/>
      <c r="V156" s="1027"/>
      <c r="W156" s="1027"/>
      <c r="X156" s="1027"/>
      <c r="Y156" s="1027"/>
      <c r="Z156" s="1027"/>
      <c r="AA156" s="1027"/>
      <c r="AB156" s="1027"/>
      <c r="AC156" s="1027"/>
      <c r="AD156" s="1027"/>
      <c r="AE156" s="1027"/>
      <c r="AF156" s="1028"/>
    </row>
    <row r="157" spans="2:32" customFormat="1" ht="12.75" customHeight="1">
      <c r="B157" s="1018" t="s">
        <v>510</v>
      </c>
      <c r="C157" s="1019"/>
      <c r="D157" s="1021"/>
      <c r="E157" s="1021"/>
      <c r="F157" s="1022"/>
      <c r="G157" s="1030"/>
      <c r="H157" s="1023"/>
      <c r="I157" s="1023"/>
      <c r="J157" s="1023"/>
      <c r="K157" s="1024"/>
      <c r="L157" s="1023"/>
      <c r="M157" s="1023"/>
      <c r="N157" s="1023"/>
      <c r="O157" s="1023"/>
      <c r="P157" s="1023"/>
      <c r="Q157" s="1025"/>
      <c r="R157" s="1023"/>
      <c r="S157" s="1023"/>
      <c r="T157" s="1023"/>
      <c r="U157" s="1023"/>
      <c r="V157" s="1023"/>
      <c r="W157" s="1023"/>
      <c r="X157" s="1023"/>
      <c r="Y157" s="1023"/>
      <c r="Z157" s="1023"/>
      <c r="AA157" s="1023"/>
      <c r="AB157" s="1023"/>
      <c r="AC157" s="1023"/>
      <c r="AD157" s="1023"/>
      <c r="AE157" s="1023"/>
      <c r="AF157" s="1024"/>
    </row>
    <row r="158" spans="2:32" customFormat="1" ht="12.75" customHeight="1">
      <c r="B158" s="1011" t="s">
        <v>491</v>
      </c>
      <c r="C158" s="1014"/>
      <c r="D158" s="440"/>
      <c r="E158" s="440"/>
      <c r="F158" s="1013"/>
      <c r="G158" s="1013"/>
      <c r="H158" s="440"/>
      <c r="I158" s="440"/>
      <c r="J158" s="440"/>
      <c r="K158" s="1013"/>
      <c r="L158" s="440"/>
      <c r="M158" s="440"/>
      <c r="N158" s="440"/>
      <c r="O158" s="440"/>
      <c r="P158" s="440"/>
      <c r="Q158" s="1014"/>
      <c r="R158" s="440"/>
      <c r="S158" s="440"/>
      <c r="T158" s="440"/>
      <c r="U158" s="440"/>
      <c r="V158" s="440"/>
      <c r="W158" s="440"/>
      <c r="X158" s="440"/>
      <c r="Y158" s="440"/>
      <c r="Z158" s="440"/>
      <c r="AA158" s="440"/>
      <c r="AB158" s="440"/>
      <c r="AC158" s="440"/>
      <c r="AD158" s="440"/>
      <c r="AE158" s="440"/>
      <c r="AF158" s="1013"/>
    </row>
    <row r="159" spans="2:32" customFormat="1" ht="12.75" customHeight="1">
      <c r="B159" s="1018" t="s">
        <v>511</v>
      </c>
      <c r="C159" s="1019"/>
      <c r="D159" s="1021"/>
      <c r="E159" s="1021"/>
      <c r="F159" s="1022"/>
      <c r="G159" s="1030"/>
      <c r="H159" s="1023"/>
      <c r="I159" s="1023"/>
      <c r="J159" s="1023"/>
      <c r="K159" s="1024"/>
      <c r="L159" s="1023"/>
      <c r="M159" s="1023"/>
      <c r="N159" s="1023"/>
      <c r="O159" s="1023"/>
      <c r="P159" s="1023"/>
      <c r="Q159" s="1025"/>
      <c r="R159" s="1023"/>
      <c r="S159" s="1023"/>
      <c r="T159" s="1023"/>
      <c r="U159" s="1023"/>
      <c r="V159" s="1023"/>
      <c r="W159" s="1023"/>
      <c r="X159" s="1023"/>
      <c r="Y159" s="1023"/>
      <c r="Z159" s="1023"/>
      <c r="AA159" s="1023"/>
      <c r="AB159" s="1023"/>
      <c r="AC159" s="1023"/>
      <c r="AD159" s="1023"/>
      <c r="AE159" s="1023"/>
      <c r="AF159" s="1024"/>
    </row>
    <row r="160" spans="2:32" customFormat="1" ht="12.75" customHeight="1">
      <c r="B160" s="1011" t="s">
        <v>491</v>
      </c>
      <c r="C160" s="1014"/>
      <c r="D160" s="440"/>
      <c r="E160" s="440"/>
      <c r="F160" s="1013"/>
      <c r="G160" s="1013"/>
      <c r="H160" s="440"/>
      <c r="I160" s="440"/>
      <c r="J160" s="440"/>
      <c r="K160" s="1013"/>
      <c r="L160" s="440"/>
      <c r="M160" s="440"/>
      <c r="N160" s="440"/>
      <c r="O160" s="440"/>
      <c r="P160" s="440"/>
      <c r="Q160" s="1014"/>
      <c r="R160" s="440"/>
      <c r="S160" s="440"/>
      <c r="T160" s="440"/>
      <c r="U160" s="440"/>
      <c r="V160" s="440"/>
      <c r="W160" s="440"/>
      <c r="X160" s="440"/>
      <c r="Y160" s="440"/>
      <c r="Z160" s="440"/>
      <c r="AA160" s="440"/>
      <c r="AB160" s="440"/>
      <c r="AC160" s="440"/>
      <c r="AD160" s="440"/>
      <c r="AE160" s="440"/>
      <c r="AF160" s="1013"/>
    </row>
    <row r="161" spans="2:32" customFormat="1" ht="12.75" customHeight="1">
      <c r="B161" s="1031" t="s">
        <v>512</v>
      </c>
      <c r="C161" s="1032"/>
      <c r="D161" s="1033"/>
      <c r="E161" s="1033"/>
      <c r="F161" s="1034"/>
      <c r="G161" s="1035"/>
      <c r="H161" s="1036"/>
      <c r="I161" s="1036"/>
      <c r="J161" s="1036"/>
      <c r="K161" s="1037"/>
      <c r="L161" s="1036"/>
      <c r="M161" s="1036"/>
      <c r="N161" s="1036"/>
      <c r="O161" s="1036"/>
      <c r="P161" s="1036"/>
      <c r="Q161" s="1038"/>
      <c r="R161" s="1036"/>
      <c r="S161" s="1036"/>
      <c r="T161" s="1036"/>
      <c r="U161" s="1036"/>
      <c r="V161" s="1036"/>
      <c r="W161" s="1036"/>
      <c r="X161" s="1036"/>
      <c r="Y161" s="1036"/>
      <c r="Z161" s="1036"/>
      <c r="AA161" s="1036"/>
      <c r="AB161" s="1036"/>
      <c r="AC161" s="1036"/>
      <c r="AD161" s="1036"/>
      <c r="AE161" s="1036"/>
      <c r="AF161" s="1037"/>
    </row>
    <row r="162" spans="2:32" customFormat="1" ht="12.75" customHeight="1">
      <c r="B162" s="1011" t="s">
        <v>491</v>
      </c>
      <c r="C162" s="1014"/>
      <c r="D162" s="440"/>
      <c r="E162" s="440"/>
      <c r="F162" s="1013"/>
      <c r="G162" s="1013"/>
      <c r="H162" s="440"/>
      <c r="I162" s="440"/>
      <c r="J162" s="440"/>
      <c r="K162" s="1013"/>
      <c r="L162" s="440"/>
      <c r="M162" s="440"/>
      <c r="N162" s="440"/>
      <c r="O162" s="440"/>
      <c r="P162" s="440"/>
      <c r="Q162" s="1014"/>
      <c r="R162" s="440"/>
      <c r="S162" s="440"/>
      <c r="T162" s="440"/>
      <c r="U162" s="440"/>
      <c r="V162" s="440"/>
      <c r="W162" s="440"/>
      <c r="X162" s="440"/>
      <c r="Y162" s="440"/>
      <c r="Z162" s="440"/>
      <c r="AA162" s="440"/>
      <c r="AB162" s="440"/>
      <c r="AC162" s="440"/>
      <c r="AD162" s="440"/>
      <c r="AE162" s="440"/>
      <c r="AF162" s="1013"/>
    </row>
    <row r="163" spans="2:32" customFormat="1" ht="12.75" customHeight="1">
      <c r="B163" s="1026" t="s">
        <v>513</v>
      </c>
      <c r="C163" s="1039"/>
      <c r="D163" s="440"/>
      <c r="E163" s="440"/>
      <c r="F163" s="1013"/>
      <c r="G163" s="1013"/>
      <c r="H163" s="375"/>
      <c r="I163" s="375"/>
      <c r="J163" s="375"/>
      <c r="K163" s="1017"/>
      <c r="L163" s="375"/>
      <c r="M163" s="375"/>
      <c r="N163" s="375"/>
      <c r="O163" s="375"/>
      <c r="P163" s="375"/>
      <c r="Q163" s="1016"/>
      <c r="R163" s="375"/>
      <c r="S163" s="375"/>
      <c r="T163" s="375"/>
      <c r="U163" s="375"/>
      <c r="V163" s="375"/>
      <c r="W163" s="375"/>
      <c r="X163" s="375"/>
      <c r="Y163" s="375"/>
      <c r="Z163" s="375"/>
      <c r="AA163" s="375"/>
      <c r="AB163" s="375"/>
      <c r="AC163" s="375"/>
      <c r="AD163" s="375"/>
      <c r="AE163" s="375"/>
      <c r="AF163" s="1017"/>
    </row>
    <row r="164" spans="2:32" customFormat="1" ht="12.75" customHeight="1">
      <c r="B164" s="1040" t="s">
        <v>514</v>
      </c>
      <c r="C164" s="1041"/>
      <c r="D164" s="1042"/>
      <c r="E164" s="1042"/>
      <c r="F164" s="1043"/>
      <c r="G164" s="1043"/>
      <c r="H164" s="1042"/>
      <c r="I164" s="1042"/>
      <c r="J164" s="1042"/>
      <c r="K164" s="1043"/>
      <c r="L164" s="1042"/>
      <c r="M164" s="1042"/>
      <c r="N164" s="1042"/>
      <c r="O164" s="1042"/>
      <c r="P164" s="1042"/>
      <c r="Q164" s="1041"/>
      <c r="R164" s="1042"/>
      <c r="S164" s="1042"/>
      <c r="T164" s="1042"/>
      <c r="U164" s="1042"/>
      <c r="V164" s="1042"/>
      <c r="W164" s="1042"/>
      <c r="X164" s="1042"/>
      <c r="Y164" s="1042"/>
      <c r="Z164" s="1042"/>
      <c r="AA164" s="1042"/>
      <c r="AB164" s="1042"/>
      <c r="AC164" s="1042"/>
      <c r="AD164" s="1042"/>
      <c r="AE164" s="1042"/>
      <c r="AF164" s="1043"/>
    </row>
    <row r="165" spans="2:32" customFormat="1" ht="12.75" customHeight="1">
      <c r="B165" s="1044" t="s">
        <v>515</v>
      </c>
      <c r="C165" s="250"/>
      <c r="D165" s="1045"/>
      <c r="E165" s="1045"/>
      <c r="F165" s="1046"/>
      <c r="G165" s="1046"/>
      <c r="H165" s="1045"/>
      <c r="I165" s="1045"/>
      <c r="J165" s="1045"/>
      <c r="K165" s="1046"/>
      <c r="L165" s="1045"/>
      <c r="M165" s="1045"/>
      <c r="N165" s="1045"/>
      <c r="O165" s="1045"/>
      <c r="P165" s="1045"/>
      <c r="Q165" s="250"/>
      <c r="R165" s="1045"/>
      <c r="S165" s="1045"/>
      <c r="T165" s="1045"/>
      <c r="U165" s="1045"/>
      <c r="V165" s="1045"/>
      <c r="W165" s="1045"/>
      <c r="X165" s="1045"/>
      <c r="Y165" s="1045"/>
      <c r="Z165" s="1045"/>
      <c r="AA165" s="1045"/>
      <c r="AB165" s="1045"/>
      <c r="AC165" s="1045"/>
      <c r="AD165" s="1045"/>
      <c r="AE165" s="1045"/>
      <c r="AF165" s="1046"/>
    </row>
    <row r="166" spans="2:32" customFormat="1" ht="12.75" customHeight="1">
      <c r="B166" s="636"/>
      <c r="C166" s="636"/>
      <c r="D166" s="636"/>
      <c r="E166" s="636"/>
      <c r="F166" s="636"/>
      <c r="G166" s="636"/>
      <c r="H166" s="636"/>
      <c r="I166" s="636"/>
      <c r="J166" s="636"/>
      <c r="K166" s="636"/>
      <c r="L166" s="636"/>
      <c r="M166" s="636"/>
      <c r="N166" s="636"/>
      <c r="O166" s="636"/>
      <c r="P166" s="636"/>
      <c r="Q166" s="636"/>
      <c r="R166" s="636"/>
      <c r="S166" s="636"/>
      <c r="T166" s="636"/>
      <c r="U166" s="636"/>
      <c r="V166" s="636"/>
      <c r="W166" s="636"/>
      <c r="X166" s="636"/>
      <c r="Y166" s="636"/>
      <c r="Z166" s="636"/>
      <c r="AA166" s="636"/>
      <c r="AB166" s="636"/>
      <c r="AC166" s="636"/>
      <c r="AD166" s="636"/>
      <c r="AE166" s="636"/>
      <c r="AF166" s="636"/>
    </row>
    <row r="167" spans="2:32" customFormat="1" ht="12.75" customHeight="1">
      <c r="B167" s="636"/>
      <c r="C167" s="636"/>
      <c r="D167" s="636"/>
      <c r="E167" s="636"/>
      <c r="F167" s="636"/>
      <c r="G167" s="636"/>
      <c r="H167" s="636"/>
      <c r="I167" s="636"/>
      <c r="J167" s="636"/>
      <c r="K167" s="636"/>
      <c r="L167" s="636"/>
      <c r="M167" s="636"/>
      <c r="N167" s="636"/>
      <c r="O167" s="636"/>
      <c r="P167" s="636"/>
      <c r="Q167" s="636"/>
      <c r="R167" s="636"/>
      <c r="S167" s="636"/>
      <c r="T167" s="636"/>
      <c r="U167" s="636"/>
      <c r="V167" s="636"/>
      <c r="W167" s="636"/>
      <c r="X167" s="636"/>
      <c r="Y167" s="636"/>
      <c r="Z167" s="636"/>
      <c r="AA167" s="636"/>
      <c r="AB167" s="636"/>
      <c r="AC167" s="636"/>
      <c r="AD167" s="636"/>
      <c r="AE167" s="636"/>
      <c r="AF167" s="636"/>
    </row>
    <row r="168" spans="2:32" customFormat="1" ht="12.75" customHeight="1">
      <c r="B168" s="636"/>
      <c r="C168" s="636"/>
      <c r="D168" s="636"/>
      <c r="E168" s="636"/>
      <c r="F168" s="636"/>
      <c r="G168" s="636"/>
      <c r="H168" s="636"/>
      <c r="I168" s="636"/>
      <c r="J168" s="636"/>
      <c r="K168" s="636"/>
      <c r="L168" s="636"/>
      <c r="M168" s="636"/>
      <c r="N168" s="636"/>
      <c r="O168" s="636"/>
      <c r="P168" s="636"/>
      <c r="Q168" s="636"/>
      <c r="R168" s="636"/>
      <c r="S168" s="636"/>
      <c r="T168" s="636"/>
      <c r="U168" s="636"/>
      <c r="V168" s="636"/>
      <c r="W168" s="636"/>
      <c r="X168" s="636"/>
      <c r="Y168" s="636"/>
      <c r="Z168" s="636"/>
      <c r="AA168" s="636"/>
      <c r="AB168" s="636"/>
      <c r="AC168" s="636"/>
      <c r="AD168" s="636"/>
      <c r="AE168" s="636"/>
      <c r="AF168" s="636"/>
    </row>
    <row r="169" spans="2:32" customFormat="1" ht="12.75" customHeight="1">
      <c r="B169" s="1467" t="s">
        <v>400</v>
      </c>
      <c r="C169" s="1468"/>
      <c r="D169" s="956">
        <v>2023</v>
      </c>
      <c r="E169" s="957">
        <v>2022</v>
      </c>
      <c r="F169" s="957">
        <v>2021</v>
      </c>
      <c r="G169" s="957">
        <v>2020</v>
      </c>
      <c r="H169" s="957">
        <v>2019</v>
      </c>
      <c r="I169">
        <v>2018</v>
      </c>
      <c r="J169" s="636"/>
      <c r="K169" s="636"/>
      <c r="L169" s="636"/>
      <c r="M169" s="636"/>
      <c r="N169" s="636"/>
      <c r="O169" s="636"/>
      <c r="P169" s="636"/>
      <c r="Q169" s="636"/>
      <c r="R169" s="636"/>
      <c r="S169" s="636"/>
      <c r="T169" s="636"/>
      <c r="U169" s="636"/>
      <c r="V169" s="636"/>
      <c r="W169" s="636"/>
      <c r="X169" s="636"/>
      <c r="Y169" s="636"/>
      <c r="Z169" s="636"/>
      <c r="AA169" s="636"/>
      <c r="AB169" s="636"/>
      <c r="AC169" s="636"/>
      <c r="AD169" s="636"/>
      <c r="AE169" s="636"/>
      <c r="AF169" s="636"/>
    </row>
    <row r="170" spans="2:32" customFormat="1" ht="12.75" customHeight="1">
      <c r="B170" s="1469" t="s">
        <v>516</v>
      </c>
      <c r="C170" s="1470"/>
      <c r="D170" s="84"/>
      <c r="E170" s="958"/>
      <c r="F170" s="86"/>
      <c r="G170" s="958"/>
      <c r="H170" s="958"/>
      <c r="J170" s="636"/>
      <c r="K170" s="636"/>
      <c r="L170" s="636"/>
      <c r="M170" s="636"/>
      <c r="N170" s="636"/>
      <c r="O170" s="636"/>
      <c r="P170" s="636"/>
      <c r="Q170" s="636"/>
      <c r="R170" s="636"/>
      <c r="S170" s="636"/>
      <c r="T170" s="636"/>
      <c r="U170" s="636"/>
      <c r="V170" s="636"/>
      <c r="W170" s="636"/>
      <c r="X170" s="636"/>
      <c r="Y170" s="636"/>
      <c r="Z170" s="636"/>
      <c r="AA170" s="636"/>
      <c r="AB170" s="636"/>
      <c r="AC170" s="636"/>
      <c r="AD170" s="636"/>
      <c r="AE170" s="636"/>
      <c r="AF170" s="636"/>
    </row>
    <row r="171" spans="2:32" customFormat="1" ht="12.75" customHeight="1">
      <c r="B171" s="1471" t="s">
        <v>517</v>
      </c>
      <c r="C171" s="1472"/>
      <c r="D171" s="84"/>
      <c r="E171" s="86"/>
      <c r="F171" s="86"/>
      <c r="G171" s="86"/>
      <c r="H171" s="86"/>
      <c r="J171" s="636"/>
      <c r="K171" s="636"/>
      <c r="L171" s="636"/>
      <c r="M171" s="636"/>
      <c r="N171" s="636"/>
      <c r="O171" s="636"/>
      <c r="P171" s="636"/>
      <c r="Q171" s="636"/>
      <c r="R171" s="636"/>
      <c r="S171" s="636"/>
      <c r="T171" s="636"/>
      <c r="U171" s="636"/>
      <c r="V171" s="636"/>
      <c r="W171" s="636"/>
      <c r="X171" s="636"/>
      <c r="Y171" s="636"/>
      <c r="Z171" s="636"/>
      <c r="AA171" s="636"/>
      <c r="AB171" s="636"/>
      <c r="AC171" s="636"/>
      <c r="AD171" s="636"/>
      <c r="AE171" s="636"/>
      <c r="AF171" s="636"/>
    </row>
    <row r="172" spans="2:32" customFormat="1" ht="12.75" customHeight="1">
      <c r="B172" s="1473" t="s">
        <v>518</v>
      </c>
      <c r="C172" s="1474"/>
      <c r="D172" s="87"/>
      <c r="E172" s="90"/>
      <c r="F172" s="90"/>
      <c r="G172" s="90"/>
      <c r="H172" s="90"/>
      <c r="J172" s="636"/>
      <c r="K172" s="636"/>
      <c r="L172" s="636"/>
      <c r="M172" s="636"/>
      <c r="N172" s="636"/>
      <c r="O172" s="636"/>
      <c r="P172" s="636"/>
      <c r="Q172" s="636"/>
      <c r="R172" s="636"/>
      <c r="S172" s="636"/>
      <c r="T172" s="636"/>
      <c r="U172" s="636"/>
      <c r="V172" s="636"/>
      <c r="W172" s="636"/>
      <c r="X172" s="636"/>
      <c r="Y172" s="636"/>
      <c r="Z172" s="636"/>
      <c r="AA172" s="636"/>
      <c r="AB172" s="636"/>
      <c r="AC172" s="636"/>
      <c r="AD172" s="636"/>
      <c r="AE172" s="636"/>
      <c r="AF172" s="636"/>
    </row>
    <row r="173" spans="2:32" customFormat="1" ht="12.75" customHeight="1">
      <c r="B173" s="1475" t="s">
        <v>519</v>
      </c>
      <c r="C173" s="1476"/>
      <c r="D173" s="86"/>
      <c r="E173" s="86"/>
      <c r="F173" s="86"/>
      <c r="G173" s="86"/>
      <c r="H173" s="86"/>
      <c r="J173" s="636"/>
      <c r="K173" s="636"/>
      <c r="L173" s="636"/>
      <c r="M173" s="636"/>
      <c r="N173" s="636"/>
      <c r="O173" s="636"/>
      <c r="P173" s="636"/>
      <c r="Q173" s="636"/>
      <c r="R173" s="636"/>
      <c r="S173" s="636"/>
      <c r="T173" s="636"/>
      <c r="U173" s="636"/>
      <c r="V173" s="636"/>
      <c r="W173" s="636"/>
      <c r="X173" s="636"/>
      <c r="Y173" s="636"/>
      <c r="Z173" s="636"/>
      <c r="AA173" s="636"/>
      <c r="AB173" s="636"/>
      <c r="AC173" s="636"/>
      <c r="AD173" s="636"/>
      <c r="AE173" s="636"/>
      <c r="AF173" s="636"/>
    </row>
    <row r="174" spans="2:32" customFormat="1" ht="12.75" customHeight="1">
      <c r="B174" s="1477" t="s">
        <v>520</v>
      </c>
      <c r="C174" s="1478"/>
      <c r="D174" s="959"/>
      <c r="E174" s="959"/>
      <c r="F174" s="959"/>
      <c r="G174" s="959"/>
      <c r="H174" s="959"/>
      <c r="J174" s="636"/>
      <c r="K174" s="636"/>
      <c r="L174" s="636"/>
      <c r="M174" s="636"/>
      <c r="N174" s="636"/>
      <c r="O174" s="636"/>
      <c r="P174" s="636"/>
      <c r="Q174" s="636"/>
      <c r="R174" s="636"/>
      <c r="S174" s="636"/>
      <c r="T174" s="636"/>
      <c r="U174" s="636"/>
      <c r="V174" s="636"/>
      <c r="W174" s="636"/>
      <c r="X174" s="636"/>
      <c r="Y174" s="636"/>
      <c r="Z174" s="636"/>
      <c r="AA174" s="636"/>
      <c r="AB174" s="636"/>
      <c r="AC174" s="636"/>
      <c r="AD174" s="636"/>
      <c r="AE174" s="636"/>
      <c r="AF174" s="636"/>
    </row>
    <row r="175" spans="2:32" customFormat="1" ht="12.75" customHeight="1">
      <c r="B175" s="1479" t="s">
        <v>521</v>
      </c>
      <c r="C175" s="1480"/>
      <c r="D175" s="960"/>
      <c r="E175" s="960"/>
      <c r="F175" s="960"/>
      <c r="G175" s="960"/>
      <c r="H175" s="960"/>
      <c r="J175" s="636"/>
      <c r="K175" s="636"/>
      <c r="L175" s="636"/>
      <c r="M175" s="636"/>
      <c r="N175" s="636"/>
      <c r="O175" s="636"/>
      <c r="P175" s="636"/>
      <c r="Q175" s="636"/>
      <c r="R175" s="636"/>
      <c r="S175" s="636"/>
      <c r="T175" s="636"/>
      <c r="U175" s="636"/>
      <c r="V175" s="636"/>
      <c r="W175" s="636"/>
      <c r="X175" s="636"/>
      <c r="Y175" s="636"/>
      <c r="Z175" s="636"/>
      <c r="AA175" s="636"/>
      <c r="AB175" s="636"/>
      <c r="AC175" s="636"/>
      <c r="AD175" s="636"/>
      <c r="AE175" s="636"/>
      <c r="AF175" s="636"/>
    </row>
    <row r="176" spans="2:32" customFormat="1" ht="12.75" customHeight="1">
      <c r="B176" s="636"/>
      <c r="C176" s="636"/>
      <c r="D176" s="636"/>
      <c r="E176" s="636"/>
      <c r="F176" s="636"/>
      <c r="G176" s="636"/>
      <c r="H176" s="636"/>
      <c r="I176" s="636"/>
      <c r="J176" s="636"/>
      <c r="K176" s="636"/>
      <c r="L176" s="636"/>
      <c r="M176" s="636"/>
      <c r="N176" s="636"/>
      <c r="O176" s="636"/>
      <c r="P176" s="636"/>
      <c r="Q176" s="636"/>
      <c r="R176" s="636"/>
      <c r="S176" s="636"/>
      <c r="T176" s="636"/>
      <c r="U176" s="636"/>
      <c r="V176" s="636"/>
      <c r="W176" s="636"/>
      <c r="X176" s="636"/>
      <c r="Y176" s="636"/>
      <c r="Z176" s="636"/>
      <c r="AA176" s="636"/>
      <c r="AB176" s="636"/>
      <c r="AC176" s="636"/>
      <c r="AD176" s="636"/>
      <c r="AE176" s="636"/>
      <c r="AF176" s="636"/>
    </row>
    <row r="177" spans="2:32" customFormat="1" ht="12.75" customHeight="1">
      <c r="B177" s="636"/>
      <c r="C177" s="636"/>
      <c r="D177" s="636"/>
      <c r="E177" s="636"/>
      <c r="F177" s="636"/>
      <c r="G177" s="636"/>
      <c r="H177" s="636"/>
      <c r="I177" s="636"/>
      <c r="J177" s="636"/>
      <c r="K177" s="636"/>
      <c r="L177" s="636"/>
      <c r="M177" s="636"/>
      <c r="N177" s="636"/>
      <c r="O177" s="636"/>
      <c r="P177" s="636"/>
      <c r="Q177" s="636"/>
      <c r="R177" s="636"/>
      <c r="S177" s="636"/>
      <c r="T177" s="636"/>
      <c r="U177" s="636"/>
      <c r="V177" s="636"/>
      <c r="W177" s="636"/>
      <c r="X177" s="636"/>
      <c r="Y177" s="636"/>
      <c r="Z177" s="636"/>
      <c r="AA177" s="636"/>
      <c r="AB177" s="636"/>
      <c r="AC177" s="636"/>
      <c r="AD177" s="636"/>
      <c r="AE177" s="636"/>
      <c r="AF177" s="636"/>
    </row>
    <row r="178" spans="2:32" customFormat="1" ht="12.75" customHeight="1">
      <c r="B178" s="636"/>
      <c r="C178" s="636"/>
      <c r="D178" s="636"/>
      <c r="E178" s="636"/>
      <c r="F178" s="636"/>
      <c r="G178" s="636"/>
      <c r="H178" s="636"/>
      <c r="I178" s="636"/>
      <c r="J178" s="636"/>
      <c r="K178" s="636"/>
      <c r="L178" s="636"/>
      <c r="M178" s="636"/>
      <c r="N178" s="636"/>
      <c r="O178" s="636"/>
      <c r="P178" s="636"/>
      <c r="Q178" s="636"/>
      <c r="R178" s="636"/>
      <c r="S178" s="636"/>
      <c r="T178" s="636"/>
      <c r="U178" s="636"/>
      <c r="V178" s="636"/>
      <c r="W178" s="636"/>
      <c r="X178" s="636"/>
      <c r="Y178" s="636"/>
      <c r="Z178" s="636"/>
      <c r="AA178" s="636"/>
      <c r="AB178" s="636"/>
      <c r="AC178" s="636"/>
      <c r="AD178" s="636"/>
      <c r="AE178" s="636"/>
      <c r="AF178" s="636"/>
    </row>
    <row r="179" spans="2:32" customFormat="1" ht="12.75" customHeight="1">
      <c r="B179" s="636"/>
      <c r="C179" s="636"/>
      <c r="D179" s="636"/>
      <c r="E179" s="636"/>
      <c r="F179" s="636"/>
      <c r="G179" s="636"/>
      <c r="H179" s="636"/>
      <c r="I179" s="636"/>
      <c r="J179" s="636"/>
      <c r="K179" s="636"/>
      <c r="L179" s="636"/>
      <c r="M179" s="636"/>
      <c r="N179" s="636"/>
      <c r="O179" s="636"/>
      <c r="P179" s="636"/>
      <c r="Q179" s="636"/>
      <c r="R179" s="636"/>
      <c r="S179" s="636"/>
      <c r="T179" s="636"/>
      <c r="U179" s="636"/>
      <c r="V179" s="636"/>
      <c r="W179" s="636"/>
      <c r="X179" s="636"/>
      <c r="Y179" s="636"/>
      <c r="Z179" s="636"/>
      <c r="AA179" s="636"/>
      <c r="AB179" s="636"/>
      <c r="AC179" s="636"/>
      <c r="AD179" s="636"/>
      <c r="AE179" s="636"/>
      <c r="AF179" s="636"/>
    </row>
    <row r="180" spans="2:32" customFormat="1" ht="12.75" customHeight="1">
      <c r="B180" s="636"/>
      <c r="C180" s="636"/>
      <c r="D180" s="636"/>
      <c r="E180" s="636"/>
      <c r="F180" s="636"/>
      <c r="G180" s="636"/>
      <c r="H180" s="636"/>
      <c r="I180" s="636"/>
      <c r="J180" s="636"/>
      <c r="K180" s="636"/>
      <c r="L180" s="636"/>
      <c r="M180" s="636"/>
      <c r="N180" s="636"/>
      <c r="O180" s="636"/>
      <c r="P180" s="636"/>
      <c r="Q180" s="636"/>
      <c r="R180" s="636"/>
      <c r="S180" s="636"/>
      <c r="T180" s="636"/>
      <c r="U180" s="636"/>
      <c r="V180" s="636"/>
      <c r="W180" s="636"/>
      <c r="X180" s="636"/>
      <c r="Y180" s="636"/>
      <c r="Z180" s="636"/>
      <c r="AA180" s="636"/>
      <c r="AB180" s="636"/>
      <c r="AC180" s="636"/>
      <c r="AD180" s="636"/>
      <c r="AE180" s="636"/>
      <c r="AF180" s="636"/>
    </row>
    <row r="181" spans="2:32" customFormat="1" ht="12.75" customHeight="1">
      <c r="B181" s="636"/>
      <c r="C181" s="636"/>
      <c r="D181" s="636"/>
      <c r="E181" s="636"/>
      <c r="F181" s="636"/>
      <c r="G181" s="636"/>
      <c r="H181" s="636"/>
      <c r="I181" s="636"/>
      <c r="J181" s="636"/>
      <c r="K181" s="636"/>
      <c r="L181" s="636"/>
      <c r="M181" s="636"/>
      <c r="N181" s="636"/>
      <c r="O181" s="636"/>
      <c r="P181" s="636"/>
      <c r="Q181" s="636"/>
      <c r="R181" s="636"/>
      <c r="S181" s="636"/>
      <c r="T181" s="636"/>
      <c r="U181" s="636"/>
      <c r="V181" s="636"/>
      <c r="W181" s="636"/>
      <c r="X181" s="636"/>
      <c r="Y181" s="636"/>
      <c r="Z181" s="636"/>
      <c r="AA181" s="636"/>
      <c r="AB181" s="636"/>
      <c r="AC181" s="636"/>
      <c r="AD181" s="636"/>
      <c r="AE181" s="636"/>
      <c r="AF181" s="636"/>
    </row>
    <row r="182" spans="2:32" customFormat="1" ht="12.75" customHeight="1">
      <c r="B182" s="636"/>
      <c r="C182" s="636"/>
      <c r="D182" s="636"/>
      <c r="E182" s="636"/>
      <c r="F182" s="636"/>
      <c r="G182" s="636"/>
      <c r="H182" s="636"/>
      <c r="I182" s="636"/>
      <c r="J182" s="636"/>
      <c r="K182" s="636"/>
      <c r="L182" s="636"/>
      <c r="M182" s="636"/>
      <c r="N182" s="636"/>
      <c r="O182" s="636"/>
      <c r="P182" s="636"/>
      <c r="Q182" s="636"/>
      <c r="R182" s="636"/>
      <c r="S182" s="636"/>
      <c r="T182" s="636"/>
      <c r="U182" s="636"/>
      <c r="V182" s="636"/>
      <c r="W182" s="636"/>
      <c r="X182" s="636"/>
      <c r="Y182" s="636"/>
      <c r="Z182" s="636"/>
      <c r="AA182" s="636"/>
      <c r="AB182" s="636"/>
      <c r="AC182" s="636"/>
      <c r="AD182" s="636"/>
      <c r="AE182" s="636"/>
      <c r="AF182" s="636"/>
    </row>
    <row r="183" spans="2:32" customFormat="1" ht="12.75" customHeight="1">
      <c r="B183" s="636"/>
      <c r="C183" s="636"/>
      <c r="D183" s="636"/>
      <c r="E183" s="636"/>
      <c r="F183" s="636"/>
      <c r="G183" s="636"/>
      <c r="H183" s="636"/>
      <c r="I183" s="636"/>
      <c r="J183" s="636"/>
      <c r="K183" s="636"/>
      <c r="L183" s="636"/>
      <c r="M183" s="636"/>
      <c r="N183" s="636"/>
      <c r="O183" s="636"/>
      <c r="P183" s="636"/>
      <c r="Q183" s="636"/>
      <c r="R183" s="636"/>
      <c r="S183" s="636"/>
      <c r="T183" s="636"/>
      <c r="U183" s="636"/>
      <c r="V183" s="636"/>
      <c r="W183" s="636"/>
      <c r="X183" s="636"/>
      <c r="Y183" s="636"/>
      <c r="Z183" s="636"/>
      <c r="AA183" s="636"/>
      <c r="AB183" s="636"/>
      <c r="AC183" s="636"/>
      <c r="AD183" s="636"/>
      <c r="AE183" s="636"/>
      <c r="AF183" s="636"/>
    </row>
    <row r="184" spans="2:32" customFormat="1" ht="12.75" customHeight="1">
      <c r="B184" s="636"/>
      <c r="C184" s="636"/>
      <c r="D184" s="636"/>
      <c r="E184" s="636"/>
      <c r="F184" s="636"/>
      <c r="G184" s="636"/>
      <c r="H184" s="636"/>
      <c r="I184" s="636"/>
      <c r="J184" s="636"/>
      <c r="K184" s="636"/>
      <c r="L184" s="636"/>
      <c r="M184" s="636"/>
      <c r="N184" s="636"/>
      <c r="O184" s="636"/>
      <c r="P184" s="636"/>
      <c r="Q184" s="636"/>
      <c r="R184" s="636"/>
      <c r="S184" s="636"/>
      <c r="T184" s="636"/>
      <c r="U184" s="636"/>
      <c r="V184" s="636"/>
      <c r="W184" s="636"/>
      <c r="X184" s="636"/>
      <c r="Y184" s="636"/>
      <c r="Z184" s="636"/>
      <c r="AA184" s="636"/>
      <c r="AB184" s="636"/>
      <c r="AC184" s="636"/>
      <c r="AD184" s="636"/>
      <c r="AE184" s="636"/>
      <c r="AF184" s="636"/>
    </row>
    <row r="185" spans="2:32" customFormat="1" ht="12.75" customHeight="1">
      <c r="B185" s="636"/>
      <c r="C185" s="636"/>
      <c r="D185" s="636"/>
      <c r="E185" s="636"/>
      <c r="F185" s="636"/>
      <c r="G185" s="636"/>
      <c r="H185" s="636"/>
      <c r="I185" s="636"/>
      <c r="J185" s="636"/>
      <c r="K185" s="636"/>
      <c r="L185" s="636"/>
      <c r="M185" s="636"/>
      <c r="N185" s="636"/>
      <c r="O185" s="636"/>
      <c r="P185" s="636"/>
      <c r="Q185" s="636"/>
      <c r="R185" s="636"/>
      <c r="S185" s="636"/>
      <c r="T185" s="636"/>
      <c r="U185" s="636"/>
      <c r="V185" s="636"/>
      <c r="W185" s="636"/>
      <c r="X185" s="636"/>
      <c r="Y185" s="636"/>
      <c r="Z185" s="636"/>
      <c r="AA185" s="636"/>
      <c r="AB185" s="636"/>
      <c r="AC185" s="636"/>
      <c r="AD185" s="636"/>
      <c r="AE185" s="636"/>
      <c r="AF185" s="636"/>
    </row>
    <row r="186" spans="2:32" customFormat="1" ht="12.75" customHeight="1">
      <c r="B186" s="636"/>
      <c r="C186" s="636"/>
      <c r="D186" s="636"/>
      <c r="E186" s="636"/>
      <c r="F186" s="636"/>
      <c r="G186" s="636"/>
      <c r="H186" s="636"/>
      <c r="I186" s="636"/>
      <c r="J186" s="636"/>
      <c r="K186" s="636"/>
      <c r="L186" s="636"/>
      <c r="M186" s="636"/>
      <c r="N186" s="636"/>
      <c r="O186" s="636"/>
      <c r="P186" s="636"/>
      <c r="Q186" s="636"/>
      <c r="R186" s="636"/>
      <c r="S186" s="636"/>
      <c r="T186" s="636"/>
      <c r="U186" s="636"/>
      <c r="V186" s="636"/>
      <c r="W186" s="636"/>
      <c r="X186" s="636"/>
      <c r="Y186" s="636"/>
      <c r="Z186" s="636"/>
      <c r="AA186" s="636"/>
      <c r="AB186" s="636"/>
      <c r="AC186" s="636"/>
      <c r="AD186" s="636"/>
      <c r="AE186" s="636"/>
      <c r="AF186" s="636"/>
    </row>
    <row r="187" spans="2:32" customFormat="1" ht="12.75" customHeight="1">
      <c r="B187" s="636"/>
      <c r="C187" s="636"/>
      <c r="D187" s="636"/>
      <c r="E187" s="636"/>
      <c r="F187" s="636"/>
      <c r="G187" s="636"/>
      <c r="H187" s="636"/>
      <c r="I187" s="636"/>
      <c r="J187" s="636"/>
      <c r="K187" s="636"/>
      <c r="L187" s="636"/>
      <c r="M187" s="636"/>
      <c r="N187" s="636"/>
      <c r="O187" s="636"/>
      <c r="P187" s="636"/>
      <c r="Q187" s="636"/>
      <c r="R187" s="636"/>
      <c r="S187" s="636"/>
      <c r="T187" s="636"/>
      <c r="U187" s="636"/>
      <c r="V187" s="636"/>
      <c r="W187" s="636"/>
      <c r="X187" s="636"/>
      <c r="Y187" s="636"/>
      <c r="Z187" s="636"/>
      <c r="AA187" s="636"/>
      <c r="AB187" s="636"/>
      <c r="AC187" s="636"/>
      <c r="AD187" s="636"/>
      <c r="AE187" s="636"/>
      <c r="AF187" s="636"/>
    </row>
    <row r="188" spans="2:32" customFormat="1" ht="12.75" customHeight="1">
      <c r="B188" s="636"/>
      <c r="C188" s="636"/>
      <c r="D188" s="636"/>
      <c r="E188" s="636"/>
      <c r="F188" s="636"/>
      <c r="G188" s="636"/>
      <c r="H188" s="636"/>
      <c r="I188" s="636"/>
      <c r="J188" s="636"/>
      <c r="K188" s="636"/>
      <c r="L188" s="636"/>
      <c r="M188" s="636"/>
      <c r="N188" s="636"/>
      <c r="O188" s="636"/>
      <c r="P188" s="636"/>
      <c r="Q188" s="636"/>
      <c r="R188" s="636"/>
      <c r="S188" s="636"/>
      <c r="T188" s="636"/>
      <c r="U188" s="636"/>
      <c r="V188" s="636"/>
      <c r="W188" s="636"/>
      <c r="X188" s="636"/>
      <c r="Y188" s="636"/>
      <c r="Z188" s="636"/>
      <c r="AA188" s="636"/>
      <c r="AB188" s="636"/>
      <c r="AC188" s="636"/>
      <c r="AD188" s="636"/>
      <c r="AE188" s="636"/>
      <c r="AF188" s="636"/>
    </row>
    <row r="189" spans="2:32" customFormat="1" ht="12.75" customHeight="1">
      <c r="B189" s="636"/>
      <c r="C189" s="636"/>
      <c r="D189" s="636"/>
      <c r="E189" s="636"/>
      <c r="F189" s="636"/>
      <c r="G189" s="636"/>
      <c r="H189" s="636"/>
      <c r="I189" s="636"/>
      <c r="J189" s="636"/>
      <c r="K189" s="636"/>
      <c r="L189" s="636"/>
      <c r="M189" s="636"/>
      <c r="N189" s="636"/>
      <c r="O189" s="636"/>
      <c r="P189" s="636"/>
      <c r="Q189" s="636"/>
      <c r="R189" s="636"/>
      <c r="S189" s="636"/>
      <c r="T189" s="636"/>
      <c r="U189" s="636"/>
      <c r="V189" s="636"/>
      <c r="W189" s="636"/>
      <c r="X189" s="636"/>
      <c r="Y189" s="636"/>
      <c r="Z189" s="636"/>
      <c r="AA189" s="636"/>
      <c r="AB189" s="636"/>
      <c r="AC189" s="636"/>
      <c r="AD189" s="636"/>
      <c r="AE189" s="636"/>
      <c r="AF189" s="636"/>
    </row>
    <row r="190" spans="2:32" customFormat="1" ht="12.75" customHeight="1"/>
    <row r="191" spans="2:32" customFormat="1" ht="12.75" customHeight="1"/>
    <row r="192" spans="2:32" customFormat="1" ht="12.75" customHeight="1"/>
    <row r="193" customFormat="1" ht="12.75" customHeight="1"/>
    <row r="194" customFormat="1" ht="12.75" customHeight="1"/>
    <row r="195" customFormat="1" ht="12.75" customHeight="1"/>
    <row r="196" customFormat="1" ht="12.75" customHeight="1"/>
    <row r="197" customFormat="1" ht="12.75" customHeight="1"/>
    <row r="198" customFormat="1" ht="12.75" customHeight="1"/>
    <row r="199" customFormat="1" ht="12.75" customHeight="1"/>
    <row r="200" customFormat="1" ht="12.75" customHeight="1"/>
    <row r="201" customFormat="1" ht="12.75" customHeight="1"/>
    <row r="202" customFormat="1" ht="12.75" customHeight="1"/>
    <row r="203" customFormat="1" ht="12.75" customHeight="1"/>
    <row r="204" customFormat="1" ht="12.75" customHeight="1"/>
    <row r="205" customFormat="1" ht="12.75" customHeight="1"/>
    <row r="206" customFormat="1" ht="12.75" customHeight="1"/>
    <row r="207" customFormat="1" ht="12.75" customHeight="1"/>
    <row r="208" customFormat="1" ht="12.75" customHeight="1"/>
    <row r="209" customFormat="1" ht="12.75" customHeight="1"/>
    <row r="210" customFormat="1" ht="12.75" customHeight="1"/>
  </sheetData>
  <mergeCells count="14">
    <mergeCell ref="AB106:AE106"/>
    <mergeCell ref="AF106:AJ106"/>
    <mergeCell ref="AK106:AZ106"/>
    <mergeCell ref="B175:C175"/>
    <mergeCell ref="B174:C174"/>
    <mergeCell ref="B173:C173"/>
    <mergeCell ref="L128:M128"/>
    <mergeCell ref="L127:M127"/>
    <mergeCell ref="C15:M15"/>
    <mergeCell ref="B172:C172"/>
    <mergeCell ref="B171:C171"/>
    <mergeCell ref="B170:C170"/>
    <mergeCell ref="B169:C169"/>
    <mergeCell ref="W106:Z106"/>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M91"/>
  <sheetViews>
    <sheetView zoomScale="110" workbookViewId="0">
      <selection activeCell="B14" sqref="B14"/>
    </sheetView>
  </sheetViews>
  <sheetFormatPr defaultColWidth="11.42578125" defaultRowHeight="12.75"/>
  <cols>
    <col min="1" max="1" width="36.140625" style="8" customWidth="1"/>
    <col min="2" max="10" width="12.42578125" style="42" customWidth="1"/>
    <col min="11" max="12" width="12.42578125" style="49" customWidth="1"/>
    <col min="13" max="13" width="12.140625" style="49" bestFit="1" customWidth="1"/>
    <col min="14" max="16384" width="11.42578125" style="41"/>
  </cols>
  <sheetData>
    <row r="1" spans="1:13" ht="15.75">
      <c r="A1" s="1365" t="e" vm="1">
        <f>Inputs!H3</f>
        <v>#VALUE!</v>
      </c>
      <c r="B1" s="1365"/>
      <c r="C1" s="1365"/>
      <c r="D1" s="1365"/>
      <c r="E1" s="1365"/>
      <c r="F1" s="1365"/>
      <c r="G1" s="1365"/>
      <c r="H1" s="1365"/>
      <c r="I1" s="1365"/>
      <c r="J1" s="1365"/>
      <c r="K1" s="1365"/>
      <c r="L1" s="1365"/>
      <c r="M1" s="1365"/>
    </row>
    <row r="2" spans="1:13" ht="12">
      <c r="A2" s="1366" t="str">
        <f>Inputs!G2</f>
        <v>Figures in Millions of USD</v>
      </c>
      <c r="B2" s="1366"/>
      <c r="C2" s="1366"/>
      <c r="D2" s="1366"/>
      <c r="E2" s="1366"/>
      <c r="F2" s="1366"/>
      <c r="G2" s="1366"/>
      <c r="H2" s="1366"/>
      <c r="I2" s="1366"/>
      <c r="J2" s="1366"/>
      <c r="K2" s="1366"/>
      <c r="L2" s="1366"/>
      <c r="M2" s="1366"/>
    </row>
    <row r="3" spans="1:13" ht="20.25">
      <c r="A3" s="1364" t="s">
        <v>228</v>
      </c>
      <c r="B3" s="1364"/>
      <c r="C3" s="1364"/>
      <c r="D3" s="1364"/>
      <c r="E3" s="1364"/>
      <c r="F3" s="1364"/>
      <c r="G3" s="1364"/>
      <c r="H3" s="1364"/>
      <c r="I3" s="1364"/>
      <c r="J3" s="1364"/>
      <c r="K3" s="1364"/>
      <c r="L3" s="1364"/>
      <c r="M3" s="1364"/>
    </row>
    <row r="4" spans="1:13">
      <c r="A4" s="110"/>
      <c r="B4" s="51">
        <f>OP!J20</f>
        <v>2023</v>
      </c>
      <c r="C4" s="43">
        <f>B4-1</f>
        <v>2022</v>
      </c>
      <c r="D4" s="43">
        <f t="shared" ref="D4:M4" si="0">C4-1</f>
        <v>2021</v>
      </c>
      <c r="E4" s="43">
        <f t="shared" si="0"/>
        <v>2020</v>
      </c>
      <c r="F4" s="43">
        <f t="shared" si="0"/>
        <v>2019</v>
      </c>
      <c r="G4" s="43">
        <f t="shared" si="0"/>
        <v>2018</v>
      </c>
      <c r="H4" s="43">
        <f t="shared" si="0"/>
        <v>2017</v>
      </c>
      <c r="I4" s="43">
        <f t="shared" si="0"/>
        <v>2016</v>
      </c>
      <c r="J4" s="43">
        <f>I4-1</f>
        <v>2015</v>
      </c>
      <c r="K4" s="43">
        <f t="shared" si="0"/>
        <v>2014</v>
      </c>
      <c r="L4" s="43">
        <f t="shared" si="0"/>
        <v>2013</v>
      </c>
      <c r="M4" s="43">
        <f t="shared" si="0"/>
        <v>2012</v>
      </c>
    </row>
    <row r="5" spans="1:13">
      <c r="A5" s="111" t="s">
        <v>87</v>
      </c>
      <c r="B5" s="52">
        <f>_xlfn.XLOOKUP($A5,Inputs!$A:$A,Inputs!B:B,,0)</f>
        <v>22680</v>
      </c>
      <c r="C5" s="52">
        <f>_xlfn.XLOOKUP($A5,Inputs!$A:$A,Inputs!C:C,,0)</f>
        <v>23601</v>
      </c>
      <c r="D5" s="52">
        <f>_xlfn.XLOOKUP($A5,Inputs!$A:$A,Inputs!D:D,,0)</f>
        <v>16434</v>
      </c>
      <c r="E5" s="52">
        <f>_xlfn.XLOOKUP($A5,Inputs!$A:$A,Inputs!E:E,,0)</f>
        <v>9763</v>
      </c>
      <c r="F5" s="52">
        <f>_xlfn.XLOOKUP($A5,Inputs!$A:$A,Inputs!F:F,,0)</f>
        <v>6731</v>
      </c>
      <c r="G5" s="52">
        <f>_xlfn.XLOOKUP($A5,Inputs!$A:$A,Inputs!G:G,,0)</f>
        <v>6475</v>
      </c>
      <c r="H5" s="52">
        <f>_xlfn.XLOOKUP($A5,Inputs!$A:$A,Inputs!H:H,,0)</f>
        <v>5253</v>
      </c>
      <c r="I5" s="52">
        <f>_xlfn.XLOOKUP($A5,Inputs!$A:$A,Inputs!I:I,,0)</f>
        <v>4272</v>
      </c>
      <c r="J5" s="52">
        <f>_xlfn.XLOOKUP($A5,Inputs!$A:$A,Inputs!J:J,,0)</f>
        <v>3991</v>
      </c>
      <c r="K5" s="52">
        <f>_xlfn.XLOOKUP($A5,Inputs!$A:$A,Inputs!K:K,,0)</f>
        <v>5506</v>
      </c>
      <c r="L5" s="52">
        <f>_xlfn.XLOOKUP($A5,Inputs!$A:$A,Inputs!L:L,,0)</f>
        <v>5299</v>
      </c>
      <c r="M5" s="53">
        <f>_xlfn.XLOOKUP($A5,Inputs!$A:$A,Inputs!M:M,,0)</f>
        <v>5422</v>
      </c>
    </row>
    <row r="6" spans="1:13">
      <c r="A6" s="112" t="s">
        <v>522</v>
      </c>
      <c r="B6" s="54">
        <f t="shared" ref="B6:L6" si="1">IFERROR(B5/C5-1,"-")</f>
        <v>-3.9023770179229644E-2</v>
      </c>
      <c r="C6" s="54">
        <f t="shared" si="1"/>
        <v>0.43610806863818907</v>
      </c>
      <c r="D6" s="54">
        <f t="shared" si="1"/>
        <v>0.68329406944586712</v>
      </c>
      <c r="E6" s="54">
        <f t="shared" si="1"/>
        <v>0.45045312732134901</v>
      </c>
      <c r="F6" s="54">
        <f t="shared" si="1"/>
        <v>3.9536679536679609E-2</v>
      </c>
      <c r="G6" s="54">
        <f t="shared" si="1"/>
        <v>0.23262897391966497</v>
      </c>
      <c r="H6" s="54">
        <f t="shared" si="1"/>
        <v>0.2296348314606742</v>
      </c>
      <c r="I6" s="54">
        <f t="shared" si="1"/>
        <v>7.0408418942620843E-2</v>
      </c>
      <c r="J6" s="54">
        <f t="shared" si="1"/>
        <v>-0.27515437704322554</v>
      </c>
      <c r="K6" s="54">
        <f t="shared" si="1"/>
        <v>3.9063974334780038E-2</v>
      </c>
      <c r="L6" s="54">
        <f t="shared" si="1"/>
        <v>-2.2685355957211328E-2</v>
      </c>
      <c r="M6" s="55" t="str">
        <f>IFERROR(M5/#REF!-1,"-")</f>
        <v>-</v>
      </c>
    </row>
    <row r="7" spans="1:13">
      <c r="A7" s="111" t="s">
        <v>489</v>
      </c>
      <c r="B7" s="52">
        <f>_xlfn.XLOOKUP($A7,Inputs!$A:$A,Inputs!B:B,,0)</f>
        <v>10460</v>
      </c>
      <c r="C7" s="52">
        <f>_xlfn.XLOOKUP($A7,Inputs!$A:$A,Inputs!C:C,,0)</f>
        <v>10603</v>
      </c>
      <c r="D7" s="52">
        <f>_xlfn.XLOOKUP($A7,Inputs!$A:$A,Inputs!D:D,,0)</f>
        <v>7929</v>
      </c>
      <c r="E7" s="52">
        <f>_xlfn.XLOOKUP($A7,Inputs!$A:$A,Inputs!E:E,,0)</f>
        <v>4347</v>
      </c>
      <c r="F7" s="52">
        <f>_xlfn.XLOOKUP($A7,Inputs!$A:$A,Inputs!F:F,,0)</f>
        <v>2868</v>
      </c>
      <c r="G7" s="52">
        <f>_xlfn.XLOOKUP($A7,Inputs!$A:$A,Inputs!G:G,,0)</f>
        <v>2447</v>
      </c>
      <c r="H7" s="52">
        <f>_xlfn.XLOOKUP($A7,Inputs!$A:$A,Inputs!H:H,,0)</f>
        <v>1787</v>
      </c>
      <c r="I7" s="52">
        <f>_xlfn.XLOOKUP($A7,Inputs!$A:$A,Inputs!I:I,,0)</f>
        <v>998</v>
      </c>
      <c r="J7" s="52">
        <f>_xlfn.XLOOKUP($A7,Inputs!$A:$A,Inputs!J:J,,0)</f>
        <v>1080</v>
      </c>
      <c r="K7" s="52">
        <f>_xlfn.XLOOKUP($A7,Inputs!$A:$A,Inputs!K:K,,0)</f>
        <v>1839</v>
      </c>
      <c r="L7" s="52">
        <f>_xlfn.XLOOKUP($A7,Inputs!$A:$A,Inputs!L:L,,0)</f>
        <v>1978</v>
      </c>
      <c r="M7" s="53">
        <f>_xlfn.XLOOKUP($A7,Inputs!$A:$A,Inputs!M:M,,0)</f>
        <v>1235</v>
      </c>
    </row>
    <row r="8" spans="1:13">
      <c r="A8" s="112" t="s">
        <v>523</v>
      </c>
      <c r="B8" s="54">
        <f>IFERROR(B7/B$5,"-")</f>
        <v>0.46119929453262787</v>
      </c>
      <c r="C8" s="54">
        <f t="shared" ref="C8:M8" si="2">IFERROR(C7/C$5,"-")</f>
        <v>0.4492606245498072</v>
      </c>
      <c r="D8" s="54">
        <f t="shared" si="2"/>
        <v>0.48247535596933189</v>
      </c>
      <c r="E8" s="54">
        <f t="shared" si="2"/>
        <v>0.44525248386766364</v>
      </c>
      <c r="F8" s="54">
        <f t="shared" si="2"/>
        <v>0.42608824840291187</v>
      </c>
      <c r="G8" s="54">
        <f t="shared" si="2"/>
        <v>0.37791505791505792</v>
      </c>
      <c r="H8" s="54">
        <f t="shared" si="2"/>
        <v>0.34018656006091758</v>
      </c>
      <c r="I8" s="54">
        <f t="shared" si="2"/>
        <v>0.23361423220973782</v>
      </c>
      <c r="J8" s="54">
        <f t="shared" si="2"/>
        <v>0.27060886995740419</v>
      </c>
      <c r="K8" s="54">
        <f t="shared" si="2"/>
        <v>0.33399927351979658</v>
      </c>
      <c r="L8" s="54">
        <f t="shared" si="2"/>
        <v>0.37327797697678805</v>
      </c>
      <c r="M8" s="55">
        <f t="shared" si="2"/>
        <v>0.22777572851346367</v>
      </c>
    </row>
    <row r="9" spans="1:13">
      <c r="A9" s="111" t="s">
        <v>493</v>
      </c>
      <c r="B9" s="52">
        <f t="shared" ref="B9:M9" si="3">B5-B11</f>
        <v>22279</v>
      </c>
      <c r="C9" s="52">
        <f t="shared" si="3"/>
        <v>22337</v>
      </c>
      <c r="D9" s="52">
        <f t="shared" si="3"/>
        <v>12793</v>
      </c>
      <c r="E9" s="52">
        <f t="shared" si="3"/>
        <v>8448</v>
      </c>
      <c r="F9" s="52">
        <f t="shared" si="3"/>
        <v>6276</v>
      </c>
      <c r="G9" s="52">
        <f t="shared" si="3"/>
        <v>6036</v>
      </c>
      <c r="H9" s="52">
        <f t="shared" si="3"/>
        <v>5138</v>
      </c>
      <c r="I9" s="52">
        <f t="shared" si="3"/>
        <v>4712</v>
      </c>
      <c r="J9" s="52">
        <f t="shared" si="3"/>
        <v>4472</v>
      </c>
      <c r="K9" s="52">
        <f t="shared" si="3"/>
        <v>5722</v>
      </c>
      <c r="L9" s="52">
        <f t="shared" si="3"/>
        <v>5197</v>
      </c>
      <c r="M9" s="53">
        <f t="shared" si="3"/>
        <v>6482</v>
      </c>
    </row>
    <row r="10" spans="1:13">
      <c r="A10" s="112" t="s">
        <v>523</v>
      </c>
      <c r="B10" s="54">
        <f>IFERROR(B9/B$5,"-")</f>
        <v>0.98231922398589067</v>
      </c>
      <c r="C10" s="54">
        <f t="shared" ref="C10:M10" si="4">IFERROR(C9/C$5,"-")</f>
        <v>0.94644294733274015</v>
      </c>
      <c r="D10" s="54">
        <f t="shared" si="4"/>
        <v>0.77844712182061582</v>
      </c>
      <c r="E10" s="54">
        <f t="shared" si="4"/>
        <v>0.86530779473522479</v>
      </c>
      <c r="F10" s="54">
        <f t="shared" si="4"/>
        <v>0.93240231763482395</v>
      </c>
      <c r="G10" s="54">
        <f t="shared" si="4"/>
        <v>0.93220077220077224</v>
      </c>
      <c r="H10" s="54">
        <f t="shared" si="4"/>
        <v>0.97810774795355038</v>
      </c>
      <c r="I10" s="54">
        <f t="shared" si="4"/>
        <v>1.1029962546816479</v>
      </c>
      <c r="J10" s="54">
        <f t="shared" si="4"/>
        <v>1.1205211726384365</v>
      </c>
      <c r="K10" s="54">
        <f t="shared" si="4"/>
        <v>1.0392299309843807</v>
      </c>
      <c r="L10" s="54">
        <f t="shared" si="4"/>
        <v>0.98075108511039821</v>
      </c>
      <c r="M10" s="55">
        <f t="shared" si="4"/>
        <v>1.1954998155662118</v>
      </c>
    </row>
    <row r="11" spans="1:13">
      <c r="A11" s="111" t="s">
        <v>211</v>
      </c>
      <c r="B11" s="52">
        <f>_xlfn.XLOOKUP($A11,Inputs!$A:$A,Inputs!B:B,,0)</f>
        <v>401</v>
      </c>
      <c r="C11" s="52">
        <f>_xlfn.XLOOKUP($A11,Inputs!$A:$A,Inputs!C:C,,0)</f>
        <v>1264</v>
      </c>
      <c r="D11" s="52">
        <f>_xlfn.XLOOKUP($A11,Inputs!$A:$A,Inputs!D:D,,0)</f>
        <v>3641</v>
      </c>
      <c r="E11" s="52">
        <f>_xlfn.XLOOKUP($A11,Inputs!$A:$A,Inputs!E:E,,0)</f>
        <v>1315</v>
      </c>
      <c r="F11" s="52">
        <f>_xlfn.XLOOKUP($A11,Inputs!$A:$A,Inputs!F:F,,0)</f>
        <v>455</v>
      </c>
      <c r="G11" s="52">
        <f>_xlfn.XLOOKUP($A11,Inputs!$A:$A,Inputs!G:G,,0)</f>
        <v>439</v>
      </c>
      <c r="H11" s="52">
        <f>_xlfn.XLOOKUP($A11,Inputs!$A:$A,Inputs!H:H,,0)</f>
        <v>115</v>
      </c>
      <c r="I11" s="52">
        <f>_xlfn.XLOOKUP($A11,Inputs!$A:$A,Inputs!I:I,,0)</f>
        <v>-440</v>
      </c>
      <c r="J11" s="52">
        <f>_xlfn.XLOOKUP($A11,Inputs!$A:$A,Inputs!J:J,,0)</f>
        <v>-481</v>
      </c>
      <c r="K11" s="52">
        <f>_xlfn.XLOOKUP($A11,Inputs!$A:$A,Inputs!K:K,,0)</f>
        <v>-216</v>
      </c>
      <c r="L11" s="52">
        <f>_xlfn.XLOOKUP($A11,Inputs!$A:$A,Inputs!L:L,,0)</f>
        <v>102</v>
      </c>
      <c r="M11" s="53">
        <f>_xlfn.XLOOKUP($A11,Inputs!$A:$A,Inputs!M:M,,0)</f>
        <v>-1060</v>
      </c>
    </row>
    <row r="12" spans="1:13">
      <c r="A12" s="112" t="s">
        <v>88</v>
      </c>
      <c r="B12" s="54">
        <f t="shared" ref="B12:M12" si="5">IFERROR(B11/B$5,"-")</f>
        <v>1.7680776014109348E-2</v>
      </c>
      <c r="C12" s="54">
        <f t="shared" si="5"/>
        <v>5.3557052667259859E-2</v>
      </c>
      <c r="D12" s="54">
        <f t="shared" si="5"/>
        <v>0.22155287817938421</v>
      </c>
      <c r="E12" s="54">
        <f t="shared" si="5"/>
        <v>0.13469220526477518</v>
      </c>
      <c r="F12" s="54">
        <f t="shared" si="5"/>
        <v>6.7597682365176048E-2</v>
      </c>
      <c r="G12" s="54">
        <f t="shared" si="5"/>
        <v>6.7799227799227799E-2</v>
      </c>
      <c r="H12" s="54">
        <f t="shared" si="5"/>
        <v>2.1892252046449647E-2</v>
      </c>
      <c r="I12" s="54">
        <f t="shared" si="5"/>
        <v>-0.10299625468164794</v>
      </c>
      <c r="J12" s="54">
        <f t="shared" si="5"/>
        <v>-0.12052117263843648</v>
      </c>
      <c r="K12" s="54">
        <f t="shared" si="5"/>
        <v>-3.9229930984380677E-2</v>
      </c>
      <c r="L12" s="54">
        <f t="shared" si="5"/>
        <v>1.9248914889601811E-2</v>
      </c>
      <c r="M12" s="55">
        <f t="shared" si="5"/>
        <v>-0.19549981556621174</v>
      </c>
    </row>
    <row r="13" spans="1:13">
      <c r="A13" s="111" t="s">
        <v>524</v>
      </c>
      <c r="B13" s="54">
        <f t="shared" ref="B13" si="6">IFERROR(B12/C12-1,"-")</f>
        <v>-0.66987025735047889</v>
      </c>
      <c r="C13" s="54">
        <f t="shared" ref="C13" si="7">IFERROR(C12/D12-1,"-")</f>
        <v>-0.75826514596711103</v>
      </c>
      <c r="D13" s="54">
        <f t="shared" ref="D13" si="8">IFERROR(D12/E12-1,"-")</f>
        <v>0.64488269936526832</v>
      </c>
      <c r="E13" s="54">
        <f t="shared" ref="E13" si="9">IFERROR(E12/F12-1,"-")</f>
        <v>0.99255655744439952</v>
      </c>
      <c r="F13" s="54">
        <f t="shared" ref="F13" si="10">IFERROR(F12/G12-1,"-")</f>
        <v>-2.9726803769591914E-3</v>
      </c>
      <c r="G13" s="54">
        <f t="shared" ref="G13" si="11">IFERROR(G12/H12-1,"-")</f>
        <v>2.0969508141682054</v>
      </c>
      <c r="H13" s="54">
        <f t="shared" ref="H13" si="12">IFERROR(H12/I12-1,"-")</f>
        <v>-1.2125538653237111</v>
      </c>
      <c r="I13" s="54">
        <f t="shared" ref="I13" si="13">IFERROR(I12/J12-1,"-")</f>
        <v>-0.1454094543982184</v>
      </c>
      <c r="J13" s="54">
        <f t="shared" ref="J13" si="14">IFERROR(J12/K12-1,"-")</f>
        <v>2.0721739654964408</v>
      </c>
      <c r="K13" s="54">
        <f t="shared" ref="K13" si="15">IFERROR(K12/L12-1,"-")</f>
        <v>-3.0380333753552278</v>
      </c>
      <c r="L13" s="54">
        <f t="shared" ref="L13" si="16">IFERROR(L12/M12-1,"-")</f>
        <v>-1.0984600155956803</v>
      </c>
      <c r="M13" s="55" t="str">
        <f>IFERROR(M12/#REF!-1,"-")</f>
        <v>-</v>
      </c>
    </row>
    <row r="14" spans="1:13">
      <c r="A14" s="113" t="s">
        <v>212</v>
      </c>
      <c r="B14" s="52">
        <f>_xlfn.XLOOKUP($A14,Inputs!$A:$A,Inputs!B:B,,0)</f>
        <v>99</v>
      </c>
      <c r="C14" s="52">
        <f>_xlfn.XLOOKUP($A14,Inputs!$A:$A,Inputs!C:C,,0)</f>
        <v>-85</v>
      </c>
      <c r="D14" s="52">
        <f>_xlfn.XLOOKUP($A14,Inputs!$A:$A,Inputs!D:D,,0)</f>
        <v>30</v>
      </c>
      <c r="E14" s="52">
        <f>_xlfn.XLOOKUP($A14,Inputs!$A:$A,Inputs!E:E,,0)</f>
        <v>-39</v>
      </c>
      <c r="F14" s="52">
        <f>_xlfn.XLOOKUP($A14,Inputs!$A:$A,Inputs!F:F,,0)</f>
        <v>-80</v>
      </c>
      <c r="G14" s="52">
        <f>_xlfn.XLOOKUP($A14,Inputs!$A:$A,Inputs!G:G,,0)</f>
        <v>-106</v>
      </c>
      <c r="H14" s="52">
        <f>_xlfn.XLOOKUP($A14,Inputs!$A:$A,Inputs!H:H,,0)</f>
        <v>-123</v>
      </c>
      <c r="I14" s="52">
        <f>_xlfn.XLOOKUP($A14,Inputs!$A:$A,Inputs!I:I,,0)</f>
        <v>-153</v>
      </c>
      <c r="J14" s="52">
        <f>_xlfn.XLOOKUP($A14,Inputs!$A:$A,Inputs!J:J,,0)</f>
        <v>-163</v>
      </c>
      <c r="K14" s="52">
        <f>_xlfn.XLOOKUP($A14,Inputs!$A:$A,Inputs!K:K,,0)</f>
        <v>-177</v>
      </c>
      <c r="L14" s="52">
        <f>_xlfn.XLOOKUP($A14,Inputs!$A:$A,Inputs!L:L,,0)</f>
        <v>-174</v>
      </c>
      <c r="M14" s="53">
        <f>_xlfn.XLOOKUP($A14,Inputs!$A:$A,Inputs!M:M,,0)</f>
        <v>-167</v>
      </c>
    </row>
    <row r="15" spans="1:13">
      <c r="A15" s="111" t="s">
        <v>525</v>
      </c>
      <c r="B15" s="52">
        <f>_xlfn.XLOOKUP($A15,Inputs!$A:$A,Inputs!B:B,,0)</f>
        <v>8</v>
      </c>
      <c r="C15" s="52">
        <f>_xlfn.XLOOKUP($A15,Inputs!$A:$A,Inputs!C:C,,0)</f>
        <v>19</v>
      </c>
      <c r="D15" s="52">
        <f>_xlfn.XLOOKUP($A15,Inputs!$A:$A,Inputs!D:D,,0)</f>
        <v>4</v>
      </c>
      <c r="E15" s="52">
        <f>_xlfn.XLOOKUP($A15,Inputs!$A:$A,Inputs!E:E,,0)</f>
        <v>4</v>
      </c>
      <c r="F15" s="52">
        <f>_xlfn.XLOOKUP($A15,Inputs!$A:$A,Inputs!F:F,,0)</f>
        <v>10</v>
      </c>
      <c r="G15" s="52">
        <f>_xlfn.XLOOKUP($A15,Inputs!$A:$A,Inputs!G:G,,0)</f>
        <v>-18</v>
      </c>
      <c r="H15" s="52">
        <f>_xlfn.XLOOKUP($A15,Inputs!$A:$A,Inputs!H:H,,0)</f>
        <v>1123</v>
      </c>
      <c r="I15" s="52">
        <f>_xlfn.XLOOKUP($A15,Inputs!$A:$A,Inputs!I:I,,0)</f>
        <v>135</v>
      </c>
      <c r="J15" s="52">
        <f>_xlfn.XLOOKUP($A15,Inputs!$A:$A,Inputs!J:J,,0)</f>
        <v>-2</v>
      </c>
      <c r="K15" s="52">
        <f>_xlfn.XLOOKUP($A15,Inputs!$A:$A,Inputs!K:K,,0)</f>
        <v>-5</v>
      </c>
      <c r="L15" s="52">
        <f>_xlfn.XLOOKUP($A15,Inputs!$A:$A,Inputs!L:L,,0)</f>
        <v>-2</v>
      </c>
      <c r="M15" s="53">
        <f>_xlfn.XLOOKUP($A15,Inputs!$A:$A,Inputs!M:M,,0)</f>
        <v>10</v>
      </c>
    </row>
    <row r="16" spans="1:13">
      <c r="A16" s="113" t="s">
        <v>38</v>
      </c>
      <c r="B16" s="52">
        <f>B11-B15</f>
        <v>393</v>
      </c>
      <c r="C16" s="52">
        <f t="shared" ref="C16:M16" si="17">C11-C15</f>
        <v>1245</v>
      </c>
      <c r="D16" s="52">
        <f t="shared" si="17"/>
        <v>3637</v>
      </c>
      <c r="E16" s="52">
        <f t="shared" si="17"/>
        <v>1311</v>
      </c>
      <c r="F16" s="52">
        <f t="shared" si="17"/>
        <v>445</v>
      </c>
      <c r="G16" s="52">
        <f t="shared" si="17"/>
        <v>457</v>
      </c>
      <c r="H16" s="52">
        <f t="shared" si="17"/>
        <v>-1008</v>
      </c>
      <c r="I16" s="52">
        <f t="shared" si="17"/>
        <v>-575</v>
      </c>
      <c r="J16" s="52">
        <f t="shared" si="17"/>
        <v>-479</v>
      </c>
      <c r="K16" s="52">
        <f t="shared" si="17"/>
        <v>-211</v>
      </c>
      <c r="L16" s="52">
        <f t="shared" si="17"/>
        <v>104</v>
      </c>
      <c r="M16" s="53">
        <f t="shared" si="17"/>
        <v>-1070</v>
      </c>
    </row>
    <row r="17" spans="1:13">
      <c r="A17" s="111" t="s">
        <v>34</v>
      </c>
      <c r="B17" s="52">
        <f>_xlfn.XLOOKUP($A17,Inputs!$A:$A,Inputs!B:B,,0)</f>
        <v>3453</v>
      </c>
      <c r="C17" s="52">
        <f>_xlfn.XLOOKUP($A17,Inputs!$A:$A,Inputs!C:C,,0)</f>
        <v>4174</v>
      </c>
      <c r="D17" s="52">
        <f>_xlfn.XLOOKUP($A17,Inputs!$A:$A,Inputs!D:D,,0)</f>
        <v>407</v>
      </c>
      <c r="E17" s="52">
        <f>_xlfn.XLOOKUP($A17,Inputs!$A:$A,Inputs!E:E,,0)</f>
        <v>312</v>
      </c>
      <c r="F17" s="52">
        <f>_xlfn.XLOOKUP($A17,Inputs!$A:$A,Inputs!F:F,,0)</f>
        <v>222</v>
      </c>
      <c r="G17" s="52">
        <f>_xlfn.XLOOKUP($A17,Inputs!$A:$A,Inputs!G:G,,0)</f>
        <v>170</v>
      </c>
      <c r="H17" s="52">
        <f>_xlfn.XLOOKUP($A17,Inputs!$A:$A,Inputs!H:H,,0)</f>
        <v>144</v>
      </c>
      <c r="I17" s="52">
        <f>_xlfn.XLOOKUP($A17,Inputs!$A:$A,Inputs!I:I,,0)</f>
        <v>133</v>
      </c>
      <c r="J17" s="52">
        <f>_xlfn.XLOOKUP($A17,Inputs!$A:$A,Inputs!J:J,,0)</f>
        <v>167</v>
      </c>
      <c r="K17" s="52">
        <f>_xlfn.XLOOKUP($A17,Inputs!$A:$A,Inputs!K:K,,0)</f>
        <v>203</v>
      </c>
      <c r="L17" s="52">
        <f>_xlfn.XLOOKUP($A17,Inputs!$A:$A,Inputs!L:L,,0)</f>
        <v>236</v>
      </c>
      <c r="M17" s="53">
        <f>_xlfn.XLOOKUP($A17,Inputs!$A:$A,Inputs!M:M,,0)</f>
        <v>260</v>
      </c>
    </row>
    <row r="18" spans="1:13">
      <c r="A18" s="113" t="s">
        <v>526</v>
      </c>
      <c r="B18" s="52">
        <f>_xlfn.XLOOKUP($A18,Inputs!$A:$A,Inputs!B:B,,0)</f>
        <v>2331</v>
      </c>
      <c r="C18" s="52">
        <f>_xlfn.XLOOKUP($A18,Inputs!$A:$A,Inputs!C:C,,0)</f>
        <v>2007</v>
      </c>
      <c r="D18" s="52">
        <f>_xlfn.XLOOKUP($A18,Inputs!$A:$A,Inputs!D:D,,0)</f>
        <v>-323</v>
      </c>
      <c r="E18" s="52">
        <f>_xlfn.XLOOKUP($A18,Inputs!$A:$A,Inputs!E:E,,0)</f>
        <v>1359</v>
      </c>
      <c r="F18" s="52">
        <f>_xlfn.XLOOKUP($A18,Inputs!$A:$A,Inputs!F:F,,0)</f>
        <v>294</v>
      </c>
      <c r="G18" s="52">
        <f>_xlfn.XLOOKUP($A18,Inputs!$A:$A,Inputs!G:G,,0)</f>
        <v>542</v>
      </c>
      <c r="H18" s="52">
        <f>_xlfn.XLOOKUP($A18,Inputs!$A:$A,Inputs!H:H,,0)</f>
        <v>16</v>
      </c>
      <c r="I18" s="52">
        <f>_xlfn.XLOOKUP($A18,Inputs!$A:$A,Inputs!I:I,,0)</f>
        <v>-212</v>
      </c>
      <c r="J18" s="52">
        <f>_xlfn.XLOOKUP($A18,Inputs!$A:$A,Inputs!J:J,,0)</f>
        <v>-359</v>
      </c>
      <c r="K18" s="52">
        <f>_xlfn.XLOOKUP($A18,Inputs!$A:$A,Inputs!K:K,,0)</f>
        <v>94</v>
      </c>
      <c r="L18" s="52">
        <f>_xlfn.XLOOKUP($A18,Inputs!$A:$A,Inputs!L:L,,0)</f>
        <v>78</v>
      </c>
      <c r="M18" s="53">
        <f>_xlfn.XLOOKUP($A18,Inputs!$A:$A,Inputs!M:M,,0)</f>
        <v>319</v>
      </c>
    </row>
    <row r="19" spans="1:13">
      <c r="A19" s="111" t="s">
        <v>30</v>
      </c>
      <c r="B19" s="52">
        <f>B11-B15+B17</f>
        <v>3846</v>
      </c>
      <c r="C19" s="52">
        <f t="shared" ref="C19:M19" si="18">C11-C15+C17</f>
        <v>5419</v>
      </c>
      <c r="D19" s="52">
        <f t="shared" si="18"/>
        <v>4044</v>
      </c>
      <c r="E19" s="52">
        <f t="shared" si="18"/>
        <v>1623</v>
      </c>
      <c r="F19" s="52">
        <f t="shared" si="18"/>
        <v>667</v>
      </c>
      <c r="G19" s="52">
        <f t="shared" si="18"/>
        <v>627</v>
      </c>
      <c r="H19" s="52">
        <f t="shared" si="18"/>
        <v>-864</v>
      </c>
      <c r="I19" s="52">
        <f t="shared" si="18"/>
        <v>-442</v>
      </c>
      <c r="J19" s="52">
        <f t="shared" si="18"/>
        <v>-312</v>
      </c>
      <c r="K19" s="52">
        <f t="shared" si="18"/>
        <v>-8</v>
      </c>
      <c r="L19" s="52">
        <f t="shared" si="18"/>
        <v>340</v>
      </c>
      <c r="M19" s="53">
        <f t="shared" si="18"/>
        <v>-810</v>
      </c>
    </row>
    <row r="20" spans="1:13">
      <c r="A20" s="112" t="s">
        <v>527</v>
      </c>
      <c r="B20" s="54">
        <f t="shared" ref="B20" si="19">IFERROR(B19/B$5,"-")</f>
        <v>0.16957671957671958</v>
      </c>
      <c r="C20" s="54">
        <f t="shared" ref="C20" si="20">IFERROR(C19/C$5,"-")</f>
        <v>0.2296089148764883</v>
      </c>
      <c r="D20" s="54">
        <f t="shared" ref="D20" si="21">IFERROR(D19/D$5,"-")</f>
        <v>0.24607520993063162</v>
      </c>
      <c r="E20" s="54">
        <f t="shared" ref="E20" si="22">IFERROR(E19/E$5,"-")</f>
        <v>0.16623988528116357</v>
      </c>
      <c r="F20" s="54">
        <f t="shared" ref="F20" si="23">IFERROR(F19/F$5,"-")</f>
        <v>9.9093745357302032E-2</v>
      </c>
      <c r="G20" s="54">
        <f t="shared" ref="G20" si="24">IFERROR(G19/G$5,"-")</f>
        <v>9.6833976833976834E-2</v>
      </c>
      <c r="H20" s="54">
        <f t="shared" ref="H20" si="25">IFERROR(H19/H$5,"-")</f>
        <v>-0.1644774414620217</v>
      </c>
      <c r="I20" s="54">
        <f t="shared" ref="I20" si="26">IFERROR(I19/I$5,"-")</f>
        <v>-0.10346441947565543</v>
      </c>
      <c r="J20" s="54">
        <f t="shared" ref="J20" si="27">IFERROR(J19/J$5,"-")</f>
        <v>-7.8175895765472306E-2</v>
      </c>
      <c r="K20" s="54">
        <f t="shared" ref="K20" si="28">IFERROR(K19/K$5,"-")</f>
        <v>-1.452960406828914E-3</v>
      </c>
      <c r="L20" s="54">
        <f t="shared" ref="L20" si="29">IFERROR(L19/L$5,"-")</f>
        <v>6.4163049632006044E-2</v>
      </c>
      <c r="M20" s="55">
        <f t="shared" ref="M20" si="30">IFERROR(M19/M$5,"-")</f>
        <v>-0.14939136849870896</v>
      </c>
    </row>
    <row r="21" spans="1:13">
      <c r="A21" s="111" t="s">
        <v>213</v>
      </c>
      <c r="B21" s="52">
        <f>_xlfn.XLOOKUP($A21,Inputs!$A:$A,Inputs!B:B,,0)</f>
        <v>346</v>
      </c>
      <c r="C21" s="52">
        <f>_xlfn.XLOOKUP($A21,Inputs!$A:$A,Inputs!C:C,,0)</f>
        <v>122</v>
      </c>
      <c r="D21" s="52">
        <f>_xlfn.XLOOKUP($A21,Inputs!$A:$A,Inputs!D:D,,0)</f>
        <v>-513</v>
      </c>
      <c r="E21" s="52">
        <f>_xlfn.XLOOKUP($A21,Inputs!$A:$A,Inputs!E:E,,0)</f>
        <v>1210</v>
      </c>
      <c r="F21" s="52">
        <f>_xlfn.XLOOKUP($A21,Inputs!$A:$A,Inputs!F:F,,0)</f>
        <v>-44</v>
      </c>
      <c r="G21" s="52">
        <f>_xlfn.XLOOKUP($A21,Inputs!$A:$A,Inputs!G:G,,0)</f>
        <v>22</v>
      </c>
      <c r="H21" s="52">
        <f>_xlfn.XLOOKUP($A21,Inputs!$A:$A,Inputs!H:H,,0)</f>
        <v>-1148</v>
      </c>
      <c r="I21" s="52">
        <f>_xlfn.XLOOKUP($A21,Inputs!$A:$A,Inputs!I:I,,0)</f>
        <v>-39</v>
      </c>
      <c r="J21" s="52">
        <f>_xlfn.XLOOKUP($A21,Inputs!$A:$A,Inputs!J:J,,0)</f>
        <v>-14</v>
      </c>
      <c r="K21" s="52">
        <f>_xlfn.XLOOKUP($A21,Inputs!$A:$A,Inputs!K:K,,0)</f>
        <v>-5</v>
      </c>
      <c r="L21" s="52">
        <f>_xlfn.XLOOKUP($A21,Inputs!$A:$A,Inputs!L:L,,0)</f>
        <v>-9</v>
      </c>
      <c r="M21" s="53">
        <f>_xlfn.XLOOKUP($A21,Inputs!$A:$A,Inputs!M:M,,0)</f>
        <v>34</v>
      </c>
    </row>
    <row r="22" spans="1:13">
      <c r="A22" s="112" t="s">
        <v>528</v>
      </c>
      <c r="B22" s="54">
        <f t="shared" ref="B22" si="31">IFERROR(B21/B$5,"-")</f>
        <v>1.525573192239859E-2</v>
      </c>
      <c r="C22" s="54">
        <f t="shared" ref="C22" si="32">IFERROR(C21/C$5,"-")</f>
        <v>5.1692724884538788E-3</v>
      </c>
      <c r="D22" s="54">
        <f t="shared" ref="D22" si="33">IFERROR(D21/D$5,"-")</f>
        <v>-3.12157721796276E-2</v>
      </c>
      <c r="E22" s="54">
        <f t="shared" ref="E22" si="34">IFERROR(E21/E$5,"-")</f>
        <v>0.12393731435009731</v>
      </c>
      <c r="F22" s="54">
        <f t="shared" ref="F22" si="35">IFERROR(F21/F$5,"-")</f>
        <v>-6.536918734214827E-3</v>
      </c>
      <c r="G22" s="54">
        <f t="shared" ref="G22" si="36">IFERROR(G21/G$5,"-")</f>
        <v>3.3976833976833978E-3</v>
      </c>
      <c r="H22" s="54">
        <f t="shared" ref="H22" si="37">IFERROR(H21/H$5,"-")</f>
        <v>-0.21854178564629737</v>
      </c>
      <c r="I22" s="54">
        <f t="shared" ref="I22" si="38">IFERROR(I21/I$5,"-")</f>
        <v>-9.1292134831460672E-3</v>
      </c>
      <c r="J22" s="54">
        <f t="shared" ref="J22" si="39">IFERROR(J21/J$5,"-")</f>
        <v>-3.5078927587070909E-3</v>
      </c>
      <c r="K22" s="54">
        <f t="shared" ref="K22" si="40">IFERROR(K21/K$5,"-")</f>
        <v>-9.0810025426807123E-4</v>
      </c>
      <c r="L22" s="54">
        <f t="shared" ref="L22" si="41">IFERROR(L21/L$5,"-")</f>
        <v>-1.6984336667295716E-3</v>
      </c>
      <c r="M22" s="55">
        <f t="shared" ref="M22" si="42">IFERROR(M21/M$5,"-")</f>
        <v>6.270748801180376E-3</v>
      </c>
    </row>
    <row r="23" spans="1:13">
      <c r="A23" s="111" t="s">
        <v>42</v>
      </c>
      <c r="B23" s="52">
        <f>_xlfn.XLOOKUP($A23,Inputs!$A:$A,Inputs!B:B,,0)</f>
        <v>854</v>
      </c>
      <c r="C23" s="52">
        <f>_xlfn.XLOOKUP($A23,Inputs!$A:$A,Inputs!C:C,,0)</f>
        <v>1320</v>
      </c>
      <c r="D23" s="52">
        <f>_xlfn.XLOOKUP($A23,Inputs!$A:$A,Inputs!D:D,,0)</f>
        <v>3162</v>
      </c>
      <c r="E23" s="52">
        <f>_xlfn.XLOOKUP($A23,Inputs!$A:$A,Inputs!E:E,,0)</f>
        <v>2490</v>
      </c>
      <c r="F23" s="52">
        <f>_xlfn.XLOOKUP($A23,Inputs!$A:$A,Inputs!F:F,,0)</f>
        <v>341</v>
      </c>
      <c r="G23" s="52">
        <f>_xlfn.XLOOKUP($A23,Inputs!$A:$A,Inputs!G:G,,0)</f>
        <v>337</v>
      </c>
      <c r="H23" s="52">
        <f>_xlfn.XLOOKUP($A23,Inputs!$A:$A,Inputs!H:H,,0)</f>
        <v>-33</v>
      </c>
      <c r="I23" s="52">
        <f>_xlfn.XLOOKUP($A23,Inputs!$A:$A,Inputs!I:I,,0)</f>
        <v>-497</v>
      </c>
      <c r="J23" s="52">
        <f>_xlfn.XLOOKUP($A23,Inputs!$A:$A,Inputs!J:J,,0)</f>
        <v>-660</v>
      </c>
      <c r="K23" s="52">
        <f>_xlfn.XLOOKUP($A23,Inputs!$A:$A,Inputs!K:K,,0)</f>
        <v>-403</v>
      </c>
      <c r="L23" s="52">
        <f>_xlfn.XLOOKUP($A23,Inputs!$A:$A,Inputs!L:L,,0)</f>
        <v>-83</v>
      </c>
      <c r="M23" s="53">
        <f>_xlfn.XLOOKUP($A23,Inputs!$A:$A,Inputs!M:M,,0)</f>
        <v>-1183</v>
      </c>
    </row>
    <row r="24" spans="1:13">
      <c r="A24" s="112" t="s">
        <v>174</v>
      </c>
      <c r="B24" s="54">
        <f t="shared" ref="B24" si="43">IFERROR(B23/B$5,"-")</f>
        <v>3.7654320987654324E-2</v>
      </c>
      <c r="C24" s="54">
        <f t="shared" ref="C24" si="44">IFERROR(C23/C$5,"-")</f>
        <v>5.5929833481632135E-2</v>
      </c>
      <c r="D24" s="54">
        <f t="shared" ref="D24" si="45">IFERROR(D23/D$5,"-")</f>
        <v>0.19240598758671049</v>
      </c>
      <c r="E24" s="54">
        <f t="shared" ref="E24" si="46">IFERROR(E23/E$5,"-")</f>
        <v>0.25504455597664655</v>
      </c>
      <c r="F24" s="54">
        <f t="shared" ref="F24" si="47">IFERROR(F23/F$5,"-")</f>
        <v>5.0661120190164909E-2</v>
      </c>
      <c r="G24" s="54">
        <f t="shared" ref="G24" si="48">IFERROR(G23/G$5,"-")</f>
        <v>5.2046332046332043E-2</v>
      </c>
      <c r="H24" s="54">
        <f t="shared" ref="H24" si="49">IFERROR(H23/H$5,"-")</f>
        <v>-6.2821245002855509E-3</v>
      </c>
      <c r="I24" s="54">
        <f t="shared" ref="I24" si="50">IFERROR(I23/I$5,"-")</f>
        <v>-0.11633895131086143</v>
      </c>
      <c r="J24" s="54">
        <f t="shared" ref="J24" si="51">IFERROR(J23/J$5,"-")</f>
        <v>-0.16537208719619143</v>
      </c>
      <c r="K24" s="54">
        <f t="shared" ref="K24" si="52">IFERROR(K23/K$5,"-")</f>
        <v>-7.3192880494006532E-2</v>
      </c>
      <c r="L24" s="54">
        <f t="shared" ref="L24" si="53">IFERROR(L23/L$5,"-")</f>
        <v>-1.5663332704283828E-2</v>
      </c>
      <c r="M24" s="55">
        <f t="shared" ref="M24" si="54">IFERROR(M23/M$5,"-")</f>
        <v>-0.21818517152342309</v>
      </c>
    </row>
    <row r="25" spans="1:13">
      <c r="A25" s="111" t="s">
        <v>522</v>
      </c>
      <c r="B25" s="54">
        <f t="shared" ref="B25" si="55">IFERROR(B24/C24-1,"-")</f>
        <v>-0.32675785634118959</v>
      </c>
      <c r="C25" s="54">
        <f t="shared" ref="C25" si="56">IFERROR(C24/D24-1,"-")</f>
        <v>-0.70931344609831037</v>
      </c>
      <c r="D25" s="54">
        <f t="shared" ref="D25" si="57">IFERROR(D24/E24-1,"-")</f>
        <v>-0.24559853140198618</v>
      </c>
      <c r="E25" s="54">
        <f t="shared" ref="E25" si="58">IFERROR(E24/F24-1,"-")</f>
        <v>4.0343252383542758</v>
      </c>
      <c r="F25" s="54">
        <f t="shared" ref="F25" si="59">IFERROR(F24/G24-1,"-")</f>
        <v>-2.6614975574724586E-2</v>
      </c>
      <c r="G25" s="54">
        <f t="shared" ref="G25" si="60">IFERROR(G24/H24-1,"-")</f>
        <v>-9.2848297648297642</v>
      </c>
      <c r="H25" s="54">
        <f t="shared" ref="H25" si="61">IFERROR(H24/I24-1,"-")</f>
        <v>-0.94600153749452742</v>
      </c>
      <c r="I25" s="54">
        <f t="shared" ref="I25" si="62">IFERROR(I24/J24-1,"-")</f>
        <v>-0.29650188684598788</v>
      </c>
      <c r="J25" s="54">
        <f t="shared" ref="J25" si="63">IFERROR(J24/K24-1,"-")</f>
        <v>1.2594012707251365</v>
      </c>
      <c r="K25" s="54">
        <f t="shared" ref="K25" si="64">IFERROR(K24/L24-1,"-")</f>
        <v>3.6728804064788028</v>
      </c>
      <c r="L25" s="54">
        <f t="shared" ref="L25" si="65">IFERROR(L24/M24-1,"-")</f>
        <v>-0.92821082846777103</v>
      </c>
      <c r="M25" s="55" t="str">
        <f>IFERROR(M24/#REF!-1,"-")</f>
        <v>-</v>
      </c>
    </row>
    <row r="26" spans="1:13">
      <c r="A26" s="112" t="s">
        <v>529</v>
      </c>
      <c r="B26" s="56">
        <f>B39-C39</f>
        <v>-902</v>
      </c>
      <c r="C26" s="56">
        <f t="shared" ref="C26:M26" si="66">C39-D39</f>
        <v>2300</v>
      </c>
      <c r="D26" s="56">
        <f t="shared" si="66"/>
        <v>940</v>
      </c>
      <c r="E26" s="56">
        <f t="shared" si="66"/>
        <v>129</v>
      </c>
      <c r="F26" s="56">
        <f t="shared" si="66"/>
        <v>388</v>
      </c>
      <c r="G26" s="56">
        <f t="shared" si="66"/>
        <v>-107</v>
      </c>
      <c r="H26" s="56">
        <f t="shared" si="66"/>
        <v>-79</v>
      </c>
      <c r="I26" s="56">
        <f t="shared" si="66"/>
        <v>479</v>
      </c>
      <c r="J26" s="56">
        <f t="shared" si="66"/>
        <v>-20</v>
      </c>
      <c r="K26" s="56">
        <f t="shared" si="66"/>
        <v>-64</v>
      </c>
      <c r="L26" s="56">
        <f t="shared" si="66"/>
        <v>320</v>
      </c>
      <c r="M26" s="53">
        <f t="shared" si="66"/>
        <v>549</v>
      </c>
    </row>
    <row r="27" spans="1:13">
      <c r="A27" s="111" t="s">
        <v>98</v>
      </c>
      <c r="B27" s="52">
        <f>_xlfn.XLOOKUP($A27,Inputs!$A:$A,Inputs!B:B,,0)</f>
        <v>0</v>
      </c>
      <c r="C27" s="52">
        <f>_xlfn.XLOOKUP($A27,Inputs!$A:$A,Inputs!C:C,,0)</f>
        <v>0</v>
      </c>
      <c r="D27" s="52">
        <f>_xlfn.XLOOKUP($A27,Inputs!$A:$A,Inputs!D:D,,0)</f>
        <v>0</v>
      </c>
      <c r="E27" s="52">
        <f>_xlfn.XLOOKUP($A27,Inputs!$A:$A,Inputs!E:E,,0)</f>
        <v>0</v>
      </c>
      <c r="F27" s="52">
        <f>_xlfn.XLOOKUP($A27,Inputs!$A:$A,Inputs!F:F,,0)</f>
        <v>0</v>
      </c>
      <c r="G27" s="52">
        <f>_xlfn.XLOOKUP($A27,Inputs!$A:$A,Inputs!G:G,,0)</f>
        <v>0</v>
      </c>
      <c r="H27" s="52">
        <f>_xlfn.XLOOKUP($A27,Inputs!$A:$A,Inputs!H:H,,0)</f>
        <v>0</v>
      </c>
      <c r="I27" s="52">
        <f>_xlfn.XLOOKUP($A27,Inputs!$A:$A,Inputs!I:I,,0)</f>
        <v>0</v>
      </c>
      <c r="J27" s="52">
        <f>_xlfn.XLOOKUP($A27,Inputs!$A:$A,Inputs!J:J,,0)</f>
        <v>0</v>
      </c>
      <c r="K27" s="52">
        <f>_xlfn.XLOOKUP($A27,Inputs!$A:$A,Inputs!K:K,,0)</f>
        <v>0</v>
      </c>
      <c r="L27" s="52">
        <f>_xlfn.XLOOKUP($A27,Inputs!$A:$A,Inputs!L:L,,0)</f>
        <v>0</v>
      </c>
      <c r="M27" s="53">
        <f>_xlfn.XLOOKUP($A27,Inputs!$A:$A,Inputs!M:M,,0)</f>
        <v>0</v>
      </c>
    </row>
    <row r="28" spans="1:13">
      <c r="A28" s="113" t="s">
        <v>530</v>
      </c>
      <c r="B28" s="52">
        <f>_xlfn.XLOOKUP($A28,Inputs!$A:$A,Inputs!B:B,,0)</f>
        <v>-985</v>
      </c>
      <c r="C28" s="52">
        <f>_xlfn.XLOOKUP($A28,Inputs!$A:$A,Inputs!C:C,,0)</f>
        <v>-3702</v>
      </c>
      <c r="D28" s="52">
        <f>_xlfn.XLOOKUP($A28,Inputs!$A:$A,Inputs!D:D,,0)</f>
        <v>-1762</v>
      </c>
      <c r="E28" s="52">
        <f>_xlfn.XLOOKUP($A28,Inputs!$A:$A,Inputs!E:E,,0)</f>
        <v>0</v>
      </c>
      <c r="F28" s="52">
        <f>_xlfn.XLOOKUP($A28,Inputs!$A:$A,Inputs!F:F,,0)</f>
        <v>0</v>
      </c>
      <c r="G28" s="52">
        <f>_xlfn.XLOOKUP($A28,Inputs!$A:$A,Inputs!G:G,,0)</f>
        <v>0</v>
      </c>
      <c r="H28" s="52">
        <f>_xlfn.XLOOKUP($A28,Inputs!$A:$A,Inputs!H:H,,0)</f>
        <v>0</v>
      </c>
      <c r="I28" s="52">
        <f>_xlfn.XLOOKUP($A28,Inputs!$A:$A,Inputs!I:I,,0)</f>
        <v>0</v>
      </c>
      <c r="J28" s="52">
        <f>_xlfn.XLOOKUP($A28,Inputs!$A:$A,Inputs!J:J,,0)</f>
        <v>0</v>
      </c>
      <c r="K28" s="52">
        <f>_xlfn.XLOOKUP($A28,Inputs!$A:$A,Inputs!K:K,,0)</f>
        <v>0</v>
      </c>
      <c r="L28" s="52">
        <f>_xlfn.XLOOKUP($A28,Inputs!$A:$A,Inputs!L:L,,0)</f>
        <v>0</v>
      </c>
      <c r="M28" s="53">
        <f>_xlfn.XLOOKUP($A28,Inputs!$A:$A,Inputs!M:M,,0)</f>
        <v>0</v>
      </c>
    </row>
    <row r="29" spans="1:13">
      <c r="A29" s="111" t="s">
        <v>90</v>
      </c>
      <c r="B29" s="56">
        <f>SUM(B26:B28)</f>
        <v>-1887</v>
      </c>
      <c r="C29" s="56">
        <f t="shared" ref="C29:M29" si="67">SUM(C26:C28)</f>
        <v>-1402</v>
      </c>
      <c r="D29" s="56">
        <f t="shared" si="67"/>
        <v>-822</v>
      </c>
      <c r="E29" s="56">
        <f t="shared" si="67"/>
        <v>129</v>
      </c>
      <c r="F29" s="56">
        <f t="shared" si="67"/>
        <v>388</v>
      </c>
      <c r="G29" s="56">
        <f t="shared" si="67"/>
        <v>-107</v>
      </c>
      <c r="H29" s="56">
        <f t="shared" si="67"/>
        <v>-79</v>
      </c>
      <c r="I29" s="56">
        <f t="shared" si="67"/>
        <v>479</v>
      </c>
      <c r="J29" s="56">
        <f t="shared" si="67"/>
        <v>-20</v>
      </c>
      <c r="K29" s="56">
        <f t="shared" si="67"/>
        <v>-64</v>
      </c>
      <c r="L29" s="56">
        <f t="shared" si="67"/>
        <v>320</v>
      </c>
      <c r="M29" s="53">
        <f t="shared" si="67"/>
        <v>549</v>
      </c>
    </row>
    <row r="30" spans="1:13">
      <c r="A30" s="113" t="s">
        <v>531</v>
      </c>
      <c r="B30" s="56">
        <f>+B29-(B58-C29)</f>
        <v>-5541</v>
      </c>
      <c r="C30" s="56">
        <f t="shared" ref="C30:M30" si="68">+C29-(C58-D29)</f>
        <v>-5087</v>
      </c>
      <c r="D30" s="56">
        <f t="shared" si="68"/>
        <v>-1042</v>
      </c>
      <c r="E30" s="56">
        <f t="shared" si="68"/>
        <v>-14</v>
      </c>
      <c r="F30" s="56">
        <f t="shared" si="68"/>
        <v>-404</v>
      </c>
      <c r="G30" s="56">
        <f t="shared" si="68"/>
        <v>-1436</v>
      </c>
      <c r="H30" s="56">
        <f t="shared" si="68"/>
        <v>-995</v>
      </c>
      <c r="I30" s="56">
        <f t="shared" si="68"/>
        <v>-976</v>
      </c>
      <c r="J30" s="56">
        <f t="shared" si="68"/>
        <v>-2321</v>
      </c>
      <c r="K30" s="56">
        <f t="shared" si="68"/>
        <v>-1956</v>
      </c>
      <c r="L30" s="56">
        <f t="shared" si="68"/>
        <v>-1189</v>
      </c>
      <c r="M30" s="53">
        <f t="shared" si="68"/>
        <v>-1488</v>
      </c>
    </row>
    <row r="31" spans="1:13">
      <c r="A31" s="111" t="s">
        <v>532</v>
      </c>
      <c r="B31" s="56">
        <f>+B30+B33</f>
        <v>-6407</v>
      </c>
      <c r="C31" s="56">
        <f t="shared" ref="C31:L31" si="69">+C30+C33</f>
        <v>-2622</v>
      </c>
      <c r="D31" s="56">
        <f t="shared" si="69"/>
        <v>-1420</v>
      </c>
      <c r="E31" s="56">
        <f t="shared" si="69"/>
        <v>-672</v>
      </c>
      <c r="F31" s="56">
        <f t="shared" si="69"/>
        <v>-363</v>
      </c>
      <c r="G31" s="56">
        <f t="shared" si="69"/>
        <v>-1514</v>
      </c>
      <c r="H31" s="56">
        <f t="shared" si="69"/>
        <v>-994</v>
      </c>
      <c r="I31" s="56">
        <f t="shared" si="69"/>
        <v>-634</v>
      </c>
      <c r="J31" s="56">
        <f t="shared" si="69"/>
        <v>-2078</v>
      </c>
      <c r="K31" s="56">
        <f t="shared" si="69"/>
        <v>-1873</v>
      </c>
      <c r="L31" s="56">
        <f t="shared" si="69"/>
        <v>-650</v>
      </c>
      <c r="M31" s="53">
        <f t="shared" ref="M31" si="70">+M30+M33</f>
        <v>-1365</v>
      </c>
    </row>
    <row r="32" spans="1:13">
      <c r="A32" s="113" t="s">
        <v>95</v>
      </c>
      <c r="B32" s="52">
        <f>_xlfn.XLOOKUP($A32,Inputs!$A:$A,Inputs!B:B,,0)</f>
        <v>-546</v>
      </c>
      <c r="C32" s="52">
        <f>_xlfn.XLOOKUP($A32,Inputs!$A:$A,Inputs!C:C,,0)</f>
        <v>-450</v>
      </c>
      <c r="D32" s="52">
        <f>_xlfn.XLOOKUP($A32,Inputs!$A:$A,Inputs!D:D,,0)</f>
        <v>-301</v>
      </c>
      <c r="E32" s="52">
        <f>_xlfn.XLOOKUP($A32,Inputs!$A:$A,Inputs!E:E,,0)</f>
        <v>-294</v>
      </c>
      <c r="F32" s="52">
        <f>_xlfn.XLOOKUP($A32,Inputs!$A:$A,Inputs!F:F,,0)</f>
        <v>-217</v>
      </c>
      <c r="G32" s="52">
        <f>_xlfn.XLOOKUP($A32,Inputs!$A:$A,Inputs!G:G,,0)</f>
        <v>-163</v>
      </c>
      <c r="H32" s="52">
        <f>_xlfn.XLOOKUP($A32,Inputs!$A:$A,Inputs!H:H,,0)</f>
        <v>-113</v>
      </c>
      <c r="I32" s="52">
        <f>_xlfn.XLOOKUP($A32,Inputs!$A:$A,Inputs!I:I,,0)</f>
        <v>-77</v>
      </c>
      <c r="J32" s="52">
        <f>_xlfn.XLOOKUP($A32,Inputs!$A:$A,Inputs!J:J,,0)</f>
        <v>-96</v>
      </c>
      <c r="K32" s="52">
        <f>_xlfn.XLOOKUP($A32,Inputs!$A:$A,Inputs!K:K,,0)</f>
        <v>-95</v>
      </c>
      <c r="L32" s="52">
        <f>_xlfn.XLOOKUP($A32,Inputs!$A:$A,Inputs!L:L,,0)</f>
        <v>-84</v>
      </c>
      <c r="M32" s="53">
        <f>_xlfn.XLOOKUP($A32,Inputs!$A:$A,Inputs!M:M,,0)</f>
        <v>-133</v>
      </c>
    </row>
    <row r="33" spans="1:13">
      <c r="A33" s="111" t="s">
        <v>96</v>
      </c>
      <c r="B33" s="52">
        <f>_xlfn.XLOOKUP($A33,Inputs!$A:$A,Inputs!B:B,,0)</f>
        <v>-866</v>
      </c>
      <c r="C33" s="52">
        <f>_xlfn.XLOOKUP($A33,Inputs!$A:$A,Inputs!C:C,,0)</f>
        <v>2465</v>
      </c>
      <c r="D33" s="52">
        <f>_xlfn.XLOOKUP($A33,Inputs!$A:$A,Inputs!D:D,,0)</f>
        <v>-378</v>
      </c>
      <c r="E33" s="52">
        <f>_xlfn.XLOOKUP($A33,Inputs!$A:$A,Inputs!E:E,,0)</f>
        <v>-658</v>
      </c>
      <c r="F33" s="52">
        <f>_xlfn.XLOOKUP($A33,Inputs!$A:$A,Inputs!F:F,,0)</f>
        <v>41</v>
      </c>
      <c r="G33" s="52">
        <f>_xlfn.XLOOKUP($A33,Inputs!$A:$A,Inputs!G:G,,0)</f>
        <v>-78</v>
      </c>
      <c r="H33" s="52">
        <f>_xlfn.XLOOKUP($A33,Inputs!$A:$A,Inputs!H:H,,0)</f>
        <v>1</v>
      </c>
      <c r="I33" s="52">
        <f>_xlfn.XLOOKUP($A33,Inputs!$A:$A,Inputs!I:I,,0)</f>
        <v>342</v>
      </c>
      <c r="J33" s="52">
        <f>_xlfn.XLOOKUP($A33,Inputs!$A:$A,Inputs!J:J,,0)</f>
        <v>243</v>
      </c>
      <c r="K33" s="52">
        <f>_xlfn.XLOOKUP($A33,Inputs!$A:$A,Inputs!K:K,,0)</f>
        <v>83</v>
      </c>
      <c r="L33" s="52">
        <f>_xlfn.XLOOKUP($A33,Inputs!$A:$A,Inputs!L:L,,0)</f>
        <v>539</v>
      </c>
      <c r="M33" s="53">
        <f>_xlfn.XLOOKUP($A33,Inputs!$A:$A,Inputs!M:M,,0)</f>
        <v>123</v>
      </c>
    </row>
    <row r="34" spans="1:13">
      <c r="A34" s="112" t="s">
        <v>91</v>
      </c>
      <c r="B34" s="56">
        <f t="shared" ref="B34:M34" si="71">+B32+B33</f>
        <v>-1412</v>
      </c>
      <c r="C34" s="56">
        <f t="shared" si="71"/>
        <v>2015</v>
      </c>
      <c r="D34" s="56">
        <f t="shared" si="71"/>
        <v>-679</v>
      </c>
      <c r="E34" s="56">
        <f t="shared" si="71"/>
        <v>-952</v>
      </c>
      <c r="F34" s="56">
        <f t="shared" si="71"/>
        <v>-176</v>
      </c>
      <c r="G34" s="56">
        <f t="shared" si="71"/>
        <v>-241</v>
      </c>
      <c r="H34" s="56">
        <f t="shared" si="71"/>
        <v>-112</v>
      </c>
      <c r="I34" s="56">
        <f t="shared" si="71"/>
        <v>265</v>
      </c>
      <c r="J34" s="56">
        <f t="shared" si="71"/>
        <v>147</v>
      </c>
      <c r="K34" s="56">
        <f t="shared" si="71"/>
        <v>-12</v>
      </c>
      <c r="L34" s="56">
        <f t="shared" si="71"/>
        <v>455</v>
      </c>
      <c r="M34" s="57">
        <f t="shared" si="71"/>
        <v>-10</v>
      </c>
    </row>
    <row r="35" spans="1:13">
      <c r="A35" s="111" t="s">
        <v>89</v>
      </c>
      <c r="B35" s="56">
        <f t="shared" ref="B35:M35" si="72">+B27+B28</f>
        <v>-985</v>
      </c>
      <c r="C35" s="56">
        <f t="shared" si="72"/>
        <v>-3702</v>
      </c>
      <c r="D35" s="56">
        <f t="shared" si="72"/>
        <v>-1762</v>
      </c>
      <c r="E35" s="56">
        <f t="shared" si="72"/>
        <v>0</v>
      </c>
      <c r="F35" s="56">
        <f t="shared" si="72"/>
        <v>0</v>
      </c>
      <c r="G35" s="56">
        <f t="shared" si="72"/>
        <v>0</v>
      </c>
      <c r="H35" s="56">
        <f t="shared" si="72"/>
        <v>0</v>
      </c>
      <c r="I35" s="56">
        <f t="shared" si="72"/>
        <v>0</v>
      </c>
      <c r="J35" s="56">
        <f t="shared" si="72"/>
        <v>0</v>
      </c>
      <c r="K35" s="56">
        <f t="shared" si="72"/>
        <v>0</v>
      </c>
      <c r="L35" s="56">
        <f t="shared" si="72"/>
        <v>0</v>
      </c>
      <c r="M35" s="57">
        <f t="shared" si="72"/>
        <v>0</v>
      </c>
    </row>
    <row r="36" spans="1:13">
      <c r="A36" s="113" t="s">
        <v>533</v>
      </c>
      <c r="B36" s="54">
        <f>IFERROR(B35/B23,"-")</f>
        <v>-1.1533957845433256</v>
      </c>
      <c r="C36" s="54">
        <f t="shared" ref="C36:M36" si="73">IFERROR(C35/C23,"-")</f>
        <v>-2.8045454545454547</v>
      </c>
      <c r="D36" s="54">
        <f t="shared" si="73"/>
        <v>-0.55724225173940545</v>
      </c>
      <c r="E36" s="54">
        <f t="shared" si="73"/>
        <v>0</v>
      </c>
      <c r="F36" s="54">
        <f t="shared" si="73"/>
        <v>0</v>
      </c>
      <c r="G36" s="54">
        <f t="shared" si="73"/>
        <v>0</v>
      </c>
      <c r="H36" s="54">
        <f t="shared" si="73"/>
        <v>0</v>
      </c>
      <c r="I36" s="54">
        <f t="shared" si="73"/>
        <v>0</v>
      </c>
      <c r="J36" s="54">
        <f t="shared" si="73"/>
        <v>0</v>
      </c>
      <c r="K36" s="54">
        <f t="shared" si="73"/>
        <v>0</v>
      </c>
      <c r="L36" s="54">
        <f t="shared" si="73"/>
        <v>0</v>
      </c>
      <c r="M36" s="55">
        <f t="shared" si="73"/>
        <v>0</v>
      </c>
    </row>
    <row r="37" spans="1:13">
      <c r="A37" s="4"/>
      <c r="B37" s="45"/>
      <c r="C37" s="45"/>
      <c r="D37" s="45"/>
      <c r="E37" s="45"/>
      <c r="F37" s="45"/>
      <c r="G37" s="45"/>
      <c r="H37" s="45"/>
      <c r="I37" s="45"/>
      <c r="J37" s="45"/>
      <c r="K37" s="45"/>
      <c r="L37" s="45"/>
      <c r="M37" s="45"/>
    </row>
    <row r="38" spans="1:13" ht="20.25">
      <c r="A38" s="1364" t="s">
        <v>534</v>
      </c>
      <c r="B38" s="1364"/>
      <c r="C38" s="1364"/>
      <c r="D38" s="1364"/>
      <c r="E38" s="1364"/>
      <c r="F38" s="1364"/>
      <c r="G38" s="1364"/>
      <c r="H38" s="1364"/>
      <c r="I38" s="1364"/>
      <c r="J38" s="1364"/>
      <c r="K38" s="1364"/>
      <c r="L38" s="1364"/>
      <c r="M38" s="1364"/>
    </row>
    <row r="39" spans="1:13">
      <c r="A39" s="114" t="s">
        <v>216</v>
      </c>
      <c r="B39" s="52">
        <f>_xlfn.XLOOKUP($A39,Inputs!$A:$A,Inputs!B:B,,0)</f>
        <v>3933</v>
      </c>
      <c r="C39" s="52">
        <f>_xlfn.XLOOKUP($A39,Inputs!$A:$A,Inputs!C:C,,0)</f>
        <v>4835</v>
      </c>
      <c r="D39" s="52">
        <f>_xlfn.XLOOKUP($A39,Inputs!$A:$A,Inputs!D:D,,0)</f>
        <v>2535</v>
      </c>
      <c r="E39" s="52">
        <f>_xlfn.XLOOKUP($A39,Inputs!$A:$A,Inputs!E:E,,0)</f>
        <v>1595</v>
      </c>
      <c r="F39" s="52">
        <f>_xlfn.XLOOKUP($A39,Inputs!$A:$A,Inputs!F:F,,0)</f>
        <v>1466</v>
      </c>
      <c r="G39" s="52">
        <f>_xlfn.XLOOKUP($A39,Inputs!$A:$A,Inputs!G:G,,0)</f>
        <v>1078</v>
      </c>
      <c r="H39" s="52">
        <f>_xlfn.XLOOKUP($A39,Inputs!$A:$A,Inputs!H:H,,0)</f>
        <v>1185</v>
      </c>
      <c r="I39" s="52">
        <f>_xlfn.XLOOKUP($A39,Inputs!$A:$A,Inputs!I:I,,0)</f>
        <v>1264</v>
      </c>
      <c r="J39" s="52">
        <f>_xlfn.XLOOKUP($A39,Inputs!$A:$A,Inputs!J:J,,0)</f>
        <v>785</v>
      </c>
      <c r="K39" s="52">
        <f>_xlfn.XLOOKUP($A39,Inputs!$A:$A,Inputs!K:K,,0)</f>
        <v>805</v>
      </c>
      <c r="L39" s="52">
        <f>_xlfn.XLOOKUP($A39,Inputs!$A:$A,Inputs!L:L,,0)</f>
        <v>869</v>
      </c>
      <c r="M39" s="53">
        <f>_xlfn.XLOOKUP($A39,Inputs!$A:$A,Inputs!M:M,,0)</f>
        <v>549</v>
      </c>
    </row>
    <row r="40" spans="1:13">
      <c r="A40" s="112" t="s">
        <v>535</v>
      </c>
      <c r="B40" s="52">
        <f>_xlfn.XLOOKUP($A40,Inputs!$A:$A,Inputs!B:B,,0)</f>
        <v>5376</v>
      </c>
      <c r="C40" s="52">
        <f>_xlfn.XLOOKUP($A40,Inputs!$A:$A,Inputs!C:C,,0)</f>
        <v>4128</v>
      </c>
      <c r="D40" s="52">
        <f>_xlfn.XLOOKUP($A40,Inputs!$A:$A,Inputs!D:D,,0)</f>
        <v>2706</v>
      </c>
      <c r="E40" s="52">
        <f>_xlfn.XLOOKUP($A40,Inputs!$A:$A,Inputs!E:E,,0)</f>
        <v>2066</v>
      </c>
      <c r="F40" s="52">
        <f>_xlfn.XLOOKUP($A40,Inputs!$A:$A,Inputs!F:F,,0)</f>
        <v>1859</v>
      </c>
      <c r="G40" s="52">
        <f>_xlfn.XLOOKUP($A40,Inputs!$A:$A,Inputs!G:G,,0)</f>
        <v>1235</v>
      </c>
      <c r="H40" s="52">
        <f>_xlfn.XLOOKUP($A40,Inputs!$A:$A,Inputs!H:H,,0)</f>
        <v>454</v>
      </c>
      <c r="I40" s="52">
        <f>_xlfn.XLOOKUP($A40,Inputs!$A:$A,Inputs!I:I,,0)</f>
        <v>311</v>
      </c>
      <c r="J40" s="52">
        <f>_xlfn.XLOOKUP($A40,Inputs!$A:$A,Inputs!J:J,,0)</f>
        <v>533</v>
      </c>
      <c r="K40" s="52">
        <f>_xlfn.XLOOKUP($A40,Inputs!$A:$A,Inputs!K:K,,0)</f>
        <v>818</v>
      </c>
      <c r="L40" s="52">
        <f>_xlfn.XLOOKUP($A40,Inputs!$A:$A,Inputs!L:L,,0)</f>
        <v>832</v>
      </c>
      <c r="M40" s="53">
        <f>_xlfn.XLOOKUP($A40,Inputs!$A:$A,Inputs!M:M,,0)</f>
        <v>630</v>
      </c>
    </row>
    <row r="41" spans="1:13">
      <c r="A41" s="114" t="s">
        <v>218</v>
      </c>
      <c r="B41" s="52">
        <f>_xlfn.XLOOKUP($A41,Inputs!$A:$A,Inputs!B:B,,0)</f>
        <v>4351</v>
      </c>
      <c r="C41" s="52">
        <f>_xlfn.XLOOKUP($A41,Inputs!$A:$A,Inputs!C:C,,0)</f>
        <v>3771</v>
      </c>
      <c r="D41" s="52">
        <f>_xlfn.XLOOKUP($A41,Inputs!$A:$A,Inputs!D:D,,0)</f>
        <v>1955</v>
      </c>
      <c r="E41" s="52">
        <f>_xlfn.XLOOKUP($A41,Inputs!$A:$A,Inputs!E:E,,0)</f>
        <v>1399</v>
      </c>
      <c r="F41" s="52">
        <f>_xlfn.XLOOKUP($A41,Inputs!$A:$A,Inputs!F:F,,0)</f>
        <v>982</v>
      </c>
      <c r="G41" s="52">
        <f>_xlfn.XLOOKUP($A41,Inputs!$A:$A,Inputs!G:G,,0)</f>
        <v>845</v>
      </c>
      <c r="H41" s="52">
        <f>_xlfn.XLOOKUP($A41,Inputs!$A:$A,Inputs!H:H,,0)</f>
        <v>694</v>
      </c>
      <c r="I41" s="52">
        <f>_xlfn.XLOOKUP($A41,Inputs!$A:$A,Inputs!I:I,,0)</f>
        <v>751</v>
      </c>
      <c r="J41" s="52">
        <f>_xlfn.XLOOKUP($A41,Inputs!$A:$A,Inputs!J:J,,0)</f>
        <v>678</v>
      </c>
      <c r="K41" s="52">
        <f>_xlfn.XLOOKUP($A41,Inputs!$A:$A,Inputs!K:K,,0)</f>
        <v>685</v>
      </c>
      <c r="L41" s="52">
        <f>_xlfn.XLOOKUP($A41,Inputs!$A:$A,Inputs!L:L,,0)</f>
        <v>884</v>
      </c>
      <c r="M41" s="53">
        <f>_xlfn.XLOOKUP($A41,Inputs!$A:$A,Inputs!M:M,,0)</f>
        <v>562</v>
      </c>
    </row>
    <row r="42" spans="1:13">
      <c r="A42" s="112" t="s">
        <v>536</v>
      </c>
      <c r="B42" s="52">
        <f>_xlfn.XLOOKUP($A42,Inputs!$A:$A,Inputs!B:B,,0)</f>
        <v>1589</v>
      </c>
      <c r="C42" s="52">
        <f>_xlfn.XLOOKUP($A42,Inputs!$A:$A,Inputs!C:C,,0)</f>
        <v>1513</v>
      </c>
      <c r="D42" s="52">
        <f>_xlfn.XLOOKUP($A42,Inputs!$A:$A,Inputs!D:D,,0)</f>
        <v>702</v>
      </c>
      <c r="E42" s="52">
        <f>_xlfn.XLOOKUP($A42,Inputs!$A:$A,Inputs!E:E,,0)</f>
        <v>641</v>
      </c>
      <c r="F42" s="52">
        <f>_xlfn.XLOOKUP($A42,Inputs!$A:$A,Inputs!F:F,,0)</f>
        <v>500</v>
      </c>
      <c r="G42" s="52">
        <f>_xlfn.XLOOKUP($A42,Inputs!$A:$A,Inputs!G:G,,0)</f>
        <v>348</v>
      </c>
      <c r="H42" s="52">
        <f>_xlfn.XLOOKUP($A42,Inputs!$A:$A,Inputs!H:H,,0)</f>
        <v>261</v>
      </c>
      <c r="I42" s="52">
        <f>_xlfn.XLOOKUP($A42,Inputs!$A:$A,Inputs!I:I,,0)</f>
        <v>164</v>
      </c>
      <c r="J42" s="52">
        <f>_xlfn.XLOOKUP($A42,Inputs!$A:$A,Inputs!J:J,,0)</f>
        <v>188</v>
      </c>
      <c r="K42" s="52">
        <f>_xlfn.XLOOKUP($A42,Inputs!$A:$A,Inputs!K:K,,0)</f>
        <v>302</v>
      </c>
      <c r="L42" s="52">
        <f>_xlfn.XLOOKUP($A42,Inputs!$A:$A,Inputs!L:L,,0)</f>
        <v>346</v>
      </c>
      <c r="M42" s="53">
        <f>_xlfn.XLOOKUP($A42,Inputs!$A:$A,Inputs!M:M,,0)</f>
        <v>658</v>
      </c>
    </row>
    <row r="43" spans="1:13">
      <c r="A43" s="114" t="s">
        <v>537</v>
      </c>
      <c r="B43" s="52">
        <f>_xlfn.XLOOKUP($A43,Inputs!$A:$A,Inputs!B:B,,0)</f>
        <v>51904</v>
      </c>
      <c r="C43" s="52">
        <f>_xlfn.XLOOKUP($A43,Inputs!$A:$A,Inputs!C:C,,0)</f>
        <v>52790</v>
      </c>
      <c r="D43" s="52">
        <f>_xlfn.XLOOKUP($A43,Inputs!$A:$A,Inputs!D:D,,0)</f>
        <v>4085</v>
      </c>
      <c r="E43" s="52">
        <f>_xlfn.XLOOKUP($A43,Inputs!$A:$A,Inputs!E:E,,0)</f>
        <v>2990</v>
      </c>
      <c r="F43" s="52">
        <f>_xlfn.XLOOKUP($A43,Inputs!$A:$A,Inputs!F:F,,0)</f>
        <v>958</v>
      </c>
      <c r="G43" s="52">
        <f>_xlfn.XLOOKUP($A43,Inputs!$A:$A,Inputs!G:G,,0)</f>
        <v>992</v>
      </c>
      <c r="H43" s="52">
        <f>_xlfn.XLOOKUP($A43,Inputs!$A:$A,Inputs!H:H,,0)</f>
        <v>900</v>
      </c>
      <c r="I43" s="52">
        <f>_xlfn.XLOOKUP($A43,Inputs!$A:$A,Inputs!I:I,,0)</f>
        <v>772</v>
      </c>
      <c r="J43" s="52">
        <f>_xlfn.XLOOKUP($A43,Inputs!$A:$A,Inputs!J:J,,0)</f>
        <v>900</v>
      </c>
      <c r="K43" s="52">
        <f>_xlfn.XLOOKUP($A43,Inputs!$A:$A,Inputs!K:K,,0)</f>
        <v>1157</v>
      </c>
      <c r="L43" s="52">
        <f>_xlfn.XLOOKUP($A43,Inputs!$A:$A,Inputs!L:L,,0)</f>
        <v>1316</v>
      </c>
      <c r="M43" s="53">
        <f>_xlfn.XLOOKUP($A43,Inputs!$A:$A,Inputs!M:M,,0)</f>
        <v>1420</v>
      </c>
    </row>
    <row r="44" spans="1:13">
      <c r="A44" s="115" t="s">
        <v>19</v>
      </c>
      <c r="B44" s="58">
        <f>_xlfn.XLOOKUP($A44,Inputs!$A:$A,Inputs!B:B,,0)</f>
        <v>67885</v>
      </c>
      <c r="C44" s="58">
        <f>_xlfn.XLOOKUP($A44,Inputs!$A:$A,Inputs!C:C,,0)</f>
        <v>67580</v>
      </c>
      <c r="D44" s="58">
        <f>_xlfn.XLOOKUP($A44,Inputs!$A:$A,Inputs!D:D,,0)</f>
        <v>12419</v>
      </c>
      <c r="E44" s="58">
        <f>_xlfn.XLOOKUP($A44,Inputs!$A:$A,Inputs!E:E,,0)</f>
        <v>8962</v>
      </c>
      <c r="F44" s="58">
        <f>_xlfn.XLOOKUP($A44,Inputs!$A:$A,Inputs!F:F,,0)</f>
        <v>6028</v>
      </c>
      <c r="G44" s="58">
        <f>_xlfn.XLOOKUP($A44,Inputs!$A:$A,Inputs!G:G,,0)</f>
        <v>4556</v>
      </c>
      <c r="H44" s="58">
        <f>_xlfn.XLOOKUP($A44,Inputs!$A:$A,Inputs!H:H,,0)</f>
        <v>3552</v>
      </c>
      <c r="I44" s="58">
        <f>_xlfn.XLOOKUP($A44,Inputs!$A:$A,Inputs!I:I,,0)</f>
        <v>3321</v>
      </c>
      <c r="J44" s="58">
        <f>_xlfn.XLOOKUP($A44,Inputs!$A:$A,Inputs!J:J,,0)</f>
        <v>3084</v>
      </c>
      <c r="K44" s="58">
        <f>_xlfn.XLOOKUP($A44,Inputs!$A:$A,Inputs!K:K,,0)</f>
        <v>3767</v>
      </c>
      <c r="L44" s="58">
        <f>_xlfn.XLOOKUP($A44,Inputs!$A:$A,Inputs!L:L,,0)</f>
        <v>4337</v>
      </c>
      <c r="M44" s="58">
        <f>_xlfn.XLOOKUP($A44,Inputs!$A:$A,Inputs!M:M,,0)</f>
        <v>4000</v>
      </c>
    </row>
    <row r="45" spans="1:13">
      <c r="B45"/>
      <c r="C45"/>
      <c r="D45"/>
      <c r="E45"/>
      <c r="F45"/>
      <c r="G45"/>
      <c r="H45"/>
      <c r="I45"/>
      <c r="J45"/>
      <c r="K45"/>
      <c r="L45"/>
      <c r="M45"/>
    </row>
    <row r="46" spans="1:13">
      <c r="B46"/>
      <c r="C46"/>
      <c r="D46"/>
      <c r="E46"/>
      <c r="F46"/>
      <c r="G46"/>
      <c r="H46"/>
      <c r="I46"/>
      <c r="J46"/>
      <c r="K46"/>
      <c r="L46"/>
      <c r="M46"/>
    </row>
    <row r="47" spans="1:13" ht="20.25">
      <c r="A47" s="1364" t="s">
        <v>538</v>
      </c>
      <c r="B47" s="1364"/>
      <c r="C47" s="1364"/>
      <c r="D47" s="1364"/>
      <c r="E47" s="1364"/>
      <c r="F47" s="1364"/>
      <c r="G47" s="1364"/>
      <c r="H47" s="1364"/>
      <c r="I47" s="1364"/>
      <c r="J47" s="1364"/>
      <c r="K47" s="1364"/>
      <c r="L47" s="1364"/>
      <c r="M47" s="1364"/>
    </row>
    <row r="48" spans="1:13">
      <c r="A48" s="116" t="s">
        <v>222</v>
      </c>
      <c r="B48" s="58">
        <f>_xlfn.XLOOKUP($A48,Inputs!$A:$A,Inputs!B:B,,0)</f>
        <v>6689</v>
      </c>
      <c r="C48" s="58">
        <f>_xlfn.XLOOKUP($A48,Inputs!$A:$A,Inputs!C:C,,0)</f>
        <v>6369</v>
      </c>
      <c r="D48" s="58">
        <f>_xlfn.XLOOKUP($A48,Inputs!$A:$A,Inputs!D:D,,0)</f>
        <v>4240</v>
      </c>
      <c r="E48" s="58">
        <f>_xlfn.XLOOKUP($A48,Inputs!$A:$A,Inputs!E:E,,0)</f>
        <v>2417</v>
      </c>
      <c r="F48" s="58">
        <f>_xlfn.XLOOKUP($A48,Inputs!$A:$A,Inputs!F:F,,0)</f>
        <v>2359</v>
      </c>
      <c r="G48" s="58">
        <f>_xlfn.XLOOKUP($A48,Inputs!$A:$A,Inputs!G:G,,0)</f>
        <v>1984</v>
      </c>
      <c r="H48" s="58">
        <f>_xlfn.XLOOKUP($A48,Inputs!$A:$A,Inputs!H:H,,0)</f>
        <v>1513</v>
      </c>
      <c r="I48" s="58">
        <f>_xlfn.XLOOKUP($A48,Inputs!$A:$A,Inputs!I:I,,0)</f>
        <v>1346</v>
      </c>
      <c r="J48" s="58">
        <f>_xlfn.XLOOKUP($A48,Inputs!$A:$A,Inputs!J:J,,0)</f>
        <v>1403</v>
      </c>
      <c r="K48" s="58">
        <f>_xlfn.XLOOKUP($A48,Inputs!$A:$A,Inputs!K:K,,0)</f>
        <v>1440</v>
      </c>
      <c r="L48" s="58">
        <f>_xlfn.XLOOKUP($A48,Inputs!$A:$A,Inputs!L:L,,0)</f>
        <v>1618</v>
      </c>
      <c r="M48" s="58">
        <f>_xlfn.XLOOKUP($A48,Inputs!$A:$A,Inputs!M:M,,0)</f>
        <v>1397</v>
      </c>
    </row>
    <row r="49" spans="1:13">
      <c r="A49" s="117" t="s">
        <v>539</v>
      </c>
      <c r="B49" s="52">
        <f>_xlfn.XLOOKUP($A49,Inputs!$A:$A,Inputs!B:B,,0)</f>
        <v>0</v>
      </c>
      <c r="C49" s="52">
        <f>_xlfn.XLOOKUP($A49,Inputs!$A:$A,Inputs!C:C,,0)</f>
        <v>0</v>
      </c>
      <c r="D49" s="52">
        <f>_xlfn.XLOOKUP($A49,Inputs!$A:$A,Inputs!D:D,,0)</f>
        <v>0</v>
      </c>
      <c r="E49" s="52">
        <f>_xlfn.XLOOKUP($A49,Inputs!$A:$A,Inputs!E:E,,0)</f>
        <v>0</v>
      </c>
      <c r="F49" s="52">
        <f>_xlfn.XLOOKUP($A49,Inputs!$A:$A,Inputs!F:F,,0)</f>
        <v>0</v>
      </c>
      <c r="G49" s="52">
        <f>_xlfn.XLOOKUP($A49,Inputs!$A:$A,Inputs!G:G,,0)</f>
        <v>136</v>
      </c>
      <c r="H49" s="52">
        <f>_xlfn.XLOOKUP($A49,Inputs!$A:$A,Inputs!H:H,,0)</f>
        <v>70</v>
      </c>
      <c r="I49" s="52">
        <f>_xlfn.XLOOKUP($A49,Inputs!$A:$A,Inputs!I:I,,0)</f>
        <v>0</v>
      </c>
      <c r="J49" s="52">
        <f>_xlfn.XLOOKUP($A49,Inputs!$A:$A,Inputs!J:J,,0)</f>
        <v>230</v>
      </c>
      <c r="K49" s="52">
        <f>_xlfn.XLOOKUP($A49,Inputs!$A:$A,Inputs!K:K,,0)</f>
        <v>177</v>
      </c>
      <c r="L49" s="52">
        <f>_xlfn.XLOOKUP($A49,Inputs!$A:$A,Inputs!L:L,,0)</f>
        <v>60</v>
      </c>
      <c r="M49" s="52">
        <f>_xlfn.XLOOKUP($A49,Inputs!$A:$A,Inputs!M:M,,0)</f>
        <v>0</v>
      </c>
    </row>
    <row r="50" spans="1:13">
      <c r="A50" s="111" t="s">
        <v>540</v>
      </c>
      <c r="B50" s="52">
        <f>_xlfn.XLOOKUP($A50,Inputs!$A:$A,Inputs!B:B,,0)</f>
        <v>0</v>
      </c>
      <c r="C50" s="52">
        <f>_xlfn.XLOOKUP($A50,Inputs!$A:$A,Inputs!C:C,,0)</f>
        <v>0</v>
      </c>
      <c r="D50" s="52">
        <f>_xlfn.XLOOKUP($A50,Inputs!$A:$A,Inputs!D:D,,0)</f>
        <v>0</v>
      </c>
      <c r="E50" s="52">
        <f>_xlfn.XLOOKUP($A50,Inputs!$A:$A,Inputs!E:E,,0)</f>
        <v>0</v>
      </c>
      <c r="F50" s="52">
        <f>_xlfn.XLOOKUP($A50,Inputs!$A:$A,Inputs!F:F,,0)</f>
        <v>0</v>
      </c>
      <c r="G50" s="52">
        <f>_xlfn.XLOOKUP($A50,Inputs!$A:$A,Inputs!G:G,,0)</f>
        <v>0</v>
      </c>
      <c r="H50" s="52">
        <f>_xlfn.XLOOKUP($A50,Inputs!$A:$A,Inputs!H:H,,0)</f>
        <v>0</v>
      </c>
      <c r="I50" s="52">
        <f>_xlfn.XLOOKUP($A50,Inputs!$A:$A,Inputs!I:I,,0)</f>
        <v>0</v>
      </c>
      <c r="J50" s="52">
        <f>_xlfn.XLOOKUP($A50,Inputs!$A:$A,Inputs!J:J,,0)</f>
        <v>0</v>
      </c>
      <c r="K50" s="52">
        <f>_xlfn.XLOOKUP($A50,Inputs!$A:$A,Inputs!K:K,,0)</f>
        <v>0</v>
      </c>
      <c r="L50" s="52">
        <f>_xlfn.XLOOKUP($A50,Inputs!$A:$A,Inputs!L:L,,0)</f>
        <v>0</v>
      </c>
      <c r="M50" s="52">
        <f>_xlfn.XLOOKUP($A50,Inputs!$A:$A,Inputs!M:M,,0)</f>
        <v>0</v>
      </c>
    </row>
    <row r="51" spans="1:13">
      <c r="A51" s="112" t="s">
        <v>541</v>
      </c>
      <c r="B51" s="52">
        <f>_xlfn.XLOOKUP($A51,Inputs!$A:$A,Inputs!B:B,,0)</f>
        <v>4271</v>
      </c>
      <c r="C51" s="52">
        <f>_xlfn.XLOOKUP($A51,Inputs!$A:$A,Inputs!C:C,,0)</f>
        <v>3413</v>
      </c>
      <c r="D51" s="52">
        <f>_xlfn.XLOOKUP($A51,Inputs!$A:$A,Inputs!D:D,,0)</f>
        <v>2834</v>
      </c>
      <c r="E51" s="52">
        <f>_xlfn.XLOOKUP($A51,Inputs!$A:$A,Inputs!E:E,,0)</f>
        <v>1871</v>
      </c>
      <c r="F51" s="52">
        <f>_xlfn.XLOOKUP($A51,Inputs!$A:$A,Inputs!F:F,,0)</f>
        <v>1158</v>
      </c>
      <c r="G51" s="52">
        <f>_xlfn.XLOOKUP($A51,Inputs!$A:$A,Inputs!G:G,,0)</f>
        <v>807</v>
      </c>
      <c r="H51" s="52">
        <f>_xlfn.XLOOKUP($A51,Inputs!$A:$A,Inputs!H:H,,0)</f>
        <v>647</v>
      </c>
      <c r="I51" s="52">
        <f>_xlfn.XLOOKUP($A51,Inputs!$A:$A,Inputs!I:I,,0)</f>
        <v>523</v>
      </c>
      <c r="J51" s="52">
        <f>_xlfn.XLOOKUP($A51,Inputs!$A:$A,Inputs!J:J,,0)</f>
        <v>649</v>
      </c>
      <c r="K51" s="52">
        <f>_xlfn.XLOOKUP($A51,Inputs!$A:$A,Inputs!K:K,,0)</f>
        <v>630</v>
      </c>
      <c r="L51" s="52">
        <f>_xlfn.XLOOKUP($A51,Inputs!$A:$A,Inputs!L:L,,0)</f>
        <v>675</v>
      </c>
      <c r="M51" s="52">
        <f>_xlfn.XLOOKUP($A51,Inputs!$A:$A,Inputs!M:M,,0)</f>
        <v>665</v>
      </c>
    </row>
    <row r="52" spans="1:13">
      <c r="A52" s="116" t="s">
        <v>542</v>
      </c>
      <c r="B52" s="58">
        <f>_xlfn.XLOOKUP($A52,Inputs!$A:$A,Inputs!B:B,,0)</f>
        <v>5304</v>
      </c>
      <c r="C52" s="58">
        <f>_xlfn.XLOOKUP($A52,Inputs!$A:$A,Inputs!C:C,,0)</f>
        <v>6461</v>
      </c>
      <c r="D52" s="58">
        <f>_xlfn.XLOOKUP($A52,Inputs!$A:$A,Inputs!D:D,,0)</f>
        <v>682</v>
      </c>
      <c r="E52" s="58">
        <f>_xlfn.XLOOKUP($A52,Inputs!$A:$A,Inputs!E:E,,0)</f>
        <v>708</v>
      </c>
      <c r="F52" s="58">
        <f>_xlfn.XLOOKUP($A52,Inputs!$A:$A,Inputs!F:F,,0)</f>
        <v>842</v>
      </c>
      <c r="G52" s="58">
        <f>_xlfn.XLOOKUP($A52,Inputs!$A:$A,Inputs!G:G,,0)</f>
        <v>1306</v>
      </c>
      <c r="H52" s="58">
        <f>_xlfn.XLOOKUP($A52,Inputs!$A:$A,Inputs!H:H,,0)</f>
        <v>1443</v>
      </c>
      <c r="I52" s="58">
        <f>_xlfn.XLOOKUP($A52,Inputs!$A:$A,Inputs!I:I,,0)</f>
        <v>1559</v>
      </c>
      <c r="J52" s="58">
        <f>_xlfn.XLOOKUP($A52,Inputs!$A:$A,Inputs!J:J,,0)</f>
        <v>2093</v>
      </c>
      <c r="K52" s="58">
        <f>_xlfn.XLOOKUP($A52,Inputs!$A:$A,Inputs!K:K,,0)</f>
        <v>2140</v>
      </c>
      <c r="L52" s="58">
        <f>_xlfn.XLOOKUP($A52,Inputs!$A:$A,Inputs!L:L,,0)</f>
        <v>2175</v>
      </c>
      <c r="M52" s="58">
        <f>_xlfn.XLOOKUP($A52,Inputs!$A:$A,Inputs!M:M,,0)</f>
        <v>2065</v>
      </c>
    </row>
    <row r="53" spans="1:13">
      <c r="A53" s="117" t="s">
        <v>543</v>
      </c>
      <c r="B53" s="52">
        <f>_xlfn.XLOOKUP($A53,Inputs!$A:$A,Inputs!B:B,,0)</f>
        <v>1717</v>
      </c>
      <c r="C53" s="52">
        <f>_xlfn.XLOOKUP($A53,Inputs!$A:$A,Inputs!C:C,,0)</f>
        <v>2467</v>
      </c>
      <c r="D53" s="52">
        <f>_xlfn.XLOOKUP($A53,Inputs!$A:$A,Inputs!D:D,,0)</f>
        <v>1</v>
      </c>
      <c r="E53" s="52">
        <f>_xlfn.XLOOKUP($A53,Inputs!$A:$A,Inputs!E:E,,0)</f>
        <v>330</v>
      </c>
      <c r="F53" s="52">
        <f>_xlfn.XLOOKUP($A53,Inputs!$A:$A,Inputs!F:F,,0)</f>
        <v>486</v>
      </c>
      <c r="G53" s="52">
        <f>_xlfn.XLOOKUP($A53,Inputs!$A:$A,Inputs!G:G,,0)</f>
        <v>1114</v>
      </c>
      <c r="H53" s="52">
        <f>_xlfn.XLOOKUP($A53,Inputs!$A:$A,Inputs!H:H,,0)</f>
        <v>1325</v>
      </c>
      <c r="I53" s="52">
        <f>_xlfn.XLOOKUP($A53,Inputs!$A:$A,Inputs!I:I,,0)</f>
        <v>1435</v>
      </c>
      <c r="J53" s="52">
        <f>_xlfn.XLOOKUP($A53,Inputs!$A:$A,Inputs!J:J,,0)</f>
        <v>2007</v>
      </c>
      <c r="K53" s="52">
        <f>_xlfn.XLOOKUP($A53,Inputs!$A:$A,Inputs!K:K,,0)</f>
        <v>2035</v>
      </c>
      <c r="L53" s="52">
        <f>_xlfn.XLOOKUP($A53,Inputs!$A:$A,Inputs!L:L,,0)</f>
        <v>1998</v>
      </c>
      <c r="M53" s="52">
        <f>_xlfn.XLOOKUP($A53,Inputs!$A:$A,Inputs!M:M,,0)</f>
        <v>2037</v>
      </c>
    </row>
    <row r="54" spans="1:13">
      <c r="A54" s="111" t="s">
        <v>544</v>
      </c>
      <c r="B54" s="52">
        <f>_xlfn.XLOOKUP($A54,Inputs!$A:$A,Inputs!B:B,,0)</f>
        <v>535</v>
      </c>
      <c r="C54" s="52">
        <f>_xlfn.XLOOKUP($A54,Inputs!$A:$A,Inputs!C:C,,0)</f>
        <v>396</v>
      </c>
      <c r="D54" s="52">
        <f>_xlfn.XLOOKUP($A54,Inputs!$A:$A,Inputs!D:D,,0)</f>
        <v>348</v>
      </c>
      <c r="E54" s="52">
        <f>_xlfn.XLOOKUP($A54,Inputs!$A:$A,Inputs!E:E,,0)</f>
        <v>201</v>
      </c>
      <c r="F54" s="52">
        <f>_xlfn.XLOOKUP($A54,Inputs!$A:$A,Inputs!F:F,,0)</f>
        <v>199</v>
      </c>
      <c r="G54" s="52">
        <f>_xlfn.XLOOKUP($A54,Inputs!$A:$A,Inputs!G:G,,0)</f>
        <v>0</v>
      </c>
      <c r="H54" s="52">
        <f>_xlfn.XLOOKUP($A54,Inputs!$A:$A,Inputs!H:H,,0)</f>
        <v>0</v>
      </c>
      <c r="I54" s="52">
        <f>_xlfn.XLOOKUP($A54,Inputs!$A:$A,Inputs!I:I,,0)</f>
        <v>0</v>
      </c>
      <c r="J54" s="52">
        <f>_xlfn.XLOOKUP($A54,Inputs!$A:$A,Inputs!J:J,,0)</f>
        <v>0</v>
      </c>
      <c r="K54" s="52">
        <f>_xlfn.XLOOKUP($A54,Inputs!$A:$A,Inputs!K:K,,0)</f>
        <v>0</v>
      </c>
      <c r="L54" s="52">
        <f>_xlfn.XLOOKUP($A54,Inputs!$A:$A,Inputs!L:L,,0)</f>
        <v>0</v>
      </c>
      <c r="M54" s="52">
        <f>_xlfn.XLOOKUP($A54,Inputs!$A:$A,Inputs!M:M,,0)</f>
        <v>0</v>
      </c>
    </row>
    <row r="55" spans="1:13">
      <c r="A55" s="112" t="s">
        <v>545</v>
      </c>
      <c r="B55" s="52">
        <f>_xlfn.XLOOKUP($A55,Inputs!$A:$A,Inputs!B:B,,0)</f>
        <v>3052</v>
      </c>
      <c r="C55" s="52">
        <f>_xlfn.XLOOKUP($A55,Inputs!$A:$A,Inputs!C:C,,0)</f>
        <v>3598</v>
      </c>
      <c r="D55" s="52">
        <f>_xlfn.XLOOKUP($A55,Inputs!$A:$A,Inputs!D:D,,0)</f>
        <v>333</v>
      </c>
      <c r="E55" s="52">
        <f>_xlfn.XLOOKUP($A55,Inputs!$A:$A,Inputs!E:E,,0)</f>
        <v>177</v>
      </c>
      <c r="F55" s="52">
        <f>_xlfn.XLOOKUP($A55,Inputs!$A:$A,Inputs!F:F,,0)</f>
        <v>157</v>
      </c>
      <c r="G55" s="52">
        <f>_xlfn.XLOOKUP($A55,Inputs!$A:$A,Inputs!G:G,,0)</f>
        <v>192</v>
      </c>
      <c r="H55" s="52">
        <f>_xlfn.XLOOKUP($A55,Inputs!$A:$A,Inputs!H:H,,0)</f>
        <v>118</v>
      </c>
      <c r="I55" s="52">
        <f>_xlfn.XLOOKUP($A55,Inputs!$A:$A,Inputs!I:I,,0)</f>
        <v>124</v>
      </c>
      <c r="J55" s="52">
        <f>_xlfn.XLOOKUP($A55,Inputs!$A:$A,Inputs!J:J,,0)</f>
        <v>86</v>
      </c>
      <c r="K55" s="52">
        <f>_xlfn.XLOOKUP($A55,Inputs!$A:$A,Inputs!K:K,,0)</f>
        <v>105</v>
      </c>
      <c r="L55" s="52">
        <f>_xlfn.XLOOKUP($A55,Inputs!$A:$A,Inputs!L:L,,0)</f>
        <v>177</v>
      </c>
      <c r="M55" s="52">
        <f>_xlfn.XLOOKUP($A55,Inputs!$A:$A,Inputs!M:M,,0)</f>
        <v>28</v>
      </c>
    </row>
    <row r="56" spans="1:13">
      <c r="A56" s="116" t="s">
        <v>25</v>
      </c>
      <c r="B56" s="58">
        <f>_xlfn.XLOOKUP($A56,Inputs!$A:$A,Inputs!B:B,,0)</f>
        <v>11993</v>
      </c>
      <c r="C56" s="58">
        <f>_xlfn.XLOOKUP($A56,Inputs!$A:$A,Inputs!C:C,,0)</f>
        <v>12830</v>
      </c>
      <c r="D56" s="58">
        <f>_xlfn.XLOOKUP($A56,Inputs!$A:$A,Inputs!D:D,,0)</f>
        <v>4922</v>
      </c>
      <c r="E56" s="58">
        <f>_xlfn.XLOOKUP($A56,Inputs!$A:$A,Inputs!E:E,,0)</f>
        <v>3125</v>
      </c>
      <c r="F56" s="58">
        <f>_xlfn.XLOOKUP($A56,Inputs!$A:$A,Inputs!F:F,,0)</f>
        <v>3201</v>
      </c>
      <c r="G56" s="58">
        <f>_xlfn.XLOOKUP($A56,Inputs!$A:$A,Inputs!G:G,,0)</f>
        <v>3290</v>
      </c>
      <c r="H56" s="58">
        <f>_xlfn.XLOOKUP($A56,Inputs!$A:$A,Inputs!H:H,,0)</f>
        <v>2956</v>
      </c>
      <c r="I56" s="58">
        <f>_xlfn.XLOOKUP($A56,Inputs!$A:$A,Inputs!I:I,,0)</f>
        <v>2905</v>
      </c>
      <c r="J56" s="58">
        <f>_xlfn.XLOOKUP($A56,Inputs!$A:$A,Inputs!J:J,,0)</f>
        <v>3496</v>
      </c>
      <c r="K56" s="58">
        <f>_xlfn.XLOOKUP($A56,Inputs!$A:$A,Inputs!K:K,,0)</f>
        <v>3580</v>
      </c>
      <c r="L56" s="58">
        <f>_xlfn.XLOOKUP($A56,Inputs!$A:$A,Inputs!L:L,,0)</f>
        <v>3793</v>
      </c>
      <c r="M56" s="58">
        <f>_xlfn.XLOOKUP($A56,Inputs!$A:$A,Inputs!M:M,,0)</f>
        <v>3462</v>
      </c>
    </row>
    <row r="57" spans="1:13">
      <c r="B57"/>
      <c r="C57"/>
      <c r="D57"/>
      <c r="E57"/>
      <c r="F57"/>
      <c r="G57"/>
      <c r="H57"/>
      <c r="I57"/>
      <c r="J57"/>
      <c r="K57"/>
      <c r="L57"/>
      <c r="M57"/>
    </row>
    <row r="58" spans="1:13">
      <c r="A58" s="116" t="s">
        <v>223</v>
      </c>
      <c r="B58" s="58">
        <f>B49+B53+B50+B54</f>
        <v>2252</v>
      </c>
      <c r="C58" s="58">
        <f t="shared" ref="C58:M58" si="74">C49+C53+C50+C54</f>
        <v>2863</v>
      </c>
      <c r="D58" s="58">
        <f t="shared" si="74"/>
        <v>349</v>
      </c>
      <c r="E58" s="58">
        <f t="shared" si="74"/>
        <v>531</v>
      </c>
      <c r="F58" s="58">
        <f t="shared" si="74"/>
        <v>685</v>
      </c>
      <c r="G58" s="58">
        <f t="shared" si="74"/>
        <v>1250</v>
      </c>
      <c r="H58" s="58">
        <f t="shared" si="74"/>
        <v>1395</v>
      </c>
      <c r="I58" s="58">
        <f t="shared" si="74"/>
        <v>1435</v>
      </c>
      <c r="J58" s="58">
        <f t="shared" si="74"/>
        <v>2237</v>
      </c>
      <c r="K58" s="58">
        <f t="shared" si="74"/>
        <v>2212</v>
      </c>
      <c r="L58" s="58">
        <f t="shared" si="74"/>
        <v>2058</v>
      </c>
      <c r="M58" s="58">
        <f t="shared" si="74"/>
        <v>2037</v>
      </c>
    </row>
    <row r="59" spans="1:13">
      <c r="A59" s="117" t="s">
        <v>46</v>
      </c>
      <c r="B59" s="54">
        <f>IFERROR(B58/B44,"-")</f>
        <v>3.3173749723797601E-2</v>
      </c>
      <c r="C59" s="54">
        <f t="shared" ref="C59:M59" si="75">IFERROR(C58/C44,"-")</f>
        <v>4.2364604912696065E-2</v>
      </c>
      <c r="D59" s="54">
        <f t="shared" si="75"/>
        <v>2.81021016184878E-2</v>
      </c>
      <c r="E59" s="54">
        <f t="shared" si="75"/>
        <v>5.925016737335416E-2</v>
      </c>
      <c r="F59" s="54">
        <f t="shared" si="75"/>
        <v>0.11363636363636363</v>
      </c>
      <c r="G59" s="54">
        <f t="shared" si="75"/>
        <v>0.27436347673397715</v>
      </c>
      <c r="H59" s="54">
        <f t="shared" si="75"/>
        <v>0.39273648648648651</v>
      </c>
      <c r="I59" s="54">
        <f t="shared" si="75"/>
        <v>0.43209876543209874</v>
      </c>
      <c r="J59" s="54">
        <f t="shared" si="75"/>
        <v>0.72535667963683526</v>
      </c>
      <c r="K59" s="54">
        <f t="shared" si="75"/>
        <v>0.58720467215290684</v>
      </c>
      <c r="L59" s="54">
        <f t="shared" si="75"/>
        <v>0.47452155868111595</v>
      </c>
      <c r="M59" s="54">
        <f t="shared" si="75"/>
        <v>0.50924999999999998</v>
      </c>
    </row>
    <row r="60" spans="1:13">
      <c r="A60" s="116" t="s">
        <v>546</v>
      </c>
      <c r="B60" s="58">
        <f>B58-B39</f>
        <v>-1681</v>
      </c>
      <c r="C60" s="58">
        <f t="shared" ref="C60:M60" si="76">C58-C39</f>
        <v>-1972</v>
      </c>
      <c r="D60" s="58">
        <f t="shared" si="76"/>
        <v>-2186</v>
      </c>
      <c r="E60" s="58">
        <f t="shared" si="76"/>
        <v>-1064</v>
      </c>
      <c r="F60" s="58">
        <f t="shared" si="76"/>
        <v>-781</v>
      </c>
      <c r="G60" s="58">
        <f t="shared" si="76"/>
        <v>172</v>
      </c>
      <c r="H60" s="58">
        <f t="shared" si="76"/>
        <v>210</v>
      </c>
      <c r="I60" s="58">
        <f t="shared" si="76"/>
        <v>171</v>
      </c>
      <c r="J60" s="58">
        <f t="shared" si="76"/>
        <v>1452</v>
      </c>
      <c r="K60" s="58">
        <f t="shared" si="76"/>
        <v>1407</v>
      </c>
      <c r="L60" s="58">
        <f t="shared" si="76"/>
        <v>1189</v>
      </c>
      <c r="M60" s="58">
        <f t="shared" si="76"/>
        <v>1488</v>
      </c>
    </row>
    <row r="61" spans="1:13">
      <c r="B61"/>
      <c r="C61"/>
      <c r="D61"/>
      <c r="E61"/>
      <c r="F61"/>
      <c r="G61"/>
      <c r="H61"/>
      <c r="I61"/>
      <c r="J61"/>
      <c r="K61"/>
      <c r="L61"/>
      <c r="M61"/>
    </row>
    <row r="62" spans="1:13" s="46" customFormat="1">
      <c r="A62" s="116" t="s">
        <v>547</v>
      </c>
      <c r="B62" s="58">
        <f>_xlfn.XLOOKUP($A62,Inputs!$A:$A,Inputs!B:B,,0)</f>
        <v>0</v>
      </c>
      <c r="C62" s="58">
        <f>_xlfn.XLOOKUP($A62,Inputs!$A:$A,Inputs!C:C,,0)</f>
        <v>0</v>
      </c>
      <c r="D62" s="58">
        <f>_xlfn.XLOOKUP($A62,Inputs!$A:$A,Inputs!D:D,,0)</f>
        <v>0</v>
      </c>
      <c r="E62" s="58">
        <f>_xlfn.XLOOKUP($A62,Inputs!$A:$A,Inputs!E:E,,0)</f>
        <v>0</v>
      </c>
      <c r="F62" s="58">
        <f>_xlfn.XLOOKUP($A62,Inputs!$A:$A,Inputs!F:F,,0)</f>
        <v>0</v>
      </c>
      <c r="G62" s="58">
        <f>_xlfn.XLOOKUP($A62,Inputs!$A:$A,Inputs!G:G,,0)</f>
        <v>0</v>
      </c>
      <c r="H62" s="58">
        <f>_xlfn.XLOOKUP($A62,Inputs!$A:$A,Inputs!H:H,,0)</f>
        <v>0</v>
      </c>
      <c r="I62" s="58">
        <f>_xlfn.XLOOKUP($A62,Inputs!$A:$A,Inputs!I:I,,0)</f>
        <v>0</v>
      </c>
      <c r="J62" s="58">
        <f>_xlfn.XLOOKUP($A62,Inputs!$A:$A,Inputs!J:J,,0)</f>
        <v>0</v>
      </c>
      <c r="K62" s="58">
        <f>_xlfn.XLOOKUP($A62,Inputs!$A:$A,Inputs!K:K,,0)</f>
        <v>0</v>
      </c>
      <c r="L62" s="58">
        <f>_xlfn.XLOOKUP($A62,Inputs!$A:$A,Inputs!L:L,,0)</f>
        <v>0</v>
      </c>
      <c r="M62" s="58">
        <f>_xlfn.XLOOKUP($A62,Inputs!$A:$A,Inputs!M:M,,0)</f>
        <v>0</v>
      </c>
    </row>
    <row r="63" spans="1:13">
      <c r="B63"/>
      <c r="C63"/>
      <c r="D63"/>
      <c r="E63"/>
      <c r="F63"/>
      <c r="G63"/>
      <c r="H63"/>
      <c r="I63"/>
      <c r="J63"/>
      <c r="K63"/>
      <c r="L63"/>
      <c r="M63"/>
    </row>
    <row r="64" spans="1:13">
      <c r="A64" s="116" t="s">
        <v>548</v>
      </c>
      <c r="B64" s="58">
        <f>_xlfn.XLOOKUP($A64,Inputs!$A:$A,Inputs!B:B,,0)</f>
        <v>55892</v>
      </c>
      <c r="C64" s="58">
        <f>_xlfn.XLOOKUP($A64,Inputs!$A:$A,Inputs!C:C,,0)</f>
        <v>54750</v>
      </c>
      <c r="D64" s="58">
        <f>_xlfn.XLOOKUP($A64,Inputs!$A:$A,Inputs!D:D,,0)</f>
        <v>7497</v>
      </c>
      <c r="E64" s="58">
        <f>_xlfn.XLOOKUP($A64,Inputs!$A:$A,Inputs!E:E,,0)</f>
        <v>5837</v>
      </c>
      <c r="F64" s="58">
        <f>_xlfn.XLOOKUP($A64,Inputs!$A:$A,Inputs!F:F,,0)</f>
        <v>2827</v>
      </c>
      <c r="G64" s="58">
        <f>_xlfn.XLOOKUP($A64,Inputs!$A:$A,Inputs!G:G,,0)</f>
        <v>1266</v>
      </c>
      <c r="H64" s="58">
        <f>_xlfn.XLOOKUP($A64,Inputs!$A:$A,Inputs!H:H,,0)</f>
        <v>596</v>
      </c>
      <c r="I64" s="58">
        <f>_xlfn.XLOOKUP($A64,Inputs!$A:$A,Inputs!I:I,,0)</f>
        <v>416</v>
      </c>
      <c r="J64" s="58">
        <f>_xlfn.XLOOKUP($A64,Inputs!$A:$A,Inputs!J:J,,0)</f>
        <v>-412</v>
      </c>
      <c r="K64" s="58">
        <f>_xlfn.XLOOKUP($A64,Inputs!$A:$A,Inputs!K:K,,0)</f>
        <v>187</v>
      </c>
      <c r="L64" s="58">
        <f>_xlfn.XLOOKUP($A64,Inputs!$A:$A,Inputs!L:L,,0)</f>
        <v>544</v>
      </c>
      <c r="M64" s="58">
        <f>_xlfn.XLOOKUP($A64,Inputs!$A:$A,Inputs!M:M,,0)</f>
        <v>538</v>
      </c>
    </row>
    <row r="66" spans="1:13" ht="20.25">
      <c r="A66" s="1364" t="s">
        <v>92</v>
      </c>
      <c r="B66" s="1364"/>
      <c r="C66" s="1364"/>
      <c r="D66" s="1364"/>
      <c r="E66" s="1364"/>
      <c r="F66" s="1364"/>
      <c r="G66" s="1364"/>
      <c r="H66" s="1364"/>
      <c r="I66" s="1364"/>
      <c r="J66" s="1364"/>
      <c r="K66" s="1364"/>
      <c r="L66" s="1364"/>
      <c r="M66" s="1364"/>
    </row>
    <row r="67" spans="1:13">
      <c r="A67" s="116" t="s">
        <v>93</v>
      </c>
      <c r="B67" s="58">
        <f>_xlfn.XLOOKUP($A67,Inputs!$A:$A,Inputs!B:B,,0)</f>
        <v>1667</v>
      </c>
      <c r="C67" s="58">
        <f>_xlfn.XLOOKUP($A67,Inputs!$A:$A,Inputs!C:C,,0)</f>
        <v>3565</v>
      </c>
      <c r="D67" s="58">
        <f>_xlfn.XLOOKUP($A67,Inputs!$A:$A,Inputs!D:D,,0)</f>
        <v>3521</v>
      </c>
      <c r="E67" s="58">
        <f>_xlfn.XLOOKUP($A67,Inputs!$A:$A,Inputs!E:E,,0)</f>
        <v>1071</v>
      </c>
      <c r="F67" s="58">
        <f>_xlfn.XLOOKUP($A67,Inputs!$A:$A,Inputs!F:F,,0)</f>
        <v>493</v>
      </c>
      <c r="G67" s="58">
        <f>_xlfn.XLOOKUP($A67,Inputs!$A:$A,Inputs!G:G,,0)</f>
        <v>34</v>
      </c>
      <c r="H67" s="58">
        <f>_xlfn.XLOOKUP($A67,Inputs!$A:$A,Inputs!H:H,,0)</f>
        <v>12</v>
      </c>
      <c r="I67" s="58">
        <f>_xlfn.XLOOKUP($A67,Inputs!$A:$A,Inputs!I:I,,0)</f>
        <v>90</v>
      </c>
      <c r="J67" s="58">
        <f>_xlfn.XLOOKUP($A67,Inputs!$A:$A,Inputs!J:J,,0)</f>
        <v>-226</v>
      </c>
      <c r="K67" s="58">
        <f>_xlfn.XLOOKUP($A67,Inputs!$A:$A,Inputs!K:K,,0)</f>
        <v>-98</v>
      </c>
      <c r="L67" s="58">
        <f>_xlfn.XLOOKUP($A67,Inputs!$A:$A,Inputs!L:L,,0)</f>
        <v>-148</v>
      </c>
      <c r="M67" s="58">
        <f>_xlfn.XLOOKUP($A67,Inputs!$A:$A,Inputs!M:M,,0)</f>
        <v>-338</v>
      </c>
    </row>
    <row r="68" spans="1:13">
      <c r="A68" s="116" t="s">
        <v>94</v>
      </c>
      <c r="B68" s="58">
        <f>_xlfn.XLOOKUP($A68,Inputs!$A:$A,Inputs!B:B,,0)</f>
        <v>-1423</v>
      </c>
      <c r="C68" s="58">
        <f>_xlfn.XLOOKUP($A68,Inputs!$A:$A,Inputs!C:C,,0)</f>
        <v>1999</v>
      </c>
      <c r="D68" s="58">
        <f>_xlfn.XLOOKUP($A68,Inputs!$A:$A,Inputs!D:D,,0)</f>
        <v>-686</v>
      </c>
      <c r="E68" s="58">
        <f>_xlfn.XLOOKUP($A68,Inputs!$A:$A,Inputs!E:E,,0)</f>
        <v>-952</v>
      </c>
      <c r="F68" s="58">
        <f>_xlfn.XLOOKUP($A68,Inputs!$A:$A,Inputs!F:F,,0)</f>
        <v>-149</v>
      </c>
      <c r="G68" s="58">
        <f>_xlfn.XLOOKUP($A68,Inputs!$A:$A,Inputs!G:G,,0)</f>
        <v>-170</v>
      </c>
      <c r="H68" s="58">
        <f>_xlfn.XLOOKUP($A68,Inputs!$A:$A,Inputs!H:H,,0)</f>
        <v>-54</v>
      </c>
      <c r="I68" s="58">
        <f>_xlfn.XLOOKUP($A68,Inputs!$A:$A,Inputs!I:I,,0)</f>
        <v>267</v>
      </c>
      <c r="J68" s="58">
        <f>_xlfn.XLOOKUP($A68,Inputs!$A:$A,Inputs!J:J,,0)</f>
        <v>147</v>
      </c>
      <c r="K68" s="58">
        <f>_xlfn.XLOOKUP($A68,Inputs!$A:$A,Inputs!K:K,,0)</f>
        <v>-12</v>
      </c>
      <c r="L68" s="58">
        <f>_xlfn.XLOOKUP($A68,Inputs!$A:$A,Inputs!L:L,,0)</f>
        <v>455</v>
      </c>
      <c r="M68" s="58">
        <f>_xlfn.XLOOKUP($A68,Inputs!$A:$A,Inputs!M:M,,0)</f>
        <v>-19</v>
      </c>
    </row>
    <row r="69" spans="1:13">
      <c r="A69" s="112" t="s">
        <v>95</v>
      </c>
      <c r="B69" s="52">
        <f>_xlfn.XLOOKUP($A69,Inputs!$A:$A,Inputs!B:B,,0)</f>
        <v>-546</v>
      </c>
      <c r="C69" s="52">
        <f>_xlfn.XLOOKUP($A69,Inputs!$A:$A,Inputs!C:C,,0)</f>
        <v>-450</v>
      </c>
      <c r="D69" s="52">
        <f>_xlfn.XLOOKUP($A69,Inputs!$A:$A,Inputs!D:D,,0)</f>
        <v>-301</v>
      </c>
      <c r="E69" s="52">
        <f>_xlfn.XLOOKUP($A69,Inputs!$A:$A,Inputs!E:E,,0)</f>
        <v>-294</v>
      </c>
      <c r="F69" s="52">
        <f>_xlfn.XLOOKUP($A69,Inputs!$A:$A,Inputs!F:F,,0)</f>
        <v>-217</v>
      </c>
      <c r="G69" s="52">
        <f>_xlfn.XLOOKUP($A69,Inputs!$A:$A,Inputs!G:G,,0)</f>
        <v>-163</v>
      </c>
      <c r="H69" s="52">
        <f>_xlfn.XLOOKUP($A69,Inputs!$A:$A,Inputs!H:H,,0)</f>
        <v>-113</v>
      </c>
      <c r="I69" s="52">
        <f>_xlfn.XLOOKUP($A69,Inputs!$A:$A,Inputs!I:I,,0)</f>
        <v>-77</v>
      </c>
      <c r="J69" s="52">
        <f>_xlfn.XLOOKUP($A69,Inputs!$A:$A,Inputs!J:J,,0)</f>
        <v>-96</v>
      </c>
      <c r="K69" s="52">
        <f>_xlfn.XLOOKUP($A69,Inputs!$A:$A,Inputs!K:K,,0)</f>
        <v>-95</v>
      </c>
      <c r="L69" s="52">
        <f>_xlfn.XLOOKUP($A69,Inputs!$A:$A,Inputs!L:L,,0)</f>
        <v>-84</v>
      </c>
      <c r="M69" s="52">
        <f>_xlfn.XLOOKUP($A69,Inputs!$A:$A,Inputs!M:M,,0)</f>
        <v>-133</v>
      </c>
    </row>
    <row r="70" spans="1:13">
      <c r="A70" s="112" t="s">
        <v>96</v>
      </c>
      <c r="B70" s="52">
        <f>_xlfn.XLOOKUP($A70,Inputs!$A:$A,Inputs!B:B,,0)</f>
        <v>-866</v>
      </c>
      <c r="C70" s="52">
        <f>_xlfn.XLOOKUP($A70,Inputs!$A:$A,Inputs!C:C,,0)</f>
        <v>2465</v>
      </c>
      <c r="D70" s="52">
        <f>_xlfn.XLOOKUP($A70,Inputs!$A:$A,Inputs!D:D,,0)</f>
        <v>-378</v>
      </c>
      <c r="E70" s="52">
        <f>_xlfn.XLOOKUP($A70,Inputs!$A:$A,Inputs!E:E,,0)</f>
        <v>-658</v>
      </c>
      <c r="F70" s="52">
        <f>_xlfn.XLOOKUP($A70,Inputs!$A:$A,Inputs!F:F,,0)</f>
        <v>41</v>
      </c>
      <c r="G70" s="52">
        <f>_xlfn.XLOOKUP($A70,Inputs!$A:$A,Inputs!G:G,,0)</f>
        <v>-78</v>
      </c>
      <c r="H70" s="52">
        <f>_xlfn.XLOOKUP($A70,Inputs!$A:$A,Inputs!H:H,,0)</f>
        <v>1</v>
      </c>
      <c r="I70" s="52">
        <f>_xlfn.XLOOKUP($A70,Inputs!$A:$A,Inputs!I:I,,0)</f>
        <v>342</v>
      </c>
      <c r="J70" s="52">
        <f>_xlfn.XLOOKUP($A70,Inputs!$A:$A,Inputs!J:J,,0)</f>
        <v>243</v>
      </c>
      <c r="K70" s="52">
        <f>_xlfn.XLOOKUP($A70,Inputs!$A:$A,Inputs!K:K,,0)</f>
        <v>83</v>
      </c>
      <c r="L70" s="52">
        <f>_xlfn.XLOOKUP($A70,Inputs!$A:$A,Inputs!L:L,,0)</f>
        <v>539</v>
      </c>
      <c r="M70" s="52">
        <f>_xlfn.XLOOKUP($A70,Inputs!$A:$A,Inputs!M:M,,0)</f>
        <v>123</v>
      </c>
    </row>
    <row r="71" spans="1:13">
      <c r="A71" s="116" t="s">
        <v>97</v>
      </c>
      <c r="B71" s="58">
        <f>_xlfn.XLOOKUP($A71,Inputs!$A:$A,Inputs!B:B,,0)</f>
        <v>-1146</v>
      </c>
      <c r="C71" s="58">
        <f>_xlfn.XLOOKUP($A71,Inputs!$A:$A,Inputs!C:C,,0)</f>
        <v>-3264</v>
      </c>
      <c r="D71" s="58">
        <f>_xlfn.XLOOKUP($A71,Inputs!$A:$A,Inputs!D:D,,0)</f>
        <v>-1895</v>
      </c>
      <c r="E71" s="58">
        <f>_xlfn.XLOOKUP($A71,Inputs!$A:$A,Inputs!E:E,,0)</f>
        <v>6</v>
      </c>
      <c r="F71" s="58">
        <f>_xlfn.XLOOKUP($A71,Inputs!$A:$A,Inputs!F:F,,0)</f>
        <v>43</v>
      </c>
      <c r="G71" s="58">
        <f>_xlfn.XLOOKUP($A71,Inputs!$A:$A,Inputs!G:G,,0)</f>
        <v>28</v>
      </c>
      <c r="H71" s="58">
        <f>_xlfn.XLOOKUP($A71,Inputs!$A:$A,Inputs!H:H,,0)</f>
        <v>-33</v>
      </c>
      <c r="I71" s="58">
        <f>_xlfn.XLOOKUP($A71,Inputs!$A:$A,Inputs!I:I,,0)</f>
        <v>122</v>
      </c>
      <c r="J71" s="58">
        <f>_xlfn.XLOOKUP($A71,Inputs!$A:$A,Inputs!J:J,,0)</f>
        <v>59</v>
      </c>
      <c r="K71" s="58">
        <f>_xlfn.XLOOKUP($A71,Inputs!$A:$A,Inputs!K:K,,0)</f>
        <v>46</v>
      </c>
      <c r="L71" s="58">
        <f>_xlfn.XLOOKUP($A71,Inputs!$A:$A,Inputs!L:L,,0)</f>
        <v>13</v>
      </c>
      <c r="M71" s="58">
        <f>_xlfn.XLOOKUP($A71,Inputs!$A:$A,Inputs!M:M,,0)</f>
        <v>37</v>
      </c>
    </row>
    <row r="72" spans="1:13">
      <c r="A72" s="112" t="s">
        <v>98</v>
      </c>
      <c r="B72" s="52">
        <f>_xlfn.XLOOKUP($A72,Inputs!$A:$A,Inputs!B:B,,0)</f>
        <v>0</v>
      </c>
      <c r="C72" s="52">
        <f>_xlfn.XLOOKUP($A72,Inputs!$A:$A,Inputs!C:C,,0)</f>
        <v>0</v>
      </c>
      <c r="D72" s="52">
        <f>_xlfn.XLOOKUP($A72,Inputs!$A:$A,Inputs!D:D,,0)</f>
        <v>0</v>
      </c>
      <c r="E72" s="52">
        <f>_xlfn.XLOOKUP($A72,Inputs!$A:$A,Inputs!E:E,,0)</f>
        <v>0</v>
      </c>
      <c r="F72" s="52">
        <f>_xlfn.XLOOKUP($A72,Inputs!$A:$A,Inputs!F:F,,0)</f>
        <v>0</v>
      </c>
      <c r="G72" s="52">
        <f>_xlfn.XLOOKUP($A72,Inputs!$A:$A,Inputs!G:G,,0)</f>
        <v>0</v>
      </c>
      <c r="H72" s="52">
        <f>_xlfn.XLOOKUP($A72,Inputs!$A:$A,Inputs!H:H,,0)</f>
        <v>0</v>
      </c>
      <c r="I72" s="52">
        <f>_xlfn.XLOOKUP($A72,Inputs!$A:$A,Inputs!I:I,,0)</f>
        <v>0</v>
      </c>
      <c r="J72" s="52">
        <f>_xlfn.XLOOKUP($A72,Inputs!$A:$A,Inputs!J:J,,0)</f>
        <v>0</v>
      </c>
      <c r="K72" s="52">
        <f>_xlfn.XLOOKUP($A72,Inputs!$A:$A,Inputs!K:K,,0)</f>
        <v>0</v>
      </c>
      <c r="L72" s="52">
        <f>_xlfn.XLOOKUP($A72,Inputs!$A:$A,Inputs!L:L,,0)</f>
        <v>0</v>
      </c>
      <c r="M72" s="52">
        <f>_xlfn.XLOOKUP($A72,Inputs!$A:$A,Inputs!M:M,,0)</f>
        <v>0</v>
      </c>
    </row>
    <row r="73" spans="1:13">
      <c r="A73" s="112" t="s">
        <v>530</v>
      </c>
      <c r="B73" s="52">
        <f>_xlfn.XLOOKUP($A73,Inputs!$A:$A,Inputs!B:B,,0)</f>
        <v>-985</v>
      </c>
      <c r="C73" s="52">
        <f>_xlfn.XLOOKUP($A73,Inputs!$A:$A,Inputs!C:C,,0)</f>
        <v>-3702</v>
      </c>
      <c r="D73" s="52">
        <f>_xlfn.XLOOKUP($A73,Inputs!$A:$A,Inputs!D:D,,0)</f>
        <v>-1762</v>
      </c>
      <c r="E73" s="52">
        <f>_xlfn.XLOOKUP($A73,Inputs!$A:$A,Inputs!E:E,,0)</f>
        <v>0</v>
      </c>
      <c r="F73" s="52">
        <f>_xlfn.XLOOKUP($A73,Inputs!$A:$A,Inputs!F:F,,0)</f>
        <v>0</v>
      </c>
      <c r="G73" s="52">
        <f>_xlfn.XLOOKUP($A73,Inputs!$A:$A,Inputs!G:G,,0)</f>
        <v>0</v>
      </c>
      <c r="H73" s="52">
        <f>_xlfn.XLOOKUP($A73,Inputs!$A:$A,Inputs!H:H,,0)</f>
        <v>0</v>
      </c>
      <c r="I73" s="52">
        <f>_xlfn.XLOOKUP($A73,Inputs!$A:$A,Inputs!I:I,,0)</f>
        <v>0</v>
      </c>
      <c r="J73" s="52">
        <f>_xlfn.XLOOKUP($A73,Inputs!$A:$A,Inputs!J:J,,0)</f>
        <v>0</v>
      </c>
      <c r="K73" s="52">
        <f>_xlfn.XLOOKUP($A73,Inputs!$A:$A,Inputs!K:K,,0)</f>
        <v>0</v>
      </c>
      <c r="L73" s="52">
        <f>_xlfn.XLOOKUP($A73,Inputs!$A:$A,Inputs!L:L,,0)</f>
        <v>0</v>
      </c>
      <c r="M73" s="52">
        <f>_xlfn.XLOOKUP($A73,Inputs!$A:$A,Inputs!M:M,,0)</f>
        <v>0</v>
      </c>
    </row>
    <row r="74" spans="1:13">
      <c r="A74" s="116" t="s">
        <v>101</v>
      </c>
      <c r="B74" s="58">
        <f>_xlfn.XLOOKUP($A74,Inputs!$A:$A,Inputs!B:B,,0)</f>
        <v>0</v>
      </c>
      <c r="C74" s="58">
        <f>_xlfn.XLOOKUP($A74,Inputs!$A:$A,Inputs!C:C,,0)</f>
        <v>0</v>
      </c>
      <c r="D74" s="58">
        <f>_xlfn.XLOOKUP($A74,Inputs!$A:$A,Inputs!D:D,,0)</f>
        <v>0</v>
      </c>
      <c r="E74" s="58">
        <f>_xlfn.XLOOKUP($A74,Inputs!$A:$A,Inputs!E:E,,0)</f>
        <v>0</v>
      </c>
      <c r="F74" s="58">
        <f>_xlfn.XLOOKUP($A74,Inputs!$A:$A,Inputs!F:F,,0)</f>
        <v>0</v>
      </c>
      <c r="G74" s="58">
        <f>_xlfn.XLOOKUP($A74,Inputs!$A:$A,Inputs!G:G,,0)</f>
        <v>0</v>
      </c>
      <c r="H74" s="58">
        <f>_xlfn.XLOOKUP($A74,Inputs!$A:$A,Inputs!H:H,,0)</f>
        <v>0</v>
      </c>
      <c r="I74" s="58">
        <f>_xlfn.XLOOKUP($A74,Inputs!$A:$A,Inputs!I:I,,0)</f>
        <v>0</v>
      </c>
      <c r="J74" s="58">
        <f>_xlfn.XLOOKUP($A74,Inputs!$A:$A,Inputs!J:J,,0)</f>
        <v>0</v>
      </c>
      <c r="K74" s="58">
        <f>_xlfn.XLOOKUP($A74,Inputs!$A:$A,Inputs!K:K,,0)</f>
        <v>0</v>
      </c>
      <c r="L74" s="58">
        <f>_xlfn.XLOOKUP($A74,Inputs!$A:$A,Inputs!L:L,,0)</f>
        <v>0</v>
      </c>
      <c r="M74" s="58">
        <f>_xlfn.XLOOKUP($A74,Inputs!$A:$A,Inputs!M:M,,0)</f>
        <v>0</v>
      </c>
    </row>
    <row r="75" spans="1:13">
      <c r="A75" s="116" t="s">
        <v>549</v>
      </c>
      <c r="B75" s="58">
        <f>_xlfn.XLOOKUP($A75,Inputs!$A:$A,Inputs!B:B,,0)</f>
        <v>-902</v>
      </c>
      <c r="C75" s="58">
        <f>_xlfn.XLOOKUP($A75,Inputs!$A:$A,Inputs!C:C,,0)</f>
        <v>2300</v>
      </c>
      <c r="D75" s="58">
        <f>_xlfn.XLOOKUP($A75,Inputs!$A:$A,Inputs!D:D,,0)</f>
        <v>940</v>
      </c>
      <c r="E75" s="58">
        <f>_xlfn.XLOOKUP($A75,Inputs!$A:$A,Inputs!E:E,,0)</f>
        <v>125</v>
      </c>
      <c r="F75" s="58">
        <f>_xlfn.XLOOKUP($A75,Inputs!$A:$A,Inputs!F:F,,0)</f>
        <v>387</v>
      </c>
      <c r="G75" s="58">
        <f>_xlfn.XLOOKUP($A75,Inputs!$A:$A,Inputs!G:G,,0)</f>
        <v>-108</v>
      </c>
      <c r="H75" s="58">
        <f>_xlfn.XLOOKUP($A75,Inputs!$A:$A,Inputs!H:H,,0)</f>
        <v>-75</v>
      </c>
      <c r="I75" s="58">
        <f>_xlfn.XLOOKUP($A75,Inputs!$A:$A,Inputs!I:I,,0)</f>
        <v>479</v>
      </c>
      <c r="J75" s="58">
        <f>_xlfn.XLOOKUP($A75,Inputs!$A:$A,Inputs!J:J,,0)</f>
        <v>-20</v>
      </c>
      <c r="K75" s="58">
        <f>_xlfn.XLOOKUP($A75,Inputs!$A:$A,Inputs!K:K,,0)</f>
        <v>-64</v>
      </c>
      <c r="L75" s="58">
        <f>_xlfn.XLOOKUP($A75,Inputs!$A:$A,Inputs!L:L,,0)</f>
        <v>320</v>
      </c>
      <c r="M75" s="58">
        <f>_xlfn.XLOOKUP($A75,Inputs!$A:$A,Inputs!M:M,,0)</f>
        <v>-320</v>
      </c>
    </row>
    <row r="76" spans="1:13">
      <c r="K76" s="42"/>
      <c r="L76" s="42"/>
      <c r="M76" s="42"/>
    </row>
    <row r="77" spans="1:13" ht="20.25">
      <c r="A77" s="1364" t="s">
        <v>550</v>
      </c>
      <c r="B77" s="1364"/>
      <c r="C77" s="1364"/>
      <c r="D77" s="1364"/>
      <c r="E77" s="1364"/>
      <c r="F77" s="1364"/>
      <c r="G77" s="1364"/>
      <c r="H77" s="1364"/>
      <c r="I77" s="1364"/>
      <c r="J77" s="1364"/>
      <c r="K77" s="1364"/>
      <c r="L77" s="1364"/>
      <c r="M77" s="1364"/>
    </row>
    <row r="78" spans="1:13">
      <c r="A78" s="111" t="s">
        <v>551</v>
      </c>
      <c r="B78" s="52" t="e">
        <f>_xlfn.XLOOKUP($A78,Inputs!$A:$A,Inputs!B:B,,0)</f>
        <v>#N/A</v>
      </c>
      <c r="C78" s="52" t="e">
        <f>_xlfn.XLOOKUP($A78,Inputs!$A:$A,Inputs!C:C,,0)</f>
        <v>#N/A</v>
      </c>
      <c r="D78" s="52" t="e">
        <f>_xlfn.XLOOKUP($A78,Inputs!$A:$A,Inputs!D:D,,0)</f>
        <v>#N/A</v>
      </c>
      <c r="E78" s="52" t="e">
        <f>_xlfn.XLOOKUP($A78,Inputs!$A:$A,Inputs!E:E,,0)</f>
        <v>#N/A</v>
      </c>
      <c r="F78" s="52" t="e">
        <f>_xlfn.XLOOKUP($A78,Inputs!$A:$A,Inputs!F:F,,0)</f>
        <v>#N/A</v>
      </c>
      <c r="G78" s="52" t="e">
        <f>_xlfn.XLOOKUP($A78,Inputs!$A:$A,Inputs!G:G,,0)</f>
        <v>#N/A</v>
      </c>
      <c r="H78" s="52" t="e">
        <f>_xlfn.XLOOKUP($A78,Inputs!$A:$A,Inputs!H:H,,0)</f>
        <v>#N/A</v>
      </c>
      <c r="I78" s="52" t="e">
        <f>_xlfn.XLOOKUP($A78,Inputs!$A:$A,Inputs!I:I,,0)</f>
        <v>#N/A</v>
      </c>
      <c r="J78" s="52" t="e">
        <f>_xlfn.XLOOKUP($A78,Inputs!$A:$A,Inputs!J:J,,0)</f>
        <v>#N/A</v>
      </c>
      <c r="K78" s="52" t="e">
        <f>_xlfn.XLOOKUP($A78,Inputs!$A:$A,Inputs!K:K,,0)</f>
        <v>#N/A</v>
      </c>
      <c r="L78" s="52" t="e">
        <f>_xlfn.XLOOKUP($A78,Inputs!$A:$A,Inputs!L:L,,0)</f>
        <v>#N/A</v>
      </c>
      <c r="M78" s="52" t="e">
        <f>_xlfn.XLOOKUP($A78,Inputs!$A:$A,Inputs!M:M,,0)</f>
        <v>#N/A</v>
      </c>
    </row>
    <row r="79" spans="1:13">
      <c r="A79" s="117" t="s">
        <v>552</v>
      </c>
      <c r="B79" s="52" t="e">
        <f>_xlfn.XLOOKUP($A79,Inputs!$A:$A,Inputs!B:B,,0)</f>
        <v>#N/A</v>
      </c>
      <c r="C79" s="52" t="e">
        <f>_xlfn.XLOOKUP($A79,Inputs!$A:$A,Inputs!C:C,,0)</f>
        <v>#N/A</v>
      </c>
      <c r="D79" s="52" t="e">
        <f>_xlfn.XLOOKUP($A79,Inputs!$A:$A,Inputs!D:D,,0)</f>
        <v>#N/A</v>
      </c>
      <c r="E79" s="52" t="e">
        <f>_xlfn.XLOOKUP($A79,Inputs!$A:$A,Inputs!E:E,,0)</f>
        <v>#N/A</v>
      </c>
      <c r="F79" s="52" t="e">
        <f>_xlfn.XLOOKUP($A79,Inputs!$A:$A,Inputs!F:F,,0)</f>
        <v>#N/A</v>
      </c>
      <c r="G79" s="52" t="e">
        <f>_xlfn.XLOOKUP($A79,Inputs!$A:$A,Inputs!G:G,,0)</f>
        <v>#N/A</v>
      </c>
      <c r="H79" s="52" t="e">
        <f>_xlfn.XLOOKUP($A79,Inputs!$A:$A,Inputs!H:H,,0)</f>
        <v>#N/A</v>
      </c>
      <c r="I79" s="52" t="e">
        <f>_xlfn.XLOOKUP($A79,Inputs!$A:$A,Inputs!I:I,,0)</f>
        <v>#N/A</v>
      </c>
      <c r="J79" s="52" t="e">
        <f>_xlfn.XLOOKUP($A79,Inputs!$A:$A,Inputs!J:J,,0)</f>
        <v>#N/A</v>
      </c>
      <c r="K79" s="52" t="e">
        <f>_xlfn.XLOOKUP($A79,Inputs!$A:$A,Inputs!K:K,,0)</f>
        <v>#N/A</v>
      </c>
      <c r="L79" s="52" t="e">
        <f>_xlfn.XLOOKUP($A79,Inputs!$A:$A,Inputs!L:L,,0)</f>
        <v>#N/A</v>
      </c>
      <c r="M79" s="52" t="e">
        <f>_xlfn.XLOOKUP($A79,Inputs!$A:$A,Inputs!M:M,,0)</f>
        <v>#N/A</v>
      </c>
    </row>
    <row r="80" spans="1:13">
      <c r="A80" s="111" t="s">
        <v>23</v>
      </c>
      <c r="B80" s="52">
        <f>_xlfn.XLOOKUP($A80,Inputs!$A:$A,Inputs!B:B,,0)</f>
        <v>0.99460000000000004</v>
      </c>
      <c r="C80" s="52" t="str">
        <f>_xlfn.XLOOKUP($A80,Inputs!$A:$A,Inputs!C:C,,0)</f>
        <v>Yahoo finance</v>
      </c>
      <c r="D80" s="52">
        <f>_xlfn.XLOOKUP($A80,Inputs!$A:$A,Inputs!D:D,,0)</f>
        <v>0</v>
      </c>
      <c r="E80" s="52">
        <f>_xlfn.XLOOKUP($A80,Inputs!$A:$A,Inputs!E:E,,0)</f>
        <v>0</v>
      </c>
      <c r="F80" s="52">
        <f>_xlfn.XLOOKUP($A80,Inputs!$A:$A,Inputs!F:F,,0)</f>
        <v>0</v>
      </c>
      <c r="G80" s="52">
        <f>_xlfn.XLOOKUP($A80,Inputs!$A:$A,Inputs!G:G,,0)</f>
        <v>0</v>
      </c>
      <c r="H80" s="52">
        <f>_xlfn.XLOOKUP($A80,Inputs!$A:$A,Inputs!H:H,,0)</f>
        <v>0</v>
      </c>
      <c r="I80" s="52">
        <f>_xlfn.XLOOKUP($A80,Inputs!$A:$A,Inputs!I:I,,0)</f>
        <v>0</v>
      </c>
      <c r="J80" s="52">
        <f>_xlfn.XLOOKUP($A80,Inputs!$A:$A,Inputs!J:J,,0)</f>
        <v>0</v>
      </c>
      <c r="K80" s="52">
        <f>_xlfn.XLOOKUP($A80,Inputs!$A:$A,Inputs!K:K,,0)</f>
        <v>0</v>
      </c>
      <c r="L80" s="52">
        <f>_xlfn.XLOOKUP($A80,Inputs!$A:$A,Inputs!L:L,,0)</f>
        <v>0</v>
      </c>
      <c r="M80" s="52">
        <f>_xlfn.XLOOKUP($A80,Inputs!$A:$A,Inputs!M:M,,0)</f>
        <v>0</v>
      </c>
    </row>
    <row r="81" spans="1:13">
      <c r="A81" s="117" t="s">
        <v>27</v>
      </c>
      <c r="B81" s="52">
        <f>_xlfn.XLOOKUP($A81,Inputs!$A:$A,Inputs!B:B,,0)</f>
        <v>4.7999999999999996E-3</v>
      </c>
      <c r="C81" s="52" t="str">
        <f>_xlfn.XLOOKUP($A81,Inputs!$A:$A,Inputs!C:C,,0)</f>
        <v>Yahoo finance</v>
      </c>
      <c r="D81" s="52">
        <f>_xlfn.XLOOKUP($A81,Inputs!$A:$A,Inputs!D:D,,0)</f>
        <v>0</v>
      </c>
      <c r="E81" s="52">
        <f>_xlfn.XLOOKUP($A81,Inputs!$A:$A,Inputs!E:E,,0)</f>
        <v>0</v>
      </c>
      <c r="F81" s="52">
        <f>_xlfn.XLOOKUP($A81,Inputs!$A:$A,Inputs!F:F,,0)</f>
        <v>0</v>
      </c>
      <c r="G81" s="52">
        <f>_xlfn.XLOOKUP($A81,Inputs!$A:$A,Inputs!G:G,,0)</f>
        <v>0</v>
      </c>
      <c r="H81" s="52">
        <f>_xlfn.XLOOKUP($A81,Inputs!$A:$A,Inputs!H:H,,0)</f>
        <v>0</v>
      </c>
      <c r="I81" s="52">
        <f>_xlfn.XLOOKUP($A81,Inputs!$A:$A,Inputs!I:I,,0)</f>
        <v>0</v>
      </c>
      <c r="J81" s="52">
        <f>_xlfn.XLOOKUP($A81,Inputs!$A:$A,Inputs!J:J,,0)</f>
        <v>0</v>
      </c>
      <c r="K81" s="52">
        <f>_xlfn.XLOOKUP($A81,Inputs!$A:$A,Inputs!K:K,,0)</f>
        <v>0</v>
      </c>
      <c r="L81" s="52">
        <f>_xlfn.XLOOKUP($A81,Inputs!$A:$A,Inputs!L:L,,0)</f>
        <v>0</v>
      </c>
      <c r="M81" s="52">
        <f>_xlfn.XLOOKUP($A81,Inputs!$A:$A,Inputs!M:M,,0)</f>
        <v>0</v>
      </c>
    </row>
    <row r="82" spans="1:13">
      <c r="A82" s="111" t="s">
        <v>553</v>
      </c>
      <c r="B82" s="52" t="str">
        <f>_xlfn.XLOOKUP($A82,Inputs!$A:$A,Inputs!B:B,,0)</f>
        <v>A-</v>
      </c>
      <c r="C82" s="52" t="str">
        <f>_xlfn.XLOOKUP($A82,Inputs!$A:$A,Inputs!C:C,,0)</f>
        <v>10-K</v>
      </c>
      <c r="D82" s="52">
        <f>_xlfn.XLOOKUP($A82,Inputs!$A:$A,Inputs!D:D,,0)</f>
        <v>0</v>
      </c>
      <c r="E82" s="52">
        <f>_xlfn.XLOOKUP($A82,Inputs!$A:$A,Inputs!E:E,,0)</f>
        <v>0</v>
      </c>
      <c r="F82" s="52">
        <f>_xlfn.XLOOKUP($A82,Inputs!$A:$A,Inputs!F:F,,0)</f>
        <v>0</v>
      </c>
      <c r="G82" s="52">
        <f>_xlfn.XLOOKUP($A82,Inputs!$A:$A,Inputs!G:G,,0)</f>
        <v>0</v>
      </c>
      <c r="H82" s="52">
        <f>_xlfn.XLOOKUP($A82,Inputs!$A:$A,Inputs!H:H,,0)</f>
        <v>0</v>
      </c>
      <c r="I82" s="52">
        <f>_xlfn.XLOOKUP($A82,Inputs!$A:$A,Inputs!I:I,,0)</f>
        <v>0</v>
      </c>
      <c r="J82" s="52">
        <f>_xlfn.XLOOKUP($A82,Inputs!$A:$A,Inputs!J:J,,0)</f>
        <v>0</v>
      </c>
      <c r="K82" s="52">
        <f>_xlfn.XLOOKUP($A82,Inputs!$A:$A,Inputs!K:K,,0)</f>
        <v>0</v>
      </c>
      <c r="L82" s="52">
        <f>_xlfn.XLOOKUP($A82,Inputs!$A:$A,Inputs!L:L,,0)</f>
        <v>0</v>
      </c>
      <c r="M82" s="52">
        <f>_xlfn.XLOOKUP($A82,Inputs!$A:$A,Inputs!M:M,,0)</f>
        <v>0</v>
      </c>
    </row>
    <row r="83" spans="1:13">
      <c r="A83" s="111" t="s">
        <v>554</v>
      </c>
      <c r="B83" s="52" t="e">
        <f>_xlfn.XLOOKUP($A83,Inputs!$A:$A,Inputs!B:B,,0)</f>
        <v>#N/A</v>
      </c>
      <c r="C83" s="52" t="e">
        <f>_xlfn.XLOOKUP($A83,Inputs!$A:$A,Inputs!C:C,,0)</f>
        <v>#N/A</v>
      </c>
      <c r="D83" s="52" t="e">
        <f>_xlfn.XLOOKUP($A83,Inputs!$A:$A,Inputs!D:D,,0)</f>
        <v>#N/A</v>
      </c>
      <c r="E83" s="52" t="e">
        <f>_xlfn.XLOOKUP($A83,Inputs!$A:$A,Inputs!E:E,,0)</f>
        <v>#N/A</v>
      </c>
      <c r="F83" s="52" t="e">
        <f>_xlfn.XLOOKUP($A83,Inputs!$A:$A,Inputs!F:F,,0)</f>
        <v>#N/A</v>
      </c>
      <c r="G83" s="52" t="e">
        <f>_xlfn.XLOOKUP($A83,Inputs!$A:$A,Inputs!G:G,,0)</f>
        <v>#N/A</v>
      </c>
      <c r="H83" s="52" t="e">
        <f>_xlfn.XLOOKUP($A83,Inputs!$A:$A,Inputs!H:H,,0)</f>
        <v>#N/A</v>
      </c>
      <c r="I83" s="52" t="e">
        <f>_xlfn.XLOOKUP($A83,Inputs!$A:$A,Inputs!I:I,,0)</f>
        <v>#N/A</v>
      </c>
      <c r="J83" s="52" t="e">
        <f>_xlfn.XLOOKUP($A83,Inputs!$A:$A,Inputs!J:J,,0)</f>
        <v>#N/A</v>
      </c>
      <c r="K83" s="52" t="e">
        <f>_xlfn.XLOOKUP($A83,Inputs!$A:$A,Inputs!K:K,,0)</f>
        <v>#N/A</v>
      </c>
      <c r="L83" s="52" t="e">
        <f>_xlfn.XLOOKUP($A83,Inputs!$A:$A,Inputs!L:L,,0)</f>
        <v>#N/A</v>
      </c>
      <c r="M83" s="52" t="e">
        <f>_xlfn.XLOOKUP($A83,Inputs!$A:$A,Inputs!M:M,,0)</f>
        <v>#N/A</v>
      </c>
    </row>
    <row r="84" spans="1:13">
      <c r="A84" s="117" t="s">
        <v>555</v>
      </c>
      <c r="B84" s="52">
        <f>_xlfn.XLOOKUP($A84,Inputs!$A:$A,Inputs!B:B,,0)</f>
        <v>74.760000000000005</v>
      </c>
      <c r="C84" s="52" t="str">
        <f>_xlfn.XLOOKUP($A84,Inputs!$A:$A,Inputs!C:C,,0)</f>
        <v>Yahoo Finance</v>
      </c>
      <c r="D84" s="52">
        <f>_xlfn.XLOOKUP($A84,Inputs!$A:$A,Inputs!D:D,,0)</f>
        <v>0</v>
      </c>
      <c r="E84" s="52">
        <f>_xlfn.XLOOKUP($A84,Inputs!$A:$A,Inputs!E:E,,0)</f>
        <v>0</v>
      </c>
      <c r="F84" s="52">
        <f>_xlfn.XLOOKUP($A84,Inputs!$A:$A,Inputs!F:F,,0)</f>
        <v>0</v>
      </c>
      <c r="G84" s="52">
        <f>_xlfn.XLOOKUP($A84,Inputs!$A:$A,Inputs!G:G,,0)</f>
        <v>0</v>
      </c>
      <c r="H84" s="52">
        <f>_xlfn.XLOOKUP($A84,Inputs!$A:$A,Inputs!H:H,,0)</f>
        <v>0</v>
      </c>
      <c r="I84" s="52">
        <f>_xlfn.XLOOKUP($A84,Inputs!$A:$A,Inputs!I:I,,0)</f>
        <v>0</v>
      </c>
      <c r="J84" s="52">
        <f>_xlfn.XLOOKUP($A84,Inputs!$A:$A,Inputs!J:J,,0)</f>
        <v>0</v>
      </c>
      <c r="K84" s="52">
        <f>_xlfn.XLOOKUP($A84,Inputs!$A:$A,Inputs!K:K,,0)</f>
        <v>0</v>
      </c>
      <c r="L84" s="52">
        <f>_xlfn.XLOOKUP($A84,Inputs!$A:$A,Inputs!L:L,,0)</f>
        <v>0</v>
      </c>
      <c r="M84" s="52">
        <f>_xlfn.XLOOKUP($A84,Inputs!$A:$A,Inputs!M:M,,0)</f>
        <v>0</v>
      </c>
    </row>
    <row r="85" spans="1:13">
      <c r="B85" s="44"/>
      <c r="C85" s="44"/>
      <c r="D85" s="44"/>
      <c r="E85" s="44"/>
      <c r="F85" s="44"/>
      <c r="G85" s="44"/>
      <c r="H85" s="44"/>
      <c r="I85" s="44"/>
      <c r="J85" s="44"/>
      <c r="K85" s="44"/>
      <c r="L85" s="44"/>
      <c r="M85" s="44"/>
    </row>
    <row r="86" spans="1:13">
      <c r="B86" s="43">
        <v>2020</v>
      </c>
      <c r="C86" s="43">
        <v>2021</v>
      </c>
      <c r="D86" s="43">
        <v>2022</v>
      </c>
      <c r="G86" s="43"/>
      <c r="H86" s="44"/>
      <c r="I86" s="44"/>
      <c r="J86" s="44"/>
      <c r="K86" s="44"/>
      <c r="L86" s="44"/>
      <c r="M86" s="44"/>
    </row>
    <row r="87" spans="1:13">
      <c r="A87" s="111" t="s">
        <v>556</v>
      </c>
      <c r="B87" s="56">
        <v>0</v>
      </c>
      <c r="C87" s="56">
        <v>0</v>
      </c>
      <c r="D87" s="57">
        <v>0</v>
      </c>
      <c r="G87" s="44"/>
      <c r="H87" s="44"/>
      <c r="I87" s="44"/>
      <c r="J87" s="44"/>
      <c r="K87" s="44"/>
      <c r="L87" s="44"/>
      <c r="M87" s="44"/>
    </row>
    <row r="88" spans="1:13">
      <c r="A88" s="117" t="s">
        <v>48</v>
      </c>
      <c r="B88" s="56">
        <v>0</v>
      </c>
      <c r="C88" s="56">
        <v>0</v>
      </c>
      <c r="D88" s="57">
        <v>0</v>
      </c>
    </row>
    <row r="90" spans="1:13">
      <c r="A90" s="11" t="s">
        <v>557</v>
      </c>
      <c r="B90" s="43" t="s">
        <v>558</v>
      </c>
      <c r="C90" s="43" t="s">
        <v>559</v>
      </c>
      <c r="D90" s="43" t="s">
        <v>560</v>
      </c>
      <c r="E90" s="43" t="s">
        <v>561</v>
      </c>
      <c r="G90" s="43"/>
    </row>
    <row r="91" spans="1:13">
      <c r="B91" s="59" t="e">
        <f>VLOOKUP($A91,Inputs!$A$5:$M$107,MATCH(B$4,Inputs!$B$5:$M$5,0)+1,FALSE)</f>
        <v>#N/A</v>
      </c>
      <c r="C91" s="59" t="e">
        <f>VLOOKUP($A91,Inputs!$A$5:$M$107,MATCH(C$4,Inputs!$B$5:$M$5,0)+1,FALSE)</f>
        <v>#N/A</v>
      </c>
      <c r="D91" s="59" t="e">
        <f>VLOOKUP($A91,Inputs!$A$5:$M$107,MATCH(D$4,Inputs!$B$5:$M$5,0)+1,FALSE)</f>
        <v>#N/A</v>
      </c>
      <c r="E91" s="59" t="e">
        <f>VLOOKUP($A91,Inputs!$A$5:$M$107,MATCH(E$4,Inputs!$B$5:$M$5,0)+1,FALSE)</f>
        <v>#N/A</v>
      </c>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c r="E2" s="8" t="s">
        <v>562</v>
      </c>
      <c r="F2" s="8" t="s">
        <v>563</v>
      </c>
      <c r="H2" s="8" t="s">
        <v>320</v>
      </c>
      <c r="K2" s="1367" t="s">
        <v>562</v>
      </c>
      <c r="L2" s="1369" t="s">
        <v>564</v>
      </c>
      <c r="M2" s="1370"/>
      <c r="N2" s="1370"/>
      <c r="O2" s="1370"/>
      <c r="P2" s="1371"/>
      <c r="Q2" s="1370" t="s">
        <v>291</v>
      </c>
      <c r="R2" s="1370"/>
      <c r="S2" s="1370"/>
      <c r="T2" s="1370"/>
      <c r="U2" s="1370"/>
      <c r="V2" s="1370"/>
      <c r="W2" s="1370"/>
      <c r="X2" s="1370"/>
      <c r="Y2" s="1370"/>
      <c r="Z2" s="1370"/>
      <c r="AA2" s="1371"/>
    </row>
    <row r="3" spans="2:27">
      <c r="E3" t="s">
        <v>565</v>
      </c>
      <c r="F3" t="s">
        <v>566</v>
      </c>
      <c r="H3" s="8" t="s">
        <v>324</v>
      </c>
      <c r="K3" s="1368"/>
      <c r="L3" s="68" t="s">
        <v>567</v>
      </c>
      <c r="M3" s="82" t="s">
        <v>568</v>
      </c>
      <c r="N3" s="82" t="s">
        <v>569</v>
      </c>
      <c r="O3" s="82" t="s">
        <v>570</v>
      </c>
      <c r="P3" s="83" t="s">
        <v>571</v>
      </c>
      <c r="Q3" s="82" t="s">
        <v>572</v>
      </c>
      <c r="R3" s="82" t="s">
        <v>573</v>
      </c>
      <c r="S3" s="82" t="s">
        <v>297</v>
      </c>
      <c r="T3" s="82" t="s">
        <v>574</v>
      </c>
      <c r="U3" s="82" t="s">
        <v>575</v>
      </c>
      <c r="V3" s="82" t="s">
        <v>576</v>
      </c>
      <c r="W3" s="82" t="s">
        <v>577</v>
      </c>
      <c r="X3" s="82" t="s">
        <v>578</v>
      </c>
      <c r="Y3" s="82" t="s">
        <v>579</v>
      </c>
      <c r="Z3" s="82" t="s">
        <v>580</v>
      </c>
      <c r="AA3" s="83" t="s">
        <v>312</v>
      </c>
    </row>
    <row r="4" spans="2:27">
      <c r="B4" s="69"/>
      <c r="E4" t="s">
        <v>565</v>
      </c>
      <c r="F4" t="s">
        <v>581</v>
      </c>
      <c r="H4" s="8" t="s">
        <v>327</v>
      </c>
      <c r="K4" s="84" t="s">
        <v>565</v>
      </c>
      <c r="L4" s="85" t="s">
        <v>320</v>
      </c>
      <c r="M4" t="s">
        <v>320</v>
      </c>
      <c r="N4" t="s">
        <v>324</v>
      </c>
      <c r="O4" t="s">
        <v>320</v>
      </c>
      <c r="P4" s="86" t="s">
        <v>320</v>
      </c>
      <c r="Q4" t="s">
        <v>324</v>
      </c>
      <c r="R4" t="s">
        <v>324</v>
      </c>
      <c r="S4" t="s">
        <v>320</v>
      </c>
      <c r="T4" t="s">
        <v>320</v>
      </c>
      <c r="U4" t="s">
        <v>327</v>
      </c>
      <c r="V4" t="s">
        <v>320</v>
      </c>
      <c r="W4" t="s">
        <v>320</v>
      </c>
      <c r="X4" t="s">
        <v>320</v>
      </c>
      <c r="Y4" t="s">
        <v>320</v>
      </c>
      <c r="Z4" t="s">
        <v>320</v>
      </c>
      <c r="AA4" s="86" t="s">
        <v>324</v>
      </c>
    </row>
    <row r="5" spans="2:27" ht="15">
      <c r="B5" s="78" t="s">
        <v>279</v>
      </c>
      <c r="E5" t="s">
        <v>565</v>
      </c>
      <c r="F5" t="s">
        <v>582</v>
      </c>
      <c r="H5" s="8" t="s">
        <v>583</v>
      </c>
      <c r="K5" s="84" t="s">
        <v>584</v>
      </c>
      <c r="L5" s="85" t="s">
        <v>320</v>
      </c>
      <c r="M5" t="s">
        <v>320</v>
      </c>
      <c r="N5" t="s">
        <v>324</v>
      </c>
      <c r="O5" t="s">
        <v>324</v>
      </c>
      <c r="P5" s="86" t="s">
        <v>320</v>
      </c>
      <c r="Q5" t="s">
        <v>324</v>
      </c>
      <c r="R5" t="s">
        <v>324</v>
      </c>
      <c r="S5" t="s">
        <v>320</v>
      </c>
      <c r="T5" t="s">
        <v>320</v>
      </c>
      <c r="U5" t="s">
        <v>324</v>
      </c>
      <c r="V5" t="s">
        <v>324</v>
      </c>
      <c r="W5" t="s">
        <v>324</v>
      </c>
      <c r="X5" t="s">
        <v>327</v>
      </c>
      <c r="Y5" t="s">
        <v>320</v>
      </c>
      <c r="Z5" t="s">
        <v>327</v>
      </c>
      <c r="AA5" s="86" t="s">
        <v>320</v>
      </c>
    </row>
    <row r="6" spans="2:27">
      <c r="B6" s="80" t="s">
        <v>585</v>
      </c>
      <c r="E6" t="s">
        <v>565</v>
      </c>
      <c r="F6" t="s">
        <v>586</v>
      </c>
      <c r="K6" s="84" t="s">
        <v>587</v>
      </c>
      <c r="L6" s="85" t="s">
        <v>327</v>
      </c>
      <c r="M6" t="s">
        <v>583</v>
      </c>
      <c r="N6" t="s">
        <v>327</v>
      </c>
      <c r="O6" t="s">
        <v>327</v>
      </c>
      <c r="P6" s="86" t="s">
        <v>327</v>
      </c>
      <c r="Q6" t="s">
        <v>324</v>
      </c>
      <c r="R6" t="s">
        <v>327</v>
      </c>
      <c r="S6" t="s">
        <v>327</v>
      </c>
      <c r="T6" t="s">
        <v>320</v>
      </c>
      <c r="U6" t="s">
        <v>324</v>
      </c>
      <c r="V6" t="s">
        <v>324</v>
      </c>
      <c r="W6" t="s">
        <v>320</v>
      </c>
      <c r="X6" t="s">
        <v>327</v>
      </c>
      <c r="Y6" t="s">
        <v>320</v>
      </c>
      <c r="Z6" t="s">
        <v>583</v>
      </c>
      <c r="AA6" s="86" t="s">
        <v>320</v>
      </c>
    </row>
    <row r="7" spans="2:27">
      <c r="B7" s="80" t="s">
        <v>588</v>
      </c>
      <c r="E7" t="s">
        <v>565</v>
      </c>
      <c r="F7" t="s">
        <v>589</v>
      </c>
      <c r="K7" s="84" t="s">
        <v>569</v>
      </c>
      <c r="L7" s="85" t="s">
        <v>583</v>
      </c>
      <c r="M7" t="s">
        <v>583</v>
      </c>
      <c r="N7" t="s">
        <v>324</v>
      </c>
      <c r="O7" t="s">
        <v>583</v>
      </c>
      <c r="P7" s="86" t="s">
        <v>327</v>
      </c>
      <c r="Q7" t="s">
        <v>327</v>
      </c>
      <c r="R7" t="s">
        <v>324</v>
      </c>
      <c r="S7" t="s">
        <v>324</v>
      </c>
      <c r="T7" t="s">
        <v>324</v>
      </c>
      <c r="U7" t="s">
        <v>324</v>
      </c>
      <c r="V7" t="s">
        <v>327</v>
      </c>
      <c r="W7" t="s">
        <v>324</v>
      </c>
      <c r="X7" t="s">
        <v>324</v>
      </c>
      <c r="Y7" t="s">
        <v>327</v>
      </c>
      <c r="Z7" t="s">
        <v>327</v>
      </c>
      <c r="AA7" s="86" t="s">
        <v>320</v>
      </c>
    </row>
    <row r="8" spans="2:27">
      <c r="B8" s="80"/>
      <c r="K8" s="84" t="s">
        <v>265</v>
      </c>
      <c r="L8" s="85" t="s">
        <v>320</v>
      </c>
      <c r="M8" t="s">
        <v>320</v>
      </c>
      <c r="N8" t="s">
        <v>320</v>
      </c>
      <c r="O8" t="s">
        <v>324</v>
      </c>
      <c r="P8" s="86" t="s">
        <v>324</v>
      </c>
      <c r="Q8" t="s">
        <v>320</v>
      </c>
      <c r="R8" t="s">
        <v>324</v>
      </c>
      <c r="S8" t="s">
        <v>324</v>
      </c>
      <c r="T8" t="s">
        <v>327</v>
      </c>
      <c r="U8" t="s">
        <v>324</v>
      </c>
      <c r="V8" t="s">
        <v>320</v>
      </c>
      <c r="W8" t="s">
        <v>320</v>
      </c>
      <c r="X8" t="s">
        <v>324</v>
      </c>
      <c r="Y8" t="s">
        <v>324</v>
      </c>
      <c r="Z8" t="s">
        <v>327</v>
      </c>
      <c r="AA8" s="86" t="s">
        <v>320</v>
      </c>
    </row>
    <row r="9" spans="2:27">
      <c r="B9" s="80" t="s">
        <v>285</v>
      </c>
      <c r="E9" t="s">
        <v>565</v>
      </c>
      <c r="F9" t="s">
        <v>590</v>
      </c>
      <c r="K9" s="84" t="s">
        <v>591</v>
      </c>
      <c r="L9" s="85" t="s">
        <v>320</v>
      </c>
      <c r="M9" t="s">
        <v>320</v>
      </c>
      <c r="N9" t="s">
        <v>320</v>
      </c>
      <c r="O9" t="s">
        <v>320</v>
      </c>
      <c r="P9" s="86" t="s">
        <v>320</v>
      </c>
      <c r="Q9" t="s">
        <v>320</v>
      </c>
      <c r="R9" t="s">
        <v>320</v>
      </c>
      <c r="S9" t="s">
        <v>324</v>
      </c>
      <c r="T9" t="s">
        <v>327</v>
      </c>
      <c r="U9" t="s">
        <v>324</v>
      </c>
      <c r="V9" t="s">
        <v>320</v>
      </c>
      <c r="W9" t="s">
        <v>320</v>
      </c>
      <c r="X9" t="s">
        <v>320</v>
      </c>
      <c r="Y9" t="s">
        <v>320</v>
      </c>
      <c r="Z9" t="s">
        <v>324</v>
      </c>
      <c r="AA9" s="86" t="s">
        <v>320</v>
      </c>
    </row>
    <row r="10" spans="2:27">
      <c r="B10" s="80"/>
      <c r="K10" s="84" t="s">
        <v>592</v>
      </c>
      <c r="L10" s="85" t="s">
        <v>320</v>
      </c>
      <c r="M10" t="s">
        <v>324</v>
      </c>
      <c r="N10" t="s">
        <v>320</v>
      </c>
      <c r="O10" t="s">
        <v>324</v>
      </c>
      <c r="P10" s="86" t="s">
        <v>327</v>
      </c>
      <c r="Q10" t="s">
        <v>320</v>
      </c>
      <c r="R10" t="s">
        <v>320</v>
      </c>
      <c r="S10" t="s">
        <v>320</v>
      </c>
      <c r="T10" t="s">
        <v>320</v>
      </c>
      <c r="U10" t="s">
        <v>320</v>
      </c>
      <c r="V10" t="s">
        <v>320</v>
      </c>
      <c r="W10" t="s">
        <v>320</v>
      </c>
      <c r="X10" t="s">
        <v>320</v>
      </c>
      <c r="Y10" t="s">
        <v>324</v>
      </c>
      <c r="Z10" t="s">
        <v>320</v>
      </c>
      <c r="AA10" s="86" t="s">
        <v>320</v>
      </c>
    </row>
    <row r="11" spans="2:27">
      <c r="B11" s="80" t="s">
        <v>287</v>
      </c>
      <c r="E11" t="s">
        <v>565</v>
      </c>
      <c r="F11" t="s">
        <v>593</v>
      </c>
      <c r="K11" s="84" t="s">
        <v>594</v>
      </c>
      <c r="L11" s="85" t="s">
        <v>320</v>
      </c>
      <c r="M11" t="s">
        <v>324</v>
      </c>
      <c r="N11" t="s">
        <v>320</v>
      </c>
      <c r="O11" t="s">
        <v>320</v>
      </c>
      <c r="P11" s="86" t="s">
        <v>320</v>
      </c>
      <c r="Q11" t="s">
        <v>320</v>
      </c>
      <c r="R11" t="s">
        <v>320</v>
      </c>
      <c r="S11" t="s">
        <v>324</v>
      </c>
      <c r="T11" t="s">
        <v>320</v>
      </c>
      <c r="U11" t="s">
        <v>327</v>
      </c>
      <c r="V11" t="s">
        <v>320</v>
      </c>
      <c r="W11" t="s">
        <v>320</v>
      </c>
      <c r="X11" t="s">
        <v>320</v>
      </c>
      <c r="Y11" t="s">
        <v>320</v>
      </c>
      <c r="Z11" t="s">
        <v>320</v>
      </c>
      <c r="AA11" s="86" t="s">
        <v>320</v>
      </c>
    </row>
    <row r="12" spans="2:27">
      <c r="B12" s="79" t="s">
        <v>595</v>
      </c>
      <c r="E12" t="s">
        <v>565</v>
      </c>
      <c r="F12" t="s">
        <v>596</v>
      </c>
      <c r="K12" s="84" t="s">
        <v>597</v>
      </c>
      <c r="L12" s="85" t="s">
        <v>583</v>
      </c>
      <c r="M12" t="s">
        <v>583</v>
      </c>
      <c r="N12" t="s">
        <v>583</v>
      </c>
      <c r="O12" t="s">
        <v>327</v>
      </c>
      <c r="P12" s="86" t="s">
        <v>327</v>
      </c>
      <c r="Q12" t="s">
        <v>320</v>
      </c>
      <c r="R12" t="s">
        <v>324</v>
      </c>
      <c r="S12" t="s">
        <v>327</v>
      </c>
      <c r="T12" t="s">
        <v>583</v>
      </c>
      <c r="U12" t="s">
        <v>324</v>
      </c>
      <c r="V12" t="s">
        <v>583</v>
      </c>
      <c r="W12" t="s">
        <v>324</v>
      </c>
      <c r="X12" t="s">
        <v>583</v>
      </c>
      <c r="Y12" t="s">
        <v>583</v>
      </c>
      <c r="Z12" t="s">
        <v>583</v>
      </c>
      <c r="AA12" s="86" t="s">
        <v>327</v>
      </c>
    </row>
    <row r="13" spans="2:27" ht="15">
      <c r="B13" s="78" t="s">
        <v>291</v>
      </c>
      <c r="E13" t="s">
        <v>565</v>
      </c>
      <c r="F13" t="s">
        <v>598</v>
      </c>
      <c r="K13" s="84" t="s">
        <v>599</v>
      </c>
      <c r="L13" s="85" t="s">
        <v>324</v>
      </c>
      <c r="M13" t="s">
        <v>320</v>
      </c>
      <c r="N13" t="s">
        <v>327</v>
      </c>
      <c r="O13" t="s">
        <v>320</v>
      </c>
      <c r="P13" s="86" t="s">
        <v>320</v>
      </c>
      <c r="Q13" t="s">
        <v>320</v>
      </c>
      <c r="R13" t="s">
        <v>320</v>
      </c>
      <c r="S13" t="s">
        <v>320</v>
      </c>
      <c r="T13" t="s">
        <v>320</v>
      </c>
      <c r="U13" t="s">
        <v>327</v>
      </c>
      <c r="V13" t="s">
        <v>320</v>
      </c>
      <c r="W13" t="s">
        <v>320</v>
      </c>
      <c r="X13" t="s">
        <v>320</v>
      </c>
      <c r="Y13" t="s">
        <v>320</v>
      </c>
      <c r="Z13" t="s">
        <v>324</v>
      </c>
      <c r="AA13" s="86" t="s">
        <v>583</v>
      </c>
    </row>
    <row r="14" spans="2:27">
      <c r="B14" s="73" t="s">
        <v>600</v>
      </c>
      <c r="E14" t="s">
        <v>565</v>
      </c>
      <c r="F14" t="s">
        <v>601</v>
      </c>
      <c r="K14" s="84" t="s">
        <v>602</v>
      </c>
      <c r="L14" s="85" t="s">
        <v>583</v>
      </c>
      <c r="M14" t="s">
        <v>583</v>
      </c>
      <c r="N14" t="s">
        <v>583</v>
      </c>
      <c r="O14" t="s">
        <v>583</v>
      </c>
      <c r="P14" s="86" t="s">
        <v>327</v>
      </c>
      <c r="Q14" t="s">
        <v>327</v>
      </c>
      <c r="R14" t="s">
        <v>327</v>
      </c>
      <c r="S14" t="s">
        <v>324</v>
      </c>
      <c r="T14" t="s">
        <v>327</v>
      </c>
      <c r="U14" t="s">
        <v>320</v>
      </c>
      <c r="V14" t="s">
        <v>583</v>
      </c>
      <c r="W14" t="s">
        <v>324</v>
      </c>
      <c r="X14" t="s">
        <v>324</v>
      </c>
      <c r="Y14" t="s">
        <v>583</v>
      </c>
      <c r="Z14" t="s">
        <v>327</v>
      </c>
      <c r="AA14" s="86" t="s">
        <v>324</v>
      </c>
    </row>
    <row r="15" spans="2:27">
      <c r="B15" s="73" t="s">
        <v>603</v>
      </c>
      <c r="E15" t="s">
        <v>584</v>
      </c>
      <c r="F15" t="s">
        <v>604</v>
      </c>
      <c r="K15" s="84" t="s">
        <v>605</v>
      </c>
      <c r="L15" s="85" t="s">
        <v>320</v>
      </c>
      <c r="M15" t="s">
        <v>320</v>
      </c>
      <c r="N15" t="s">
        <v>324</v>
      </c>
      <c r="O15" t="s">
        <v>320</v>
      </c>
      <c r="P15" s="86" t="s">
        <v>320</v>
      </c>
      <c r="Q15" t="s">
        <v>324</v>
      </c>
      <c r="R15" t="s">
        <v>320</v>
      </c>
      <c r="S15" t="s">
        <v>320</v>
      </c>
      <c r="T15" t="s">
        <v>320</v>
      </c>
      <c r="U15" t="s">
        <v>327</v>
      </c>
      <c r="V15" t="s">
        <v>320</v>
      </c>
      <c r="W15" t="s">
        <v>324</v>
      </c>
      <c r="X15" t="s">
        <v>320</v>
      </c>
      <c r="Y15" t="s">
        <v>324</v>
      </c>
      <c r="Z15" t="s">
        <v>320</v>
      </c>
      <c r="AA15" s="86" t="s">
        <v>320</v>
      </c>
    </row>
    <row r="16" spans="2:27">
      <c r="B16" s="76" t="s">
        <v>606</v>
      </c>
      <c r="E16" t="s">
        <v>584</v>
      </c>
      <c r="F16" t="s">
        <v>607</v>
      </c>
      <c r="K16" s="87" t="s">
        <v>608</v>
      </c>
      <c r="L16" s="88" t="s">
        <v>583</v>
      </c>
      <c r="M16" s="89" t="s">
        <v>327</v>
      </c>
      <c r="N16" s="89" t="s">
        <v>327</v>
      </c>
      <c r="O16" s="89" t="s">
        <v>324</v>
      </c>
      <c r="P16" s="90" t="s">
        <v>327</v>
      </c>
      <c r="Q16" s="89" t="s">
        <v>320</v>
      </c>
      <c r="R16" s="89" t="s">
        <v>324</v>
      </c>
      <c r="S16" s="89" t="s">
        <v>324</v>
      </c>
      <c r="T16" s="89" t="s">
        <v>320</v>
      </c>
      <c r="U16" s="89" t="s">
        <v>324</v>
      </c>
      <c r="V16" s="89" t="s">
        <v>324</v>
      </c>
      <c r="W16" s="89" t="s">
        <v>324</v>
      </c>
      <c r="X16" s="89" t="s">
        <v>324</v>
      </c>
      <c r="Y16" s="89" t="s">
        <v>320</v>
      </c>
      <c r="Z16" s="89" t="s">
        <v>324</v>
      </c>
      <c r="AA16" s="90" t="s">
        <v>320</v>
      </c>
    </row>
    <row r="17" spans="2:22">
      <c r="B17" s="76" t="s">
        <v>609</v>
      </c>
      <c r="E17" t="s">
        <v>584</v>
      </c>
      <c r="F17" t="s">
        <v>610</v>
      </c>
    </row>
    <row r="18" spans="2:22" hidden="1">
      <c r="B18" s="73" t="s">
        <v>611</v>
      </c>
      <c r="E18" t="s">
        <v>584</v>
      </c>
      <c r="F18" t="s">
        <v>612</v>
      </c>
    </row>
    <row r="19" spans="2:22" hidden="1">
      <c r="B19" s="73" t="s">
        <v>613</v>
      </c>
      <c r="E19" t="s">
        <v>584</v>
      </c>
      <c r="F19" t="s">
        <v>614</v>
      </c>
      <c r="L19" s="91" t="s">
        <v>565</v>
      </c>
      <c r="M19" s="92" t="s">
        <v>584</v>
      </c>
      <c r="N19" s="92" t="s">
        <v>587</v>
      </c>
      <c r="O19" s="92" t="s">
        <v>569</v>
      </c>
      <c r="P19" s="92" t="s">
        <v>591</v>
      </c>
      <c r="Q19" s="92" t="s">
        <v>594</v>
      </c>
      <c r="R19" s="92" t="s">
        <v>597</v>
      </c>
      <c r="S19" s="92" t="s">
        <v>599</v>
      </c>
      <c r="T19" s="92" t="s">
        <v>602</v>
      </c>
      <c r="U19" s="92" t="s">
        <v>605</v>
      </c>
      <c r="V19" s="93" t="s">
        <v>608</v>
      </c>
    </row>
    <row r="20" spans="2:22" hidden="1">
      <c r="B20" s="73" t="s">
        <v>305</v>
      </c>
      <c r="E20" t="s">
        <v>584</v>
      </c>
      <c r="F20" t="s">
        <v>615</v>
      </c>
      <c r="L20" s="85" t="s">
        <v>566</v>
      </c>
      <c r="M20" t="s">
        <v>604</v>
      </c>
      <c r="N20" t="s">
        <v>616</v>
      </c>
      <c r="O20" t="s">
        <v>617</v>
      </c>
      <c r="P20" t="s">
        <v>618</v>
      </c>
      <c r="Q20" t="s">
        <v>619</v>
      </c>
      <c r="R20" t="s">
        <v>620</v>
      </c>
      <c r="S20" t="s">
        <v>621</v>
      </c>
      <c r="T20" t="s">
        <v>622</v>
      </c>
      <c r="U20" t="s">
        <v>623</v>
      </c>
      <c r="V20" s="86" t="s">
        <v>624</v>
      </c>
    </row>
    <row r="21" spans="2:22" hidden="1">
      <c r="B21" s="73" t="s">
        <v>307</v>
      </c>
      <c r="E21" t="s">
        <v>584</v>
      </c>
      <c r="F21" t="s">
        <v>625</v>
      </c>
      <c r="L21" s="85" t="s">
        <v>581</v>
      </c>
      <c r="M21" t="s">
        <v>607</v>
      </c>
      <c r="N21" t="s">
        <v>626</v>
      </c>
      <c r="O21" t="s">
        <v>627</v>
      </c>
      <c r="P21" t="s">
        <v>628</v>
      </c>
      <c r="Q21" t="s">
        <v>629</v>
      </c>
      <c r="R21" t="s">
        <v>630</v>
      </c>
      <c r="S21" t="s">
        <v>631</v>
      </c>
      <c r="T21" t="s">
        <v>632</v>
      </c>
      <c r="U21" t="s">
        <v>633</v>
      </c>
      <c r="V21" s="86" t="s">
        <v>634</v>
      </c>
    </row>
    <row r="22" spans="2:22" hidden="1">
      <c r="B22" s="73" t="s">
        <v>309</v>
      </c>
      <c r="E22" t="s">
        <v>584</v>
      </c>
      <c r="F22" t="s">
        <v>635</v>
      </c>
      <c r="L22" s="85" t="s">
        <v>582</v>
      </c>
      <c r="M22" t="s">
        <v>610</v>
      </c>
      <c r="N22" t="s">
        <v>636</v>
      </c>
      <c r="O22" t="s">
        <v>637</v>
      </c>
      <c r="P22" t="s">
        <v>638</v>
      </c>
      <c r="Q22" t="s">
        <v>639</v>
      </c>
      <c r="R22" t="s">
        <v>640</v>
      </c>
      <c r="S22" t="s">
        <v>641</v>
      </c>
      <c r="T22" t="s">
        <v>642</v>
      </c>
      <c r="U22" t="s">
        <v>643</v>
      </c>
      <c r="V22" s="86" t="s">
        <v>644</v>
      </c>
    </row>
    <row r="23" spans="2:22" hidden="1">
      <c r="B23" s="73" t="s">
        <v>311</v>
      </c>
      <c r="E23" t="s">
        <v>584</v>
      </c>
      <c r="F23" t="s">
        <v>645</v>
      </c>
      <c r="L23" s="85" t="s">
        <v>586</v>
      </c>
      <c r="M23" t="s">
        <v>612</v>
      </c>
      <c r="N23" t="s">
        <v>646</v>
      </c>
      <c r="O23" t="s">
        <v>647</v>
      </c>
      <c r="P23" t="s">
        <v>648</v>
      </c>
      <c r="Q23" t="s">
        <v>649</v>
      </c>
      <c r="R23" t="s">
        <v>650</v>
      </c>
      <c r="S23" t="s">
        <v>651</v>
      </c>
      <c r="T23" t="s">
        <v>652</v>
      </c>
      <c r="U23" t="s">
        <v>653</v>
      </c>
      <c r="V23" s="86" t="s">
        <v>654</v>
      </c>
    </row>
    <row r="24" spans="2:22" hidden="1">
      <c r="B24" s="75" t="s">
        <v>312</v>
      </c>
      <c r="E24" t="s">
        <v>584</v>
      </c>
      <c r="F24" t="s">
        <v>655</v>
      </c>
      <c r="L24" s="85" t="s">
        <v>589</v>
      </c>
      <c r="M24" t="s">
        <v>614</v>
      </c>
      <c r="N24" t="s">
        <v>656</v>
      </c>
      <c r="O24" t="s">
        <v>657</v>
      </c>
      <c r="P24" t="s">
        <v>658</v>
      </c>
      <c r="Q24" t="s">
        <v>659</v>
      </c>
      <c r="R24" t="s">
        <v>660</v>
      </c>
      <c r="S24" t="s">
        <v>661</v>
      </c>
      <c r="T24" t="s">
        <v>662</v>
      </c>
      <c r="U24" t="s">
        <v>663</v>
      </c>
      <c r="V24" s="86" t="s">
        <v>664</v>
      </c>
    </row>
    <row r="25" spans="2:22" hidden="1">
      <c r="E25" t="s">
        <v>584</v>
      </c>
      <c r="F25" t="s">
        <v>665</v>
      </c>
      <c r="L25" s="85" t="s">
        <v>590</v>
      </c>
      <c r="M25" t="s">
        <v>615</v>
      </c>
      <c r="N25" t="s">
        <v>666</v>
      </c>
      <c r="P25" t="s">
        <v>667</v>
      </c>
      <c r="Q25" t="s">
        <v>668</v>
      </c>
      <c r="R25" t="s">
        <v>669</v>
      </c>
      <c r="S25" t="s">
        <v>670</v>
      </c>
      <c r="T25" t="s">
        <v>671</v>
      </c>
      <c r="U25" t="s">
        <v>672</v>
      </c>
      <c r="V25" s="86"/>
    </row>
    <row r="26" spans="2:22" hidden="1">
      <c r="E26" t="s">
        <v>584</v>
      </c>
      <c r="F26" t="s">
        <v>673</v>
      </c>
      <c r="L26" s="85" t="s">
        <v>593</v>
      </c>
      <c r="M26" t="s">
        <v>625</v>
      </c>
      <c r="N26" t="s">
        <v>674</v>
      </c>
      <c r="P26" t="s">
        <v>675</v>
      </c>
      <c r="Q26" t="s">
        <v>676</v>
      </c>
      <c r="R26" t="s">
        <v>677</v>
      </c>
      <c r="S26" t="s">
        <v>678</v>
      </c>
      <c r="T26" t="s">
        <v>679</v>
      </c>
      <c r="U26" t="s">
        <v>680</v>
      </c>
      <c r="V26" s="86"/>
    </row>
    <row r="27" spans="2:22" hidden="1">
      <c r="E27" t="s">
        <v>584</v>
      </c>
      <c r="F27" t="s">
        <v>681</v>
      </c>
      <c r="L27" s="85" t="s">
        <v>596</v>
      </c>
      <c r="M27" t="s">
        <v>635</v>
      </c>
      <c r="N27" t="s">
        <v>682</v>
      </c>
      <c r="P27" t="s">
        <v>683</v>
      </c>
      <c r="Q27" t="s">
        <v>684</v>
      </c>
      <c r="R27" t="s">
        <v>685</v>
      </c>
      <c r="S27" t="s">
        <v>686</v>
      </c>
      <c r="T27" t="s">
        <v>687</v>
      </c>
      <c r="U27" t="s">
        <v>688</v>
      </c>
      <c r="V27" s="86"/>
    </row>
    <row r="28" spans="2:22" hidden="1">
      <c r="E28" t="s">
        <v>584</v>
      </c>
      <c r="F28" t="s">
        <v>689</v>
      </c>
      <c r="L28" s="85" t="s">
        <v>598</v>
      </c>
      <c r="M28" t="s">
        <v>645</v>
      </c>
      <c r="N28" t="s">
        <v>690</v>
      </c>
      <c r="P28" t="s">
        <v>691</v>
      </c>
      <c r="Q28" t="s">
        <v>692</v>
      </c>
      <c r="R28" t="s">
        <v>693</v>
      </c>
      <c r="S28" t="s">
        <v>694</v>
      </c>
      <c r="T28" t="s">
        <v>695</v>
      </c>
      <c r="V28" s="86"/>
    </row>
    <row r="29" spans="2:22" hidden="1">
      <c r="E29" t="s">
        <v>584</v>
      </c>
      <c r="F29" t="s">
        <v>696</v>
      </c>
      <c r="L29" s="88" t="s">
        <v>601</v>
      </c>
      <c r="M29" s="89" t="s">
        <v>655</v>
      </c>
      <c r="N29" s="89" t="s">
        <v>697</v>
      </c>
      <c r="O29" s="89"/>
      <c r="P29" s="89" t="s">
        <v>698</v>
      </c>
      <c r="Q29" s="89" t="s">
        <v>699</v>
      </c>
      <c r="R29" s="89" t="s">
        <v>700</v>
      </c>
      <c r="S29" s="89" t="s">
        <v>701</v>
      </c>
      <c r="T29" s="89" t="s">
        <v>702</v>
      </c>
      <c r="U29" s="89"/>
      <c r="V29" s="90"/>
    </row>
    <row r="30" spans="2:22" hidden="1">
      <c r="E30" t="s">
        <v>584</v>
      </c>
      <c r="F30" t="s">
        <v>703</v>
      </c>
      <c r="M30" t="s">
        <v>665</v>
      </c>
      <c r="N30" t="s">
        <v>704</v>
      </c>
      <c r="P30" t="s">
        <v>705</v>
      </c>
      <c r="R30" t="s">
        <v>706</v>
      </c>
      <c r="S30" t="s">
        <v>707</v>
      </c>
      <c r="T30" t="s">
        <v>708</v>
      </c>
    </row>
    <row r="31" spans="2:22" hidden="1">
      <c r="E31" t="s">
        <v>584</v>
      </c>
      <c r="F31" t="s">
        <v>709</v>
      </c>
      <c r="M31" t="s">
        <v>673</v>
      </c>
      <c r="N31" t="s">
        <v>710</v>
      </c>
      <c r="P31" t="s">
        <v>711</v>
      </c>
      <c r="R31" t="s">
        <v>712</v>
      </c>
      <c r="S31" t="s">
        <v>713</v>
      </c>
    </row>
    <row r="32" spans="2:22" hidden="1">
      <c r="E32" t="s">
        <v>584</v>
      </c>
      <c r="F32" t="s">
        <v>714</v>
      </c>
      <c r="M32" t="s">
        <v>681</v>
      </c>
      <c r="P32" t="s">
        <v>715</v>
      </c>
      <c r="R32" t="s">
        <v>716</v>
      </c>
      <c r="S32" t="s">
        <v>717</v>
      </c>
    </row>
    <row r="33" spans="5:18" hidden="1">
      <c r="E33" t="s">
        <v>584</v>
      </c>
      <c r="F33" t="s">
        <v>718</v>
      </c>
      <c r="M33" t="s">
        <v>689</v>
      </c>
      <c r="R33" t="s">
        <v>719</v>
      </c>
    </row>
    <row r="34" spans="5:18" hidden="1">
      <c r="E34" t="s">
        <v>584</v>
      </c>
      <c r="F34" t="s">
        <v>720</v>
      </c>
      <c r="M34" t="s">
        <v>696</v>
      </c>
      <c r="R34" t="s">
        <v>721</v>
      </c>
    </row>
    <row r="35" spans="5:18" hidden="1">
      <c r="E35" t="s">
        <v>587</v>
      </c>
      <c r="F35" t="s">
        <v>616</v>
      </c>
      <c r="M35" t="s">
        <v>703</v>
      </c>
      <c r="R35" t="s">
        <v>722</v>
      </c>
    </row>
    <row r="36" spans="5:18" hidden="1">
      <c r="E36" t="s">
        <v>587</v>
      </c>
      <c r="F36" t="s">
        <v>626</v>
      </c>
      <c r="M36" t="s">
        <v>709</v>
      </c>
      <c r="R36" t="s">
        <v>723</v>
      </c>
    </row>
    <row r="37" spans="5:18" hidden="1">
      <c r="E37" t="s">
        <v>587</v>
      </c>
      <c r="F37" t="s">
        <v>636</v>
      </c>
      <c r="M37" t="s">
        <v>714</v>
      </c>
    </row>
    <row r="38" spans="5:18" hidden="1">
      <c r="E38" t="s">
        <v>587</v>
      </c>
      <c r="F38" t="s">
        <v>646</v>
      </c>
      <c r="M38" t="s">
        <v>718</v>
      </c>
    </row>
    <row r="39" spans="5:18" hidden="1">
      <c r="E39" t="s">
        <v>587</v>
      </c>
      <c r="F39" t="s">
        <v>656</v>
      </c>
      <c r="M39" t="s">
        <v>720</v>
      </c>
    </row>
    <row r="40" spans="5:18" hidden="1">
      <c r="E40" t="s">
        <v>587</v>
      </c>
      <c r="F40" t="s">
        <v>666</v>
      </c>
    </row>
    <row r="41" spans="5:18" hidden="1">
      <c r="E41" t="s">
        <v>587</v>
      </c>
      <c r="F41" t="s">
        <v>674</v>
      </c>
    </row>
    <row r="42" spans="5:18">
      <c r="E42" t="s">
        <v>587</v>
      </c>
      <c r="F42" t="s">
        <v>682</v>
      </c>
    </row>
    <row r="43" spans="5:18">
      <c r="E43" t="s">
        <v>587</v>
      </c>
      <c r="F43" t="s">
        <v>690</v>
      </c>
    </row>
    <row r="44" spans="5:18">
      <c r="E44" t="s">
        <v>587</v>
      </c>
      <c r="F44" t="s">
        <v>697</v>
      </c>
    </row>
    <row r="45" spans="5:18">
      <c r="E45" t="s">
        <v>587</v>
      </c>
      <c r="F45" t="s">
        <v>704</v>
      </c>
    </row>
    <row r="46" spans="5:18">
      <c r="E46" t="s">
        <v>587</v>
      </c>
      <c r="F46" t="s">
        <v>710</v>
      </c>
    </row>
    <row r="47" spans="5:18">
      <c r="E47" t="s">
        <v>569</v>
      </c>
      <c r="F47" t="s">
        <v>617</v>
      </c>
    </row>
    <row r="48" spans="5:18">
      <c r="E48" t="s">
        <v>569</v>
      </c>
      <c r="F48" t="s">
        <v>627</v>
      </c>
    </row>
    <row r="49" spans="5:6">
      <c r="E49" t="s">
        <v>569</v>
      </c>
      <c r="F49" t="s">
        <v>637</v>
      </c>
    </row>
    <row r="50" spans="5:6">
      <c r="E50" t="s">
        <v>569</v>
      </c>
      <c r="F50" t="s">
        <v>647</v>
      </c>
    </row>
    <row r="51" spans="5:6">
      <c r="E51" t="s">
        <v>569</v>
      </c>
      <c r="F51" t="s">
        <v>657</v>
      </c>
    </row>
    <row r="52" spans="5:6">
      <c r="E52" t="s">
        <v>591</v>
      </c>
      <c r="F52" t="s">
        <v>618</v>
      </c>
    </row>
    <row r="53" spans="5:6">
      <c r="E53" t="s">
        <v>591</v>
      </c>
      <c r="F53" t="s">
        <v>628</v>
      </c>
    </row>
    <row r="54" spans="5:6">
      <c r="E54" t="s">
        <v>591</v>
      </c>
      <c r="F54" t="s">
        <v>638</v>
      </c>
    </row>
    <row r="55" spans="5:6">
      <c r="E55" t="s">
        <v>591</v>
      </c>
      <c r="F55" t="s">
        <v>648</v>
      </c>
    </row>
    <row r="56" spans="5:6">
      <c r="E56" t="s">
        <v>591</v>
      </c>
      <c r="F56" t="s">
        <v>658</v>
      </c>
    </row>
    <row r="57" spans="5:6">
      <c r="E57" t="s">
        <v>591</v>
      </c>
      <c r="F57" t="s">
        <v>667</v>
      </c>
    </row>
    <row r="58" spans="5:6">
      <c r="E58" t="s">
        <v>591</v>
      </c>
      <c r="F58" t="s">
        <v>675</v>
      </c>
    </row>
    <row r="59" spans="5:6">
      <c r="E59" t="s">
        <v>591</v>
      </c>
      <c r="F59" t="s">
        <v>683</v>
      </c>
    </row>
    <row r="60" spans="5:6">
      <c r="E60" t="s">
        <v>591</v>
      </c>
      <c r="F60" t="s">
        <v>691</v>
      </c>
    </row>
    <row r="61" spans="5:6">
      <c r="E61" t="s">
        <v>591</v>
      </c>
      <c r="F61" t="s">
        <v>698</v>
      </c>
    </row>
    <row r="62" spans="5:6">
      <c r="E62" t="s">
        <v>591</v>
      </c>
      <c r="F62" t="s">
        <v>705</v>
      </c>
    </row>
    <row r="63" spans="5:6">
      <c r="E63" t="s">
        <v>591</v>
      </c>
      <c r="F63" t="s">
        <v>711</v>
      </c>
    </row>
    <row r="64" spans="5:6">
      <c r="E64" t="s">
        <v>591</v>
      </c>
      <c r="F64" t="s">
        <v>715</v>
      </c>
    </row>
    <row r="65" spans="5:6">
      <c r="E65" t="s">
        <v>594</v>
      </c>
      <c r="F65" t="s">
        <v>619</v>
      </c>
    </row>
    <row r="66" spans="5:6">
      <c r="E66" t="s">
        <v>594</v>
      </c>
      <c r="F66" t="s">
        <v>629</v>
      </c>
    </row>
    <row r="67" spans="5:6">
      <c r="E67" t="s">
        <v>594</v>
      </c>
      <c r="F67" t="s">
        <v>639</v>
      </c>
    </row>
    <row r="68" spans="5:6">
      <c r="E68" t="s">
        <v>594</v>
      </c>
      <c r="F68" t="s">
        <v>649</v>
      </c>
    </row>
    <row r="69" spans="5:6">
      <c r="E69" t="s">
        <v>594</v>
      </c>
      <c r="F69" t="s">
        <v>659</v>
      </c>
    </row>
    <row r="70" spans="5:6">
      <c r="E70" t="s">
        <v>594</v>
      </c>
      <c r="F70" t="s">
        <v>668</v>
      </c>
    </row>
    <row r="71" spans="5:6">
      <c r="E71" t="s">
        <v>594</v>
      </c>
      <c r="F71" t="s">
        <v>676</v>
      </c>
    </row>
    <row r="72" spans="5:6">
      <c r="E72" t="s">
        <v>594</v>
      </c>
      <c r="F72" t="s">
        <v>684</v>
      </c>
    </row>
    <row r="73" spans="5:6">
      <c r="E73" t="s">
        <v>594</v>
      </c>
      <c r="F73" t="s">
        <v>692</v>
      </c>
    </row>
    <row r="74" spans="5:6">
      <c r="E74" t="s">
        <v>594</v>
      </c>
      <c r="F74" t="s">
        <v>699</v>
      </c>
    </row>
    <row r="75" spans="5:6">
      <c r="E75" t="s">
        <v>597</v>
      </c>
      <c r="F75" t="s">
        <v>620</v>
      </c>
    </row>
    <row r="76" spans="5:6">
      <c r="E76" t="s">
        <v>597</v>
      </c>
      <c r="F76" t="s">
        <v>630</v>
      </c>
    </row>
    <row r="77" spans="5:6">
      <c r="E77" t="s">
        <v>597</v>
      </c>
      <c r="F77" t="s">
        <v>640</v>
      </c>
    </row>
    <row r="78" spans="5:6">
      <c r="E78" t="s">
        <v>597</v>
      </c>
      <c r="F78" t="s">
        <v>650</v>
      </c>
    </row>
    <row r="79" spans="5:6">
      <c r="E79" t="s">
        <v>597</v>
      </c>
      <c r="F79" t="s">
        <v>660</v>
      </c>
    </row>
    <row r="80" spans="5:6">
      <c r="E80" t="s">
        <v>597</v>
      </c>
      <c r="F80" t="s">
        <v>669</v>
      </c>
    </row>
    <row r="81" spans="5:6">
      <c r="E81" t="s">
        <v>597</v>
      </c>
      <c r="F81" t="s">
        <v>677</v>
      </c>
    </row>
    <row r="82" spans="5:6">
      <c r="E82" t="s">
        <v>597</v>
      </c>
      <c r="F82" t="s">
        <v>685</v>
      </c>
    </row>
    <row r="83" spans="5:6">
      <c r="E83" t="s">
        <v>597</v>
      </c>
      <c r="F83" t="s">
        <v>693</v>
      </c>
    </row>
    <row r="84" spans="5:6">
      <c r="E84" t="s">
        <v>597</v>
      </c>
      <c r="F84" t="s">
        <v>700</v>
      </c>
    </row>
    <row r="85" spans="5:6">
      <c r="E85" t="s">
        <v>597</v>
      </c>
      <c r="F85" t="s">
        <v>706</v>
      </c>
    </row>
    <row r="86" spans="5:6">
      <c r="E86" t="s">
        <v>597</v>
      </c>
      <c r="F86" t="s">
        <v>712</v>
      </c>
    </row>
    <row r="87" spans="5:6">
      <c r="E87" t="s">
        <v>597</v>
      </c>
      <c r="F87" t="s">
        <v>716</v>
      </c>
    </row>
    <row r="88" spans="5:6">
      <c r="E88" t="s">
        <v>597</v>
      </c>
      <c r="F88" t="s">
        <v>719</v>
      </c>
    </row>
    <row r="89" spans="5:6">
      <c r="E89" t="s">
        <v>597</v>
      </c>
      <c r="F89" t="s">
        <v>721</v>
      </c>
    </row>
    <row r="90" spans="5:6">
      <c r="E90" t="s">
        <v>597</v>
      </c>
      <c r="F90" t="s">
        <v>722</v>
      </c>
    </row>
    <row r="91" spans="5:6">
      <c r="E91" t="s">
        <v>597</v>
      </c>
      <c r="F91" t="s">
        <v>723</v>
      </c>
    </row>
    <row r="92" spans="5:6">
      <c r="E92" t="s">
        <v>599</v>
      </c>
      <c r="F92" t="s">
        <v>621</v>
      </c>
    </row>
    <row r="93" spans="5:6">
      <c r="E93" t="s">
        <v>599</v>
      </c>
      <c r="F93" t="s">
        <v>631</v>
      </c>
    </row>
    <row r="94" spans="5:6">
      <c r="E94" t="s">
        <v>599</v>
      </c>
      <c r="F94" t="s">
        <v>641</v>
      </c>
    </row>
    <row r="95" spans="5:6">
      <c r="E95" t="s">
        <v>599</v>
      </c>
      <c r="F95" t="s">
        <v>651</v>
      </c>
    </row>
    <row r="96" spans="5:6">
      <c r="E96" t="s">
        <v>599</v>
      </c>
      <c r="F96" t="s">
        <v>661</v>
      </c>
    </row>
    <row r="97" spans="5:6">
      <c r="E97" t="s">
        <v>599</v>
      </c>
      <c r="F97" t="s">
        <v>670</v>
      </c>
    </row>
    <row r="98" spans="5:6">
      <c r="E98" t="s">
        <v>599</v>
      </c>
      <c r="F98" t="s">
        <v>678</v>
      </c>
    </row>
    <row r="99" spans="5:6">
      <c r="E99" t="s">
        <v>599</v>
      </c>
      <c r="F99" t="s">
        <v>686</v>
      </c>
    </row>
    <row r="100" spans="5:6">
      <c r="E100" t="s">
        <v>599</v>
      </c>
      <c r="F100" t="s">
        <v>694</v>
      </c>
    </row>
    <row r="101" spans="5:6">
      <c r="E101" t="s">
        <v>599</v>
      </c>
      <c r="F101" t="s">
        <v>701</v>
      </c>
    </row>
    <row r="102" spans="5:6">
      <c r="E102" t="s">
        <v>599</v>
      </c>
      <c r="F102" t="s">
        <v>707</v>
      </c>
    </row>
    <row r="103" spans="5:6">
      <c r="E103" t="s">
        <v>599</v>
      </c>
      <c r="F103" t="s">
        <v>713</v>
      </c>
    </row>
    <row r="104" spans="5:6">
      <c r="E104" t="s">
        <v>599</v>
      </c>
      <c r="F104" t="s">
        <v>717</v>
      </c>
    </row>
    <row r="105" spans="5:6">
      <c r="E105" t="s">
        <v>602</v>
      </c>
      <c r="F105" t="s">
        <v>622</v>
      </c>
    </row>
    <row r="106" spans="5:6">
      <c r="E106" t="s">
        <v>602</v>
      </c>
      <c r="F106" t="s">
        <v>632</v>
      </c>
    </row>
    <row r="107" spans="5:6">
      <c r="E107" t="s">
        <v>602</v>
      </c>
      <c r="F107" t="s">
        <v>642</v>
      </c>
    </row>
    <row r="108" spans="5:6">
      <c r="E108" t="s">
        <v>602</v>
      </c>
      <c r="F108" t="s">
        <v>652</v>
      </c>
    </row>
    <row r="109" spans="5:6">
      <c r="E109" t="s">
        <v>602</v>
      </c>
      <c r="F109" t="s">
        <v>662</v>
      </c>
    </row>
    <row r="110" spans="5:6">
      <c r="E110" t="s">
        <v>602</v>
      </c>
      <c r="F110" t="s">
        <v>671</v>
      </c>
    </row>
    <row r="111" spans="5:6">
      <c r="E111" t="s">
        <v>602</v>
      </c>
      <c r="F111" t="s">
        <v>679</v>
      </c>
    </row>
    <row r="112" spans="5:6">
      <c r="E112" t="s">
        <v>602</v>
      </c>
      <c r="F112" t="s">
        <v>687</v>
      </c>
    </row>
    <row r="113" spans="5:6">
      <c r="E113" t="s">
        <v>602</v>
      </c>
      <c r="F113" t="s">
        <v>695</v>
      </c>
    </row>
    <row r="114" spans="5:6">
      <c r="E114" t="s">
        <v>602</v>
      </c>
      <c r="F114" t="s">
        <v>702</v>
      </c>
    </row>
    <row r="115" spans="5:6">
      <c r="E115" t="s">
        <v>602</v>
      </c>
      <c r="F115" t="s">
        <v>708</v>
      </c>
    </row>
    <row r="116" spans="5:6">
      <c r="E116" t="s">
        <v>605</v>
      </c>
      <c r="F116" t="s">
        <v>623</v>
      </c>
    </row>
    <row r="117" spans="5:6">
      <c r="E117" t="s">
        <v>605</v>
      </c>
      <c r="F117" t="s">
        <v>633</v>
      </c>
    </row>
    <row r="118" spans="5:6">
      <c r="E118" t="s">
        <v>605</v>
      </c>
      <c r="F118" t="s">
        <v>643</v>
      </c>
    </row>
    <row r="119" spans="5:6">
      <c r="E119" t="s">
        <v>605</v>
      </c>
      <c r="F119" t="s">
        <v>653</v>
      </c>
    </row>
    <row r="120" spans="5:6">
      <c r="E120" t="s">
        <v>605</v>
      </c>
      <c r="F120" t="s">
        <v>663</v>
      </c>
    </row>
    <row r="121" spans="5:6">
      <c r="E121" t="s">
        <v>605</v>
      </c>
      <c r="F121" t="s">
        <v>672</v>
      </c>
    </row>
    <row r="122" spans="5:6">
      <c r="E122" t="s">
        <v>605</v>
      </c>
      <c r="F122" t="s">
        <v>680</v>
      </c>
    </row>
    <row r="123" spans="5:6">
      <c r="E123" t="s">
        <v>605</v>
      </c>
      <c r="F123" t="s">
        <v>688</v>
      </c>
    </row>
    <row r="124" spans="5:6">
      <c r="E124" t="s">
        <v>608</v>
      </c>
      <c r="F124" t="s">
        <v>624</v>
      </c>
    </row>
    <row r="125" spans="5:6">
      <c r="E125" t="s">
        <v>608</v>
      </c>
      <c r="F125" t="s">
        <v>634</v>
      </c>
    </row>
    <row r="126" spans="5:6">
      <c r="E126" t="s">
        <v>608</v>
      </c>
      <c r="F126" t="s">
        <v>644</v>
      </c>
    </row>
    <row r="127" spans="5:6">
      <c r="E127" t="s">
        <v>608</v>
      </c>
      <c r="F127" t="s">
        <v>654</v>
      </c>
    </row>
    <row r="128" spans="5:6">
      <c r="E128" t="s">
        <v>608</v>
      </c>
      <c r="F128" t="s">
        <v>664</v>
      </c>
    </row>
  </sheetData>
  <mergeCells count="3">
    <mergeCell ref="K2:K3"/>
    <mergeCell ref="L2:P2"/>
    <mergeCell ref="Q2:AA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2:AJ150"/>
  <sheetViews>
    <sheetView showGridLines="0" workbookViewId="0">
      <selection activeCell="A91" sqref="A91"/>
    </sheetView>
  </sheetViews>
  <sheetFormatPr defaultColWidth="10.42578125" defaultRowHeight="14.25"/>
  <cols>
    <col min="1" max="1" width="40.140625" style="20" bestFit="1" customWidth="1"/>
    <col min="2" max="5" width="13.42578125" style="20" customWidth="1"/>
    <col min="6" max="6" width="13.140625" style="20" customWidth="1"/>
    <col min="7" max="9" width="13.85546875" style="20" customWidth="1"/>
    <col min="10" max="10" width="14.140625" style="20" customWidth="1"/>
    <col min="11" max="11" width="15.140625" style="22" customWidth="1"/>
    <col min="12" max="12" width="17" style="22" customWidth="1"/>
    <col min="13" max="13" width="14.140625" style="20" customWidth="1"/>
    <col min="14" max="14" width="21.42578125" style="20" bestFit="1" customWidth="1"/>
    <col min="15" max="15" width="32.140625" style="20" customWidth="1"/>
    <col min="16" max="16" width="11.42578125" style="20" customWidth="1"/>
    <col min="17" max="23" width="0" style="20" hidden="1" customWidth="1"/>
    <col min="24" max="24" width="19.28515625" style="20" bestFit="1" customWidth="1"/>
    <col min="25" max="25" width="17.42578125" style="20" bestFit="1" customWidth="1"/>
    <col min="26" max="33" width="0" style="20" hidden="1" customWidth="1"/>
    <col min="34" max="16384" width="10.42578125" style="20"/>
  </cols>
  <sheetData>
    <row r="2" spans="1:33">
      <c r="E2" s="20">
        <f>1369-1315</f>
        <v>54</v>
      </c>
      <c r="G2" s="1374" t="s">
        <v>724</v>
      </c>
      <c r="H2" s="1374"/>
      <c r="I2" s="1374"/>
      <c r="J2" s="1374"/>
      <c r="K2" s="23"/>
      <c r="L2" s="23"/>
      <c r="M2" s="23"/>
      <c r="N2" s="23"/>
      <c r="O2" s="23"/>
    </row>
    <row r="3" spans="1:33">
      <c r="G3" s="20" t="s">
        <v>725</v>
      </c>
      <c r="H3" s="20" t="e" vm="1">
        <v>#VALUE!</v>
      </c>
      <c r="M3"/>
      <c r="N3"/>
      <c r="O3"/>
    </row>
    <row r="4" spans="1:33">
      <c r="D4" s="1374" t="s">
        <v>726</v>
      </c>
      <c r="E4" s="1374"/>
      <c r="F4" s="1374"/>
      <c r="G4" s="1374"/>
      <c r="H4" s="1374"/>
      <c r="I4" s="1374"/>
      <c r="J4" s="1374"/>
      <c r="K4" s="1374"/>
      <c r="L4" s="1374"/>
      <c r="M4" s="1374"/>
      <c r="N4"/>
      <c r="O4"/>
    </row>
    <row r="5" spans="1:33" ht="15">
      <c r="A5" s="48" t="s">
        <v>727</v>
      </c>
      <c r="B5" s="366">
        <v>2023</v>
      </c>
      <c r="C5" s="366">
        <f>B5-1</f>
        <v>2022</v>
      </c>
      <c r="D5" s="366">
        <f t="shared" ref="D5:M5" si="0">C5-1</f>
        <v>2021</v>
      </c>
      <c r="E5" s="366">
        <f t="shared" si="0"/>
        <v>2020</v>
      </c>
      <c r="F5" s="366">
        <f t="shared" si="0"/>
        <v>2019</v>
      </c>
      <c r="G5" s="366">
        <f t="shared" si="0"/>
        <v>2018</v>
      </c>
      <c r="H5" s="366">
        <f t="shared" si="0"/>
        <v>2017</v>
      </c>
      <c r="I5" s="366">
        <f t="shared" si="0"/>
        <v>2016</v>
      </c>
      <c r="J5" s="366">
        <f t="shared" si="0"/>
        <v>2015</v>
      </c>
      <c r="K5" s="366">
        <f t="shared" si="0"/>
        <v>2014</v>
      </c>
      <c r="L5" s="366">
        <f t="shared" si="0"/>
        <v>2013</v>
      </c>
      <c r="M5" s="366">
        <f t="shared" si="0"/>
        <v>2012</v>
      </c>
      <c r="N5"/>
      <c r="O5"/>
      <c r="Q5" s="7" t="s">
        <v>728</v>
      </c>
      <c r="R5" s="1375" t="s">
        <v>729</v>
      </c>
      <c r="S5" s="1375"/>
      <c r="T5" s="20" t="s">
        <v>730</v>
      </c>
      <c r="Z5" s="48">
        <v>2016</v>
      </c>
      <c r="AA5" s="48">
        <v>2015</v>
      </c>
      <c r="AB5" s="48">
        <v>2014</v>
      </c>
      <c r="AC5" s="48">
        <v>2013</v>
      </c>
      <c r="AD5" s="48">
        <v>2012</v>
      </c>
      <c r="AE5" s="48">
        <v>2011</v>
      </c>
      <c r="AF5" s="48">
        <v>2010</v>
      </c>
      <c r="AG5" s="48">
        <v>2009</v>
      </c>
    </row>
    <row r="6" spans="1:33">
      <c r="A6" s="24" t="s">
        <v>87</v>
      </c>
      <c r="B6" s="276">
        <v>22680</v>
      </c>
      <c r="C6" s="276">
        <v>23601</v>
      </c>
      <c r="D6" s="276">
        <v>16434</v>
      </c>
      <c r="E6" s="276">
        <v>9763</v>
      </c>
      <c r="F6" s="276">
        <v>6731</v>
      </c>
      <c r="G6" s="276">
        <v>6475</v>
      </c>
      <c r="H6" s="367">
        <v>5253</v>
      </c>
      <c r="I6" s="276">
        <v>4272</v>
      </c>
      <c r="J6" s="276">
        <v>3991</v>
      </c>
      <c r="K6" s="276">
        <v>5506</v>
      </c>
      <c r="L6" s="276">
        <v>5299</v>
      </c>
      <c r="M6" s="276">
        <v>5422</v>
      </c>
      <c r="N6" s="26" t="s">
        <v>731</v>
      </c>
      <c r="O6" t="s">
        <v>732</v>
      </c>
      <c r="P6"/>
      <c r="Q6" s="20" t="s">
        <v>733</v>
      </c>
      <c r="R6" s="20" t="s">
        <v>733</v>
      </c>
      <c r="X6" s="27"/>
      <c r="Y6" s="27"/>
      <c r="Z6" s="25">
        <v>38537</v>
      </c>
      <c r="AA6" s="25">
        <v>47011</v>
      </c>
      <c r="AB6" s="25">
        <v>55184</v>
      </c>
      <c r="AC6" s="25">
        <v>55656</v>
      </c>
      <c r="AD6" s="25">
        <v>65875</v>
      </c>
      <c r="AE6" s="25">
        <v>60138</v>
      </c>
      <c r="AF6" s="25">
        <v>42588</v>
      </c>
      <c r="AG6" s="25">
        <v>32396</v>
      </c>
    </row>
    <row r="7" spans="1:33">
      <c r="A7" s="24" t="s">
        <v>489</v>
      </c>
      <c r="B7" s="276">
        <v>10460</v>
      </c>
      <c r="C7" s="276">
        <v>10603</v>
      </c>
      <c r="D7" s="276">
        <v>7929</v>
      </c>
      <c r="E7" s="276">
        <v>4347</v>
      </c>
      <c r="F7" s="276">
        <v>2868</v>
      </c>
      <c r="G7" s="276">
        <v>2447</v>
      </c>
      <c r="H7" s="368">
        <v>1787</v>
      </c>
      <c r="I7" s="369">
        <v>998</v>
      </c>
      <c r="J7" s="276">
        <v>1080</v>
      </c>
      <c r="K7" s="276">
        <v>1839</v>
      </c>
      <c r="L7" s="276">
        <v>1978</v>
      </c>
      <c r="M7" s="276">
        <v>1235</v>
      </c>
      <c r="N7" s="26" t="s">
        <v>731</v>
      </c>
      <c r="O7" t="str">
        <f>+A7</f>
        <v>Gross Profit</v>
      </c>
      <c r="P7"/>
      <c r="Q7" s="20" t="s">
        <v>733</v>
      </c>
      <c r="R7" s="20" t="s">
        <v>734</v>
      </c>
      <c r="Z7" s="29">
        <f>Z6-28044</f>
        <v>10493</v>
      </c>
      <c r="AA7" s="29">
        <f>AA6-33546</f>
        <v>13465</v>
      </c>
      <c r="AB7" s="29">
        <f>AB6-40718</f>
        <v>14466</v>
      </c>
      <c r="AC7" s="29">
        <f>AC6-40727</f>
        <v>14929</v>
      </c>
      <c r="AD7" s="30">
        <f>+AD6-47055</f>
        <v>18820</v>
      </c>
      <c r="AE7" s="30">
        <f>+AE6-43578</f>
        <v>16560</v>
      </c>
      <c r="AF7" s="30">
        <f>+AF6-30367</f>
        <v>12221</v>
      </c>
      <c r="AG7" s="30">
        <f>+AG6-23886</f>
        <v>8510</v>
      </c>
    </row>
    <row r="8" spans="1:33">
      <c r="A8" s="24" t="s">
        <v>211</v>
      </c>
      <c r="B8" s="276">
        <v>401</v>
      </c>
      <c r="C8" s="276">
        <v>1264</v>
      </c>
      <c r="D8" s="276">
        <v>3641</v>
      </c>
      <c r="E8" s="276">
        <v>1315</v>
      </c>
      <c r="F8" s="276">
        <v>455</v>
      </c>
      <c r="G8" s="276">
        <v>439</v>
      </c>
      <c r="H8" s="368">
        <v>115</v>
      </c>
      <c r="I8" s="369">
        <v>-440</v>
      </c>
      <c r="J8" s="369">
        <v>-481</v>
      </c>
      <c r="K8" s="369">
        <v>-216</v>
      </c>
      <c r="L8" s="369">
        <v>102</v>
      </c>
      <c r="M8" s="369">
        <v>-1060</v>
      </c>
      <c r="N8" s="26" t="s">
        <v>731</v>
      </c>
      <c r="O8" t="s">
        <v>211</v>
      </c>
      <c r="P8"/>
      <c r="Q8" s="20" t="s">
        <v>733</v>
      </c>
      <c r="R8" s="31" t="s">
        <v>735</v>
      </c>
      <c r="Z8" s="29">
        <f>Z7-4383</f>
        <v>6110</v>
      </c>
      <c r="AA8" s="29">
        <f>AA7-4951</f>
        <v>8514</v>
      </c>
      <c r="AB8" s="29">
        <f>AB7-6529</f>
        <v>7937</v>
      </c>
      <c r="AC8" s="29">
        <f>AC7-5547</f>
        <v>9382</v>
      </c>
      <c r="AD8" s="30">
        <f>AD7-5919-2466-797-580-485</f>
        <v>8573</v>
      </c>
      <c r="AE8" s="30">
        <f>+AE7-5203-2297-826-1081</f>
        <v>7153</v>
      </c>
      <c r="AF8" s="30">
        <f>+AF7-4248-1905-914-1191</f>
        <v>3963</v>
      </c>
      <c r="AG8" s="30">
        <f>+AG7-3645-1421-1045-1822</f>
        <v>577</v>
      </c>
    </row>
    <row r="9" spans="1:33">
      <c r="A9" s="24" t="s">
        <v>525</v>
      </c>
      <c r="B9" s="276">
        <v>8</v>
      </c>
      <c r="C9" s="276">
        <v>19</v>
      </c>
      <c r="D9" s="276">
        <v>4</v>
      </c>
      <c r="E9" s="276">
        <v>4</v>
      </c>
      <c r="F9" s="276">
        <f>-3+13</f>
        <v>10</v>
      </c>
      <c r="G9" s="276">
        <f>-5-13</f>
        <v>-18</v>
      </c>
      <c r="H9" s="276">
        <f>-7+1130</f>
        <v>1123</v>
      </c>
      <c r="I9" s="276">
        <v>135</v>
      </c>
      <c r="J9" s="276">
        <v>-2</v>
      </c>
      <c r="K9" s="276">
        <v>-5</v>
      </c>
      <c r="L9" s="276">
        <v>-2</v>
      </c>
      <c r="M9" s="276">
        <v>10</v>
      </c>
      <c r="N9" s="26" t="s">
        <v>731</v>
      </c>
      <c r="O9" t="s">
        <v>736</v>
      </c>
      <c r="P9"/>
      <c r="Q9" s="20" t="s">
        <v>733</v>
      </c>
      <c r="R9" s="20" t="s">
        <v>737</v>
      </c>
      <c r="S9" s="20" t="s">
        <v>738</v>
      </c>
      <c r="T9" s="20" t="s">
        <v>739</v>
      </c>
      <c r="U9" s="20" t="s">
        <v>740</v>
      </c>
      <c r="V9" s="20" t="s">
        <v>741</v>
      </c>
      <c r="Z9" s="29">
        <f>1853+596+595+1904+6+8</f>
        <v>4962</v>
      </c>
      <c r="AA9" s="29">
        <f>2119+587+2023+11</f>
        <v>4740</v>
      </c>
      <c r="AB9" s="29">
        <f>2380+624+1619-8+16</f>
        <v>4631</v>
      </c>
      <c r="AC9" s="29">
        <f>2046+727+981+6+14</f>
        <v>3774</v>
      </c>
      <c r="AD9" s="30">
        <f>-14+41</f>
        <v>27</v>
      </c>
      <c r="AE9" s="29">
        <v>53</v>
      </c>
      <c r="AF9" s="29">
        <f>58+24</f>
        <v>82</v>
      </c>
      <c r="AG9" s="29">
        <f>12-68</f>
        <v>-56</v>
      </c>
    </row>
    <row r="10" spans="1:33">
      <c r="A10" s="24" t="s">
        <v>212</v>
      </c>
      <c r="B10" s="276">
        <v>99</v>
      </c>
      <c r="C10" s="276">
        <v>-85</v>
      </c>
      <c r="D10" s="276">
        <v>30</v>
      </c>
      <c r="E10" s="276">
        <v>-39</v>
      </c>
      <c r="F10" s="276">
        <v>-80</v>
      </c>
      <c r="G10" s="276">
        <v>-106</v>
      </c>
      <c r="H10" s="368">
        <v>-123</v>
      </c>
      <c r="I10" s="369">
        <v>-153</v>
      </c>
      <c r="J10" s="276">
        <v>-163</v>
      </c>
      <c r="K10" s="276">
        <v>-177</v>
      </c>
      <c r="L10" s="276">
        <v>-174</v>
      </c>
      <c r="M10" s="276">
        <v>-167</v>
      </c>
      <c r="N10" s="26" t="s">
        <v>731</v>
      </c>
      <c r="O10" t="s">
        <v>742</v>
      </c>
      <c r="P10"/>
      <c r="Q10" s="20" t="s">
        <v>733</v>
      </c>
      <c r="R10" s="20" t="s">
        <v>743</v>
      </c>
      <c r="Z10" s="29">
        <f>505+518</f>
        <v>1023</v>
      </c>
      <c r="AA10" s="29">
        <f>507-161</f>
        <v>346</v>
      </c>
      <c r="AB10" s="29">
        <f>484-322</f>
        <v>162</v>
      </c>
      <c r="AC10" s="29">
        <f>465+35</f>
        <v>500</v>
      </c>
      <c r="AD10" s="30">
        <f>467-130</f>
        <v>337</v>
      </c>
      <c r="AE10" s="29">
        <f>396+32</f>
        <v>428</v>
      </c>
      <c r="AF10" s="29">
        <f>343-130</f>
        <v>213</v>
      </c>
      <c r="AG10" s="29">
        <f>389-381</f>
        <v>8</v>
      </c>
    </row>
    <row r="11" spans="1:33">
      <c r="A11" s="24" t="s">
        <v>213</v>
      </c>
      <c r="B11" s="276">
        <v>346</v>
      </c>
      <c r="C11" s="276">
        <v>122</v>
      </c>
      <c r="D11" s="276">
        <v>-513</v>
      </c>
      <c r="E11" s="276">
        <v>1210</v>
      </c>
      <c r="F11" s="276">
        <v>-44</v>
      </c>
      <c r="G11" s="276">
        <v>22</v>
      </c>
      <c r="H11" s="368">
        <v>-1148</v>
      </c>
      <c r="I11" s="369">
        <v>-39</v>
      </c>
      <c r="J11" s="276">
        <v>-14</v>
      </c>
      <c r="K11" s="276">
        <v>-5</v>
      </c>
      <c r="L11" s="276">
        <v>-9</v>
      </c>
      <c r="M11" s="276">
        <v>34</v>
      </c>
      <c r="N11" s="26" t="s">
        <v>731</v>
      </c>
      <c r="O11" t="s">
        <v>213</v>
      </c>
      <c r="P11"/>
      <c r="Q11" s="20" t="s">
        <v>733</v>
      </c>
      <c r="R11" s="20" t="s">
        <v>744</v>
      </c>
      <c r="Z11" s="25">
        <v>192</v>
      </c>
      <c r="AA11" s="25">
        <v>916</v>
      </c>
      <c r="AB11" s="25">
        <v>692</v>
      </c>
      <c r="AC11" s="25">
        <v>1319</v>
      </c>
      <c r="AD11" s="28">
        <f>2528</f>
        <v>2528</v>
      </c>
      <c r="AE11" s="25">
        <f>1720</f>
        <v>1720</v>
      </c>
      <c r="AF11" s="25">
        <f>968</f>
        <v>968</v>
      </c>
      <c r="AG11" s="25">
        <f>-270</f>
        <v>-270</v>
      </c>
    </row>
    <row r="12" spans="1:33">
      <c r="A12" s="24" t="s">
        <v>42</v>
      </c>
      <c r="B12" s="276">
        <v>854</v>
      </c>
      <c r="C12" s="276">
        <v>1320</v>
      </c>
      <c r="D12" s="276">
        <v>3162</v>
      </c>
      <c r="E12" s="276">
        <v>2490</v>
      </c>
      <c r="F12" s="276">
        <v>341</v>
      </c>
      <c r="G12" s="276">
        <v>337</v>
      </c>
      <c r="H12" s="367">
        <v>-33</v>
      </c>
      <c r="I12" s="276">
        <v>-497</v>
      </c>
      <c r="J12" s="276">
        <v>-660</v>
      </c>
      <c r="K12" s="276">
        <v>-403</v>
      </c>
      <c r="L12" s="276">
        <v>-83</v>
      </c>
      <c r="M12" s="276">
        <v>-1183</v>
      </c>
      <c r="N12" s="26" t="s">
        <v>731</v>
      </c>
      <c r="O12" t="s">
        <v>42</v>
      </c>
      <c r="P12"/>
      <c r="Q12" s="20" t="s">
        <v>745</v>
      </c>
      <c r="R12" s="20" t="s">
        <v>746</v>
      </c>
      <c r="Z12" s="25">
        <v>-67</v>
      </c>
      <c r="AA12" s="25">
        <v>2512</v>
      </c>
      <c r="AB12" s="25">
        <v>2452</v>
      </c>
      <c r="AC12" s="25">
        <v>3789</v>
      </c>
      <c r="AD12" s="25">
        <v>5681</v>
      </c>
      <c r="AE12" s="25">
        <f>4928+24</f>
        <v>4952</v>
      </c>
      <c r="AF12" s="25">
        <v>2700</v>
      </c>
      <c r="AG12" s="25">
        <v>895</v>
      </c>
    </row>
    <row r="13" spans="1:33">
      <c r="B13" s="370"/>
      <c r="C13" s="370"/>
      <c r="D13" s="370"/>
      <c r="E13" s="370"/>
      <c r="F13" s="370"/>
      <c r="G13" s="370"/>
      <c r="H13" s="370"/>
      <c r="I13" s="370"/>
      <c r="J13" s="370"/>
      <c r="K13" s="370"/>
      <c r="L13" s="370"/>
      <c r="M13" s="370"/>
      <c r="N13"/>
      <c r="O13"/>
      <c r="P13"/>
      <c r="Z13" s="22">
        <f t="shared" ref="Z13:AG13" si="1">Z8-Z10-Z9-Z11</f>
        <v>-67</v>
      </c>
      <c r="AA13" s="22">
        <f t="shared" si="1"/>
        <v>2512</v>
      </c>
      <c r="AB13" s="22">
        <f t="shared" si="1"/>
        <v>2452</v>
      </c>
      <c r="AC13" s="22">
        <f t="shared" si="1"/>
        <v>3789</v>
      </c>
      <c r="AD13" s="22">
        <f t="shared" si="1"/>
        <v>5681</v>
      </c>
      <c r="AE13" s="22">
        <f t="shared" si="1"/>
        <v>4952</v>
      </c>
      <c r="AF13" s="22">
        <f t="shared" si="1"/>
        <v>2700</v>
      </c>
      <c r="AG13" s="22">
        <f t="shared" si="1"/>
        <v>895</v>
      </c>
    </row>
    <row r="14" spans="1:33" ht="15">
      <c r="A14" s="48" t="s">
        <v>747</v>
      </c>
      <c r="B14" s="371">
        <f>B12-B13</f>
        <v>854</v>
      </c>
      <c r="C14" s="371">
        <f t="shared" ref="C14:M14" si="2">C12-C13</f>
        <v>1320</v>
      </c>
      <c r="D14" s="371">
        <f t="shared" si="2"/>
        <v>3162</v>
      </c>
      <c r="E14" s="371">
        <f t="shared" si="2"/>
        <v>2490</v>
      </c>
      <c r="F14" s="371">
        <f t="shared" si="2"/>
        <v>341</v>
      </c>
      <c r="G14" s="371">
        <f t="shared" si="2"/>
        <v>337</v>
      </c>
      <c r="H14" s="371">
        <f t="shared" si="2"/>
        <v>-33</v>
      </c>
      <c r="I14" s="371">
        <f t="shared" si="2"/>
        <v>-497</v>
      </c>
      <c r="J14" s="371">
        <f t="shared" si="2"/>
        <v>-660</v>
      </c>
      <c r="K14" s="371">
        <f t="shared" si="2"/>
        <v>-403</v>
      </c>
      <c r="L14" s="371">
        <f t="shared" si="2"/>
        <v>-83</v>
      </c>
      <c r="M14" s="371">
        <f t="shared" si="2"/>
        <v>-1183</v>
      </c>
      <c r="N14"/>
      <c r="O14"/>
      <c r="P14"/>
      <c r="Z14" s="33">
        <f t="shared" ref="Z14:AG14" si="3">Z12-Z13</f>
        <v>0</v>
      </c>
      <c r="AA14" s="33">
        <f t="shared" si="3"/>
        <v>0</v>
      </c>
      <c r="AB14" s="33">
        <f t="shared" si="3"/>
        <v>0</v>
      </c>
      <c r="AC14" s="33">
        <f t="shared" si="3"/>
        <v>0</v>
      </c>
      <c r="AD14" s="33">
        <f t="shared" si="3"/>
        <v>0</v>
      </c>
      <c r="AE14" s="33">
        <f t="shared" si="3"/>
        <v>0</v>
      </c>
      <c r="AF14" s="33">
        <f t="shared" si="3"/>
        <v>0</v>
      </c>
      <c r="AG14" s="33">
        <f t="shared" si="3"/>
        <v>0</v>
      </c>
    </row>
    <row r="15" spans="1:33">
      <c r="A15"/>
      <c r="B15" s="375"/>
      <c r="C15" s="375"/>
      <c r="D15" s="375"/>
      <c r="E15" s="375"/>
      <c r="F15" s="375"/>
      <c r="G15" s="375"/>
      <c r="H15" s="375"/>
      <c r="I15" s="375"/>
      <c r="J15" s="375"/>
      <c r="K15" s="375"/>
      <c r="L15" s="375"/>
      <c r="M15" s="375"/>
      <c r="N15"/>
      <c r="O15"/>
      <c r="P15"/>
      <c r="Z15" s="25"/>
      <c r="AA15" s="25"/>
      <c r="AB15" s="25"/>
      <c r="AC15" s="25"/>
      <c r="AD15" s="25"/>
      <c r="AE15" s="25"/>
      <c r="AF15" s="25"/>
      <c r="AG15" s="25"/>
    </row>
    <row r="16" spans="1:33">
      <c r="A16" s="24" t="s">
        <v>748</v>
      </c>
      <c r="B16" s="372">
        <v>1614</v>
      </c>
      <c r="C16" s="372">
        <v>1561</v>
      </c>
      <c r="D16" s="372">
        <v>1213</v>
      </c>
      <c r="E16" s="372">
        <v>1184</v>
      </c>
      <c r="F16" s="372">
        <v>1091</v>
      </c>
      <c r="G16" s="372">
        <v>982</v>
      </c>
      <c r="H16" s="373">
        <v>952</v>
      </c>
      <c r="I16" s="372">
        <v>835</v>
      </c>
      <c r="J16" s="372">
        <v>783</v>
      </c>
      <c r="K16" s="372">
        <v>768</v>
      </c>
      <c r="L16" s="372">
        <v>754</v>
      </c>
      <c r="M16" s="372">
        <v>741</v>
      </c>
      <c r="N16" s="26"/>
      <c r="O16"/>
      <c r="P16"/>
      <c r="Z16" s="25"/>
      <c r="AA16" s="25"/>
      <c r="AB16" s="25"/>
      <c r="AC16" s="25"/>
      <c r="AD16" s="25"/>
      <c r="AE16" s="25"/>
      <c r="AF16" s="25"/>
      <c r="AG16" s="25"/>
    </row>
    <row r="17" spans="1:33">
      <c r="A17" s="24" t="s">
        <v>749</v>
      </c>
      <c r="B17" s="372">
        <v>1625</v>
      </c>
      <c r="C17" s="372">
        <v>1571</v>
      </c>
      <c r="D17" s="372">
        <v>1229</v>
      </c>
      <c r="E17" s="372">
        <v>1207</v>
      </c>
      <c r="F17" s="372">
        <v>1120</v>
      </c>
      <c r="G17" s="372">
        <v>1064</v>
      </c>
      <c r="H17" s="373">
        <v>952</v>
      </c>
      <c r="I17" s="372">
        <v>835</v>
      </c>
      <c r="J17" s="372">
        <v>783</v>
      </c>
      <c r="K17" s="372">
        <v>768</v>
      </c>
      <c r="L17" s="372">
        <v>754</v>
      </c>
      <c r="M17" s="372">
        <v>741</v>
      </c>
      <c r="N17" s="26"/>
      <c r="O17"/>
      <c r="P17"/>
      <c r="Z17" s="25"/>
      <c r="AA17" s="25"/>
      <c r="AB17" s="25"/>
      <c r="AC17" s="25"/>
      <c r="AD17" s="25"/>
      <c r="AE17" s="25"/>
      <c r="AF17" s="25"/>
      <c r="AG17" s="25"/>
    </row>
    <row r="18" spans="1:33" customFormat="1" ht="12.75">
      <c r="B18" s="375"/>
      <c r="C18" s="375"/>
      <c r="D18" s="375"/>
      <c r="E18" s="375"/>
      <c r="F18" s="375"/>
      <c r="G18" s="375"/>
      <c r="H18" s="375"/>
      <c r="I18" s="375"/>
      <c r="J18" s="375"/>
      <c r="K18" s="375"/>
      <c r="L18" s="375"/>
      <c r="M18" s="375"/>
    </row>
    <row r="19" spans="1:33">
      <c r="A19" s="24" t="s">
        <v>750</v>
      </c>
      <c r="B19" s="276">
        <v>31</v>
      </c>
      <c r="C19" s="276">
        <v>-38</v>
      </c>
      <c r="D19" s="276">
        <v>-20</v>
      </c>
      <c r="E19" s="276">
        <v>17</v>
      </c>
      <c r="F19" s="276">
        <v>8</v>
      </c>
      <c r="G19" s="276">
        <v>-14</v>
      </c>
      <c r="H19" s="367">
        <v>11</v>
      </c>
      <c r="I19" s="276">
        <v>3</v>
      </c>
      <c r="J19" s="276">
        <v>-1</v>
      </c>
      <c r="K19" s="276">
        <v>-3</v>
      </c>
      <c r="L19" s="276">
        <v>0</v>
      </c>
      <c r="M19" s="276">
        <v>1</v>
      </c>
      <c r="N19" s="26"/>
      <c r="O19"/>
      <c r="P19"/>
      <c r="Z19" s="25"/>
      <c r="AA19" s="25"/>
      <c r="AB19" s="25"/>
      <c r="AC19" s="25"/>
      <c r="AD19" s="25"/>
      <c r="AE19" s="25"/>
      <c r="AF19" s="25"/>
      <c r="AG19" s="25"/>
    </row>
    <row r="20" spans="1:33" ht="15">
      <c r="A20" s="374" t="s">
        <v>751</v>
      </c>
      <c r="B20" s="276">
        <v>885</v>
      </c>
      <c r="C20" s="276">
        <v>1282</v>
      </c>
      <c r="D20" s="276">
        <v>3142</v>
      </c>
      <c r="E20" s="276">
        <v>2507</v>
      </c>
      <c r="F20" s="276">
        <v>349</v>
      </c>
      <c r="G20" s="276">
        <v>325</v>
      </c>
      <c r="H20" s="367">
        <v>-22</v>
      </c>
      <c r="I20" s="276">
        <v>-494</v>
      </c>
      <c r="J20" s="276">
        <v>-663</v>
      </c>
      <c r="K20" s="276">
        <v>-406</v>
      </c>
      <c r="L20" s="276">
        <v>-82</v>
      </c>
      <c r="M20" s="276">
        <v>-1181</v>
      </c>
      <c r="N20" s="26"/>
      <c r="O20"/>
      <c r="P20"/>
      <c r="Z20" s="25"/>
      <c r="AA20" s="25"/>
      <c r="AB20" s="25"/>
      <c r="AC20" s="25"/>
      <c r="AD20" s="25"/>
      <c r="AE20" s="25"/>
      <c r="AF20" s="25"/>
      <c r="AG20" s="25"/>
    </row>
    <row r="21" spans="1:33" customFormat="1" ht="12.75">
      <c r="B21" s="375"/>
      <c r="C21" s="375"/>
      <c r="D21" s="375"/>
      <c r="E21" s="375"/>
      <c r="F21" s="375"/>
      <c r="G21" s="375"/>
      <c r="H21" s="375"/>
      <c r="I21" s="375"/>
      <c r="J21" s="375"/>
      <c r="K21" s="375"/>
      <c r="L21" s="375"/>
      <c r="M21" s="375"/>
    </row>
    <row r="22" spans="1:33">
      <c r="A22" s="20" t="s">
        <v>526</v>
      </c>
      <c r="B22" s="370">
        <f t="shared" ref="B22:J22" si="4">B23-C23</f>
        <v>2331</v>
      </c>
      <c r="C22" s="370">
        <f t="shared" si="4"/>
        <v>2007</v>
      </c>
      <c r="D22" s="370">
        <f>D23-E23</f>
        <v>-323</v>
      </c>
      <c r="E22" s="370">
        <f t="shared" si="4"/>
        <v>1359</v>
      </c>
      <c r="F22" s="370">
        <f t="shared" si="4"/>
        <v>294</v>
      </c>
      <c r="G22" s="370">
        <f t="shared" si="4"/>
        <v>542</v>
      </c>
      <c r="H22" s="370">
        <f t="shared" si="4"/>
        <v>16</v>
      </c>
      <c r="I22" s="370">
        <f>I23-J23</f>
        <v>-212</v>
      </c>
      <c r="J22" s="370">
        <f t="shared" si="4"/>
        <v>-359</v>
      </c>
      <c r="K22" s="370">
        <f>K23-L23</f>
        <v>94</v>
      </c>
      <c r="L22" s="370">
        <f>L23-M23</f>
        <v>78</v>
      </c>
      <c r="M22" s="370">
        <f>M23-N23</f>
        <v>319</v>
      </c>
      <c r="N22" s="32" t="s">
        <v>752</v>
      </c>
      <c r="O22" t="s">
        <v>753</v>
      </c>
      <c r="P22"/>
      <c r="Q22" s="20" t="s">
        <v>745</v>
      </c>
      <c r="Z22" s="25"/>
      <c r="AA22" s="25"/>
      <c r="AB22" s="25"/>
      <c r="AC22" s="25"/>
      <c r="AD22" s="28"/>
      <c r="AE22" s="25"/>
      <c r="AF22" s="25"/>
      <c r="AG22" s="25"/>
    </row>
    <row r="23" spans="1:33">
      <c r="A23" s="24" t="s">
        <v>754</v>
      </c>
      <c r="B23" s="276">
        <f t="shared" ref="B23" si="5">B27-B42-B28</f>
        <v>6146</v>
      </c>
      <c r="C23" s="276">
        <f t="shared" ref="C23:M23" si="6">C27-C42-C28</f>
        <v>3815</v>
      </c>
      <c r="D23" s="276">
        <f t="shared" si="6"/>
        <v>1808</v>
      </c>
      <c r="E23" s="276">
        <f t="shared" si="6"/>
        <v>2131</v>
      </c>
      <c r="F23" s="276">
        <f t="shared" si="6"/>
        <v>772</v>
      </c>
      <c r="G23" s="276">
        <f t="shared" si="6"/>
        <v>478</v>
      </c>
      <c r="H23" s="276">
        <f t="shared" si="6"/>
        <v>-64</v>
      </c>
      <c r="I23" s="276">
        <f t="shared" si="6"/>
        <v>-80</v>
      </c>
      <c r="J23" s="276">
        <f t="shared" si="6"/>
        <v>132</v>
      </c>
      <c r="K23" s="276">
        <f t="shared" si="6"/>
        <v>491</v>
      </c>
      <c r="L23" s="276">
        <f t="shared" si="6"/>
        <v>397</v>
      </c>
      <c r="M23" s="276">
        <f t="shared" si="6"/>
        <v>319</v>
      </c>
      <c r="N23" s="32"/>
      <c r="O23"/>
      <c r="P23"/>
      <c r="Z23" s="25"/>
      <c r="AA23" s="25"/>
      <c r="AB23" s="25"/>
      <c r="AC23" s="25"/>
      <c r="AD23" s="28"/>
      <c r="AE23" s="25"/>
      <c r="AF23" s="25"/>
      <c r="AG23" s="25"/>
    </row>
    <row r="24" spans="1:33">
      <c r="A24" s="4">
        <v>2625</v>
      </c>
      <c r="B24" s="376">
        <v>2625</v>
      </c>
      <c r="C24" s="376">
        <v>2625</v>
      </c>
      <c r="D24" s="376">
        <v>2625</v>
      </c>
      <c r="E24" s="376">
        <v>2625</v>
      </c>
      <c r="F24" s="376">
        <v>2625</v>
      </c>
      <c r="G24" s="376">
        <v>2625</v>
      </c>
      <c r="H24" s="376">
        <v>2625</v>
      </c>
      <c r="I24" s="376">
        <v>2625</v>
      </c>
      <c r="J24" s="376">
        <v>2625</v>
      </c>
      <c r="K24" s="376">
        <v>2625</v>
      </c>
      <c r="L24" s="376">
        <v>2625</v>
      </c>
      <c r="M24" s="376">
        <v>2625</v>
      </c>
      <c r="N24" s="4">
        <v>2625</v>
      </c>
      <c r="O24"/>
      <c r="P24"/>
      <c r="Q24" s="20" t="s">
        <v>745</v>
      </c>
      <c r="R24" s="20" t="s">
        <v>755</v>
      </c>
      <c r="T24" s="20" t="s">
        <v>756</v>
      </c>
      <c r="Z24" s="25">
        <v>1799</v>
      </c>
      <c r="AA24" s="25">
        <v>1757</v>
      </c>
      <c r="AB24" s="25">
        <v>1620</v>
      </c>
      <c r="AC24" s="25">
        <v>1111</v>
      </c>
      <c r="AD24" s="25">
        <v>1617</v>
      </c>
      <c r="AE24" s="25">
        <v>1159</v>
      </c>
      <c r="AF24" s="25">
        <v>1084</v>
      </c>
      <c r="AG24" s="25">
        <v>1029</v>
      </c>
    </row>
    <row r="25" spans="1:33" ht="15">
      <c r="A25" s="48" t="s">
        <v>381</v>
      </c>
      <c r="B25" s="376">
        <v>2625</v>
      </c>
      <c r="C25" s="376">
        <v>2625</v>
      </c>
      <c r="D25" s="376">
        <v>2625</v>
      </c>
      <c r="E25" s="376">
        <v>2625</v>
      </c>
      <c r="F25" s="376">
        <v>2625</v>
      </c>
      <c r="G25" s="376">
        <v>2625</v>
      </c>
      <c r="H25" s="376">
        <v>2625</v>
      </c>
      <c r="I25" s="376">
        <v>2625</v>
      </c>
      <c r="J25" s="376">
        <v>2625</v>
      </c>
      <c r="K25" s="376">
        <v>2625</v>
      </c>
      <c r="L25" s="376">
        <v>2625</v>
      </c>
      <c r="M25" s="376">
        <v>2625</v>
      </c>
      <c r="N25" s="4">
        <v>2625</v>
      </c>
      <c r="O25"/>
      <c r="P25"/>
      <c r="Q25" s="20" t="s">
        <v>745</v>
      </c>
      <c r="R25" s="20" t="s">
        <v>757</v>
      </c>
      <c r="S25" s="20" t="s">
        <v>758</v>
      </c>
      <c r="T25" s="20" t="s">
        <v>759</v>
      </c>
      <c r="Z25" s="25">
        <v>23</v>
      </c>
      <c r="AA25" s="25">
        <f>-33+2025</f>
        <v>1992</v>
      </c>
      <c r="AB25" s="25">
        <v>3817</v>
      </c>
      <c r="AC25" s="25">
        <v>1776</v>
      </c>
      <c r="AD25" s="25">
        <v>-244</v>
      </c>
      <c r="AE25" s="25">
        <v>-312</v>
      </c>
      <c r="AF25" s="25">
        <v>-449</v>
      </c>
      <c r="AG25" s="25">
        <v>-110</v>
      </c>
    </row>
    <row r="26" spans="1:33" ht="15">
      <c r="A26" s="98" t="s">
        <v>760</v>
      </c>
      <c r="B26" s="442"/>
      <c r="C26" s="442"/>
      <c r="D26" s="442"/>
      <c r="E26" s="442"/>
      <c r="F26" s="442"/>
      <c r="G26" s="442"/>
      <c r="H26" s="442"/>
      <c r="I26" s="442"/>
      <c r="J26" s="442"/>
      <c r="K26" s="442"/>
      <c r="L26" s="442"/>
      <c r="M26" s="442"/>
      <c r="N26" s="4">
        <v>1922</v>
      </c>
      <c r="O26" s="4">
        <v>2625</v>
      </c>
      <c r="P26"/>
      <c r="Z26" s="25"/>
      <c r="AA26" s="25"/>
      <c r="AB26" s="25"/>
      <c r="AC26" s="25"/>
      <c r="AD26" s="25"/>
      <c r="AE26" s="25"/>
      <c r="AF26" s="25"/>
      <c r="AG26" s="25"/>
    </row>
    <row r="27" spans="1:33" ht="15">
      <c r="A27" s="7" t="s">
        <v>761</v>
      </c>
      <c r="B27" s="275">
        <f>SUM(B28:B31)</f>
        <v>16768</v>
      </c>
      <c r="C27" s="275">
        <f t="shared" ref="C27:M27" si="7">SUM(C28:C31)</f>
        <v>15019</v>
      </c>
      <c r="D27" s="275">
        <f t="shared" si="7"/>
        <v>8583</v>
      </c>
      <c r="E27" s="275">
        <f t="shared" si="7"/>
        <v>6143</v>
      </c>
      <c r="F27" s="275">
        <f t="shared" si="7"/>
        <v>4597</v>
      </c>
      <c r="G27" s="275">
        <f t="shared" si="7"/>
        <v>3540</v>
      </c>
      <c r="H27" s="275">
        <f t="shared" si="7"/>
        <v>2634</v>
      </c>
      <c r="I27" s="275">
        <f t="shared" si="7"/>
        <v>2530</v>
      </c>
      <c r="J27" s="275">
        <f t="shared" si="7"/>
        <v>2320</v>
      </c>
      <c r="K27" s="275">
        <f t="shared" si="7"/>
        <v>2736</v>
      </c>
      <c r="L27" s="275">
        <f t="shared" si="7"/>
        <v>2884</v>
      </c>
      <c r="M27" s="275">
        <f t="shared" si="7"/>
        <v>2265</v>
      </c>
      <c r="N27" s="4"/>
      <c r="O27" s="4"/>
      <c r="P27"/>
      <c r="Z27" s="25"/>
      <c r="AA27" s="25"/>
      <c r="AB27" s="25"/>
      <c r="AC27" s="25"/>
      <c r="AD27" s="25"/>
      <c r="AE27" s="25"/>
      <c r="AF27" s="25"/>
      <c r="AG27" s="25"/>
    </row>
    <row r="28" spans="1:33" ht="15">
      <c r="A28" s="95" t="s">
        <v>216</v>
      </c>
      <c r="B28" s="276">
        <v>3933</v>
      </c>
      <c r="C28" s="276">
        <v>4835</v>
      </c>
      <c r="D28" s="276">
        <v>2535</v>
      </c>
      <c r="E28" s="276">
        <v>1595</v>
      </c>
      <c r="F28" s="276">
        <v>1466</v>
      </c>
      <c r="G28" s="276">
        <v>1078</v>
      </c>
      <c r="H28" s="276">
        <v>1185</v>
      </c>
      <c r="I28" s="276">
        <v>1264</v>
      </c>
      <c r="J28" s="276">
        <v>785</v>
      </c>
      <c r="K28" s="276">
        <v>805</v>
      </c>
      <c r="L28" s="276">
        <v>869</v>
      </c>
      <c r="M28" s="276">
        <v>549</v>
      </c>
      <c r="N28" s="35" t="s">
        <v>762</v>
      </c>
      <c r="O28" t="s">
        <v>216</v>
      </c>
      <c r="P28"/>
      <c r="Z28" s="34"/>
      <c r="AA28" s="34"/>
      <c r="AB28" s="34"/>
      <c r="AC28" s="34"/>
      <c r="AD28" s="34"/>
      <c r="AE28" s="33"/>
      <c r="AF28" s="33"/>
      <c r="AG28" s="33"/>
    </row>
    <row r="29" spans="1:33" ht="15">
      <c r="A29" s="96" t="s">
        <v>535</v>
      </c>
      <c r="B29" s="276">
        <v>5376</v>
      </c>
      <c r="C29" s="276">
        <v>4128</v>
      </c>
      <c r="D29" s="276">
        <v>2706</v>
      </c>
      <c r="E29" s="276">
        <v>2066</v>
      </c>
      <c r="F29" s="276">
        <v>1859</v>
      </c>
      <c r="G29" s="276">
        <v>1235</v>
      </c>
      <c r="H29" s="276">
        <v>454</v>
      </c>
      <c r="I29" s="276">
        <v>311</v>
      </c>
      <c r="J29" s="276">
        <v>533</v>
      </c>
      <c r="K29" s="276">
        <v>818</v>
      </c>
      <c r="L29" s="276">
        <v>832</v>
      </c>
      <c r="M29" s="276">
        <v>630</v>
      </c>
      <c r="N29" s="35" t="s">
        <v>762</v>
      </c>
      <c r="O29" t="s">
        <v>535</v>
      </c>
      <c r="P29"/>
      <c r="Z29" s="34"/>
      <c r="AA29" s="34"/>
      <c r="AB29" s="34"/>
      <c r="AC29" s="34"/>
      <c r="AD29" s="34"/>
      <c r="AE29" s="33"/>
      <c r="AF29" s="33"/>
      <c r="AG29" s="33"/>
    </row>
    <row r="30" spans="1:33">
      <c r="A30" s="95" t="s">
        <v>218</v>
      </c>
      <c r="B30" s="276">
        <v>4351</v>
      </c>
      <c r="C30" s="276">
        <v>3771</v>
      </c>
      <c r="D30" s="276">
        <v>1955</v>
      </c>
      <c r="E30" s="276">
        <v>1399</v>
      </c>
      <c r="F30" s="276">
        <v>982</v>
      </c>
      <c r="G30" s="276">
        <v>845</v>
      </c>
      <c r="H30" s="276">
        <v>694</v>
      </c>
      <c r="I30" s="276">
        <v>751</v>
      </c>
      <c r="J30" s="276">
        <v>678</v>
      </c>
      <c r="K30" s="276">
        <v>685</v>
      </c>
      <c r="L30" s="276">
        <v>884</v>
      </c>
      <c r="M30" s="276">
        <v>562</v>
      </c>
      <c r="N30" s="35" t="s">
        <v>762</v>
      </c>
      <c r="O30" t="s">
        <v>218</v>
      </c>
      <c r="P30"/>
      <c r="Q30" s="20" t="s">
        <v>763</v>
      </c>
      <c r="R30" s="20" t="s">
        <v>764</v>
      </c>
      <c r="Z30" s="25">
        <v>7168</v>
      </c>
      <c r="AA30" s="25">
        <v>6460</v>
      </c>
      <c r="AB30" s="25">
        <v>7341</v>
      </c>
      <c r="AC30" s="25">
        <v>6081</v>
      </c>
      <c r="AD30" s="25">
        <v>5490</v>
      </c>
      <c r="AE30" s="25">
        <v>3057</v>
      </c>
      <c r="AF30" s="25">
        <v>3592</v>
      </c>
      <c r="AG30" s="25">
        <v>4867</v>
      </c>
    </row>
    <row r="31" spans="1:33" s="21" customFormat="1">
      <c r="A31" s="95" t="s">
        <v>765</v>
      </c>
      <c r="B31" s="276">
        <v>3108</v>
      </c>
      <c r="C31" s="276">
        <v>2285</v>
      </c>
      <c r="D31" s="276">
        <v>1387</v>
      </c>
      <c r="E31" s="276">
        <v>1083</v>
      </c>
      <c r="F31" s="276">
        <v>290</v>
      </c>
      <c r="G31" s="276">
        <v>382</v>
      </c>
      <c r="H31" s="276">
        <v>301</v>
      </c>
      <c r="I31" s="276">
        <v>204</v>
      </c>
      <c r="J31" s="276">
        <v>324</v>
      </c>
      <c r="K31" s="276">
        <v>428</v>
      </c>
      <c r="L31" s="276">
        <v>299</v>
      </c>
      <c r="M31" s="276">
        <v>524</v>
      </c>
      <c r="N31" s="35" t="s">
        <v>762</v>
      </c>
      <c r="O31" t="s">
        <v>218</v>
      </c>
      <c r="P31"/>
      <c r="Q31" s="20" t="s">
        <v>763</v>
      </c>
      <c r="R31" s="20" t="s">
        <v>766</v>
      </c>
      <c r="S31" s="20" t="s">
        <v>767</v>
      </c>
      <c r="T31" s="20" t="s">
        <v>768</v>
      </c>
      <c r="U31" s="20"/>
      <c r="V31" s="20"/>
      <c r="W31" s="20"/>
      <c r="X31" s="20"/>
      <c r="Y31" s="20"/>
      <c r="Z31" s="29">
        <f>5981+8522+1029+13556</f>
        <v>29088</v>
      </c>
      <c r="AA31" s="29">
        <f>6695+8991+1170+13651</f>
        <v>30507</v>
      </c>
      <c r="AB31" s="29">
        <f>7737+9027+1364+14644</f>
        <v>32772</v>
      </c>
      <c r="AC31" s="29">
        <v>33499</v>
      </c>
      <c r="AD31" s="29">
        <v>33911</v>
      </c>
      <c r="AE31" s="29">
        <v>31031</v>
      </c>
      <c r="AF31" s="29">
        <v>28849</v>
      </c>
      <c r="AG31" s="29">
        <v>27162</v>
      </c>
    </row>
    <row r="32" spans="1:33" s="21" customFormat="1" ht="15">
      <c r="A32" s="7" t="s">
        <v>769</v>
      </c>
      <c r="B32" s="275">
        <f t="shared" ref="B32:M32" si="8">B38-B27</f>
        <v>51117</v>
      </c>
      <c r="C32" s="275">
        <f t="shared" si="8"/>
        <v>52561</v>
      </c>
      <c r="D32" s="275">
        <f t="shared" si="8"/>
        <v>3836</v>
      </c>
      <c r="E32" s="275">
        <f t="shared" si="8"/>
        <v>2819</v>
      </c>
      <c r="F32" s="275">
        <f t="shared" si="8"/>
        <v>1431</v>
      </c>
      <c r="G32" s="275">
        <f t="shared" si="8"/>
        <v>1016</v>
      </c>
      <c r="H32" s="275">
        <f t="shared" si="8"/>
        <v>918</v>
      </c>
      <c r="I32" s="275">
        <f t="shared" si="8"/>
        <v>791</v>
      </c>
      <c r="J32" s="275">
        <f t="shared" si="8"/>
        <v>764</v>
      </c>
      <c r="K32" s="275">
        <f t="shared" si="8"/>
        <v>1031</v>
      </c>
      <c r="L32" s="275">
        <f t="shared" si="8"/>
        <v>1453</v>
      </c>
      <c r="M32" s="275">
        <f t="shared" si="8"/>
        <v>1735</v>
      </c>
      <c r="N32" s="35"/>
      <c r="O32"/>
      <c r="P32"/>
      <c r="Q32" s="20"/>
      <c r="R32" s="20"/>
      <c r="S32" s="20"/>
      <c r="T32" s="20"/>
      <c r="U32" s="20"/>
      <c r="V32" s="20"/>
      <c r="W32" s="20"/>
      <c r="X32" s="20"/>
      <c r="Y32" s="20"/>
      <c r="Z32" s="29"/>
      <c r="AA32" s="29"/>
      <c r="AB32" s="29"/>
      <c r="AC32" s="29"/>
      <c r="AD32" s="29"/>
      <c r="AE32" s="29"/>
      <c r="AF32" s="29"/>
      <c r="AG32" s="29"/>
    </row>
    <row r="33" spans="1:33">
      <c r="A33" s="97" t="s">
        <v>536</v>
      </c>
      <c r="B33" s="800">
        <v>1589</v>
      </c>
      <c r="C33" s="800">
        <v>1513</v>
      </c>
      <c r="D33" s="800">
        <v>702</v>
      </c>
      <c r="E33" s="801">
        <v>641</v>
      </c>
      <c r="F33" s="801">
        <v>500</v>
      </c>
      <c r="G33" s="801">
        <v>348</v>
      </c>
      <c r="H33" s="801">
        <v>261</v>
      </c>
      <c r="I33" s="801">
        <v>164</v>
      </c>
      <c r="J33" s="801">
        <v>188</v>
      </c>
      <c r="K33" s="801">
        <v>302</v>
      </c>
      <c r="L33" s="801">
        <v>346</v>
      </c>
      <c r="M33" s="801">
        <v>658</v>
      </c>
      <c r="N33" s="35"/>
      <c r="O33"/>
      <c r="P33"/>
      <c r="Q33" s="20" t="s">
        <v>763</v>
      </c>
      <c r="R33" s="20" t="s">
        <v>770</v>
      </c>
      <c r="Z33" s="25">
        <v>8614</v>
      </c>
      <c r="AA33" s="25">
        <v>9700</v>
      </c>
      <c r="AB33" s="25">
        <v>12205</v>
      </c>
      <c r="AC33" s="25">
        <v>12625</v>
      </c>
      <c r="AD33" s="25">
        <v>15547</v>
      </c>
      <c r="AE33" s="25">
        <v>14544</v>
      </c>
      <c r="AF33" s="25">
        <v>9587</v>
      </c>
      <c r="AG33" s="25">
        <v>6360</v>
      </c>
    </row>
    <row r="34" spans="1:33">
      <c r="A34" s="97" t="s">
        <v>771</v>
      </c>
      <c r="B34" s="276">
        <v>633</v>
      </c>
      <c r="C34" s="276">
        <v>460</v>
      </c>
      <c r="D34" s="276">
        <v>367</v>
      </c>
      <c r="E34" s="276">
        <v>208</v>
      </c>
      <c r="F34" s="276">
        <v>205</v>
      </c>
      <c r="G34" s="276">
        <v>0</v>
      </c>
      <c r="H34" s="276">
        <v>0</v>
      </c>
      <c r="I34" s="276">
        <v>0</v>
      </c>
      <c r="J34" s="276">
        <v>0</v>
      </c>
      <c r="K34" s="276">
        <v>0</v>
      </c>
      <c r="L34" s="276">
        <v>0</v>
      </c>
      <c r="M34" s="276">
        <v>0</v>
      </c>
      <c r="N34" s="35"/>
      <c r="O34"/>
      <c r="P34"/>
      <c r="Z34" s="25"/>
      <c r="AA34" s="25"/>
      <c r="AB34" s="25"/>
      <c r="AC34" s="25"/>
      <c r="AD34" s="25"/>
      <c r="AE34" s="25"/>
      <c r="AF34" s="25"/>
      <c r="AG34" s="25"/>
    </row>
    <row r="35" spans="1:33">
      <c r="A35" s="97" t="s">
        <v>772</v>
      </c>
      <c r="B35" s="276">
        <v>99</v>
      </c>
      <c r="C35" s="276">
        <v>83</v>
      </c>
      <c r="D35" s="276">
        <v>69</v>
      </c>
      <c r="E35" s="276">
        <v>63</v>
      </c>
      <c r="F35" s="276">
        <v>58</v>
      </c>
      <c r="G35" s="276">
        <v>58</v>
      </c>
      <c r="H35" s="276">
        <v>58</v>
      </c>
      <c r="I35" s="276">
        <v>59</v>
      </c>
      <c r="J35" s="276">
        <v>0</v>
      </c>
      <c r="K35" s="276">
        <v>0</v>
      </c>
      <c r="L35" s="276">
        <v>90</v>
      </c>
      <c r="M35" s="276">
        <v>181</v>
      </c>
      <c r="N35" s="35"/>
      <c r="O35"/>
      <c r="P35"/>
      <c r="Z35" s="25"/>
      <c r="AA35" s="25"/>
      <c r="AB35" s="25"/>
      <c r="AC35" s="25"/>
      <c r="AD35" s="25"/>
      <c r="AE35" s="25"/>
      <c r="AF35" s="25"/>
      <c r="AG35" s="25"/>
    </row>
    <row r="36" spans="1:33">
      <c r="A36" s="97" t="s">
        <v>773</v>
      </c>
      <c r="B36" s="276">
        <f t="shared" ref="B36" si="9">B32-SUM(B33:B35)</f>
        <v>48796</v>
      </c>
      <c r="C36" s="276">
        <f t="shared" ref="C36" si="10">C32-SUM(C33:C35)</f>
        <v>50505</v>
      </c>
      <c r="D36" s="276">
        <f t="shared" ref="D36" si="11">D32-SUM(D33:D35)</f>
        <v>2698</v>
      </c>
      <c r="E36" s="276">
        <f>E32-SUM(E33:E35)</f>
        <v>1907</v>
      </c>
      <c r="F36" s="276">
        <f t="shared" ref="F36" si="12">F32-SUM(F33:F35)</f>
        <v>668</v>
      </c>
      <c r="G36" s="276">
        <f t="shared" ref="G36" si="13">G32-SUM(G33:G35)</f>
        <v>610</v>
      </c>
      <c r="H36" s="276">
        <f t="shared" ref="H36" si="14">H32-SUM(H33:H35)</f>
        <v>599</v>
      </c>
      <c r="I36" s="276">
        <f t="shared" ref="I36" si="15">I32-SUM(I33:I35)</f>
        <v>568</v>
      </c>
      <c r="J36" s="276">
        <f t="shared" ref="J36" si="16">J32-SUM(J33:J35)</f>
        <v>576</v>
      </c>
      <c r="K36" s="276">
        <f t="shared" ref="K36" si="17">K32-SUM(K33:K35)</f>
        <v>729</v>
      </c>
      <c r="L36" s="276">
        <f t="shared" ref="L36" si="18">L32-SUM(L33:L35)</f>
        <v>1017</v>
      </c>
      <c r="M36" s="276">
        <f t="shared" ref="M36" si="19">M32-SUM(M33:M35)</f>
        <v>896</v>
      </c>
      <c r="N36" s="35" t="s">
        <v>762</v>
      </c>
      <c r="O36" t="s">
        <v>536</v>
      </c>
      <c r="P36"/>
      <c r="Z36" s="25"/>
      <c r="AA36" s="25"/>
      <c r="AB36" s="25"/>
      <c r="AC36" s="25"/>
      <c r="AD36" s="25"/>
      <c r="AE36" s="25"/>
      <c r="AF36" s="25"/>
      <c r="AG36" s="25"/>
    </row>
    <row r="37" spans="1:33">
      <c r="A37" s="20" t="s">
        <v>537</v>
      </c>
      <c r="B37" s="370">
        <f>B31+B36</f>
        <v>51904</v>
      </c>
      <c r="C37" s="370">
        <f>C31+C36</f>
        <v>52790</v>
      </c>
      <c r="D37" s="370">
        <f t="shared" ref="D37:M37" si="20">D31+D36</f>
        <v>4085</v>
      </c>
      <c r="E37" s="370">
        <f t="shared" si="20"/>
        <v>2990</v>
      </c>
      <c r="F37" s="370">
        <f t="shared" si="20"/>
        <v>958</v>
      </c>
      <c r="G37" s="370">
        <f t="shared" si="20"/>
        <v>992</v>
      </c>
      <c r="H37" s="370">
        <f t="shared" si="20"/>
        <v>900</v>
      </c>
      <c r="I37" s="370">
        <f t="shared" si="20"/>
        <v>772</v>
      </c>
      <c r="J37" s="370">
        <f t="shared" si="20"/>
        <v>900</v>
      </c>
      <c r="K37" s="370">
        <f t="shared" si="20"/>
        <v>1157</v>
      </c>
      <c r="L37" s="370">
        <f t="shared" si="20"/>
        <v>1316</v>
      </c>
      <c r="M37" s="370">
        <f t="shared" si="20"/>
        <v>1420</v>
      </c>
      <c r="N37" s="35" t="s">
        <v>762</v>
      </c>
      <c r="O37"/>
      <c r="P37"/>
      <c r="Z37" s="25"/>
      <c r="AA37" s="25"/>
      <c r="AB37" s="25"/>
      <c r="AC37" s="25"/>
      <c r="AD37" s="25"/>
      <c r="AE37" s="25"/>
      <c r="AF37" s="25"/>
      <c r="AG37" s="25"/>
    </row>
    <row r="38" spans="1:33" ht="15">
      <c r="A38" s="7" t="s">
        <v>19</v>
      </c>
      <c r="B38" s="275">
        <v>67885</v>
      </c>
      <c r="C38" s="275">
        <v>67580</v>
      </c>
      <c r="D38" s="275">
        <v>12419</v>
      </c>
      <c r="E38" s="275">
        <v>8962</v>
      </c>
      <c r="F38" s="275">
        <v>6028</v>
      </c>
      <c r="G38" s="275">
        <v>4556</v>
      </c>
      <c r="H38" s="275">
        <v>3552</v>
      </c>
      <c r="I38" s="275">
        <v>3321</v>
      </c>
      <c r="J38" s="275">
        <v>3084</v>
      </c>
      <c r="K38" s="275">
        <v>3767</v>
      </c>
      <c r="L38" s="275">
        <v>4337</v>
      </c>
      <c r="M38" s="275">
        <v>4000</v>
      </c>
      <c r="N38" s="35" t="s">
        <v>762</v>
      </c>
      <c r="O38" t="s">
        <v>19</v>
      </c>
      <c r="P38"/>
      <c r="Q38" s="20" t="s">
        <v>763</v>
      </c>
      <c r="R38" s="20" t="s">
        <v>774</v>
      </c>
      <c r="Z38" s="25">
        <v>15322</v>
      </c>
      <c r="AA38" s="25">
        <v>16090</v>
      </c>
      <c r="AB38" s="25">
        <f>16577</f>
        <v>16577</v>
      </c>
      <c r="AC38" s="25">
        <v>17075</v>
      </c>
      <c r="AD38" s="25">
        <v>16461</v>
      </c>
      <c r="AE38" s="25">
        <v>14395</v>
      </c>
      <c r="AF38" s="25">
        <v>12539</v>
      </c>
      <c r="AG38" s="25">
        <v>12386</v>
      </c>
    </row>
    <row r="39" spans="1:33">
      <c r="B39" s="370"/>
      <c r="C39" s="370"/>
      <c r="D39" s="370"/>
      <c r="E39" s="370"/>
      <c r="F39" s="370"/>
      <c r="G39" s="370"/>
      <c r="H39" s="370"/>
      <c r="I39" s="370"/>
      <c r="J39" s="370"/>
      <c r="K39" s="370"/>
      <c r="L39" s="370"/>
      <c r="M39" s="370"/>
      <c r="N39" s="35" t="s">
        <v>762</v>
      </c>
      <c r="O39"/>
      <c r="P39"/>
      <c r="Z39" s="22">
        <f t="shared" ref="Z39:AG39" si="21">Z40-SUM(Z30:Z38)</f>
        <v>14512</v>
      </c>
      <c r="AA39" s="22">
        <f t="shared" si="21"/>
        <v>15585</v>
      </c>
      <c r="AB39" s="22">
        <f t="shared" si="21"/>
        <v>15786</v>
      </c>
      <c r="AC39" s="22">
        <f t="shared" si="21"/>
        <v>15616</v>
      </c>
      <c r="AD39" s="22">
        <f t="shared" si="21"/>
        <v>17947</v>
      </c>
      <c r="AE39" s="22">
        <f t="shared" si="21"/>
        <v>18419</v>
      </c>
      <c r="AF39" s="22">
        <f t="shared" si="21"/>
        <v>9453</v>
      </c>
      <c r="AG39" s="22">
        <f t="shared" si="21"/>
        <v>9263</v>
      </c>
    </row>
    <row r="40" spans="1:33" ht="15">
      <c r="B40" s="370"/>
      <c r="C40" s="370"/>
      <c r="D40" s="370"/>
      <c r="E40" s="370"/>
      <c r="F40" s="370"/>
      <c r="G40" s="370"/>
      <c r="H40" s="370"/>
      <c r="I40" s="370"/>
      <c r="J40" s="370"/>
      <c r="K40" s="370"/>
      <c r="L40" s="370"/>
      <c r="M40" s="370"/>
      <c r="N40" s="35" t="s">
        <v>762</v>
      </c>
      <c r="O40"/>
      <c r="P40"/>
      <c r="Q40" s="20" t="s">
        <v>763</v>
      </c>
      <c r="R40" s="20" t="s">
        <v>775</v>
      </c>
      <c r="Z40" s="36">
        <v>74704</v>
      </c>
      <c r="AA40" s="36">
        <v>78342</v>
      </c>
      <c r="AB40" s="36">
        <v>84681</v>
      </c>
      <c r="AC40" s="36">
        <v>84896</v>
      </c>
      <c r="AD40" s="36">
        <v>89356</v>
      </c>
      <c r="AE40" s="36">
        <v>81446</v>
      </c>
      <c r="AF40" s="36">
        <v>64020</v>
      </c>
      <c r="AG40" s="36">
        <v>60038</v>
      </c>
    </row>
    <row r="41" spans="1:33" ht="15">
      <c r="A41" s="98" t="s">
        <v>776</v>
      </c>
      <c r="B41" s="275"/>
      <c r="C41" s="275"/>
      <c r="D41" s="275"/>
      <c r="E41" s="275"/>
      <c r="F41" s="275"/>
      <c r="G41" s="275"/>
      <c r="H41" s="275"/>
      <c r="I41" s="275"/>
      <c r="J41" s="275"/>
      <c r="K41" s="275"/>
      <c r="L41" s="275"/>
      <c r="M41" s="275"/>
      <c r="N41" s="35" t="s">
        <v>762</v>
      </c>
      <c r="O41"/>
      <c r="P41"/>
      <c r="Z41" s="27"/>
      <c r="AA41" s="27"/>
      <c r="AB41" s="27"/>
      <c r="AC41" s="27"/>
      <c r="AD41" s="27"/>
      <c r="AE41" s="27"/>
      <c r="AF41" s="27"/>
      <c r="AG41" s="27"/>
    </row>
    <row r="42" spans="1:33" ht="15">
      <c r="A42" s="7" t="s">
        <v>222</v>
      </c>
      <c r="B42" s="275">
        <v>6689</v>
      </c>
      <c r="C42" s="275">
        <v>6369</v>
      </c>
      <c r="D42" s="275">
        <v>4240</v>
      </c>
      <c r="E42" s="275">
        <v>2417</v>
      </c>
      <c r="F42" s="275">
        <v>2359</v>
      </c>
      <c r="G42" s="275">
        <v>1984</v>
      </c>
      <c r="H42" s="275">
        <v>1513</v>
      </c>
      <c r="I42" s="275">
        <v>1346</v>
      </c>
      <c r="J42" s="275">
        <v>1403</v>
      </c>
      <c r="K42" s="275">
        <v>1440</v>
      </c>
      <c r="L42" s="275">
        <v>1618</v>
      </c>
      <c r="M42" s="275">
        <v>1397</v>
      </c>
      <c r="N42" s="35" t="s">
        <v>762</v>
      </c>
      <c r="O42" t="s">
        <v>222</v>
      </c>
      <c r="P42"/>
      <c r="Z42" s="27"/>
      <c r="AA42" s="27"/>
      <c r="AB42" s="27"/>
      <c r="AC42" s="27"/>
      <c r="AD42" s="27"/>
      <c r="AE42" s="27"/>
      <c r="AF42" s="27"/>
      <c r="AG42" s="27"/>
    </row>
    <row r="43" spans="1:33" ht="15">
      <c r="A43" s="95" t="s">
        <v>777</v>
      </c>
      <c r="B43" s="276">
        <v>2418</v>
      </c>
      <c r="C43" s="276">
        <v>2956</v>
      </c>
      <c r="D43" s="276">
        <v>1406</v>
      </c>
      <c r="E43" s="276">
        <v>546</v>
      </c>
      <c r="F43" s="276">
        <v>1201</v>
      </c>
      <c r="G43" s="276">
        <v>1041</v>
      </c>
      <c r="H43" s="276">
        <v>796</v>
      </c>
      <c r="I43" s="276">
        <v>823</v>
      </c>
      <c r="J43" s="276">
        <v>524</v>
      </c>
      <c r="K43" s="276">
        <v>633</v>
      </c>
      <c r="L43" s="276">
        <v>883</v>
      </c>
      <c r="M43" s="276">
        <v>732</v>
      </c>
      <c r="N43" s="35"/>
      <c r="O43"/>
      <c r="P43"/>
      <c r="Z43" s="34"/>
      <c r="AA43" s="34"/>
      <c r="AB43" s="34"/>
      <c r="AC43" s="34"/>
      <c r="AD43" s="34"/>
      <c r="AE43" s="33"/>
      <c r="AF43" s="33"/>
      <c r="AG43" s="33"/>
    </row>
    <row r="44" spans="1:33" s="7" customFormat="1" ht="15">
      <c r="A44" s="24" t="s">
        <v>539</v>
      </c>
      <c r="B44" s="276">
        <v>0</v>
      </c>
      <c r="C44" s="276">
        <v>0</v>
      </c>
      <c r="D44" s="276">
        <v>0</v>
      </c>
      <c r="E44" s="276">
        <v>0</v>
      </c>
      <c r="F44" s="276">
        <v>0</v>
      </c>
      <c r="G44" s="276">
        <v>136</v>
      </c>
      <c r="H44" s="276">
        <v>70</v>
      </c>
      <c r="I44" s="276">
        <v>0</v>
      </c>
      <c r="J44" s="276">
        <v>230</v>
      </c>
      <c r="K44" s="276">
        <v>177</v>
      </c>
      <c r="L44" s="276">
        <v>60</v>
      </c>
      <c r="M44" s="276">
        <v>0</v>
      </c>
      <c r="N44" s="35" t="s">
        <v>762</v>
      </c>
      <c r="O44" t="s">
        <v>778</v>
      </c>
      <c r="P44"/>
      <c r="Q44" s="20" t="s">
        <v>763</v>
      </c>
      <c r="R44" s="7" t="s">
        <v>779</v>
      </c>
      <c r="Z44" s="36">
        <v>26132</v>
      </c>
      <c r="AA44" s="36">
        <v>26242</v>
      </c>
      <c r="AB44" s="36">
        <v>27877</v>
      </c>
      <c r="AC44" s="36">
        <v>27297</v>
      </c>
      <c r="AD44" s="36">
        <v>29415</v>
      </c>
      <c r="AE44" s="36">
        <f>93+3895+8161+3386+2410+2691+298+1967+558+5102</f>
        <v>28561</v>
      </c>
      <c r="AF44" s="36">
        <f>204+3852+5856+2880+1670+1831+281+1521+495+3430</f>
        <v>22020</v>
      </c>
      <c r="AG44" s="36">
        <f>433+3650+2993+3351+797+1217+262+888+302+5399</f>
        <v>19292</v>
      </c>
    </row>
    <row r="45" spans="1:33" s="7" customFormat="1" ht="15">
      <c r="A45" s="24" t="s">
        <v>540</v>
      </c>
      <c r="B45" s="276">
        <v>0</v>
      </c>
      <c r="C45" s="276">
        <v>0</v>
      </c>
      <c r="D45" s="276">
        <v>0</v>
      </c>
      <c r="E45" s="276">
        <v>0</v>
      </c>
      <c r="F45" s="276">
        <v>0</v>
      </c>
      <c r="G45" s="276">
        <v>0</v>
      </c>
      <c r="H45" s="276">
        <v>0</v>
      </c>
      <c r="I45" s="276">
        <v>0</v>
      </c>
      <c r="J45" s="276">
        <v>0</v>
      </c>
      <c r="K45" s="276">
        <v>0</v>
      </c>
      <c r="L45" s="276">
        <v>0</v>
      </c>
      <c r="M45" s="276">
        <v>0</v>
      </c>
      <c r="N45" s="35"/>
      <c r="O45"/>
      <c r="P45"/>
      <c r="Q45" s="20"/>
      <c r="Z45" s="36"/>
      <c r="AA45" s="36"/>
      <c r="AB45" s="36"/>
      <c r="AC45" s="36"/>
      <c r="AD45" s="36"/>
      <c r="AE45" s="36"/>
      <c r="AF45" s="36"/>
      <c r="AG45" s="36"/>
    </row>
    <row r="46" spans="1:33">
      <c r="A46" s="95" t="s">
        <v>541</v>
      </c>
      <c r="B46" s="276">
        <f t="shared" ref="B46" si="22">B42-SUM(B43:B45)</f>
        <v>4271</v>
      </c>
      <c r="C46" s="276">
        <f t="shared" ref="C46:M46" si="23">C42-SUM(C43:C45)</f>
        <v>3413</v>
      </c>
      <c r="D46" s="276">
        <f t="shared" si="23"/>
        <v>2834</v>
      </c>
      <c r="E46" s="276">
        <f t="shared" si="23"/>
        <v>1871</v>
      </c>
      <c r="F46" s="276">
        <f>F42-SUM(F43:F45)</f>
        <v>1158</v>
      </c>
      <c r="G46" s="276">
        <f t="shared" si="23"/>
        <v>807</v>
      </c>
      <c r="H46" s="276">
        <f t="shared" si="23"/>
        <v>647</v>
      </c>
      <c r="I46" s="276">
        <f t="shared" si="23"/>
        <v>523</v>
      </c>
      <c r="J46" s="276">
        <f t="shared" si="23"/>
        <v>649</v>
      </c>
      <c r="K46" s="276">
        <f t="shared" si="23"/>
        <v>630</v>
      </c>
      <c r="L46" s="276">
        <f t="shared" si="23"/>
        <v>675</v>
      </c>
      <c r="M46" s="276">
        <f t="shared" si="23"/>
        <v>665</v>
      </c>
      <c r="N46" s="35" t="s">
        <v>762</v>
      </c>
      <c r="O46"/>
      <c r="P46"/>
      <c r="R46" s="20" t="s">
        <v>780</v>
      </c>
      <c r="Z46" s="29">
        <v>7303</v>
      </c>
      <c r="AA46" s="29">
        <v>6967</v>
      </c>
      <c r="AB46" s="29">
        <v>4708</v>
      </c>
      <c r="AC46" s="29">
        <v>3679</v>
      </c>
      <c r="AD46" s="29">
        <v>5287</v>
      </c>
      <c r="AE46" s="29">
        <v>5660</v>
      </c>
      <c r="AF46" s="29">
        <v>3925</v>
      </c>
      <c r="AG46" s="29">
        <v>5701</v>
      </c>
    </row>
    <row r="47" spans="1:33" ht="15">
      <c r="A47" s="7" t="s">
        <v>542</v>
      </c>
      <c r="B47" s="275">
        <f t="shared" ref="B47:M47" si="24">B51-B42</f>
        <v>5304</v>
      </c>
      <c r="C47" s="275">
        <f t="shared" si="24"/>
        <v>6461</v>
      </c>
      <c r="D47" s="275">
        <f t="shared" si="24"/>
        <v>682</v>
      </c>
      <c r="E47" s="275">
        <f t="shared" si="24"/>
        <v>708</v>
      </c>
      <c r="F47" s="275">
        <f t="shared" si="24"/>
        <v>842</v>
      </c>
      <c r="G47" s="275">
        <f t="shared" si="24"/>
        <v>1306</v>
      </c>
      <c r="H47" s="275">
        <f t="shared" si="24"/>
        <v>1443</v>
      </c>
      <c r="I47" s="275">
        <f t="shared" si="24"/>
        <v>1559</v>
      </c>
      <c r="J47" s="275">
        <f t="shared" si="24"/>
        <v>2093</v>
      </c>
      <c r="K47" s="275">
        <f t="shared" si="24"/>
        <v>2140</v>
      </c>
      <c r="L47" s="275">
        <f t="shared" si="24"/>
        <v>2175</v>
      </c>
      <c r="M47" s="275">
        <f t="shared" si="24"/>
        <v>2065</v>
      </c>
      <c r="N47" s="35" t="s">
        <v>762</v>
      </c>
      <c r="O47" t="s">
        <v>781</v>
      </c>
      <c r="P47"/>
      <c r="Z47" s="29"/>
      <c r="AA47" s="29"/>
      <c r="AB47" s="29"/>
      <c r="AC47" s="29"/>
      <c r="AD47" s="29"/>
      <c r="AE47" s="29"/>
      <c r="AF47" s="29"/>
      <c r="AG47" s="29"/>
    </row>
    <row r="48" spans="1:33">
      <c r="A48" s="24" t="s">
        <v>543</v>
      </c>
      <c r="B48" s="276">
        <v>1717</v>
      </c>
      <c r="C48" s="276">
        <v>2467</v>
      </c>
      <c r="D48" s="276">
        <v>1</v>
      </c>
      <c r="E48" s="276">
        <v>330</v>
      </c>
      <c r="F48" s="276">
        <v>486</v>
      </c>
      <c r="G48" s="276">
        <v>1114</v>
      </c>
      <c r="H48" s="276">
        <v>1325</v>
      </c>
      <c r="I48" s="276">
        <v>1435</v>
      </c>
      <c r="J48" s="276">
        <v>2007</v>
      </c>
      <c r="K48" s="276">
        <v>2035</v>
      </c>
      <c r="L48" s="276">
        <v>1998</v>
      </c>
      <c r="M48" s="276">
        <v>2037</v>
      </c>
      <c r="N48" s="35" t="s">
        <v>762</v>
      </c>
      <c r="O48" t="s">
        <v>782</v>
      </c>
      <c r="P48"/>
      <c r="Z48" s="22">
        <f t="shared" ref="Z48:AG48" si="25">Z44-Z46</f>
        <v>18829</v>
      </c>
      <c r="AA48" s="22">
        <f t="shared" si="25"/>
        <v>19275</v>
      </c>
      <c r="AB48" s="22">
        <f t="shared" si="25"/>
        <v>23169</v>
      </c>
      <c r="AC48" s="22">
        <f t="shared" si="25"/>
        <v>23618</v>
      </c>
      <c r="AD48" s="22">
        <f t="shared" si="25"/>
        <v>24128</v>
      </c>
      <c r="AE48" s="22">
        <f t="shared" si="25"/>
        <v>22901</v>
      </c>
      <c r="AF48" s="22">
        <f t="shared" si="25"/>
        <v>18095</v>
      </c>
      <c r="AG48" s="22">
        <f t="shared" si="25"/>
        <v>13591</v>
      </c>
    </row>
    <row r="49" spans="1:33" s="7" customFormat="1" ht="15">
      <c r="A49" s="24" t="s">
        <v>544</v>
      </c>
      <c r="B49" s="276">
        <v>535</v>
      </c>
      <c r="C49" s="276">
        <v>396</v>
      </c>
      <c r="D49" s="276">
        <v>348</v>
      </c>
      <c r="E49" s="276">
        <v>201</v>
      </c>
      <c r="F49" s="276">
        <v>199</v>
      </c>
      <c r="G49" s="276">
        <v>0</v>
      </c>
      <c r="H49" s="276">
        <v>0</v>
      </c>
      <c r="I49" s="276">
        <v>0</v>
      </c>
      <c r="J49" s="276">
        <v>0</v>
      </c>
      <c r="K49" s="276">
        <v>0</v>
      </c>
      <c r="L49" s="276">
        <v>0</v>
      </c>
      <c r="M49" s="276">
        <v>0</v>
      </c>
      <c r="N49" s="35"/>
      <c r="O49"/>
      <c r="P49"/>
      <c r="Q49" s="20" t="s">
        <v>763</v>
      </c>
      <c r="R49" s="7" t="s">
        <v>783</v>
      </c>
      <c r="Z49" s="36">
        <f>61491-Z44</f>
        <v>35359</v>
      </c>
      <c r="AA49" s="36">
        <f>63457-AA44</f>
        <v>37215</v>
      </c>
      <c r="AB49" s="36">
        <f>67855-AB44</f>
        <v>39978</v>
      </c>
      <c r="AC49" s="36">
        <v>36721</v>
      </c>
      <c r="AD49" s="36">
        <v>41973</v>
      </c>
      <c r="AE49" s="36">
        <f>8415+16529+10956+3583</f>
        <v>39483</v>
      </c>
      <c r="AF49" s="36">
        <f>4505+15932+7584+2654</f>
        <v>30675</v>
      </c>
      <c r="AG49" s="36">
        <f>5652+16195+7420+2179</f>
        <v>31446</v>
      </c>
    </row>
    <row r="50" spans="1:33">
      <c r="A50" s="95" t="s">
        <v>545</v>
      </c>
      <c r="B50" s="276">
        <f t="shared" ref="B50" si="26">B47-SUM(B48:B49)</f>
        <v>3052</v>
      </c>
      <c r="C50" s="276">
        <f t="shared" ref="C50:M50" si="27">C47-SUM(C48:C49)</f>
        <v>3598</v>
      </c>
      <c r="D50" s="276">
        <f t="shared" si="27"/>
        <v>333</v>
      </c>
      <c r="E50" s="276">
        <f t="shared" si="27"/>
        <v>177</v>
      </c>
      <c r="F50" s="276">
        <f t="shared" si="27"/>
        <v>157</v>
      </c>
      <c r="G50" s="276">
        <f t="shared" si="27"/>
        <v>192</v>
      </c>
      <c r="H50" s="276">
        <f t="shared" si="27"/>
        <v>118</v>
      </c>
      <c r="I50" s="276">
        <f t="shared" si="27"/>
        <v>124</v>
      </c>
      <c r="J50" s="276">
        <f t="shared" si="27"/>
        <v>86</v>
      </c>
      <c r="K50" s="276">
        <f>K47-SUM(K48:K49)</f>
        <v>105</v>
      </c>
      <c r="L50" s="276">
        <f t="shared" si="27"/>
        <v>177</v>
      </c>
      <c r="M50" s="276">
        <f t="shared" si="27"/>
        <v>28</v>
      </c>
      <c r="N50" s="35" t="s">
        <v>762</v>
      </c>
      <c r="O50" t="s">
        <v>784</v>
      </c>
      <c r="P50"/>
      <c r="R50" s="20" t="s">
        <v>785</v>
      </c>
      <c r="Z50" s="25">
        <v>22818</v>
      </c>
      <c r="AA50" s="25">
        <v>25169</v>
      </c>
      <c r="AB50" s="25">
        <v>27784</v>
      </c>
      <c r="AC50" s="25">
        <v>26719</v>
      </c>
      <c r="AD50" s="25">
        <v>27752</v>
      </c>
      <c r="AE50" s="25">
        <v>24944</v>
      </c>
      <c r="AF50" s="25">
        <v>20437</v>
      </c>
      <c r="AG50" s="25">
        <v>21847</v>
      </c>
    </row>
    <row r="51" spans="1:33" ht="15">
      <c r="A51" s="7" t="s">
        <v>25</v>
      </c>
      <c r="B51" s="275">
        <v>11993</v>
      </c>
      <c r="C51" s="275">
        <v>12830</v>
      </c>
      <c r="D51" s="275">
        <v>4922</v>
      </c>
      <c r="E51" s="275">
        <v>3125</v>
      </c>
      <c r="F51" s="275">
        <v>3201</v>
      </c>
      <c r="G51" s="275">
        <v>3290</v>
      </c>
      <c r="H51" s="275">
        <v>2956</v>
      </c>
      <c r="I51" s="275">
        <v>2905</v>
      </c>
      <c r="J51" s="275">
        <v>3496</v>
      </c>
      <c r="K51" s="275">
        <v>3580</v>
      </c>
      <c r="L51" s="275">
        <v>3793</v>
      </c>
      <c r="M51" s="275">
        <v>3462</v>
      </c>
      <c r="N51" s="35" t="s">
        <v>762</v>
      </c>
      <c r="O51" t="s">
        <v>25</v>
      </c>
      <c r="P51"/>
      <c r="Z51" s="25"/>
      <c r="AA51" s="25"/>
      <c r="AB51" s="25"/>
      <c r="AC51" s="25"/>
      <c r="AD51" s="25"/>
      <c r="AE51" s="25"/>
      <c r="AF51" s="25"/>
      <c r="AG51" s="25"/>
    </row>
    <row r="52" spans="1:33">
      <c r="B52" s="370"/>
      <c r="C52" s="370"/>
      <c r="D52" s="370"/>
      <c r="E52" s="370"/>
      <c r="F52" s="370"/>
      <c r="G52" s="370"/>
      <c r="H52" s="370"/>
      <c r="I52" s="370"/>
      <c r="J52" s="370"/>
      <c r="K52" s="370"/>
      <c r="L52" s="370"/>
      <c r="M52" s="370"/>
      <c r="N52" s="35" t="s">
        <v>762</v>
      </c>
      <c r="O52"/>
      <c r="P52"/>
      <c r="Z52" s="22">
        <f t="shared" ref="Z52:AG52" si="28">Z49-Z50</f>
        <v>12541</v>
      </c>
      <c r="AA52" s="22">
        <f t="shared" si="28"/>
        <v>12046</v>
      </c>
      <c r="AB52" s="22">
        <f t="shared" si="28"/>
        <v>12194</v>
      </c>
      <c r="AC52" s="22">
        <f t="shared" si="28"/>
        <v>10002</v>
      </c>
      <c r="AD52" s="22">
        <f t="shared" si="28"/>
        <v>14221</v>
      </c>
      <c r="AE52" s="22">
        <f t="shared" si="28"/>
        <v>14539</v>
      </c>
      <c r="AF52" s="22">
        <f t="shared" si="28"/>
        <v>10238</v>
      </c>
      <c r="AG52" s="22">
        <f t="shared" si="28"/>
        <v>9599</v>
      </c>
    </row>
    <row r="53" spans="1:33" s="7" customFormat="1" ht="15">
      <c r="A53" s="20"/>
      <c r="B53" s="370"/>
      <c r="C53" s="370"/>
      <c r="D53" s="370"/>
      <c r="E53" s="370"/>
      <c r="F53" s="370"/>
      <c r="G53" s="370"/>
      <c r="H53" s="370"/>
      <c r="I53" s="370"/>
      <c r="J53" s="370"/>
      <c r="K53" s="370"/>
      <c r="L53" s="370"/>
      <c r="M53" s="370"/>
      <c r="N53" s="35" t="s">
        <v>762</v>
      </c>
      <c r="O53"/>
      <c r="P53"/>
      <c r="Z53" s="33">
        <f>+Z49+Z44</f>
        <v>61491</v>
      </c>
      <c r="AA53" s="33">
        <f>+AA49+AA44</f>
        <v>63457</v>
      </c>
      <c r="AB53" s="33">
        <f>+AB49+AB44</f>
        <v>67855</v>
      </c>
      <c r="AC53" s="33">
        <f>AC44+AC49</f>
        <v>64018</v>
      </c>
      <c r="AD53" s="33">
        <f>AD49+AD44</f>
        <v>71388</v>
      </c>
      <c r="AE53" s="33">
        <f>AE49+AE44</f>
        <v>68044</v>
      </c>
      <c r="AF53" s="33">
        <f>AF49+AF44</f>
        <v>52695</v>
      </c>
      <c r="AG53" s="33">
        <f>AG49+AG44</f>
        <v>50738</v>
      </c>
    </row>
    <row r="54" spans="1:33" ht="15">
      <c r="A54" s="37" t="s">
        <v>547</v>
      </c>
      <c r="B54" s="374">
        <v>0</v>
      </c>
      <c r="C54" s="374">
        <v>0</v>
      </c>
      <c r="D54" s="374">
        <v>0</v>
      </c>
      <c r="E54" s="374">
        <v>0</v>
      </c>
      <c r="F54" s="374">
        <v>0</v>
      </c>
      <c r="G54" s="374">
        <v>0</v>
      </c>
      <c r="H54" s="374">
        <v>0</v>
      </c>
      <c r="I54" s="374">
        <v>0</v>
      </c>
      <c r="J54" s="374">
        <v>0</v>
      </c>
      <c r="K54" s="374">
        <v>0</v>
      </c>
      <c r="L54" s="374">
        <v>0</v>
      </c>
      <c r="M54" s="374">
        <v>0</v>
      </c>
      <c r="N54" s="35" t="s">
        <v>762</v>
      </c>
      <c r="O54" t="s">
        <v>547</v>
      </c>
      <c r="P54"/>
    </row>
    <row r="55" spans="1:33">
      <c r="B55" s="370"/>
      <c r="C55" s="370"/>
      <c r="D55" s="370"/>
      <c r="E55" s="370"/>
      <c r="F55" s="370"/>
      <c r="G55" s="370"/>
      <c r="H55" s="370"/>
      <c r="I55" s="370"/>
      <c r="J55" s="370"/>
      <c r="K55" s="370"/>
      <c r="L55" s="370"/>
      <c r="M55" s="370"/>
      <c r="N55" s="35" t="s">
        <v>762</v>
      </c>
      <c r="O55"/>
      <c r="P55"/>
    </row>
    <row r="56" spans="1:33" s="7" customFormat="1" ht="15">
      <c r="A56" s="7" t="s">
        <v>548</v>
      </c>
      <c r="B56" s="275">
        <f t="shared" ref="B56" si="29">B38-B51-B54</f>
        <v>55892</v>
      </c>
      <c r="C56" s="275">
        <f t="shared" ref="C56:M56" si="30">C38-C51-C54</f>
        <v>54750</v>
      </c>
      <c r="D56" s="275">
        <f t="shared" si="30"/>
        <v>7497</v>
      </c>
      <c r="E56" s="275">
        <f>E38-E51-E54</f>
        <v>5837</v>
      </c>
      <c r="F56" s="275">
        <f t="shared" si="30"/>
        <v>2827</v>
      </c>
      <c r="G56" s="275">
        <f t="shared" si="30"/>
        <v>1266</v>
      </c>
      <c r="H56" s="275">
        <f t="shared" si="30"/>
        <v>596</v>
      </c>
      <c r="I56" s="275">
        <f t="shared" si="30"/>
        <v>416</v>
      </c>
      <c r="J56" s="275">
        <f>J38-J51-J54</f>
        <v>-412</v>
      </c>
      <c r="K56" s="275">
        <f>K38-K51-K54</f>
        <v>187</v>
      </c>
      <c r="L56" s="275">
        <f t="shared" si="30"/>
        <v>544</v>
      </c>
      <c r="M56" s="275">
        <f t="shared" si="30"/>
        <v>538</v>
      </c>
      <c r="N56" s="35" t="s">
        <v>762</v>
      </c>
      <c r="O56"/>
      <c r="P56"/>
      <c r="Q56" s="20" t="s">
        <v>763</v>
      </c>
      <c r="R56" s="7" t="s">
        <v>786</v>
      </c>
    </row>
    <row r="57" spans="1:33" ht="15">
      <c r="A57" s="7"/>
      <c r="B57" s="275"/>
      <c r="C57" s="275"/>
      <c r="D57" s="275"/>
      <c r="E57" s="275"/>
      <c r="F57" s="275"/>
      <c r="G57" s="275"/>
      <c r="H57" s="275"/>
      <c r="I57" s="275"/>
      <c r="J57" s="275"/>
      <c r="K57" s="275"/>
      <c r="L57" s="275"/>
      <c r="M57" s="275"/>
      <c r="N57" s="35"/>
      <c r="O57"/>
      <c r="P57"/>
    </row>
    <row r="58" spans="1:33" ht="15">
      <c r="A58" s="48" t="s">
        <v>787</v>
      </c>
      <c r="B58" s="275"/>
      <c r="C58" s="275"/>
      <c r="D58" s="275"/>
      <c r="E58" s="275"/>
      <c r="F58" s="275"/>
      <c r="G58" s="275"/>
      <c r="H58" s="275"/>
      <c r="I58" s="275"/>
      <c r="J58" s="275"/>
      <c r="K58" s="275"/>
      <c r="L58" s="275"/>
      <c r="M58" s="275"/>
      <c r="N58" s="35"/>
      <c r="O58"/>
      <c r="P58"/>
    </row>
    <row r="59" spans="1:33" ht="15">
      <c r="A59" s="7" t="s">
        <v>93</v>
      </c>
      <c r="B59" s="275">
        <v>1667</v>
      </c>
      <c r="C59" s="275">
        <v>3565</v>
      </c>
      <c r="D59" s="275">
        <v>3521</v>
      </c>
      <c r="E59" s="275">
        <v>1071</v>
      </c>
      <c r="F59" s="275">
        <v>493</v>
      </c>
      <c r="G59" s="275">
        <v>34</v>
      </c>
      <c r="H59" s="275">
        <v>12</v>
      </c>
      <c r="I59" s="275">
        <v>90</v>
      </c>
      <c r="J59" s="275">
        <v>-226</v>
      </c>
      <c r="K59" s="275">
        <v>-98</v>
      </c>
      <c r="L59" s="275">
        <v>-148</v>
      </c>
      <c r="M59" s="275">
        <v>-338</v>
      </c>
      <c r="N59" s="35"/>
      <c r="O59"/>
      <c r="P59"/>
    </row>
    <row r="60" spans="1:33">
      <c r="A60" s="24" t="s">
        <v>42</v>
      </c>
      <c r="B60" s="276">
        <f t="shared" ref="B60:M60" si="31">B12</f>
        <v>854</v>
      </c>
      <c r="C60" s="276">
        <f t="shared" si="31"/>
        <v>1320</v>
      </c>
      <c r="D60" s="276">
        <f t="shared" si="31"/>
        <v>3162</v>
      </c>
      <c r="E60" s="276">
        <f t="shared" si="31"/>
        <v>2490</v>
      </c>
      <c r="F60" s="276">
        <f t="shared" si="31"/>
        <v>341</v>
      </c>
      <c r="G60" s="276">
        <f t="shared" si="31"/>
        <v>337</v>
      </c>
      <c r="H60" s="276">
        <f t="shared" si="31"/>
        <v>-33</v>
      </c>
      <c r="I60" s="276">
        <f t="shared" si="31"/>
        <v>-497</v>
      </c>
      <c r="J60" s="276">
        <f t="shared" si="31"/>
        <v>-660</v>
      </c>
      <c r="K60" s="276">
        <f t="shared" si="31"/>
        <v>-403</v>
      </c>
      <c r="L60" s="276">
        <f t="shared" si="31"/>
        <v>-83</v>
      </c>
      <c r="M60" s="276">
        <f t="shared" si="31"/>
        <v>-1183</v>
      </c>
      <c r="N60" s="35"/>
      <c r="O60"/>
      <c r="P60"/>
    </row>
    <row r="61" spans="1:33">
      <c r="A61" s="95" t="s">
        <v>34</v>
      </c>
      <c r="B61" s="276">
        <v>3453</v>
      </c>
      <c r="C61" s="276">
        <v>4174</v>
      </c>
      <c r="D61" s="276">
        <v>407</v>
      </c>
      <c r="E61" s="276">
        <v>312</v>
      </c>
      <c r="F61" s="276">
        <v>222</v>
      </c>
      <c r="G61" s="276">
        <v>170</v>
      </c>
      <c r="H61" s="276">
        <v>144</v>
      </c>
      <c r="I61" s="276">
        <v>133</v>
      </c>
      <c r="J61" s="276">
        <v>167</v>
      </c>
      <c r="K61" s="276">
        <v>203</v>
      </c>
      <c r="L61" s="276">
        <v>236</v>
      </c>
      <c r="M61" s="276">
        <v>260</v>
      </c>
      <c r="N61" s="35"/>
      <c r="O61"/>
      <c r="P61"/>
    </row>
    <row r="62" spans="1:33">
      <c r="A62" s="1376" t="s">
        <v>788</v>
      </c>
      <c r="B62" s="1377">
        <v>-3049</v>
      </c>
      <c r="C62" s="1377">
        <v>-1846</v>
      </c>
      <c r="D62" s="1377">
        <v>-774</v>
      </c>
      <c r="E62" s="1377">
        <v>-931</v>
      </c>
      <c r="F62" s="1377">
        <v>-542</v>
      </c>
      <c r="G62" s="1377">
        <v>-727</v>
      </c>
      <c r="H62" s="1377">
        <v>-244</v>
      </c>
      <c r="I62" s="1377">
        <v>180</v>
      </c>
      <c r="J62" s="1377">
        <v>113</v>
      </c>
      <c r="K62" s="1377">
        <v>-291</v>
      </c>
      <c r="L62" s="1377">
        <v>-448</v>
      </c>
      <c r="M62" s="1377">
        <v>220</v>
      </c>
      <c r="N62" s="35"/>
      <c r="O62"/>
      <c r="P62"/>
    </row>
    <row r="63" spans="1:33">
      <c r="A63" s="95" t="s">
        <v>789</v>
      </c>
      <c r="B63" s="276">
        <f>B59-B60-B61-B62</f>
        <v>409</v>
      </c>
      <c r="C63" s="276">
        <f t="shared" ref="C63" si="32">C59-C60-C61-C62</f>
        <v>-83</v>
      </c>
      <c r="D63" s="276">
        <f>D59-D60-D61-D62</f>
        <v>726</v>
      </c>
      <c r="E63" s="276">
        <f t="shared" ref="E63:M63" si="33">E59-E60-E61-E62</f>
        <v>-800</v>
      </c>
      <c r="F63" s="276">
        <f t="shared" si="33"/>
        <v>472</v>
      </c>
      <c r="G63" s="276">
        <f t="shared" si="33"/>
        <v>254</v>
      </c>
      <c r="H63" s="276">
        <f t="shared" si="33"/>
        <v>145</v>
      </c>
      <c r="I63" s="276">
        <f t="shared" si="33"/>
        <v>274</v>
      </c>
      <c r="J63" s="276">
        <f t="shared" si="33"/>
        <v>154</v>
      </c>
      <c r="K63" s="276">
        <f t="shared" si="33"/>
        <v>393</v>
      </c>
      <c r="L63" s="276">
        <f t="shared" si="33"/>
        <v>147</v>
      </c>
      <c r="M63" s="276">
        <f t="shared" si="33"/>
        <v>365</v>
      </c>
      <c r="N63" s="35"/>
      <c r="O63"/>
      <c r="P63"/>
    </row>
    <row r="64" spans="1:33" ht="15">
      <c r="A64" s="7" t="s">
        <v>94</v>
      </c>
      <c r="B64" s="275">
        <v>-1423</v>
      </c>
      <c r="C64" s="275">
        <v>1999</v>
      </c>
      <c r="D64" s="275">
        <v>-686</v>
      </c>
      <c r="E64" s="275">
        <v>-952</v>
      </c>
      <c r="F64" s="275">
        <v>-149</v>
      </c>
      <c r="G64" s="275">
        <v>-170</v>
      </c>
      <c r="H64" s="275">
        <v>-54</v>
      </c>
      <c r="I64" s="275">
        <v>267</v>
      </c>
      <c r="J64" s="275">
        <v>147</v>
      </c>
      <c r="K64" s="275">
        <v>-12</v>
      </c>
      <c r="L64" s="275">
        <v>455</v>
      </c>
      <c r="M64" s="275">
        <v>-19</v>
      </c>
      <c r="N64" s="35"/>
      <c r="O64"/>
      <c r="P64"/>
    </row>
    <row r="65" spans="1:15">
      <c r="A65" s="95" t="s">
        <v>95</v>
      </c>
      <c r="B65" s="276">
        <v>-546</v>
      </c>
      <c r="C65" s="276">
        <v>-450</v>
      </c>
      <c r="D65" s="276">
        <v>-301</v>
      </c>
      <c r="E65" s="276">
        <v>-294</v>
      </c>
      <c r="F65" s="276">
        <v>-217</v>
      </c>
      <c r="G65" s="276">
        <v>-163</v>
      </c>
      <c r="H65" s="276">
        <v>-113</v>
      </c>
      <c r="I65" s="276">
        <v>-77</v>
      </c>
      <c r="J65" s="276">
        <v>-96</v>
      </c>
      <c r="K65" s="276">
        <v>-95</v>
      </c>
      <c r="L65" s="276">
        <v>-84</v>
      </c>
      <c r="M65" s="276">
        <v>-133</v>
      </c>
      <c r="N65" s="35"/>
      <c r="O65"/>
    </row>
    <row r="66" spans="1:15">
      <c r="A66" s="95" t="s">
        <v>96</v>
      </c>
      <c r="B66" s="276">
        <v>-866</v>
      </c>
      <c r="C66" s="276">
        <v>2465</v>
      </c>
      <c r="D66" s="276">
        <v>-378</v>
      </c>
      <c r="E66" s="276">
        <v>-658</v>
      </c>
      <c r="F66" s="276">
        <v>41</v>
      </c>
      <c r="G66" s="276">
        <v>-78</v>
      </c>
      <c r="H66" s="276">
        <v>1</v>
      </c>
      <c r="I66" s="276">
        <v>342</v>
      </c>
      <c r="J66" s="276">
        <v>243</v>
      </c>
      <c r="K66" s="276">
        <v>83</v>
      </c>
      <c r="L66" s="276">
        <v>539</v>
      </c>
      <c r="M66" s="276">
        <v>123</v>
      </c>
      <c r="N66" s="35"/>
      <c r="O66"/>
    </row>
    <row r="67" spans="1:15">
      <c r="A67" s="95" t="s">
        <v>790</v>
      </c>
      <c r="B67" s="276">
        <f>B64-B65-B66</f>
        <v>-11</v>
      </c>
      <c r="C67" s="276">
        <f>C64-C65-C66</f>
        <v>-16</v>
      </c>
      <c r="D67" s="276">
        <f>D64-D65-D66</f>
        <v>-7</v>
      </c>
      <c r="E67" s="276">
        <f t="shared" ref="E67" si="34">E64-E65-E66</f>
        <v>0</v>
      </c>
      <c r="F67" s="276">
        <f t="shared" ref="F67:M67" si="35">F64-F65-F66</f>
        <v>27</v>
      </c>
      <c r="G67" s="276">
        <f t="shared" si="35"/>
        <v>71</v>
      </c>
      <c r="H67" s="276">
        <f t="shared" si="35"/>
        <v>58</v>
      </c>
      <c r="I67" s="276">
        <f t="shared" si="35"/>
        <v>2</v>
      </c>
      <c r="J67" s="276">
        <f t="shared" si="35"/>
        <v>0</v>
      </c>
      <c r="K67" s="276">
        <f t="shared" si="35"/>
        <v>0</v>
      </c>
      <c r="L67" s="276">
        <f t="shared" si="35"/>
        <v>0</v>
      </c>
      <c r="M67" s="276">
        <f t="shared" si="35"/>
        <v>-9</v>
      </c>
      <c r="N67" s="35"/>
      <c r="O67"/>
    </row>
    <row r="68" spans="1:15" ht="15">
      <c r="A68" s="7" t="s">
        <v>97</v>
      </c>
      <c r="B68" s="275">
        <v>-1146</v>
      </c>
      <c r="C68" s="275">
        <v>-3264</v>
      </c>
      <c r="D68" s="275">
        <v>-1895</v>
      </c>
      <c r="E68" s="275">
        <v>6</v>
      </c>
      <c r="F68" s="275">
        <v>43</v>
      </c>
      <c r="G68" s="275">
        <v>28</v>
      </c>
      <c r="H68" s="275">
        <v>-33</v>
      </c>
      <c r="I68" s="275">
        <v>122</v>
      </c>
      <c r="J68" s="275">
        <v>59</v>
      </c>
      <c r="K68" s="275">
        <v>46</v>
      </c>
      <c r="L68" s="275">
        <v>13</v>
      </c>
      <c r="M68" s="275">
        <v>37</v>
      </c>
      <c r="N68" s="35"/>
      <c r="O68"/>
    </row>
    <row r="69" spans="1:15">
      <c r="A69" s="95" t="s">
        <v>791</v>
      </c>
      <c r="B69" s="276">
        <v>0</v>
      </c>
      <c r="C69" s="276">
        <v>991</v>
      </c>
      <c r="D69" s="276">
        <v>0</v>
      </c>
      <c r="E69" s="276">
        <v>200</v>
      </c>
      <c r="F69" s="276">
        <v>0</v>
      </c>
      <c r="G69" s="276">
        <v>0</v>
      </c>
      <c r="H69" s="276">
        <v>0</v>
      </c>
      <c r="I69" s="276">
        <v>782</v>
      </c>
      <c r="J69" s="276">
        <v>100</v>
      </c>
      <c r="K69" s="276">
        <v>0</v>
      </c>
      <c r="L69" s="276">
        <v>55</v>
      </c>
      <c r="M69" s="276">
        <v>0</v>
      </c>
      <c r="N69" s="35"/>
      <c r="O69"/>
    </row>
    <row r="70" spans="1:15">
      <c r="A70" s="95" t="s">
        <v>792</v>
      </c>
      <c r="B70" s="276">
        <v>0</v>
      </c>
      <c r="C70" s="276">
        <v>-312</v>
      </c>
      <c r="D70" s="276">
        <v>0</v>
      </c>
      <c r="E70" s="276">
        <v>-200</v>
      </c>
      <c r="F70" s="276">
        <v>-473</v>
      </c>
      <c r="G70" s="276">
        <v>-41</v>
      </c>
      <c r="H70" s="276">
        <v>-110</v>
      </c>
      <c r="I70" s="276">
        <v>-1113</v>
      </c>
      <c r="J70" s="276">
        <v>-44</v>
      </c>
      <c r="K70" s="276">
        <v>-1115</v>
      </c>
      <c r="L70" s="276">
        <v>-55</v>
      </c>
      <c r="M70" s="276">
        <v>-489</v>
      </c>
      <c r="N70" s="35"/>
      <c r="O70"/>
    </row>
    <row r="71" spans="1:15">
      <c r="A71" s="95" t="s">
        <v>793</v>
      </c>
      <c r="B71" s="276">
        <v>0</v>
      </c>
      <c r="C71" s="276">
        <v>0</v>
      </c>
      <c r="D71" s="276">
        <v>0</v>
      </c>
      <c r="E71" s="276">
        <v>0</v>
      </c>
      <c r="F71" s="276">
        <v>0</v>
      </c>
      <c r="G71" s="276">
        <v>0</v>
      </c>
      <c r="H71" s="276">
        <v>0</v>
      </c>
      <c r="I71" s="276">
        <v>0</v>
      </c>
      <c r="J71" s="276">
        <v>0</v>
      </c>
      <c r="K71" s="276">
        <v>0</v>
      </c>
      <c r="L71" s="276">
        <v>0</v>
      </c>
      <c r="M71" s="276">
        <v>0</v>
      </c>
      <c r="N71" s="35"/>
      <c r="O71"/>
    </row>
    <row r="72" spans="1:15">
      <c r="A72" s="95" t="s">
        <v>794</v>
      </c>
      <c r="B72" s="276">
        <v>0</v>
      </c>
      <c r="C72" s="276">
        <v>0</v>
      </c>
      <c r="D72" s="276">
        <v>0</v>
      </c>
      <c r="E72" s="276">
        <v>0</v>
      </c>
      <c r="F72" s="276">
        <v>0</v>
      </c>
      <c r="G72" s="276">
        <v>0</v>
      </c>
      <c r="H72" s="276">
        <v>0</v>
      </c>
      <c r="I72" s="276">
        <v>0</v>
      </c>
      <c r="J72" s="276">
        <v>0</v>
      </c>
      <c r="K72" s="276">
        <v>0</v>
      </c>
      <c r="L72" s="276">
        <v>0</v>
      </c>
      <c r="M72" s="276">
        <v>0</v>
      </c>
      <c r="N72" s="35"/>
      <c r="O72"/>
    </row>
    <row r="73" spans="1:15">
      <c r="A73" s="95" t="s">
        <v>98</v>
      </c>
      <c r="B73" s="276">
        <v>0</v>
      </c>
      <c r="C73" s="276">
        <v>0</v>
      </c>
      <c r="D73" s="276">
        <v>0</v>
      </c>
      <c r="E73" s="276">
        <v>0</v>
      </c>
      <c r="F73" s="276">
        <v>0</v>
      </c>
      <c r="G73" s="276">
        <v>0</v>
      </c>
      <c r="H73" s="367">
        <v>0</v>
      </c>
      <c r="I73" s="276">
        <v>0</v>
      </c>
      <c r="J73" s="367">
        <v>0</v>
      </c>
      <c r="K73" s="276">
        <v>0</v>
      </c>
      <c r="L73" s="276">
        <v>0</v>
      </c>
      <c r="M73" s="276">
        <v>0</v>
      </c>
      <c r="N73" s="32" t="s">
        <v>795</v>
      </c>
      <c r="O73" t="s">
        <v>796</v>
      </c>
    </row>
    <row r="74" spans="1:15">
      <c r="A74" s="95" t="s">
        <v>530</v>
      </c>
      <c r="B74" s="276">
        <v>-985</v>
      </c>
      <c r="C74" s="276">
        <v>-3702</v>
      </c>
      <c r="D74" s="276">
        <v>-1762</v>
      </c>
      <c r="E74" s="276">
        <v>0</v>
      </c>
      <c r="F74" s="276">
        <v>0</v>
      </c>
      <c r="G74" s="276">
        <v>0</v>
      </c>
      <c r="H74" s="367">
        <v>0</v>
      </c>
      <c r="I74" s="276">
        <v>0</v>
      </c>
      <c r="J74" s="367">
        <v>0</v>
      </c>
      <c r="K74" s="276">
        <v>0</v>
      </c>
      <c r="L74" s="276">
        <v>0</v>
      </c>
      <c r="M74" s="276">
        <v>0</v>
      </c>
      <c r="N74" s="32" t="s">
        <v>795</v>
      </c>
      <c r="O74" t="str">
        <f>+A74</f>
        <v>Share buyback</v>
      </c>
    </row>
    <row r="75" spans="1:15">
      <c r="A75" s="95" t="s">
        <v>790</v>
      </c>
      <c r="B75" s="276">
        <f t="shared" ref="B75" si="36">B68-B69-B70-B71-B72-B73-B74</f>
        <v>-161</v>
      </c>
      <c r="C75" s="276">
        <f t="shared" ref="C75:M75" si="37">C68-C69-C70-C71-C72-C73-C74</f>
        <v>-241</v>
      </c>
      <c r="D75" s="276">
        <f t="shared" si="37"/>
        <v>-133</v>
      </c>
      <c r="E75" s="276">
        <f t="shared" si="37"/>
        <v>6</v>
      </c>
      <c r="F75" s="276">
        <f t="shared" si="37"/>
        <v>516</v>
      </c>
      <c r="G75" s="276">
        <f t="shared" si="37"/>
        <v>69</v>
      </c>
      <c r="H75" s="276">
        <f t="shared" si="37"/>
        <v>77</v>
      </c>
      <c r="I75" s="276">
        <f t="shared" si="37"/>
        <v>453</v>
      </c>
      <c r="J75" s="276">
        <f t="shared" si="37"/>
        <v>3</v>
      </c>
      <c r="K75" s="276">
        <f t="shared" si="37"/>
        <v>1161</v>
      </c>
      <c r="L75" s="276">
        <f t="shared" si="37"/>
        <v>13</v>
      </c>
      <c r="M75" s="276">
        <f t="shared" si="37"/>
        <v>526</v>
      </c>
      <c r="N75" s="35"/>
      <c r="O75"/>
    </row>
    <row r="76" spans="1:15" ht="15">
      <c r="A76" s="7" t="s">
        <v>101</v>
      </c>
      <c r="B76" s="275"/>
      <c r="C76" s="275"/>
      <c r="D76" s="275"/>
      <c r="E76" s="275"/>
      <c r="F76" s="275"/>
      <c r="G76" s="275"/>
      <c r="H76" s="275"/>
      <c r="I76" s="275"/>
      <c r="J76" s="275"/>
      <c r="K76" s="275"/>
      <c r="L76" s="275"/>
      <c r="M76" s="275"/>
      <c r="N76" s="35"/>
      <c r="O76"/>
    </row>
    <row r="77" spans="1:15" ht="15">
      <c r="A77" s="7" t="s">
        <v>549</v>
      </c>
      <c r="B77" s="275">
        <f>B59+B64+B68+B76</f>
        <v>-902</v>
      </c>
      <c r="C77" s="275">
        <f t="shared" ref="C77:M77" si="38">C59+C64+C68+C76</f>
        <v>2300</v>
      </c>
      <c r="D77" s="275">
        <f t="shared" si="38"/>
        <v>940</v>
      </c>
      <c r="E77" s="275">
        <f t="shared" si="38"/>
        <v>125</v>
      </c>
      <c r="F77" s="275">
        <f t="shared" si="38"/>
        <v>387</v>
      </c>
      <c r="G77" s="275">
        <f t="shared" si="38"/>
        <v>-108</v>
      </c>
      <c r="H77" s="275">
        <f t="shared" si="38"/>
        <v>-75</v>
      </c>
      <c r="I77" s="275">
        <f t="shared" si="38"/>
        <v>479</v>
      </c>
      <c r="J77" s="275">
        <f t="shared" si="38"/>
        <v>-20</v>
      </c>
      <c r="K77" s="275">
        <f t="shared" si="38"/>
        <v>-64</v>
      </c>
      <c r="L77" s="275">
        <f t="shared" si="38"/>
        <v>320</v>
      </c>
      <c r="M77" s="275">
        <f t="shared" si="38"/>
        <v>-320</v>
      </c>
      <c r="N77" s="35"/>
      <c r="O77"/>
    </row>
    <row r="78" spans="1:15">
      <c r="M78" s="22"/>
      <c r="N78"/>
      <c r="O78" t="s">
        <v>797</v>
      </c>
    </row>
    <row r="79" spans="1:15" ht="15">
      <c r="A79" s="48" t="s">
        <v>798</v>
      </c>
      <c r="B79" s="48"/>
      <c r="C79" s="48"/>
      <c r="D79" s="48"/>
      <c r="E79" s="1375" t="s">
        <v>557</v>
      </c>
      <c r="F79" s="1375"/>
      <c r="G79" s="1375"/>
      <c r="H79" s="1375" t="s">
        <v>799</v>
      </c>
      <c r="I79" s="1375"/>
      <c r="J79" s="48" t="s">
        <v>559</v>
      </c>
      <c r="K79" s="48" t="s">
        <v>560</v>
      </c>
      <c r="L79" s="48" t="s">
        <v>561</v>
      </c>
      <c r="M79" s="33"/>
      <c r="N79"/>
      <c r="O79"/>
    </row>
    <row r="80" spans="1:15">
      <c r="A80" s="24" t="s">
        <v>800</v>
      </c>
      <c r="B80" s="25">
        <v>26000</v>
      </c>
      <c r="C80" s="38" t="s">
        <v>801</v>
      </c>
      <c r="D80" s="22"/>
      <c r="E80" s="1372"/>
      <c r="F80" s="1372"/>
      <c r="G80" s="1372"/>
      <c r="H80" s="1373"/>
      <c r="I80" s="1373"/>
      <c r="J80" s="62"/>
      <c r="K80" s="61"/>
      <c r="L80" s="61"/>
      <c r="M80" s="22"/>
      <c r="N80" s="38" t="s">
        <v>802</v>
      </c>
      <c r="O80"/>
    </row>
    <row r="81" spans="1:30">
      <c r="A81" s="24" t="s">
        <v>803</v>
      </c>
      <c r="B81" s="25">
        <v>1615787</v>
      </c>
      <c r="C81" s="38" t="s">
        <v>804</v>
      </c>
      <c r="D81" s="22"/>
      <c r="E81" s="1372"/>
      <c r="F81" s="1372"/>
      <c r="G81" s="1372"/>
      <c r="H81" s="1373"/>
      <c r="I81" s="1373"/>
      <c r="J81" s="62"/>
      <c r="K81" s="61"/>
      <c r="L81" s="61"/>
      <c r="M81" s="22"/>
      <c r="N81" s="38" t="s">
        <v>802</v>
      </c>
      <c r="O81"/>
      <c r="P81"/>
    </row>
    <row r="82" spans="1:30">
      <c r="A82" s="24" t="s">
        <v>23</v>
      </c>
      <c r="B82" s="721">
        <v>0.99460000000000004</v>
      </c>
      <c r="C82" s="38" t="s">
        <v>804</v>
      </c>
      <c r="D82" s="63"/>
      <c r="E82" s="1372"/>
      <c r="F82" s="1372"/>
      <c r="G82" s="1372"/>
      <c r="H82" s="1373"/>
      <c r="I82" s="1373"/>
      <c r="J82" s="62"/>
      <c r="K82" s="61"/>
      <c r="L82" s="61"/>
      <c r="M82" s="65"/>
      <c r="N82" s="38" t="s">
        <v>802</v>
      </c>
      <c r="O82"/>
      <c r="P82"/>
    </row>
    <row r="83" spans="1:30">
      <c r="A83" s="24" t="s">
        <v>27</v>
      </c>
      <c r="B83" s="722">
        <v>4.7999999999999996E-3</v>
      </c>
      <c r="C83" s="38" t="s">
        <v>804</v>
      </c>
      <c r="D83" s="64"/>
      <c r="E83" s="1372"/>
      <c r="F83" s="1372"/>
      <c r="G83" s="1372"/>
      <c r="H83" s="1373"/>
      <c r="I83" s="1373"/>
      <c r="J83" s="62"/>
      <c r="K83" s="61"/>
      <c r="L83" s="61"/>
      <c r="M83" s="65"/>
      <c r="N83" s="38" t="s">
        <v>802</v>
      </c>
      <c r="O83"/>
      <c r="P83"/>
    </row>
    <row r="84" spans="1:30">
      <c r="A84" s="24" t="s">
        <v>553</v>
      </c>
      <c r="B84" s="25" t="s">
        <v>805</v>
      </c>
      <c r="C84" s="38" t="s">
        <v>801</v>
      </c>
      <c r="D84" s="22"/>
      <c r="E84" s="1372"/>
      <c r="F84" s="1372"/>
      <c r="G84" s="1372"/>
      <c r="H84" s="1373"/>
      <c r="I84" s="1373"/>
      <c r="J84" s="62"/>
      <c r="K84" s="61"/>
      <c r="L84" s="61"/>
      <c r="M84" s="22"/>
      <c r="N84" s="38" t="s">
        <v>802</v>
      </c>
      <c r="O84"/>
      <c r="P84"/>
    </row>
    <row r="85" spans="1:30">
      <c r="A85" s="24" t="s">
        <v>806</v>
      </c>
      <c r="B85" s="723">
        <v>0</v>
      </c>
      <c r="C85" s="38" t="s">
        <v>804</v>
      </c>
      <c r="D85" s="22"/>
      <c r="E85" s="1372"/>
      <c r="F85" s="1372"/>
      <c r="G85" s="1372"/>
      <c r="H85" s="1373"/>
      <c r="I85" s="1373"/>
      <c r="J85" s="61"/>
      <c r="K85" s="61"/>
      <c r="L85" s="61"/>
      <c r="M85" s="22"/>
      <c r="N85" s="38" t="s">
        <v>802</v>
      </c>
      <c r="O85"/>
    </row>
    <row r="86" spans="1:30">
      <c r="A86" s="24" t="s">
        <v>555</v>
      </c>
      <c r="B86" s="25">
        <v>74.760000000000005</v>
      </c>
      <c r="C86" s="38" t="s">
        <v>807</v>
      </c>
      <c r="D86" s="22"/>
      <c r="E86" s="1372"/>
      <c r="F86" s="1372"/>
      <c r="G86" s="1372"/>
      <c r="H86" s="1373"/>
      <c r="I86" s="1373"/>
      <c r="J86" s="61"/>
      <c r="K86" s="61"/>
      <c r="L86" s="61"/>
      <c r="M86" s="22"/>
      <c r="N86" s="38" t="s">
        <v>802</v>
      </c>
    </row>
    <row r="87" spans="1:30" ht="15">
      <c r="B87" s="48">
        <f>B5</f>
        <v>2023</v>
      </c>
      <c r="C87" s="48">
        <f t="shared" ref="C87:D87" si="39">C5</f>
        <v>2022</v>
      </c>
      <c r="D87" s="48">
        <f t="shared" si="39"/>
        <v>2021</v>
      </c>
      <c r="E87" s="39"/>
      <c r="G87" s="39"/>
      <c r="H87" s="39"/>
      <c r="I87" s="39"/>
      <c r="J87" s="39"/>
      <c r="K87" s="39"/>
      <c r="L87" s="39"/>
      <c r="M87" s="39"/>
      <c r="N87"/>
    </row>
    <row r="88" spans="1:30">
      <c r="A88" s="24" t="s">
        <v>556</v>
      </c>
      <c r="B88" s="802">
        <v>2.0400000000000001E-2</v>
      </c>
      <c r="E88" s="38" t="s">
        <v>807</v>
      </c>
      <c r="K88" s="20"/>
      <c r="L88" s="20"/>
      <c r="O88"/>
      <c r="P88"/>
    </row>
    <row r="89" spans="1:30" ht="15">
      <c r="A89" s="24" t="s">
        <v>48</v>
      </c>
      <c r="B89" s="60"/>
      <c r="C89" s="60"/>
      <c r="D89" s="60"/>
      <c r="E89" s="38" t="s">
        <v>807</v>
      </c>
      <c r="K89" s="20"/>
      <c r="L89" s="20"/>
      <c r="O89" s="48"/>
    </row>
    <row r="90" spans="1:30" ht="15">
      <c r="M90"/>
      <c r="N90" s="94"/>
      <c r="O90" s="48"/>
    </row>
    <row r="91" spans="1:30">
      <c r="J91" s="22"/>
      <c r="L91"/>
      <c r="M91"/>
      <c r="N91"/>
    </row>
    <row r="92" spans="1:30">
      <c r="A92" s="20" t="s">
        <v>808</v>
      </c>
      <c r="J92" s="22"/>
      <c r="L92"/>
      <c r="M92"/>
      <c r="N92"/>
    </row>
    <row r="93" spans="1:30">
      <c r="A93" s="20" t="s">
        <v>809</v>
      </c>
      <c r="J93" s="22"/>
      <c r="L93"/>
      <c r="M93"/>
      <c r="N93"/>
    </row>
    <row r="94" spans="1:30" ht="15">
      <c r="Z94" s="807">
        <v>2006</v>
      </c>
      <c r="AA94" s="805">
        <v>2005</v>
      </c>
      <c r="AB94" s="806">
        <v>2005</v>
      </c>
      <c r="AC94" s="807">
        <v>2004</v>
      </c>
      <c r="AD94" s="805">
        <v>2004</v>
      </c>
    </row>
    <row r="95" spans="1:30" ht="14.1" customHeight="1">
      <c r="Z95" s="810">
        <v>5649</v>
      </c>
      <c r="AA95" s="808">
        <v>5848</v>
      </c>
      <c r="AB95" s="809">
        <v>5848</v>
      </c>
      <c r="AC95" s="810">
        <v>5001</v>
      </c>
      <c r="AD95" s="808">
        <v>5001</v>
      </c>
    </row>
    <row r="96" spans="1:30">
      <c r="Z96" s="815" t="s">
        <v>810</v>
      </c>
      <c r="AA96" s="816" t="s">
        <v>810</v>
      </c>
      <c r="AB96" s="813" t="s">
        <v>810</v>
      </c>
      <c r="AC96" s="815" t="s">
        <v>810</v>
      </c>
      <c r="AD96" s="816" t="s">
        <v>810</v>
      </c>
    </row>
    <row r="97" spans="1:30" ht="15">
      <c r="Z97" s="822">
        <v>2856</v>
      </c>
      <c r="AA97" s="818">
        <v>3456</v>
      </c>
      <c r="AB97" s="820">
        <v>3456</v>
      </c>
      <c r="AC97" s="822">
        <v>3033</v>
      </c>
      <c r="AD97" s="818">
        <v>3033</v>
      </c>
    </row>
    <row r="98" spans="1:30" ht="15">
      <c r="Z98" s="825">
        <v>2793</v>
      </c>
      <c r="AA98" s="823">
        <v>2392</v>
      </c>
      <c r="AB98" s="824">
        <v>2392</v>
      </c>
      <c r="AC98" s="825">
        <v>1968</v>
      </c>
      <c r="AD98" s="823">
        <v>1968</v>
      </c>
    </row>
    <row r="99" spans="1:30" ht="15">
      <c r="Z99" s="822">
        <v>1140</v>
      </c>
      <c r="AA99" s="818">
        <v>1016</v>
      </c>
      <c r="AB99" s="820">
        <v>1016</v>
      </c>
      <c r="AC99" s="821">
        <v>812</v>
      </c>
      <c r="AD99" s="817">
        <v>807</v>
      </c>
    </row>
    <row r="100" spans="1:30" ht="15">
      <c r="Z100" s="822">
        <v>1140</v>
      </c>
      <c r="AA100" s="818">
        <v>1016</v>
      </c>
      <c r="AB100" s="820">
        <v>1016</v>
      </c>
      <c r="AC100" s="821">
        <v>812</v>
      </c>
      <c r="AD100" s="817">
        <v>807</v>
      </c>
    </row>
    <row r="101" spans="1:30">
      <c r="Z101" s="828" t="s">
        <v>810</v>
      </c>
      <c r="AA101" s="826" t="s">
        <v>810</v>
      </c>
      <c r="AB101" s="827" t="s">
        <v>810</v>
      </c>
      <c r="AC101" s="828" t="s">
        <v>810</v>
      </c>
      <c r="AD101" s="826" t="s">
        <v>810</v>
      </c>
    </row>
    <row r="102" spans="1:30">
      <c r="Z102" s="828" t="s">
        <v>810</v>
      </c>
      <c r="AA102" s="826" t="s">
        <v>810</v>
      </c>
      <c r="AB102" s="827" t="s">
        <v>810</v>
      </c>
      <c r="AC102" s="828" t="s">
        <v>810</v>
      </c>
      <c r="AD102" s="826" t="s">
        <v>810</v>
      </c>
    </row>
    <row r="103" spans="1:30" ht="15">
      <c r="A103" s="858" t="s">
        <v>811</v>
      </c>
      <c r="B103" s="859"/>
      <c r="C103" s="871">
        <v>2023</v>
      </c>
      <c r="D103" s="871">
        <v>2022</v>
      </c>
      <c r="E103" s="871">
        <v>2021</v>
      </c>
      <c r="F103" s="871">
        <v>2020</v>
      </c>
      <c r="G103" s="871">
        <v>2019</v>
      </c>
      <c r="H103" s="872">
        <v>2018</v>
      </c>
      <c r="I103" s="870">
        <v>2017</v>
      </c>
      <c r="J103" s="871">
        <v>2017</v>
      </c>
      <c r="K103" s="872">
        <v>2016</v>
      </c>
      <c r="L103" s="870">
        <v>2015</v>
      </c>
      <c r="M103" s="871">
        <v>2014</v>
      </c>
      <c r="N103" s="872">
        <v>2013</v>
      </c>
      <c r="O103" s="870">
        <v>2012</v>
      </c>
      <c r="P103" s="871">
        <v>2011</v>
      </c>
      <c r="Q103" s="872">
        <v>2010</v>
      </c>
      <c r="R103" s="870">
        <v>2009</v>
      </c>
      <c r="S103" s="871">
        <v>2009</v>
      </c>
      <c r="T103" s="872">
        <v>2008</v>
      </c>
      <c r="U103" s="870">
        <v>2008</v>
      </c>
      <c r="V103" s="871">
        <v>2007</v>
      </c>
      <c r="W103" s="872">
        <v>2007</v>
      </c>
      <c r="X103" s="870">
        <v>2007</v>
      </c>
      <c r="Y103" s="871">
        <v>2006</v>
      </c>
      <c r="Z103" s="822">
        <v>1205</v>
      </c>
      <c r="AA103" s="818">
        <v>1144</v>
      </c>
      <c r="AB103" s="820">
        <v>1144</v>
      </c>
      <c r="AC103" s="821">
        <v>934</v>
      </c>
      <c r="AD103" s="817">
        <v>935</v>
      </c>
    </row>
    <row r="104" spans="1:30" ht="15">
      <c r="A104" s="1481" t="s">
        <v>87</v>
      </c>
      <c r="B104" s="1482"/>
      <c r="C104" s="874">
        <v>22680</v>
      </c>
      <c r="D104" s="874">
        <v>23601</v>
      </c>
      <c r="E104" s="874">
        <v>16434</v>
      </c>
      <c r="F104" s="874">
        <v>9763</v>
      </c>
      <c r="G104" s="874">
        <v>6731</v>
      </c>
      <c r="H104" s="875">
        <v>6475</v>
      </c>
      <c r="I104" s="873">
        <v>5253</v>
      </c>
      <c r="J104" s="874">
        <v>5329</v>
      </c>
      <c r="K104" s="875">
        <v>4272</v>
      </c>
      <c r="L104" s="873">
        <v>3991</v>
      </c>
      <c r="M104" s="874">
        <v>5506</v>
      </c>
      <c r="N104" s="875">
        <v>5299</v>
      </c>
      <c r="O104" s="873">
        <v>5422</v>
      </c>
      <c r="P104" s="874">
        <v>6568</v>
      </c>
      <c r="Q104" s="875">
        <v>6494</v>
      </c>
      <c r="R104" s="873">
        <v>5403</v>
      </c>
      <c r="S104" s="874">
        <v>5403</v>
      </c>
      <c r="T104" s="875">
        <v>5808</v>
      </c>
      <c r="U104" s="873">
        <v>5808</v>
      </c>
      <c r="V104" s="874">
        <v>5858</v>
      </c>
      <c r="W104" s="875">
        <v>5858</v>
      </c>
      <c r="X104" s="873">
        <v>6013</v>
      </c>
      <c r="Y104" s="874">
        <v>5627</v>
      </c>
      <c r="Z104" s="821">
        <v>79</v>
      </c>
      <c r="AA104" s="817">
        <v>0</v>
      </c>
      <c r="AB104" s="819">
        <v>0</v>
      </c>
      <c r="AC104" s="821">
        <v>0</v>
      </c>
      <c r="AD104" s="826" t="s">
        <v>810</v>
      </c>
    </row>
    <row r="105" spans="1:30" ht="15">
      <c r="A105" s="1483" t="s">
        <v>812</v>
      </c>
      <c r="B105" s="1484"/>
      <c r="C105" s="877">
        <v>258</v>
      </c>
      <c r="D105" s="877">
        <v>452</v>
      </c>
      <c r="E105" s="878" t="s">
        <v>810</v>
      </c>
      <c r="F105" s="877">
        <v>14</v>
      </c>
      <c r="G105" s="878" t="s">
        <v>810</v>
      </c>
      <c r="H105" s="879" t="s">
        <v>810</v>
      </c>
      <c r="I105" s="880" t="s">
        <v>810</v>
      </c>
      <c r="J105" s="878" t="s">
        <v>810</v>
      </c>
      <c r="K105" s="879" t="s">
        <v>810</v>
      </c>
      <c r="L105" s="880" t="s">
        <v>810</v>
      </c>
      <c r="M105" s="878" t="s">
        <v>810</v>
      </c>
      <c r="N105" s="879" t="s">
        <v>810</v>
      </c>
      <c r="O105" s="880" t="s">
        <v>810</v>
      </c>
      <c r="P105" s="877">
        <v>0</v>
      </c>
      <c r="Q105" s="879" t="s">
        <v>810</v>
      </c>
      <c r="R105" s="880" t="s">
        <v>810</v>
      </c>
      <c r="S105" s="878" t="s">
        <v>810</v>
      </c>
      <c r="T105" s="879" t="s">
        <v>810</v>
      </c>
      <c r="U105" s="880" t="s">
        <v>810</v>
      </c>
      <c r="V105" s="878" t="s">
        <v>810</v>
      </c>
      <c r="W105" s="879" t="s">
        <v>810</v>
      </c>
      <c r="X105" s="880" t="s">
        <v>810</v>
      </c>
      <c r="Y105" s="878" t="s">
        <v>810</v>
      </c>
      <c r="Z105" s="814">
        <v>416</v>
      </c>
      <c r="AA105" s="811">
        <v>0</v>
      </c>
      <c r="AB105" s="812">
        <v>0</v>
      </c>
      <c r="AC105" s="814">
        <v>0</v>
      </c>
      <c r="AD105" s="811">
        <v>5</v>
      </c>
    </row>
    <row r="106" spans="1:30" ht="15">
      <c r="A106" s="1485" t="s">
        <v>210</v>
      </c>
      <c r="B106" s="1486"/>
      <c r="C106" s="882">
        <v>12220</v>
      </c>
      <c r="D106" s="882">
        <v>12998</v>
      </c>
      <c r="E106" s="882">
        <v>8505</v>
      </c>
      <c r="F106" s="882">
        <v>5416</v>
      </c>
      <c r="G106" s="882">
        <v>3863</v>
      </c>
      <c r="H106" s="883">
        <v>4028</v>
      </c>
      <c r="I106" s="881">
        <v>3466</v>
      </c>
      <c r="J106" s="882">
        <v>3506</v>
      </c>
      <c r="K106" s="883">
        <v>3274</v>
      </c>
      <c r="L106" s="881">
        <v>2911</v>
      </c>
      <c r="M106" s="882">
        <v>3667</v>
      </c>
      <c r="N106" s="883">
        <v>3321</v>
      </c>
      <c r="O106" s="881">
        <v>4187</v>
      </c>
      <c r="P106" s="882">
        <v>3628</v>
      </c>
      <c r="Q106" s="883">
        <v>3533</v>
      </c>
      <c r="R106" s="881">
        <v>3131</v>
      </c>
      <c r="S106" s="882">
        <v>3131</v>
      </c>
      <c r="T106" s="883">
        <v>3488</v>
      </c>
      <c r="U106" s="881">
        <v>3488</v>
      </c>
      <c r="V106" s="882">
        <v>3669</v>
      </c>
      <c r="W106" s="883">
        <v>3669</v>
      </c>
      <c r="X106" s="881">
        <v>3751</v>
      </c>
      <c r="Y106" s="882">
        <v>2833</v>
      </c>
      <c r="Z106" s="831">
        <v>369</v>
      </c>
      <c r="AA106" s="829">
        <v>232</v>
      </c>
      <c r="AB106" s="830">
        <v>232</v>
      </c>
      <c r="AC106" s="831">
        <v>222</v>
      </c>
      <c r="AD106" s="829">
        <v>226</v>
      </c>
    </row>
    <row r="107" spans="1:30" ht="15">
      <c r="A107" s="1481" t="s">
        <v>813</v>
      </c>
      <c r="B107" s="1482"/>
      <c r="C107" s="885">
        <v>10718</v>
      </c>
      <c r="D107" s="885">
        <v>11055</v>
      </c>
      <c r="E107" s="885">
        <v>7929</v>
      </c>
      <c r="F107" s="885">
        <v>4361</v>
      </c>
      <c r="G107" s="885">
        <v>2868</v>
      </c>
      <c r="H107" s="886">
        <v>2447</v>
      </c>
      <c r="I107" s="884">
        <v>1787</v>
      </c>
      <c r="J107" s="885">
        <v>1823</v>
      </c>
      <c r="K107" s="887">
        <v>998</v>
      </c>
      <c r="L107" s="884">
        <v>1080</v>
      </c>
      <c r="M107" s="885">
        <v>1839</v>
      </c>
      <c r="N107" s="886">
        <v>1978</v>
      </c>
      <c r="O107" s="884">
        <v>1235</v>
      </c>
      <c r="P107" s="885">
        <v>2940</v>
      </c>
      <c r="Q107" s="886">
        <v>2961</v>
      </c>
      <c r="R107" s="884">
        <v>2272</v>
      </c>
      <c r="S107" s="885">
        <v>2272</v>
      </c>
      <c r="T107" s="886">
        <v>2320</v>
      </c>
      <c r="U107" s="884">
        <v>2320</v>
      </c>
      <c r="V107" s="885">
        <v>2189</v>
      </c>
      <c r="W107" s="886">
        <v>2189</v>
      </c>
      <c r="X107" s="884">
        <v>2262</v>
      </c>
      <c r="Y107" s="885">
        <v>2794</v>
      </c>
      <c r="Z107" s="835" t="s">
        <v>810</v>
      </c>
      <c r="AA107" s="832" t="s">
        <v>810</v>
      </c>
      <c r="AB107" s="834" t="s">
        <v>810</v>
      </c>
      <c r="AC107" s="835" t="s">
        <v>810</v>
      </c>
      <c r="AD107" s="832" t="s">
        <v>810</v>
      </c>
    </row>
    <row r="108" spans="1:30" ht="15">
      <c r="A108" s="1485" t="s">
        <v>814</v>
      </c>
      <c r="B108" s="1486"/>
      <c r="C108" s="882">
        <v>2352</v>
      </c>
      <c r="D108" s="882">
        <v>2336</v>
      </c>
      <c r="E108" s="882">
        <v>1448</v>
      </c>
      <c r="F108" s="888">
        <v>995</v>
      </c>
      <c r="G108" s="888">
        <v>750</v>
      </c>
      <c r="H108" s="889">
        <v>562</v>
      </c>
      <c r="I108" s="890">
        <v>516</v>
      </c>
      <c r="J108" s="888">
        <v>511</v>
      </c>
      <c r="K108" s="889">
        <v>460</v>
      </c>
      <c r="L108" s="890">
        <v>475</v>
      </c>
      <c r="M108" s="888">
        <v>607</v>
      </c>
      <c r="N108" s="889">
        <v>674</v>
      </c>
      <c r="O108" s="890">
        <v>823</v>
      </c>
      <c r="P108" s="888">
        <v>992</v>
      </c>
      <c r="Q108" s="889">
        <v>934</v>
      </c>
      <c r="R108" s="890">
        <v>994</v>
      </c>
      <c r="S108" s="888">
        <v>994</v>
      </c>
      <c r="T108" s="883">
        <v>1304</v>
      </c>
      <c r="U108" s="881">
        <v>1304</v>
      </c>
      <c r="V108" s="882">
        <v>1360</v>
      </c>
      <c r="W108" s="883">
        <v>1360</v>
      </c>
      <c r="X108" s="881">
        <v>1373</v>
      </c>
      <c r="Y108" s="882">
        <v>1138</v>
      </c>
      <c r="Z108" s="839">
        <v>-126</v>
      </c>
      <c r="AA108" s="837">
        <v>-105</v>
      </c>
      <c r="AB108" s="838">
        <v>-105</v>
      </c>
      <c r="AC108" s="839">
        <v>-112</v>
      </c>
      <c r="AD108" s="837">
        <v>-112</v>
      </c>
    </row>
    <row r="109" spans="1:30" ht="15">
      <c r="A109" s="1487" t="s">
        <v>815</v>
      </c>
      <c r="B109" s="1488"/>
      <c r="C109" s="882">
        <v>1305</v>
      </c>
      <c r="D109" s="882">
        <v>1298</v>
      </c>
      <c r="E109" s="888">
        <v>742</v>
      </c>
      <c r="F109" s="888">
        <v>586</v>
      </c>
      <c r="G109" s="888">
        <v>471</v>
      </c>
      <c r="H109" s="889">
        <v>344</v>
      </c>
      <c r="I109" s="890">
        <v>322</v>
      </c>
      <c r="J109" s="888">
        <v>317</v>
      </c>
      <c r="K109" s="889">
        <v>294</v>
      </c>
      <c r="L109" s="890">
        <v>297</v>
      </c>
      <c r="M109" s="888">
        <v>379</v>
      </c>
      <c r="N109" s="889">
        <v>636</v>
      </c>
      <c r="O109" s="890">
        <v>823</v>
      </c>
      <c r="P109" s="888">
        <v>992</v>
      </c>
      <c r="Q109" s="889">
        <v>934</v>
      </c>
      <c r="R109" s="890">
        <v>994</v>
      </c>
      <c r="S109" s="888">
        <v>994</v>
      </c>
      <c r="T109" s="883">
        <v>1304</v>
      </c>
      <c r="U109" s="881">
        <v>1304</v>
      </c>
      <c r="V109" s="882">
        <v>1360</v>
      </c>
      <c r="W109" s="883">
        <v>1360</v>
      </c>
      <c r="X109" s="881">
        <v>1373</v>
      </c>
      <c r="Y109" s="882">
        <v>1138</v>
      </c>
      <c r="Z109" s="839">
        <v>-136</v>
      </c>
      <c r="AA109" s="837">
        <v>-140</v>
      </c>
      <c r="AB109" s="838">
        <v>-140</v>
      </c>
      <c r="AC109" s="839">
        <v>-121</v>
      </c>
      <c r="AD109" s="837">
        <v>-122</v>
      </c>
    </row>
    <row r="110" spans="1:30" ht="15">
      <c r="A110" s="1487" t="s">
        <v>816</v>
      </c>
      <c r="B110" s="1488"/>
      <c r="C110" s="888">
        <v>352</v>
      </c>
      <c r="D110" s="888">
        <v>355</v>
      </c>
      <c r="E110" s="888">
        <v>128</v>
      </c>
      <c r="F110" s="888">
        <v>95</v>
      </c>
      <c r="G110" s="888">
        <v>62</v>
      </c>
      <c r="H110" s="889">
        <v>42</v>
      </c>
      <c r="I110" s="890">
        <v>38</v>
      </c>
      <c r="J110" s="888">
        <v>38</v>
      </c>
      <c r="K110" s="889">
        <v>35</v>
      </c>
      <c r="L110" s="890">
        <v>24</v>
      </c>
      <c r="M110" s="888">
        <v>34</v>
      </c>
      <c r="N110" s="889">
        <v>38</v>
      </c>
      <c r="O110" s="891" t="s">
        <v>810</v>
      </c>
      <c r="P110" s="892" t="s">
        <v>810</v>
      </c>
      <c r="Q110" s="893" t="s">
        <v>810</v>
      </c>
      <c r="R110" s="891" t="s">
        <v>810</v>
      </c>
      <c r="S110" s="892" t="s">
        <v>810</v>
      </c>
      <c r="T110" s="893" t="s">
        <v>810</v>
      </c>
      <c r="U110" s="891" t="s">
        <v>810</v>
      </c>
      <c r="V110" s="892" t="s">
        <v>810</v>
      </c>
      <c r="W110" s="893" t="s">
        <v>810</v>
      </c>
      <c r="X110" s="891" t="s">
        <v>810</v>
      </c>
      <c r="Y110" s="892" t="s">
        <v>810</v>
      </c>
      <c r="Z110" s="821">
        <v>10</v>
      </c>
      <c r="AA110" s="817">
        <v>35</v>
      </c>
      <c r="AB110" s="819">
        <v>35</v>
      </c>
      <c r="AC110" s="821">
        <v>9</v>
      </c>
      <c r="AD110" s="817">
        <v>9</v>
      </c>
    </row>
    <row r="111" spans="1:30" ht="15">
      <c r="A111" s="1487" t="s">
        <v>817</v>
      </c>
      <c r="B111" s="1488"/>
      <c r="C111" s="888">
        <v>695</v>
      </c>
      <c r="D111" s="888">
        <v>683</v>
      </c>
      <c r="E111" s="888">
        <v>578</v>
      </c>
      <c r="F111" s="888">
        <v>314</v>
      </c>
      <c r="G111" s="888">
        <v>217</v>
      </c>
      <c r="H111" s="889">
        <v>176</v>
      </c>
      <c r="I111" s="890">
        <v>156</v>
      </c>
      <c r="J111" s="888">
        <v>156</v>
      </c>
      <c r="K111" s="889">
        <v>131</v>
      </c>
      <c r="L111" s="890">
        <v>154</v>
      </c>
      <c r="M111" s="888">
        <v>194</v>
      </c>
      <c r="N111" s="893" t="s">
        <v>810</v>
      </c>
      <c r="O111" s="891" t="s">
        <v>810</v>
      </c>
      <c r="P111" s="892" t="s">
        <v>810</v>
      </c>
      <c r="Q111" s="893" t="s">
        <v>810</v>
      </c>
      <c r="R111" s="891" t="s">
        <v>810</v>
      </c>
      <c r="S111" s="892" t="s">
        <v>810</v>
      </c>
      <c r="T111" s="893" t="s">
        <v>810</v>
      </c>
      <c r="U111" s="891" t="s">
        <v>810</v>
      </c>
      <c r="V111" s="892" t="s">
        <v>810</v>
      </c>
      <c r="W111" s="893" t="s">
        <v>810</v>
      </c>
      <c r="X111" s="891" t="s">
        <v>810</v>
      </c>
      <c r="Y111" s="892" t="s">
        <v>810</v>
      </c>
      <c r="Z111" s="821">
        <v>71</v>
      </c>
      <c r="AA111" s="837">
        <v>-70</v>
      </c>
      <c r="AB111" s="838">
        <v>-107</v>
      </c>
      <c r="AC111" s="821">
        <v>18</v>
      </c>
      <c r="AD111" s="817">
        <v>20</v>
      </c>
    </row>
    <row r="112" spans="1:30" ht="15">
      <c r="A112" s="1485" t="s">
        <v>818</v>
      </c>
      <c r="B112" s="1486"/>
      <c r="C112" s="882">
        <v>5872</v>
      </c>
      <c r="D112" s="882">
        <v>5005</v>
      </c>
      <c r="E112" s="882">
        <v>2845</v>
      </c>
      <c r="F112" s="882">
        <v>1983</v>
      </c>
      <c r="G112" s="882">
        <v>1547</v>
      </c>
      <c r="H112" s="883">
        <v>1434</v>
      </c>
      <c r="I112" s="881">
        <v>1196</v>
      </c>
      <c r="J112" s="882">
        <v>1160</v>
      </c>
      <c r="K112" s="883">
        <v>1008</v>
      </c>
      <c r="L112" s="890">
        <v>937</v>
      </c>
      <c r="M112" s="882">
        <v>1075</v>
      </c>
      <c r="N112" s="883">
        <v>1199</v>
      </c>
      <c r="O112" s="881">
        <v>1354</v>
      </c>
      <c r="P112" s="882">
        <v>1453</v>
      </c>
      <c r="Q112" s="883">
        <v>1405</v>
      </c>
      <c r="R112" s="881">
        <v>1721</v>
      </c>
      <c r="S112" s="882">
        <v>1721</v>
      </c>
      <c r="T112" s="883">
        <v>1848</v>
      </c>
      <c r="U112" s="881">
        <v>1848</v>
      </c>
      <c r="V112" s="882">
        <v>1771</v>
      </c>
      <c r="W112" s="883">
        <v>1771</v>
      </c>
      <c r="X112" s="881">
        <v>1847</v>
      </c>
      <c r="Y112" s="882">
        <v>1190</v>
      </c>
      <c r="Z112" s="821">
        <v>116</v>
      </c>
      <c r="AA112" s="817">
        <v>37</v>
      </c>
      <c r="AB112" s="827" t="s">
        <v>810</v>
      </c>
      <c r="AC112" s="821">
        <v>18</v>
      </c>
      <c r="AD112" s="817">
        <v>18</v>
      </c>
    </row>
    <row r="113" spans="1:30" ht="15">
      <c r="A113" s="1485" t="s">
        <v>819</v>
      </c>
      <c r="B113" s="1486"/>
      <c r="C113" s="882">
        <v>1869</v>
      </c>
      <c r="D113" s="882">
        <v>2100</v>
      </c>
      <c r="E113" s="892" t="s">
        <v>810</v>
      </c>
      <c r="F113" s="892" t="s">
        <v>810</v>
      </c>
      <c r="G113" s="892" t="s">
        <v>810</v>
      </c>
      <c r="H113" s="893" t="s">
        <v>810</v>
      </c>
      <c r="I113" s="891" t="s">
        <v>810</v>
      </c>
      <c r="J113" s="888">
        <v>0</v>
      </c>
      <c r="K113" s="889">
        <v>0</v>
      </c>
      <c r="L113" s="890">
        <v>3</v>
      </c>
      <c r="M113" s="888">
        <v>14</v>
      </c>
      <c r="N113" s="889">
        <v>18</v>
      </c>
      <c r="O113" s="890">
        <v>14</v>
      </c>
      <c r="P113" s="888">
        <v>29</v>
      </c>
      <c r="Q113" s="889">
        <v>61</v>
      </c>
      <c r="R113" s="890">
        <v>70</v>
      </c>
      <c r="S113" s="888">
        <v>70</v>
      </c>
      <c r="T113" s="889">
        <v>137</v>
      </c>
      <c r="U113" s="890">
        <v>137</v>
      </c>
      <c r="V113" s="888">
        <v>236</v>
      </c>
      <c r="W113" s="889">
        <v>236</v>
      </c>
      <c r="X113" s="890">
        <v>299</v>
      </c>
      <c r="Y113" s="888">
        <v>67</v>
      </c>
      <c r="Z113" s="839">
        <v>-45</v>
      </c>
      <c r="AA113" s="837">
        <v>-107</v>
      </c>
      <c r="AB113" s="838">
        <v>-107</v>
      </c>
      <c r="AC113" s="821">
        <v>0</v>
      </c>
      <c r="AD113" s="817">
        <v>2</v>
      </c>
    </row>
    <row r="114" spans="1:30" ht="15">
      <c r="A114" s="1483" t="s">
        <v>820</v>
      </c>
      <c r="B114" s="1484"/>
      <c r="C114" s="895">
        <v>-34</v>
      </c>
      <c r="D114" s="895">
        <v>-102</v>
      </c>
      <c r="E114" s="895">
        <v>-5</v>
      </c>
      <c r="F114" s="877">
        <v>54</v>
      </c>
      <c r="G114" s="877">
        <v>116</v>
      </c>
      <c r="H114" s="896">
        <v>12</v>
      </c>
      <c r="I114" s="894">
        <v>-40</v>
      </c>
      <c r="J114" s="895">
        <v>-40</v>
      </c>
      <c r="K114" s="897">
        <v>-30</v>
      </c>
      <c r="L114" s="876">
        <v>129</v>
      </c>
      <c r="M114" s="877">
        <v>365</v>
      </c>
      <c r="N114" s="897">
        <v>-17</v>
      </c>
      <c r="O114" s="876">
        <v>104</v>
      </c>
      <c r="P114" s="877">
        <v>313</v>
      </c>
      <c r="Q114" s="897">
        <v>-263</v>
      </c>
      <c r="R114" s="898">
        <v>-1343</v>
      </c>
      <c r="S114" s="899">
        <v>-1351</v>
      </c>
      <c r="T114" s="900">
        <v>1006</v>
      </c>
      <c r="U114" s="876">
        <v>986</v>
      </c>
      <c r="V114" s="901">
        <v>1265</v>
      </c>
      <c r="W114" s="900">
        <v>1132</v>
      </c>
      <c r="X114" s="902">
        <v>1608</v>
      </c>
      <c r="Y114" s="877">
        <v>416</v>
      </c>
      <c r="Z114" s="840">
        <v>-55</v>
      </c>
      <c r="AA114" s="841">
        <v>-175</v>
      </c>
      <c r="AB114" s="836">
        <v>-212</v>
      </c>
      <c r="AC114" s="840">
        <v>-94</v>
      </c>
      <c r="AD114" s="841">
        <v>-93</v>
      </c>
    </row>
    <row r="115" spans="1:30" ht="15">
      <c r="A115" s="1489" t="s">
        <v>821</v>
      </c>
      <c r="B115" s="1490"/>
      <c r="C115" s="905">
        <v>625</v>
      </c>
      <c r="D115" s="904">
        <v>1614</v>
      </c>
      <c r="E115" s="904">
        <v>3636</v>
      </c>
      <c r="F115" s="904">
        <v>1383</v>
      </c>
      <c r="G115" s="905">
        <v>571</v>
      </c>
      <c r="H115" s="906">
        <v>451</v>
      </c>
      <c r="I115" s="903">
        <v>75</v>
      </c>
      <c r="J115" s="905">
        <v>152</v>
      </c>
      <c r="K115" s="907">
        <v>-470</v>
      </c>
      <c r="L115" s="908">
        <v>-335</v>
      </c>
      <c r="M115" s="905">
        <v>143</v>
      </c>
      <c r="N115" s="906">
        <v>87</v>
      </c>
      <c r="O115" s="908">
        <v>-956</v>
      </c>
      <c r="P115" s="905">
        <v>466</v>
      </c>
      <c r="Q115" s="906">
        <v>561</v>
      </c>
      <c r="R115" s="908">
        <v>-513</v>
      </c>
      <c r="S115" s="909">
        <v>-513</v>
      </c>
      <c r="T115" s="907">
        <v>-969</v>
      </c>
      <c r="U115" s="908">
        <v>-969</v>
      </c>
      <c r="V115" s="910">
        <v>-1178</v>
      </c>
      <c r="W115" s="911">
        <v>-1178</v>
      </c>
      <c r="X115" s="912">
        <v>-1257</v>
      </c>
      <c r="Y115" s="905">
        <v>399</v>
      </c>
      <c r="Z115" s="845">
        <v>0</v>
      </c>
      <c r="AA115" s="842">
        <v>0</v>
      </c>
      <c r="AB115" s="844" t="s">
        <v>810</v>
      </c>
      <c r="AC115" s="846" t="s">
        <v>810</v>
      </c>
      <c r="AD115" s="847">
        <v>-46</v>
      </c>
    </row>
    <row r="116" spans="1:30" ht="14.1" customHeight="1">
      <c r="A116" s="1491" t="s">
        <v>822</v>
      </c>
      <c r="B116" s="1492"/>
      <c r="C116" s="914" t="s">
        <v>810</v>
      </c>
      <c r="D116" s="914" t="s">
        <v>810</v>
      </c>
      <c r="E116" s="914" t="s">
        <v>810</v>
      </c>
      <c r="F116" s="914" t="s">
        <v>810</v>
      </c>
      <c r="G116" s="914" t="s">
        <v>810</v>
      </c>
      <c r="H116" s="915" t="s">
        <v>810</v>
      </c>
      <c r="I116" s="913" t="s">
        <v>810</v>
      </c>
      <c r="J116" s="914" t="s">
        <v>810</v>
      </c>
      <c r="K116" s="915" t="s">
        <v>810</v>
      </c>
      <c r="L116" s="916">
        <v>17</v>
      </c>
      <c r="M116" s="917">
        <v>-6</v>
      </c>
      <c r="N116" s="918">
        <v>2</v>
      </c>
      <c r="O116" s="913" t="s">
        <v>810</v>
      </c>
      <c r="P116" s="914" t="s">
        <v>810</v>
      </c>
      <c r="Q116" s="915" t="s">
        <v>810</v>
      </c>
      <c r="R116" s="913" t="s">
        <v>810</v>
      </c>
      <c r="S116" s="914" t="s">
        <v>810</v>
      </c>
      <c r="T116" s="915" t="s">
        <v>810</v>
      </c>
      <c r="U116" s="913" t="s">
        <v>810</v>
      </c>
      <c r="V116" s="914" t="s">
        <v>810</v>
      </c>
      <c r="W116" s="915" t="s">
        <v>810</v>
      </c>
      <c r="X116" s="913" t="s">
        <v>810</v>
      </c>
      <c r="Y116" s="914" t="s">
        <v>810</v>
      </c>
      <c r="Z116" s="840">
        <v>-13</v>
      </c>
      <c r="AA116" s="841">
        <v>-24</v>
      </c>
      <c r="AB116" s="833">
        <v>14</v>
      </c>
      <c r="AC116" s="840">
        <v>-49</v>
      </c>
      <c r="AD116" s="841">
        <v>-5</v>
      </c>
    </row>
    <row r="117" spans="1:30" ht="15">
      <c r="A117" s="1487" t="s">
        <v>823</v>
      </c>
      <c r="B117" s="1488"/>
      <c r="C117" s="920">
        <v>-106</v>
      </c>
      <c r="D117" s="920">
        <v>-88</v>
      </c>
      <c r="E117" s="920">
        <v>-34</v>
      </c>
      <c r="F117" s="920">
        <v>-47</v>
      </c>
      <c r="G117" s="920">
        <v>-94</v>
      </c>
      <c r="H117" s="921">
        <v>-121</v>
      </c>
      <c r="I117" s="919">
        <v>-126</v>
      </c>
      <c r="J117" s="920">
        <v>-126</v>
      </c>
      <c r="K117" s="921">
        <v>-156</v>
      </c>
      <c r="L117" s="919">
        <v>-160</v>
      </c>
      <c r="M117" s="920">
        <v>-177</v>
      </c>
      <c r="N117" s="921">
        <v>-177</v>
      </c>
      <c r="O117" s="919">
        <v>-175</v>
      </c>
      <c r="P117" s="920">
        <v>-180</v>
      </c>
      <c r="Q117" s="921">
        <v>-199</v>
      </c>
      <c r="R117" s="919">
        <v>-438</v>
      </c>
      <c r="S117" s="920">
        <v>-438</v>
      </c>
      <c r="T117" s="921">
        <v>-391</v>
      </c>
      <c r="U117" s="919">
        <v>-366</v>
      </c>
      <c r="V117" s="920">
        <v>-382</v>
      </c>
      <c r="W117" s="921">
        <v>-367</v>
      </c>
      <c r="X117" s="919">
        <v>-367</v>
      </c>
      <c r="Y117" s="920">
        <v>-126</v>
      </c>
      <c r="Z117" s="839">
        <v>-13</v>
      </c>
      <c r="AA117" s="837">
        <v>-24</v>
      </c>
      <c r="AB117" s="819">
        <v>14</v>
      </c>
      <c r="AC117" s="839">
        <v>-49</v>
      </c>
      <c r="AD117" s="837">
        <v>-5</v>
      </c>
    </row>
    <row r="118" spans="1:30" ht="15">
      <c r="A118" s="1487" t="s">
        <v>824</v>
      </c>
      <c r="B118" s="1488"/>
      <c r="C118" s="920">
        <v>-106</v>
      </c>
      <c r="D118" s="920">
        <v>-88</v>
      </c>
      <c r="E118" s="920">
        <v>-34</v>
      </c>
      <c r="F118" s="920">
        <v>-47</v>
      </c>
      <c r="G118" s="920">
        <v>-94</v>
      </c>
      <c r="H118" s="921">
        <v>-121</v>
      </c>
      <c r="I118" s="919">
        <v>-126</v>
      </c>
      <c r="J118" s="920">
        <v>-126</v>
      </c>
      <c r="K118" s="921">
        <v>-156</v>
      </c>
      <c r="L118" s="919">
        <v>-160</v>
      </c>
      <c r="M118" s="920">
        <v>-177</v>
      </c>
      <c r="N118" s="921">
        <v>-177</v>
      </c>
      <c r="O118" s="919">
        <v>-175</v>
      </c>
      <c r="P118" s="920">
        <v>-180</v>
      </c>
      <c r="Q118" s="921">
        <v>-199</v>
      </c>
      <c r="R118" s="919">
        <v>-438</v>
      </c>
      <c r="S118" s="920">
        <v>-439</v>
      </c>
      <c r="T118" s="921">
        <v>-400</v>
      </c>
      <c r="U118" s="919">
        <v>-375</v>
      </c>
      <c r="V118" s="920">
        <v>-405</v>
      </c>
      <c r="W118" s="921">
        <v>-390</v>
      </c>
      <c r="X118" s="919">
        <v>-390</v>
      </c>
      <c r="Y118" s="920">
        <v>-136</v>
      </c>
      <c r="Z118" s="849">
        <v>-68</v>
      </c>
      <c r="AA118" s="850">
        <v>-199</v>
      </c>
      <c r="AB118" s="848">
        <v>-198</v>
      </c>
      <c r="AC118" s="849">
        <v>-143</v>
      </c>
      <c r="AD118" s="850">
        <v>-98</v>
      </c>
    </row>
    <row r="119" spans="1:30" ht="15">
      <c r="A119" s="860" t="s">
        <v>825</v>
      </c>
      <c r="B119" s="861"/>
      <c r="C119" s="892" t="s">
        <v>810</v>
      </c>
      <c r="D119" s="892" t="s">
        <v>810</v>
      </c>
      <c r="E119" s="892" t="s">
        <v>810</v>
      </c>
      <c r="F119" s="892" t="s">
        <v>810</v>
      </c>
      <c r="G119" s="892" t="s">
        <v>810</v>
      </c>
      <c r="H119" s="893" t="s">
        <v>810</v>
      </c>
      <c r="I119" s="891" t="s">
        <v>810</v>
      </c>
      <c r="J119" s="892" t="s">
        <v>810</v>
      </c>
      <c r="K119" s="893" t="s">
        <v>810</v>
      </c>
      <c r="L119" s="891" t="s">
        <v>810</v>
      </c>
      <c r="M119" s="892" t="s">
        <v>810</v>
      </c>
      <c r="N119" s="893" t="s">
        <v>810</v>
      </c>
      <c r="O119" s="891" t="s">
        <v>810</v>
      </c>
      <c r="P119" s="892" t="s">
        <v>810</v>
      </c>
      <c r="Q119" s="889">
        <v>0</v>
      </c>
      <c r="R119" s="890">
        <v>0</v>
      </c>
      <c r="S119" s="888">
        <v>1</v>
      </c>
      <c r="T119" s="889">
        <v>9</v>
      </c>
      <c r="U119" s="890">
        <v>9</v>
      </c>
      <c r="V119" s="888">
        <v>23</v>
      </c>
      <c r="W119" s="889">
        <v>23</v>
      </c>
      <c r="X119" s="890">
        <v>23</v>
      </c>
      <c r="Y119" s="888">
        <v>10</v>
      </c>
      <c r="Z119" s="831">
        <v>301</v>
      </c>
      <c r="AA119" s="829">
        <v>49</v>
      </c>
      <c r="AB119" s="830">
        <v>34</v>
      </c>
      <c r="AC119" s="831">
        <v>79</v>
      </c>
      <c r="AD119" s="829">
        <v>130</v>
      </c>
    </row>
    <row r="120" spans="1:30" ht="14.1" customHeight="1">
      <c r="A120" s="860" t="s">
        <v>826</v>
      </c>
      <c r="B120" s="861"/>
      <c r="C120" s="888">
        <v>205</v>
      </c>
      <c r="D120" s="888">
        <v>3</v>
      </c>
      <c r="E120" s="888">
        <v>64</v>
      </c>
      <c r="F120" s="888">
        <v>8</v>
      </c>
      <c r="G120" s="888">
        <v>14</v>
      </c>
      <c r="H120" s="889">
        <v>15</v>
      </c>
      <c r="I120" s="890">
        <v>3</v>
      </c>
      <c r="J120" s="888">
        <v>3</v>
      </c>
      <c r="K120" s="889">
        <v>3</v>
      </c>
      <c r="L120" s="919">
        <v>-3</v>
      </c>
      <c r="M120" s="888">
        <v>0</v>
      </c>
      <c r="N120" s="889">
        <v>3</v>
      </c>
      <c r="O120" s="890">
        <v>8</v>
      </c>
      <c r="P120" s="888">
        <v>10</v>
      </c>
      <c r="Q120" s="889">
        <v>11</v>
      </c>
      <c r="R120" s="890">
        <v>16</v>
      </c>
      <c r="S120" s="920">
        <v>-20</v>
      </c>
      <c r="T120" s="889">
        <v>26</v>
      </c>
      <c r="U120" s="919">
        <v>-47</v>
      </c>
      <c r="V120" s="888">
        <v>29</v>
      </c>
      <c r="W120" s="921">
        <v>-117</v>
      </c>
      <c r="X120" s="919">
        <v>-82</v>
      </c>
      <c r="Y120" s="888">
        <v>43</v>
      </c>
      <c r="Z120" s="845">
        <v>0</v>
      </c>
      <c r="AA120" s="842">
        <v>0</v>
      </c>
      <c r="AB120" s="843">
        <v>0</v>
      </c>
      <c r="AC120" s="845">
        <v>0</v>
      </c>
      <c r="AD120" s="842">
        <v>4</v>
      </c>
    </row>
    <row r="121" spans="1:30" ht="15">
      <c r="A121" s="860" t="s">
        <v>827</v>
      </c>
      <c r="B121" s="861"/>
      <c r="C121" s="888">
        <v>206</v>
      </c>
      <c r="D121" s="888">
        <v>65</v>
      </c>
      <c r="E121" s="888">
        <v>8</v>
      </c>
      <c r="F121" s="888">
        <v>8</v>
      </c>
      <c r="G121" s="888">
        <v>15</v>
      </c>
      <c r="H121" s="889">
        <v>18</v>
      </c>
      <c r="I121" s="890">
        <v>6</v>
      </c>
      <c r="J121" s="888">
        <v>6</v>
      </c>
      <c r="K121" s="893" t="s">
        <v>810</v>
      </c>
      <c r="L121" s="891" t="s">
        <v>810</v>
      </c>
      <c r="M121" s="888">
        <v>3</v>
      </c>
      <c r="N121" s="889">
        <v>5</v>
      </c>
      <c r="O121" s="890">
        <v>8</v>
      </c>
      <c r="P121" s="888">
        <v>10</v>
      </c>
      <c r="Q121" s="889">
        <v>11</v>
      </c>
      <c r="R121" s="890">
        <v>16</v>
      </c>
      <c r="S121" s="888">
        <v>16</v>
      </c>
      <c r="T121" s="889">
        <v>39</v>
      </c>
      <c r="U121" s="890">
        <v>39</v>
      </c>
      <c r="V121" s="888">
        <v>73</v>
      </c>
      <c r="W121" s="889">
        <v>73</v>
      </c>
      <c r="X121" s="890">
        <v>73</v>
      </c>
      <c r="Y121" s="888">
        <v>116</v>
      </c>
      <c r="Z121" s="854">
        <v>23</v>
      </c>
      <c r="AA121" s="851">
        <v>-7</v>
      </c>
      <c r="AB121" s="852">
        <v>-7</v>
      </c>
      <c r="AC121" s="854">
        <v>6</v>
      </c>
      <c r="AD121" s="853">
        <v>10</v>
      </c>
    </row>
    <row r="122" spans="1:30" ht="15">
      <c r="A122" s="860" t="s">
        <v>828</v>
      </c>
      <c r="B122" s="861"/>
      <c r="C122" s="920">
        <v>-1</v>
      </c>
      <c r="D122" s="920">
        <v>-62</v>
      </c>
      <c r="E122" s="888">
        <v>56</v>
      </c>
      <c r="F122" s="892" t="s">
        <v>810</v>
      </c>
      <c r="G122" s="920">
        <v>-1</v>
      </c>
      <c r="H122" s="921">
        <v>-3</v>
      </c>
      <c r="I122" s="919">
        <v>-3</v>
      </c>
      <c r="J122" s="920">
        <v>-3</v>
      </c>
      <c r="K122" s="889">
        <v>3</v>
      </c>
      <c r="L122" s="919">
        <v>-3</v>
      </c>
      <c r="M122" s="920">
        <v>-3</v>
      </c>
      <c r="N122" s="921">
        <v>-2</v>
      </c>
      <c r="O122" s="891" t="s">
        <v>810</v>
      </c>
      <c r="P122" s="892" t="s">
        <v>810</v>
      </c>
      <c r="Q122" s="893" t="s">
        <v>810</v>
      </c>
      <c r="R122" s="891" t="s">
        <v>810</v>
      </c>
      <c r="S122" s="920">
        <v>-36</v>
      </c>
      <c r="T122" s="921">
        <v>-13</v>
      </c>
      <c r="U122" s="919">
        <v>-86</v>
      </c>
      <c r="V122" s="920">
        <v>-44</v>
      </c>
      <c r="W122" s="921">
        <v>-190</v>
      </c>
      <c r="X122" s="919">
        <v>-155</v>
      </c>
      <c r="Y122" s="920">
        <v>-73</v>
      </c>
      <c r="Z122" s="857">
        <v>278</v>
      </c>
      <c r="AA122" s="855">
        <v>56</v>
      </c>
      <c r="AB122" s="856">
        <v>40</v>
      </c>
      <c r="AC122" s="857">
        <v>73</v>
      </c>
      <c r="AD122" s="855">
        <v>120</v>
      </c>
    </row>
    <row r="123" spans="1:30" ht="15">
      <c r="A123" s="864" t="s">
        <v>829</v>
      </c>
      <c r="B123" s="865"/>
      <c r="C123" s="922">
        <v>99</v>
      </c>
      <c r="D123" s="917">
        <v>-85</v>
      </c>
      <c r="E123" s="922">
        <v>30</v>
      </c>
      <c r="F123" s="917">
        <v>-39</v>
      </c>
      <c r="G123" s="917">
        <v>-80</v>
      </c>
      <c r="H123" s="923">
        <v>-106</v>
      </c>
      <c r="I123" s="924">
        <v>-123</v>
      </c>
      <c r="J123" s="917">
        <v>-123</v>
      </c>
      <c r="K123" s="923">
        <v>-153</v>
      </c>
      <c r="L123" s="924">
        <v>-163</v>
      </c>
      <c r="M123" s="917">
        <v>-177</v>
      </c>
      <c r="N123" s="923">
        <v>-174</v>
      </c>
      <c r="O123" s="924">
        <v>-167</v>
      </c>
      <c r="P123" s="917">
        <v>-170</v>
      </c>
      <c r="Q123" s="923">
        <v>-188</v>
      </c>
      <c r="R123" s="924">
        <v>-422</v>
      </c>
      <c r="S123" s="917">
        <v>-458</v>
      </c>
      <c r="T123" s="923">
        <v>-365</v>
      </c>
      <c r="U123" s="924">
        <v>-413</v>
      </c>
      <c r="V123" s="917">
        <v>-353</v>
      </c>
      <c r="W123" s="923">
        <v>-484</v>
      </c>
      <c r="X123" s="924">
        <v>-449</v>
      </c>
      <c r="Y123" s="917">
        <v>-83</v>
      </c>
    </row>
    <row r="124" spans="1:30" ht="15">
      <c r="A124" s="866" t="s">
        <v>830</v>
      </c>
      <c r="B124" s="867"/>
      <c r="C124" s="926" t="s">
        <v>810</v>
      </c>
      <c r="D124" s="926" t="s">
        <v>810</v>
      </c>
      <c r="E124" s="926" t="s">
        <v>810</v>
      </c>
      <c r="F124" s="926" t="s">
        <v>810</v>
      </c>
      <c r="G124" s="926" t="s">
        <v>810</v>
      </c>
      <c r="H124" s="927" t="s">
        <v>810</v>
      </c>
      <c r="I124" s="925" t="s">
        <v>810</v>
      </c>
      <c r="J124" s="926" t="s">
        <v>810</v>
      </c>
      <c r="K124" s="927" t="s">
        <v>810</v>
      </c>
      <c r="L124" s="925" t="s">
        <v>810</v>
      </c>
      <c r="M124" s="926" t="s">
        <v>810</v>
      </c>
      <c r="N124" s="928">
        <v>0</v>
      </c>
      <c r="O124" s="929">
        <v>0</v>
      </c>
      <c r="P124" s="930">
        <v>0</v>
      </c>
      <c r="Q124" s="928">
        <v>325</v>
      </c>
      <c r="R124" s="929">
        <v>28</v>
      </c>
      <c r="S124" s="930">
        <v>28</v>
      </c>
      <c r="T124" s="928">
        <v>0</v>
      </c>
      <c r="U124" s="925" t="s">
        <v>810</v>
      </c>
      <c r="V124" s="930">
        <v>19</v>
      </c>
      <c r="W124" s="927" t="s">
        <v>810</v>
      </c>
      <c r="X124" s="929">
        <v>19</v>
      </c>
      <c r="Y124" s="926" t="s">
        <v>810</v>
      </c>
    </row>
    <row r="125" spans="1:30" s="962" customFormat="1" ht="15">
      <c r="A125" s="1491" t="s">
        <v>831</v>
      </c>
      <c r="B125" s="1492"/>
      <c r="C125" s="917">
        <v>-8</v>
      </c>
      <c r="D125" s="922">
        <v>5</v>
      </c>
      <c r="E125" s="917">
        <v>-2</v>
      </c>
      <c r="F125" s="917">
        <v>-1</v>
      </c>
      <c r="G125" s="917">
        <v>-3</v>
      </c>
      <c r="H125" s="923">
        <v>-3</v>
      </c>
      <c r="I125" s="916">
        <v>0</v>
      </c>
      <c r="J125" s="922">
        <v>0</v>
      </c>
      <c r="K125" s="918">
        <v>145</v>
      </c>
      <c r="L125" s="924">
        <v>-2</v>
      </c>
      <c r="M125" s="917">
        <v>-5</v>
      </c>
      <c r="N125" s="923">
        <v>-2</v>
      </c>
      <c r="O125" s="916">
        <v>10</v>
      </c>
      <c r="P125" s="922">
        <v>16</v>
      </c>
      <c r="Q125" s="918">
        <v>10</v>
      </c>
      <c r="R125" s="924">
        <v>-28</v>
      </c>
      <c r="S125" s="922">
        <v>0</v>
      </c>
      <c r="T125" s="923">
        <v>-4</v>
      </c>
      <c r="U125" s="916">
        <v>22</v>
      </c>
      <c r="V125" s="917">
        <v>-4</v>
      </c>
      <c r="W125" s="923">
        <v>-7</v>
      </c>
      <c r="X125" s="924">
        <v>-26</v>
      </c>
      <c r="Y125" s="917">
        <v>-13</v>
      </c>
      <c r="Z125" s="20"/>
      <c r="AA125" s="20"/>
      <c r="AB125" s="20"/>
      <c r="AC125" s="20"/>
      <c r="AD125" s="20"/>
    </row>
    <row r="126" spans="1:30" s="962" customFormat="1" ht="15">
      <c r="A126" s="1487" t="s">
        <v>832</v>
      </c>
      <c r="B126" s="1488"/>
      <c r="C126" s="920">
        <v>-8</v>
      </c>
      <c r="D126" s="888">
        <v>5</v>
      </c>
      <c r="E126" s="920">
        <v>-2</v>
      </c>
      <c r="F126" s="920">
        <v>-1</v>
      </c>
      <c r="G126" s="920">
        <v>-3</v>
      </c>
      <c r="H126" s="921">
        <v>-3</v>
      </c>
      <c r="I126" s="890">
        <v>0</v>
      </c>
      <c r="J126" s="888">
        <v>0</v>
      </c>
      <c r="K126" s="889">
        <v>145</v>
      </c>
      <c r="L126" s="919">
        <v>-2</v>
      </c>
      <c r="M126" s="920">
        <v>-5</v>
      </c>
      <c r="N126" s="921">
        <v>-2</v>
      </c>
      <c r="O126" s="890">
        <v>10</v>
      </c>
      <c r="P126" s="888">
        <v>16</v>
      </c>
      <c r="Q126" s="889">
        <v>10</v>
      </c>
      <c r="R126" s="919">
        <v>-28</v>
      </c>
      <c r="S126" s="888">
        <v>0</v>
      </c>
      <c r="T126" s="921">
        <v>-4</v>
      </c>
      <c r="U126" s="890">
        <v>22</v>
      </c>
      <c r="V126" s="920">
        <v>-4</v>
      </c>
      <c r="W126" s="921">
        <v>-7</v>
      </c>
      <c r="X126" s="919">
        <v>-26</v>
      </c>
      <c r="Y126" s="920">
        <v>-13</v>
      </c>
      <c r="Z126" s="963"/>
      <c r="AA126" s="963"/>
      <c r="AB126" s="963"/>
      <c r="AC126" s="963"/>
      <c r="AD126" s="963"/>
    </row>
    <row r="127" spans="1:30" s="962" customFormat="1" ht="15">
      <c r="A127" s="868" t="s">
        <v>212</v>
      </c>
      <c r="B127" s="869"/>
      <c r="C127" s="932">
        <v>91</v>
      </c>
      <c r="D127" s="931">
        <v>-80</v>
      </c>
      <c r="E127" s="932">
        <v>28</v>
      </c>
      <c r="F127" s="931">
        <v>-40</v>
      </c>
      <c r="G127" s="931">
        <v>-83</v>
      </c>
      <c r="H127" s="933">
        <v>-109</v>
      </c>
      <c r="I127" s="934">
        <v>-123</v>
      </c>
      <c r="J127" s="931">
        <v>-123</v>
      </c>
      <c r="K127" s="933">
        <v>-8</v>
      </c>
      <c r="L127" s="934">
        <v>-148</v>
      </c>
      <c r="M127" s="931">
        <v>-188</v>
      </c>
      <c r="N127" s="933">
        <v>-174</v>
      </c>
      <c r="O127" s="934">
        <v>-157</v>
      </c>
      <c r="P127" s="931">
        <v>-154</v>
      </c>
      <c r="Q127" s="933">
        <v>-178</v>
      </c>
      <c r="R127" s="934">
        <v>-450</v>
      </c>
      <c r="S127" s="931">
        <v>-458</v>
      </c>
      <c r="T127" s="933">
        <v>-369</v>
      </c>
      <c r="U127" s="934">
        <v>-391</v>
      </c>
      <c r="V127" s="931">
        <v>-357</v>
      </c>
      <c r="W127" s="933">
        <v>-491</v>
      </c>
      <c r="X127" s="934">
        <v>-475</v>
      </c>
      <c r="Y127" s="931">
        <v>-96</v>
      </c>
      <c r="Z127" s="961"/>
      <c r="AA127" s="961"/>
      <c r="AB127" s="961"/>
      <c r="AC127" s="961"/>
      <c r="AD127" s="961"/>
    </row>
    <row r="128" spans="1:30" ht="15">
      <c r="A128" s="862" t="s">
        <v>833</v>
      </c>
      <c r="B128" s="863"/>
      <c r="C128" s="905">
        <v>716</v>
      </c>
      <c r="D128" s="905">
        <v>1534</v>
      </c>
      <c r="E128" s="905">
        <v>3664</v>
      </c>
      <c r="F128" s="905">
        <v>1343</v>
      </c>
      <c r="G128" s="905">
        <v>500</v>
      </c>
      <c r="H128" s="906">
        <v>342</v>
      </c>
      <c r="I128" s="903">
        <v>-48</v>
      </c>
      <c r="J128" s="905">
        <v>29</v>
      </c>
      <c r="K128" s="906">
        <v>-478</v>
      </c>
      <c r="L128" s="903">
        <v>-517</v>
      </c>
      <c r="M128" s="905">
        <v>-33</v>
      </c>
      <c r="N128" s="906">
        <v>-91</v>
      </c>
      <c r="O128" s="903">
        <v>-1113</v>
      </c>
      <c r="P128" s="905">
        <v>317</v>
      </c>
      <c r="Q128" s="906">
        <v>383</v>
      </c>
      <c r="R128" s="903">
        <v>-963</v>
      </c>
      <c r="S128" s="905">
        <v>-971</v>
      </c>
      <c r="T128" s="906">
        <v>-1338</v>
      </c>
      <c r="U128" s="903">
        <v>-1360</v>
      </c>
      <c r="V128" s="905">
        <v>-1535</v>
      </c>
      <c r="W128" s="906">
        <v>-1669</v>
      </c>
      <c r="X128" s="903">
        <v>-124</v>
      </c>
      <c r="Y128" s="905">
        <v>303</v>
      </c>
    </row>
    <row r="129" spans="1:36" s="962" customFormat="1" ht="15">
      <c r="A129" s="1493" t="s">
        <v>834</v>
      </c>
      <c r="B129" s="1494"/>
      <c r="C129" s="930">
        <v>78</v>
      </c>
      <c r="D129" s="930">
        <v>123</v>
      </c>
      <c r="E129" s="935">
        <v>-1</v>
      </c>
      <c r="F129" s="930">
        <v>24</v>
      </c>
      <c r="G129" s="930">
        <v>15</v>
      </c>
      <c r="H129" s="928">
        <v>4</v>
      </c>
      <c r="I129" s="936">
        <v>-14</v>
      </c>
      <c r="J129" s="935">
        <v>-14</v>
      </c>
      <c r="K129" s="937">
        <v>-11</v>
      </c>
      <c r="L129" s="929">
        <v>45</v>
      </c>
      <c r="M129" s="930">
        <v>128</v>
      </c>
      <c r="N129" s="937">
        <v>-6</v>
      </c>
      <c r="O129" s="929">
        <v>36</v>
      </c>
      <c r="P129" s="930">
        <v>111</v>
      </c>
      <c r="Q129" s="937">
        <v>-23</v>
      </c>
      <c r="R129" s="936">
        <v>-480</v>
      </c>
      <c r="S129" s="935">
        <v>-483</v>
      </c>
      <c r="T129" s="928">
        <v>352</v>
      </c>
      <c r="U129" s="929">
        <v>345</v>
      </c>
      <c r="V129" s="930">
        <v>436</v>
      </c>
      <c r="W129" s="928">
        <v>396</v>
      </c>
      <c r="X129" s="929">
        <v>556</v>
      </c>
      <c r="Y129" s="930">
        <v>0</v>
      </c>
      <c r="Z129" s="961"/>
      <c r="AA129" s="961"/>
      <c r="AB129" s="961"/>
      <c r="AC129" s="961"/>
      <c r="AD129" s="961"/>
      <c r="AE129" s="961"/>
      <c r="AF129" s="961"/>
      <c r="AG129" s="961"/>
    </row>
    <row r="130" spans="1:36" s="962" customFormat="1" ht="15">
      <c r="A130" s="1495" t="s">
        <v>835</v>
      </c>
      <c r="B130" s="1496"/>
      <c r="C130" s="946">
        <v>-268</v>
      </c>
      <c r="D130" s="939">
        <v>1</v>
      </c>
      <c r="E130" s="939">
        <v>512</v>
      </c>
      <c r="F130" s="940">
        <v>-1186</v>
      </c>
      <c r="G130" s="939">
        <v>59</v>
      </c>
      <c r="H130" s="941">
        <v>-18</v>
      </c>
      <c r="I130" s="942">
        <v>1134</v>
      </c>
      <c r="J130" s="943">
        <v>1135</v>
      </c>
      <c r="K130" s="944">
        <v>29</v>
      </c>
      <c r="L130" s="945">
        <v>59</v>
      </c>
      <c r="M130" s="939">
        <v>133</v>
      </c>
      <c r="N130" s="944">
        <v>3</v>
      </c>
      <c r="O130" s="945">
        <v>2</v>
      </c>
      <c r="P130" s="939">
        <v>107</v>
      </c>
      <c r="Q130" s="944">
        <v>15</v>
      </c>
      <c r="R130" s="938">
        <v>-368</v>
      </c>
      <c r="S130" s="946">
        <v>-371</v>
      </c>
      <c r="T130" s="944">
        <v>420</v>
      </c>
      <c r="U130" s="945">
        <v>413</v>
      </c>
      <c r="V130" s="939">
        <v>463</v>
      </c>
      <c r="W130" s="944">
        <v>423</v>
      </c>
      <c r="X130" s="945">
        <v>579</v>
      </c>
      <c r="Y130" s="939">
        <v>23</v>
      </c>
      <c r="Z130" s="20"/>
      <c r="AA130" s="20"/>
      <c r="AB130" s="20"/>
      <c r="AC130" s="20"/>
      <c r="AD130" s="20"/>
      <c r="AE130" s="20"/>
      <c r="AF130" s="20"/>
      <c r="AG130" s="20"/>
    </row>
    <row r="131" spans="1:36" s="962" customFormat="1" ht="15">
      <c r="A131" s="1497" t="s">
        <v>836</v>
      </c>
      <c r="B131" s="1498"/>
      <c r="C131" s="948">
        <v>984</v>
      </c>
      <c r="D131" s="947">
        <v>1534</v>
      </c>
      <c r="E131" s="947">
        <v>3152</v>
      </c>
      <c r="F131" s="947">
        <v>2529</v>
      </c>
      <c r="G131" s="948">
        <v>441</v>
      </c>
      <c r="H131" s="949">
        <v>360</v>
      </c>
      <c r="I131" s="950">
        <v>-1182</v>
      </c>
      <c r="J131" s="951">
        <v>-1106</v>
      </c>
      <c r="K131" s="952">
        <v>-507</v>
      </c>
      <c r="L131" s="953">
        <v>-576</v>
      </c>
      <c r="M131" s="954">
        <v>-166</v>
      </c>
      <c r="N131" s="952">
        <v>-94</v>
      </c>
      <c r="O131" s="950">
        <v>-1115</v>
      </c>
      <c r="P131" s="948">
        <v>210</v>
      </c>
      <c r="Q131" s="949">
        <v>368</v>
      </c>
      <c r="R131" s="953">
        <v>-595</v>
      </c>
      <c r="S131" s="954">
        <v>-600</v>
      </c>
      <c r="T131" s="955">
        <v>-1758</v>
      </c>
      <c r="U131" s="950">
        <v>-1773</v>
      </c>
      <c r="V131" s="951">
        <v>-1998</v>
      </c>
      <c r="W131" s="955">
        <v>-2092</v>
      </c>
      <c r="X131" s="953">
        <v>-703</v>
      </c>
      <c r="Y131" s="948">
        <v>280</v>
      </c>
      <c r="Z131" s="20"/>
      <c r="AA131" s="20"/>
      <c r="AB131" s="20"/>
      <c r="AC131" s="20"/>
      <c r="AD131" s="20"/>
      <c r="AE131" s="20"/>
      <c r="AF131" s="20"/>
      <c r="AG131" s="20"/>
      <c r="AJ131" s="962" t="s">
        <v>837</v>
      </c>
    </row>
    <row r="132" spans="1:36" s="962" customFormat="1">
      <c r="A132" s="20"/>
      <c r="B132" s="20"/>
      <c r="C132" s="20"/>
      <c r="D132" s="20"/>
      <c r="E132" s="20"/>
      <c r="F132" s="20"/>
      <c r="G132" s="20"/>
      <c r="H132" s="20"/>
      <c r="I132" s="20"/>
      <c r="J132" s="20"/>
      <c r="K132" s="22"/>
      <c r="L132" s="22"/>
      <c r="M132" s="20"/>
      <c r="N132" s="20"/>
      <c r="O132" s="20"/>
      <c r="P132" s="20"/>
      <c r="Q132" s="20"/>
      <c r="R132" s="20"/>
      <c r="S132" s="20"/>
      <c r="T132" s="20"/>
      <c r="U132" s="20"/>
      <c r="V132" s="20"/>
      <c r="W132" s="20"/>
      <c r="X132" s="20"/>
      <c r="Y132" s="20"/>
      <c r="Z132" s="20"/>
      <c r="AA132" s="20"/>
      <c r="AB132" s="20"/>
      <c r="AC132" s="20"/>
      <c r="AD132" s="20"/>
      <c r="AE132" s="20"/>
      <c r="AF132" s="20"/>
      <c r="AG132" s="20"/>
    </row>
    <row r="133" spans="1:36" s="962" customFormat="1">
      <c r="A133" s="965" t="s">
        <v>838</v>
      </c>
      <c r="B133" s="966"/>
      <c r="C133" s="967">
        <v>3453</v>
      </c>
      <c r="D133" s="967">
        <v>4174</v>
      </c>
      <c r="E133" s="967">
        <v>407</v>
      </c>
      <c r="F133" s="967">
        <v>312</v>
      </c>
      <c r="G133" s="967">
        <v>222</v>
      </c>
      <c r="H133" s="967">
        <v>170</v>
      </c>
      <c r="I133" s="967">
        <v>144</v>
      </c>
      <c r="J133" s="967">
        <v>133</v>
      </c>
      <c r="K133" s="968">
        <v>167</v>
      </c>
      <c r="L133" s="968">
        <v>203</v>
      </c>
      <c r="M133" s="967">
        <v>236</v>
      </c>
      <c r="N133" s="967">
        <v>260</v>
      </c>
      <c r="O133" s="967"/>
      <c r="P133" s="967"/>
      <c r="Q133" s="967"/>
      <c r="R133" s="967"/>
      <c r="S133" s="967"/>
      <c r="T133" s="967"/>
      <c r="U133" s="967"/>
      <c r="V133" s="967"/>
      <c r="W133" s="967"/>
      <c r="X133" s="967"/>
      <c r="Y133" s="1057"/>
      <c r="Z133" s="20"/>
      <c r="AA133" s="20"/>
      <c r="AB133" s="20"/>
      <c r="AC133" s="20"/>
      <c r="AD133" s="20"/>
      <c r="AE133" s="20"/>
      <c r="AF133" s="20"/>
      <c r="AG133" s="20"/>
    </row>
    <row r="134" spans="1:36" s="962" customFormat="1" ht="15">
      <c r="A134" s="969" t="s">
        <v>839</v>
      </c>
      <c r="B134" s="970"/>
      <c r="C134" s="971">
        <f>C133+C115</f>
        <v>4078</v>
      </c>
      <c r="D134" s="971">
        <f t="shared" ref="D134:N134" si="40">D133+D115</f>
        <v>5788</v>
      </c>
      <c r="E134" s="971">
        <f t="shared" si="40"/>
        <v>4043</v>
      </c>
      <c r="F134" s="971">
        <f t="shared" si="40"/>
        <v>1695</v>
      </c>
      <c r="G134" s="971">
        <f t="shared" si="40"/>
        <v>793</v>
      </c>
      <c r="H134" s="971">
        <f t="shared" si="40"/>
        <v>621</v>
      </c>
      <c r="I134" s="971">
        <f t="shared" si="40"/>
        <v>219</v>
      </c>
      <c r="J134" s="971">
        <f t="shared" si="40"/>
        <v>285</v>
      </c>
      <c r="K134" s="971">
        <f t="shared" si="40"/>
        <v>-303</v>
      </c>
      <c r="L134" s="971">
        <f t="shared" si="40"/>
        <v>-132</v>
      </c>
      <c r="M134" s="971">
        <f t="shared" si="40"/>
        <v>379</v>
      </c>
      <c r="N134" s="971">
        <f t="shared" si="40"/>
        <v>347</v>
      </c>
      <c r="O134" s="971"/>
      <c r="P134" s="971"/>
      <c r="Q134" s="971"/>
      <c r="R134" s="971"/>
      <c r="S134" s="971"/>
      <c r="T134" s="971"/>
      <c r="U134" s="971"/>
      <c r="V134" s="971"/>
      <c r="W134" s="971"/>
      <c r="X134" s="971"/>
      <c r="Y134" s="1058"/>
      <c r="Z134" s="963"/>
      <c r="AA134" s="963"/>
      <c r="AB134" s="963"/>
      <c r="AC134" s="963"/>
      <c r="AD134" s="963"/>
      <c r="AE134" s="963"/>
      <c r="AF134" s="963"/>
      <c r="AG134" s="963"/>
    </row>
    <row r="135" spans="1:36" s="962" customFormat="1">
      <c r="A135" s="972" t="s">
        <v>840</v>
      </c>
      <c r="B135" s="973"/>
      <c r="C135" s="974">
        <f>C134/C104</f>
        <v>0.17980599647266313</v>
      </c>
      <c r="D135" s="974">
        <f t="shared" ref="D135:N135" si="41">D134/D104</f>
        <v>0.24524384559976273</v>
      </c>
      <c r="E135" s="974">
        <f t="shared" si="41"/>
        <v>0.2460143604721918</v>
      </c>
      <c r="F135" s="974">
        <f t="shared" si="41"/>
        <v>0.17361466762265698</v>
      </c>
      <c r="G135" s="974">
        <f t="shared" si="41"/>
        <v>0.1178131035507354</v>
      </c>
      <c r="H135" s="974">
        <f t="shared" si="41"/>
        <v>9.5907335907335911E-2</v>
      </c>
      <c r="I135" s="974">
        <f t="shared" si="41"/>
        <v>4.1690462592804109E-2</v>
      </c>
      <c r="J135" s="974">
        <f t="shared" si="41"/>
        <v>5.3480953274535559E-2</v>
      </c>
      <c r="K135" s="974">
        <f t="shared" si="41"/>
        <v>-7.0926966292134838E-2</v>
      </c>
      <c r="L135" s="974">
        <f t="shared" si="41"/>
        <v>-3.3074417439238286E-2</v>
      </c>
      <c r="M135" s="974">
        <f t="shared" si="41"/>
        <v>6.8833999273519797E-2</v>
      </c>
      <c r="N135" s="974">
        <f t="shared" si="41"/>
        <v>6.5484053595017924E-2</v>
      </c>
      <c r="O135" s="975"/>
      <c r="P135" s="975"/>
      <c r="Q135" s="975"/>
      <c r="R135" s="975"/>
      <c r="S135" s="975"/>
      <c r="T135" s="975"/>
      <c r="U135" s="975"/>
      <c r="V135" s="975"/>
      <c r="W135" s="975"/>
      <c r="X135" s="975"/>
      <c r="Y135" s="976"/>
      <c r="Z135" s="20"/>
      <c r="AA135" s="20"/>
      <c r="AB135" s="20"/>
      <c r="AC135" s="20"/>
      <c r="AD135" s="20"/>
      <c r="AE135" s="20"/>
      <c r="AF135" s="20"/>
      <c r="AG135" s="20"/>
    </row>
    <row r="136" spans="1:36" s="962" customFormat="1" ht="15">
      <c r="A136" s="977" t="s">
        <v>841</v>
      </c>
      <c r="B136" s="978"/>
      <c r="C136" s="979">
        <f>C134/D134-1</f>
        <v>-0.29543883897719414</v>
      </c>
      <c r="D136" s="979">
        <f t="shared" ref="D136:M136" si="42">D134/E134-1</f>
        <v>0.43161019045263416</v>
      </c>
      <c r="E136" s="979">
        <f t="shared" si="42"/>
        <v>1.3852507374631267</v>
      </c>
      <c r="F136" s="979">
        <f t="shared" si="42"/>
        <v>1.1374527112232031</v>
      </c>
      <c r="G136" s="979">
        <f t="shared" si="42"/>
        <v>0.27697262479871165</v>
      </c>
      <c r="H136" s="979">
        <f t="shared" si="42"/>
        <v>1.8356164383561642</v>
      </c>
      <c r="I136" s="979">
        <f t="shared" si="42"/>
        <v>-0.23157894736842111</v>
      </c>
      <c r="J136" s="979">
        <f t="shared" si="42"/>
        <v>-1.9405940594059405</v>
      </c>
      <c r="K136" s="979">
        <f t="shared" si="42"/>
        <v>1.2954545454545454</v>
      </c>
      <c r="L136" s="979">
        <f t="shared" si="42"/>
        <v>-1.3482849604221636</v>
      </c>
      <c r="M136" s="979">
        <f t="shared" si="42"/>
        <v>9.2219020172910726E-2</v>
      </c>
      <c r="N136" s="979"/>
      <c r="O136" s="980"/>
      <c r="P136" s="980"/>
      <c r="Q136" s="980"/>
      <c r="R136" s="980"/>
      <c r="S136" s="980"/>
      <c r="T136" s="980"/>
      <c r="U136" s="980"/>
      <c r="V136" s="980"/>
      <c r="W136" s="980"/>
      <c r="X136" s="980"/>
      <c r="Y136" s="981"/>
      <c r="Z136" s="20"/>
      <c r="AA136" s="20"/>
      <c r="AB136" s="20"/>
      <c r="AC136" s="20"/>
      <c r="AD136" s="20"/>
      <c r="AE136" s="20"/>
      <c r="AF136" s="20"/>
      <c r="AG136" s="20"/>
    </row>
    <row r="138" spans="1:36" ht="15">
      <c r="A138" s="977" t="s">
        <v>842</v>
      </c>
      <c r="B138" s="978"/>
      <c r="C138" s="979">
        <f t="shared" ref="C138:X138" si="43">C104/D104-1</f>
        <v>-3.9023770179229644E-2</v>
      </c>
      <c r="D138" s="979">
        <f t="shared" si="43"/>
        <v>0.43610806863818907</v>
      </c>
      <c r="E138" s="979">
        <f t="shared" si="43"/>
        <v>0.68329406944586712</v>
      </c>
      <c r="F138" s="979">
        <f t="shared" si="43"/>
        <v>0.45045312732134901</v>
      </c>
      <c r="G138" s="979">
        <f t="shared" si="43"/>
        <v>3.9536679536679609E-2</v>
      </c>
      <c r="H138" s="979">
        <f t="shared" si="43"/>
        <v>0.23262897391966497</v>
      </c>
      <c r="I138" s="979">
        <f t="shared" si="43"/>
        <v>-1.4261587539876164E-2</v>
      </c>
      <c r="J138" s="979">
        <f t="shared" si="43"/>
        <v>0.24742509363295873</v>
      </c>
      <c r="K138" s="979">
        <f t="shared" si="43"/>
        <v>7.0408418942620843E-2</v>
      </c>
      <c r="L138" s="979">
        <f t="shared" si="43"/>
        <v>-0.27515437704322554</v>
      </c>
      <c r="M138" s="979">
        <f t="shared" si="43"/>
        <v>3.9063974334780038E-2</v>
      </c>
      <c r="N138" s="979">
        <f t="shared" si="43"/>
        <v>-2.2685355957211328E-2</v>
      </c>
      <c r="O138" s="979">
        <f t="shared" si="43"/>
        <v>-0.17448233861144946</v>
      </c>
      <c r="P138" s="979">
        <f t="shared" si="43"/>
        <v>1.1395133969818394E-2</v>
      </c>
      <c r="Q138" s="979">
        <f t="shared" si="43"/>
        <v>0.20192485656116976</v>
      </c>
      <c r="R138" s="979">
        <f t="shared" si="43"/>
        <v>0</v>
      </c>
      <c r="S138" s="979">
        <f t="shared" si="43"/>
        <v>-6.973140495867769E-2</v>
      </c>
      <c r="T138" s="979">
        <f t="shared" si="43"/>
        <v>0</v>
      </c>
      <c r="U138" s="979">
        <f t="shared" si="43"/>
        <v>-8.5353362922498954E-3</v>
      </c>
      <c r="V138" s="979">
        <f t="shared" si="43"/>
        <v>0</v>
      </c>
      <c r="W138" s="979">
        <f t="shared" si="43"/>
        <v>-2.5777482122068873E-2</v>
      </c>
      <c r="X138" s="979">
        <f t="shared" si="43"/>
        <v>6.8597831881997529E-2</v>
      </c>
      <c r="Y138" s="985">
        <f>Y115/Y104</f>
        <v>7.0908121556779807E-2</v>
      </c>
    </row>
    <row r="139" spans="1:36">
      <c r="A139" s="982"/>
      <c r="B139" s="964"/>
      <c r="C139" s="983"/>
      <c r="D139" s="983"/>
      <c r="E139" s="983"/>
      <c r="F139" s="983"/>
      <c r="G139" s="983"/>
      <c r="H139" s="983"/>
      <c r="I139" s="983"/>
      <c r="J139" s="983"/>
      <c r="K139" s="983"/>
      <c r="L139" s="983"/>
      <c r="M139" s="983"/>
      <c r="N139" s="983"/>
      <c r="O139" s="983"/>
      <c r="P139" s="983"/>
      <c r="Q139" s="983"/>
      <c r="R139" s="983"/>
      <c r="S139" s="983"/>
      <c r="T139" s="983"/>
      <c r="U139" s="983"/>
      <c r="V139" s="983"/>
      <c r="W139" s="983"/>
      <c r="X139" s="983"/>
      <c r="Y139" s="984"/>
    </row>
    <row r="140" spans="1:36">
      <c r="A140" s="972" t="s">
        <v>843</v>
      </c>
      <c r="B140" s="973"/>
      <c r="C140" s="974">
        <f t="shared" ref="C140:Y140" si="44">C107/C104</f>
        <v>0.47257495590828924</v>
      </c>
      <c r="D140" s="974">
        <f t="shared" si="44"/>
        <v>0.4684123554086691</v>
      </c>
      <c r="E140" s="974">
        <f t="shared" si="44"/>
        <v>0.48247535596933189</v>
      </c>
      <c r="F140" s="974">
        <f t="shared" si="44"/>
        <v>0.44668646932295403</v>
      </c>
      <c r="G140" s="974">
        <f t="shared" si="44"/>
        <v>0.42608824840291187</v>
      </c>
      <c r="H140" s="974">
        <f t="shared" si="44"/>
        <v>0.37791505791505792</v>
      </c>
      <c r="I140" s="974">
        <f t="shared" si="44"/>
        <v>0.34018656006091758</v>
      </c>
      <c r="J140" s="974">
        <f t="shared" si="44"/>
        <v>0.34209044848939762</v>
      </c>
      <c r="K140" s="974">
        <f t="shared" si="44"/>
        <v>0.23361423220973782</v>
      </c>
      <c r="L140" s="974">
        <f t="shared" si="44"/>
        <v>0.27060886995740419</v>
      </c>
      <c r="M140" s="974">
        <f t="shared" si="44"/>
        <v>0.33399927351979658</v>
      </c>
      <c r="N140" s="974">
        <f t="shared" si="44"/>
        <v>0.37327797697678805</v>
      </c>
      <c r="O140" s="974">
        <f t="shared" si="44"/>
        <v>0.22777572851346367</v>
      </c>
      <c r="P140" s="974">
        <f t="shared" si="44"/>
        <v>0.4476248477466504</v>
      </c>
      <c r="Q140" s="974">
        <f t="shared" si="44"/>
        <v>0.45595934708962121</v>
      </c>
      <c r="R140" s="974">
        <f t="shared" si="44"/>
        <v>0.42050712567092358</v>
      </c>
      <c r="S140" s="974">
        <f t="shared" si="44"/>
        <v>0.42050712567092358</v>
      </c>
      <c r="T140" s="974">
        <f t="shared" si="44"/>
        <v>0.39944903581267216</v>
      </c>
      <c r="U140" s="974">
        <f t="shared" si="44"/>
        <v>0.39944903581267216</v>
      </c>
      <c r="V140" s="974">
        <f t="shared" si="44"/>
        <v>0.37367702287470128</v>
      </c>
      <c r="W140" s="974">
        <f t="shared" si="44"/>
        <v>0.37367702287470128</v>
      </c>
      <c r="X140" s="974">
        <f t="shared" si="44"/>
        <v>0.37618493264593383</v>
      </c>
      <c r="Y140" s="986">
        <f t="shared" si="44"/>
        <v>0.49653456548782654</v>
      </c>
    </row>
    <row r="141" spans="1:36" ht="15">
      <c r="A141" s="977" t="s">
        <v>844</v>
      </c>
      <c r="B141" s="978"/>
      <c r="C141" s="979">
        <f t="shared" ref="C141:X141" si="45">C107/D107-1</f>
        <v>-3.0483943916779777E-2</v>
      </c>
      <c r="D141" s="979">
        <f t="shared" si="45"/>
        <v>0.39424895951570194</v>
      </c>
      <c r="E141" s="979">
        <f t="shared" si="45"/>
        <v>0.81816097225407014</v>
      </c>
      <c r="F141" s="979">
        <f t="shared" si="45"/>
        <v>0.52057182705718263</v>
      </c>
      <c r="G141" s="979">
        <f t="shared" si="45"/>
        <v>0.17204740498569682</v>
      </c>
      <c r="H141" s="979">
        <f t="shared" si="45"/>
        <v>0.36933407946278685</v>
      </c>
      <c r="I141" s="979">
        <f t="shared" si="45"/>
        <v>-1.9747668678003261E-2</v>
      </c>
      <c r="J141" s="979">
        <f t="shared" si="45"/>
        <v>0.82665330661322645</v>
      </c>
      <c r="K141" s="979">
        <f t="shared" si="45"/>
        <v>-7.5925925925925952E-2</v>
      </c>
      <c r="L141" s="979">
        <f t="shared" si="45"/>
        <v>-0.41272430668841764</v>
      </c>
      <c r="M141" s="979">
        <f t="shared" si="45"/>
        <v>-7.0273003033367032E-2</v>
      </c>
      <c r="N141" s="979">
        <f t="shared" si="45"/>
        <v>0.60161943319838063</v>
      </c>
      <c r="O141" s="979">
        <f t="shared" si="45"/>
        <v>-0.57993197278911568</v>
      </c>
      <c r="P141" s="979">
        <f t="shared" si="45"/>
        <v>-7.0921985815602939E-3</v>
      </c>
      <c r="Q141" s="979">
        <f t="shared" si="45"/>
        <v>0.30325704225352124</v>
      </c>
      <c r="R141" s="979">
        <f t="shared" si="45"/>
        <v>0</v>
      </c>
      <c r="S141" s="979">
        <f t="shared" si="45"/>
        <v>-2.0689655172413834E-2</v>
      </c>
      <c r="T141" s="979">
        <f t="shared" si="45"/>
        <v>0</v>
      </c>
      <c r="U141" s="979">
        <f t="shared" si="45"/>
        <v>5.9844677935130264E-2</v>
      </c>
      <c r="V141" s="979">
        <f t="shared" si="45"/>
        <v>0</v>
      </c>
      <c r="W141" s="979">
        <f t="shared" si="45"/>
        <v>-3.2272325375773625E-2</v>
      </c>
      <c r="X141" s="979">
        <f t="shared" si="45"/>
        <v>-0.19040801717967071</v>
      </c>
      <c r="Y141" s="985"/>
    </row>
    <row r="142" spans="1:36">
      <c r="A142" s="982"/>
      <c r="B142" s="964"/>
      <c r="C142" s="983"/>
      <c r="D142" s="983"/>
      <c r="E142" s="983"/>
      <c r="F142" s="983"/>
      <c r="G142" s="983"/>
      <c r="H142" s="983"/>
      <c r="I142" s="983"/>
      <c r="J142" s="983"/>
      <c r="K142" s="983"/>
      <c r="L142" s="983"/>
      <c r="M142" s="983"/>
      <c r="N142" s="983"/>
      <c r="O142" s="983"/>
      <c r="P142" s="983"/>
      <c r="Q142" s="983"/>
      <c r="R142" s="983"/>
      <c r="S142" s="983"/>
      <c r="T142" s="983"/>
      <c r="U142" s="983"/>
      <c r="V142" s="983"/>
      <c r="W142" s="983"/>
      <c r="X142" s="983"/>
      <c r="Y142" s="984"/>
    </row>
    <row r="143" spans="1:36">
      <c r="A143" s="972" t="s">
        <v>240</v>
      </c>
      <c r="B143" s="973"/>
      <c r="C143" s="974">
        <f t="shared" ref="C143:X143" si="46">C115/C104</f>
        <v>2.7557319223985889E-2</v>
      </c>
      <c r="D143" s="974">
        <f t="shared" si="46"/>
        <v>6.8386932757086558E-2</v>
      </c>
      <c r="E143" s="974">
        <f t="shared" si="46"/>
        <v>0.2212486308871851</v>
      </c>
      <c r="F143" s="974">
        <f t="shared" si="46"/>
        <v>0.14165727747618559</v>
      </c>
      <c r="G143" s="974">
        <f t="shared" si="46"/>
        <v>8.483137720992423E-2</v>
      </c>
      <c r="H143" s="974">
        <f t="shared" si="46"/>
        <v>6.9652509652509659E-2</v>
      </c>
      <c r="I143" s="974">
        <f t="shared" si="46"/>
        <v>1.4277555682467162E-2</v>
      </c>
      <c r="J143" s="974">
        <f t="shared" si="46"/>
        <v>2.85231750797523E-2</v>
      </c>
      <c r="K143" s="974">
        <f t="shared" si="46"/>
        <v>-0.1100187265917603</v>
      </c>
      <c r="L143" s="974">
        <f t="shared" si="46"/>
        <v>-8.3938862440491105E-2</v>
      </c>
      <c r="M143" s="974">
        <f t="shared" si="46"/>
        <v>2.5971667272066835E-2</v>
      </c>
      <c r="N143" s="974">
        <f t="shared" si="46"/>
        <v>1.6418192111719191E-2</v>
      </c>
      <c r="O143" s="974">
        <f t="shared" si="46"/>
        <v>-0.17631870158613058</v>
      </c>
      <c r="P143" s="974">
        <f t="shared" si="46"/>
        <v>7.0950060901339831E-2</v>
      </c>
      <c r="Q143" s="974">
        <f t="shared" si="46"/>
        <v>8.6387434554973816E-2</v>
      </c>
      <c r="R143" s="974">
        <f t="shared" si="46"/>
        <v>-9.4947251526929483E-2</v>
      </c>
      <c r="S143" s="974">
        <f t="shared" si="46"/>
        <v>-9.4947251526929483E-2</v>
      </c>
      <c r="T143" s="974">
        <f t="shared" si="46"/>
        <v>-0.16683884297520662</v>
      </c>
      <c r="U143" s="974">
        <f t="shared" si="46"/>
        <v>-0.16683884297520662</v>
      </c>
      <c r="V143" s="974">
        <f t="shared" si="46"/>
        <v>-0.20109252304540798</v>
      </c>
      <c r="W143" s="974">
        <f t="shared" si="46"/>
        <v>-0.20109252304540798</v>
      </c>
      <c r="X143" s="974">
        <f t="shared" si="46"/>
        <v>-0.20904706469316481</v>
      </c>
      <c r="Y143" s="986"/>
    </row>
    <row r="144" spans="1:36" ht="15">
      <c r="A144" s="977" t="s">
        <v>845</v>
      </c>
      <c r="B144" s="978"/>
      <c r="C144" s="979">
        <f t="shared" ref="C144:X144" si="47">C115/D115-1</f>
        <v>-0.61276332094175956</v>
      </c>
      <c r="D144" s="979">
        <f t="shared" si="47"/>
        <v>-0.55610561056105612</v>
      </c>
      <c r="E144" s="979">
        <f t="shared" si="47"/>
        <v>1.6290672451193058</v>
      </c>
      <c r="F144" s="979">
        <f t="shared" si="47"/>
        <v>1.4220665499124343</v>
      </c>
      <c r="G144" s="979">
        <f t="shared" si="47"/>
        <v>0.26607538802660757</v>
      </c>
      <c r="H144" s="979">
        <f t="shared" si="47"/>
        <v>5.0133333333333336</v>
      </c>
      <c r="I144" s="979">
        <f t="shared" si="47"/>
        <v>-0.50657894736842102</v>
      </c>
      <c r="J144" s="979">
        <f t="shared" si="47"/>
        <v>-1.323404255319149</v>
      </c>
      <c r="K144" s="979">
        <f t="shared" si="47"/>
        <v>0.40298507462686572</v>
      </c>
      <c r="L144" s="979">
        <f t="shared" si="47"/>
        <v>-3.3426573426573425</v>
      </c>
      <c r="M144" s="979">
        <f t="shared" si="47"/>
        <v>0.64367816091954033</v>
      </c>
      <c r="N144" s="979">
        <f t="shared" si="47"/>
        <v>-1.0910041841004183</v>
      </c>
      <c r="O144" s="979">
        <f t="shared" si="47"/>
        <v>-3.0515021459227469</v>
      </c>
      <c r="P144" s="979">
        <f t="shared" si="47"/>
        <v>-0.16934046345811049</v>
      </c>
      <c r="Q144" s="979">
        <f t="shared" si="47"/>
        <v>-2.0935672514619883</v>
      </c>
      <c r="R144" s="979">
        <f t="shared" si="47"/>
        <v>0</v>
      </c>
      <c r="S144" s="979">
        <f t="shared" si="47"/>
        <v>-0.47058823529411764</v>
      </c>
      <c r="T144" s="979">
        <f t="shared" si="47"/>
        <v>0</v>
      </c>
      <c r="U144" s="979">
        <f t="shared" si="47"/>
        <v>-0.17741935483870963</v>
      </c>
      <c r="V144" s="979">
        <f t="shared" si="47"/>
        <v>0</v>
      </c>
      <c r="W144" s="979">
        <f t="shared" si="47"/>
        <v>-6.2848050914876663E-2</v>
      </c>
      <c r="X144" s="979">
        <f t="shared" si="47"/>
        <v>-4.1503759398496243</v>
      </c>
      <c r="Y144" s="985"/>
    </row>
    <row r="145" spans="1:25">
      <c r="A145" s="982"/>
      <c r="B145" s="964"/>
      <c r="C145" s="983"/>
      <c r="D145" s="983"/>
      <c r="E145" s="983"/>
      <c r="F145" s="983"/>
      <c r="G145" s="983"/>
      <c r="H145" s="983"/>
      <c r="I145" s="983"/>
      <c r="J145" s="983"/>
      <c r="K145" s="370"/>
      <c r="L145" s="370"/>
      <c r="M145" s="983"/>
      <c r="N145" s="983"/>
      <c r="O145" s="983"/>
      <c r="P145" s="983"/>
      <c r="Q145" s="983"/>
      <c r="R145" s="983"/>
      <c r="S145" s="983"/>
      <c r="T145" s="983"/>
      <c r="U145" s="983"/>
      <c r="V145" s="983"/>
      <c r="W145" s="983"/>
      <c r="X145" s="983"/>
      <c r="Y145" s="984"/>
    </row>
    <row r="146" spans="1:25">
      <c r="A146" s="972" t="s">
        <v>846</v>
      </c>
      <c r="B146" s="973"/>
      <c r="C146" s="974">
        <f t="shared" ref="C146:Y146" si="48">C128/C104</f>
        <v>3.1569664902998236E-2</v>
      </c>
      <c r="D146" s="974">
        <f t="shared" si="48"/>
        <v>6.4997245879411886E-2</v>
      </c>
      <c r="E146" s="974">
        <f t="shared" si="48"/>
        <v>0.22295241572350005</v>
      </c>
      <c r="F146" s="974">
        <f t="shared" si="48"/>
        <v>0.13756017617535593</v>
      </c>
      <c r="G146" s="974">
        <f t="shared" si="48"/>
        <v>7.4283167434259403E-2</v>
      </c>
      <c r="H146" s="974">
        <f t="shared" si="48"/>
        <v>5.2818532818532819E-2</v>
      </c>
      <c r="I146" s="974">
        <f t="shared" si="48"/>
        <v>-9.1376356367789836E-3</v>
      </c>
      <c r="J146" s="974">
        <f t="shared" si="48"/>
        <v>5.4419215612685305E-3</v>
      </c>
      <c r="K146" s="974">
        <f t="shared" si="48"/>
        <v>-0.11189138576779026</v>
      </c>
      <c r="L146" s="974">
        <f t="shared" si="48"/>
        <v>-0.12954146830368329</v>
      </c>
      <c r="M146" s="974">
        <f t="shared" si="48"/>
        <v>-5.9934616781692701E-3</v>
      </c>
      <c r="N146" s="974">
        <f t="shared" si="48"/>
        <v>-1.7173051519154558E-2</v>
      </c>
      <c r="O146" s="974">
        <f t="shared" si="48"/>
        <v>-0.2052748063445223</v>
      </c>
      <c r="P146" s="974">
        <f t="shared" si="48"/>
        <v>4.8264311814859927E-2</v>
      </c>
      <c r="Q146" s="974">
        <f t="shared" si="48"/>
        <v>5.8977517708654142E-2</v>
      </c>
      <c r="R146" s="974">
        <f t="shared" si="48"/>
        <v>-0.17823431426985009</v>
      </c>
      <c r="S146" s="974">
        <f t="shared" si="48"/>
        <v>-0.17971497316305757</v>
      </c>
      <c r="T146" s="974">
        <f t="shared" si="48"/>
        <v>-0.23037190082644629</v>
      </c>
      <c r="U146" s="974">
        <f t="shared" si="48"/>
        <v>-0.23415977961432508</v>
      </c>
      <c r="V146" s="974">
        <f t="shared" si="48"/>
        <v>-0.26203482417207236</v>
      </c>
      <c r="W146" s="974">
        <f t="shared" si="48"/>
        <v>-0.28490952543530212</v>
      </c>
      <c r="X146" s="974">
        <f t="shared" si="48"/>
        <v>-2.0621985697655082E-2</v>
      </c>
      <c r="Y146" s="986">
        <f t="shared" si="48"/>
        <v>5.384752088146437E-2</v>
      </c>
    </row>
    <row r="147" spans="1:25" ht="15">
      <c r="A147" s="977" t="s">
        <v>847</v>
      </c>
      <c r="B147" s="978"/>
      <c r="C147" s="979">
        <f t="shared" ref="C147:X147" si="49">C128/C104-1</f>
        <v>-0.96843033509700172</v>
      </c>
      <c r="D147" s="979">
        <f t="shared" si="49"/>
        <v>-0.93500275412058809</v>
      </c>
      <c r="E147" s="979">
        <f t="shared" si="49"/>
        <v>-0.77704758427649989</v>
      </c>
      <c r="F147" s="979">
        <f t="shared" si="49"/>
        <v>-0.86243982382464401</v>
      </c>
      <c r="G147" s="979">
        <f t="shared" si="49"/>
        <v>-0.92571683256574055</v>
      </c>
      <c r="H147" s="979">
        <f t="shared" si="49"/>
        <v>-0.94718146718146723</v>
      </c>
      <c r="I147" s="979">
        <f t="shared" si="49"/>
        <v>-1.0091376356367789</v>
      </c>
      <c r="J147" s="979">
        <f t="shared" si="49"/>
        <v>-0.99455807843873145</v>
      </c>
      <c r="K147" s="979">
        <f t="shared" si="49"/>
        <v>-1.1118913857677903</v>
      </c>
      <c r="L147" s="979">
        <f t="shared" si="49"/>
        <v>-1.1295414683036833</v>
      </c>
      <c r="M147" s="979">
        <f t="shared" si="49"/>
        <v>-1.0059934616781692</v>
      </c>
      <c r="N147" s="979">
        <f t="shared" si="49"/>
        <v>-1.0171730515191546</v>
      </c>
      <c r="O147" s="979">
        <f t="shared" si="49"/>
        <v>-1.2052748063445222</v>
      </c>
      <c r="P147" s="979">
        <f t="shared" si="49"/>
        <v>-0.95173568818514009</v>
      </c>
      <c r="Q147" s="979">
        <f t="shared" si="49"/>
        <v>-0.94102248229134589</v>
      </c>
      <c r="R147" s="979">
        <f t="shared" si="49"/>
        <v>-1.1782343142698501</v>
      </c>
      <c r="S147" s="979">
        <f t="shared" si="49"/>
        <v>-1.1797149731630576</v>
      </c>
      <c r="T147" s="979">
        <f t="shared" si="49"/>
        <v>-1.2303719008264462</v>
      </c>
      <c r="U147" s="979">
        <f t="shared" si="49"/>
        <v>-1.2341597796143251</v>
      </c>
      <c r="V147" s="979">
        <f t="shared" si="49"/>
        <v>-1.2620348241720722</v>
      </c>
      <c r="W147" s="979">
        <f t="shared" si="49"/>
        <v>-1.2849095254353022</v>
      </c>
      <c r="X147" s="979">
        <f t="shared" si="49"/>
        <v>-1.0206219856976551</v>
      </c>
      <c r="Y147" s="985"/>
    </row>
    <row r="148" spans="1:25">
      <c r="A148" s="982"/>
      <c r="B148" s="964"/>
      <c r="C148" s="983"/>
      <c r="D148" s="983"/>
      <c r="E148" s="983"/>
      <c r="F148" s="983"/>
      <c r="G148" s="983"/>
      <c r="H148" s="983"/>
      <c r="I148" s="983"/>
      <c r="J148" s="983"/>
      <c r="K148" s="370"/>
      <c r="L148" s="370"/>
      <c r="M148" s="983"/>
      <c r="N148" s="983"/>
      <c r="O148" s="983"/>
      <c r="P148" s="983"/>
      <c r="Q148" s="983"/>
      <c r="R148" s="983"/>
      <c r="S148" s="983"/>
      <c r="T148" s="983"/>
      <c r="U148" s="983"/>
      <c r="V148" s="983"/>
      <c r="W148" s="983"/>
      <c r="X148" s="983"/>
      <c r="Y148" s="984"/>
    </row>
    <row r="149" spans="1:25">
      <c r="A149" s="972" t="s">
        <v>174</v>
      </c>
      <c r="B149" s="973"/>
      <c r="C149" s="974">
        <f t="shared" ref="C149:Y149" si="50">C131/C104</f>
        <v>4.3386243386243389E-2</v>
      </c>
      <c r="D149" s="974">
        <f t="shared" si="50"/>
        <v>6.4997245879411886E-2</v>
      </c>
      <c r="E149" s="974">
        <f t="shared" si="50"/>
        <v>0.19179749300231227</v>
      </c>
      <c r="F149" s="974">
        <f t="shared" si="50"/>
        <v>0.25903922974495547</v>
      </c>
      <c r="G149" s="974">
        <f t="shared" si="50"/>
        <v>6.5517753677016788E-2</v>
      </c>
      <c r="H149" s="974">
        <f t="shared" si="50"/>
        <v>5.5598455598455596E-2</v>
      </c>
      <c r="I149" s="974">
        <f t="shared" si="50"/>
        <v>-0.22501427755568246</v>
      </c>
      <c r="J149" s="974">
        <f t="shared" si="50"/>
        <v>-0.20754362919872396</v>
      </c>
      <c r="K149" s="974">
        <f t="shared" si="50"/>
        <v>-0.11867977528089887</v>
      </c>
      <c r="L149" s="974">
        <f t="shared" si="50"/>
        <v>-0.14432473064394888</v>
      </c>
      <c r="M149" s="974">
        <f t="shared" si="50"/>
        <v>-3.0148928441699963E-2</v>
      </c>
      <c r="N149" s="974">
        <f t="shared" si="50"/>
        <v>-1.7739196074731081E-2</v>
      </c>
      <c r="O149" s="974">
        <f t="shared" si="50"/>
        <v>-0.20564367392106234</v>
      </c>
      <c r="P149" s="974">
        <f t="shared" si="50"/>
        <v>3.1973203410475028E-2</v>
      </c>
      <c r="Q149" s="974">
        <f t="shared" si="50"/>
        <v>5.6667693255312596E-2</v>
      </c>
      <c r="R149" s="974">
        <f t="shared" si="50"/>
        <v>-0.11012400518230613</v>
      </c>
      <c r="S149" s="974">
        <f t="shared" si="50"/>
        <v>-0.1110494169905608</v>
      </c>
      <c r="T149" s="974">
        <f t="shared" si="50"/>
        <v>-0.30268595041322316</v>
      </c>
      <c r="U149" s="974">
        <f t="shared" si="50"/>
        <v>-0.30526859504132231</v>
      </c>
      <c r="V149" s="974">
        <f t="shared" si="50"/>
        <v>-0.34107203823830656</v>
      </c>
      <c r="W149" s="974">
        <f t="shared" si="50"/>
        <v>-0.35711847046773643</v>
      </c>
      <c r="X149" s="974">
        <f t="shared" si="50"/>
        <v>-0.1169133543988026</v>
      </c>
      <c r="Y149" s="986">
        <f t="shared" si="50"/>
        <v>4.9760085303003375E-2</v>
      </c>
    </row>
    <row r="150" spans="1:25" ht="15">
      <c r="A150" s="987" t="s">
        <v>848</v>
      </c>
      <c r="B150" s="988"/>
      <c r="C150" s="989">
        <f>C131/D131-1</f>
        <v>-0.35853976531942633</v>
      </c>
      <c r="D150" s="989">
        <f>D131/E131-1</f>
        <v>-0.5133248730964467</v>
      </c>
      <c r="E150" s="989">
        <f>E131/F131-1</f>
        <v>0.24634242783708982</v>
      </c>
      <c r="F150" s="989">
        <f>F131/G131-1</f>
        <v>4.7346938775510203</v>
      </c>
      <c r="G150" s="989">
        <f>G131/H131-1</f>
        <v>0.22500000000000009</v>
      </c>
      <c r="H150" s="989">
        <f>H131/I131-1</f>
        <v>-1.3045685279187818</v>
      </c>
      <c r="I150" s="989">
        <f>I131/J131-1</f>
        <v>6.8716094032549746E-2</v>
      </c>
      <c r="J150" s="989">
        <f>J131/K131-1</f>
        <v>1.1814595660749507</v>
      </c>
      <c r="K150" s="989">
        <f>K131/L131-1</f>
        <v>-0.11979166666666663</v>
      </c>
      <c r="L150" s="989">
        <f>L131/M131-1</f>
        <v>2.4698795180722892</v>
      </c>
      <c r="M150" s="989">
        <f>M131/N131-1</f>
        <v>0.76595744680851063</v>
      </c>
      <c r="N150" s="989">
        <f>N131/O131-1</f>
        <v>-0.91569506726457395</v>
      </c>
      <c r="O150" s="989">
        <f>O131/P131-1</f>
        <v>-6.3095238095238093</v>
      </c>
      <c r="P150" s="989">
        <f>P131/Q131-1</f>
        <v>-0.42934782608695654</v>
      </c>
      <c r="Q150" s="989">
        <f>Q131/R131-1</f>
        <v>-1.6184873949579832</v>
      </c>
      <c r="R150" s="989">
        <f>R131/S131-1</f>
        <v>-8.3333333333333037E-3</v>
      </c>
      <c r="S150" s="989">
        <f>S131/T131-1</f>
        <v>-0.65870307167235498</v>
      </c>
      <c r="T150" s="989">
        <f>T131/U131-1</f>
        <v>-8.4602368866327771E-3</v>
      </c>
      <c r="U150" s="989">
        <f>U131/V131-1</f>
        <v>-0.11261261261261257</v>
      </c>
      <c r="V150" s="989">
        <f>V131/W131-1</f>
        <v>-4.4933078393881498E-2</v>
      </c>
      <c r="W150" s="989">
        <f>W131/X131-1</f>
        <v>1.9758179231863444</v>
      </c>
      <c r="X150" s="989">
        <f>X131/Y131-1</f>
        <v>-3.5107142857142857</v>
      </c>
      <c r="Y150" s="990">
        <f>Y131/Z122-1</f>
        <v>7.194244604316502E-3</v>
      </c>
    </row>
  </sheetData>
  <mergeCells count="3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25:B125"/>
    <mergeCell ref="A126:B126"/>
    <mergeCell ref="A129:B129"/>
    <mergeCell ref="A130:B130"/>
    <mergeCell ref="A131:B131"/>
  </mergeCells>
  <pageMargins left="0.75" right="0.75" top="1" bottom="1" header="0" footer="0"/>
  <pageSetup orientation="portrait" horizontalDpi="4294967292"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0a55209b67e2c3a7f46b591ce13950e9">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49ccb1ab76a2e6c178c18d1b3ea34b2"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857E6E23-C615-46A8-8F50-9C8F98B1D526}"/>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Maria Pilar Barrocal Fortunato</cp:lastModifiedBy>
  <cp:revision/>
  <dcterms:created xsi:type="dcterms:W3CDTF">2000-04-19T14:51:26Z</dcterms:created>
  <dcterms:modified xsi:type="dcterms:W3CDTF">2024-04-20T11:24:25Z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