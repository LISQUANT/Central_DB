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hdisegutl.sharepoint.com/sites/LIS-GENERAL-SecuritiesResearch/Shared Documents/Securities Research/One Pagers/24-25/Team 2 (Rosario La Spina)/Bloomberg/"/>
    </mc:Choice>
  </mc:AlternateContent>
  <xr:revisionPtr revIDLastSave="187" documentId="11_B2012B7878660FD00EF37D386E538C06F5D48D29" xr6:coauthVersionLast="47" xr6:coauthVersionMax="47" xr10:uidLastSave="{A04F822C-D245-4066-AB02-0866A8C663A8}"/>
  <bookViews>
    <workbookView xWindow="-98" yWindow="-98" windowWidth="24196" windowHeight="14476" firstSheet="1" activeTab="1" xr2:uid="{00000000-000D-0000-FFFF-FFFF00000000}"/>
  </bookViews>
  <sheets>
    <sheet name="GAAP Highlights" sheetId="4" r:id="rId1"/>
    <sheet name="Income - GAAP" sheetId="5" r:id="rId2"/>
    <sheet name="Bal Sheet - Standardized" sheetId="6" r:id="rId3"/>
    <sheet name="Cash Flow - Standardized" sheetId="7" r:id="rId4"/>
    <sheet name="Profitability" sheetId="8" r:id="rId5"/>
    <sheet name="ESG Ratios" sheetId="9" r:id="rId6"/>
    <sheet name="By Measure" sheetId="10" r:id="rId7"/>
    <sheet name="By Geography" sheetId="11" r:id="rId8"/>
    <sheet name="By Segment" sheetId="12" r:id="rId9"/>
    <sheet name="Environmental" sheetId="13" r:id="rId10"/>
    <sheet name="Social" sheetId="14" r:id="rId11"/>
    <sheet name="Governance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" l="1"/>
  <c r="D6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T24" i="7"/>
  <c r="U24" i="7"/>
  <c r="V24" i="7"/>
  <c r="W24" i="7"/>
  <c r="X24" i="7"/>
  <c r="Y24" i="7"/>
  <c r="Z24" i="7"/>
  <c r="AA24" i="7"/>
  <c r="AB24" i="7"/>
  <c r="S24" i="7"/>
  <c r="T8" i="7"/>
  <c r="U8" i="7"/>
  <c r="V8" i="7"/>
  <c r="W8" i="7"/>
  <c r="X8" i="7"/>
  <c r="Y8" i="7"/>
  <c r="Z8" i="7"/>
  <c r="AA8" i="7"/>
  <c r="AB8" i="7"/>
  <c r="S8" i="7"/>
  <c r="T17" i="7"/>
  <c r="U17" i="7"/>
  <c r="V17" i="7"/>
  <c r="W17" i="7"/>
  <c r="X17" i="7"/>
  <c r="Y17" i="7"/>
  <c r="Z17" i="7"/>
  <c r="AA17" i="7"/>
  <c r="AB17" i="7"/>
  <c r="S17" i="7"/>
  <c r="AC17" i="7" s="1"/>
  <c r="T8" i="5"/>
  <c r="U8" i="5"/>
  <c r="V8" i="5"/>
  <c r="W8" i="5"/>
  <c r="X8" i="5"/>
  <c r="Y8" i="5"/>
  <c r="Z8" i="5"/>
  <c r="AA8" i="5"/>
  <c r="AB8" i="5"/>
  <c r="S8" i="5"/>
  <c r="AA49" i="6"/>
  <c r="X47" i="6"/>
  <c r="X49" i="6" s="1"/>
  <c r="Y47" i="6"/>
  <c r="Y49" i="6" s="1"/>
  <c r="Z47" i="6"/>
  <c r="Z49" i="6" s="1"/>
  <c r="AA47" i="6"/>
  <c r="AB47" i="6"/>
  <c r="AB49" i="6" s="1"/>
  <c r="T47" i="6"/>
  <c r="U47" i="6"/>
  <c r="V47" i="6"/>
  <c r="W47" i="6"/>
  <c r="S47" i="6"/>
  <c r="T25" i="5"/>
  <c r="U25" i="5"/>
  <c r="V25" i="5"/>
  <c r="W25" i="5"/>
  <c r="X25" i="5"/>
  <c r="Y25" i="5"/>
  <c r="Z25" i="5"/>
  <c r="AA25" i="5"/>
  <c r="AB25" i="5"/>
  <c r="S25" i="5"/>
  <c r="T12" i="7"/>
  <c r="U12" i="7"/>
  <c r="V12" i="7"/>
  <c r="W12" i="7"/>
  <c r="X12" i="7"/>
  <c r="Y12" i="7"/>
  <c r="Z12" i="7"/>
  <c r="AA12" i="7"/>
  <c r="AB12" i="7"/>
  <c r="S12" i="7"/>
  <c r="T30" i="5"/>
  <c r="U30" i="5"/>
  <c r="V30" i="5"/>
  <c r="W30" i="5"/>
  <c r="X30" i="5"/>
  <c r="Y30" i="5"/>
  <c r="Z30" i="5"/>
  <c r="AA30" i="5"/>
  <c r="AB30" i="5"/>
  <c r="S30" i="5"/>
  <c r="V36" i="6"/>
  <c r="X36" i="6"/>
  <c r="Y36" i="6"/>
  <c r="Z36" i="6"/>
  <c r="AA36" i="6"/>
  <c r="AB36" i="6"/>
  <c r="S36" i="6"/>
  <c r="T34" i="6"/>
  <c r="T36" i="6" s="1"/>
  <c r="U34" i="6"/>
  <c r="U36" i="6" s="1"/>
  <c r="V34" i="6"/>
  <c r="W34" i="6"/>
  <c r="W36" i="6" s="1"/>
  <c r="X34" i="6"/>
  <c r="Y34" i="6"/>
  <c r="Z34" i="6"/>
  <c r="AA34" i="6"/>
  <c r="AB34" i="6"/>
  <c r="S34" i="6"/>
  <c r="T27" i="6"/>
  <c r="U27" i="6"/>
  <c r="V27" i="6"/>
  <c r="W27" i="6"/>
  <c r="X27" i="6"/>
  <c r="Y27" i="6"/>
  <c r="Z27" i="6"/>
  <c r="AA27" i="6"/>
  <c r="S27" i="6"/>
  <c r="T58" i="6"/>
  <c r="U58" i="6"/>
  <c r="V58" i="6"/>
  <c r="S58" i="6"/>
  <c r="W31" i="6"/>
  <c r="T31" i="6"/>
  <c r="U31" i="6"/>
  <c r="V31" i="6"/>
  <c r="S31" i="6"/>
  <c r="R71" i="5"/>
  <c r="U23" i="6"/>
  <c r="V23" i="6"/>
  <c r="W23" i="6"/>
  <c r="X23" i="6"/>
  <c r="Y23" i="6"/>
  <c r="Z23" i="6"/>
  <c r="AA23" i="6"/>
  <c r="AB23" i="6"/>
  <c r="AC23" i="6"/>
  <c r="AD23" i="6"/>
  <c r="AE23" i="6"/>
  <c r="T23" i="6"/>
  <c r="C34" i="13"/>
  <c r="C57" i="15"/>
  <c r="C66" i="15"/>
  <c r="C106" i="14"/>
  <c r="O33" i="13"/>
  <c r="O7" i="13"/>
  <c r="O25" i="13"/>
  <c r="O105" i="14"/>
  <c r="O65" i="15"/>
  <c r="O104" i="14"/>
  <c r="O102" i="14"/>
  <c r="O90" i="15"/>
  <c r="O129" i="15"/>
  <c r="O36" i="13"/>
  <c r="O15" i="14"/>
  <c r="O22" i="14"/>
  <c r="O30" i="15"/>
  <c r="O20" i="9"/>
  <c r="D32" i="9"/>
  <c r="D66" i="15"/>
  <c r="D100" i="14"/>
  <c r="D7" i="15"/>
  <c r="D19" i="9"/>
  <c r="E19" i="9"/>
  <c r="E50" i="15"/>
  <c r="E55" i="13"/>
  <c r="E45" i="15"/>
  <c r="E53" i="15"/>
  <c r="E41" i="9"/>
  <c r="N129" i="15"/>
  <c r="N24" i="13"/>
  <c r="N90" i="15"/>
  <c r="N33" i="13"/>
  <c r="N28" i="13"/>
  <c r="N30" i="15"/>
  <c r="N7" i="13"/>
  <c r="N103" i="15"/>
  <c r="N105" i="14"/>
  <c r="N15" i="14"/>
  <c r="N22" i="14"/>
  <c r="N36" i="13"/>
  <c r="N25" i="13"/>
  <c r="N57" i="13"/>
  <c r="C14" i="9"/>
  <c r="C25" i="9"/>
  <c r="M21" i="9"/>
  <c r="M103" i="15"/>
  <c r="M7" i="13"/>
  <c r="M129" i="15"/>
  <c r="M136" i="15"/>
  <c r="M22" i="14"/>
  <c r="M30" i="15"/>
  <c r="M90" i="15"/>
  <c r="M31" i="9"/>
  <c r="M24" i="13"/>
  <c r="M26" i="13"/>
  <c r="H117" i="14"/>
  <c r="H101" i="14"/>
  <c r="H43" i="13"/>
  <c r="H47" i="13"/>
  <c r="H13" i="15"/>
  <c r="H55" i="13"/>
  <c r="H29" i="13"/>
  <c r="H88" i="15"/>
  <c r="H58" i="13"/>
  <c r="J23" i="14"/>
  <c r="J142" i="14"/>
  <c r="J45" i="15"/>
  <c r="J38" i="15"/>
  <c r="J30" i="15"/>
  <c r="J21" i="9"/>
  <c r="J82" i="15"/>
  <c r="J7" i="15"/>
  <c r="J59" i="13"/>
  <c r="J117" i="14"/>
  <c r="K70" i="15"/>
  <c r="K23" i="14"/>
  <c r="K36" i="15"/>
  <c r="K50" i="15"/>
  <c r="K54" i="13"/>
  <c r="K38" i="15"/>
  <c r="K16" i="14"/>
  <c r="K10" i="14"/>
  <c r="K9" i="9"/>
  <c r="K21" i="9"/>
  <c r="K82" i="15"/>
  <c r="K32" i="9"/>
  <c r="L137" i="15"/>
  <c r="L132" i="15"/>
  <c r="L70" i="15"/>
  <c r="L10" i="14"/>
  <c r="L9" i="9"/>
  <c r="L82" i="15"/>
  <c r="L35" i="13"/>
  <c r="L23" i="14"/>
  <c r="L38" i="15"/>
  <c r="L25" i="14"/>
  <c r="L36" i="15"/>
  <c r="L21" i="9"/>
  <c r="I33" i="13"/>
  <c r="I82" i="15"/>
  <c r="I7" i="9"/>
  <c r="I117" i="14"/>
  <c r="I47" i="13"/>
  <c r="I88" i="15"/>
  <c r="I13" i="15"/>
  <c r="I56" i="13"/>
  <c r="I45" i="13"/>
  <c r="I19" i="15"/>
  <c r="Q47" i="15"/>
  <c r="Q66" i="15"/>
  <c r="Q45" i="15"/>
  <c r="Q100" i="14"/>
  <c r="Q138" i="15"/>
  <c r="Q76" i="15"/>
  <c r="Q22" i="9"/>
  <c r="Q10" i="15"/>
  <c r="Q10" i="9"/>
  <c r="F143" i="14"/>
  <c r="P102" i="14"/>
  <c r="P60" i="15"/>
  <c r="P100" i="14"/>
  <c r="P43" i="15"/>
  <c r="P117" i="14"/>
  <c r="P15" i="14"/>
  <c r="P39" i="15"/>
  <c r="P36" i="13"/>
  <c r="P34" i="15"/>
  <c r="P26" i="9"/>
  <c r="G19" i="15"/>
  <c r="G55" i="13"/>
  <c r="G43" i="13"/>
  <c r="G140" i="15"/>
  <c r="G22" i="14"/>
  <c r="G53" i="13"/>
  <c r="G91" i="15"/>
  <c r="G13" i="14"/>
  <c r="M15" i="9"/>
  <c r="M44" i="9"/>
  <c r="M16" i="9"/>
  <c r="E78" i="15"/>
  <c r="E60" i="9"/>
  <c r="E106" i="14"/>
  <c r="E34" i="13"/>
  <c r="E140" i="15"/>
  <c r="E57" i="13"/>
  <c r="E100" i="14"/>
  <c r="E143" i="15"/>
  <c r="E58" i="13"/>
  <c r="E47" i="13"/>
  <c r="E7" i="14"/>
  <c r="E144" i="15"/>
  <c r="E108" i="14"/>
  <c r="E21" i="15"/>
  <c r="E69" i="15"/>
  <c r="E57" i="15"/>
  <c r="E7" i="15"/>
  <c r="E18" i="9"/>
  <c r="E110" i="14"/>
  <c r="C136" i="15"/>
  <c r="C43" i="13"/>
  <c r="C32" i="13"/>
  <c r="C27" i="13"/>
  <c r="C17" i="9"/>
  <c r="C50" i="15"/>
  <c r="C26" i="13"/>
  <c r="C71" i="15"/>
  <c r="C59" i="9"/>
  <c r="C61" i="15"/>
  <c r="C13" i="14"/>
  <c r="C42" i="13"/>
  <c r="C119" i="15"/>
  <c r="C53" i="15"/>
  <c r="C131" i="15"/>
  <c r="C145" i="15"/>
  <c r="C38" i="14"/>
  <c r="C36" i="13"/>
  <c r="F19" i="15"/>
  <c r="F57" i="15"/>
  <c r="F19" i="9"/>
  <c r="F140" i="15"/>
  <c r="F18" i="9"/>
  <c r="F115" i="14"/>
  <c r="F55" i="13"/>
  <c r="F91" i="15"/>
  <c r="N42" i="9"/>
  <c r="N44" i="9"/>
  <c r="N25" i="9"/>
  <c r="D28" i="13"/>
  <c r="D58" i="13"/>
  <c r="D69" i="15"/>
  <c r="D106" i="14"/>
  <c r="D61" i="15"/>
  <c r="D57" i="13"/>
  <c r="D27" i="13"/>
  <c r="D47" i="13"/>
  <c r="D34" i="13"/>
  <c r="D53" i="15"/>
  <c r="D50" i="15"/>
  <c r="D32" i="13"/>
  <c r="D136" i="15"/>
  <c r="D144" i="15"/>
  <c r="D41" i="9"/>
  <c r="D51" i="13"/>
  <c r="D57" i="15"/>
  <c r="M33" i="13"/>
  <c r="M81" i="15"/>
  <c r="M38" i="15"/>
  <c r="M17" i="9"/>
  <c r="M14" i="14"/>
  <c r="M32" i="9"/>
  <c r="M140" i="15"/>
  <c r="M119" i="15"/>
  <c r="M46" i="15"/>
  <c r="M91" i="15"/>
  <c r="M105" i="15"/>
  <c r="M25" i="14"/>
  <c r="M141" i="15"/>
  <c r="O67" i="14"/>
  <c r="O28" i="13"/>
  <c r="O43" i="15"/>
  <c r="O110" i="14"/>
  <c r="O105" i="15"/>
  <c r="O38" i="15"/>
  <c r="O103" i="15"/>
  <c r="O114" i="14"/>
  <c r="O24" i="13"/>
  <c r="O8" i="9"/>
  <c r="O10" i="13"/>
  <c r="O100" i="14"/>
  <c r="O24" i="14"/>
  <c r="O43" i="13"/>
  <c r="G42" i="9"/>
  <c r="J47" i="13"/>
  <c r="J45" i="13"/>
  <c r="J70" i="15"/>
  <c r="J114" i="14"/>
  <c r="J7" i="9"/>
  <c r="J19" i="15"/>
  <c r="J132" i="15"/>
  <c r="J76" i="15"/>
  <c r="J104" i="15"/>
  <c r="J40" i="15"/>
  <c r="J52" i="9"/>
  <c r="J26" i="9"/>
  <c r="J10" i="14"/>
  <c r="J9" i="9"/>
  <c r="J56" i="13"/>
  <c r="J80" i="15"/>
  <c r="Q16" i="9"/>
  <c r="Q15" i="9"/>
  <c r="K7" i="9"/>
  <c r="K44" i="15"/>
  <c r="K31" i="9"/>
  <c r="K80" i="15"/>
  <c r="K104" i="15"/>
  <c r="K45" i="13"/>
  <c r="K14" i="14"/>
  <c r="K132" i="15"/>
  <c r="K25" i="14"/>
  <c r="H19" i="15"/>
  <c r="H87" i="15"/>
  <c r="H35" i="13"/>
  <c r="H62" i="15"/>
  <c r="H57" i="9"/>
  <c r="H78" i="13"/>
  <c r="H7" i="15"/>
  <c r="H82" i="15"/>
  <c r="H52" i="13"/>
  <c r="H17" i="14"/>
  <c r="H108" i="14"/>
  <c r="H19" i="9"/>
  <c r="H146" i="15"/>
  <c r="H51" i="13"/>
  <c r="H46" i="15"/>
  <c r="H141" i="15"/>
  <c r="H80" i="15"/>
  <c r="Q143" i="15"/>
  <c r="Q43" i="15"/>
  <c r="Q60" i="15"/>
  <c r="Q105" i="15"/>
  <c r="Q57" i="15"/>
  <c r="Q37" i="14"/>
  <c r="Q39" i="15"/>
  <c r="Q115" i="14"/>
  <c r="Q102" i="14"/>
  <c r="Q145" i="15"/>
  <c r="Q28" i="13"/>
  <c r="Q30" i="13"/>
  <c r="Q7" i="9"/>
  <c r="Q40" i="13"/>
  <c r="E16" i="9"/>
  <c r="E25" i="9"/>
  <c r="E14" i="9"/>
  <c r="E42" i="9"/>
  <c r="E29" i="9"/>
  <c r="I29" i="9"/>
  <c r="J29" i="9"/>
  <c r="J44" i="9"/>
  <c r="J13" i="9"/>
  <c r="I31" i="15"/>
  <c r="I50" i="9"/>
  <c r="I87" i="15"/>
  <c r="I7" i="15"/>
  <c r="I76" i="15"/>
  <c r="I17" i="14"/>
  <c r="I7" i="13"/>
  <c r="I58" i="15"/>
  <c r="I56" i="9"/>
  <c r="I80" i="15"/>
  <c r="I52" i="13"/>
  <c r="I78" i="13"/>
  <c r="I146" i="15"/>
  <c r="O30" i="9"/>
  <c r="O25" i="9"/>
  <c r="F25" i="9"/>
  <c r="F42" i="9"/>
  <c r="L46" i="15"/>
  <c r="L7" i="9"/>
  <c r="L31" i="9"/>
  <c r="L29" i="13"/>
  <c r="L92" i="15"/>
  <c r="L14" i="14"/>
  <c r="L144" i="15"/>
  <c r="L129" i="15"/>
  <c r="K44" i="9"/>
  <c r="N67" i="14"/>
  <c r="N119" i="15"/>
  <c r="N38" i="15"/>
  <c r="N25" i="14"/>
  <c r="N32" i="9"/>
  <c r="N104" i="14"/>
  <c r="N34" i="15"/>
  <c r="N138" i="15"/>
  <c r="N17" i="9"/>
  <c r="N105" i="15"/>
  <c r="N14" i="14"/>
  <c r="N7" i="14"/>
  <c r="J13" i="15"/>
  <c r="J20" i="9"/>
  <c r="J43" i="9"/>
  <c r="J16" i="14"/>
  <c r="J58" i="15"/>
  <c r="J56" i="9"/>
  <c r="J38" i="14"/>
  <c r="J58" i="13"/>
  <c r="J88" i="15"/>
  <c r="J66" i="14"/>
  <c r="J24" i="13"/>
  <c r="J67" i="15"/>
  <c r="J58" i="9"/>
  <c r="J17" i="14"/>
  <c r="J27" i="13"/>
  <c r="J41" i="15"/>
  <c r="J53" i="9"/>
  <c r="J78" i="13"/>
  <c r="F66" i="15"/>
  <c r="F81" i="15"/>
  <c r="F78" i="15"/>
  <c r="F60" i="9"/>
  <c r="F34" i="15"/>
  <c r="F21" i="15"/>
  <c r="F7" i="14"/>
  <c r="F106" i="14"/>
  <c r="F100" i="14"/>
  <c r="F51" i="15"/>
  <c r="F54" i="9"/>
  <c r="F76" i="15"/>
  <c r="F53" i="13"/>
  <c r="F40" i="13"/>
  <c r="F14" i="15"/>
  <c r="F20" i="9"/>
  <c r="F66" i="14"/>
  <c r="M25" i="13"/>
  <c r="M115" i="14"/>
  <c r="M88" i="15"/>
  <c r="M41" i="15"/>
  <c r="M53" i="9"/>
  <c r="M17" i="14"/>
  <c r="M101" i="14"/>
  <c r="M104" i="15"/>
  <c r="M59" i="13"/>
  <c r="M20" i="9"/>
  <c r="M66" i="14"/>
  <c r="M34" i="15"/>
  <c r="M7" i="14"/>
  <c r="M56" i="13"/>
  <c r="M43" i="15"/>
  <c r="M10" i="15"/>
  <c r="M10" i="9"/>
  <c r="M19" i="9"/>
  <c r="G57" i="15"/>
  <c r="G81" i="15"/>
  <c r="G88" i="15"/>
  <c r="G21" i="15"/>
  <c r="G78" i="15"/>
  <c r="G60" i="9"/>
  <c r="G76" i="15"/>
  <c r="G34" i="15"/>
  <c r="G117" i="14"/>
  <c r="G14" i="15"/>
  <c r="G66" i="15"/>
  <c r="G115" i="14"/>
  <c r="G106" i="14"/>
  <c r="G7" i="14"/>
  <c r="E24" i="13"/>
  <c r="E43" i="13"/>
  <c r="E35" i="13"/>
  <c r="E87" i="15"/>
  <c r="E73" i="15"/>
  <c r="E66" i="15"/>
  <c r="E138" i="15"/>
  <c r="E24" i="14"/>
  <c r="E13" i="13"/>
  <c r="E20" i="9"/>
  <c r="E103" i="14"/>
  <c r="E15" i="15"/>
  <c r="E40" i="13"/>
  <c r="E147" i="15"/>
  <c r="E43" i="9"/>
  <c r="E53" i="13"/>
  <c r="E7" i="13"/>
  <c r="E117" i="14"/>
  <c r="E61" i="15"/>
  <c r="E66" i="14"/>
  <c r="D143" i="14"/>
  <c r="C24" i="14"/>
  <c r="C110" i="14"/>
  <c r="C103" i="14"/>
  <c r="C31" i="13"/>
  <c r="C8" i="9"/>
  <c r="C10" i="13"/>
  <c r="C43" i="15"/>
  <c r="C139" i="15"/>
  <c r="C103" i="15"/>
  <c r="C140" i="15"/>
  <c r="C116" i="14"/>
  <c r="C45" i="15"/>
  <c r="C35" i="13"/>
  <c r="C43" i="9"/>
  <c r="C73" i="15"/>
  <c r="C88" i="15"/>
  <c r="C144" i="15"/>
  <c r="C32" i="9"/>
  <c r="C26" i="9"/>
  <c r="P24" i="14"/>
  <c r="P21" i="15"/>
  <c r="P145" i="15"/>
  <c r="P28" i="13"/>
  <c r="P40" i="13"/>
  <c r="P45" i="9"/>
  <c r="P66" i="14"/>
  <c r="P8" i="9"/>
  <c r="P10" i="13"/>
  <c r="P105" i="15"/>
  <c r="P138" i="15"/>
  <c r="P24" i="13"/>
  <c r="P51" i="13"/>
  <c r="P30" i="13"/>
  <c r="D110" i="14"/>
  <c r="D99" i="14"/>
  <c r="D53" i="13"/>
  <c r="D138" i="15"/>
  <c r="D131" i="15"/>
  <c r="D140" i="15"/>
  <c r="D108" i="14"/>
  <c r="D73" i="15"/>
  <c r="D40" i="13"/>
  <c r="D43" i="13"/>
  <c r="D35" i="13"/>
  <c r="D31" i="13"/>
  <c r="D26" i="9"/>
  <c r="D30" i="13"/>
  <c r="D24" i="13"/>
  <c r="D43" i="9"/>
  <c r="D45" i="15"/>
  <c r="D116" i="14"/>
  <c r="D24" i="14"/>
  <c r="D147" i="15"/>
  <c r="D103" i="14"/>
  <c r="P30" i="9"/>
  <c r="P16" i="9"/>
  <c r="K20" i="9"/>
  <c r="K56" i="13"/>
  <c r="K78" i="13"/>
  <c r="K22" i="15"/>
  <c r="K49" i="9"/>
  <c r="K99" i="14"/>
  <c r="K27" i="13"/>
  <c r="K15" i="15"/>
  <c r="K25" i="13"/>
  <c r="K58" i="13"/>
  <c r="K92" i="15"/>
  <c r="K13" i="13"/>
  <c r="K38" i="14"/>
  <c r="K31" i="13"/>
  <c r="K142" i="14"/>
  <c r="K43" i="9"/>
  <c r="K129" i="15"/>
  <c r="K77" i="15"/>
  <c r="K139" i="15"/>
  <c r="K87" i="15"/>
  <c r="N136" i="15"/>
  <c r="N86" i="15"/>
  <c r="N14" i="15"/>
  <c r="N21" i="14"/>
  <c r="N37" i="14"/>
  <c r="N43" i="15"/>
  <c r="N145" i="15"/>
  <c r="N101" i="14"/>
  <c r="N66" i="14"/>
  <c r="N141" i="15"/>
  <c r="N46" i="15"/>
  <c r="N31" i="9"/>
  <c r="N17" i="14"/>
  <c r="N21" i="9"/>
  <c r="N78" i="13"/>
  <c r="N20" i="9"/>
  <c r="N30" i="13"/>
  <c r="H61" i="15"/>
  <c r="H145" i="15"/>
  <c r="H73" i="15"/>
  <c r="H41" i="9"/>
  <c r="H7" i="13"/>
  <c r="H18" i="9"/>
  <c r="H56" i="15"/>
  <c r="H76" i="15"/>
  <c r="H92" i="15"/>
  <c r="H59" i="13"/>
  <c r="H37" i="13"/>
  <c r="H13" i="14"/>
  <c r="H114" i="14"/>
  <c r="H37" i="15"/>
  <c r="H51" i="9"/>
  <c r="H16" i="14"/>
  <c r="H77" i="15"/>
  <c r="D25" i="9"/>
  <c r="D14" i="9"/>
  <c r="D16" i="9"/>
  <c r="O31" i="9"/>
  <c r="O45" i="13"/>
  <c r="O66" i="14"/>
  <c r="O53" i="15"/>
  <c r="O30" i="13"/>
  <c r="O145" i="15"/>
  <c r="O46" i="15"/>
  <c r="O138" i="15"/>
  <c r="O34" i="15"/>
  <c r="O21" i="14"/>
  <c r="O141" i="15"/>
  <c r="O136" i="15"/>
  <c r="O14" i="15"/>
  <c r="O25" i="14"/>
  <c r="O17" i="14"/>
  <c r="E143" i="14"/>
  <c r="I26" i="9"/>
  <c r="I119" i="15"/>
  <c r="I67" i="15"/>
  <c r="I58" i="9"/>
  <c r="I114" i="14"/>
  <c r="I92" i="15"/>
  <c r="I58" i="13"/>
  <c r="I70" i="15"/>
  <c r="I14" i="14"/>
  <c r="I59" i="13"/>
  <c r="I22" i="15"/>
  <c r="I49" i="9"/>
  <c r="I51" i="13"/>
  <c r="I37" i="15"/>
  <c r="I51" i="9"/>
  <c r="I37" i="13"/>
  <c r="I22" i="9"/>
  <c r="I18" i="9"/>
  <c r="I45" i="9"/>
  <c r="I16" i="14"/>
  <c r="I13" i="14"/>
  <c r="I61" i="15"/>
  <c r="J55" i="13"/>
  <c r="J54" i="13"/>
  <c r="J87" i="15"/>
  <c r="J81" i="15"/>
  <c r="J44" i="15"/>
  <c r="J45" i="9"/>
  <c r="J52" i="13"/>
  <c r="J18" i="9"/>
  <c r="J21" i="14"/>
  <c r="J119" i="15"/>
  <c r="J136" i="15"/>
  <c r="J32" i="9"/>
  <c r="J92" i="15"/>
  <c r="J28" i="13"/>
  <c r="J22" i="15"/>
  <c r="J49" i="9"/>
  <c r="J13" i="14"/>
  <c r="J77" i="15"/>
  <c r="J15" i="15"/>
  <c r="J37" i="15"/>
  <c r="J51" i="9"/>
  <c r="J37" i="13"/>
  <c r="J14" i="14"/>
  <c r="J31" i="15"/>
  <c r="J50" i="9"/>
  <c r="D119" i="15"/>
  <c r="D46" i="13"/>
  <c r="D143" i="15"/>
  <c r="D104" i="14"/>
  <c r="D139" i="15"/>
  <c r="D37" i="14"/>
  <c r="D45" i="9"/>
  <c r="D47" i="15"/>
  <c r="D71" i="15"/>
  <c r="D59" i="9"/>
  <c r="D54" i="13"/>
  <c r="D22" i="9"/>
  <c r="D78" i="15"/>
  <c r="D60" i="9"/>
  <c r="D44" i="15"/>
  <c r="D13" i="13"/>
  <c r="D8" i="9"/>
  <c r="D10" i="13"/>
  <c r="D115" i="14"/>
  <c r="D15" i="15"/>
  <c r="D17" i="14"/>
  <c r="E46" i="13"/>
  <c r="E116" i="14"/>
  <c r="E31" i="13"/>
  <c r="E115" i="14"/>
  <c r="E71" i="15"/>
  <c r="E59" i="9"/>
  <c r="E104" i="14"/>
  <c r="E28" i="13"/>
  <c r="E51" i="13"/>
  <c r="E8" i="9"/>
  <c r="E10" i="13"/>
  <c r="E136" i="15"/>
  <c r="E25" i="13"/>
  <c r="E45" i="9"/>
  <c r="E22" i="9"/>
  <c r="E10" i="15"/>
  <c r="E10" i="9"/>
  <c r="E119" i="15"/>
  <c r="E32" i="13"/>
  <c r="E54" i="13"/>
  <c r="O146" i="15"/>
  <c r="O37" i="15"/>
  <c r="O51" i="9"/>
  <c r="O101" i="14"/>
  <c r="O37" i="14"/>
  <c r="O104" i="15"/>
  <c r="O37" i="13"/>
  <c r="O7" i="14"/>
  <c r="O91" i="15"/>
  <c r="O57" i="15"/>
  <c r="O32" i="13"/>
  <c r="O143" i="15"/>
  <c r="O47" i="15"/>
  <c r="O21" i="15"/>
  <c r="O45" i="9"/>
  <c r="O119" i="15"/>
  <c r="O58" i="15"/>
  <c r="O56" i="9"/>
  <c r="O42" i="15"/>
  <c r="O34" i="13"/>
  <c r="O86" i="15"/>
  <c r="C46" i="13"/>
  <c r="C47" i="15"/>
  <c r="C47" i="13"/>
  <c r="C104" i="14"/>
  <c r="C45" i="9"/>
  <c r="C132" i="15"/>
  <c r="C40" i="15"/>
  <c r="C52" i="9"/>
  <c r="C13" i="13"/>
  <c r="C44" i="15"/>
  <c r="C22" i="14"/>
  <c r="C19" i="9"/>
  <c r="C28" i="13"/>
  <c r="C17" i="14"/>
  <c r="C100" i="14"/>
  <c r="C105" i="15"/>
  <c r="C37" i="14"/>
  <c r="C108" i="14"/>
  <c r="C115" i="14"/>
  <c r="C54" i="13"/>
  <c r="C40" i="13"/>
  <c r="C143" i="15"/>
  <c r="C147" i="15"/>
  <c r="M29" i="13"/>
  <c r="M137" i="15"/>
  <c r="M77" i="15"/>
  <c r="M21" i="15"/>
  <c r="M131" i="15"/>
  <c r="M28" i="13"/>
  <c r="M37" i="14"/>
  <c r="M82" i="15"/>
  <c r="M18" i="9"/>
  <c r="M53" i="13"/>
  <c r="M100" i="14"/>
  <c r="M52" i="15"/>
  <c r="M55" i="9"/>
  <c r="M78" i="13"/>
  <c r="M86" i="15"/>
  <c r="M19" i="15"/>
  <c r="M43" i="9"/>
  <c r="M13" i="14"/>
  <c r="M14" i="15"/>
  <c r="M45" i="15"/>
  <c r="M32" i="13"/>
  <c r="M57" i="13"/>
  <c r="M67" i="14"/>
  <c r="P22" i="14"/>
  <c r="P143" i="15"/>
  <c r="P53" i="15"/>
  <c r="P41" i="9"/>
  <c r="P34" i="13"/>
  <c r="P43" i="13"/>
  <c r="P136" i="15"/>
  <c r="P37" i="15"/>
  <c r="P51" i="9"/>
  <c r="P20" i="9"/>
  <c r="P37" i="14"/>
  <c r="P47" i="15"/>
  <c r="P147" i="15"/>
  <c r="P22" i="9"/>
  <c r="P119" i="15"/>
  <c r="P106" i="14"/>
  <c r="P110" i="14"/>
  <c r="P51" i="15"/>
  <c r="P54" i="9"/>
  <c r="G57" i="13"/>
  <c r="G69" i="15"/>
  <c r="G18" i="9"/>
  <c r="G30" i="15"/>
  <c r="G15" i="14"/>
  <c r="G100" i="14"/>
  <c r="G86" i="15"/>
  <c r="G22" i="9"/>
  <c r="G51" i="13"/>
  <c r="G7" i="9"/>
  <c r="G105" i="15"/>
  <c r="G59" i="13"/>
  <c r="G147" i="15"/>
  <c r="G36" i="13"/>
  <c r="G46" i="13"/>
  <c r="G10" i="15"/>
  <c r="G10" i="9"/>
  <c r="G104" i="14"/>
  <c r="G110" i="14"/>
  <c r="G39" i="15"/>
  <c r="Q36" i="13"/>
  <c r="Q136" i="15"/>
  <c r="Q51" i="13"/>
  <c r="Q110" i="14"/>
  <c r="Q8" i="9"/>
  <c r="Q10" i="13"/>
  <c r="Q34" i="13"/>
  <c r="Q22" i="14"/>
  <c r="Q66" i="14"/>
  <c r="Q18" i="9"/>
  <c r="Q147" i="15"/>
  <c r="Q43" i="13"/>
  <c r="Q69" i="15"/>
  <c r="Q34" i="15"/>
  <c r="Q24" i="13"/>
  <c r="Q106" i="14"/>
  <c r="Q51" i="15"/>
  <c r="Q54" i="9"/>
  <c r="Q131" i="15"/>
  <c r="Q117" i="14"/>
  <c r="N140" i="15"/>
  <c r="N21" i="15"/>
  <c r="N37" i="13"/>
  <c r="N43" i="9"/>
  <c r="N146" i="15"/>
  <c r="N88" i="15"/>
  <c r="N19" i="9"/>
  <c r="N47" i="15"/>
  <c r="N104" i="15"/>
  <c r="N37" i="15"/>
  <c r="N51" i="9"/>
  <c r="N13" i="14"/>
  <c r="N32" i="13"/>
  <c r="N58" i="15"/>
  <c r="N56" i="9"/>
  <c r="N91" i="15"/>
  <c r="N8" i="9"/>
  <c r="N10" i="13"/>
  <c r="N57" i="15"/>
  <c r="N100" i="14"/>
  <c r="N131" i="15"/>
  <c r="N26" i="13"/>
  <c r="I21" i="9"/>
  <c r="I90" i="15"/>
  <c r="I32" i="9"/>
  <c r="I54" i="13"/>
  <c r="I55" i="13"/>
  <c r="I23" i="14"/>
  <c r="I103" i="15"/>
  <c r="I69" i="15"/>
  <c r="I116" i="14"/>
  <c r="I81" i="15"/>
  <c r="I142" i="14"/>
  <c r="I65" i="15"/>
  <c r="I73" i="15"/>
  <c r="I24" i="14"/>
  <c r="I41" i="15"/>
  <c r="I53" i="9"/>
  <c r="I41" i="9"/>
  <c r="I10" i="14"/>
  <c r="I9" i="9"/>
  <c r="I42" i="13"/>
  <c r="I17" i="9"/>
  <c r="I36" i="15"/>
  <c r="I15" i="15"/>
  <c r="I77" i="15"/>
  <c r="L139" i="15"/>
  <c r="L22" i="15"/>
  <c r="L49" i="9"/>
  <c r="L58" i="13"/>
  <c r="L25" i="13"/>
  <c r="L80" i="15"/>
  <c r="L44" i="15"/>
  <c r="L43" i="9"/>
  <c r="L16" i="14"/>
  <c r="L56" i="15"/>
  <c r="L78" i="13"/>
  <c r="L90" i="15"/>
  <c r="L50" i="15"/>
  <c r="L99" i="14"/>
  <c r="L103" i="14"/>
  <c r="L87" i="15"/>
  <c r="L104" i="15"/>
  <c r="L67" i="14"/>
  <c r="L27" i="13"/>
  <c r="L31" i="13"/>
  <c r="L56" i="13"/>
  <c r="L77" i="15"/>
  <c r="F110" i="14"/>
  <c r="F62" i="15"/>
  <c r="F57" i="9"/>
  <c r="F15" i="14"/>
  <c r="F136" i="15"/>
  <c r="F32" i="13"/>
  <c r="F43" i="13"/>
  <c r="F10" i="15"/>
  <c r="F10" i="9"/>
  <c r="F102" i="14"/>
  <c r="F143" i="15"/>
  <c r="F117" i="14"/>
  <c r="F104" i="14"/>
  <c r="F69" i="15"/>
  <c r="F22" i="9"/>
  <c r="F46" i="13"/>
  <c r="F57" i="13"/>
  <c r="F51" i="13"/>
  <c r="F147" i="15"/>
  <c r="E103" i="15"/>
  <c r="E42" i="13"/>
  <c r="E86" i="15"/>
  <c r="E51" i="15"/>
  <c r="E54" i="9"/>
  <c r="E36" i="13"/>
  <c r="E56" i="15"/>
  <c r="E17" i="14"/>
  <c r="E80" i="15"/>
  <c r="E27" i="13"/>
  <c r="E60" i="15"/>
  <c r="E76" i="15"/>
  <c r="E148" i="15"/>
  <c r="E44" i="15"/>
  <c r="E14" i="15"/>
  <c r="E131" i="15"/>
  <c r="E31" i="9"/>
  <c r="E102" i="14"/>
  <c r="E67" i="15"/>
  <c r="E58" i="9"/>
  <c r="E145" i="15"/>
  <c r="E32" i="9"/>
  <c r="E7" i="9"/>
  <c r="E37" i="14"/>
  <c r="D117" i="14"/>
  <c r="D60" i="15"/>
  <c r="D17" i="9"/>
  <c r="D56" i="15"/>
  <c r="D31" i="9"/>
  <c r="D40" i="15"/>
  <c r="D52" i="9"/>
  <c r="D13" i="14"/>
  <c r="D67" i="15"/>
  <c r="D58" i="9"/>
  <c r="D14" i="15"/>
  <c r="D105" i="15"/>
  <c r="D66" i="14"/>
  <c r="D102" i="14"/>
  <c r="D103" i="15"/>
  <c r="D7" i="9"/>
  <c r="D80" i="15"/>
  <c r="D145" i="15"/>
  <c r="D42" i="13"/>
  <c r="D41" i="15"/>
  <c r="D53" i="9"/>
  <c r="D36" i="13"/>
  <c r="D148" i="15"/>
  <c r="D20" i="9"/>
  <c r="D22" i="14"/>
  <c r="H21" i="9"/>
  <c r="H30" i="15"/>
  <c r="H10" i="14"/>
  <c r="H9" i="9"/>
  <c r="H45" i="9"/>
  <c r="H70" i="15"/>
  <c r="H54" i="13"/>
  <c r="H65" i="15"/>
  <c r="H32" i="9"/>
  <c r="H103" i="15"/>
  <c r="H116" i="14"/>
  <c r="H105" i="14"/>
  <c r="H52" i="15"/>
  <c r="H55" i="9"/>
  <c r="H15" i="15"/>
  <c r="H45" i="13"/>
  <c r="H110" i="14"/>
  <c r="H42" i="13"/>
  <c r="H142" i="14"/>
  <c r="H104" i="14"/>
  <c r="H69" i="15"/>
  <c r="H36" i="15"/>
  <c r="H81" i="15"/>
  <c r="F59" i="13"/>
  <c r="F17" i="14"/>
  <c r="F24" i="14"/>
  <c r="F88" i="15"/>
  <c r="F13" i="14"/>
  <c r="F86" i="15"/>
  <c r="F31" i="9"/>
  <c r="F138" i="15"/>
  <c r="F60" i="15"/>
  <c r="F103" i="15"/>
  <c r="F7" i="9"/>
  <c r="F37" i="14"/>
  <c r="F119" i="15"/>
  <c r="F34" i="13"/>
  <c r="F36" i="13"/>
  <c r="F22" i="14"/>
  <c r="F43" i="9"/>
  <c r="F32" i="9"/>
  <c r="F145" i="15"/>
  <c r="F131" i="15"/>
  <c r="F105" i="15"/>
  <c r="G138" i="15"/>
  <c r="G119" i="15"/>
  <c r="G131" i="15"/>
  <c r="G8" i="9"/>
  <c r="G10" i="13"/>
  <c r="G145" i="15"/>
  <c r="G136" i="15"/>
  <c r="G24" i="14"/>
  <c r="G60" i="15"/>
  <c r="G40" i="13"/>
  <c r="G24" i="13"/>
  <c r="G37" i="14"/>
  <c r="G32" i="9"/>
  <c r="G17" i="14"/>
  <c r="G20" i="9"/>
  <c r="G34" i="13"/>
  <c r="G103" i="15"/>
  <c r="G143" i="15"/>
  <c r="G66" i="14"/>
  <c r="G102" i="14"/>
  <c r="G51" i="15"/>
  <c r="G54" i="9"/>
  <c r="G32" i="13"/>
  <c r="C20" i="9"/>
  <c r="C22" i="15"/>
  <c r="C49" i="9"/>
  <c r="C59" i="13"/>
  <c r="C91" i="15"/>
  <c r="C148" i="15"/>
  <c r="C7" i="9"/>
  <c r="C56" i="15"/>
  <c r="C41" i="15"/>
  <c r="C53" i="9"/>
  <c r="C102" i="14"/>
  <c r="C53" i="13"/>
  <c r="C36" i="15"/>
  <c r="C15" i="14"/>
  <c r="C7" i="15"/>
  <c r="C138" i="15"/>
  <c r="C24" i="13"/>
  <c r="C81" i="15"/>
  <c r="C37" i="15"/>
  <c r="C51" i="9"/>
  <c r="C66" i="14"/>
  <c r="C60" i="15"/>
  <c r="C31" i="9"/>
  <c r="C99" i="14"/>
  <c r="C30" i="13"/>
  <c r="O26" i="13"/>
  <c r="O19" i="9"/>
  <c r="O26" i="9"/>
  <c r="O137" i="15"/>
  <c r="O62" i="15"/>
  <c r="O57" i="9"/>
  <c r="O18" i="9"/>
  <c r="O21" i="9"/>
  <c r="O39" i="15"/>
  <c r="O13" i="13"/>
  <c r="O77" i="15"/>
  <c r="O82" i="15"/>
  <c r="O131" i="15"/>
  <c r="O56" i="13"/>
  <c r="O10" i="15"/>
  <c r="O10" i="9"/>
  <c r="O78" i="13"/>
  <c r="O29" i="13"/>
  <c r="O140" i="15"/>
  <c r="O14" i="14"/>
  <c r="O43" i="9"/>
  <c r="O52" i="15"/>
  <c r="O55" i="9"/>
  <c r="O45" i="15"/>
  <c r="O19" i="15"/>
  <c r="I56" i="15"/>
  <c r="I50" i="15"/>
  <c r="I19" i="9"/>
  <c r="I25" i="13"/>
  <c r="I13" i="13"/>
  <c r="I29" i="13"/>
  <c r="I31" i="13"/>
  <c r="I110" i="14"/>
  <c r="I20" i="15"/>
  <c r="I48" i="9"/>
  <c r="I43" i="9"/>
  <c r="I105" i="14"/>
  <c r="I100" i="14"/>
  <c r="I35" i="13"/>
  <c r="I44" i="15"/>
  <c r="I27" i="13"/>
  <c r="I46" i="15"/>
  <c r="I140" i="15"/>
  <c r="I104" i="14"/>
  <c r="I30" i="15"/>
  <c r="I42" i="15"/>
  <c r="I145" i="15"/>
  <c r="I20" i="9"/>
  <c r="K7" i="13"/>
  <c r="K65" i="15"/>
  <c r="K73" i="15"/>
  <c r="K21" i="14"/>
  <c r="K33" i="13"/>
  <c r="K42" i="15"/>
  <c r="K47" i="13"/>
  <c r="K29" i="13"/>
  <c r="K46" i="15"/>
  <c r="K67" i="15"/>
  <c r="K58" i="9"/>
  <c r="K41" i="9"/>
  <c r="K35" i="13"/>
  <c r="K90" i="15"/>
  <c r="K37" i="13"/>
  <c r="K31" i="15"/>
  <c r="K50" i="9"/>
  <c r="K17" i="9"/>
  <c r="K61" i="15"/>
  <c r="K42" i="13"/>
  <c r="K52" i="13"/>
  <c r="K26" i="9"/>
  <c r="K13" i="15"/>
  <c r="K56" i="15"/>
  <c r="M147" i="15"/>
  <c r="M20" i="15"/>
  <c r="M48" i="9"/>
  <c r="M51" i="15"/>
  <c r="M54" i="9"/>
  <c r="M106" i="14"/>
  <c r="M102" i="14"/>
  <c r="M117" i="14"/>
  <c r="M143" i="15"/>
  <c r="M26" i="9"/>
  <c r="M42" i="15"/>
  <c r="M110" i="14"/>
  <c r="M37" i="15"/>
  <c r="M51" i="9"/>
  <c r="M24" i="14"/>
  <c r="M41" i="9"/>
  <c r="M70" i="15"/>
  <c r="M21" i="14"/>
  <c r="M39" i="15"/>
  <c r="M104" i="14"/>
  <c r="M15" i="14"/>
  <c r="M52" i="13"/>
  <c r="M45" i="13"/>
  <c r="M65" i="15"/>
  <c r="N56" i="13"/>
  <c r="N52" i="13"/>
  <c r="N52" i="15"/>
  <c r="N55" i="9"/>
  <c r="N42" i="15"/>
  <c r="N51" i="15"/>
  <c r="N54" i="9"/>
  <c r="N10" i="15"/>
  <c r="N10" i="9"/>
  <c r="N137" i="15"/>
  <c r="N78" i="15"/>
  <c r="N60" i="9"/>
  <c r="N77" i="15"/>
  <c r="N106" i="14"/>
  <c r="N18" i="9"/>
  <c r="N41" i="9"/>
  <c r="N29" i="13"/>
  <c r="N147" i="15"/>
  <c r="N24" i="14"/>
  <c r="N45" i="15"/>
  <c r="N117" i="14"/>
  <c r="N26" i="9"/>
  <c r="N115" i="14"/>
  <c r="N82" i="15"/>
  <c r="N39" i="15"/>
  <c r="N19" i="15"/>
  <c r="J73" i="15"/>
  <c r="J110" i="14"/>
  <c r="J25" i="13"/>
  <c r="J31" i="13"/>
  <c r="J61" i="15"/>
  <c r="J56" i="15"/>
  <c r="J46" i="15"/>
  <c r="J65" i="15"/>
  <c r="J41" i="9"/>
  <c r="J13" i="13"/>
  <c r="J33" i="13"/>
  <c r="J29" i="13"/>
  <c r="J35" i="13"/>
  <c r="J36" i="15"/>
  <c r="J90" i="15"/>
  <c r="J42" i="13"/>
  <c r="J145" i="15"/>
  <c r="J103" i="15"/>
  <c r="J17" i="9"/>
  <c r="J7" i="13"/>
  <c r="J24" i="14"/>
  <c r="J104" i="14"/>
  <c r="H38" i="15"/>
  <c r="H58" i="15"/>
  <c r="H56" i="9"/>
  <c r="H66" i="14"/>
  <c r="H22" i="9"/>
  <c r="H27" i="13"/>
  <c r="H20" i="15"/>
  <c r="H48" i="9"/>
  <c r="H148" i="15"/>
  <c r="H13" i="13"/>
  <c r="H43" i="9"/>
  <c r="H56" i="13"/>
  <c r="H136" i="15"/>
  <c r="H33" i="13"/>
  <c r="H140" i="15"/>
  <c r="H7" i="9"/>
  <c r="H25" i="13"/>
  <c r="H100" i="14"/>
  <c r="H50" i="15"/>
  <c r="H44" i="15"/>
  <c r="H17" i="9"/>
  <c r="H20" i="9"/>
  <c r="H42" i="15"/>
  <c r="H31" i="13"/>
  <c r="E139" i="15"/>
  <c r="E40" i="15"/>
  <c r="E52" i="9"/>
  <c r="E81" i="15"/>
  <c r="E22" i="14"/>
  <c r="E41" i="15"/>
  <c r="E53" i="9"/>
  <c r="E99" i="14"/>
  <c r="E132" i="15"/>
  <c r="E17" i="9"/>
  <c r="E91" i="15"/>
  <c r="E37" i="15"/>
  <c r="E51" i="9"/>
  <c r="E105" i="15"/>
  <c r="E36" i="15"/>
  <c r="E22" i="15"/>
  <c r="E49" i="9"/>
  <c r="E88" i="15"/>
  <c r="E38" i="14"/>
  <c r="E30" i="13"/>
  <c r="E13" i="14"/>
  <c r="E47" i="15"/>
  <c r="E26" i="13"/>
  <c r="E59" i="13"/>
  <c r="E26" i="9"/>
  <c r="E15" i="14"/>
  <c r="P140" i="15"/>
  <c r="P32" i="13"/>
  <c r="P91" i="15"/>
  <c r="P45" i="15"/>
  <c r="P104" i="14"/>
  <c r="P86" i="15"/>
  <c r="P17" i="14"/>
  <c r="P7" i="14"/>
  <c r="P14" i="15"/>
  <c r="P17" i="9"/>
  <c r="P69" i="15"/>
  <c r="P115" i="14"/>
  <c r="P30" i="15"/>
  <c r="P19" i="15"/>
  <c r="P26" i="13"/>
  <c r="P18" i="9"/>
  <c r="P57" i="15"/>
  <c r="P21" i="9"/>
  <c r="P10" i="15"/>
  <c r="P10" i="9"/>
  <c r="P103" i="15"/>
  <c r="P131" i="15"/>
  <c r="D68" i="14"/>
  <c r="D106" i="15"/>
  <c r="Q32" i="13"/>
  <c r="Q46" i="13"/>
  <c r="Q104" i="14"/>
  <c r="Q91" i="15"/>
  <c r="Q19" i="15"/>
  <c r="Q24" i="14"/>
  <c r="Q20" i="9"/>
  <c r="Q103" i="15"/>
  <c r="Q26" i="9"/>
  <c r="Q14" i="15"/>
  <c r="Q21" i="15"/>
  <c r="Q26" i="13"/>
  <c r="Q140" i="15"/>
  <c r="Q17" i="14"/>
  <c r="Q53" i="15"/>
  <c r="Q30" i="15"/>
  <c r="Q15" i="14"/>
  <c r="Q86" i="15"/>
  <c r="Q55" i="13"/>
  <c r="Q119" i="15"/>
  <c r="Q7" i="14"/>
  <c r="L13" i="13"/>
  <c r="L65" i="15"/>
  <c r="L41" i="9"/>
  <c r="L15" i="15"/>
  <c r="L52" i="13"/>
  <c r="L38" i="14"/>
  <c r="L42" i="13"/>
  <c r="L45" i="9"/>
  <c r="L45" i="13"/>
  <c r="L73" i="15"/>
  <c r="L42" i="15"/>
  <c r="L142" i="14"/>
  <c r="L17" i="9"/>
  <c r="L13" i="15"/>
  <c r="L47" i="13"/>
  <c r="L54" i="13"/>
  <c r="L33" i="13"/>
  <c r="L21" i="14"/>
  <c r="L61" i="15"/>
  <c r="L7" i="13"/>
  <c r="L37" i="13"/>
  <c r="D76" i="15"/>
  <c r="D19" i="15"/>
  <c r="D62" i="15"/>
  <c r="D57" i="9"/>
  <c r="D37" i="15"/>
  <c r="D51" i="9"/>
  <c r="D86" i="15"/>
  <c r="D23" i="14"/>
  <c r="D132" i="15"/>
  <c r="D30" i="15"/>
  <c r="D88" i="15"/>
  <c r="D59" i="13"/>
  <c r="D36" i="15"/>
  <c r="D38" i="14"/>
  <c r="D22" i="15"/>
  <c r="D49" i="9"/>
  <c r="D26" i="13"/>
  <c r="D7" i="14"/>
  <c r="D15" i="14"/>
  <c r="D91" i="15"/>
  <c r="D55" i="13"/>
  <c r="D81" i="15"/>
  <c r="D21" i="9"/>
  <c r="D39" i="15"/>
  <c r="D43" i="15"/>
  <c r="N29" i="9"/>
  <c r="N30" i="9"/>
  <c r="N15" i="9"/>
  <c r="N14" i="9"/>
  <c r="N13" i="9"/>
  <c r="N16" i="9"/>
  <c r="C143" i="14"/>
  <c r="C68" i="14"/>
  <c r="C106" i="15"/>
  <c r="H44" i="9"/>
  <c r="H30" i="9"/>
  <c r="H13" i="9"/>
  <c r="H25" i="9"/>
  <c r="H16" i="9"/>
  <c r="H15" i="9"/>
  <c r="H14" i="9"/>
  <c r="H29" i="9"/>
  <c r="H42" i="9"/>
  <c r="C30" i="9"/>
  <c r="C42" i="9"/>
  <c r="C13" i="9"/>
  <c r="C16" i="9"/>
  <c r="C15" i="9"/>
  <c r="C29" i="9"/>
  <c r="C44" i="9"/>
  <c r="C15" i="15"/>
  <c r="C34" i="15"/>
  <c r="C55" i="13"/>
  <c r="C39" i="15"/>
  <c r="C67" i="15"/>
  <c r="C58" i="9"/>
  <c r="C76" i="15"/>
  <c r="C69" i="15"/>
  <c r="C51" i="13"/>
  <c r="C16" i="14"/>
  <c r="C78" i="15"/>
  <c r="C60" i="9"/>
  <c r="C92" i="15"/>
  <c r="C19" i="15"/>
  <c r="C22" i="9"/>
  <c r="C62" i="15"/>
  <c r="C57" i="9"/>
  <c r="C18" i="9"/>
  <c r="C30" i="15"/>
  <c r="C86" i="15"/>
  <c r="C7" i="14"/>
  <c r="C21" i="9"/>
  <c r="C23" i="14"/>
  <c r="C57" i="13"/>
  <c r="C87" i="15"/>
  <c r="O78" i="15"/>
  <c r="O60" i="9"/>
  <c r="O70" i="15"/>
  <c r="O81" i="15"/>
  <c r="O88" i="15"/>
  <c r="O71" i="15"/>
  <c r="O59" i="9"/>
  <c r="O31" i="15"/>
  <c r="O50" i="9"/>
  <c r="O147" i="15"/>
  <c r="O32" i="9"/>
  <c r="O115" i="14"/>
  <c r="O17" i="9"/>
  <c r="O117" i="14"/>
  <c r="O41" i="15"/>
  <c r="O53" i="9"/>
  <c r="O41" i="9"/>
  <c r="O13" i="14"/>
  <c r="O20" i="15"/>
  <c r="O48" i="9"/>
  <c r="O53" i="13"/>
  <c r="O51" i="15"/>
  <c r="O54" i="9"/>
  <c r="O7" i="9"/>
  <c r="O52" i="13"/>
  <c r="O59" i="13"/>
  <c r="O57" i="13"/>
  <c r="O106" i="14"/>
  <c r="I148" i="15"/>
  <c r="I38" i="15"/>
  <c r="I57" i="15"/>
  <c r="I25" i="14"/>
  <c r="I52" i="15"/>
  <c r="I55" i="9"/>
  <c r="I67" i="14"/>
  <c r="I62" i="15"/>
  <c r="I57" i="9"/>
  <c r="I10" i="15"/>
  <c r="I10" i="9"/>
  <c r="I31" i="9"/>
  <c r="I99" i="14"/>
  <c r="I108" i="14"/>
  <c r="I103" i="14"/>
  <c r="I136" i="15"/>
  <c r="I144" i="15"/>
  <c r="I137" i="15"/>
  <c r="I101" i="14"/>
  <c r="I36" i="13"/>
  <c r="I66" i="14"/>
  <c r="I141" i="15"/>
  <c r="I43" i="13"/>
  <c r="I32" i="13"/>
  <c r="L59" i="13"/>
  <c r="L10" i="15"/>
  <c r="L10" i="9"/>
  <c r="L28" i="13"/>
  <c r="L24" i="13"/>
  <c r="L32" i="13"/>
  <c r="L101" i="14"/>
  <c r="L52" i="15"/>
  <c r="L55" i="9"/>
  <c r="L22" i="9"/>
  <c r="L58" i="15"/>
  <c r="L56" i="9"/>
  <c r="L18" i="9"/>
  <c r="L116" i="14"/>
  <c r="L114" i="14"/>
  <c r="L51" i="13"/>
  <c r="L105" i="14"/>
  <c r="L40" i="15"/>
  <c r="L52" i="9"/>
  <c r="L19" i="9"/>
  <c r="L141" i="15"/>
  <c r="L20" i="15"/>
  <c r="L48" i="9"/>
  <c r="L7" i="15"/>
  <c r="L148" i="15"/>
  <c r="L146" i="15"/>
  <c r="L108" i="14"/>
  <c r="I42" i="9"/>
  <c r="I44" i="9"/>
  <c r="I13" i="9"/>
  <c r="I14" i="9"/>
  <c r="I15" i="9"/>
  <c r="I16" i="9"/>
  <c r="I30" i="9"/>
  <c r="I25" i="9"/>
  <c r="J116" i="14"/>
  <c r="J22" i="9"/>
  <c r="J20" i="15"/>
  <c r="J48" i="9"/>
  <c r="J51" i="13"/>
  <c r="J50" i="15"/>
  <c r="J8" i="9"/>
  <c r="J10" i="13"/>
  <c r="J62" i="15"/>
  <c r="J57" i="9"/>
  <c r="J42" i="15"/>
  <c r="J146" i="15"/>
  <c r="J148" i="15"/>
  <c r="J43" i="13"/>
  <c r="J141" i="15"/>
  <c r="J10" i="15"/>
  <c r="J10" i="9"/>
  <c r="J52" i="15"/>
  <c r="J55" i="9"/>
  <c r="J100" i="14"/>
  <c r="J101" i="14"/>
  <c r="J36" i="13"/>
  <c r="J108" i="14"/>
  <c r="J19" i="9"/>
  <c r="J105" i="14"/>
  <c r="J140" i="15"/>
  <c r="J69" i="15"/>
  <c r="N46" i="13"/>
  <c r="N110" i="14"/>
  <c r="N51" i="13"/>
  <c r="N22" i="9"/>
  <c r="N13" i="15"/>
  <c r="N20" i="15"/>
  <c r="N48" i="9"/>
  <c r="N70" i="15"/>
  <c r="N59" i="13"/>
  <c r="N31" i="15"/>
  <c r="N50" i="9"/>
  <c r="N65" i="15"/>
  <c r="N40" i="13"/>
  <c r="N102" i="14"/>
  <c r="N66" i="15"/>
  <c r="N45" i="13"/>
  <c r="N143" i="15"/>
  <c r="N41" i="15"/>
  <c r="N53" i="9"/>
  <c r="N55" i="13"/>
  <c r="N81" i="15"/>
  <c r="N76" i="15"/>
  <c r="N7" i="9"/>
  <c r="N53" i="13"/>
  <c r="H32" i="13"/>
  <c r="H31" i="9"/>
  <c r="H129" i="15"/>
  <c r="H31" i="15"/>
  <c r="H50" i="9"/>
  <c r="H139" i="15"/>
  <c r="H21" i="14"/>
  <c r="H36" i="13"/>
  <c r="H25" i="14"/>
  <c r="H10" i="15"/>
  <c r="H10" i="9"/>
  <c r="H51" i="15"/>
  <c r="H54" i="9"/>
  <c r="H67" i="14"/>
  <c r="H38" i="14"/>
  <c r="H24" i="14"/>
  <c r="H57" i="15"/>
  <c r="H103" i="14"/>
  <c r="H137" i="15"/>
  <c r="H119" i="15"/>
  <c r="F40" i="15"/>
  <c r="F52" i="9"/>
  <c r="F103" i="14"/>
  <c r="F58" i="13"/>
  <c r="F31" i="13"/>
  <c r="H28" i="13"/>
  <c r="F22" i="15"/>
  <c r="F49" i="9"/>
  <c r="F50" i="15"/>
  <c r="F54" i="13"/>
  <c r="F38" i="14"/>
  <c r="F139" i="15"/>
  <c r="F15" i="15"/>
  <c r="F10" i="14"/>
  <c r="F9" i="9"/>
  <c r="F71" i="15"/>
  <c r="F59" i="9"/>
  <c r="F108" i="14"/>
  <c r="F56" i="15"/>
  <c r="H144" i="15"/>
  <c r="F116" i="14"/>
  <c r="F16" i="14"/>
  <c r="F99" i="14"/>
  <c r="H99" i="14"/>
  <c r="F44" i="15"/>
  <c r="H40" i="15"/>
  <c r="H52" i="9"/>
  <c r="F27" i="13"/>
  <c r="F23" i="14"/>
  <c r="F36" i="15"/>
  <c r="F47" i="13"/>
  <c r="P38" i="15"/>
  <c r="P56" i="13"/>
  <c r="P13" i="15"/>
  <c r="P114" i="14"/>
  <c r="P70" i="15"/>
  <c r="P42" i="15"/>
  <c r="P52" i="13"/>
  <c r="P137" i="15"/>
  <c r="P77" i="15"/>
  <c r="P142" i="14"/>
  <c r="P31" i="15"/>
  <c r="P50" i="9"/>
  <c r="P101" i="14"/>
  <c r="P67" i="14"/>
  <c r="P105" i="14"/>
  <c r="P25" i="14"/>
  <c r="P29" i="13"/>
  <c r="P41" i="15"/>
  <c r="P53" i="9"/>
  <c r="P14" i="14"/>
  <c r="P52" i="15"/>
  <c r="P55" i="9"/>
  <c r="P20" i="15"/>
  <c r="P48" i="9"/>
  <c r="P78" i="13"/>
  <c r="P45" i="13"/>
  <c r="D30" i="9"/>
  <c r="D29" i="9"/>
  <c r="D44" i="9"/>
  <c r="D13" i="9"/>
  <c r="D42" i="9"/>
  <c r="D15" i="9"/>
  <c r="E13" i="9"/>
  <c r="E44" i="9"/>
  <c r="E15" i="9"/>
  <c r="E30" i="9"/>
  <c r="J14" i="9"/>
  <c r="J30" i="9"/>
  <c r="J25" i="9"/>
  <c r="J42" i="9"/>
  <c r="J16" i="9"/>
  <c r="J15" i="9"/>
  <c r="O16" i="9"/>
  <c r="O44" i="9"/>
  <c r="O14" i="9"/>
  <c r="O29" i="9"/>
  <c r="O42" i="9"/>
  <c r="O13" i="9"/>
  <c r="O15" i="9"/>
  <c r="M114" i="14"/>
  <c r="M145" i="15"/>
  <c r="M31" i="15"/>
  <c r="M50" i="9"/>
  <c r="M138" i="15"/>
  <c r="M46" i="13"/>
  <c r="M13" i="15"/>
  <c r="M45" i="9"/>
  <c r="M76" i="15"/>
  <c r="M55" i="13"/>
  <c r="M43" i="13"/>
  <c r="M62" i="15"/>
  <c r="M57" i="9"/>
  <c r="M51" i="13"/>
  <c r="M142" i="14"/>
  <c r="M60" i="15"/>
  <c r="M69" i="15"/>
  <c r="M34" i="13"/>
  <c r="M40" i="13"/>
  <c r="M22" i="9"/>
  <c r="M58" i="15"/>
  <c r="M56" i="9"/>
  <c r="M7" i="9"/>
  <c r="M37" i="13"/>
  <c r="M66" i="15"/>
  <c r="H131" i="15"/>
  <c r="H71" i="15"/>
  <c r="H59" i="9"/>
  <c r="H7" i="14"/>
  <c r="H105" i="15"/>
  <c r="H34" i="15"/>
  <c r="H47" i="15"/>
  <c r="H138" i="15"/>
  <c r="H143" i="15"/>
  <c r="H21" i="15"/>
  <c r="H14" i="15"/>
  <c r="H15" i="14"/>
  <c r="H102" i="14"/>
  <c r="H60" i="15"/>
  <c r="H91" i="15"/>
  <c r="H53" i="15"/>
  <c r="H86" i="15"/>
  <c r="H43" i="15"/>
  <c r="H147" i="15"/>
  <c r="H115" i="14"/>
  <c r="H78" i="15"/>
  <c r="H60" i="9"/>
  <c r="H66" i="15"/>
  <c r="H106" i="14"/>
  <c r="G10" i="14"/>
  <c r="G9" i="9"/>
  <c r="G56" i="15"/>
  <c r="G44" i="15"/>
  <c r="G108" i="14"/>
  <c r="G87" i="15"/>
  <c r="G40" i="15"/>
  <c r="G52" i="9"/>
  <c r="G99" i="14"/>
  <c r="G35" i="13"/>
  <c r="G7" i="15"/>
  <c r="G15" i="15"/>
  <c r="G67" i="15"/>
  <c r="G58" i="9"/>
  <c r="G54" i="13"/>
  <c r="G23" i="14"/>
  <c r="G38" i="14"/>
  <c r="G50" i="15"/>
  <c r="G13" i="13"/>
  <c r="G61" i="15"/>
  <c r="G92" i="15"/>
  <c r="G132" i="15"/>
  <c r="G36" i="15"/>
  <c r="G73" i="15"/>
  <c r="G148" i="15"/>
  <c r="K67" i="14"/>
  <c r="K24" i="13"/>
  <c r="K141" i="15"/>
  <c r="K144" i="15"/>
  <c r="K137" i="15"/>
  <c r="K103" i="14"/>
  <c r="K19" i="9"/>
  <c r="K45" i="9"/>
  <c r="K108" i="14"/>
  <c r="K146" i="15"/>
  <c r="K20" i="15"/>
  <c r="K48" i="9"/>
  <c r="K55" i="13"/>
  <c r="K101" i="14"/>
  <c r="K104" i="14"/>
  <c r="K105" i="14"/>
  <c r="K40" i="15"/>
  <c r="K52" i="9"/>
  <c r="K52" i="15"/>
  <c r="K55" i="9"/>
  <c r="K114" i="14"/>
  <c r="K116" i="14"/>
  <c r="K148" i="15"/>
  <c r="K18" i="9"/>
  <c r="K7" i="15"/>
  <c r="G103" i="14"/>
  <c r="G43" i="15"/>
  <c r="G116" i="14"/>
  <c r="G58" i="13"/>
  <c r="G45" i="15"/>
  <c r="G27" i="13"/>
  <c r="G42" i="13"/>
  <c r="G30" i="13"/>
  <c r="G45" i="9"/>
  <c r="G53" i="15"/>
  <c r="G26" i="13"/>
  <c r="G17" i="9"/>
  <c r="G47" i="15"/>
  <c r="G41" i="9"/>
  <c r="G28" i="13"/>
  <c r="G21" i="9"/>
  <c r="G26" i="9"/>
  <c r="G16" i="14"/>
  <c r="G71" i="15"/>
  <c r="G59" i="9"/>
  <c r="G37" i="15"/>
  <c r="G51" i="9"/>
  <c r="G47" i="13"/>
  <c r="G31" i="13"/>
  <c r="P7" i="13"/>
  <c r="P46" i="13"/>
  <c r="P31" i="9"/>
  <c r="P43" i="9"/>
  <c r="P66" i="15"/>
  <c r="P59" i="13"/>
  <c r="P7" i="9"/>
  <c r="P19" i="9"/>
  <c r="P13" i="14"/>
  <c r="P62" i="15"/>
  <c r="P57" i="9"/>
  <c r="P53" i="13"/>
  <c r="P32" i="9"/>
  <c r="P78" i="15"/>
  <c r="P60" i="9"/>
  <c r="P57" i="13"/>
  <c r="P37" i="13"/>
  <c r="P88" i="15"/>
  <c r="P55" i="13"/>
  <c r="P21" i="14"/>
  <c r="P76" i="15"/>
  <c r="P81" i="15"/>
  <c r="P33" i="13"/>
  <c r="P25" i="13"/>
  <c r="F53" i="15"/>
  <c r="F26" i="13"/>
  <c r="F7" i="15"/>
  <c r="F35" i="13"/>
  <c r="F41" i="15"/>
  <c r="F53" i="9"/>
  <c r="F39" i="15"/>
  <c r="F24" i="13"/>
  <c r="F45" i="9"/>
  <c r="F41" i="9"/>
  <c r="F47" i="15"/>
  <c r="F26" i="9"/>
  <c r="F13" i="13"/>
  <c r="F43" i="15"/>
  <c r="F30" i="15"/>
  <c r="F37" i="15"/>
  <c r="F51" i="9"/>
  <c r="F17" i="9"/>
  <c r="F45" i="15"/>
  <c r="F21" i="9"/>
  <c r="F8" i="9"/>
  <c r="F10" i="13"/>
  <c r="F28" i="13"/>
  <c r="F30" i="13"/>
  <c r="F42" i="13"/>
  <c r="L24" i="14"/>
  <c r="L13" i="14"/>
  <c r="L140" i="15"/>
  <c r="L66" i="14"/>
  <c r="L37" i="15"/>
  <c r="L51" i="9"/>
  <c r="L69" i="15"/>
  <c r="L62" i="15"/>
  <c r="L57" i="9"/>
  <c r="L100" i="14"/>
  <c r="L76" i="15"/>
  <c r="L110" i="14"/>
  <c r="L104" i="14"/>
  <c r="L55" i="13"/>
  <c r="L36" i="13"/>
  <c r="L45" i="15"/>
  <c r="L41" i="15"/>
  <c r="L53" i="9"/>
  <c r="L103" i="15"/>
  <c r="L117" i="14"/>
  <c r="L30" i="15"/>
  <c r="L43" i="13"/>
  <c r="L17" i="14"/>
  <c r="L19" i="15"/>
  <c r="L57" i="15"/>
  <c r="E68" i="14"/>
  <c r="E106" i="15"/>
  <c r="H41" i="15"/>
  <c r="H53" i="9"/>
  <c r="H24" i="13"/>
  <c r="H23" i="14"/>
  <c r="H53" i="13"/>
  <c r="H40" i="13"/>
  <c r="H46" i="13"/>
  <c r="H26" i="9"/>
  <c r="H26" i="13"/>
  <c r="H30" i="13"/>
  <c r="H22" i="15"/>
  <c r="H49" i="9"/>
  <c r="H45" i="15"/>
  <c r="H37" i="14"/>
  <c r="H132" i="15"/>
  <c r="H22" i="14"/>
  <c r="H34" i="13"/>
  <c r="H39" i="15"/>
  <c r="H67" i="15"/>
  <c r="H58" i="9"/>
  <c r="H90" i="15"/>
  <c r="H8" i="9"/>
  <c r="H10" i="13"/>
  <c r="H14" i="14"/>
  <c r="H57" i="13"/>
  <c r="H104" i="15"/>
  <c r="K43" i="13"/>
  <c r="K17" i="14"/>
  <c r="K19" i="15"/>
  <c r="K69" i="15"/>
  <c r="K57" i="15"/>
  <c r="K110" i="14"/>
  <c r="K100" i="14"/>
  <c r="K59" i="13"/>
  <c r="K37" i="15"/>
  <c r="K51" i="9"/>
  <c r="K117" i="14"/>
  <c r="K28" i="13"/>
  <c r="K24" i="14"/>
  <c r="K51" i="13"/>
  <c r="K66" i="14"/>
  <c r="K81" i="15"/>
  <c r="K36" i="13"/>
  <c r="K32" i="13"/>
  <c r="K58" i="15"/>
  <c r="K56" i="9"/>
  <c r="K10" i="15"/>
  <c r="K10" i="9"/>
  <c r="K13" i="14"/>
  <c r="K22" i="9"/>
  <c r="K76" i="15"/>
  <c r="Q45" i="13"/>
  <c r="Q31" i="15"/>
  <c r="Q50" i="9"/>
  <c r="Q146" i="15"/>
  <c r="Q105" i="14"/>
  <c r="Q13" i="15"/>
  <c r="Q65" i="15"/>
  <c r="Q14" i="14"/>
  <c r="Q114" i="14"/>
  <c r="Q78" i="13"/>
  <c r="Q129" i="15"/>
  <c r="Q141" i="15"/>
  <c r="Q101" i="14"/>
  <c r="Q58" i="15"/>
  <c r="Q56" i="9"/>
  <c r="Q104" i="15"/>
  <c r="Q38" i="15"/>
  <c r="Q20" i="15"/>
  <c r="Q48" i="9"/>
  <c r="Q70" i="15"/>
  <c r="Q77" i="15"/>
  <c r="Q46" i="15"/>
  <c r="Q42" i="15"/>
  <c r="Q21" i="14"/>
  <c r="Q142" i="14"/>
  <c r="M42" i="9"/>
  <c r="M29" i="9"/>
  <c r="M13" i="9"/>
  <c r="M14" i="9"/>
  <c r="M30" i="9"/>
  <c r="M25" i="9"/>
  <c r="Q29" i="13"/>
  <c r="Q25" i="14"/>
  <c r="Q37" i="13"/>
  <c r="Q88" i="15"/>
  <c r="Q13" i="14"/>
  <c r="Q78" i="15"/>
  <c r="Q60" i="9"/>
  <c r="Q43" i="9"/>
  <c r="Q62" i="15"/>
  <c r="Q57" i="9"/>
  <c r="Q53" i="13"/>
  <c r="Q59" i="13"/>
  <c r="Q52" i="13"/>
  <c r="Q41" i="15"/>
  <c r="Q53" i="9"/>
  <c r="Q7" i="13"/>
  <c r="Q25" i="13"/>
  <c r="Q81" i="15"/>
  <c r="Q57" i="13"/>
  <c r="Q19" i="9"/>
  <c r="Q32" i="9"/>
  <c r="Q33" i="13"/>
  <c r="Q67" i="14"/>
  <c r="Q56" i="13"/>
  <c r="Q31" i="9"/>
  <c r="N67" i="15"/>
  <c r="N58" i="9"/>
  <c r="N61" i="15"/>
  <c r="N73" i="15"/>
  <c r="N132" i="15"/>
  <c r="N15" i="15"/>
  <c r="N36" i="15"/>
  <c r="N99" i="14"/>
  <c r="N139" i="15"/>
  <c r="N92" i="15"/>
  <c r="N87" i="15"/>
  <c r="N80" i="15"/>
  <c r="N116" i="14"/>
  <c r="N10" i="14"/>
  <c r="N9" i="9"/>
  <c r="N56" i="15"/>
  <c r="N144" i="15"/>
  <c r="N50" i="15"/>
  <c r="N22" i="15"/>
  <c r="N49" i="9"/>
  <c r="N103" i="14"/>
  <c r="N16" i="14"/>
  <c r="N44" i="15"/>
  <c r="N7" i="15"/>
  <c r="N148" i="15"/>
  <c r="C10" i="15"/>
  <c r="C10" i="9"/>
  <c r="C21" i="14"/>
  <c r="C58" i="13"/>
  <c r="C25" i="14"/>
  <c r="C10" i="14"/>
  <c r="C9" i="9"/>
  <c r="C67" i="14"/>
  <c r="C33" i="13"/>
  <c r="C37" i="13"/>
  <c r="C101" i="14"/>
  <c r="C52" i="13"/>
  <c r="C45" i="13"/>
  <c r="C21" i="15"/>
  <c r="C29" i="13"/>
  <c r="C80" i="15"/>
  <c r="C41" i="9"/>
  <c r="C7" i="13"/>
  <c r="C14" i="15"/>
  <c r="C56" i="13"/>
  <c r="C25" i="13"/>
  <c r="C14" i="14"/>
  <c r="C117" i="14"/>
  <c r="C51" i="15"/>
  <c r="C54" i="9"/>
  <c r="F68" i="14"/>
  <c r="F106" i="15"/>
  <c r="F16" i="9"/>
  <c r="F13" i="9"/>
  <c r="F30" i="9"/>
  <c r="F15" i="9"/>
  <c r="F44" i="9"/>
  <c r="F29" i="9"/>
  <c r="F14" i="9"/>
  <c r="K25" i="9"/>
  <c r="K16" i="9"/>
  <c r="K14" i="9"/>
  <c r="K30" i="9"/>
  <c r="K42" i="9"/>
  <c r="K29" i="9"/>
  <c r="K13" i="9"/>
  <c r="K15" i="9"/>
  <c r="M40" i="15"/>
  <c r="M52" i="9"/>
  <c r="M61" i="15"/>
  <c r="M87" i="15"/>
  <c r="M50" i="15"/>
  <c r="M67" i="15"/>
  <c r="M58" i="9"/>
  <c r="M7" i="15"/>
  <c r="M139" i="15"/>
  <c r="M80" i="15"/>
  <c r="M36" i="15"/>
  <c r="M56" i="15"/>
  <c r="M132" i="15"/>
  <c r="M44" i="15"/>
  <c r="M148" i="15"/>
  <c r="M73" i="15"/>
  <c r="M92" i="15"/>
  <c r="M144" i="15"/>
  <c r="M38" i="14"/>
  <c r="M10" i="14"/>
  <c r="M9" i="9"/>
  <c r="M22" i="15"/>
  <c r="M49" i="9"/>
  <c r="M15" i="15"/>
  <c r="M99" i="14"/>
  <c r="M108" i="14"/>
  <c r="P14" i="9"/>
  <c r="P15" i="9"/>
  <c r="P42" i="9"/>
  <c r="P44" i="9"/>
  <c r="P29" i="9"/>
  <c r="P13" i="9"/>
  <c r="P25" i="9"/>
  <c r="M54" i="13"/>
  <c r="M16" i="14"/>
  <c r="M71" i="15"/>
  <c r="M59" i="9"/>
  <c r="M116" i="14"/>
  <c r="M42" i="13"/>
  <c r="M23" i="14"/>
  <c r="M103" i="14"/>
  <c r="M146" i="15"/>
  <c r="M58" i="13"/>
  <c r="M53" i="15"/>
  <c r="M78" i="15"/>
  <c r="M60" i="9"/>
  <c r="M8" i="9"/>
  <c r="M10" i="13"/>
  <c r="M57" i="15"/>
  <c r="M27" i="13"/>
  <c r="M47" i="15"/>
  <c r="M47" i="13"/>
  <c r="M30" i="13"/>
  <c r="M31" i="13"/>
  <c r="M35" i="13"/>
  <c r="M36" i="13"/>
  <c r="M105" i="14"/>
  <c r="M13" i="13"/>
  <c r="G68" i="14"/>
  <c r="G106" i="15"/>
  <c r="G143" i="14"/>
  <c r="C52" i="15"/>
  <c r="C55" i="9"/>
  <c r="C82" i="15"/>
  <c r="C78" i="13"/>
  <c r="C31" i="15"/>
  <c r="C50" i="9"/>
  <c r="C70" i="15"/>
  <c r="C90" i="15"/>
  <c r="C142" i="14"/>
  <c r="C38" i="15"/>
  <c r="C104" i="15"/>
  <c r="C58" i="15"/>
  <c r="C56" i="9"/>
  <c r="C146" i="15"/>
  <c r="C42" i="15"/>
  <c r="C77" i="15"/>
  <c r="C137" i="15"/>
  <c r="C129" i="15"/>
  <c r="C105" i="14"/>
  <c r="C13" i="15"/>
  <c r="C46" i="15"/>
  <c r="C141" i="15"/>
  <c r="C114" i="14"/>
  <c r="C65" i="15"/>
  <c r="C20" i="15"/>
  <c r="C48" i="9"/>
  <c r="I24" i="13"/>
  <c r="I26" i="13"/>
  <c r="I40" i="13"/>
  <c r="I8" i="9"/>
  <c r="I10" i="13"/>
  <c r="I132" i="15"/>
  <c r="I115" i="14"/>
  <c r="I104" i="15"/>
  <c r="I28" i="13"/>
  <c r="I53" i="13"/>
  <c r="I51" i="15"/>
  <c r="I54" i="9"/>
  <c r="I40" i="15"/>
  <c r="I52" i="9"/>
  <c r="I34" i="13"/>
  <c r="I46" i="13"/>
  <c r="I139" i="15"/>
  <c r="I30" i="13"/>
  <c r="I22" i="14"/>
  <c r="I129" i="15"/>
  <c r="I38" i="14"/>
  <c r="I45" i="15"/>
  <c r="I21" i="14"/>
  <c r="I57" i="13"/>
  <c r="I7" i="14"/>
  <c r="H143" i="14"/>
  <c r="H68" i="14"/>
  <c r="H106" i="15"/>
  <c r="M68" i="14"/>
  <c r="M106" i="15"/>
  <c r="M143" i="14"/>
  <c r="D37" i="13"/>
  <c r="D14" i="14"/>
  <c r="D52" i="13"/>
  <c r="D31" i="15"/>
  <c r="D50" i="9"/>
  <c r="D78" i="13"/>
  <c r="D114" i="14"/>
  <c r="D10" i="14"/>
  <c r="D9" i="9"/>
  <c r="D16" i="14"/>
  <c r="D33" i="13"/>
  <c r="D51" i="15"/>
  <c r="D54" i="9"/>
  <c r="D87" i="15"/>
  <c r="D101" i="14"/>
  <c r="D21" i="15"/>
  <c r="D7" i="13"/>
  <c r="D34" i="15"/>
  <c r="D18" i="9"/>
  <c r="D25" i="13"/>
  <c r="D92" i="15"/>
  <c r="D45" i="13"/>
  <c r="D10" i="15"/>
  <c r="D10" i="9"/>
  <c r="D29" i="13"/>
  <c r="D90" i="15"/>
  <c r="N142" i="14"/>
  <c r="N40" i="15"/>
  <c r="N52" i="9"/>
  <c r="N47" i="13"/>
  <c r="N43" i="13"/>
  <c r="N38" i="14"/>
  <c r="N31" i="13"/>
  <c r="N71" i="15"/>
  <c r="N59" i="9"/>
  <c r="N108" i="14"/>
  <c r="N114" i="14"/>
  <c r="N62" i="15"/>
  <c r="N57" i="9"/>
  <c r="N13" i="13"/>
  <c r="N54" i="13"/>
  <c r="N60" i="15"/>
  <c r="N23" i="14"/>
  <c r="N53" i="15"/>
  <c r="N58" i="13"/>
  <c r="N69" i="15"/>
  <c r="N35" i="13"/>
  <c r="N27" i="13"/>
  <c r="N34" i="13"/>
  <c r="N45" i="9"/>
  <c r="N42" i="13"/>
  <c r="G25" i="13"/>
  <c r="G7" i="13"/>
  <c r="G31" i="9"/>
  <c r="G21" i="14"/>
  <c r="G56" i="13"/>
  <c r="G78" i="13"/>
  <c r="G67" i="14"/>
  <c r="G52" i="13"/>
  <c r="G41" i="15"/>
  <c r="G53" i="9"/>
  <c r="G22" i="15"/>
  <c r="G49" i="9"/>
  <c r="G142" i="14"/>
  <c r="G45" i="13"/>
  <c r="G80" i="15"/>
  <c r="G37" i="13"/>
  <c r="G62" i="15"/>
  <c r="G57" i="9"/>
  <c r="G43" i="9"/>
  <c r="G144" i="15"/>
  <c r="G19" i="9"/>
  <c r="G33" i="13"/>
  <c r="G139" i="15"/>
  <c r="G29" i="13"/>
  <c r="G101" i="14"/>
  <c r="F78" i="13"/>
  <c r="F13" i="15"/>
  <c r="F144" i="15"/>
  <c r="F21" i="14"/>
  <c r="F52" i="13"/>
  <c r="F29" i="13"/>
  <c r="F61" i="15"/>
  <c r="F67" i="15"/>
  <c r="F58" i="9"/>
  <c r="F56" i="13"/>
  <c r="F87" i="15"/>
  <c r="F7" i="13"/>
  <c r="F80" i="15"/>
  <c r="F37" i="13"/>
  <c r="F14" i="14"/>
  <c r="F129" i="15"/>
  <c r="F33" i="13"/>
  <c r="F73" i="15"/>
  <c r="F148" i="15"/>
  <c r="F132" i="15"/>
  <c r="F92" i="15"/>
  <c r="F25" i="13"/>
  <c r="F45" i="13"/>
  <c r="L86" i="15"/>
  <c r="L102" i="14"/>
  <c r="L106" i="14"/>
  <c r="L47" i="15"/>
  <c r="L105" i="15"/>
  <c r="L53" i="15"/>
  <c r="L43" i="15"/>
  <c r="L78" i="15"/>
  <c r="L60" i="9"/>
  <c r="L71" i="15"/>
  <c r="L59" i="9"/>
  <c r="L21" i="15"/>
  <c r="L138" i="15"/>
  <c r="L37" i="14"/>
  <c r="L7" i="14"/>
  <c r="L143" i="15"/>
  <c r="L91" i="15"/>
  <c r="L115" i="14"/>
  <c r="L60" i="15"/>
  <c r="L57" i="13"/>
  <c r="L131" i="15"/>
  <c r="L14" i="15"/>
  <c r="L34" i="15"/>
  <c r="L22" i="14"/>
  <c r="G46" i="15"/>
  <c r="G137" i="15"/>
  <c r="G104" i="15"/>
  <c r="G42" i="15"/>
  <c r="G65" i="15"/>
  <c r="G58" i="15"/>
  <c r="G56" i="9"/>
  <c r="G90" i="15"/>
  <c r="G146" i="15"/>
  <c r="G14" i="14"/>
  <c r="G105" i="14"/>
  <c r="G141" i="15"/>
  <c r="G25" i="14"/>
  <c r="G20" i="15"/>
  <c r="G48" i="9"/>
  <c r="G114" i="14"/>
  <c r="G77" i="15"/>
  <c r="G31" i="15"/>
  <c r="G50" i="9"/>
  <c r="G52" i="15"/>
  <c r="G55" i="9"/>
  <c r="G13" i="15"/>
  <c r="G129" i="15"/>
  <c r="G38" i="15"/>
  <c r="G82" i="15"/>
  <c r="G70" i="15"/>
  <c r="O15" i="15"/>
  <c r="O87" i="15"/>
  <c r="O144" i="15"/>
  <c r="O132" i="15"/>
  <c r="O58" i="13"/>
  <c r="O23" i="14"/>
  <c r="O61" i="15"/>
  <c r="O40" i="15"/>
  <c r="O52" i="9"/>
  <c r="O56" i="15"/>
  <c r="O47" i="13"/>
  <c r="O50" i="15"/>
  <c r="O148" i="15"/>
  <c r="O38" i="14"/>
  <c r="O10" i="14"/>
  <c r="O9" i="9"/>
  <c r="O139" i="15"/>
  <c r="O116" i="14"/>
  <c r="O44" i="15"/>
  <c r="O7" i="15"/>
  <c r="O36" i="15"/>
  <c r="O92" i="15"/>
  <c r="O67" i="15"/>
  <c r="O58" i="9"/>
  <c r="O80" i="15"/>
  <c r="E114" i="14"/>
  <c r="E104" i="15"/>
  <c r="E25" i="14"/>
  <c r="E20" i="15"/>
  <c r="E48" i="9"/>
  <c r="E77" i="15"/>
  <c r="E58" i="15"/>
  <c r="E56" i="9"/>
  <c r="E46" i="15"/>
  <c r="E14" i="14"/>
  <c r="E42" i="15"/>
  <c r="E82" i="15"/>
  <c r="E21" i="14"/>
  <c r="E105" i="14"/>
  <c r="E137" i="15"/>
  <c r="E52" i="15"/>
  <c r="E55" i="9"/>
  <c r="E31" i="15"/>
  <c r="E50" i="9"/>
  <c r="E101" i="14"/>
  <c r="E141" i="15"/>
  <c r="E38" i="15"/>
  <c r="E65" i="15"/>
  <c r="E70" i="15"/>
  <c r="E146" i="15"/>
  <c r="E129" i="15"/>
  <c r="F101" i="14"/>
  <c r="F82" i="15"/>
  <c r="F52" i="15"/>
  <c r="F55" i="9"/>
  <c r="F67" i="14"/>
  <c r="F104" i="15"/>
  <c r="F114" i="14"/>
  <c r="F42" i="15"/>
  <c r="F31" i="15"/>
  <c r="F50" i="9"/>
  <c r="F141" i="15"/>
  <c r="F105" i="14"/>
  <c r="F137" i="15"/>
  <c r="F146" i="15"/>
  <c r="F65" i="15"/>
  <c r="F142" i="14"/>
  <c r="F90" i="15"/>
  <c r="F70" i="15"/>
  <c r="F25" i="14"/>
  <c r="F58" i="15"/>
  <c r="F56" i="9"/>
  <c r="F77" i="15"/>
  <c r="F20" i="15"/>
  <c r="F48" i="9"/>
  <c r="F38" i="15"/>
  <c r="F46" i="15"/>
  <c r="J103" i="14"/>
  <c r="J57" i="13"/>
  <c r="J30" i="13"/>
  <c r="J53" i="13"/>
  <c r="J34" i="13"/>
  <c r="J37" i="14"/>
  <c r="J40" i="13"/>
  <c r="J137" i="15"/>
  <c r="J46" i="13"/>
  <c r="J26" i="13"/>
  <c r="J51" i="15"/>
  <c r="J54" i="9"/>
  <c r="J99" i="14"/>
  <c r="J22" i="14"/>
  <c r="J57" i="15"/>
  <c r="J139" i="15"/>
  <c r="J67" i="14"/>
  <c r="J7" i="14"/>
  <c r="J144" i="15"/>
  <c r="J32" i="13"/>
  <c r="J31" i="9"/>
  <c r="J25" i="14"/>
  <c r="J129" i="15"/>
  <c r="E62" i="15"/>
  <c r="E57" i="9"/>
  <c r="E19" i="15"/>
  <c r="E13" i="15"/>
  <c r="E90" i="15"/>
  <c r="E23" i="14"/>
  <c r="E10" i="14"/>
  <c r="E9" i="9"/>
  <c r="E29" i="13"/>
  <c r="E56" i="13"/>
  <c r="E21" i="9"/>
  <c r="E43" i="15"/>
  <c r="E78" i="13"/>
  <c r="E37" i="13"/>
  <c r="E142" i="14"/>
  <c r="E39" i="15"/>
  <c r="E67" i="14"/>
  <c r="E52" i="13"/>
  <c r="E92" i="15"/>
  <c r="E30" i="15"/>
  <c r="E34" i="15"/>
  <c r="E33" i="13"/>
  <c r="E45" i="13"/>
  <c r="E16" i="14"/>
  <c r="P87" i="15"/>
  <c r="P7" i="15"/>
  <c r="P108" i="14"/>
  <c r="P144" i="15"/>
  <c r="P23" i="14"/>
  <c r="P22" i="15"/>
  <c r="P49" i="9"/>
  <c r="P16" i="14"/>
  <c r="P36" i="15"/>
  <c r="P15" i="15"/>
  <c r="P56" i="15"/>
  <c r="P44" i="15"/>
  <c r="P132" i="15"/>
  <c r="P148" i="15"/>
  <c r="P80" i="15"/>
  <c r="P99" i="14"/>
  <c r="P116" i="14"/>
  <c r="P103" i="14"/>
  <c r="P67" i="15"/>
  <c r="P58" i="9"/>
  <c r="P73" i="15"/>
  <c r="P50" i="15"/>
  <c r="P61" i="15"/>
  <c r="P92" i="15"/>
  <c r="P35" i="13"/>
  <c r="P71" i="15"/>
  <c r="P59" i="9"/>
  <c r="P27" i="13"/>
  <c r="P90" i="15"/>
  <c r="P46" i="15"/>
  <c r="P82" i="15"/>
  <c r="P58" i="13"/>
  <c r="P141" i="15"/>
  <c r="P104" i="15"/>
  <c r="P146" i="15"/>
  <c r="P54" i="13"/>
  <c r="P129" i="15"/>
  <c r="P10" i="14"/>
  <c r="P9" i="9"/>
  <c r="P38" i="14"/>
  <c r="P13" i="13"/>
  <c r="P31" i="13"/>
  <c r="P40" i="15"/>
  <c r="P52" i="9"/>
  <c r="P58" i="15"/>
  <c r="P56" i="9"/>
  <c r="P65" i="15"/>
  <c r="P139" i="15"/>
  <c r="P47" i="13"/>
  <c r="P42" i="13"/>
  <c r="O35" i="13"/>
  <c r="O42" i="13"/>
  <c r="O16" i="14"/>
  <c r="O13" i="15"/>
  <c r="O22" i="9"/>
  <c r="O108" i="14"/>
  <c r="O73" i="15"/>
  <c r="O51" i="13"/>
  <c r="O69" i="15"/>
  <c r="O60" i="15"/>
  <c r="O22" i="15"/>
  <c r="O49" i="9"/>
  <c r="O46" i="13"/>
  <c r="O55" i="13"/>
  <c r="O103" i="14"/>
  <c r="O66" i="15"/>
  <c r="O142" i="14"/>
  <c r="O31" i="13"/>
  <c r="O99" i="14"/>
  <c r="O40" i="13"/>
  <c r="O54" i="13"/>
  <c r="O76" i="15"/>
  <c r="O27" i="13"/>
  <c r="Q50" i="15"/>
  <c r="Q132" i="15"/>
  <c r="Q139" i="15"/>
  <c r="Q40" i="15"/>
  <c r="Q52" i="9"/>
  <c r="Q103" i="14"/>
  <c r="Q10" i="14"/>
  <c r="Q9" i="9"/>
  <c r="Q61" i="15"/>
  <c r="Q73" i="15"/>
  <c r="N143" i="14"/>
  <c r="Q7" i="15"/>
  <c r="Q80" i="15"/>
  <c r="Q108" i="14"/>
  <c r="Q92" i="15"/>
  <c r="N68" i="14"/>
  <c r="N106" i="15"/>
  <c r="Q23" i="14"/>
  <c r="Q148" i="15"/>
  <c r="Q99" i="14"/>
  <c r="Q67" i="15"/>
  <c r="Q58" i="9"/>
  <c r="Q87" i="15"/>
  <c r="Q56" i="15"/>
  <c r="Q36" i="15"/>
  <c r="Q22" i="15"/>
  <c r="Q49" i="9"/>
  <c r="Q15" i="15"/>
  <c r="Q44" i="15"/>
  <c r="D52" i="15"/>
  <c r="D55" i="9"/>
  <c r="D67" i="14"/>
  <c r="D65" i="15"/>
  <c r="D58" i="15"/>
  <c r="D56" i="9"/>
  <c r="D105" i="14"/>
  <c r="D21" i="14"/>
  <c r="D104" i="15"/>
  <c r="D56" i="13"/>
  <c r="D129" i="15"/>
  <c r="D25" i="14"/>
  <c r="D38" i="15"/>
  <c r="D142" i="14"/>
  <c r="D20" i="15"/>
  <c r="D48" i="9"/>
  <c r="D146" i="15"/>
  <c r="D70" i="15"/>
  <c r="D82" i="15"/>
  <c r="D141" i="15"/>
  <c r="D137" i="15"/>
  <c r="D46" i="15"/>
  <c r="D77" i="15"/>
  <c r="D13" i="15"/>
  <c r="D42" i="15"/>
  <c r="K115" i="14"/>
  <c r="K78" i="15"/>
  <c r="K60" i="9"/>
  <c r="K60" i="15"/>
  <c r="K147" i="15"/>
  <c r="K143" i="15"/>
  <c r="K86" i="15"/>
  <c r="K14" i="15"/>
  <c r="K21" i="15"/>
  <c r="K71" i="15"/>
  <c r="K59" i="9"/>
  <c r="K91" i="15"/>
  <c r="K43" i="15"/>
  <c r="K131" i="15"/>
  <c r="K106" i="14"/>
  <c r="K47" i="15"/>
  <c r="K138" i="15"/>
  <c r="K105" i="15"/>
  <c r="K39" i="15"/>
  <c r="K53" i="15"/>
  <c r="K34" i="15"/>
  <c r="K102" i="14"/>
  <c r="K7" i="14"/>
  <c r="K66" i="15"/>
  <c r="J143" i="15"/>
  <c r="J131" i="15"/>
  <c r="J34" i="15"/>
  <c r="J78" i="15"/>
  <c r="J60" i="9"/>
  <c r="J43" i="15"/>
  <c r="J14" i="15"/>
  <c r="J71" i="15"/>
  <c r="J59" i="9"/>
  <c r="J106" i="14"/>
  <c r="J60" i="15"/>
  <c r="J105" i="15"/>
  <c r="J66" i="15"/>
  <c r="J91" i="15"/>
  <c r="J115" i="14"/>
  <c r="J147" i="15"/>
  <c r="J102" i="14"/>
  <c r="J21" i="15"/>
  <c r="J53" i="15"/>
  <c r="J39" i="15"/>
  <c r="J47" i="15"/>
  <c r="J86" i="15"/>
  <c r="J15" i="14"/>
  <c r="J138" i="15"/>
  <c r="K37" i="14"/>
  <c r="K8" i="9"/>
  <c r="K10" i="13"/>
  <c r="K22" i="14"/>
  <c r="K34" i="13"/>
  <c r="K46" i="13"/>
  <c r="K51" i="15"/>
  <c r="K54" i="9"/>
  <c r="K62" i="15"/>
  <c r="K57" i="9"/>
  <c r="K88" i="15"/>
  <c r="K41" i="15"/>
  <c r="K53" i="9"/>
  <c r="K119" i="15"/>
  <c r="K15" i="14"/>
  <c r="K40" i="13"/>
  <c r="K136" i="15"/>
  <c r="K57" i="13"/>
  <c r="K145" i="15"/>
  <c r="K30" i="13"/>
  <c r="K140" i="15"/>
  <c r="K53" i="13"/>
  <c r="K103" i="15"/>
  <c r="K26" i="13"/>
  <c r="K30" i="15"/>
  <c r="K45" i="15"/>
  <c r="I86" i="15"/>
  <c r="I47" i="15"/>
  <c r="I131" i="15"/>
  <c r="I138" i="15"/>
  <c r="I105" i="15"/>
  <c r="I78" i="15"/>
  <c r="I60" i="9"/>
  <c r="I15" i="14"/>
  <c r="I60" i="15"/>
  <c r="I91" i="15"/>
  <c r="I21" i="15"/>
  <c r="I39" i="15"/>
  <c r="I102" i="14"/>
  <c r="I34" i="15"/>
  <c r="I147" i="15"/>
  <c r="I71" i="15"/>
  <c r="I59" i="9"/>
  <c r="I106" i="14"/>
  <c r="I43" i="15"/>
  <c r="I66" i="15"/>
  <c r="I143" i="15"/>
  <c r="I37" i="14"/>
  <c r="I53" i="15"/>
  <c r="I14" i="15"/>
  <c r="Q144" i="15"/>
  <c r="Q42" i="13"/>
  <c r="Q16" i="14"/>
  <c r="Q116" i="14"/>
  <c r="Q47" i="13"/>
  <c r="Q52" i="15"/>
  <c r="Q55" i="9"/>
  <c r="Q54" i="13"/>
  <c r="Q58" i="13"/>
  <c r="Q41" i="9"/>
  <c r="Q45" i="9"/>
  <c r="Q82" i="15"/>
  <c r="Q17" i="9"/>
  <c r="Q37" i="15"/>
  <c r="Q51" i="9"/>
  <c r="Q71" i="15"/>
  <c r="Q59" i="9"/>
  <c r="Q35" i="13"/>
  <c r="Q38" i="14"/>
  <c r="Q13" i="13"/>
  <c r="Q137" i="15"/>
  <c r="Q27" i="13"/>
  <c r="Q21" i="9"/>
  <c r="Q31" i="13"/>
  <c r="Q90" i="15"/>
  <c r="L66" i="15"/>
  <c r="L15" i="14"/>
  <c r="L67" i="15"/>
  <c r="L58" i="9"/>
  <c r="L8" i="9"/>
  <c r="L10" i="13"/>
  <c r="L26" i="13"/>
  <c r="L136" i="15"/>
  <c r="L20" i="9"/>
  <c r="L119" i="15"/>
  <c r="L40" i="13"/>
  <c r="L46" i="13"/>
  <c r="L81" i="15"/>
  <c r="L39" i="15"/>
  <c r="L26" i="9"/>
  <c r="L32" i="9"/>
  <c r="L147" i="15"/>
  <c r="L30" i="13"/>
  <c r="L34" i="13"/>
  <c r="L51" i="15"/>
  <c r="L54" i="9"/>
  <c r="L88" i="15"/>
  <c r="L53" i="13"/>
  <c r="L145" i="15"/>
  <c r="L31" i="15"/>
  <c r="L50" i="9"/>
  <c r="P68" i="14"/>
  <c r="P106" i="15"/>
  <c r="P143" i="14"/>
  <c r="J143" i="14"/>
  <c r="J68" i="14"/>
  <c r="J106" i="15"/>
  <c r="Q143" i="14"/>
  <c r="Q68" i="14"/>
  <c r="Q106" i="15"/>
  <c r="G30" i="9"/>
  <c r="G14" i="9"/>
  <c r="G29" i="9"/>
  <c r="G25" i="9"/>
  <c r="G44" i="9"/>
  <c r="G16" i="9"/>
  <c r="G13" i="9"/>
  <c r="G15" i="9"/>
  <c r="I143" i="14"/>
  <c r="I68" i="14"/>
  <c r="I106" i="15"/>
  <c r="O143" i="14"/>
  <c r="O68" i="14"/>
  <c r="O106" i="15"/>
  <c r="K68" i="14"/>
  <c r="K106" i="15"/>
  <c r="K143" i="14"/>
  <c r="L13" i="9"/>
  <c r="L44" i="9"/>
  <c r="L16" i="9"/>
  <c r="L42" i="9"/>
  <c r="L29" i="9"/>
  <c r="L30" i="9"/>
  <c r="L14" i="9"/>
  <c r="L25" i="9"/>
  <c r="L15" i="9"/>
  <c r="L68" i="14"/>
  <c r="L106" i="15"/>
  <c r="L143" i="14"/>
  <c r="Q30" i="9"/>
  <c r="Q42" i="9"/>
  <c r="Q44" i="9"/>
  <c r="Q14" i="9"/>
  <c r="Q25" i="9"/>
  <c r="Q29" i="9"/>
  <c r="Q13" i="9"/>
</calcChain>
</file>

<file path=xl/sharedStrings.xml><?xml version="1.0" encoding="utf-8"?>
<sst xmlns="http://schemas.openxmlformats.org/spreadsheetml/2006/main" count="5535" uniqueCount="1236">
  <si>
    <t>ANSYS Inc (ANSS US) - GAAP Highlights</t>
  </si>
  <si>
    <t>In Millions of USD except Per Share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</si>
  <si>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</si>
  <si>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</si>
  <si>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</si>
  <si>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</si>
  <si>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</si>
  <si>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</si>
  <si>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</si>
  <si>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</si>
  <si>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</si>
  <si>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</si>
  <si>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</si>
  <si>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</si>
  <si>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</si>
  <si>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</si>
  <si>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</si>
  <si>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12 Months Ending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</si>
  <si>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</si>
  <si>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</si>
  <si>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</si>
  <si>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</si>
  <si>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</si>
  <si>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</si>
  <si>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</si>
  <si>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</si>
  <si>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</si>
  <si>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</si>
  <si>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</si>
  <si>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</si>
  <si>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</si>
  <si>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</si>
  <si>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</si>
  <si>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Total Revenues</t>
  </si>
  <si>
    <t>SALES_REV_TURN</t>
  </si>
  <si>
    <t>Operating Income</t>
  </si>
  <si>
    <t>IS_OPER_INC</t>
  </si>
  <si>
    <t>Net Income to Common</t>
  </si>
  <si>
    <t>EARN_FOR_COMMON</t>
  </si>
  <si>
    <t>Basic EPS, GAAP</t>
  </si>
  <si>
    <t>IS_EPS</t>
  </si>
  <si>
    <t>Diluted EPS, GAAP</t>
  </si>
  <si>
    <t>IS_DILUTED_EPS</t>
  </si>
  <si>
    <t xml:space="preserve">  Basic Weighted Avg Shares</t>
  </si>
  <si>
    <t>IS_AVG_NUM_SH_FOR_EPS</t>
  </si>
  <si>
    <t xml:space="preserve">  Diluted Weighted Avg Shares</t>
  </si>
  <si>
    <t>IS_SH_FOR_DILUTED_EPS</t>
  </si>
  <si>
    <t>Cash and Equivalents</t>
  </si>
  <si>
    <t>CASH_AND_MARKETABLE_SECURITIES</t>
  </si>
  <si>
    <t>Total Current Assets</t>
  </si>
  <si>
    <t>BS_CUR_ASSET_REPORT</t>
  </si>
  <si>
    <t>Total Assets</t>
  </si>
  <si>
    <t>BS_TOT_ASSET</t>
  </si>
  <si>
    <t>Total Current Liabilities</t>
  </si>
  <si>
    <t>BS_CUR_LIAB</t>
  </si>
  <si>
    <t>Total Liabilities</t>
  </si>
  <si>
    <t>BS_TOT_LIAB2</t>
  </si>
  <si>
    <t>Total Equity</t>
  </si>
  <si>
    <t>TOTAL_EQUITY</t>
  </si>
  <si>
    <t xml:space="preserve">  Shares Out on Balance Sheet</t>
  </si>
  <si>
    <t>BS_SH_OUT</t>
  </si>
  <si>
    <t xml:space="preserve">  Shares Out on Filing Cover</t>
  </si>
  <si>
    <t>ARD_SHARE_OUT_FROM_FRONT_COVER</t>
  </si>
  <si>
    <t>Cash From Operations</t>
  </si>
  <si>
    <t>CF_CASH_FROM_OPER</t>
  </si>
  <si>
    <t>Cash From Investing</t>
  </si>
  <si>
    <t>CF_CASH_FROM_INV_ACT</t>
  </si>
  <si>
    <t>Cash From Financing</t>
  </si>
  <si>
    <t>CF_CASH_FROM_FNC_ACT</t>
  </si>
  <si>
    <t>Source: Bloomberg</t>
  </si>
  <si>
    <t>Right click to show data transparency (not supported for all values)</t>
  </si>
  <si>
    <t>ANSYS Inc (ANSS US) - GAAP</t>
  </si>
  <si>
    <t>Last 12M</t>
  </si>
  <si>
    <t>FY 2024 Est</t>
  </si>
  <si>
    <t>FY 2025 Est</t>
  </si>
  <si>
    <t>09/30/2024</t>
  </si>
  <si>
    <t>12/31/2024</t>
  </si>
  <si>
    <t>12/31/2025</t>
  </si>
  <si>
    <t>Revenue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</si>
  <si>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</si>
  <si>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</si>
  <si>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</si>
  <si>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</si>
  <si>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</si>
  <si>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</si>
  <si>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</si>
  <si>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</si>
  <si>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Depreciation &amp; Amortization</t>
  </si>
  <si>
    <t>IS_DA_COST_OF_REVENUE_GAAP</t>
  </si>
  <si>
    <t>Gross Profit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</si>
  <si>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</si>
  <si>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</si>
  <si>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</si>
  <si>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</si>
  <si>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</si>
  <si>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</si>
  <si>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</si>
  <si>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</si>
  <si>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IS_OPER_EXPENSES_RD_GAAP</t>
  </si>
  <si>
    <t>IS_DEPRECIATION_AND_AMORTIZATION</t>
  </si>
  <si>
    <t>—</t>
  </si>
  <si>
    <t xml:space="preserve">    + Other Operating Expense</t>
  </si>
  <si>
    <t>OTHER_OPERATING_EXPENSES_RATIO</t>
  </si>
  <si>
    <t>Operating Income (Loss)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</si>
  <si>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</si>
  <si>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</si>
  <si>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</si>
  <si>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</si>
  <si>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</si>
  <si>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</si>
  <si>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</si>
  <si>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</si>
  <si>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</si>
  <si>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</si>
  <si>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</si>
  <si>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</si>
  <si>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</si>
  <si>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</si>
  <si>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</si>
  <si>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</si>
  <si>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</si>
  <si>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</si>
  <si>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</si>
  <si>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</si>
  <si>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</si>
  <si>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</si>
  <si>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</si>
  <si>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</si>
  <si>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</si>
  <si>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</si>
  <si>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</si>
  <si>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</si>
  <si>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</si>
  <si>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</si>
  <si>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</si>
  <si>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</si>
  <si>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</si>
  <si>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</si>
  <si>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</si>
  <si>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</si>
  <si>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</si>
  <si>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</si>
  <si>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</si>
  <si>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</si>
  <si>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</si>
  <si>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</si>
  <si>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</si>
  <si>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</si>
  <si>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</si>
  <si>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</si>
  <si>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</si>
  <si>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</si>
  <si>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</si>
  <si>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</si>
  <si>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</si>
  <si>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</si>
  <si>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</si>
  <si>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</si>
  <si>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</si>
  <si>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</si>
  <si>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</si>
  <si>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</si>
  <si>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</si>
  <si>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</si>
  <si>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</si>
  <si>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</si>
  <si>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</si>
  <si>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</si>
  <si>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</si>
  <si>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</si>
  <si>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</si>
  <si>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</si>
  <si>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</si>
  <si>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</si>
  <si>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</si>
  <si>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</si>
  <si>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</si>
  <si>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</si>
  <si>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</si>
  <si>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</si>
  <si>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</si>
  <si>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</si>
  <si>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</si>
  <si>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</si>
  <si>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</si>
  <si>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</si>
  <si>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</si>
  <si>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</si>
  <si>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>ANSYS Inc (ANSS US) - Standardized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</si>
  <si>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</si>
  <si>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</si>
  <si>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</si>
  <si>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</si>
  <si>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</si>
  <si>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</si>
  <si>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</si>
  <si>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</si>
  <si>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</si>
  <si>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</si>
  <si>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</si>
  <si>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</si>
  <si>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</si>
  <si>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</si>
  <si>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</si>
  <si>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</si>
  <si>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</si>
  <si>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</si>
  <si>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</si>
  <si>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</si>
  <si>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</si>
  <si>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</si>
  <si>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</si>
  <si>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</si>
  <si>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</si>
  <si>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</si>
  <si>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Deferred Tax Assets</t>
  </si>
  <si>
    <t>BS_DEFERRED_TAX_ASSETS_ST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</si>
  <si>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</si>
  <si>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</si>
  <si>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</si>
  <si>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</si>
  <si>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</si>
  <si>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</si>
  <si>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</si>
  <si>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</si>
  <si>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</si>
  <si>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</si>
  <si>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</si>
  <si>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</si>
  <si>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</si>
  <si>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</si>
  <si>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</si>
  <si>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</si>
  <si>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</si>
  <si>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</si>
  <si>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</si>
  <si>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</si>
  <si>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BS_DEFERRED_TAX_ASSETS_LT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</si>
  <si>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</si>
  <si>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</si>
  <si>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</si>
  <si>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</si>
  <si>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</si>
  <si>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</si>
  <si>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</si>
  <si>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</si>
  <si>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</si>
  <si>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</si>
  <si>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</si>
  <si>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</si>
  <si>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</si>
  <si>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</si>
  <si>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</si>
  <si>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</si>
  <si>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</si>
  <si>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</si>
  <si>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</si>
  <si>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</si>
  <si>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</si>
  <si>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</si>
  <si>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</si>
  <si>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</si>
  <si>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</si>
  <si>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</si>
  <si>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</si>
  <si>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</si>
  <si>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</si>
  <si>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</si>
  <si>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</si>
  <si>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</si>
  <si>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</si>
  <si>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</si>
  <si>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</si>
  <si>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</si>
  <si>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</si>
  <si>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</si>
  <si>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</si>
  <si>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</si>
  <si>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</si>
  <si>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</si>
  <si>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</si>
  <si>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</si>
  <si>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</si>
  <si>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</si>
  <si>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</si>
  <si>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</si>
  <si>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</si>
  <si>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</si>
  <si>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</si>
  <si>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</si>
  <si>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</si>
  <si>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</si>
  <si>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</si>
  <si>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</si>
  <si>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</si>
  <si>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</si>
  <si>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</si>
  <si>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</si>
  <si>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</si>
  <si>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</si>
  <si>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</si>
  <si>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</si>
  <si>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</si>
  <si>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</si>
  <si>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</si>
  <si>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</si>
  <si>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</si>
  <si>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</si>
  <si>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</si>
  <si>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</si>
  <si>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</si>
  <si>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</si>
  <si>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</si>
  <si>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</si>
  <si>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</si>
  <si>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</si>
  <si>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</si>
  <si>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</si>
  <si>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</si>
  <si>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</si>
  <si>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</si>
  <si>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Liabilities &amp; Equity</t>
  </si>
  <si>
    <t>TOT_LIAB_AND_EQY</t>
  </si>
  <si>
    <t>Shares Outstanding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</si>
  <si>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</si>
  <si>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</si>
  <si>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</si>
  <si>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</si>
  <si>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</si>
  <si>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</si>
  <si>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</si>
  <si>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</si>
  <si>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</si>
  <si>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</si>
  <si>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</si>
  <si>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</si>
  <si>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</si>
  <si>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</si>
  <si>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</si>
  <si>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</si>
  <si>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</si>
  <si>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</si>
  <si>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</si>
  <si>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</si>
  <si>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Held Overseas</t>
  </si>
  <si>
    <t>BS_CASH_HELD_OVERSEAS</t>
  </si>
  <si>
    <t>Number of Employees</t>
  </si>
  <si>
    <t>NUM_OF_EMPLOYEES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</si>
  <si>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</si>
  <si>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</si>
  <si>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</si>
  <si>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</si>
  <si>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</si>
  <si>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</si>
  <si>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</si>
  <si>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</si>
  <si>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</si>
  <si>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</si>
  <si>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</si>
  <si>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</si>
  <si>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</si>
  <si>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</si>
  <si>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</si>
  <si>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</si>
  <si>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</si>
  <si>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</si>
  <si>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</si>
  <si>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</si>
  <si>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</si>
  <si>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</si>
  <si>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</si>
  <si>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</si>
  <si>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</si>
  <si>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</si>
  <si>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</si>
  <si>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</si>
  <si>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</si>
  <si>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</si>
  <si>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</si>
  <si>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</si>
  <si>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</si>
  <si>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</si>
  <si>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</si>
  <si>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</si>
  <si>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</si>
  <si>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</si>
  <si>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</si>
  <si>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</si>
  <si>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</si>
  <si>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</si>
  <si>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</si>
  <si>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</si>
  <si>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</si>
  <si>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</si>
  <si>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</si>
  <si>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</si>
  <si>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</si>
  <si>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</si>
  <si>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</si>
  <si>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</si>
  <si>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</si>
  <si>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</si>
  <si>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</si>
  <si>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</si>
  <si>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</si>
  <si>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</si>
  <si>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</si>
  <si>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</si>
  <si>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</si>
  <si>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</si>
  <si>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</si>
  <si>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</si>
  <si>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</si>
  <si>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</si>
  <si>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</si>
  <si>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</si>
  <si>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</si>
  <si>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</si>
  <si>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</si>
  <si>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</si>
  <si>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</si>
  <si>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</si>
  <si>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</si>
  <si>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</si>
  <si>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</si>
  <si>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</si>
  <si>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</si>
  <si>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</si>
  <si>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</si>
  <si>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</si>
  <si>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</si>
  <si>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</si>
  <si>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</si>
  <si>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Net Cash Paid for Acquisitions</t>
  </si>
  <si>
    <t>CF_NET_CASH_PAID_FOR_AQUIS</t>
  </si>
  <si>
    <t>Tax Benefit from Stock Options</t>
  </si>
  <si>
    <t>CF_TAX_BENEFIT_FRM_STOCK_OPTIONS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</si>
  <si>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</si>
  <si>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</si>
  <si>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</si>
  <si>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</si>
  <si>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</si>
  <si>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</si>
  <si>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</si>
  <si>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</si>
  <si>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</si>
  <si>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</si>
  <si>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</si>
  <si>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</si>
  <si>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ANSYS Inc (ANSS US)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</si>
  <si>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</si>
  <si>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</si>
  <si>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</si>
  <si>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</si>
  <si>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</si>
  <si>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</si>
  <si>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</si>
  <si>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</si>
  <si>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</si>
  <si>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</si>
  <si>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</si>
  <si>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</si>
  <si>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</si>
  <si>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</si>
  <si>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</si>
  <si>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</si>
  <si>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</si>
  <si>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</si>
  <si>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</si>
  <si>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</si>
  <si>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</si>
  <si>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</si>
  <si>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</si>
  <si>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</si>
  <si>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</si>
  <si>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</si>
  <si>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</si>
  <si>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</si>
  <si>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ANSYS Inc (ANSS US) - ESG Ratios</t>
  </si>
  <si>
    <t>Disclosure Scores</t>
  </si>
  <si>
    <t>ESG Disclosure Score</t>
  </si>
  <si>
    <t>ESG_DISCLOSURE_SCORE</t>
  </si>
  <si>
    <t>Environmental Disclosure Score</t>
  </si>
  <si>
    <t>ENVIRON_DISCLOSURE_SCORE</t>
  </si>
  <si>
    <t>Social Disclosure Score</t>
  </si>
  <si>
    <t>SOCIAL_DISCLOSURE_SCORE</t>
  </si>
  <si>
    <t>Governance Disclosure Score</t>
  </si>
  <si>
    <t>GOVNCE_DISCLOSURE_SCORE</t>
  </si>
  <si>
    <t>Greenhouse Gases</t>
  </si>
  <si>
    <t>GHG Intensity per Sales</t>
  </si>
  <si>
    <t>GHG_INTENSITY_PER_SALES</t>
  </si>
  <si>
    <t>GHG Scope 1 Intensity per Sales</t>
  </si>
  <si>
    <t>GHG_SCOPE_1_INTENSITY_PER_SALES</t>
  </si>
  <si>
    <t>GHG Scope 2 Intensity per Sales</t>
  </si>
  <si>
    <t>GHG_SCOPE_2_INTENSITY_PER_SALES</t>
  </si>
  <si>
    <t>GHG Intensity per EBITDA</t>
  </si>
  <si>
    <t>GHG_INTENSITY_PER_EBITDA</t>
  </si>
  <si>
    <t>GHG/CO2 Intensity / Gross Fixed Assets</t>
  </si>
  <si>
    <t>TOT_GHG_CO2_EM_INT_P_GR_FXD_AST</t>
  </si>
  <si>
    <t>GHG/CO2 Intensity / Net Fixed Assets</t>
  </si>
  <si>
    <t>TOT_GHG_CO2_EM_INT_P_NT_FXD_AST</t>
  </si>
  <si>
    <t>GHG Intensity per Energy</t>
  </si>
  <si>
    <t>GHG_INTENSITY_PER_ENERGY</t>
  </si>
  <si>
    <t>GHG Intensity per Employee</t>
  </si>
  <si>
    <t>GHG_INTENSITY_PER_EMPLOYEE</t>
  </si>
  <si>
    <t>GHG Intensity per Assets</t>
  </si>
  <si>
    <t>GHG_INTENSITY_PER_ASSETS</t>
  </si>
  <si>
    <t>Scope 3 GHG per Employee</t>
  </si>
  <si>
    <t>TRAVEL_GHG_PER_EMPLOYEE</t>
  </si>
  <si>
    <t>Carbon Dioxide</t>
  </si>
  <si>
    <t>Travel Emissions per Sales</t>
  </si>
  <si>
    <t>TRAVEL_EMISSIONS_PER_SALES</t>
  </si>
  <si>
    <t>Travel Emissions per Employee</t>
  </si>
  <si>
    <t>TRAVEL_CO2_PER_EMPLOYEE</t>
  </si>
  <si>
    <t>Energy</t>
  </si>
  <si>
    <t>Energy Intensity per Sales</t>
  </si>
  <si>
    <t>ENERGY_INTENSITY_PER_SALES</t>
  </si>
  <si>
    <t>Energy Intensity per EBITDA</t>
  </si>
  <si>
    <t>ENERGY_INTENSITY_PER_EBITDA</t>
  </si>
  <si>
    <t>Energy Intensity per Employee</t>
  </si>
  <si>
    <t>ENERGY_INTENSITY_PER_EMPLOYEE</t>
  </si>
  <si>
    <t>Energy Intensity per Assets</t>
  </si>
  <si>
    <t>ENERGY_INTENSITY_PER_ASSETS</t>
  </si>
  <si>
    <t>Water</t>
  </si>
  <si>
    <t>Waste</t>
  </si>
  <si>
    <t>Other Environmental</t>
  </si>
  <si>
    <t>Social</t>
  </si>
  <si>
    <t>Women Management to Employees Ratio</t>
  </si>
  <si>
    <t>WOMEN_MANAGEMENT_TO_EMPL_RATIO</t>
  </si>
  <si>
    <t>Political Donations % PTP</t>
  </si>
  <si>
    <t>POL_DONATIONS_PCT_PRETAX_PROFIT</t>
  </si>
  <si>
    <t>R&amp;D Expenditures per Cash Flow</t>
  </si>
  <si>
    <t>RD_EXPENDITURES_PER_CASH_FLOW</t>
  </si>
  <si>
    <t>Actual Net Income per Employee</t>
  </si>
  <si>
    <t>ACTUAL_NET_INCOME_PER_EMPLOYEE</t>
  </si>
  <si>
    <t>Actual Cash Flow per Employee</t>
  </si>
  <si>
    <t>CASH_FLOW_PER_EMPLOYEE</t>
  </si>
  <si>
    <t>Governance</t>
  </si>
  <si>
    <t>Percentage of Non-Executive Directors on Board</t>
  </si>
  <si>
    <t>PCT_OF_NON_EXEC_DIR_ON_BRD</t>
  </si>
  <si>
    <t>Pct Independent Directors</t>
  </si>
  <si>
    <t>PCT_INDEPENDENT_DIRECTORS</t>
  </si>
  <si>
    <t>% Women on Board</t>
  </si>
  <si>
    <t>PCT_WOMEN_ON_BOARD</t>
  </si>
  <si>
    <t>Percentage of Female Executives</t>
  </si>
  <si>
    <t>PERCENTAGE_OF_FEMALE_EXECUTIVES</t>
  </si>
  <si>
    <t>Board of Directors Age Range</t>
  </si>
  <si>
    <t>BOARD_OF_DIRECTORS_AGE_RANGE</t>
  </si>
  <si>
    <t>Board Average Age</t>
  </si>
  <si>
    <t>BOARD_AVERAGE_AGE</t>
  </si>
  <si>
    <t>Board Meeting Attendance Pct</t>
  </si>
  <si>
    <t>BOARD_MEETING_ATTENDANCE_PCT</t>
  </si>
  <si>
    <t>Independent Directors Board Meeting Attendance %</t>
  </si>
  <si>
    <t>IND_DIRECTORS_BRD_MTG_ATTEND_PCT</t>
  </si>
  <si>
    <t>Pct of Independent Directors on Audit Committee</t>
  </si>
  <si>
    <t>PCT_IND_DIRECTORS_ON_AUDIT_CMTE</t>
  </si>
  <si>
    <t>Audit Committee Meeting Attendance Percentage</t>
  </si>
  <si>
    <t>AUDIT_COMMITTEE_MTG_ATTEND_PCT</t>
  </si>
  <si>
    <t>Pct of Ind Directors on Compensation Committee</t>
  </si>
  <si>
    <t>PCT_IND_DIRECTORS_ON_COMP_CMTE</t>
  </si>
  <si>
    <t>Compensation Committee Meeting Attendance %</t>
  </si>
  <si>
    <t>COMPENSATION_CMTE_MTG_ATTEND_PCT</t>
  </si>
  <si>
    <t>Pct of Ind Directors on Nomination Committee</t>
  </si>
  <si>
    <t>PCT_OF_IND_DIRECTORS_ON_NOM_CMTE</t>
  </si>
  <si>
    <t>ANSYS Inc (ANSS US) - By Measure</t>
  </si>
  <si>
    <t xml:space="preserve">  Maintenance &amp; Service</t>
  </si>
  <si>
    <t xml:space="preserve">    Maintenance</t>
  </si>
  <si>
    <t xml:space="preserve">    Service</t>
  </si>
  <si>
    <t xml:space="preserve">  Software Licenses</t>
  </si>
  <si>
    <t xml:space="preserve">    Lease Licenses</t>
  </si>
  <si>
    <t xml:space="preserve">    Perpetual licenses</t>
  </si>
  <si>
    <t>Percentage of Revenue</t>
  </si>
  <si>
    <t>% of Revenue - Supplementary</t>
  </si>
  <si>
    <t xml:space="preserve">  Direct</t>
  </si>
  <si>
    <t xml:space="preserve">  Indirect</t>
  </si>
  <si>
    <t>Net Sales % Increased at Constant Currency</t>
  </si>
  <si>
    <t xml:space="preserve">  Lease Licenses</t>
  </si>
  <si>
    <t xml:space="preserve">  Maintenance</t>
  </si>
  <si>
    <t xml:space="preserve">  Service</t>
  </si>
  <si>
    <t xml:space="preserve">  Perpetual licenses</t>
  </si>
  <si>
    <t>Cost of Revenue</t>
  </si>
  <si>
    <t xml:space="preserve">  Adjustment</t>
  </si>
  <si>
    <t>Cost of Revenue Growth Amount</t>
  </si>
  <si>
    <t xml:space="preserve">  Computer Aided Design</t>
  </si>
  <si>
    <t>Revenue Growth %</t>
  </si>
  <si>
    <t>Cost of Revenue Growth %</t>
  </si>
  <si>
    <t>Adjusted Revenue</t>
  </si>
  <si>
    <t>Contract Coverage %</t>
  </si>
  <si>
    <t xml:space="preserve">  Healthcare</t>
  </si>
  <si>
    <t xml:space="preserve">  High-Tech</t>
  </si>
  <si>
    <t xml:space="preserve">  Aerospace &amp; Defense</t>
  </si>
  <si>
    <t xml:space="preserve">  Automotive</t>
  </si>
  <si>
    <t xml:space="preserve">  Industrial Equipment</t>
  </si>
  <si>
    <t xml:space="preserve">  Energy</t>
  </si>
  <si>
    <t xml:space="preserve">  Materials &amp; Chemicals</t>
  </si>
  <si>
    <t xml:space="preserve">  Academic</t>
  </si>
  <si>
    <t xml:space="preserve">  Consumer Products</t>
  </si>
  <si>
    <t xml:space="preserve">  Construction</t>
  </si>
  <si>
    <t xml:space="preserve">  Other Customer</t>
  </si>
  <si>
    <t xml:space="preserve">  Semiconductors</t>
  </si>
  <si>
    <t xml:space="preserve">  Electronics</t>
  </si>
  <si>
    <t xml:space="preserve">  Bio-Med</t>
  </si>
  <si>
    <t>Adjusted Revenue Growth %</t>
  </si>
  <si>
    <t>Adjusted Revenue Growth @ CC %</t>
  </si>
  <si>
    <t>ANSYS Inc (ANSS US) - By Geography</t>
  </si>
  <si>
    <t xml:space="preserve">  Foreign</t>
  </si>
  <si>
    <t xml:space="preserve">    Other EMEA</t>
  </si>
  <si>
    <t xml:space="preserve">    Japan</t>
  </si>
  <si>
    <t xml:space="preserve">    Germany</t>
  </si>
  <si>
    <t xml:space="preserve">    Other International</t>
  </si>
  <si>
    <t xml:space="preserve">    China</t>
  </si>
  <si>
    <t xml:space="preserve">    South Korea</t>
  </si>
  <si>
    <t xml:space="preserve">    France</t>
  </si>
  <si>
    <t xml:space="preserve">    Canada</t>
  </si>
  <si>
    <t xml:space="preserve">  United States</t>
  </si>
  <si>
    <t>Revenue - Supplementary Breakdown</t>
  </si>
  <si>
    <t xml:space="preserve">  Domestic</t>
  </si>
  <si>
    <t xml:space="preserve">  EMEA</t>
  </si>
  <si>
    <t xml:space="preserve">    United Kingdom</t>
  </si>
  <si>
    <t xml:space="preserve">  Asia-Pacific</t>
  </si>
  <si>
    <t xml:space="preserve">    Other Asia Pacific</t>
  </si>
  <si>
    <t xml:space="preserve">  International</t>
  </si>
  <si>
    <t>Foreign Currency Impact on Revenue</t>
  </si>
  <si>
    <t xml:space="preserve">  Euro</t>
  </si>
  <si>
    <t xml:space="preserve">  Other</t>
  </si>
  <si>
    <t xml:space="preserve">  South Korean Won</t>
  </si>
  <si>
    <t xml:space="preserve">  Taiwan</t>
  </si>
  <si>
    <t xml:space="preserve">  Indian Rupee</t>
  </si>
  <si>
    <t xml:space="preserve">  Japanese Yen</t>
  </si>
  <si>
    <t xml:space="preserve">  Israeli New Shekel</t>
  </si>
  <si>
    <t xml:space="preserve">  Canadian Dollar</t>
  </si>
  <si>
    <t xml:space="preserve">  British Pound</t>
  </si>
  <si>
    <t>Property/Plant/Equipment</t>
  </si>
  <si>
    <t xml:space="preserve">    EMEA</t>
  </si>
  <si>
    <t xml:space="preserve">    India</t>
  </si>
  <si>
    <t>Net PP&amp;E Excluding Right of Use Assets</t>
  </si>
  <si>
    <t>ANSYS Inc (ANSS US) - By Segment</t>
  </si>
  <si>
    <t>Software Licenses</t>
  </si>
  <si>
    <t xml:space="preserve">  Revenue</t>
  </si>
  <si>
    <t xml:space="preserve">  Revenue Growth %</t>
  </si>
  <si>
    <t xml:space="preserve">  Cost of Revenue</t>
  </si>
  <si>
    <t xml:space="preserve">  Adjusted Revenue</t>
  </si>
  <si>
    <t xml:space="preserve">  Cost of Revenue Growth %</t>
  </si>
  <si>
    <t xml:space="preserve">  Percentage of Revenue</t>
  </si>
  <si>
    <t xml:space="preserve">  Cost of Revenue Growth Amount</t>
  </si>
  <si>
    <t xml:space="preserve">  Net Sales % Increased at Constant Currency</t>
  </si>
  <si>
    <t>Maintenance &amp; Service</t>
  </si>
  <si>
    <t>Computer Aided Design</t>
  </si>
  <si>
    <t xml:space="preserve">  Gross Profit</t>
  </si>
  <si>
    <t>Adjustment</t>
  </si>
  <si>
    <t>Maintenance</t>
  </si>
  <si>
    <t xml:space="preserve">  Adjusted Revenue Growth %</t>
  </si>
  <si>
    <t xml:space="preserve">  Adjusted Revenue Growth @ CC %</t>
  </si>
  <si>
    <t>Perpetual licenses</t>
  </si>
  <si>
    <t>Service</t>
  </si>
  <si>
    <t>Lease Licenses</t>
  </si>
  <si>
    <t>High-Tech</t>
  </si>
  <si>
    <t xml:space="preserve">  Contract Coverage %</t>
  </si>
  <si>
    <t>Construction</t>
  </si>
  <si>
    <t>Academic</t>
  </si>
  <si>
    <t>Aerospace &amp; Defense</t>
  </si>
  <si>
    <t>Automotive</t>
  </si>
  <si>
    <t>Consumer Products</t>
  </si>
  <si>
    <t>Industrial Equipment</t>
  </si>
  <si>
    <t>Materials &amp; Chemicals</t>
  </si>
  <si>
    <t>Healthcare</t>
  </si>
  <si>
    <t>Direct</t>
  </si>
  <si>
    <t xml:space="preserve">  % of Revenue - Supplementary</t>
  </si>
  <si>
    <t>Indirect</t>
  </si>
  <si>
    <t>Other Customer</t>
  </si>
  <si>
    <t>Bio-Med</t>
  </si>
  <si>
    <t>Electronics</t>
  </si>
  <si>
    <t>Semiconductors</t>
  </si>
  <si>
    <t>ANSYS Inc (ANSS US) - Environmental</t>
  </si>
  <si>
    <t>ESG Financial Materiality Scores</t>
  </si>
  <si>
    <t>BESG Environmental Pillar Score</t>
  </si>
  <si>
    <t>ENVIRONMENTAL_SCORE</t>
  </si>
  <si>
    <t>ESG Disclosure Scores</t>
  </si>
  <si>
    <t>Scope of Company Reporting</t>
  </si>
  <si>
    <t>Scope of Disclosure</t>
  </si>
  <si>
    <t>SCOPE_OF_DISCLOSURE</t>
  </si>
  <si>
    <t>Reporting Basis Consistent</t>
  </si>
  <si>
    <t>CONSISTENT_REPORTING_BASIS</t>
  </si>
  <si>
    <t>n/a</t>
  </si>
  <si>
    <t>Yes</t>
  </si>
  <si>
    <t>Verification Type</t>
  </si>
  <si>
    <t>VERIFICATION_TYPE</t>
  </si>
  <si>
    <t>No</t>
  </si>
  <si>
    <t>GRI Criteria Compliance</t>
  </si>
  <si>
    <t>GRI_COMPLIANCE</t>
  </si>
  <si>
    <t>GRI Checked</t>
  </si>
  <si>
    <t>GRI_CHECKED</t>
  </si>
  <si>
    <t>SASB Reporting Company</t>
  </si>
  <si>
    <t>SUS_ACCTG_STANDARDS_BRD_RPT_COMP</t>
  </si>
  <si>
    <t>Adopts TCFD Recommendations</t>
  </si>
  <si>
    <t>ADOPT_TCFD_RECOMMENDATIONS</t>
  </si>
  <si>
    <t>Adopts TNFD Recommendations</t>
  </si>
  <si>
    <t>ADOPT_TNFD_RECOMMENDATIONS</t>
  </si>
  <si>
    <t>Transition Plan Claim</t>
  </si>
  <si>
    <t>TRANSITION_PLAN_INDICATOR</t>
  </si>
  <si>
    <t>Emissions</t>
  </si>
  <si>
    <t>Total GHG Emissions</t>
  </si>
  <si>
    <t>GHG_SCOPE_1_2_LOCATION_BASED</t>
  </si>
  <si>
    <t>GHG Scope 1 &amp; 2 Market-Based</t>
  </si>
  <si>
    <t>GHG_SCOPE_1_2_MARKET_BASED</t>
  </si>
  <si>
    <t>GHG Scope 1</t>
  </si>
  <si>
    <t>GHG_SCOPE_1</t>
  </si>
  <si>
    <t>GHG Scope 2 Location-Based</t>
  </si>
  <si>
    <t>GHG_SCOPE_2_LOCATION_BASED</t>
  </si>
  <si>
    <t>GHG Scope 2 Market-Based</t>
  </si>
  <si>
    <t>GHG_SCOPE_2_MARKET_BASED</t>
  </si>
  <si>
    <t>GHG Scope 3</t>
  </si>
  <si>
    <t>GHG_SCOPE_3</t>
  </si>
  <si>
    <t>Scope 3 Capital Goods Emissions</t>
  </si>
  <si>
    <t>SCOPE_3_CAPITAL_GOODS</t>
  </si>
  <si>
    <t>Scope 3 Fuel &amp; Energy Related Activities Emissions</t>
  </si>
  <si>
    <t>SCOPE_3_FUEL_ENRG_RELATD_ACT</t>
  </si>
  <si>
    <t>Scope 3 Upstream Transprttn and Distrbtn Emissions</t>
  </si>
  <si>
    <t>SCOPE_3_UPSTREAM_TRANS_DIST</t>
  </si>
  <si>
    <t>Scope 3 Waste Generated in Operations Emissions</t>
  </si>
  <si>
    <t>SCOPE_3_WASTE_GENRTD_IN_OP</t>
  </si>
  <si>
    <t>Scope 3 Employee Commuting Emissions</t>
  </si>
  <si>
    <t>SCOPE_3_EMPLOYEE_COMMUTING</t>
  </si>
  <si>
    <t>Scope 3 Upstream Leased Assets Emissions</t>
  </si>
  <si>
    <t>SCOPE_3_UPSTREAM_LEASED_ASSETS</t>
  </si>
  <si>
    <t>Scope 3 Business Travel Emissions</t>
  </si>
  <si>
    <t>SCOPE_3_BUSINESS_TRVL_EMISSIONS</t>
  </si>
  <si>
    <t>Scope 3 Purchased Goods and Services Emissions</t>
  </si>
  <si>
    <t>SCOPE_3_PURCH_GOODS_SRVCS</t>
  </si>
  <si>
    <t>Direct CO2 Emissions</t>
  </si>
  <si>
    <t>CO2_SCOPE_1</t>
  </si>
  <si>
    <t>Methane (CH4) Scope 1</t>
  </si>
  <si>
    <t>METHANE_SCOPE_1</t>
  </si>
  <si>
    <t>Nitrous Oxide (N2O) Scope 1</t>
  </si>
  <si>
    <t>N20_SCOPE_1</t>
  </si>
  <si>
    <t>Methane (CH4) Scope 1 in CO2 Equivalent</t>
  </si>
  <si>
    <t>METHANE_SCOPE_1_IN_CO2_EQUIV</t>
  </si>
  <si>
    <t>Nitrous Oxide (N2O) Scope 1 in CO2 Equivalent</t>
  </si>
  <si>
    <t>N2O_SCOPE_1_IN_CO2_EQUIV</t>
  </si>
  <si>
    <t>Hydrofluorocarbon (HFC) Scope 1 in CO2 Equivalent</t>
  </si>
  <si>
    <t>HFC_SCOPE_1_IN_CO2_EQUIV</t>
  </si>
  <si>
    <t>Total Energy Consumption</t>
  </si>
  <si>
    <t>ENERGY_CONSUMPTION</t>
  </si>
  <si>
    <t>Electricity Used</t>
  </si>
  <si>
    <t>ELECTRICITY_USED</t>
  </si>
  <si>
    <t>Renewable Energy Use</t>
  </si>
  <si>
    <t>RENEW_ENERGY_USE</t>
  </si>
  <si>
    <t>Self Generated Renewable Electricity</t>
  </si>
  <si>
    <t>SELF_GEN_RENEWABLE_ELECTRICITY</t>
  </si>
  <si>
    <t>Fuel Used - Natural Gas</t>
  </si>
  <si>
    <t>NAT_GAS_USED</t>
  </si>
  <si>
    <t>Fuel Used - Oil/Diesel</t>
  </si>
  <si>
    <t>OIL_DIESEL_USED</t>
  </si>
  <si>
    <t>Total Fuel Consumed</t>
  </si>
  <si>
    <t>TOT_FUEL_CONSUMED</t>
  </si>
  <si>
    <t>Percentage Renewable Energy Consumed</t>
  </si>
  <si>
    <t>PCT_RENEWABLE_ENERGY_CONSMD</t>
  </si>
  <si>
    <t>Grid Electricity Used</t>
  </si>
  <si>
    <t>GRID_ELECTRICITY_USED</t>
  </si>
  <si>
    <t>Waste Management</t>
  </si>
  <si>
    <t>Material</t>
  </si>
  <si>
    <t>Spills</t>
  </si>
  <si>
    <t>Environmental Fines</t>
  </si>
  <si>
    <t>Investments/Costs</t>
  </si>
  <si>
    <t>Certified Sites</t>
  </si>
  <si>
    <t>Number of Sites</t>
  </si>
  <si>
    <t>NUMBER_OF_SITES</t>
  </si>
  <si>
    <t>Operational Policy</t>
  </si>
  <si>
    <t>Renewable Electricity Target Policy</t>
  </si>
  <si>
    <t>RENEWABLE_ELECTRICITY_TARGET_POL</t>
  </si>
  <si>
    <t>Energy Efficiency Policy</t>
  </si>
  <si>
    <t>ENERGY_EFFIC_POLICY</t>
  </si>
  <si>
    <t>Emissions Reduction Initiatives</t>
  </si>
  <si>
    <t>EMISSION_REDUCTION</t>
  </si>
  <si>
    <t>Environmental Supply Chain Management</t>
  </si>
  <si>
    <t>ENVIRON_SUPPLY_MGT</t>
  </si>
  <si>
    <t>Environmental Quality Management Policy</t>
  </si>
  <si>
    <t>ENVIRON_QUAL_MGT</t>
  </si>
  <si>
    <t>Green Building Policy</t>
  </si>
  <si>
    <t>GREEN_BUILDING</t>
  </si>
  <si>
    <t>Sustainable Packaging</t>
  </si>
  <si>
    <t>SUSTAIN_PACKAGING</t>
  </si>
  <si>
    <t>Waste Reduction Policy</t>
  </si>
  <si>
    <t>WASTE_REDUCTION</t>
  </si>
  <si>
    <t>Water Policy</t>
  </si>
  <si>
    <t>WATER_POLICY</t>
  </si>
  <si>
    <t>Biodiversity Policy</t>
  </si>
  <si>
    <t>BIODIVERSITY_POLICY</t>
  </si>
  <si>
    <t>Climate Change Policy</t>
  </si>
  <si>
    <t>CLIMATE_CHG_POLICY</t>
  </si>
  <si>
    <t>New Products - Climate Change</t>
  </si>
  <si>
    <t>CLIMATE_CHG_PRODS</t>
  </si>
  <si>
    <t>Climate Change Opportunities Discussed</t>
  </si>
  <si>
    <t>CLIMATE_CHG_OPPORTUNITIES</t>
  </si>
  <si>
    <t>Risks of Climate Change Discussed</t>
  </si>
  <si>
    <t>CLIMATE_RISKS</t>
  </si>
  <si>
    <t>Internal Carbon Pricing</t>
  </si>
  <si>
    <t>INTERNAL_CARBON_PRICING</t>
  </si>
  <si>
    <t>Product Lifecycle Design</t>
  </si>
  <si>
    <t>PRODUCT_LIFECYCLE_DESIGN</t>
  </si>
  <si>
    <t>Customer Efficiency Initiatives</t>
  </si>
  <si>
    <t>CUSTOMER_EFFICIENCY_INITIATIVES</t>
  </si>
  <si>
    <t>Biodiversity</t>
  </si>
  <si>
    <t>Commitment to External Biodiv Rel Initiatives</t>
  </si>
  <si>
    <t>COMMIT_EX_BIODIV_REL_INITITV</t>
  </si>
  <si>
    <t>Biodiversity Risks and Opportunities Discussed</t>
  </si>
  <si>
    <t>BIODIV_RISKS_OPP_DISCUSSED</t>
  </si>
  <si>
    <t>Impact of Comp Value Chain on Biodiv Assessed</t>
  </si>
  <si>
    <t>IMP_COMP_VAL_CHN_BIODIV_ASSD</t>
  </si>
  <si>
    <t>Zero Deforestation Policy</t>
  </si>
  <si>
    <t>ZERO_DEFORESTATION_POLICY</t>
  </si>
  <si>
    <t>ANSYS Inc (ANSS US) - Social</t>
  </si>
  <si>
    <t>BESG Social Pillar Score</t>
  </si>
  <si>
    <t>SOCIAL_SCORE</t>
  </si>
  <si>
    <t>Employees</t>
  </si>
  <si>
    <t>NUMBER_EMPLOYEES_CSR</t>
  </si>
  <si>
    <t>Employee Turnover Pct</t>
  </si>
  <si>
    <t>EMPLOYEE_TURNOVER_PCT</t>
  </si>
  <si>
    <t>Voluntary Turnover Pct</t>
  </si>
  <si>
    <t>VOLUNTARY_TURNOVER_PCT</t>
  </si>
  <si>
    <t>Involuntary Turnover Pct</t>
  </si>
  <si>
    <t>INVOLUNTARY_TURNOVER_PCT</t>
  </si>
  <si>
    <t>Pct Employees Unionized</t>
  </si>
  <si>
    <t>PCT_EMPLOYEES_UNIONIZED</t>
  </si>
  <si>
    <t>Employee Diversity</t>
  </si>
  <si>
    <t>CDO or Equivalent Executive</t>
  </si>
  <si>
    <t>HAS_CDO_OR_EQUIVALENT_EXECUTIVE</t>
  </si>
  <si>
    <t>% Women in Mgt</t>
  </si>
  <si>
    <t>PCT_WOMEN_SENIOR_MGT</t>
  </si>
  <si>
    <t>Pct Women in Workforce</t>
  </si>
  <si>
    <t>PCT_WOMEN_EMPLOYEES</t>
  </si>
  <si>
    <t>Percent Women IT/Engineering</t>
  </si>
  <si>
    <t>PCT_WOMEN_IT_ENGINEERING</t>
  </si>
  <si>
    <t>% Women of New Hires</t>
  </si>
  <si>
    <t>PCT_WOMEN_NEW_HIRES</t>
  </si>
  <si>
    <t>% Women of Employee Exits</t>
  </si>
  <si>
    <t>PCT_WOMEN_ATTRITION</t>
  </si>
  <si>
    <t>Equal Opportunity Policy</t>
  </si>
  <si>
    <t>EQUAL_OPPORTUNITY_POLICY</t>
  </si>
  <si>
    <t>Published United States EEO-1 Data</t>
  </si>
  <si>
    <t>PUBLISHED_US_EEO_1_DATA</t>
  </si>
  <si>
    <t>Inclusive Culture</t>
  </si>
  <si>
    <t>Back-Up Family Care Services Indicator</t>
  </si>
  <si>
    <t>BACK_UP_FAMILY_CARE_SVCS_IND</t>
  </si>
  <si>
    <t>Flexible Working Policy Indicator</t>
  </si>
  <si>
    <t>FLEXIBLE_WORKING_POLICY_IND</t>
  </si>
  <si>
    <t>Female Leadership Action Plan</t>
  </si>
  <si>
    <t>FEMLE_LEADRSHP_ACTN_PLAN</t>
  </si>
  <si>
    <t>Employee Groups for Women</t>
  </si>
  <si>
    <t>HAS_EMPLOYEE_GROUPS_WOMEN</t>
  </si>
  <si>
    <t>Timed Target to Increase Women's Represntn Ind</t>
  </si>
  <si>
    <t>TIMED_TGT_INCR_WOMEN_REP_IND</t>
  </si>
  <si>
    <t>Gender Pay Gap</t>
  </si>
  <si>
    <t>Partial Median Gender Pay Gap</t>
  </si>
  <si>
    <t>PARTIAL_MED_GENDER_PAY_GAP</t>
  </si>
  <si>
    <t>Unadjusted Partial Mean Gender Pay Gap</t>
  </si>
  <si>
    <t>UNADJ_PRTL_MEAN_GNDR_PAY_GAP</t>
  </si>
  <si>
    <t>Gender Pay Gap Breakout</t>
  </si>
  <si>
    <t>GENDER_PAY_GAP_BREAKOUT</t>
  </si>
  <si>
    <t>Action Plan to Close Gender Pay Gap</t>
  </si>
  <si>
    <t>GENDR_PAY_GAP_ACTN_PLAN</t>
  </si>
  <si>
    <t>Employee Training</t>
  </si>
  <si>
    <t>Training Policy</t>
  </si>
  <si>
    <t>TRAINING_POLICY</t>
  </si>
  <si>
    <t>Employee CSR Training</t>
  </si>
  <si>
    <t>EMPLOYEE_CSR_TRAINING</t>
  </si>
  <si>
    <t>Annual Sexual Harassment Training</t>
  </si>
  <si>
    <t>ANNL_SEXL_HARSSMNT_TRAINNG</t>
  </si>
  <si>
    <t>Unconscious Bias Training For All Employees</t>
  </si>
  <si>
    <t>UNCONSC_BIAS_TRAIN_ALL_EMPL</t>
  </si>
  <si>
    <t>Safety</t>
  </si>
  <si>
    <t>Health and Safety Policy</t>
  </si>
  <si>
    <t>HEALTH_SAFETY_POLICY</t>
  </si>
  <si>
    <t>Supply Chain</t>
  </si>
  <si>
    <t>Social Supply Chain Management</t>
  </si>
  <si>
    <t>SOCIAL_SUPPLY_CHAIN_MGMT</t>
  </si>
  <si>
    <t>Sustain Sup Guidelines Encomp ESG Area Pub Disclsd</t>
  </si>
  <si>
    <t>SUS_SUP_GDL_ENC_ESG_AREA_PUB_DIS</t>
  </si>
  <si>
    <t>Human Rights &amp; Modern Slavery</t>
  </si>
  <si>
    <t>Human Rights Policy</t>
  </si>
  <si>
    <t>HUMAN_RIGHTS_POLICY</t>
  </si>
  <si>
    <t>Human Rights Due Diligence Process</t>
  </si>
  <si>
    <t>HUMAN_RIGHTS_DUE_DIL_PROC</t>
  </si>
  <si>
    <t>Human Rights Remediation Process</t>
  </si>
  <si>
    <t>HUMN_RIGHTS_REMEDITN_PROCESS</t>
  </si>
  <si>
    <t>Modern Slavery Statement</t>
  </si>
  <si>
    <t>MODERN_SLAVERY_STATEMENT</t>
  </si>
  <si>
    <t>Supply Chain Modern Slavery Assessment</t>
  </si>
  <si>
    <t>SPPLY_CHN_MODRN_SLVRY_ASSMNT</t>
  </si>
  <si>
    <t>Policy Against Child Labor</t>
  </si>
  <si>
    <t>POLICY_AGAINST_CHILD_LABOR</t>
  </si>
  <si>
    <t>Community &amp; Customers</t>
  </si>
  <si>
    <t>Consumer Data Protection Policy</t>
  </si>
  <si>
    <t>CONSUMER_DATA_PROTECTION_POLICY</t>
  </si>
  <si>
    <t>Number of Customers Affected By Data Breaches</t>
  </si>
  <si>
    <t>NUM_CSTM_AFFECTED_BY_BREACH</t>
  </si>
  <si>
    <t>Pct Data Breaches Personal Id Info</t>
  </si>
  <si>
    <t>PCT_DATA_BREACH_PERS_ID_INFO</t>
  </si>
  <si>
    <t>Political Donations($)</t>
  </si>
  <si>
    <t>POLITICAL_DONATIONS</t>
  </si>
  <si>
    <t>Has Issued Recall Due to Serious Illness/Injury and/or Fatality? (Y/N)</t>
  </si>
  <si>
    <t>ISSD_RCL_DUE_SRS_ILNS_INJ_FTLTY</t>
  </si>
  <si>
    <t>Policy</t>
  </si>
  <si>
    <t>Anti-Bribery Ethics Policy</t>
  </si>
  <si>
    <t>ANTI_BRIBERY_ETHICS_POLICY</t>
  </si>
  <si>
    <t>Business Ethics Policy</t>
  </si>
  <si>
    <t>ETHICS_POLICY</t>
  </si>
  <si>
    <t>Employee Protection / Whistle Blower Policy</t>
  </si>
  <si>
    <t>EMP_PROT_WHISTLE_BLOWER_POLICY</t>
  </si>
  <si>
    <t>Fair Remuneration Policy</t>
  </si>
  <si>
    <t>FAIR_REMUNERATION_POLICY</t>
  </si>
  <si>
    <t>Intellectual Property Rights Protection Policy</t>
  </si>
  <si>
    <t>INTELLECTUAL_PPTY_RGHTS_PROT_POL</t>
  </si>
  <si>
    <t>Quality Assurance and Recall Policy</t>
  </si>
  <si>
    <t>QUALITY_ASSURANCE_AND_RECALL_POL</t>
  </si>
  <si>
    <t>Community Engagement Policy</t>
  </si>
  <si>
    <t>COMMUNITY_ENGAGEMENT_POLICY</t>
  </si>
  <si>
    <t>Access and Affordability Policy</t>
  </si>
  <si>
    <t>ACCESS_AND_AFFORDABILITY_POL</t>
  </si>
  <si>
    <t>Political Involvement Policy</t>
  </si>
  <si>
    <t>POLITICAL_INVOLVEMENT_POLICY</t>
  </si>
  <si>
    <t>Anti - Competition Policy</t>
  </si>
  <si>
    <t>ANTI_COMPETITION_POLICY</t>
  </si>
  <si>
    <t>Product Data Security Policy</t>
  </si>
  <si>
    <t>PRODUCT_DATA_SECURITY_POLICY</t>
  </si>
  <si>
    <t>Sustainable Development Goals Target Policy</t>
  </si>
  <si>
    <t>SUSTAIN_DEV_GOALS_TGT_POL</t>
  </si>
  <si>
    <t>Framework Engagement</t>
  </si>
  <si>
    <t>UN Global Compact Signatory</t>
  </si>
  <si>
    <t>UN_GLOBAL_COMPACT_SIGNATORY</t>
  </si>
  <si>
    <t>SDGs Target Policy</t>
  </si>
  <si>
    <t>UN Women's Empowerment Principals Signatory</t>
  </si>
  <si>
    <t>UN_WOMN_EMPWRMNT_PR_SIGNTRY</t>
  </si>
  <si>
    <t>Black Economic Empowerment (BEE)</t>
  </si>
  <si>
    <t>Bloomberg Gender-Equality Index</t>
  </si>
  <si>
    <t>BGEI Score</t>
  </si>
  <si>
    <t>BGEI_SCORE</t>
  </si>
  <si>
    <t>BGEI Disclosure Score</t>
  </si>
  <si>
    <t>BGEI_DISCLSRE_SCORE</t>
  </si>
  <si>
    <t>BGEI Data Excellence Score</t>
  </si>
  <si>
    <t>BGEI_DATA_EXCLLNCE_SCORE</t>
  </si>
  <si>
    <t>BGEI Leadership Score</t>
  </si>
  <si>
    <t>BGEI_LEADERSHP_SCORE</t>
  </si>
  <si>
    <t>BGEI Equal Pay Score</t>
  </si>
  <si>
    <t>BGEI_EQUAL_PAY_SCORE</t>
  </si>
  <si>
    <t>BGEI Inclusive Culture Score</t>
  </si>
  <si>
    <t>BGEI_INCLSVE_CULTRE_SCORE</t>
  </si>
  <si>
    <t>BGEI Sexual Harassment Policy Score</t>
  </si>
  <si>
    <t>BGEI_SEXL_HARSSMNT_PLCY_SCORE</t>
  </si>
  <si>
    <t>BGEI External Brand Score</t>
  </si>
  <si>
    <t>BGEI_EXTERNAL_BRAND_SCORE</t>
  </si>
  <si>
    <t>% of Women in Revenue Producing Roles</t>
  </si>
  <si>
    <t>PCT_WOMEN_IN_REV_PRODUCING_ROLES</t>
  </si>
  <si>
    <t>Strategy for Recruiting Women</t>
  </si>
  <si>
    <t>HAS_STRATEGY_RECRUITING_WOMEN</t>
  </si>
  <si>
    <t>Percent US Employee Base Female</t>
  </si>
  <si>
    <t>PCT_US_EMPLYEE_BASE_FEMLE</t>
  </si>
  <si>
    <t>United States Workforce</t>
  </si>
  <si>
    <t>US_WORKFRCE</t>
  </si>
  <si>
    <t>US Paid Primary Parental Leave Offered (weeks)</t>
  </si>
  <si>
    <t>NUM_WEEKS_PD_MATERNITY_LEAVE_US</t>
  </si>
  <si>
    <t>US Paid Primary Parental Leave Used (weeks)</t>
  </si>
  <si>
    <t>AVG_WEEKS_PAID_MATERNITY_US</t>
  </si>
  <si>
    <t>US Paid Secondary Parental Leave Offered (weeks)</t>
  </si>
  <si>
    <t>NUM_WEEKS_PD_PATERNITY_LEAVE_US</t>
  </si>
  <si>
    <t>US Paid Secondary Parental Leave Used (weeks)</t>
  </si>
  <si>
    <t>AVG_WEEKS_PAID_PATERNITY_US</t>
  </si>
  <si>
    <t>Covers Fertility Services</t>
  </si>
  <si>
    <t>COVERS_FERTILITY_SERVICES</t>
  </si>
  <si>
    <t>Covers Egg Freezing</t>
  </si>
  <si>
    <t>COVERS_EGG_FREEZING</t>
  </si>
  <si>
    <t>Covers Gender Reassignment Services</t>
  </si>
  <si>
    <t>COVERS_GENDER_REASSIGNMENT_SRVCS</t>
  </si>
  <si>
    <t>Child Care Backup or Subsidies</t>
  </si>
  <si>
    <t>PROVIDES_CARE_SUBSIDY</t>
  </si>
  <si>
    <t>Elder Care Backup or Subsidies Policy</t>
  </si>
  <si>
    <t>ELDR_CR_BACKP_SUBSID_PLCY</t>
  </si>
  <si>
    <t>Employee Engagement Survey</t>
  </si>
  <si>
    <t>EMPLYEE_ENGGMNT_SURVY</t>
  </si>
  <si>
    <t>Employee Engagement Results By Gender</t>
  </si>
  <si>
    <t>EMPLYEE_ENGGMNT_RESLTS_GENDR</t>
  </si>
  <si>
    <t>Manager DI Goals Performance Reviews</t>
  </si>
  <si>
    <t>MANAGER_DI_GOALS_PERF_REVIEWS</t>
  </si>
  <si>
    <t>Public Policy Condemning Workplace Sexual Harassment</t>
  </si>
  <si>
    <t>PUB_SEXL_HRSSMNT_PLCY</t>
  </si>
  <si>
    <t>Investigator for Sexual Harassment</t>
  </si>
  <si>
    <t>INVESTIGATOR_SEX_HARASSMENT</t>
  </si>
  <si>
    <t>Prohibits Nondisclosure Agreements Unless Requested by Victim</t>
  </si>
  <si>
    <t>PROHBTS_NONDISCLSRE_AGMT</t>
  </si>
  <si>
    <t>Requires Private Arbitration for Sexual Harassment Claims</t>
  </si>
  <si>
    <t>REQ_PVT_ARBTRTN_SEXL_HRSSMNT</t>
  </si>
  <si>
    <t>Recruiting Women After Career Break</t>
  </si>
  <si>
    <t>RCRTNG_WMN_AFTER_CAREER_BRK</t>
  </si>
  <si>
    <t>Retail Customer Base</t>
  </si>
  <si>
    <t>RETL_CUSTMR_BASE</t>
  </si>
  <si>
    <t>Provides Financial Services</t>
  </si>
  <si>
    <t>PROVIDS_FINNCIL_SERVCS</t>
  </si>
  <si>
    <t>External Financial Education Prgms for Women</t>
  </si>
  <si>
    <t>SPONSORS_FINL_EDU_PROG_WOMEN</t>
  </si>
  <si>
    <t>External Health Education Prgms for Women</t>
  </si>
  <si>
    <t>SPONSORS_HEALTH_EDU_PROG_WOMEN</t>
  </si>
  <si>
    <t>External STEM Education Programs for Women</t>
  </si>
  <si>
    <t>SPNSR_STEM_EDU_PROG_FOR_WOMN</t>
  </si>
  <si>
    <t>Donates to Gender Equality Organizations</t>
  </si>
  <si>
    <t>DONATES_TO_GENDER_EQUALITY_ORG</t>
  </si>
  <si>
    <t>EDGE Certified</t>
  </si>
  <si>
    <t>EDGE_CERTIFIED</t>
  </si>
  <si>
    <t>Fines</t>
  </si>
  <si>
    <t>Number of Fines For Data Breaches</t>
  </si>
  <si>
    <t>NUMBER_FINES_DATA_BREACHES</t>
  </si>
  <si>
    <t>Amount of Fines For Data Breaches</t>
  </si>
  <si>
    <t>AMOUNT_FINES_DATA_BREACHES</t>
  </si>
  <si>
    <t>ANSYS Inc (ANSS US) - Governance</t>
  </si>
  <si>
    <t>BESG Governance Pillar Score</t>
  </si>
  <si>
    <t>GOVERNANCE_SCORE</t>
  </si>
  <si>
    <t>Board Structure</t>
  </si>
  <si>
    <t>Board Size</t>
  </si>
  <si>
    <t>BOARD_SIZE</t>
  </si>
  <si>
    <t>Unitary or Two Tier Board System</t>
  </si>
  <si>
    <t>UNITARY_OR_TWO_TIER_BOARD_SYSTEM</t>
  </si>
  <si>
    <t># Employee Representatives on Board</t>
  </si>
  <si>
    <t>NUM_EMP_REPRESENTATIVES_BRD</t>
  </si>
  <si>
    <t>Classified Board System</t>
  </si>
  <si>
    <t>CLASSIFIED_BOARD_SYSTEM</t>
  </si>
  <si>
    <t>Board Independence</t>
  </si>
  <si>
    <t># Non Exec Dir on Board</t>
  </si>
  <si>
    <t>NUM_OF_NONEXEC_DIR_ON_BRD</t>
  </si>
  <si>
    <t>% Non Exec Dir on Board</t>
  </si>
  <si>
    <t># Independent Directors</t>
  </si>
  <si>
    <t>INDEPENDENT_DIRECTORS</t>
  </si>
  <si>
    <t>% Independent Directors</t>
  </si>
  <si>
    <t>CEO Duality</t>
  </si>
  <si>
    <t>CEO_DUALITY</t>
  </si>
  <si>
    <t>Independent Chairperson</t>
  </si>
  <si>
    <t>INDEPENDENT_CHAIRPERSON</t>
  </si>
  <si>
    <t>Independent Lead Director</t>
  </si>
  <si>
    <t>INDEPENDENT_LEAD_DIRECTOR</t>
  </si>
  <si>
    <t>Presiding Director</t>
  </si>
  <si>
    <t>PRESIDING_DIRECTOR</t>
  </si>
  <si>
    <t>Former CEO or its Equivalent on Board</t>
  </si>
  <si>
    <t>FORMER_CEO_OR_ITS_EQUIV_ON_BRD</t>
  </si>
  <si>
    <t>Board &amp; Exec Diversity</t>
  </si>
  <si>
    <t># Women on Board</t>
  </si>
  <si>
    <t>NUMBER_OF_WOMEN_ON_BOARD</t>
  </si>
  <si>
    <t>Female Chief Executive Officer or Equivalent</t>
  </si>
  <si>
    <t>FEMALE_CEO_OR_EQUIVALENT</t>
  </si>
  <si>
    <t>Female Chairperson or Equivalent</t>
  </si>
  <si>
    <t>FEMALE_CHAIRPERSON_OR_EQUIVALENT</t>
  </si>
  <si>
    <t># Executives / Company Mgrs</t>
  </si>
  <si>
    <t>NUM_EXECUTIVES_COMP_MANAGERS</t>
  </si>
  <si>
    <t>CEO or Equivalent Appointed from Within</t>
  </si>
  <si>
    <t>CEO_OR_EQUIV_APPT_FROM_WITHIN</t>
  </si>
  <si>
    <t># Female Executives</t>
  </si>
  <si>
    <t>NUMBER_OF_FEMALE_EXECUTIVES</t>
  </si>
  <si>
    <t>% Female Executives</t>
  </si>
  <si>
    <t>Age of the Youngest Director</t>
  </si>
  <si>
    <t>AGE_OF_YOUNGEST_DIRECTOR</t>
  </si>
  <si>
    <t>Age of the Oldest Director</t>
  </si>
  <si>
    <t>AGE_OF_OLDEST_DIRECTOR</t>
  </si>
  <si>
    <t>Board Age Limit</t>
  </si>
  <si>
    <t>BOARD_AGE_LIMIT</t>
  </si>
  <si>
    <t>Board Diversity Breakout Code</t>
  </si>
  <si>
    <t>BOARD_DIVERSITY_BREAKOUT_CODE</t>
  </si>
  <si>
    <t>Board Diversity Count</t>
  </si>
  <si>
    <t>BOARD_DIVERSITY_COUNT</t>
  </si>
  <si>
    <t>Board Diversity Percentage</t>
  </si>
  <si>
    <t>BOARD_DIVERSITY_PCT</t>
  </si>
  <si>
    <t>Board Women and Ethnic Diversity Count</t>
  </si>
  <si>
    <t>BOARD_WOMEN_ETHNIC_DIV_COUNT</t>
  </si>
  <si>
    <t>Board Women and Ethnic Diversity Percent</t>
  </si>
  <si>
    <t>BOARD_WOMEN_ETHNIC_DIV_PCT</t>
  </si>
  <si>
    <t>Board Meetings</t>
  </si>
  <si>
    <t># Board Meetings</t>
  </si>
  <si>
    <t>BOARD_MEETINGS_PER_YR</t>
  </si>
  <si>
    <t>Board Meeting Attendance %</t>
  </si>
  <si>
    <t># Dir Attending Less than 75% of Mtgs</t>
  </si>
  <si>
    <t>NUM_DIR_ATTEND_LT_75_PCT_MTG</t>
  </si>
  <si>
    <t>Audit Committee</t>
  </si>
  <si>
    <t>Size of Audit Committee</t>
  </si>
  <si>
    <t>SIZE_OF_AUDIT_COMMITTEE</t>
  </si>
  <si>
    <t># Independent Dir on Audit Cmte</t>
  </si>
  <si>
    <t>NUM_IND_DIR_ON_AUD_CMTE</t>
  </si>
  <si>
    <t>% Independent Dir on Audit Cmte</t>
  </si>
  <si>
    <t>Independent Audit Committee Chairperson</t>
  </si>
  <si>
    <t>IND_AUDIT_COMMITTEE_CHAIRPERSON</t>
  </si>
  <si>
    <t># Non Exec Dir on Audit Cmte</t>
  </si>
  <si>
    <t>NUM_OF_NON_EXEC_DIR_ON_AUD_CMTE</t>
  </si>
  <si>
    <t>Audit Committee Meetings</t>
  </si>
  <si>
    <t>AUDIT_COMMITTEE_MEETINGS</t>
  </si>
  <si>
    <t>Compensation Committee</t>
  </si>
  <si>
    <t>Size of Compensation Committee</t>
  </si>
  <si>
    <t>SIZE_OF_COMPENSATION_COMMITTEE</t>
  </si>
  <si>
    <t># Independent Dir on Comp Cmte</t>
  </si>
  <si>
    <t>NUM_IND_DIR_ON_CMPNSTN_CMTE</t>
  </si>
  <si>
    <t>% Independent Dir on Comp Cmte</t>
  </si>
  <si>
    <t>Independent Compensation Committee Chairperson</t>
  </si>
  <si>
    <t>IND_COMP_CMTE_CHAIRPERSON</t>
  </si>
  <si>
    <t># Non Exec Dir on Comp Cmte</t>
  </si>
  <si>
    <t>NUM_OF_N_EXEC_DIR_ON_COMP_CMTE</t>
  </si>
  <si>
    <t># Comp Committee Meetings</t>
  </si>
  <si>
    <t>NUM_COMPENSATION_CMTE_MTG</t>
  </si>
  <si>
    <t>Outside Compensation Advisors Appointed</t>
  </si>
  <si>
    <t>OUTSIDE_COMP_ADVISORS_APPT</t>
  </si>
  <si>
    <t>Executive Compensation Consultant Srvcs Provided</t>
  </si>
  <si>
    <t>EXEC_COM_CONSULTANT_SVC_PROVIDED</t>
  </si>
  <si>
    <t>Nomination Committee</t>
  </si>
  <si>
    <t>Size of Nomination Committee</t>
  </si>
  <si>
    <t>SIZE_OF_NOMINATION_COMMITTEE</t>
  </si>
  <si>
    <t># Independent Dir on Nom Cmte</t>
  </si>
  <si>
    <t>NUM_IND_DIR_ON_NOM_CMTE</t>
  </si>
  <si>
    <t>Independent Nomination Committee Chairperson</t>
  </si>
  <si>
    <t>IND_NOMINATION_CMTE_CHAIRPERSON</t>
  </si>
  <si>
    <t># Non Exec Dir on Nom Cmte</t>
  </si>
  <si>
    <t>NUM_OF_NON_EXEC_DIR_ON_NOM_CMTE</t>
  </si>
  <si>
    <t># Nom Cmte Meetings</t>
  </si>
  <si>
    <t>NUM_OF_NOMINATION_CMTE_MTG</t>
  </si>
  <si>
    <t>Nomination Committee Meeting Attendance Percentage</t>
  </si>
  <si>
    <t>NOMINATION_CMTE_MTG_ATTEND_PCT</t>
  </si>
  <si>
    <t>CSR/Sustainability Committee</t>
  </si>
  <si>
    <t>CSR_SUSTAINABILITY_COMMITTEE</t>
  </si>
  <si>
    <t>Size of CSR Sustainability Committee</t>
  </si>
  <si>
    <t>SIZE_OF_CSR_SUSTAIN_COMMTTEE</t>
  </si>
  <si>
    <t>Num Independent Directors on CSR Committee</t>
  </si>
  <si>
    <t>NUM_OF_INDEP_DIR_ON_CSR_CMTE</t>
  </si>
  <si>
    <t>Pct Independent Directors on CSR Committee</t>
  </si>
  <si>
    <t>PCT_OF_INDEP_DIR_ON_CSR_CMTE</t>
  </si>
  <si>
    <t>CSR Committee Chairperson Independent</t>
  </si>
  <si>
    <t>CSR_CMTE_CHRPRSN_INDEP</t>
  </si>
  <si>
    <t>Num of Non Exec Directors on CSR Committee</t>
  </si>
  <si>
    <t>NUM_OF_NONEXEC_DIR_CSR_CMTE</t>
  </si>
  <si>
    <t>Number of CSR Sustainability Committee Meetings</t>
  </si>
  <si>
    <t>NUM_OF_CSR_SUSTAIN_CMTE_MTGS</t>
  </si>
  <si>
    <t>Percent of CSR Sustainability Committee Attendance</t>
  </si>
  <si>
    <t>PCT_CSR_SUSTAIN_CMTE_ATTEND</t>
  </si>
  <si>
    <t>Board &amp; Exec Activities</t>
  </si>
  <si>
    <t>Non-Executive Director with Responsibility for CSR</t>
  </si>
  <si>
    <t>NONEXEC_DIR_WITH_RESPONS_FOR_CSR</t>
  </si>
  <si>
    <t>Executive Director with Responsibility for CSR</t>
  </si>
  <si>
    <t>EXEC_DIR_WITH_RESPONS_FOR_CSR</t>
  </si>
  <si>
    <t>Executive Compensation Linked to ESG</t>
  </si>
  <si>
    <t>ESG_LINKED_BONUS</t>
  </si>
  <si>
    <t>Executive Compensation Linked to Climate</t>
  </si>
  <si>
    <t>EXCTVE_COMPNSTN_LINKD_CLIMTE</t>
  </si>
  <si>
    <t>ESG Linked Compensation for Board</t>
  </si>
  <si>
    <t>ESG_LINKED_COMPENSATION_FOR_BRD</t>
  </si>
  <si>
    <t>Clawback Provision for Executive Compensation</t>
  </si>
  <si>
    <t>CLAWBACK_PROVISION_FOR_EXEC_COMP</t>
  </si>
  <si>
    <t>Chg of Ctrl Benefits/Golden Parachute Agreements</t>
  </si>
  <si>
    <t>CHG_OF_CTRL_BFIT_GOLD_CHUTE_AGR</t>
  </si>
  <si>
    <t>Comp Discloses CEO or Equivalent Pay Ratio Flg</t>
  </si>
  <si>
    <t>COMP_DISC_CEO_PAY_RATIO_FLG</t>
  </si>
  <si>
    <t>CEO or Equivalent Pay Ratio (Median Employee)</t>
  </si>
  <si>
    <t>CEO_PAY_RATIO_MEDIAN</t>
  </si>
  <si>
    <t>CEO Pay Ratio Median Employee Compensation</t>
  </si>
  <si>
    <t>CEO_PAY_RATIO_MED_EMPL_COMP</t>
  </si>
  <si>
    <t>CEO Pay Ratio CEO or Equivalent Total Comp</t>
  </si>
  <si>
    <t>CEO_PAY_RATIO_CEO_COMP</t>
  </si>
  <si>
    <t>Political Donations</t>
  </si>
  <si>
    <t>Board Level Oversight of Biodiversity</t>
  </si>
  <si>
    <t>BOARD_LEVEL_OVERSIGHT_BIODIV</t>
  </si>
  <si>
    <t>Executive Level Oversight of Biodiversity</t>
  </si>
  <si>
    <t>EXEC_LEVEL_OVERSIGHT_BIODIV</t>
  </si>
  <si>
    <t>Tax Compliance</t>
  </si>
  <si>
    <t>Global Tax Strategy</t>
  </si>
  <si>
    <t>GLOBAL_TAX_STRATEGY</t>
  </si>
  <si>
    <t>Governance Body Responsible for Compliance</t>
  </si>
  <si>
    <t>GOV_BODY_RESPNSBL_FOR_CMPLNC</t>
  </si>
  <si>
    <t>Tax Disclosed in Jurisdiction of Incorporation</t>
  </si>
  <si>
    <t>TAX_DISC_JURSDCTN_OF_INC</t>
  </si>
  <si>
    <t>Tax Disclosed in Each Key Jurisdiction</t>
  </si>
  <si>
    <t>TAX_DISC_EACH_KEY_JURSDCTN</t>
  </si>
  <si>
    <t>Tax Risk Integrated Into Risk Managemnt System</t>
  </si>
  <si>
    <t>TAX_RSK_INT_INTO_RSK_MGM_SYS</t>
  </si>
  <si>
    <t>Shareholder Rights</t>
  </si>
  <si>
    <t>Special Meetings Allowed</t>
  </si>
  <si>
    <t>SPECIAL_MEETINGS_ALLOWED</t>
  </si>
  <si>
    <t>Action By Written Consent</t>
  </si>
  <si>
    <t>ACTION_BY_WRITTEN_CONSENT</t>
  </si>
  <si>
    <t>Poison Pill Plan</t>
  </si>
  <si>
    <t>POISON_PILL_PLAN</t>
  </si>
  <si>
    <t>Shareholder Approved Poison Pill</t>
  </si>
  <si>
    <t>SHAREHOLDER_APPROVED_POISON_PILL</t>
  </si>
  <si>
    <t>Poison Pill TIDE Provision</t>
  </si>
  <si>
    <t>POISON_PILL_TIDE_PROVISION</t>
  </si>
  <si>
    <t>Poison Pill Sunset Provision</t>
  </si>
  <si>
    <t>POISON_PILL_SUNSET_PROVISION</t>
  </si>
  <si>
    <t>Controlled Company</t>
  </si>
  <si>
    <t>CONTROLLED_COMPANY</t>
  </si>
  <si>
    <t>Cumulative Voting System</t>
  </si>
  <si>
    <t>CUMULATIVE_VOTING_SYSTEM</t>
  </si>
  <si>
    <t>Supermajority Bylaw Provision</t>
  </si>
  <si>
    <t>SUPERMAJORITY_BYLAW_PROVSION</t>
  </si>
  <si>
    <t>Blank Check Preferred Authorized</t>
  </si>
  <si>
    <t>BLANK_CHECK_PREFERRED_AUTHORIZED</t>
  </si>
  <si>
    <t>Dual Class Unequal Voting Rights - Common</t>
  </si>
  <si>
    <t>DUAL_CLASS_UNEQUAL_VTG_RTS</t>
  </si>
  <si>
    <t>Director Election Vote Policy</t>
  </si>
  <si>
    <t>DIRECTOR_ELECTION_VOTE_POLICY</t>
  </si>
  <si>
    <t>Proxy Access Policy</t>
  </si>
  <si>
    <t>COMPANY_HAS_PROXY_ACCESS_POLICY</t>
  </si>
  <si>
    <t>Board Duration (Years)</t>
  </si>
  <si>
    <t>BOARD_DURATION</t>
  </si>
  <si>
    <t>Executive Director Board Duration</t>
  </si>
  <si>
    <t>EXECUTIVE_DIRECTOR_BOARD_DUR</t>
  </si>
  <si>
    <t>AGM Voting Results</t>
  </si>
  <si>
    <t>Say On Pay Provision</t>
  </si>
  <si>
    <t>SAY_ON_PAY_PROVISION</t>
  </si>
  <si>
    <t>Frequency of Say on Pay Votes</t>
  </si>
  <si>
    <t>FREQUENCY_OF_SAY_ON_PAY_VOTES</t>
  </si>
  <si>
    <t>Say on Pay Support Level</t>
  </si>
  <si>
    <t>SAY_PAY_SUPPORT_LEVEL</t>
  </si>
  <si>
    <t>Say on Pay Number of Votes FOR</t>
  </si>
  <si>
    <t>SAY_PAY_NUMBER_OF_VOTES_FOR</t>
  </si>
  <si>
    <t>Say on Pay Number of Votes AGAINST</t>
  </si>
  <si>
    <t>SAY_PAY_NUMBER_OF_VOTES_AGAINST</t>
  </si>
  <si>
    <t>Say On Pay Number of Votes - ABSTAIN</t>
  </si>
  <si>
    <t>SAY_ON_PAY_NUMBER_VOTES_ABSTAIN</t>
  </si>
  <si>
    <t>Say On Pay Number of Votes - BROKER NON VOTE</t>
  </si>
  <si>
    <t>SAY_PAY_NUM_VOTES_BRK_NON_VOTE</t>
  </si>
  <si>
    <t>Auditor Ratification</t>
  </si>
  <si>
    <t>AUDITOR_RATIFICATION</t>
  </si>
  <si>
    <t>Auditor Ratification Support Level</t>
  </si>
  <si>
    <t>AUDITOR_RATIFICATION_SUP_LEVL</t>
  </si>
  <si>
    <t>Auditor Ratification Number of Votes - FOR</t>
  </si>
  <si>
    <t>AUDITOR_RATIFICATION_NUM_VOTES</t>
  </si>
  <si>
    <t>Auditor Ratification Number of Votes - AGAINST</t>
  </si>
  <si>
    <t>AUDITOR_RATIF_NUM_VOTES_AGA</t>
  </si>
  <si>
    <t>Auditor Ratification Number of Votes - ABSTAIN</t>
  </si>
  <si>
    <t>AUDIT_RATIF_NUM_VOTES_ABSTAIN</t>
  </si>
  <si>
    <t>Auditor Ratification Number Votes BROKER NON VOTE</t>
  </si>
  <si>
    <t>AUD_RATIF_NUM_VOTES_BRK_N_VOTE</t>
  </si>
  <si>
    <t>Years Auditor Employed</t>
  </si>
  <si>
    <t>YEARS_AUDITOR_EMPLOYED</t>
  </si>
  <si>
    <t>Director Compensation</t>
  </si>
  <si>
    <t xml:space="preserve"> 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</si>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</sst>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63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164" fontId="11" fillId="34" borderId="2">
      <alignment horizontal="right"/>
    </xf>
    <xf numFmtId="164" fontId="11" fillId="35" borderId="2">
      <alignment horizontal="right"/>
    </xf>
    <xf numFmtId="0" fontId="7" fillId="33" borderId="16">
      <alignment horizontal="centerContinuous"/>
    </xf>
    <xf numFmtId="0" fontId="7" fillId="33" borderId="17">
      <alignment horizontal="centerContinuous"/>
    </xf>
    <xf numFmtId="164" fontId="1" fillId="34" borderId="18">
      <alignment horizontal="right"/>
    </xf>
    <xf numFmtId="165" fontId="1" fillId="34" borderId="19">
      <alignment horizontal="right"/>
    </xf>
    <xf numFmtId="4" fontId="1" fillId="34" borderId="18">
      <alignment horizontal="right"/>
    </xf>
    <xf numFmtId="10" fontId="1" fillId="34" borderId="19">
      <alignment horizontal="right"/>
    </xf>
    <xf numFmtId="164" fontId="8" fillId="34" borderId="18">
      <alignment horizontal="right"/>
    </xf>
    <xf numFmtId="165" fontId="8" fillId="34" borderId="19">
      <alignment horizontal="right"/>
    </xf>
    <xf numFmtId="4" fontId="8" fillId="34" borderId="18">
      <alignment horizontal="right"/>
    </xf>
    <xf numFmtId="10" fontId="8" fillId="34" borderId="19">
      <alignment horizontal="right"/>
    </xf>
    <xf numFmtId="9" fontId="12" fillId="0" borderId="0" applyFont="0" applyFill="0" applyBorder="0" applyAlignment="0" applyProtection="0"/>
  </cellStyleXfs>
  <cellXfs count="47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4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64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64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64" fontId="8" fillId="35" borderId="2" xfId="63">
      <alignment horizontal="right"/>
    </xf>
    <xf numFmtId="4" fontId="8" fillId="35" borderId="2" xfId="64">
      <alignment horizontal="right"/>
    </xf>
    <xf numFmtId="164" fontId="11" fillId="34" borderId="2" xfId="65">
      <alignment horizontal="right"/>
    </xf>
    <xf numFmtId="164" fontId="11" fillId="35" borderId="2" xfId="66">
      <alignment horizontal="right"/>
    </xf>
    <xf numFmtId="0" fontId="7" fillId="33" borderId="16" xfId="67">
      <alignment horizontal="centerContinuous"/>
    </xf>
    <xf numFmtId="0" fontId="7" fillId="33" borderId="17" xfId="68">
      <alignment horizontal="centerContinuous"/>
    </xf>
    <xf numFmtId="164" fontId="1" fillId="34" borderId="18" xfId="69">
      <alignment horizontal="right"/>
    </xf>
    <xf numFmtId="165" fontId="1" fillId="34" borderId="19" xfId="70">
      <alignment horizontal="right"/>
    </xf>
    <xf numFmtId="4" fontId="1" fillId="34" borderId="18" xfId="71">
      <alignment horizontal="right"/>
    </xf>
    <xf numFmtId="10" fontId="1" fillId="34" borderId="19" xfId="72">
      <alignment horizontal="right"/>
    </xf>
    <xf numFmtId="164" fontId="8" fillId="34" borderId="18" xfId="73">
      <alignment horizontal="right"/>
    </xf>
    <xf numFmtId="165" fontId="8" fillId="34" borderId="19" xfId="74">
      <alignment horizontal="right"/>
    </xf>
    <xf numFmtId="4" fontId="8" fillId="34" borderId="18" xfId="75">
      <alignment horizontal="right"/>
    </xf>
    <xf numFmtId="10" fontId="8" fillId="34" borderId="19" xfId="76">
      <alignment horizontal="right"/>
    </xf>
    <xf numFmtId="164" fontId="0" fillId="0" borderId="0" xfId="0" applyNumberFormat="1"/>
    <xf numFmtId="0" fontId="3" fillId="37" borderId="5" xfId="37" applyFont="1" applyFill="1"/>
    <xf numFmtId="164" fontId="1" fillId="37" borderId="2" xfId="54" applyFill="1">
      <alignment horizontal="right"/>
    </xf>
    <xf numFmtId="164" fontId="1" fillId="37" borderId="2" xfId="57" applyFill="1">
      <alignment horizontal="right"/>
    </xf>
    <xf numFmtId="0" fontId="29" fillId="38" borderId="5" xfId="37" applyFont="1" applyFill="1"/>
    <xf numFmtId="4" fontId="8" fillId="38" borderId="2" xfId="55" applyFont="1" applyFill="1">
      <alignment horizontal="right"/>
    </xf>
    <xf numFmtId="0" fontId="8" fillId="39" borderId="5" xfId="35" applyFill="1"/>
    <xf numFmtId="3" fontId="8" fillId="39" borderId="2" xfId="59" applyFill="1">
      <alignment horizontal="right"/>
    </xf>
    <xf numFmtId="9" fontId="1" fillId="34" borderId="2" xfId="77" applyFont="1" applyFill="1" applyBorder="1" applyAlignment="1">
      <alignment horizontal="right"/>
    </xf>
    <xf numFmtId="9" fontId="1" fillId="35" borderId="2" xfId="77" applyFont="1" applyFill="1" applyBorder="1" applyAlignment="1">
      <alignment horizontal="right"/>
    </xf>
    <xf numFmtId="164" fontId="6" fillId="34" borderId="0" xfId="31" applyNumberFormat="1">
      <alignment horizontal="center"/>
    </xf>
  </cellXfs>
  <cellStyles count="7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centered" xfId="68" xr:uid="{00000000-0005-0000-0000-00001F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centered" xfId="67" xr:uid="{00000000-0005-0000-0000-000023000000}"/>
    <cellStyle name="fa_column_header_top_left" xfId="33" xr:uid="{00000000-0005-0000-0000-000024000000}"/>
    <cellStyle name="fa_data_bold_0_grouped" xfId="59" xr:uid="{00000000-0005-0000-0000-000025000000}"/>
    <cellStyle name="fa_data_bold_1_grouped" xfId="60" xr:uid="{00000000-0005-0000-0000-000026000000}"/>
    <cellStyle name="fa_data_bold_1_grouped_single_border" xfId="73" xr:uid="{00000000-0005-0000-0000-000027000000}"/>
    <cellStyle name="fa_data_bold_1_percent_single_border" xfId="74" xr:uid="{00000000-0005-0000-0000-000028000000}"/>
    <cellStyle name="fa_data_bold_2_grouped" xfId="61" xr:uid="{00000000-0005-0000-0000-000029000000}"/>
    <cellStyle name="fa_data_bold_2_grouped_single_border" xfId="75" xr:uid="{00000000-0005-0000-0000-00002A000000}"/>
    <cellStyle name="fa_data_bold_2_percent_single_border" xfId="76" xr:uid="{00000000-0005-0000-0000-00002B000000}"/>
    <cellStyle name="fa_data_current_bold_0_grouped" xfId="62" xr:uid="{00000000-0005-0000-0000-00002C000000}"/>
    <cellStyle name="fa_data_current_bold_1_grouped" xfId="63" xr:uid="{00000000-0005-0000-0000-00002D000000}"/>
    <cellStyle name="fa_data_current_bold_2_grouped" xfId="64" xr:uid="{00000000-0005-0000-0000-00002E000000}"/>
    <cellStyle name="fa_data_current_italic_1_grouped" xfId="66" xr:uid="{00000000-0005-0000-0000-00002F000000}"/>
    <cellStyle name="fa_data_current_standard_0_grouped" xfId="56" xr:uid="{00000000-0005-0000-0000-000030000000}"/>
    <cellStyle name="fa_data_current_standard_1_grouped" xfId="57" xr:uid="{00000000-0005-0000-0000-000031000000}"/>
    <cellStyle name="fa_data_current_standard_2_grouped" xfId="58" xr:uid="{00000000-0005-0000-0000-000032000000}"/>
    <cellStyle name="fa_data_italic_1_grouped" xfId="65" xr:uid="{00000000-0005-0000-0000-000033000000}"/>
    <cellStyle name="fa_data_standard_0_grouped" xfId="53" xr:uid="{00000000-0005-0000-0000-000034000000}"/>
    <cellStyle name="fa_data_standard_1_grouped" xfId="54" xr:uid="{00000000-0005-0000-0000-000035000000}"/>
    <cellStyle name="fa_data_standard_1_grouped_single_border" xfId="69" xr:uid="{00000000-0005-0000-0000-000036000000}"/>
    <cellStyle name="fa_data_standard_1_percent_single_border" xfId="70" xr:uid="{00000000-0005-0000-0000-000037000000}"/>
    <cellStyle name="fa_data_standard_2_grouped" xfId="55" xr:uid="{00000000-0005-0000-0000-000038000000}"/>
    <cellStyle name="fa_data_standard_2_grouped_single_border" xfId="71" xr:uid="{00000000-0005-0000-0000-000039000000}"/>
    <cellStyle name="fa_data_standard_2_percent_single_border" xfId="72" xr:uid="{00000000-0005-0000-0000-00003A000000}"/>
    <cellStyle name="fa_footer_italic" xfId="34" xr:uid="{00000000-0005-0000-0000-00003B000000}"/>
    <cellStyle name="fa_row_header_bold" xfId="35" xr:uid="{00000000-0005-0000-0000-00003C000000}"/>
    <cellStyle name="fa_row_header_italic" xfId="36" xr:uid="{00000000-0005-0000-0000-00003D000000}"/>
    <cellStyle name="fa_row_header_standard" xfId="37" xr:uid="{00000000-0005-0000-0000-00003E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Per cent" xfId="77" builtinId="5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activeCell="C6" sqref="C6"/>
    </sheetView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65" x14ac:dyDescent="0.4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 x14ac:dyDescent="0.45">
      <c r="A6" s="10" t="s">
        <v>33</v>
      </c>
      <c r="B6" s="10" t="s">
        <v>34</v>
      </c>
      <c r="C6" s="13">
        <v>516.9</v>
      </c>
      <c r="D6" s="13">
        <v>580.20000000000005</v>
      </c>
      <c r="E6" s="13">
        <v>691.4</v>
      </c>
      <c r="F6" s="13">
        <v>798</v>
      </c>
      <c r="G6" s="13">
        <v>861.3</v>
      </c>
      <c r="H6" s="13">
        <v>936</v>
      </c>
      <c r="I6" s="13">
        <v>942.8</v>
      </c>
      <c r="J6" s="13">
        <v>988.5</v>
      </c>
      <c r="K6" s="13">
        <v>1095.3</v>
      </c>
      <c r="L6" s="13">
        <v>1293.5999999999999</v>
      </c>
      <c r="M6" s="13">
        <v>1515.9</v>
      </c>
      <c r="N6" s="13">
        <v>1681.3</v>
      </c>
      <c r="O6" s="13">
        <v>1906.7</v>
      </c>
      <c r="P6" s="13">
        <v>2065.6</v>
      </c>
      <c r="Q6" s="13">
        <v>2269.9</v>
      </c>
    </row>
    <row r="7" spans="1:17" x14ac:dyDescent="0.45">
      <c r="A7" s="10" t="s">
        <v>35</v>
      </c>
      <c r="B7" s="10" t="s">
        <v>36</v>
      </c>
      <c r="C7" s="13">
        <v>183.5</v>
      </c>
      <c r="D7" s="13">
        <v>219.3</v>
      </c>
      <c r="E7" s="13">
        <v>265.60000000000002</v>
      </c>
      <c r="F7" s="13">
        <v>294.3</v>
      </c>
      <c r="G7" s="13">
        <v>321.89999999999998</v>
      </c>
      <c r="H7" s="13">
        <v>347.5</v>
      </c>
      <c r="I7" s="13">
        <v>353.7</v>
      </c>
      <c r="J7" s="13">
        <v>376.2</v>
      </c>
      <c r="K7" s="13">
        <v>390.7</v>
      </c>
      <c r="L7" s="13">
        <v>476.6</v>
      </c>
      <c r="M7" s="13">
        <v>515</v>
      </c>
      <c r="N7" s="13">
        <v>496.4</v>
      </c>
      <c r="O7" s="13">
        <v>513.29999999999995</v>
      </c>
      <c r="P7" s="13">
        <v>592.70000000000005</v>
      </c>
      <c r="Q7" s="13">
        <v>626.1</v>
      </c>
    </row>
    <row r="8" spans="1:17" x14ac:dyDescent="0.45">
      <c r="A8" s="10" t="s">
        <v>37</v>
      </c>
      <c r="B8" s="10" t="s">
        <v>38</v>
      </c>
      <c r="C8" s="13">
        <v>116.4</v>
      </c>
      <c r="D8" s="13">
        <v>153.1</v>
      </c>
      <c r="E8" s="13">
        <v>180.7</v>
      </c>
      <c r="F8" s="13">
        <v>203.5</v>
      </c>
      <c r="G8" s="13">
        <v>245.3</v>
      </c>
      <c r="H8" s="13">
        <v>254.7</v>
      </c>
      <c r="I8" s="13">
        <v>252.5</v>
      </c>
      <c r="J8" s="13">
        <v>265.60000000000002</v>
      </c>
      <c r="K8" s="13">
        <v>259.3</v>
      </c>
      <c r="L8" s="13">
        <v>419.4</v>
      </c>
      <c r="M8" s="13">
        <v>451.3</v>
      </c>
      <c r="N8" s="13">
        <v>433.9</v>
      </c>
      <c r="O8" s="13">
        <v>454.6</v>
      </c>
      <c r="P8" s="13">
        <v>523.70000000000005</v>
      </c>
      <c r="Q8" s="13">
        <v>500.4</v>
      </c>
    </row>
    <row r="9" spans="1:17" x14ac:dyDescent="0.45">
      <c r="A9" s="10" t="s">
        <v>39</v>
      </c>
      <c r="B9" s="10" t="s">
        <v>40</v>
      </c>
      <c r="C9" s="14">
        <v>1.32</v>
      </c>
      <c r="D9" s="14">
        <v>1.69</v>
      </c>
      <c r="E9" s="14">
        <v>1.96</v>
      </c>
      <c r="F9" s="14">
        <v>2.2000000000000002</v>
      </c>
      <c r="G9" s="14">
        <v>2.65</v>
      </c>
      <c r="H9" s="14">
        <v>2.77</v>
      </c>
      <c r="I9" s="14">
        <v>2.82</v>
      </c>
      <c r="J9" s="14">
        <v>3.05</v>
      </c>
      <c r="K9" s="14">
        <v>3.05</v>
      </c>
      <c r="L9" s="14">
        <v>4.99</v>
      </c>
      <c r="M9" s="14">
        <v>5.36</v>
      </c>
      <c r="N9" s="14">
        <v>5.05</v>
      </c>
      <c r="O9" s="14">
        <v>5.22</v>
      </c>
      <c r="P9" s="14">
        <v>6.02</v>
      </c>
      <c r="Q9" s="14">
        <v>5.76</v>
      </c>
    </row>
    <row r="10" spans="1:17" x14ac:dyDescent="0.45">
      <c r="A10" s="10" t="s">
        <v>41</v>
      </c>
      <c r="B10" s="10" t="s">
        <v>42</v>
      </c>
      <c r="C10" s="14">
        <v>1.27</v>
      </c>
      <c r="D10" s="14">
        <v>1.64</v>
      </c>
      <c r="E10" s="14">
        <v>1.91</v>
      </c>
      <c r="F10" s="14">
        <v>2.14</v>
      </c>
      <c r="G10" s="14">
        <v>2.58</v>
      </c>
      <c r="H10" s="14">
        <v>2.7</v>
      </c>
      <c r="I10" s="14">
        <v>2.76</v>
      </c>
      <c r="J10" s="14">
        <v>2.99</v>
      </c>
      <c r="K10" s="14">
        <v>2.98</v>
      </c>
      <c r="L10" s="14">
        <v>4.88</v>
      </c>
      <c r="M10" s="14">
        <v>5.25</v>
      </c>
      <c r="N10" s="14">
        <v>4.97</v>
      </c>
      <c r="O10" s="14">
        <v>5.16</v>
      </c>
      <c r="P10" s="14">
        <v>5.99</v>
      </c>
      <c r="Q10" s="14">
        <v>5.73</v>
      </c>
    </row>
    <row r="11" spans="1:17" x14ac:dyDescent="0.45">
      <c r="A11" s="10" t="s">
        <v>43</v>
      </c>
      <c r="B11" s="10" t="s">
        <v>44</v>
      </c>
      <c r="C11" s="13">
        <v>88.5</v>
      </c>
      <c r="D11" s="13">
        <v>90.7</v>
      </c>
      <c r="E11" s="13">
        <v>92.1</v>
      </c>
      <c r="F11" s="13">
        <v>92.6</v>
      </c>
      <c r="G11" s="13">
        <v>92.7</v>
      </c>
      <c r="H11" s="13">
        <v>92.1</v>
      </c>
      <c r="I11" s="13">
        <v>89.6</v>
      </c>
      <c r="J11" s="13">
        <v>87.2</v>
      </c>
      <c r="K11" s="13">
        <v>85</v>
      </c>
      <c r="L11" s="13">
        <v>84</v>
      </c>
      <c r="M11" s="13">
        <v>84.3</v>
      </c>
      <c r="N11" s="13">
        <v>85.8</v>
      </c>
      <c r="O11" s="13">
        <v>87.1</v>
      </c>
      <c r="P11" s="13">
        <v>87.1</v>
      </c>
      <c r="Q11" s="13">
        <v>86.8</v>
      </c>
    </row>
    <row r="12" spans="1:17" x14ac:dyDescent="0.45">
      <c r="A12" s="10" t="s">
        <v>45</v>
      </c>
      <c r="B12" s="10" t="s">
        <v>46</v>
      </c>
      <c r="C12" s="13">
        <v>91.8</v>
      </c>
      <c r="D12" s="13">
        <v>93.2</v>
      </c>
      <c r="E12" s="13">
        <v>94.4</v>
      </c>
      <c r="F12" s="13">
        <v>95</v>
      </c>
      <c r="G12" s="13">
        <v>95.1</v>
      </c>
      <c r="H12" s="13">
        <v>94.2</v>
      </c>
      <c r="I12" s="13">
        <v>91.5</v>
      </c>
      <c r="J12" s="13">
        <v>89</v>
      </c>
      <c r="K12" s="13">
        <v>86.9</v>
      </c>
      <c r="L12" s="13">
        <v>85.9</v>
      </c>
      <c r="M12" s="13">
        <v>85.9</v>
      </c>
      <c r="N12" s="13">
        <v>87.3</v>
      </c>
      <c r="O12" s="13">
        <v>88.1</v>
      </c>
      <c r="P12" s="13">
        <v>87.5</v>
      </c>
      <c r="Q12" s="13">
        <v>87.4</v>
      </c>
    </row>
    <row r="13" spans="1:17" x14ac:dyDescent="0.4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45">
      <c r="A14" s="10" t="s">
        <v>47</v>
      </c>
      <c r="B14" s="10" t="s">
        <v>48</v>
      </c>
      <c r="C14" s="13">
        <v>343.8</v>
      </c>
      <c r="D14" s="13">
        <v>472.9</v>
      </c>
      <c r="E14" s="13">
        <v>472.4</v>
      </c>
      <c r="F14" s="13">
        <v>577.20000000000005</v>
      </c>
      <c r="G14" s="13">
        <v>743</v>
      </c>
      <c r="H14" s="13">
        <v>788.8</v>
      </c>
      <c r="I14" s="13">
        <v>784.6</v>
      </c>
      <c r="J14" s="13">
        <v>822.9</v>
      </c>
      <c r="K14" s="13">
        <v>881.8</v>
      </c>
      <c r="L14" s="13">
        <v>777.4</v>
      </c>
      <c r="M14" s="13">
        <v>872.4</v>
      </c>
      <c r="N14" s="13">
        <v>913.2</v>
      </c>
      <c r="O14" s="13">
        <v>668</v>
      </c>
      <c r="P14" s="13">
        <v>614.6</v>
      </c>
      <c r="Q14" s="13">
        <v>860.4</v>
      </c>
    </row>
    <row r="15" spans="1:17" x14ac:dyDescent="0.45">
      <c r="A15" s="10" t="s">
        <v>49</v>
      </c>
      <c r="B15" s="10" t="s">
        <v>50</v>
      </c>
      <c r="C15" s="13">
        <v>515.5</v>
      </c>
      <c r="D15" s="13">
        <v>714.6</v>
      </c>
      <c r="E15" s="13">
        <v>740</v>
      </c>
      <c r="F15" s="13">
        <v>913.4</v>
      </c>
      <c r="G15" s="13">
        <v>1067.5999999999999</v>
      </c>
      <c r="H15" s="13">
        <v>1082.3</v>
      </c>
      <c r="I15" s="13">
        <v>1076.4000000000001</v>
      </c>
      <c r="J15" s="13">
        <v>1169.4000000000001</v>
      </c>
      <c r="K15" s="13">
        <v>1270.3</v>
      </c>
      <c r="L15" s="13">
        <v>1311.2</v>
      </c>
      <c r="M15" s="13">
        <v>1555.5</v>
      </c>
      <c r="N15" s="13">
        <v>1719.2</v>
      </c>
      <c r="O15" s="13">
        <v>1638.6</v>
      </c>
      <c r="P15" s="13">
        <v>1664.1</v>
      </c>
      <c r="Q15" s="13">
        <v>2049.6</v>
      </c>
    </row>
    <row r="16" spans="1:17" x14ac:dyDescent="0.45">
      <c r="A16" s="10" t="s">
        <v>51</v>
      </c>
      <c r="B16" s="10" t="s">
        <v>52</v>
      </c>
      <c r="C16" s="13">
        <v>1920.2</v>
      </c>
      <c r="D16" s="13">
        <v>2126.9</v>
      </c>
      <c r="E16" s="13">
        <v>2448.5</v>
      </c>
      <c r="F16" s="13">
        <v>2607.4</v>
      </c>
      <c r="G16" s="13">
        <v>2722.4</v>
      </c>
      <c r="H16" s="13">
        <v>2752.9</v>
      </c>
      <c r="I16" s="13">
        <v>2729.9</v>
      </c>
      <c r="J16" s="13">
        <v>2800.5</v>
      </c>
      <c r="K16" s="13">
        <v>2941.6</v>
      </c>
      <c r="L16" s="13">
        <v>3266</v>
      </c>
      <c r="M16" s="13">
        <v>4838.8999999999996</v>
      </c>
      <c r="N16" s="13">
        <v>5940.6</v>
      </c>
      <c r="O16" s="13">
        <v>6324.3</v>
      </c>
      <c r="P16" s="13">
        <v>6687.9</v>
      </c>
      <c r="Q16" s="13">
        <v>7322.9</v>
      </c>
    </row>
    <row r="17" spans="1:17" x14ac:dyDescent="0.45">
      <c r="A17" s="10" t="s">
        <v>53</v>
      </c>
      <c r="B17" s="10" t="s">
        <v>54</v>
      </c>
      <c r="C17" s="13">
        <v>266.8</v>
      </c>
      <c r="D17" s="13">
        <v>311.39999999999998</v>
      </c>
      <c r="E17" s="13">
        <v>438.8</v>
      </c>
      <c r="F17" s="13">
        <v>477.4</v>
      </c>
      <c r="G17" s="13">
        <v>440.4</v>
      </c>
      <c r="H17" s="13">
        <v>465.1</v>
      </c>
      <c r="I17" s="13">
        <v>484.1</v>
      </c>
      <c r="J17" s="13">
        <v>539.1</v>
      </c>
      <c r="K17" s="13">
        <v>608.6</v>
      </c>
      <c r="L17" s="13">
        <v>524.79999999999995</v>
      </c>
      <c r="M17" s="13">
        <v>695.1</v>
      </c>
      <c r="N17" s="13">
        <v>728.8</v>
      </c>
      <c r="O17" s="13">
        <v>778.5</v>
      </c>
      <c r="P17" s="13">
        <v>794.8</v>
      </c>
      <c r="Q17" s="13">
        <v>889.3</v>
      </c>
    </row>
    <row r="18" spans="1:17" x14ac:dyDescent="0.45">
      <c r="A18" s="10" t="s">
        <v>55</v>
      </c>
      <c r="B18" s="10" t="s">
        <v>56</v>
      </c>
      <c r="C18" s="13">
        <v>607.6</v>
      </c>
      <c r="D18" s="13">
        <v>596.9</v>
      </c>
      <c r="E18" s="13">
        <v>694</v>
      </c>
      <c r="F18" s="13">
        <v>667.1</v>
      </c>
      <c r="G18" s="13">
        <v>586.1</v>
      </c>
      <c r="H18" s="13">
        <v>535.4</v>
      </c>
      <c r="I18" s="13">
        <v>535.5</v>
      </c>
      <c r="J18" s="13">
        <v>592.1</v>
      </c>
      <c r="K18" s="13">
        <v>695.8</v>
      </c>
      <c r="L18" s="13">
        <v>616.4</v>
      </c>
      <c r="M18" s="13">
        <v>1385.5</v>
      </c>
      <c r="N18" s="13">
        <v>1842.7</v>
      </c>
      <c r="O18" s="13">
        <v>1840.3</v>
      </c>
      <c r="P18" s="13">
        <v>1822.1</v>
      </c>
      <c r="Q18" s="13">
        <v>1932.5</v>
      </c>
    </row>
    <row r="19" spans="1:17" x14ac:dyDescent="0.45">
      <c r="A19" s="10" t="s">
        <v>57</v>
      </c>
      <c r="B19" s="10" t="s">
        <v>58</v>
      </c>
      <c r="C19" s="13">
        <v>1312.6</v>
      </c>
      <c r="D19" s="13">
        <v>1529.9</v>
      </c>
      <c r="E19" s="13">
        <v>1754.5</v>
      </c>
      <c r="F19" s="13">
        <v>1940.3</v>
      </c>
      <c r="G19" s="13">
        <v>2136.1999999999998</v>
      </c>
      <c r="H19" s="13">
        <v>2217.5</v>
      </c>
      <c r="I19" s="13">
        <v>2194.4</v>
      </c>
      <c r="J19" s="13">
        <v>2208.4</v>
      </c>
      <c r="K19" s="13">
        <v>2245.8000000000002</v>
      </c>
      <c r="L19" s="13">
        <v>2649.5</v>
      </c>
      <c r="M19" s="13">
        <v>3453.4</v>
      </c>
      <c r="N19" s="13">
        <v>4097.8999999999996</v>
      </c>
      <c r="O19" s="13">
        <v>4484</v>
      </c>
      <c r="P19" s="13">
        <v>4865.8999999999996</v>
      </c>
      <c r="Q19" s="13">
        <v>5390.4</v>
      </c>
    </row>
    <row r="20" spans="1:17" x14ac:dyDescent="0.45">
      <c r="A20" s="10" t="s">
        <v>59</v>
      </c>
      <c r="B20" s="10" t="s">
        <v>60</v>
      </c>
      <c r="C20" s="13">
        <v>89.7</v>
      </c>
      <c r="D20" s="13">
        <v>91.6</v>
      </c>
      <c r="E20" s="13">
        <v>92.7</v>
      </c>
      <c r="F20" s="13">
        <v>92.7</v>
      </c>
      <c r="G20" s="13">
        <v>92.3</v>
      </c>
      <c r="H20" s="13">
        <v>90.8</v>
      </c>
      <c r="I20" s="13">
        <v>88.1</v>
      </c>
      <c r="J20" s="13">
        <v>85.7</v>
      </c>
      <c r="K20" s="13">
        <v>84.2</v>
      </c>
      <c r="L20" s="13">
        <v>83.6</v>
      </c>
      <c r="M20" s="13">
        <v>85.7</v>
      </c>
      <c r="N20" s="13">
        <v>86.6</v>
      </c>
      <c r="O20" s="13">
        <v>87.1</v>
      </c>
      <c r="P20" s="13">
        <v>86.9</v>
      </c>
      <c r="Q20" s="13">
        <v>86.9</v>
      </c>
    </row>
    <row r="21" spans="1:17" x14ac:dyDescent="0.45">
      <c r="A21" s="10" t="s">
        <v>61</v>
      </c>
      <c r="B21" s="10" t="s">
        <v>62</v>
      </c>
      <c r="C21" s="13">
        <v>89.8</v>
      </c>
      <c r="D21" s="13">
        <v>91.8</v>
      </c>
      <c r="E21" s="13">
        <v>92.8</v>
      </c>
      <c r="F21" s="13">
        <v>92.9</v>
      </c>
      <c r="G21" s="13">
        <v>92.5</v>
      </c>
      <c r="H21" s="13">
        <v>90</v>
      </c>
      <c r="I21" s="13">
        <v>88.2</v>
      </c>
      <c r="J21" s="13">
        <v>85.4</v>
      </c>
      <c r="K21" s="13">
        <v>83.9</v>
      </c>
      <c r="L21" s="13">
        <v>83.8</v>
      </c>
      <c r="M21" s="13">
        <v>85.9</v>
      </c>
      <c r="N21" s="13">
        <v>86.8</v>
      </c>
      <c r="O21" s="13">
        <v>87.2</v>
      </c>
      <c r="P21" s="13">
        <v>87.1</v>
      </c>
      <c r="Q21" s="13">
        <v>87</v>
      </c>
    </row>
    <row r="22" spans="1:17" x14ac:dyDescent="0.4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45">
      <c r="A23" s="10" t="s">
        <v>63</v>
      </c>
      <c r="B23" s="10" t="s">
        <v>64</v>
      </c>
      <c r="C23" s="13">
        <v>173.7</v>
      </c>
      <c r="D23" s="13">
        <v>166.9</v>
      </c>
      <c r="E23" s="13">
        <v>307.7</v>
      </c>
      <c r="F23" s="13">
        <v>298.39999999999998</v>
      </c>
      <c r="G23" s="13">
        <v>333</v>
      </c>
      <c r="H23" s="13">
        <v>385.3</v>
      </c>
      <c r="I23" s="13">
        <v>375.7</v>
      </c>
      <c r="J23" s="13">
        <v>366</v>
      </c>
      <c r="K23" s="13">
        <v>427.7</v>
      </c>
      <c r="L23" s="13">
        <v>485</v>
      </c>
      <c r="M23" s="13">
        <v>499.9</v>
      </c>
      <c r="N23" s="13">
        <v>547.29999999999995</v>
      </c>
      <c r="O23" s="13">
        <v>549.5</v>
      </c>
      <c r="P23" s="13">
        <v>631</v>
      </c>
      <c r="Q23" s="13">
        <v>717.1</v>
      </c>
    </row>
    <row r="24" spans="1:17" x14ac:dyDescent="0.45">
      <c r="A24" s="10" t="s">
        <v>65</v>
      </c>
      <c r="B24" s="10" t="s">
        <v>66</v>
      </c>
      <c r="C24" s="13">
        <v>-10.7</v>
      </c>
      <c r="D24" s="13">
        <v>-6.6</v>
      </c>
      <c r="E24" s="13">
        <v>-291.60000000000002</v>
      </c>
      <c r="F24" s="13">
        <v>-69</v>
      </c>
      <c r="G24" s="13">
        <v>-33.200000000000003</v>
      </c>
      <c r="H24" s="13">
        <v>-129.30000000000001</v>
      </c>
      <c r="I24" s="13">
        <v>-62</v>
      </c>
      <c r="J24" s="13">
        <v>-32.200000000000003</v>
      </c>
      <c r="K24" s="13">
        <v>-94.7</v>
      </c>
      <c r="L24" s="13">
        <v>-312.2</v>
      </c>
      <c r="M24" s="13">
        <v>-833.5</v>
      </c>
      <c r="N24" s="13">
        <v>-614.29999999999995</v>
      </c>
      <c r="O24" s="13">
        <v>-536.79999999999995</v>
      </c>
      <c r="P24" s="13">
        <v>-411.4</v>
      </c>
      <c r="Q24" s="13">
        <v>-240</v>
      </c>
    </row>
    <row r="25" spans="1:17" x14ac:dyDescent="0.45">
      <c r="A25" s="10" t="s">
        <v>67</v>
      </c>
      <c r="B25" s="10" t="s">
        <v>68</v>
      </c>
      <c r="C25" s="13">
        <v>-55.3</v>
      </c>
      <c r="D25" s="13">
        <v>-23.6</v>
      </c>
      <c r="E25" s="13">
        <v>-16.7</v>
      </c>
      <c r="F25" s="13">
        <v>-124.6</v>
      </c>
      <c r="G25" s="13">
        <v>-134</v>
      </c>
      <c r="H25" s="13">
        <v>-210.5</v>
      </c>
      <c r="I25" s="13">
        <v>-317.60000000000002</v>
      </c>
      <c r="J25" s="13">
        <v>-295.5</v>
      </c>
      <c r="K25" s="13">
        <v>-274</v>
      </c>
      <c r="L25" s="13">
        <v>-277.10000000000002</v>
      </c>
      <c r="M25" s="13">
        <v>428.6</v>
      </c>
      <c r="N25" s="13">
        <v>107.5</v>
      </c>
      <c r="O25" s="13">
        <v>-257.7</v>
      </c>
      <c r="P25" s="13">
        <v>-272.89999999999998</v>
      </c>
      <c r="Q25" s="13">
        <v>-231.3</v>
      </c>
    </row>
    <row r="26" spans="1:17" x14ac:dyDescent="0.45">
      <c r="A26" s="7" t="s">
        <v>69</v>
      </c>
      <c r="B26" s="7"/>
      <c r="C26" s="7" t="s">
        <v>70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3"/>
  <sheetViews>
    <sheetView tabSelected="1" topLeftCell="D1" workbookViewId="0">
      <selection activeCell="N6" sqref="N6"/>
    </sheetView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30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30" ht="20.65" x14ac:dyDescent="0.45">
      <c r="A2" s="8" t="s">
        <v>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30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30" x14ac:dyDescent="0.45">
      <c r="A4" s="3" t="s">
        <v>1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72</v>
      </c>
      <c r="P4" s="4" t="s">
        <v>73</v>
      </c>
      <c r="Q4" s="4" t="s">
        <v>74</v>
      </c>
    </row>
    <row r="5" spans="1:30" x14ac:dyDescent="0.45">
      <c r="A5" s="9" t="s">
        <v>17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75</v>
      </c>
      <c r="P5" s="5" t="s">
        <v>76</v>
      </c>
      <c r="Q5" s="5" t="s">
        <v>77</v>
      </c>
    </row>
    <row r="6" spans="1:30" x14ac:dyDescent="0.45">
      <c r="A6" s="6" t="s">
        <v>78</v>
      </c>
      <c r="B6" s="6" t="s">
        <v>34</v>
      </c>
      <c r="C6" s="19">
        <v>798</v>
      </c>
      <c r="D6" s="19">
        <f>D12+D9</f>
        <v>861.3</v>
      </c>
      <c r="E6" s="19">
        <v>936</v>
      </c>
      <c r="F6" s="19">
        <v>942.8</v>
      </c>
      <c r="G6" s="19">
        <v>988.5</v>
      </c>
      <c r="H6" s="19">
        <v>1095.3</v>
      </c>
      <c r="I6" s="19">
        <v>1293.5999999999999</v>
      </c>
      <c r="J6" s="19">
        <v>1515.9</v>
      </c>
      <c r="K6" s="19">
        <v>1681.3</v>
      </c>
      <c r="L6" s="19">
        <v>1906.7</v>
      </c>
      <c r="M6" s="19">
        <v>2065.6</v>
      </c>
      <c r="N6" s="19">
        <v>2269.9</v>
      </c>
      <c r="O6" s="22">
        <v>2467.6999999999998</v>
      </c>
      <c r="P6" s="19">
        <v>2508.5</v>
      </c>
      <c r="Q6" s="19">
        <v>2742.1</v>
      </c>
      <c r="S6" s="13">
        <v>-9.6</v>
      </c>
      <c r="T6" s="13">
        <v>-5.6</v>
      </c>
      <c r="U6" s="13">
        <v>-6.1</v>
      </c>
      <c r="V6" s="13">
        <v>0</v>
      </c>
      <c r="W6" s="13">
        <v>-5</v>
      </c>
      <c r="X6" s="13">
        <v>-3.1</v>
      </c>
      <c r="Y6" s="13">
        <v>-0.9</v>
      </c>
      <c r="Z6" s="13">
        <v>-0.5</v>
      </c>
      <c r="AA6" s="13">
        <v>-1.3</v>
      </c>
      <c r="AB6" s="13">
        <v>-1.3</v>
      </c>
    </row>
    <row r="7" spans="1:30" x14ac:dyDescent="0.45">
      <c r="A7" s="10" t="s">
        <v>79</v>
      </c>
      <c r="B7" s="10" t="s">
        <v>80</v>
      </c>
      <c r="C7" s="13">
        <v>296.10000000000002</v>
      </c>
      <c r="D7" s="13">
        <v>332.3</v>
      </c>
      <c r="E7" s="13">
        <v>371.5</v>
      </c>
      <c r="F7" s="13">
        <v>387.6</v>
      </c>
      <c r="G7" s="13">
        <v>420.3</v>
      </c>
      <c r="H7" s="13">
        <v>470.3</v>
      </c>
      <c r="I7" s="13">
        <v>716.9</v>
      </c>
      <c r="J7" s="13">
        <v>816.3</v>
      </c>
      <c r="K7" s="13">
        <v>900.4</v>
      </c>
      <c r="L7" s="13">
        <v>960.9</v>
      </c>
      <c r="M7" s="13">
        <v>1076.5999999999999</v>
      </c>
      <c r="N7" s="13">
        <v>1181.2</v>
      </c>
      <c r="O7" s="16">
        <v>1245</v>
      </c>
      <c r="P7" s="13"/>
      <c r="Q7" s="13"/>
      <c r="S7" s="19">
        <v>936</v>
      </c>
      <c r="T7" s="19">
        <v>942.8</v>
      </c>
      <c r="U7" s="19">
        <v>988.5</v>
      </c>
      <c r="V7" s="19">
        <v>1095.3</v>
      </c>
      <c r="W7" s="19">
        <v>1293.5999999999999</v>
      </c>
      <c r="X7" s="19">
        <v>1515.9</v>
      </c>
      <c r="Y7" s="19">
        <v>1681.3</v>
      </c>
      <c r="Z7" s="19">
        <v>1906.7</v>
      </c>
      <c r="AA7" s="19">
        <v>2065.6</v>
      </c>
      <c r="AB7" s="19">
        <v>2269.9</v>
      </c>
      <c r="AC7" s="19"/>
      <c r="AD7" s="19"/>
    </row>
    <row r="8" spans="1:30" x14ac:dyDescent="0.45">
      <c r="A8" s="10" t="s">
        <v>81</v>
      </c>
      <c r="B8" s="10" t="s">
        <v>82</v>
      </c>
      <c r="C8" s="13">
        <v>501.9</v>
      </c>
      <c r="D8" s="13">
        <v>528.9</v>
      </c>
      <c r="E8" s="13">
        <v>564.5</v>
      </c>
      <c r="F8" s="13">
        <v>555.1</v>
      </c>
      <c r="G8" s="13">
        <v>568.20000000000005</v>
      </c>
      <c r="H8" s="13">
        <v>625</v>
      </c>
      <c r="I8" s="13">
        <v>576.70000000000005</v>
      </c>
      <c r="J8" s="13">
        <v>699.6</v>
      </c>
      <c r="K8" s="13">
        <v>780.9</v>
      </c>
      <c r="L8" s="13">
        <v>945.8</v>
      </c>
      <c r="M8" s="13">
        <v>989</v>
      </c>
      <c r="N8" s="13">
        <v>1088.7</v>
      </c>
      <c r="O8" s="16">
        <v>1222.8</v>
      </c>
      <c r="P8" s="13"/>
      <c r="Q8" s="13"/>
      <c r="S8">
        <f>S6/S7</f>
        <v>-1.0256410256410256E-2</v>
      </c>
      <c r="T8">
        <f>T6/T7</f>
        <v>-5.9397539244802717E-3</v>
      </c>
      <c r="U8">
        <f>U6/U7</f>
        <v>-6.1709661102680828E-3</v>
      </c>
      <c r="V8">
        <f>V6/V7</f>
        <v>0</v>
      </c>
      <c r="W8">
        <f>W6/W7</f>
        <v>-3.8651824366110082E-3</v>
      </c>
      <c r="X8">
        <f>X6/X7</f>
        <v>-2.0449897750511245E-3</v>
      </c>
      <c r="Y8">
        <f>Y6/Y7</f>
        <v>-5.3530006542556357E-4</v>
      </c>
      <c r="Z8">
        <f>Z6/Z7</f>
        <v>-2.6223317774164785E-4</v>
      </c>
      <c r="AA8">
        <f>AA6/AA7</f>
        <v>-6.2935708752904725E-4</v>
      </c>
      <c r="AB8">
        <f>AB6/AB7</f>
        <v>-5.7271245429314061E-4</v>
      </c>
    </row>
    <row r="9" spans="1:30" x14ac:dyDescent="0.45">
      <c r="A9" s="10" t="s">
        <v>83</v>
      </c>
      <c r="B9" s="10" t="s">
        <v>84</v>
      </c>
      <c r="C9" s="13">
        <v>139.5</v>
      </c>
      <c r="D9" s="13">
        <v>146.69999999999999</v>
      </c>
      <c r="E9" s="13">
        <v>153.4</v>
      </c>
      <c r="F9" s="13">
        <v>147.19999999999999</v>
      </c>
      <c r="G9" s="13">
        <v>146.9</v>
      </c>
      <c r="H9" s="13">
        <v>150.19999999999999</v>
      </c>
      <c r="I9" s="13">
        <v>155.9</v>
      </c>
      <c r="J9" s="13">
        <v>166.3</v>
      </c>
      <c r="K9" s="13">
        <v>225.3</v>
      </c>
      <c r="L9" s="13">
        <v>258</v>
      </c>
      <c r="M9" s="13">
        <v>250.6</v>
      </c>
      <c r="N9" s="13">
        <v>271.3</v>
      </c>
      <c r="O9" s="16">
        <v>277.2</v>
      </c>
      <c r="P9" s="13"/>
      <c r="Q9" s="13"/>
    </row>
    <row r="10" spans="1:30" x14ac:dyDescent="0.45">
      <c r="A10" s="10" t="s">
        <v>85</v>
      </c>
      <c r="B10" s="10" t="s">
        <v>86</v>
      </c>
      <c r="C10" s="13">
        <v>98.6</v>
      </c>
      <c r="D10" s="13">
        <v>108.4</v>
      </c>
      <c r="E10" s="13">
        <v>115.7</v>
      </c>
      <c r="F10" s="13">
        <v>108.5</v>
      </c>
      <c r="G10" s="13">
        <v>108.8</v>
      </c>
      <c r="H10" s="13">
        <v>113.4</v>
      </c>
      <c r="I10" s="13">
        <v>128.9</v>
      </c>
      <c r="J10" s="13">
        <v>144.6</v>
      </c>
      <c r="K10" s="13">
        <v>184.6</v>
      </c>
      <c r="L10" s="13">
        <v>197.2</v>
      </c>
      <c r="M10" s="13">
        <v>181.3</v>
      </c>
      <c r="N10" s="13">
        <v>190.3</v>
      </c>
      <c r="O10" s="16">
        <v>189.8</v>
      </c>
      <c r="P10" s="13"/>
      <c r="Q10" s="13"/>
    </row>
    <row r="11" spans="1:30" x14ac:dyDescent="0.45">
      <c r="A11" s="10" t="s">
        <v>87</v>
      </c>
      <c r="B11" s="10" t="s">
        <v>88</v>
      </c>
      <c r="C11" s="13">
        <v>40.9</v>
      </c>
      <c r="D11" s="13">
        <v>38.299999999999997</v>
      </c>
      <c r="E11" s="13">
        <v>37.700000000000003</v>
      </c>
      <c r="F11" s="13">
        <v>38.799999999999997</v>
      </c>
      <c r="G11" s="13">
        <v>38.1</v>
      </c>
      <c r="H11" s="13">
        <v>36.799999999999997</v>
      </c>
      <c r="I11" s="13">
        <v>27</v>
      </c>
      <c r="J11" s="13">
        <v>21.7</v>
      </c>
      <c r="K11" s="13">
        <v>40.6</v>
      </c>
      <c r="L11" s="13">
        <v>60.8</v>
      </c>
      <c r="M11" s="13">
        <v>69.400000000000006</v>
      </c>
      <c r="N11" s="13">
        <v>81</v>
      </c>
      <c r="O11" s="16">
        <v>87.3</v>
      </c>
      <c r="P11" s="13"/>
      <c r="Q11" s="13"/>
    </row>
    <row r="12" spans="1:30" x14ac:dyDescent="0.45">
      <c r="A12" s="6" t="s">
        <v>89</v>
      </c>
      <c r="B12" s="6" t="s">
        <v>90</v>
      </c>
      <c r="C12" s="19">
        <v>658.5</v>
      </c>
      <c r="D12" s="19">
        <v>714.6</v>
      </c>
      <c r="E12" s="19">
        <v>782.6</v>
      </c>
      <c r="F12" s="19">
        <v>795.5</v>
      </c>
      <c r="G12" s="19">
        <v>841.6</v>
      </c>
      <c r="H12" s="19">
        <v>945.1</v>
      </c>
      <c r="I12" s="19">
        <v>1137.8</v>
      </c>
      <c r="J12" s="19">
        <v>1349.6</v>
      </c>
      <c r="K12" s="19">
        <v>1456</v>
      </c>
      <c r="L12" s="19">
        <v>1648.7</v>
      </c>
      <c r="M12" s="19">
        <v>1814.9</v>
      </c>
      <c r="N12" s="19">
        <v>1998.7</v>
      </c>
      <c r="O12" s="22">
        <v>2190.6</v>
      </c>
      <c r="P12" s="19">
        <v>2315.3000000000002</v>
      </c>
      <c r="Q12" s="19">
        <v>2520.9</v>
      </c>
    </row>
    <row r="13" spans="1:30" x14ac:dyDescent="0.45">
      <c r="A13" s="10" t="s">
        <v>91</v>
      </c>
      <c r="B13" s="10" t="s">
        <v>92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6">
        <v>0</v>
      </c>
      <c r="P13" s="13"/>
      <c r="Q13" s="13"/>
    </row>
    <row r="14" spans="1:30" x14ac:dyDescent="0.45">
      <c r="A14" s="10" t="s">
        <v>93</v>
      </c>
      <c r="B14" s="10" t="s">
        <v>94</v>
      </c>
      <c r="C14" s="13">
        <v>364.2</v>
      </c>
      <c r="D14" s="13">
        <v>392.7</v>
      </c>
      <c r="E14" s="13">
        <v>435.2</v>
      </c>
      <c r="F14" s="13">
        <v>441.8</v>
      </c>
      <c r="G14" s="13">
        <v>465.4</v>
      </c>
      <c r="H14" s="13">
        <v>554.4</v>
      </c>
      <c r="I14" s="13">
        <v>661.2</v>
      </c>
      <c r="J14" s="13">
        <v>834.6</v>
      </c>
      <c r="K14" s="13">
        <v>959.7</v>
      </c>
      <c r="L14" s="13">
        <v>1135.5</v>
      </c>
      <c r="M14" s="13">
        <v>1222.3</v>
      </c>
      <c r="N14" s="13">
        <v>1372.5</v>
      </c>
      <c r="O14" s="16">
        <v>1495.3</v>
      </c>
      <c r="P14" s="13"/>
      <c r="Q14" s="13"/>
    </row>
    <row r="15" spans="1:30" x14ac:dyDescent="0.45">
      <c r="A15" s="10" t="s">
        <v>95</v>
      </c>
      <c r="B15" s="10" t="s">
        <v>96</v>
      </c>
      <c r="C15" s="13">
        <v>205.2</v>
      </c>
      <c r="D15" s="13">
        <v>218.9</v>
      </c>
      <c r="E15" s="13">
        <v>246.4</v>
      </c>
      <c r="F15" s="13">
        <v>253.6</v>
      </c>
      <c r="G15" s="13">
        <v>269.5</v>
      </c>
      <c r="H15" s="13">
        <v>338.6</v>
      </c>
      <c r="I15" s="13">
        <v>413.6</v>
      </c>
      <c r="J15" s="13">
        <v>521.20000000000005</v>
      </c>
      <c r="K15" s="13">
        <v>587.70000000000005</v>
      </c>
      <c r="L15" s="13">
        <v>715.4</v>
      </c>
      <c r="M15" s="13">
        <v>772.9</v>
      </c>
      <c r="N15" s="13">
        <v>855.1</v>
      </c>
      <c r="O15" s="16">
        <v>951.2</v>
      </c>
      <c r="P15" s="13"/>
      <c r="Q15" s="13"/>
    </row>
    <row r="16" spans="1:30" x14ac:dyDescent="0.45">
      <c r="A16" s="10" t="s">
        <v>97</v>
      </c>
      <c r="B16" s="10" t="s">
        <v>98</v>
      </c>
      <c r="C16" s="13">
        <v>132.6</v>
      </c>
      <c r="D16" s="13">
        <v>151.4</v>
      </c>
      <c r="E16" s="13">
        <v>165.4</v>
      </c>
      <c r="F16" s="13">
        <v>168.8</v>
      </c>
      <c r="G16" s="13">
        <v>183.1</v>
      </c>
      <c r="H16" s="13">
        <v>202.7</v>
      </c>
      <c r="I16" s="13">
        <v>233.8</v>
      </c>
      <c r="J16" s="13">
        <v>298.2</v>
      </c>
      <c r="K16" s="13">
        <v>355.4</v>
      </c>
      <c r="L16" s="13">
        <v>404.9</v>
      </c>
      <c r="M16" s="13">
        <v>433.7</v>
      </c>
      <c r="N16" s="13">
        <v>494.9</v>
      </c>
      <c r="O16" s="16">
        <v>520</v>
      </c>
      <c r="P16" s="13"/>
      <c r="Q16" s="13"/>
    </row>
    <row r="17" spans="1:28" x14ac:dyDescent="0.45">
      <c r="A17" s="10" t="s">
        <v>87</v>
      </c>
      <c r="B17" s="10" t="s">
        <v>99</v>
      </c>
      <c r="C17" s="13">
        <v>26.4</v>
      </c>
      <c r="D17" s="13" t="s">
        <v>100</v>
      </c>
      <c r="E17" s="13">
        <v>23.4</v>
      </c>
      <c r="F17" s="13">
        <v>19.399999999999999</v>
      </c>
      <c r="G17" s="13">
        <v>12.8</v>
      </c>
      <c r="H17" s="13">
        <v>13</v>
      </c>
      <c r="I17" s="13">
        <v>13.8</v>
      </c>
      <c r="J17" s="13">
        <v>15.2</v>
      </c>
      <c r="K17" s="13">
        <v>16.600000000000001</v>
      </c>
      <c r="L17" s="13">
        <v>15.2</v>
      </c>
      <c r="M17" s="13">
        <v>15.7</v>
      </c>
      <c r="N17" s="13">
        <v>22.5</v>
      </c>
      <c r="O17" s="16">
        <v>40</v>
      </c>
      <c r="P17" s="13"/>
      <c r="Q17" s="13"/>
    </row>
    <row r="18" spans="1:28" x14ac:dyDescent="0.45">
      <c r="A18" s="10" t="s">
        <v>101</v>
      </c>
      <c r="B18" s="10" t="s">
        <v>102</v>
      </c>
      <c r="C18" s="13">
        <v>0</v>
      </c>
      <c r="D18" s="13">
        <v>22.4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6">
        <v>-16</v>
      </c>
      <c r="P18" s="13"/>
      <c r="Q18" s="13"/>
    </row>
    <row r="19" spans="1:28" x14ac:dyDescent="0.45">
      <c r="A19" s="6" t="s">
        <v>103</v>
      </c>
      <c r="B19" s="6" t="s">
        <v>36</v>
      </c>
      <c r="C19" s="19">
        <v>294.3</v>
      </c>
      <c r="D19" s="19">
        <v>321.89999999999998</v>
      </c>
      <c r="E19" s="19">
        <v>347.5</v>
      </c>
      <c r="F19" s="19">
        <v>353.7</v>
      </c>
      <c r="G19" s="19">
        <v>376.2</v>
      </c>
      <c r="H19" s="19">
        <v>390.7</v>
      </c>
      <c r="I19" s="19">
        <v>476.6</v>
      </c>
      <c r="J19" s="19">
        <v>515</v>
      </c>
      <c r="K19" s="19">
        <v>496.4</v>
      </c>
      <c r="L19" s="19">
        <v>513.29999999999995</v>
      </c>
      <c r="M19" s="19">
        <v>592.70000000000005</v>
      </c>
      <c r="N19" s="19">
        <v>626.1</v>
      </c>
      <c r="O19" s="22">
        <v>695.3</v>
      </c>
      <c r="P19" s="19">
        <v>1104.5</v>
      </c>
      <c r="Q19" s="19">
        <v>1223.8</v>
      </c>
    </row>
    <row r="20" spans="1:28" x14ac:dyDescent="0.45">
      <c r="A20" s="6" t="s">
        <v>1235</v>
      </c>
      <c r="B20" s="6"/>
      <c r="C20" s="44">
        <f>C19/C6</f>
        <v>0.36879699248120301</v>
      </c>
      <c r="D20" s="44">
        <f t="shared" ref="D20:Q20" si="0">D19/D6</f>
        <v>0.37373737373737376</v>
      </c>
      <c r="E20" s="44">
        <f t="shared" si="0"/>
        <v>0.37126068376068377</v>
      </c>
      <c r="F20" s="44">
        <f t="shared" si="0"/>
        <v>0.37515910055154861</v>
      </c>
      <c r="G20" s="44">
        <f t="shared" si="0"/>
        <v>0.38057663125948404</v>
      </c>
      <c r="H20" s="44">
        <f t="shared" si="0"/>
        <v>0.35670592531726469</v>
      </c>
      <c r="I20" s="44">
        <f t="shared" si="0"/>
        <v>0.36842918985776135</v>
      </c>
      <c r="J20" s="44">
        <f t="shared" si="0"/>
        <v>0.33973217230688035</v>
      </c>
      <c r="K20" s="44">
        <f t="shared" si="0"/>
        <v>0.29524772497472196</v>
      </c>
      <c r="L20" s="44">
        <f t="shared" si="0"/>
        <v>0.26920858026957567</v>
      </c>
      <c r="M20" s="44">
        <f t="shared" si="0"/>
        <v>0.28693841982958951</v>
      </c>
      <c r="N20" s="44">
        <f t="shared" si="0"/>
        <v>0.27582712894841183</v>
      </c>
      <c r="O20" s="45">
        <f t="shared" si="0"/>
        <v>0.28176034363982655</v>
      </c>
      <c r="P20" s="44">
        <f t="shared" si="0"/>
        <v>0.44030296990233209</v>
      </c>
      <c r="Q20" s="44">
        <f t="shared" si="0"/>
        <v>0.44630028080668099</v>
      </c>
    </row>
    <row r="21" spans="1:28" x14ac:dyDescent="0.45">
      <c r="A21" s="10" t="s">
        <v>104</v>
      </c>
      <c r="B21" s="10" t="s">
        <v>105</v>
      </c>
      <c r="C21" s="13">
        <v>0.7</v>
      </c>
      <c r="D21" s="13">
        <v>-0.6</v>
      </c>
      <c r="E21" s="13">
        <v>-0.7</v>
      </c>
      <c r="F21" s="13">
        <v>-3.1</v>
      </c>
      <c r="G21" s="13">
        <v>-4.0999999999999996</v>
      </c>
      <c r="H21" s="13">
        <v>-5</v>
      </c>
      <c r="I21" s="13">
        <v>-10.5</v>
      </c>
      <c r="J21" s="13">
        <v>-7.5</v>
      </c>
      <c r="K21" s="13">
        <v>2.4</v>
      </c>
      <c r="L21" s="13">
        <v>-2.1</v>
      </c>
      <c r="M21" s="13">
        <v>17.3</v>
      </c>
      <c r="N21" s="13">
        <v>34</v>
      </c>
      <c r="O21" s="16">
        <v>11.8</v>
      </c>
      <c r="P21" s="13"/>
      <c r="Q21" s="13"/>
    </row>
    <row r="22" spans="1:28" x14ac:dyDescent="0.45">
      <c r="A22" s="10" t="s">
        <v>106</v>
      </c>
      <c r="B22" s="10" t="s">
        <v>107</v>
      </c>
      <c r="C22" s="13">
        <v>-0.7</v>
      </c>
      <c r="D22" s="13">
        <v>-1.7</v>
      </c>
      <c r="E22" s="13">
        <v>-2.2000000000000002</v>
      </c>
      <c r="F22" s="13">
        <v>-2.8</v>
      </c>
      <c r="G22" s="13">
        <v>-4.2</v>
      </c>
      <c r="H22" s="13">
        <v>-7</v>
      </c>
      <c r="I22" s="13">
        <v>-11.4</v>
      </c>
      <c r="J22" s="13">
        <v>-9.3000000000000007</v>
      </c>
      <c r="K22" s="13">
        <v>5.9</v>
      </c>
      <c r="L22" s="13">
        <v>10.3</v>
      </c>
      <c r="M22" s="13">
        <v>17</v>
      </c>
      <c r="N22" s="13">
        <v>27.6</v>
      </c>
      <c r="O22" s="16">
        <v>5.8</v>
      </c>
      <c r="P22" s="13"/>
      <c r="Q22" s="13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spans="1:28" x14ac:dyDescent="0.45">
      <c r="A23" s="11" t="s">
        <v>108</v>
      </c>
      <c r="B23" s="11" t="s">
        <v>109</v>
      </c>
      <c r="C23" s="24">
        <v>2.7</v>
      </c>
      <c r="D23" s="24">
        <v>1.2</v>
      </c>
      <c r="E23" s="24">
        <v>0.8</v>
      </c>
      <c r="F23" s="24">
        <v>0</v>
      </c>
      <c r="G23" s="24">
        <v>0</v>
      </c>
      <c r="H23" s="24">
        <v>0</v>
      </c>
      <c r="I23" s="24">
        <v>0</v>
      </c>
      <c r="J23" s="24">
        <v>3.5</v>
      </c>
      <c r="K23" s="24">
        <v>11</v>
      </c>
      <c r="L23" s="24">
        <v>12.4</v>
      </c>
      <c r="M23" s="24">
        <v>22.7</v>
      </c>
      <c r="N23" s="24">
        <v>47.1</v>
      </c>
      <c r="O23" s="25">
        <v>49.5</v>
      </c>
      <c r="P23" s="24"/>
      <c r="Q23" s="24"/>
      <c r="S23" s="24">
        <v>0.8</v>
      </c>
      <c r="T23" s="24">
        <v>0</v>
      </c>
      <c r="U23" s="24">
        <v>0</v>
      </c>
      <c r="V23" s="24">
        <v>0</v>
      </c>
      <c r="W23" s="24">
        <v>0</v>
      </c>
      <c r="X23" s="24">
        <v>3.5</v>
      </c>
      <c r="Y23" s="24">
        <v>11</v>
      </c>
      <c r="Z23" s="24">
        <v>12.4</v>
      </c>
      <c r="AA23" s="24">
        <v>22.7</v>
      </c>
      <c r="AB23" s="24">
        <v>47.1</v>
      </c>
    </row>
    <row r="24" spans="1:28" x14ac:dyDescent="0.45">
      <c r="A24" s="11" t="s">
        <v>110</v>
      </c>
      <c r="B24" s="11" t="s">
        <v>111</v>
      </c>
      <c r="C24" s="24">
        <v>3.4</v>
      </c>
      <c r="D24" s="24">
        <v>2.8</v>
      </c>
      <c r="E24" s="24">
        <v>3</v>
      </c>
      <c r="F24" s="24">
        <v>2.8</v>
      </c>
      <c r="G24" s="24">
        <v>4.2</v>
      </c>
      <c r="H24" s="24">
        <v>7</v>
      </c>
      <c r="I24" s="24">
        <v>11.4</v>
      </c>
      <c r="J24" s="24">
        <v>12.8</v>
      </c>
      <c r="K24" s="24">
        <v>5.0999999999999996</v>
      </c>
      <c r="L24" s="24">
        <v>2.1</v>
      </c>
      <c r="M24" s="24">
        <v>5.7</v>
      </c>
      <c r="N24" s="24">
        <v>19.600000000000001</v>
      </c>
      <c r="O24" s="25">
        <v>43.7</v>
      </c>
      <c r="P24" s="24"/>
      <c r="Q24" s="24"/>
      <c r="S24" s="13">
        <v>788.1</v>
      </c>
      <c r="T24" s="13">
        <v>784.2</v>
      </c>
      <c r="U24" s="13">
        <v>822.5</v>
      </c>
      <c r="V24" s="13">
        <v>881.5</v>
      </c>
      <c r="W24" s="13">
        <v>777.1</v>
      </c>
      <c r="X24" s="13">
        <v>872.1</v>
      </c>
      <c r="Y24" s="13">
        <v>912.7</v>
      </c>
      <c r="Z24" s="13">
        <v>667.7</v>
      </c>
      <c r="AA24" s="13">
        <v>614.4</v>
      </c>
      <c r="AB24" s="13">
        <v>860.2</v>
      </c>
    </row>
    <row r="25" spans="1:28" x14ac:dyDescent="0.45">
      <c r="A25" s="10" t="s">
        <v>112</v>
      </c>
      <c r="B25" s="10" t="s">
        <v>113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6"/>
      <c r="P25" s="13"/>
      <c r="Q25" s="13"/>
      <c r="S25">
        <f>S23/S24</f>
        <v>1.0150996066489025E-3</v>
      </c>
      <c r="T25">
        <f>T23/T24</f>
        <v>0</v>
      </c>
      <c r="U25">
        <f>U23/U24</f>
        <v>0</v>
      </c>
      <c r="V25">
        <f>V23/V24</f>
        <v>0</v>
      </c>
      <c r="W25">
        <f>W23/W24</f>
        <v>0</v>
      </c>
      <c r="X25">
        <f>X23/X24</f>
        <v>4.0133012269235177E-3</v>
      </c>
      <c r="Y25">
        <f>Y23/Y24</f>
        <v>1.2052152952777473E-2</v>
      </c>
      <c r="Z25">
        <f>Z23/Z24</f>
        <v>1.8571214617343117E-2</v>
      </c>
      <c r="AA25">
        <f>AA23/AA24</f>
        <v>3.6946614583333336E-2</v>
      </c>
      <c r="AB25">
        <f>AB23/AB24</f>
        <v>5.4754708207393629E-2</v>
      </c>
    </row>
    <row r="26" spans="1:28" x14ac:dyDescent="0.45">
      <c r="A26" s="10" t="s">
        <v>114</v>
      </c>
      <c r="B26" s="10" t="s">
        <v>115</v>
      </c>
      <c r="C26" s="13" t="s">
        <v>100</v>
      </c>
      <c r="D26" s="13" t="s">
        <v>100</v>
      </c>
      <c r="E26" s="13" t="s">
        <v>100</v>
      </c>
      <c r="F26" s="13">
        <v>0</v>
      </c>
      <c r="G26" s="13">
        <v>0</v>
      </c>
      <c r="H26" s="13">
        <v>0</v>
      </c>
      <c r="I26" s="13" t="s">
        <v>100</v>
      </c>
      <c r="J26" s="13" t="s">
        <v>100</v>
      </c>
      <c r="K26" s="13" t="s">
        <v>100</v>
      </c>
      <c r="L26" s="13" t="s">
        <v>100</v>
      </c>
      <c r="M26" s="13" t="s">
        <v>100</v>
      </c>
      <c r="N26" s="13" t="s">
        <v>100</v>
      </c>
      <c r="O26" s="16"/>
      <c r="P26" s="13"/>
      <c r="Q26" s="13"/>
    </row>
    <row r="27" spans="1:28" x14ac:dyDescent="0.45">
      <c r="A27" s="10" t="s">
        <v>116</v>
      </c>
      <c r="B27" s="10" t="s">
        <v>117</v>
      </c>
      <c r="C27" s="13">
        <v>1.4</v>
      </c>
      <c r="D27" s="13">
        <v>1</v>
      </c>
      <c r="E27" s="13">
        <v>1.5</v>
      </c>
      <c r="F27" s="13">
        <v>-0.3</v>
      </c>
      <c r="G27" s="13">
        <v>0.1</v>
      </c>
      <c r="H27" s="13">
        <v>2</v>
      </c>
      <c r="I27" s="13">
        <v>0.9</v>
      </c>
      <c r="J27" s="13">
        <v>1.8</v>
      </c>
      <c r="K27" s="13">
        <v>-3.5</v>
      </c>
      <c r="L27" s="13">
        <v>-12.4</v>
      </c>
      <c r="M27" s="13">
        <v>0.3</v>
      </c>
      <c r="N27" s="13">
        <v>6.4</v>
      </c>
      <c r="O27" s="16">
        <v>6</v>
      </c>
      <c r="P27" s="13"/>
      <c r="Q27" s="13"/>
    </row>
    <row r="28" spans="1:28" x14ac:dyDescent="0.45">
      <c r="A28" s="6" t="s">
        <v>118</v>
      </c>
      <c r="B28" s="6" t="s">
        <v>119</v>
      </c>
      <c r="C28" s="19">
        <v>293.5</v>
      </c>
      <c r="D28" s="19">
        <v>322.5</v>
      </c>
      <c r="E28" s="19">
        <v>348.1</v>
      </c>
      <c r="F28" s="19">
        <v>356.8</v>
      </c>
      <c r="G28" s="19">
        <v>380.3</v>
      </c>
      <c r="H28" s="19">
        <v>395.7</v>
      </c>
      <c r="I28" s="19">
        <v>487.1</v>
      </c>
      <c r="J28" s="19">
        <v>522.6</v>
      </c>
      <c r="K28" s="19">
        <v>493.9</v>
      </c>
      <c r="L28" s="19">
        <v>515.4</v>
      </c>
      <c r="M28" s="19">
        <v>575.29999999999995</v>
      </c>
      <c r="N28" s="19">
        <v>592.1</v>
      </c>
      <c r="O28" s="22">
        <v>683.5</v>
      </c>
      <c r="P28" s="19">
        <v>1106</v>
      </c>
      <c r="Q28" s="19">
        <v>1219.9000000000001</v>
      </c>
      <c r="S28" s="19">
        <v>348.1</v>
      </c>
      <c r="T28" s="19">
        <v>356.8</v>
      </c>
      <c r="U28" s="19">
        <v>380.3</v>
      </c>
      <c r="V28" s="19">
        <v>395.7</v>
      </c>
      <c r="W28" s="19">
        <v>487.1</v>
      </c>
      <c r="X28" s="19">
        <v>522.6</v>
      </c>
      <c r="Y28" s="19">
        <v>493.9</v>
      </c>
      <c r="Z28" s="19">
        <v>515.4</v>
      </c>
      <c r="AA28" s="19">
        <v>575.29999999999995</v>
      </c>
      <c r="AB28" s="19">
        <v>592.1</v>
      </c>
    </row>
    <row r="29" spans="1:28" x14ac:dyDescent="0.45">
      <c r="A29" s="37" t="s">
        <v>120</v>
      </c>
      <c r="B29" s="37" t="s">
        <v>121</v>
      </c>
      <c r="C29" s="38">
        <v>90.1</v>
      </c>
      <c r="D29" s="38">
        <v>77.2</v>
      </c>
      <c r="E29" s="38">
        <v>93.4</v>
      </c>
      <c r="F29" s="38">
        <v>104.2</v>
      </c>
      <c r="G29" s="38">
        <v>114.7</v>
      </c>
      <c r="H29" s="38">
        <v>136.4</v>
      </c>
      <c r="I29" s="38">
        <v>67.7</v>
      </c>
      <c r="J29" s="38">
        <v>71.3</v>
      </c>
      <c r="K29" s="38">
        <v>60</v>
      </c>
      <c r="L29" s="38">
        <v>60.7</v>
      </c>
      <c r="M29" s="38">
        <v>51.6</v>
      </c>
      <c r="N29" s="38">
        <v>91.7</v>
      </c>
      <c r="O29" s="39">
        <v>115.8</v>
      </c>
      <c r="P29" s="38"/>
      <c r="Q29" s="38"/>
      <c r="S29" s="38">
        <v>93.4</v>
      </c>
      <c r="T29" s="38">
        <v>104.2</v>
      </c>
      <c r="U29" s="38">
        <v>114.7</v>
      </c>
      <c r="V29" s="38">
        <v>136.4</v>
      </c>
      <c r="W29" s="38">
        <v>67.7</v>
      </c>
      <c r="X29" s="38">
        <v>71.3</v>
      </c>
      <c r="Y29" s="38">
        <v>60</v>
      </c>
      <c r="Z29" s="38">
        <v>60.7</v>
      </c>
      <c r="AA29" s="38">
        <v>51.6</v>
      </c>
      <c r="AB29" s="38">
        <v>91.7</v>
      </c>
    </row>
    <row r="30" spans="1:28" x14ac:dyDescent="0.45">
      <c r="A30" s="10" t="s">
        <v>122</v>
      </c>
      <c r="B30" s="10" t="s">
        <v>123</v>
      </c>
      <c r="C30" s="13">
        <v>109</v>
      </c>
      <c r="D30" s="13">
        <v>101.2</v>
      </c>
      <c r="E30" s="13">
        <v>112.3</v>
      </c>
      <c r="F30" s="13">
        <v>119.4</v>
      </c>
      <c r="G30" s="13">
        <v>125.6</v>
      </c>
      <c r="H30" s="13">
        <v>139.1</v>
      </c>
      <c r="I30" s="13">
        <v>101.4</v>
      </c>
      <c r="J30" s="13">
        <v>85.8</v>
      </c>
      <c r="K30" s="13">
        <v>91</v>
      </c>
      <c r="L30" s="13">
        <v>95.2</v>
      </c>
      <c r="M30" s="13">
        <v>182.3</v>
      </c>
      <c r="N30" s="13">
        <v>183</v>
      </c>
      <c r="O30" s="16"/>
      <c r="P30" s="13"/>
      <c r="Q30" s="13"/>
      <c r="S30">
        <f>S29/S28</f>
        <v>0.26831370295891988</v>
      </c>
      <c r="T30">
        <f>T29/T28</f>
        <v>0.2920403587443946</v>
      </c>
      <c r="U30">
        <f>U29/U28</f>
        <v>0.30160399684459638</v>
      </c>
      <c r="V30">
        <f>V29/V28</f>
        <v>0.34470558503917109</v>
      </c>
      <c r="W30">
        <f>W29/W28</f>
        <v>0.13898583453089713</v>
      </c>
      <c r="X30">
        <f>X29/X28</f>
        <v>0.13643321852277074</v>
      </c>
      <c r="Y30">
        <f>Y29/Y28</f>
        <v>0.12148208139299455</v>
      </c>
      <c r="Z30">
        <f>Z29/Z28</f>
        <v>0.11777260380287156</v>
      </c>
      <c r="AA30">
        <f>AA29/AA28</f>
        <v>8.9692334434208251E-2</v>
      </c>
      <c r="AB30">
        <f>AB29/AB28</f>
        <v>0.15487248775544671</v>
      </c>
    </row>
    <row r="31" spans="1:28" x14ac:dyDescent="0.45">
      <c r="A31" s="10" t="s">
        <v>124</v>
      </c>
      <c r="B31" s="10" t="s">
        <v>125</v>
      </c>
      <c r="C31" s="13">
        <v>-18.899999999999999</v>
      </c>
      <c r="D31" s="13">
        <v>-24</v>
      </c>
      <c r="E31" s="13">
        <v>-18.899999999999999</v>
      </c>
      <c r="F31" s="13">
        <v>-15.2</v>
      </c>
      <c r="G31" s="13">
        <v>-10.9</v>
      </c>
      <c r="H31" s="13">
        <v>-2.7</v>
      </c>
      <c r="I31" s="13">
        <v>-33.700000000000003</v>
      </c>
      <c r="J31" s="13">
        <v>-14.5</v>
      </c>
      <c r="K31" s="13">
        <v>-30.9</v>
      </c>
      <c r="L31" s="13">
        <v>-34.5</v>
      </c>
      <c r="M31" s="13">
        <v>-130.69999999999999</v>
      </c>
      <c r="N31" s="13">
        <v>-91.3</v>
      </c>
      <c r="O31" s="16"/>
      <c r="P31" s="13"/>
      <c r="Q31" s="13"/>
    </row>
    <row r="32" spans="1:28" x14ac:dyDescent="0.45">
      <c r="A32" s="10" t="s">
        <v>126</v>
      </c>
      <c r="B32" s="10" t="s">
        <v>127</v>
      </c>
      <c r="C32" s="13" t="s">
        <v>100</v>
      </c>
      <c r="D32" s="13" t="s">
        <v>100</v>
      </c>
      <c r="E32" s="13" t="s">
        <v>100</v>
      </c>
      <c r="F32" s="13" t="s">
        <v>100</v>
      </c>
      <c r="G32" s="13" t="s">
        <v>100</v>
      </c>
      <c r="H32" s="13" t="s">
        <v>100</v>
      </c>
      <c r="I32" s="13" t="s">
        <v>100</v>
      </c>
      <c r="J32" s="13" t="s">
        <v>100</v>
      </c>
      <c r="K32" s="13" t="s">
        <v>100</v>
      </c>
      <c r="L32" s="13" t="s">
        <v>100</v>
      </c>
      <c r="M32" s="13" t="s">
        <v>100</v>
      </c>
      <c r="N32" s="13" t="s">
        <v>100</v>
      </c>
      <c r="O32" s="16"/>
      <c r="P32" s="13"/>
      <c r="Q32" s="13"/>
    </row>
    <row r="33" spans="1:17" x14ac:dyDescent="0.45">
      <c r="A33" s="6" t="s">
        <v>128</v>
      </c>
      <c r="B33" s="6" t="s">
        <v>129</v>
      </c>
      <c r="C33" s="19">
        <v>203.5</v>
      </c>
      <c r="D33" s="19">
        <v>245.3</v>
      </c>
      <c r="E33" s="19">
        <v>254.7</v>
      </c>
      <c r="F33" s="19">
        <v>252.5</v>
      </c>
      <c r="G33" s="19">
        <v>265.60000000000002</v>
      </c>
      <c r="H33" s="19">
        <v>259.3</v>
      </c>
      <c r="I33" s="19">
        <v>419.4</v>
      </c>
      <c r="J33" s="19">
        <v>451.3</v>
      </c>
      <c r="K33" s="19">
        <v>433.9</v>
      </c>
      <c r="L33" s="19">
        <v>454.6</v>
      </c>
      <c r="M33" s="19">
        <v>523.70000000000005</v>
      </c>
      <c r="N33" s="19">
        <v>500.4</v>
      </c>
      <c r="O33" s="22">
        <v>567.79999999999995</v>
      </c>
      <c r="P33" s="19">
        <v>549.70000000000005</v>
      </c>
      <c r="Q33" s="19">
        <v>607.20000000000005</v>
      </c>
    </row>
    <row r="34" spans="1:17" x14ac:dyDescent="0.45">
      <c r="A34" s="10" t="s">
        <v>130</v>
      </c>
      <c r="B34" s="10" t="s">
        <v>131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6">
        <v>0</v>
      </c>
      <c r="P34" s="13"/>
      <c r="Q34" s="13"/>
    </row>
    <row r="35" spans="1:17" x14ac:dyDescent="0.45">
      <c r="A35" s="10" t="s">
        <v>132</v>
      </c>
      <c r="B35" s="10" t="s">
        <v>133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6">
        <v>0</v>
      </c>
      <c r="P35" s="13"/>
      <c r="Q35" s="13"/>
    </row>
    <row r="36" spans="1:17" x14ac:dyDescent="0.45">
      <c r="A36" s="10" t="s">
        <v>134</v>
      </c>
      <c r="B36" s="10" t="s">
        <v>135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6">
        <v>0</v>
      </c>
      <c r="P36" s="13"/>
      <c r="Q36" s="13"/>
    </row>
    <row r="37" spans="1:17" x14ac:dyDescent="0.45">
      <c r="A37" s="6" t="s">
        <v>136</v>
      </c>
      <c r="B37" s="6" t="s">
        <v>137</v>
      </c>
      <c r="C37" s="19">
        <v>203.5</v>
      </c>
      <c r="D37" s="19">
        <v>245.3</v>
      </c>
      <c r="E37" s="19">
        <v>254.7</v>
      </c>
      <c r="F37" s="19">
        <v>252.5</v>
      </c>
      <c r="G37" s="19">
        <v>265.60000000000002</v>
      </c>
      <c r="H37" s="19">
        <v>259.3</v>
      </c>
      <c r="I37" s="19">
        <v>419.4</v>
      </c>
      <c r="J37" s="19">
        <v>451.3</v>
      </c>
      <c r="K37" s="19">
        <v>433.9</v>
      </c>
      <c r="L37" s="19">
        <v>454.6</v>
      </c>
      <c r="M37" s="19">
        <v>523.70000000000005</v>
      </c>
      <c r="N37" s="19">
        <v>500.4</v>
      </c>
      <c r="O37" s="22">
        <v>567.79999999999995</v>
      </c>
      <c r="P37" s="19"/>
      <c r="Q37" s="19"/>
    </row>
    <row r="38" spans="1:17" x14ac:dyDescent="0.45">
      <c r="A38" s="10" t="s">
        <v>138</v>
      </c>
      <c r="B38" s="10" t="s">
        <v>139</v>
      </c>
      <c r="C38" s="13" t="s">
        <v>100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6">
        <v>0</v>
      </c>
      <c r="P38" s="13"/>
      <c r="Q38" s="13"/>
    </row>
    <row r="39" spans="1:17" x14ac:dyDescent="0.45">
      <c r="A39" s="6" t="s">
        <v>140</v>
      </c>
      <c r="B39" s="6" t="s">
        <v>141</v>
      </c>
      <c r="C39" s="19">
        <v>203.5</v>
      </c>
      <c r="D39" s="19">
        <v>245.3</v>
      </c>
      <c r="E39" s="19">
        <v>254.7</v>
      </c>
      <c r="F39" s="19">
        <v>252.5</v>
      </c>
      <c r="G39" s="19">
        <v>265.60000000000002</v>
      </c>
      <c r="H39" s="19">
        <v>259.3</v>
      </c>
      <c r="I39" s="19">
        <v>419.4</v>
      </c>
      <c r="J39" s="19">
        <v>451.3</v>
      </c>
      <c r="K39" s="19">
        <v>433.9</v>
      </c>
      <c r="L39" s="19">
        <v>454.6</v>
      </c>
      <c r="M39" s="19">
        <v>523.70000000000005</v>
      </c>
      <c r="N39" s="19">
        <v>500.4</v>
      </c>
      <c r="O39" s="22">
        <v>567.79999999999995</v>
      </c>
      <c r="P39" s="19">
        <v>549.70000000000005</v>
      </c>
      <c r="Q39" s="19">
        <v>607.20000000000005</v>
      </c>
    </row>
    <row r="40" spans="1:17" x14ac:dyDescent="0.45">
      <c r="A40" s="10" t="s">
        <v>142</v>
      </c>
      <c r="B40" s="10" t="s">
        <v>143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6">
        <v>0</v>
      </c>
      <c r="P40" s="13"/>
      <c r="Q40" s="13"/>
    </row>
    <row r="41" spans="1:17" x14ac:dyDescent="0.45">
      <c r="A41" s="10" t="s">
        <v>144</v>
      </c>
      <c r="B41" s="10" t="s">
        <v>145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6">
        <v>0</v>
      </c>
      <c r="P41" s="13"/>
      <c r="Q41" s="13"/>
    </row>
    <row r="42" spans="1:17" x14ac:dyDescent="0.45">
      <c r="A42" s="6" t="s">
        <v>146</v>
      </c>
      <c r="B42" s="6" t="s">
        <v>38</v>
      </c>
      <c r="C42" s="19">
        <v>203.5</v>
      </c>
      <c r="D42" s="19">
        <v>245.3</v>
      </c>
      <c r="E42" s="19">
        <v>254.7</v>
      </c>
      <c r="F42" s="19">
        <v>252.5</v>
      </c>
      <c r="G42" s="19">
        <v>265.60000000000002</v>
      </c>
      <c r="H42" s="19">
        <v>259.3</v>
      </c>
      <c r="I42" s="19">
        <v>419.4</v>
      </c>
      <c r="J42" s="19">
        <v>451.3</v>
      </c>
      <c r="K42" s="19">
        <v>433.9</v>
      </c>
      <c r="L42" s="19">
        <v>454.6</v>
      </c>
      <c r="M42" s="19">
        <v>523.70000000000005</v>
      </c>
      <c r="N42" s="19">
        <v>500.4</v>
      </c>
      <c r="O42" s="22">
        <v>567.79999999999995</v>
      </c>
      <c r="P42" s="19">
        <v>549.70000000000005</v>
      </c>
      <c r="Q42" s="19">
        <v>607.20000000000005</v>
      </c>
    </row>
    <row r="43" spans="1:17" x14ac:dyDescent="0.4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1"/>
      <c r="P43" s="18"/>
      <c r="Q43" s="18"/>
    </row>
    <row r="44" spans="1:17" x14ac:dyDescent="0.45">
      <c r="A44" s="6" t="s">
        <v>147</v>
      </c>
      <c r="B44" s="6" t="s">
        <v>38</v>
      </c>
      <c r="C44" s="19">
        <v>204.1</v>
      </c>
      <c r="D44" s="19">
        <v>245.7</v>
      </c>
      <c r="E44" s="19">
        <v>258.89999999999998</v>
      </c>
      <c r="F44" s="19">
        <v>254.4</v>
      </c>
      <c r="G44" s="19">
        <v>268.3</v>
      </c>
      <c r="H44" s="19">
        <v>291.3</v>
      </c>
      <c r="I44" s="19">
        <v>429.4</v>
      </c>
      <c r="J44" s="19">
        <v>462</v>
      </c>
      <c r="K44" s="19">
        <v>446.4</v>
      </c>
      <c r="L44" s="19">
        <v>475.6</v>
      </c>
      <c r="M44" s="19">
        <v>534.9</v>
      </c>
      <c r="N44" s="19">
        <v>507.9</v>
      </c>
      <c r="O44" s="22">
        <v>604.70000000000005</v>
      </c>
      <c r="P44" s="19">
        <v>903</v>
      </c>
      <c r="Q44" s="19">
        <v>996.9</v>
      </c>
    </row>
    <row r="45" spans="1:17" x14ac:dyDescent="0.45">
      <c r="A45" s="10" t="s">
        <v>148</v>
      </c>
      <c r="B45" s="10" t="s">
        <v>149</v>
      </c>
      <c r="C45" s="13">
        <v>0.6</v>
      </c>
      <c r="D45" s="13">
        <v>0.4</v>
      </c>
      <c r="E45" s="13">
        <v>4.2</v>
      </c>
      <c r="F45" s="13">
        <v>1.9</v>
      </c>
      <c r="G45" s="13">
        <v>2.7</v>
      </c>
      <c r="H45" s="13">
        <v>32</v>
      </c>
      <c r="I45" s="13">
        <v>10</v>
      </c>
      <c r="J45" s="13">
        <v>10.7</v>
      </c>
      <c r="K45" s="13">
        <v>12.5</v>
      </c>
      <c r="L45" s="13">
        <v>21</v>
      </c>
      <c r="M45" s="13">
        <v>11.2</v>
      </c>
      <c r="N45" s="13">
        <v>7.4</v>
      </c>
      <c r="O45" s="16">
        <v>37</v>
      </c>
      <c r="P45" s="13"/>
      <c r="Q45" s="13"/>
    </row>
    <row r="46" spans="1:17" x14ac:dyDescent="0.45">
      <c r="A46" s="10" t="s">
        <v>150</v>
      </c>
      <c r="B46" s="10" t="s">
        <v>131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6">
        <v>0</v>
      </c>
      <c r="P46" s="13"/>
      <c r="Q46" s="13"/>
    </row>
    <row r="47" spans="1:17" x14ac:dyDescent="0.4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1"/>
      <c r="P47" s="18"/>
      <c r="Q47" s="18"/>
    </row>
    <row r="48" spans="1:17" x14ac:dyDescent="0.45">
      <c r="A48" s="10" t="s">
        <v>151</v>
      </c>
      <c r="B48" s="10" t="s">
        <v>44</v>
      </c>
      <c r="C48" s="13">
        <v>92.6</v>
      </c>
      <c r="D48" s="13">
        <v>92.7</v>
      </c>
      <c r="E48" s="13">
        <v>92.1</v>
      </c>
      <c r="F48" s="13">
        <v>89.6</v>
      </c>
      <c r="G48" s="13">
        <v>87.2</v>
      </c>
      <c r="H48" s="13">
        <v>85</v>
      </c>
      <c r="I48" s="13">
        <v>84</v>
      </c>
      <c r="J48" s="13">
        <v>84.3</v>
      </c>
      <c r="K48" s="13">
        <v>85.8</v>
      </c>
      <c r="L48" s="13">
        <v>87.1</v>
      </c>
      <c r="M48" s="13">
        <v>87.1</v>
      </c>
      <c r="N48" s="13">
        <v>86.8</v>
      </c>
      <c r="O48" s="16">
        <v>87.4</v>
      </c>
      <c r="P48" s="13"/>
      <c r="Q48" s="13"/>
    </row>
    <row r="49" spans="1:17" x14ac:dyDescent="0.45">
      <c r="A49" s="6" t="s">
        <v>39</v>
      </c>
      <c r="B49" s="6" t="s">
        <v>40</v>
      </c>
      <c r="C49" s="20">
        <v>2.2000000000000002</v>
      </c>
      <c r="D49" s="20">
        <v>2.65</v>
      </c>
      <c r="E49" s="20">
        <v>2.77</v>
      </c>
      <c r="F49" s="20">
        <v>2.82</v>
      </c>
      <c r="G49" s="20">
        <v>3.05</v>
      </c>
      <c r="H49" s="20">
        <v>3.05</v>
      </c>
      <c r="I49" s="20">
        <v>4.99</v>
      </c>
      <c r="J49" s="20">
        <v>5.36</v>
      </c>
      <c r="K49" s="20">
        <v>5.05</v>
      </c>
      <c r="L49" s="20">
        <v>5.22</v>
      </c>
      <c r="M49" s="20">
        <v>6.02</v>
      </c>
      <c r="N49" s="20">
        <v>5.76</v>
      </c>
      <c r="O49" s="23">
        <v>6.52</v>
      </c>
      <c r="P49" s="20">
        <v>6.43</v>
      </c>
      <c r="Q49" s="20">
        <v>7.16</v>
      </c>
    </row>
    <row r="50" spans="1:17" x14ac:dyDescent="0.45">
      <c r="A50" s="6" t="s">
        <v>152</v>
      </c>
      <c r="B50" s="6" t="s">
        <v>153</v>
      </c>
      <c r="C50" s="20">
        <v>2.2000000000000002</v>
      </c>
      <c r="D50" s="20">
        <v>2.65</v>
      </c>
      <c r="E50" s="20">
        <v>2.77</v>
      </c>
      <c r="F50" s="20">
        <v>2.82</v>
      </c>
      <c r="G50" s="20">
        <v>3.05</v>
      </c>
      <c r="H50" s="20">
        <v>3.05</v>
      </c>
      <c r="I50" s="20">
        <v>4.99</v>
      </c>
      <c r="J50" s="20">
        <v>5.36</v>
      </c>
      <c r="K50" s="20">
        <v>5.05</v>
      </c>
      <c r="L50" s="20">
        <v>5.22</v>
      </c>
      <c r="M50" s="20">
        <v>6.02</v>
      </c>
      <c r="N50" s="20">
        <v>5.76</v>
      </c>
      <c r="O50" s="23">
        <v>6.52</v>
      </c>
      <c r="P50" s="20">
        <v>6.43</v>
      </c>
      <c r="Q50" s="20">
        <v>7.16</v>
      </c>
    </row>
    <row r="51" spans="1:17" x14ac:dyDescent="0.45">
      <c r="A51" s="6" t="s">
        <v>154</v>
      </c>
      <c r="B51" s="6" t="s">
        <v>155</v>
      </c>
      <c r="C51" s="20">
        <v>2.2000000000000002</v>
      </c>
      <c r="D51" s="20">
        <v>2.65</v>
      </c>
      <c r="E51" s="20">
        <v>2.81</v>
      </c>
      <c r="F51" s="20">
        <v>2.84</v>
      </c>
      <c r="G51" s="20">
        <v>3.08</v>
      </c>
      <c r="H51" s="20">
        <v>3.43</v>
      </c>
      <c r="I51" s="20">
        <v>5.1100000000000003</v>
      </c>
      <c r="J51" s="20">
        <v>5.48</v>
      </c>
      <c r="K51" s="20">
        <v>5.2</v>
      </c>
      <c r="L51" s="20">
        <v>5.46</v>
      </c>
      <c r="M51" s="20">
        <v>6.14</v>
      </c>
      <c r="N51" s="20">
        <v>5.85</v>
      </c>
      <c r="O51" s="23">
        <v>6.94</v>
      </c>
      <c r="P51" s="20">
        <v>10.28</v>
      </c>
      <c r="Q51" s="20">
        <v>11.32</v>
      </c>
    </row>
    <row r="52" spans="1:17" x14ac:dyDescent="0.4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1"/>
      <c r="P52" s="18"/>
      <c r="Q52" s="18"/>
    </row>
    <row r="53" spans="1:17" x14ac:dyDescent="0.45">
      <c r="A53" s="10" t="s">
        <v>156</v>
      </c>
      <c r="B53" s="10" t="s">
        <v>46</v>
      </c>
      <c r="C53" s="13">
        <v>95</v>
      </c>
      <c r="D53" s="13">
        <v>95.1</v>
      </c>
      <c r="E53" s="13">
        <v>94.2</v>
      </c>
      <c r="F53" s="13">
        <v>91.5</v>
      </c>
      <c r="G53" s="13">
        <v>89</v>
      </c>
      <c r="H53" s="13">
        <v>86.9</v>
      </c>
      <c r="I53" s="13">
        <v>85.9</v>
      </c>
      <c r="J53" s="13">
        <v>85.9</v>
      </c>
      <c r="K53" s="13">
        <v>87.3</v>
      </c>
      <c r="L53" s="13">
        <v>88.1</v>
      </c>
      <c r="M53" s="13">
        <v>87.5</v>
      </c>
      <c r="N53" s="13">
        <v>87.4</v>
      </c>
      <c r="O53" s="16">
        <v>87.9</v>
      </c>
      <c r="P53" s="13"/>
      <c r="Q53" s="13"/>
    </row>
    <row r="54" spans="1:17" x14ac:dyDescent="0.45">
      <c r="A54" s="6" t="s">
        <v>41</v>
      </c>
      <c r="B54" s="6" t="s">
        <v>42</v>
      </c>
      <c r="C54" s="20">
        <v>2.14</v>
      </c>
      <c r="D54" s="20">
        <v>2.58</v>
      </c>
      <c r="E54" s="20">
        <v>2.7</v>
      </c>
      <c r="F54" s="20">
        <v>2.76</v>
      </c>
      <c r="G54" s="20">
        <v>2.99</v>
      </c>
      <c r="H54" s="20">
        <v>2.98</v>
      </c>
      <c r="I54" s="20">
        <v>4.88</v>
      </c>
      <c r="J54" s="20">
        <v>5.25</v>
      </c>
      <c r="K54" s="20">
        <v>4.97</v>
      </c>
      <c r="L54" s="20">
        <v>5.16</v>
      </c>
      <c r="M54" s="20">
        <v>5.99</v>
      </c>
      <c r="N54" s="20">
        <v>5.73</v>
      </c>
      <c r="O54" s="23">
        <v>6.48</v>
      </c>
      <c r="P54" s="20">
        <v>6.43</v>
      </c>
      <c r="Q54" s="20">
        <v>7.16</v>
      </c>
    </row>
    <row r="55" spans="1:17" x14ac:dyDescent="0.45">
      <c r="A55" s="6" t="s">
        <v>157</v>
      </c>
      <c r="B55" s="6" t="s">
        <v>158</v>
      </c>
      <c r="C55" s="20">
        <v>2.14</v>
      </c>
      <c r="D55" s="20">
        <v>2.58</v>
      </c>
      <c r="E55" s="20">
        <v>2.7</v>
      </c>
      <c r="F55" s="20">
        <v>2.76</v>
      </c>
      <c r="G55" s="20">
        <v>2.99</v>
      </c>
      <c r="H55" s="20">
        <v>2.98</v>
      </c>
      <c r="I55" s="20">
        <v>4.88</v>
      </c>
      <c r="J55" s="20">
        <v>5.25</v>
      </c>
      <c r="K55" s="20">
        <v>4.97</v>
      </c>
      <c r="L55" s="20">
        <v>5.16</v>
      </c>
      <c r="M55" s="20">
        <v>5.99</v>
      </c>
      <c r="N55" s="20">
        <v>5.73</v>
      </c>
      <c r="O55" s="23">
        <v>6.48</v>
      </c>
      <c r="P55" s="20">
        <v>6.43</v>
      </c>
      <c r="Q55" s="20">
        <v>7.16</v>
      </c>
    </row>
    <row r="56" spans="1:17" x14ac:dyDescent="0.45">
      <c r="A56" s="6" t="s">
        <v>159</v>
      </c>
      <c r="B56" s="6" t="s">
        <v>160</v>
      </c>
      <c r="C56" s="20">
        <v>2.15</v>
      </c>
      <c r="D56" s="20">
        <v>2.58</v>
      </c>
      <c r="E56" s="20">
        <v>2.75</v>
      </c>
      <c r="F56" s="20">
        <v>2.78</v>
      </c>
      <c r="G56" s="20">
        <v>3.02</v>
      </c>
      <c r="H56" s="20">
        <v>3.35</v>
      </c>
      <c r="I56" s="20">
        <v>5</v>
      </c>
      <c r="J56" s="20">
        <v>5.37</v>
      </c>
      <c r="K56" s="20">
        <v>5.1100000000000003</v>
      </c>
      <c r="L56" s="20">
        <v>5.4</v>
      </c>
      <c r="M56" s="20">
        <v>6.12</v>
      </c>
      <c r="N56" s="20">
        <v>5.82</v>
      </c>
      <c r="O56" s="23">
        <v>6.9</v>
      </c>
      <c r="P56" s="20">
        <v>10.28</v>
      </c>
      <c r="Q56" s="20">
        <v>11.32</v>
      </c>
    </row>
    <row r="57" spans="1:17" x14ac:dyDescent="0.4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1"/>
      <c r="P57" s="18"/>
      <c r="Q57" s="18"/>
    </row>
    <row r="58" spans="1:17" x14ac:dyDescent="0.45">
      <c r="A58" s="6" t="s">
        <v>161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1"/>
      <c r="P58" s="18"/>
      <c r="Q58" s="18"/>
    </row>
    <row r="59" spans="1:17" x14ac:dyDescent="0.45">
      <c r="A59" s="10" t="s">
        <v>162</v>
      </c>
      <c r="B59" s="10" t="s">
        <v>163</v>
      </c>
      <c r="C59" s="12" t="s">
        <v>164</v>
      </c>
      <c r="D59" s="12" t="s">
        <v>164</v>
      </c>
      <c r="E59" s="12" t="s">
        <v>164</v>
      </c>
      <c r="F59" s="12" t="s">
        <v>164</v>
      </c>
      <c r="G59" s="12" t="s">
        <v>164</v>
      </c>
      <c r="H59" s="12" t="s">
        <v>164</v>
      </c>
      <c r="I59" s="12" t="s">
        <v>164</v>
      </c>
      <c r="J59" s="12" t="s">
        <v>164</v>
      </c>
      <c r="K59" s="12" t="s">
        <v>164</v>
      </c>
      <c r="L59" s="12" t="s">
        <v>164</v>
      </c>
      <c r="M59" s="12" t="s">
        <v>164</v>
      </c>
      <c r="N59" s="12" t="s">
        <v>164</v>
      </c>
      <c r="O59" s="15"/>
      <c r="P59" s="12"/>
      <c r="Q59" s="12"/>
    </row>
    <row r="60" spans="1:17" x14ac:dyDescent="0.45">
      <c r="A60" s="10" t="s">
        <v>165</v>
      </c>
      <c r="B60" s="10" t="s">
        <v>165</v>
      </c>
      <c r="C60" s="13">
        <v>379.7</v>
      </c>
      <c r="D60" s="13">
        <v>402.6</v>
      </c>
      <c r="E60" s="13">
        <v>429.4</v>
      </c>
      <c r="F60" s="13">
        <v>431.3</v>
      </c>
      <c r="G60" s="13">
        <v>445.8</v>
      </c>
      <c r="H60" s="13">
        <v>458.4</v>
      </c>
      <c r="I60" s="13">
        <v>535.79999999999995</v>
      </c>
      <c r="J60" s="13">
        <v>598.1</v>
      </c>
      <c r="K60" s="13">
        <v>606.4</v>
      </c>
      <c r="L60" s="13">
        <v>648.5</v>
      </c>
      <c r="M60" s="13">
        <v>734.8</v>
      </c>
      <c r="N60" s="13">
        <v>787.1</v>
      </c>
      <c r="O60" s="16">
        <v>864.9</v>
      </c>
      <c r="P60" s="13">
        <v>1062.3</v>
      </c>
      <c r="Q60" s="13">
        <v>1256.5999999999999</v>
      </c>
    </row>
    <row r="61" spans="1:17" x14ac:dyDescent="0.45">
      <c r="A61" s="10" t="s">
        <v>166</v>
      </c>
      <c r="B61" s="10" t="s">
        <v>167</v>
      </c>
      <c r="C61" s="14">
        <v>47.58</v>
      </c>
      <c r="D61" s="14">
        <v>46.74</v>
      </c>
      <c r="E61" s="14">
        <v>45.87</v>
      </c>
      <c r="F61" s="14">
        <v>45.75</v>
      </c>
      <c r="G61" s="14">
        <v>45.1</v>
      </c>
      <c r="H61" s="14">
        <v>41.85</v>
      </c>
      <c r="I61" s="14">
        <v>41.42</v>
      </c>
      <c r="J61" s="14">
        <v>39.450000000000003</v>
      </c>
      <c r="K61" s="14">
        <v>36.07</v>
      </c>
      <c r="L61" s="14">
        <v>34.01</v>
      </c>
      <c r="M61" s="14">
        <v>35.57</v>
      </c>
      <c r="N61" s="14">
        <v>34.68</v>
      </c>
      <c r="O61" s="17">
        <v>35.049999999999997</v>
      </c>
      <c r="P61" s="14">
        <v>42.35</v>
      </c>
      <c r="Q61" s="14">
        <v>45.83</v>
      </c>
    </row>
    <row r="62" spans="1:17" x14ac:dyDescent="0.45">
      <c r="A62" s="10" t="s">
        <v>168</v>
      </c>
      <c r="B62" s="10" t="s">
        <v>168</v>
      </c>
      <c r="C62" s="13">
        <v>361.6</v>
      </c>
      <c r="D62" s="13">
        <v>382.6</v>
      </c>
      <c r="E62" s="13">
        <v>408.5</v>
      </c>
      <c r="F62" s="13">
        <v>411.8</v>
      </c>
      <c r="G62" s="13">
        <v>427</v>
      </c>
      <c r="H62" s="13">
        <v>440.5</v>
      </c>
      <c r="I62" s="13">
        <v>517.4</v>
      </c>
      <c r="J62" s="13">
        <v>589.6</v>
      </c>
      <c r="K62" s="13">
        <v>595</v>
      </c>
      <c r="L62" s="13">
        <v>617.6</v>
      </c>
      <c r="M62" s="13">
        <v>705.3</v>
      </c>
      <c r="N62" s="13">
        <v>758.1</v>
      </c>
      <c r="O62" s="16">
        <v>822</v>
      </c>
      <c r="P62" s="13"/>
      <c r="Q62" s="13"/>
    </row>
    <row r="63" spans="1:17" x14ac:dyDescent="0.45">
      <c r="A63" s="10" t="s">
        <v>169</v>
      </c>
      <c r="B63" s="10" t="s">
        <v>169</v>
      </c>
      <c r="C63" s="13">
        <v>294.3</v>
      </c>
      <c r="D63" s="13">
        <v>321.89999999999998</v>
      </c>
      <c r="E63" s="13">
        <v>347.5</v>
      </c>
      <c r="F63" s="13">
        <v>353.7</v>
      </c>
      <c r="G63" s="13">
        <v>376.2</v>
      </c>
      <c r="H63" s="13">
        <v>390.7</v>
      </c>
      <c r="I63" s="13">
        <v>476.6</v>
      </c>
      <c r="J63" s="13">
        <v>515</v>
      </c>
      <c r="K63" s="13">
        <v>496.4</v>
      </c>
      <c r="L63" s="13">
        <v>513.29999999999995</v>
      </c>
      <c r="M63" s="13">
        <v>592.70000000000005</v>
      </c>
      <c r="N63" s="13">
        <v>626.1</v>
      </c>
      <c r="O63" s="16">
        <v>695.3</v>
      </c>
      <c r="P63" s="13">
        <v>1104.5</v>
      </c>
      <c r="Q63" s="13">
        <v>1223.8</v>
      </c>
    </row>
    <row r="64" spans="1:17" x14ac:dyDescent="0.45">
      <c r="A64" s="10" t="s">
        <v>170</v>
      </c>
      <c r="B64" s="10" t="s">
        <v>171</v>
      </c>
      <c r="C64" s="14">
        <v>82.52</v>
      </c>
      <c r="D64" s="14">
        <v>82.97</v>
      </c>
      <c r="E64" s="14">
        <v>83.61</v>
      </c>
      <c r="F64" s="14">
        <v>84.38</v>
      </c>
      <c r="G64" s="14">
        <v>85.14</v>
      </c>
      <c r="H64" s="14">
        <v>86.29</v>
      </c>
      <c r="I64" s="14">
        <v>87.95</v>
      </c>
      <c r="J64" s="14">
        <v>89.03</v>
      </c>
      <c r="K64" s="14">
        <v>86.6</v>
      </c>
      <c r="L64" s="14">
        <v>86.47</v>
      </c>
      <c r="M64" s="14">
        <v>87.87</v>
      </c>
      <c r="N64" s="14">
        <v>88.05</v>
      </c>
      <c r="O64" s="17">
        <v>88.77</v>
      </c>
      <c r="P64" s="14"/>
      <c r="Q64" s="14"/>
    </row>
    <row r="65" spans="1:18" x14ac:dyDescent="0.45">
      <c r="A65" s="10" t="s">
        <v>172</v>
      </c>
      <c r="B65" s="10" t="s">
        <v>173</v>
      </c>
      <c r="C65" s="14">
        <v>36.869999999999997</v>
      </c>
      <c r="D65" s="14">
        <v>37.369999999999997</v>
      </c>
      <c r="E65" s="14">
        <v>37.119999999999997</v>
      </c>
      <c r="F65" s="14">
        <v>37.520000000000003</v>
      </c>
      <c r="G65" s="14">
        <v>38.06</v>
      </c>
      <c r="H65" s="14">
        <v>35.67</v>
      </c>
      <c r="I65" s="14">
        <v>36.840000000000003</v>
      </c>
      <c r="J65" s="14">
        <v>33.979999999999997</v>
      </c>
      <c r="K65" s="14">
        <v>29.52</v>
      </c>
      <c r="L65" s="14">
        <v>26.92</v>
      </c>
      <c r="M65" s="14">
        <v>28.69</v>
      </c>
      <c r="N65" s="14">
        <v>27.58</v>
      </c>
      <c r="O65" s="17">
        <v>28.18</v>
      </c>
      <c r="P65" s="14">
        <v>44.03</v>
      </c>
      <c r="Q65" s="14">
        <v>44.63</v>
      </c>
    </row>
    <row r="66" spans="1:18" x14ac:dyDescent="0.45">
      <c r="A66" s="10" t="s">
        <v>174</v>
      </c>
      <c r="B66" s="10" t="s">
        <v>175</v>
      </c>
      <c r="C66" s="14">
        <v>25.5</v>
      </c>
      <c r="D66" s="14">
        <v>28.48</v>
      </c>
      <c r="E66" s="14">
        <v>27.21</v>
      </c>
      <c r="F66" s="14">
        <v>26.79</v>
      </c>
      <c r="G66" s="14">
        <v>26.87</v>
      </c>
      <c r="H66" s="14">
        <v>23.67</v>
      </c>
      <c r="I66" s="14">
        <v>32.42</v>
      </c>
      <c r="J66" s="14">
        <v>29.77</v>
      </c>
      <c r="K66" s="14">
        <v>25.81</v>
      </c>
      <c r="L66" s="14">
        <v>23.84</v>
      </c>
      <c r="M66" s="14">
        <v>25.35</v>
      </c>
      <c r="N66" s="14">
        <v>22.05</v>
      </c>
      <c r="O66" s="17">
        <v>23.01</v>
      </c>
      <c r="P66" s="14">
        <v>36</v>
      </c>
      <c r="Q66" s="14">
        <v>36.36</v>
      </c>
    </row>
    <row r="67" spans="1:18" x14ac:dyDescent="0.45">
      <c r="A67" s="10" t="s">
        <v>176</v>
      </c>
      <c r="B67" s="10" t="s">
        <v>177</v>
      </c>
      <c r="C67" s="14">
        <v>332507.5</v>
      </c>
      <c r="D67" s="14">
        <v>331253.84999999998</v>
      </c>
      <c r="E67" s="14">
        <v>346674.44</v>
      </c>
      <c r="F67" s="14">
        <v>336697.5</v>
      </c>
      <c r="G67" s="14">
        <v>353023.21</v>
      </c>
      <c r="H67" s="14">
        <v>377672.41</v>
      </c>
      <c r="I67" s="14">
        <v>760962.35</v>
      </c>
      <c r="J67" s="14">
        <v>721853.33</v>
      </c>
      <c r="K67" s="14">
        <v>350270.21</v>
      </c>
      <c r="L67" s="14">
        <v>373865.69</v>
      </c>
      <c r="M67" s="14">
        <v>368848.75</v>
      </c>
      <c r="N67" s="14">
        <v>366120.81</v>
      </c>
      <c r="O67" s="17">
        <v>393468.24</v>
      </c>
      <c r="P67" s="14"/>
      <c r="Q67" s="14"/>
    </row>
    <row r="68" spans="1:18" x14ac:dyDescent="0.45">
      <c r="A68" s="10" t="s">
        <v>178</v>
      </c>
      <c r="B68" s="10" t="s">
        <v>179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7">
        <v>0</v>
      </c>
      <c r="P68" s="14">
        <v>0</v>
      </c>
      <c r="Q68" s="14">
        <v>0</v>
      </c>
    </row>
    <row r="69" spans="1:18" x14ac:dyDescent="0.45">
      <c r="A69" s="10" t="s">
        <v>180</v>
      </c>
      <c r="B69" s="10" t="s">
        <v>181</v>
      </c>
      <c r="C69" s="13" t="s">
        <v>100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6">
        <v>0</v>
      </c>
      <c r="P69" s="13"/>
      <c r="Q69" s="13"/>
    </row>
    <row r="70" spans="1:18" x14ac:dyDescent="0.45">
      <c r="A70" s="10" t="s">
        <v>182</v>
      </c>
      <c r="B70" s="10" t="s">
        <v>183</v>
      </c>
      <c r="C70" s="13" t="s">
        <v>100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 t="s">
        <v>100</v>
      </c>
      <c r="K70" s="13" t="s">
        <v>100</v>
      </c>
      <c r="L70" s="13" t="s">
        <v>100</v>
      </c>
      <c r="M70" s="13" t="s">
        <v>100</v>
      </c>
      <c r="N70" s="13" t="s">
        <v>100</v>
      </c>
      <c r="O70" s="16"/>
      <c r="P70" s="13"/>
      <c r="Q70" s="13"/>
    </row>
    <row r="71" spans="1:18" x14ac:dyDescent="0.45">
      <c r="A71" s="10" t="s">
        <v>184</v>
      </c>
      <c r="B71" s="10" t="s">
        <v>185</v>
      </c>
      <c r="C71" s="13" t="s">
        <v>100</v>
      </c>
      <c r="D71" s="13" t="s">
        <v>100</v>
      </c>
      <c r="E71" s="13" t="s">
        <v>100</v>
      </c>
      <c r="F71" s="13" t="s">
        <v>100</v>
      </c>
      <c r="G71" s="13" t="s">
        <v>100</v>
      </c>
      <c r="H71" s="13" t="s">
        <v>100</v>
      </c>
      <c r="I71" s="13" t="s">
        <v>100</v>
      </c>
      <c r="J71" s="13">
        <v>8.5</v>
      </c>
      <c r="K71" s="13">
        <v>11.4</v>
      </c>
      <c r="L71" s="13">
        <v>30.9</v>
      </c>
      <c r="M71" s="13">
        <v>29.5</v>
      </c>
      <c r="N71" s="13">
        <v>29</v>
      </c>
      <c r="O71" s="16">
        <v>42.8</v>
      </c>
      <c r="P71" s="13"/>
      <c r="Q71" s="13"/>
      <c r="R71" s="36">
        <f>SUM(J71:N71)</f>
        <v>109.3</v>
      </c>
    </row>
    <row r="72" spans="1:18" x14ac:dyDescent="0.45">
      <c r="A72" s="10" t="s">
        <v>186</v>
      </c>
      <c r="B72" s="10" t="s">
        <v>187</v>
      </c>
      <c r="C72" s="13" t="s">
        <v>100</v>
      </c>
      <c r="D72" s="13">
        <v>14.1</v>
      </c>
      <c r="E72" s="13">
        <v>15.8</v>
      </c>
      <c r="F72" s="13">
        <v>16.5</v>
      </c>
      <c r="G72" s="13">
        <v>16.899999999999999</v>
      </c>
      <c r="H72" s="13">
        <v>17.100000000000001</v>
      </c>
      <c r="I72" s="13">
        <v>19.899999999999999</v>
      </c>
      <c r="J72" s="13">
        <v>26.3</v>
      </c>
      <c r="K72" s="13">
        <v>29.9</v>
      </c>
      <c r="L72" s="13">
        <v>32.4</v>
      </c>
      <c r="M72" s="13">
        <v>32</v>
      </c>
      <c r="N72" s="13">
        <v>34.200000000000003</v>
      </c>
      <c r="O72" s="16">
        <v>34.5</v>
      </c>
      <c r="P72" s="13"/>
      <c r="Q72" s="13"/>
    </row>
    <row r="73" spans="1:18" x14ac:dyDescent="0.45">
      <c r="A73" s="7" t="s">
        <v>69</v>
      </c>
      <c r="B73" s="7"/>
      <c r="C73" s="7" t="s">
        <v>70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"/>
  <sheetViews>
    <sheetView topLeftCell="A70" workbookViewId="0">
      <selection activeCell="N76" sqref="N76"/>
    </sheetView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23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3" ht="20.65" x14ac:dyDescent="0.45">
      <c r="A2" s="8" t="s">
        <v>188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23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3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23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23" x14ac:dyDescent="0.45">
      <c r="A6" s="6" t="s">
        <v>51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23" x14ac:dyDescent="0.45">
      <c r="A7" s="10" t="s">
        <v>189</v>
      </c>
      <c r="B7" s="10" t="s">
        <v>190</v>
      </c>
      <c r="C7" s="13">
        <v>343.8</v>
      </c>
      <c r="D7" s="13">
        <v>472.9</v>
      </c>
      <c r="E7" s="13">
        <v>472.4</v>
      </c>
      <c r="F7" s="13">
        <v>577.20000000000005</v>
      </c>
      <c r="G7" s="13">
        <v>743</v>
      </c>
      <c r="H7" s="13">
        <v>788.8</v>
      </c>
      <c r="I7" s="13">
        <v>784.6</v>
      </c>
      <c r="J7" s="13">
        <v>822.9</v>
      </c>
      <c r="K7" s="13">
        <v>881.8</v>
      </c>
      <c r="L7" s="13">
        <v>777.4</v>
      </c>
      <c r="M7" s="13">
        <v>872.4</v>
      </c>
      <c r="N7" s="13">
        <v>913.2</v>
      </c>
      <c r="O7" s="13">
        <v>668</v>
      </c>
      <c r="P7" s="13">
        <v>614.6</v>
      </c>
      <c r="Q7" s="13">
        <v>860.4</v>
      </c>
    </row>
    <row r="8" spans="1:23" x14ac:dyDescent="0.45">
      <c r="A8" s="10" t="s">
        <v>191</v>
      </c>
      <c r="B8" s="10" t="s">
        <v>192</v>
      </c>
      <c r="C8" s="13">
        <v>335.9</v>
      </c>
      <c r="D8" s="13">
        <v>472.5</v>
      </c>
      <c r="E8" s="13">
        <v>471.8</v>
      </c>
      <c r="F8" s="13">
        <v>576.70000000000005</v>
      </c>
      <c r="G8" s="13">
        <v>742.5</v>
      </c>
      <c r="H8" s="13">
        <v>788.1</v>
      </c>
      <c r="I8" s="13">
        <v>784.2</v>
      </c>
      <c r="J8" s="13">
        <v>822.5</v>
      </c>
      <c r="K8" s="13">
        <v>881.5</v>
      </c>
      <c r="L8" s="13">
        <v>777.1</v>
      </c>
      <c r="M8" s="13">
        <v>872.1</v>
      </c>
      <c r="N8" s="13">
        <v>912.7</v>
      </c>
      <c r="O8" s="13">
        <v>667.7</v>
      </c>
      <c r="P8" s="13">
        <v>614.4</v>
      </c>
      <c r="Q8" s="13">
        <v>860.2</v>
      </c>
    </row>
    <row r="9" spans="1:23" x14ac:dyDescent="0.45">
      <c r="A9" s="10" t="s">
        <v>193</v>
      </c>
      <c r="B9" s="10" t="s">
        <v>194</v>
      </c>
      <c r="C9" s="13">
        <v>8</v>
      </c>
      <c r="D9" s="13">
        <v>0.5</v>
      </c>
      <c r="E9" s="13">
        <v>0.6</v>
      </c>
      <c r="F9" s="13">
        <v>0.5</v>
      </c>
      <c r="G9" s="13">
        <v>0.5</v>
      </c>
      <c r="H9" s="13">
        <v>0.7</v>
      </c>
      <c r="I9" s="13">
        <v>0.4</v>
      </c>
      <c r="J9" s="13">
        <v>0.4</v>
      </c>
      <c r="K9" s="13">
        <v>0.3</v>
      </c>
      <c r="L9" s="13">
        <v>0.2</v>
      </c>
      <c r="M9" s="13">
        <v>0.3</v>
      </c>
      <c r="N9" s="13">
        <v>0.5</v>
      </c>
      <c r="O9" s="13">
        <v>0.4</v>
      </c>
      <c r="P9" s="13">
        <v>0.2</v>
      </c>
      <c r="Q9" s="13">
        <v>0.2</v>
      </c>
      <c r="T9" s="13">
        <v>11.4</v>
      </c>
      <c r="U9" s="13">
        <v>30.9</v>
      </c>
      <c r="V9" s="13">
        <v>29.5</v>
      </c>
      <c r="W9" s="13">
        <v>29</v>
      </c>
    </row>
    <row r="10" spans="1:23" x14ac:dyDescent="0.45">
      <c r="A10" s="10" t="s">
        <v>195</v>
      </c>
      <c r="B10" s="10" t="s">
        <v>196</v>
      </c>
      <c r="C10" s="13">
        <v>67.099999999999994</v>
      </c>
      <c r="D10" s="13">
        <v>76.599999999999994</v>
      </c>
      <c r="E10" s="13">
        <v>84.6</v>
      </c>
      <c r="F10" s="13">
        <v>96.6</v>
      </c>
      <c r="G10" s="13">
        <v>97.8</v>
      </c>
      <c r="H10" s="13">
        <v>101.2</v>
      </c>
      <c r="I10" s="13">
        <v>91.6</v>
      </c>
      <c r="J10" s="13">
        <v>107.2</v>
      </c>
      <c r="K10" s="13">
        <v>124.7</v>
      </c>
      <c r="L10" s="13">
        <v>317.7</v>
      </c>
      <c r="M10" s="13">
        <v>433.5</v>
      </c>
      <c r="N10" s="13">
        <v>537.6</v>
      </c>
      <c r="O10" s="13">
        <v>645.9</v>
      </c>
      <c r="P10" s="13">
        <v>760.3</v>
      </c>
      <c r="Q10" s="13">
        <v>864.5</v>
      </c>
    </row>
    <row r="11" spans="1:23" x14ac:dyDescent="0.45">
      <c r="A11" s="10" t="s">
        <v>197</v>
      </c>
      <c r="B11" s="10" t="s">
        <v>198</v>
      </c>
      <c r="C11" s="13">
        <v>67.099999999999994</v>
      </c>
      <c r="D11" s="13">
        <v>76.599999999999994</v>
      </c>
      <c r="E11" s="13">
        <v>84.6</v>
      </c>
      <c r="F11" s="13">
        <v>96.6</v>
      </c>
      <c r="G11" s="13">
        <v>97.8</v>
      </c>
      <c r="H11" s="13">
        <v>101.2</v>
      </c>
      <c r="I11" s="13">
        <v>91.6</v>
      </c>
      <c r="J11" s="13">
        <v>107.2</v>
      </c>
      <c r="K11" s="13">
        <v>124.7</v>
      </c>
      <c r="L11" s="13">
        <v>317.7</v>
      </c>
      <c r="M11" s="13">
        <v>433.5</v>
      </c>
      <c r="N11" s="13">
        <v>537.6</v>
      </c>
      <c r="O11" s="13">
        <v>645.9</v>
      </c>
      <c r="P11" s="13">
        <v>760.3</v>
      </c>
      <c r="Q11" s="13">
        <v>864.5</v>
      </c>
    </row>
    <row r="12" spans="1:23" x14ac:dyDescent="0.45">
      <c r="A12" s="10" t="s">
        <v>199</v>
      </c>
      <c r="B12" s="10" t="s">
        <v>200</v>
      </c>
      <c r="C12" s="13">
        <v>0</v>
      </c>
      <c r="D12" s="13" t="s">
        <v>100</v>
      </c>
      <c r="E12" s="13" t="s">
        <v>100</v>
      </c>
      <c r="F12" s="13" t="s">
        <v>100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</row>
    <row r="13" spans="1:23" x14ac:dyDescent="0.45">
      <c r="A13" s="10" t="s">
        <v>201</v>
      </c>
      <c r="B13" s="10" t="s">
        <v>202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</row>
    <row r="14" spans="1:23" x14ac:dyDescent="0.45">
      <c r="A14" s="10" t="s">
        <v>203</v>
      </c>
      <c r="B14" s="10" t="s">
        <v>204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</row>
    <row r="15" spans="1:23" x14ac:dyDescent="0.45">
      <c r="A15" s="10" t="s">
        <v>205</v>
      </c>
      <c r="B15" s="10" t="s">
        <v>206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</row>
    <row r="16" spans="1:23" x14ac:dyDescent="0.45">
      <c r="A16" s="10" t="s">
        <v>207</v>
      </c>
      <c r="B16" s="10" t="s">
        <v>208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</row>
    <row r="17" spans="1:41" x14ac:dyDescent="0.45">
      <c r="A17" s="10" t="s">
        <v>209</v>
      </c>
      <c r="B17" s="10" t="s">
        <v>210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</row>
    <row r="18" spans="1:41" x14ac:dyDescent="0.45">
      <c r="A18" s="10" t="s">
        <v>211</v>
      </c>
      <c r="B18" s="10" t="s">
        <v>212</v>
      </c>
      <c r="C18" s="13">
        <v>104.6</v>
      </c>
      <c r="D18" s="13">
        <v>165.1</v>
      </c>
      <c r="E18" s="13">
        <v>183</v>
      </c>
      <c r="F18" s="13">
        <v>239.6</v>
      </c>
      <c r="G18" s="13">
        <v>226.8</v>
      </c>
      <c r="H18" s="13">
        <v>192.3</v>
      </c>
      <c r="I18" s="13">
        <v>200.2</v>
      </c>
      <c r="J18" s="13">
        <v>239.3</v>
      </c>
      <c r="K18" s="13">
        <v>263.8</v>
      </c>
      <c r="L18" s="13">
        <v>216.1</v>
      </c>
      <c r="M18" s="13">
        <v>249.6</v>
      </c>
      <c r="N18" s="13">
        <v>268.5</v>
      </c>
      <c r="O18" s="13">
        <v>324.7</v>
      </c>
      <c r="P18" s="13">
        <v>289.3</v>
      </c>
      <c r="Q18" s="13">
        <v>324.7</v>
      </c>
    </row>
    <row r="19" spans="1:41" x14ac:dyDescent="0.45">
      <c r="A19" s="10" t="s">
        <v>213</v>
      </c>
      <c r="B19" s="10" t="s">
        <v>214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</row>
    <row r="20" spans="1:41" x14ac:dyDescent="0.45">
      <c r="A20" s="10" t="s">
        <v>215</v>
      </c>
      <c r="B20" s="10" t="s">
        <v>216</v>
      </c>
      <c r="C20" s="13">
        <v>17.8</v>
      </c>
      <c r="D20" s="13">
        <v>17.7</v>
      </c>
      <c r="E20" s="13">
        <v>19.7</v>
      </c>
      <c r="F20" s="13">
        <v>23.3</v>
      </c>
      <c r="G20" s="13">
        <v>26</v>
      </c>
      <c r="H20" s="13" t="s">
        <v>100</v>
      </c>
      <c r="I20" s="13" t="s">
        <v>100</v>
      </c>
      <c r="J20" s="13" t="s">
        <v>100</v>
      </c>
      <c r="K20" s="13" t="s">
        <v>100</v>
      </c>
      <c r="L20" s="13" t="s">
        <v>100</v>
      </c>
      <c r="M20" s="13" t="s">
        <v>100</v>
      </c>
      <c r="N20" s="13" t="s">
        <v>100</v>
      </c>
      <c r="O20" s="13" t="s">
        <v>100</v>
      </c>
      <c r="P20" s="13" t="s">
        <v>100</v>
      </c>
      <c r="Q20" s="13" t="s">
        <v>100</v>
      </c>
    </row>
    <row r="21" spans="1:41" x14ac:dyDescent="0.45">
      <c r="A21" s="10" t="s">
        <v>217</v>
      </c>
      <c r="B21" s="10" t="s">
        <v>218</v>
      </c>
      <c r="C21" s="13" t="s">
        <v>100</v>
      </c>
      <c r="D21" s="13" t="s">
        <v>100</v>
      </c>
      <c r="E21" s="13" t="s">
        <v>100</v>
      </c>
      <c r="F21" s="13" t="s">
        <v>100</v>
      </c>
      <c r="G21" s="13" t="s">
        <v>100</v>
      </c>
      <c r="H21" s="13">
        <v>18.3</v>
      </c>
      <c r="I21" s="13">
        <v>7.9</v>
      </c>
      <c r="J21" s="13">
        <v>15.7</v>
      </c>
      <c r="K21" s="13">
        <v>21.7</v>
      </c>
      <c r="L21" s="13">
        <v>13.7</v>
      </c>
      <c r="M21" s="13">
        <v>26.7</v>
      </c>
      <c r="N21" s="13">
        <v>31.6</v>
      </c>
      <c r="O21" s="13">
        <v>71.3</v>
      </c>
      <c r="P21" s="13">
        <v>29</v>
      </c>
      <c r="Q21" s="13">
        <v>22.1</v>
      </c>
    </row>
    <row r="22" spans="1:41" x14ac:dyDescent="0.45">
      <c r="A22" s="10" t="s">
        <v>219</v>
      </c>
      <c r="B22" s="10" t="s">
        <v>220</v>
      </c>
      <c r="C22" s="13">
        <v>86.7</v>
      </c>
      <c r="D22" s="13">
        <v>147.4</v>
      </c>
      <c r="E22" s="13">
        <v>163.30000000000001</v>
      </c>
      <c r="F22" s="13">
        <v>216.3</v>
      </c>
      <c r="G22" s="13">
        <v>200.7</v>
      </c>
      <c r="H22" s="13">
        <v>174</v>
      </c>
      <c r="I22" s="13">
        <v>192.4</v>
      </c>
      <c r="J22" s="13">
        <v>223.6</v>
      </c>
      <c r="K22" s="13">
        <v>242.2</v>
      </c>
      <c r="L22" s="13">
        <v>202.4</v>
      </c>
      <c r="M22" s="13">
        <v>222.9</v>
      </c>
      <c r="N22" s="13">
        <v>236.9</v>
      </c>
      <c r="O22" s="13">
        <v>253.3</v>
      </c>
      <c r="P22" s="13">
        <v>260.3</v>
      </c>
      <c r="Q22" s="13">
        <v>302.5</v>
      </c>
    </row>
    <row r="23" spans="1:41" x14ac:dyDescent="0.45">
      <c r="A23" s="6" t="s">
        <v>49</v>
      </c>
      <c r="B23" s="6" t="s">
        <v>50</v>
      </c>
      <c r="C23" s="19">
        <v>515.5</v>
      </c>
      <c r="D23" s="19">
        <v>714.6</v>
      </c>
      <c r="E23" s="19">
        <v>740</v>
      </c>
      <c r="F23" s="19">
        <v>913.4</v>
      </c>
      <c r="G23" s="19">
        <v>1067.5999999999999</v>
      </c>
      <c r="H23" s="19">
        <v>1082.3</v>
      </c>
      <c r="I23" s="19">
        <v>1076.4000000000001</v>
      </c>
      <c r="J23" s="19">
        <v>1169.4000000000001</v>
      </c>
      <c r="K23" s="19">
        <v>1270.3</v>
      </c>
      <c r="L23" s="19">
        <v>1311.2</v>
      </c>
      <c r="M23" s="19">
        <v>1555.5</v>
      </c>
      <c r="N23" s="19">
        <v>1719.2</v>
      </c>
      <c r="O23" s="19">
        <v>1638.6</v>
      </c>
      <c r="P23" s="19">
        <v>1664.1</v>
      </c>
      <c r="Q23" s="19">
        <v>2049.6</v>
      </c>
      <c r="T23" s="36">
        <f>F23-F55</f>
        <v>436</v>
      </c>
      <c r="U23" s="36">
        <f t="shared" ref="U23:AE23" si="0">G23-G55</f>
        <v>627.19999999999993</v>
      </c>
      <c r="V23" s="36">
        <f t="shared" si="0"/>
        <v>617.19999999999993</v>
      </c>
      <c r="W23" s="36">
        <f t="shared" si="0"/>
        <v>592.30000000000007</v>
      </c>
      <c r="X23" s="36">
        <f t="shared" si="0"/>
        <v>630.30000000000007</v>
      </c>
      <c r="Y23" s="36">
        <f t="shared" si="0"/>
        <v>661.69999999999993</v>
      </c>
      <c r="Z23" s="36">
        <f t="shared" si="0"/>
        <v>786.40000000000009</v>
      </c>
      <c r="AA23" s="36">
        <f t="shared" si="0"/>
        <v>860.4</v>
      </c>
      <c r="AB23" s="36">
        <f t="shared" si="0"/>
        <v>990.40000000000009</v>
      </c>
      <c r="AC23" s="36">
        <f t="shared" si="0"/>
        <v>860.09999999999991</v>
      </c>
      <c r="AD23" s="36">
        <f t="shared" si="0"/>
        <v>869.3</v>
      </c>
      <c r="AE23" s="36">
        <f t="shared" si="0"/>
        <v>1160.3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</row>
    <row r="24" spans="1:41" x14ac:dyDescent="0.45">
      <c r="A24" s="10" t="s">
        <v>221</v>
      </c>
      <c r="B24" s="10" t="s">
        <v>222</v>
      </c>
      <c r="C24" s="13">
        <v>35.1</v>
      </c>
      <c r="D24" s="13">
        <v>36.9</v>
      </c>
      <c r="E24" s="13">
        <v>45.6</v>
      </c>
      <c r="F24" s="13">
        <v>52.3</v>
      </c>
      <c r="G24" s="13">
        <v>60.5</v>
      </c>
      <c r="H24" s="13">
        <v>64.599999999999994</v>
      </c>
      <c r="I24" s="13">
        <v>61.9</v>
      </c>
      <c r="J24" s="13">
        <v>54.7</v>
      </c>
      <c r="K24" s="13">
        <v>57.1</v>
      </c>
      <c r="L24" s="13">
        <v>61.7</v>
      </c>
      <c r="M24" s="13">
        <v>189.3</v>
      </c>
      <c r="N24" s="13">
        <v>234.2</v>
      </c>
      <c r="O24" s="13">
        <v>208.8</v>
      </c>
      <c r="P24" s="13">
        <v>210</v>
      </c>
      <c r="Q24" s="13">
        <v>194.8</v>
      </c>
    </row>
    <row r="25" spans="1:41" x14ac:dyDescent="0.45">
      <c r="A25" s="10" t="s">
        <v>223</v>
      </c>
      <c r="B25" s="10" t="s">
        <v>224</v>
      </c>
      <c r="C25" s="13">
        <v>79.2</v>
      </c>
      <c r="D25" s="13">
        <v>90.3</v>
      </c>
      <c r="E25" s="13">
        <v>106.5</v>
      </c>
      <c r="F25" s="13">
        <v>115.5</v>
      </c>
      <c r="G25" s="13">
        <v>136.19999999999999</v>
      </c>
      <c r="H25" s="13">
        <v>151</v>
      </c>
      <c r="I25" s="13">
        <v>160.69999999999999</v>
      </c>
      <c r="J25" s="13">
        <v>156.9</v>
      </c>
      <c r="K25" s="13">
        <v>173.9</v>
      </c>
      <c r="L25" s="13">
        <v>183.2</v>
      </c>
      <c r="M25" s="13">
        <v>318.39999999999998</v>
      </c>
      <c r="N25" s="13">
        <v>376.5</v>
      </c>
      <c r="O25" s="13">
        <v>364.9</v>
      </c>
      <c r="P25" s="13">
        <v>368.3</v>
      </c>
      <c r="Q25" s="13">
        <v>370.2</v>
      </c>
    </row>
    <row r="26" spans="1:41" x14ac:dyDescent="0.45">
      <c r="A26" s="10" t="s">
        <v>225</v>
      </c>
      <c r="B26" s="10" t="s">
        <v>226</v>
      </c>
      <c r="C26" s="13">
        <v>44.1</v>
      </c>
      <c r="D26" s="13">
        <v>53.4</v>
      </c>
      <c r="E26" s="13">
        <v>60.9</v>
      </c>
      <c r="F26" s="13">
        <v>63.3</v>
      </c>
      <c r="G26" s="13">
        <v>75.7</v>
      </c>
      <c r="H26" s="13">
        <v>86.4</v>
      </c>
      <c r="I26" s="13">
        <v>98.7</v>
      </c>
      <c r="J26" s="13">
        <v>102.2</v>
      </c>
      <c r="K26" s="13">
        <v>116.8</v>
      </c>
      <c r="L26" s="13">
        <v>121.5</v>
      </c>
      <c r="M26" s="13">
        <v>129.1</v>
      </c>
      <c r="N26" s="13">
        <v>142.30000000000001</v>
      </c>
      <c r="O26" s="13">
        <v>156.1</v>
      </c>
      <c r="P26" s="13">
        <v>158.30000000000001</v>
      </c>
      <c r="Q26" s="13">
        <v>175.5</v>
      </c>
      <c r="S26" s="13">
        <v>86.4</v>
      </c>
      <c r="T26" s="13">
        <v>98.7</v>
      </c>
      <c r="U26" s="13">
        <v>102.2</v>
      </c>
      <c r="V26" s="13">
        <v>116.8</v>
      </c>
      <c r="W26" s="13">
        <v>121.5</v>
      </c>
      <c r="X26" s="13">
        <v>129.1</v>
      </c>
      <c r="Y26" s="13">
        <v>142.30000000000001</v>
      </c>
      <c r="Z26" s="13">
        <v>156.1</v>
      </c>
      <c r="AA26" s="13">
        <v>158.30000000000001</v>
      </c>
      <c r="AB26" s="13">
        <v>175.5</v>
      </c>
    </row>
    <row r="27" spans="1:41" x14ac:dyDescent="0.45">
      <c r="A27" s="10" t="s">
        <v>227</v>
      </c>
      <c r="B27" s="10" t="s">
        <v>228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S27" s="36">
        <f>T26-S26</f>
        <v>12.299999999999997</v>
      </c>
      <c r="T27" s="36">
        <f>U26-T26</f>
        <v>3.5</v>
      </c>
      <c r="U27" s="36">
        <f>V26-U26</f>
        <v>14.599999999999994</v>
      </c>
      <c r="V27" s="36">
        <f>W26-V26</f>
        <v>4.7000000000000028</v>
      </c>
      <c r="W27" s="36">
        <f>X26-W26</f>
        <v>7.5999999999999943</v>
      </c>
      <c r="X27" s="36">
        <f>Y26-X26</f>
        <v>13.200000000000017</v>
      </c>
      <c r="Y27" s="36">
        <f>Z26-Y26</f>
        <v>13.799999999999983</v>
      </c>
      <c r="Z27" s="36">
        <f>AA26-Z26</f>
        <v>2.2000000000000171</v>
      </c>
      <c r="AA27" s="36">
        <f>AB26-AA26</f>
        <v>17.199999999999989</v>
      </c>
      <c r="AB27" s="36"/>
      <c r="AC27" s="36"/>
    </row>
    <row r="28" spans="1:41" x14ac:dyDescent="0.45">
      <c r="A28" s="10" t="s">
        <v>229</v>
      </c>
      <c r="B28" s="10" t="s">
        <v>230</v>
      </c>
      <c r="C28" s="13">
        <v>1369.6</v>
      </c>
      <c r="D28" s="13">
        <v>1375.3</v>
      </c>
      <c r="E28" s="13">
        <v>1662.8</v>
      </c>
      <c r="F28" s="13">
        <v>1641.8</v>
      </c>
      <c r="G28" s="13">
        <v>1594.2</v>
      </c>
      <c r="H28" s="13">
        <v>1605.9</v>
      </c>
      <c r="I28" s="13">
        <v>1591.6</v>
      </c>
      <c r="J28" s="13">
        <v>1576.4</v>
      </c>
      <c r="K28" s="13">
        <v>1614.3</v>
      </c>
      <c r="L28" s="13">
        <v>1893.1</v>
      </c>
      <c r="M28" s="13">
        <v>3094.1</v>
      </c>
      <c r="N28" s="13">
        <v>3987.1</v>
      </c>
      <c r="O28" s="13">
        <v>4476.8999999999996</v>
      </c>
      <c r="P28" s="13">
        <v>4813.8</v>
      </c>
      <c r="Q28" s="13">
        <v>5078.5</v>
      </c>
    </row>
    <row r="29" spans="1:41" x14ac:dyDescent="0.45">
      <c r="A29" s="10" t="s">
        <v>231</v>
      </c>
      <c r="B29" s="10" t="s">
        <v>232</v>
      </c>
      <c r="C29" s="13">
        <v>1361.1</v>
      </c>
      <c r="D29" s="13">
        <v>1313.4</v>
      </c>
      <c r="E29" s="13">
        <v>1608.8</v>
      </c>
      <c r="F29" s="13">
        <v>1602.4</v>
      </c>
      <c r="G29" s="13">
        <v>1547.1</v>
      </c>
      <c r="H29" s="13">
        <v>1571.5</v>
      </c>
      <c r="I29" s="13">
        <v>1552.9</v>
      </c>
      <c r="J29" s="13">
        <v>1509.8</v>
      </c>
      <c r="K29" s="13">
        <v>1536.2</v>
      </c>
      <c r="L29" s="13">
        <v>1783.7</v>
      </c>
      <c r="M29" s="13">
        <v>2890</v>
      </c>
      <c r="N29" s="13">
        <v>3733.2</v>
      </c>
      <c r="O29" s="13">
        <v>4172.3999999999996</v>
      </c>
      <c r="P29" s="13">
        <v>4467.5</v>
      </c>
      <c r="Q29" s="13">
        <v>4641.3</v>
      </c>
      <c r="S29" s="13">
        <v>11.4</v>
      </c>
      <c r="T29" s="13">
        <v>30.9</v>
      </c>
      <c r="U29" s="13">
        <v>29.5</v>
      </c>
      <c r="V29" s="13">
        <v>29</v>
      </c>
    </row>
    <row r="30" spans="1:41" x14ac:dyDescent="0.45">
      <c r="A30" s="11" t="s">
        <v>233</v>
      </c>
      <c r="B30" s="11" t="s">
        <v>234</v>
      </c>
      <c r="C30" s="24">
        <v>1038.8</v>
      </c>
      <c r="D30" s="24">
        <v>1035.0999999999999</v>
      </c>
      <c r="E30" s="24">
        <v>1225.4000000000001</v>
      </c>
      <c r="F30" s="24">
        <v>1251.2</v>
      </c>
      <c r="G30" s="24">
        <v>1255.7</v>
      </c>
      <c r="H30" s="24">
        <v>1312.2</v>
      </c>
      <c r="I30" s="24">
        <v>1332.3</v>
      </c>
      <c r="J30" s="24">
        <v>1337.2</v>
      </c>
      <c r="K30" s="24">
        <v>1378.6</v>
      </c>
      <c r="L30" s="24">
        <v>1572.5</v>
      </c>
      <c r="M30" s="24">
        <v>2413.3000000000002</v>
      </c>
      <c r="N30" s="24">
        <v>3038.3</v>
      </c>
      <c r="O30" s="24">
        <v>3409.3</v>
      </c>
      <c r="P30" s="24">
        <v>3658.3</v>
      </c>
      <c r="Q30" s="24">
        <v>3805.9</v>
      </c>
      <c r="S30" s="13">
        <v>234.2</v>
      </c>
      <c r="T30" s="13">
        <v>208.8</v>
      </c>
      <c r="U30" s="13">
        <v>210</v>
      </c>
      <c r="V30" s="13">
        <v>194.8</v>
      </c>
    </row>
    <row r="31" spans="1:41" x14ac:dyDescent="0.45">
      <c r="A31" s="11" t="s">
        <v>235</v>
      </c>
      <c r="B31" s="11" t="s">
        <v>236</v>
      </c>
      <c r="C31" s="24">
        <v>322.3</v>
      </c>
      <c r="D31" s="24">
        <v>278.3</v>
      </c>
      <c r="E31" s="24">
        <v>383.4</v>
      </c>
      <c r="F31" s="24">
        <v>351.2</v>
      </c>
      <c r="G31" s="24">
        <v>291.39999999999998</v>
      </c>
      <c r="H31" s="24">
        <v>259.3</v>
      </c>
      <c r="I31" s="24">
        <v>220.6</v>
      </c>
      <c r="J31" s="24">
        <v>172.6</v>
      </c>
      <c r="K31" s="24">
        <v>157.6</v>
      </c>
      <c r="L31" s="24">
        <v>211.3</v>
      </c>
      <c r="M31" s="24">
        <v>476.7</v>
      </c>
      <c r="N31" s="24">
        <v>694.9</v>
      </c>
      <c r="O31" s="24">
        <v>763.1</v>
      </c>
      <c r="P31" s="24">
        <v>809.2</v>
      </c>
      <c r="Q31" s="24">
        <v>835.4</v>
      </c>
      <c r="S31">
        <f>S29/S30</f>
        <v>4.8676345004269858E-2</v>
      </c>
      <c r="T31">
        <f t="shared" ref="T31:V31" si="1">T29/T30</f>
        <v>0.14798850574712641</v>
      </c>
      <c r="U31">
        <f t="shared" si="1"/>
        <v>0.14047619047619048</v>
      </c>
      <c r="V31">
        <f t="shared" si="1"/>
        <v>0.14887063655030799</v>
      </c>
      <c r="W31">
        <f>AVERAGE(S31:V31)</f>
        <v>0.12150291944447369</v>
      </c>
    </row>
    <row r="32" spans="1:41" x14ac:dyDescent="0.45">
      <c r="A32" s="10" t="s">
        <v>215</v>
      </c>
      <c r="B32" s="10" t="s">
        <v>237</v>
      </c>
      <c r="C32" s="13">
        <v>2.6</v>
      </c>
      <c r="D32" s="13">
        <v>5.8</v>
      </c>
      <c r="E32" s="13">
        <v>7.1</v>
      </c>
      <c r="F32" s="13">
        <v>15</v>
      </c>
      <c r="G32" s="13">
        <v>18.399999999999999</v>
      </c>
      <c r="H32" s="13">
        <v>28.2</v>
      </c>
      <c r="I32" s="13">
        <v>32.9</v>
      </c>
      <c r="J32" s="13">
        <v>42.3</v>
      </c>
      <c r="K32" s="13">
        <v>42.1</v>
      </c>
      <c r="L32" s="13">
        <v>26.6</v>
      </c>
      <c r="M32" s="13">
        <v>24.1</v>
      </c>
      <c r="N32" s="13">
        <v>28.8</v>
      </c>
      <c r="O32" s="13">
        <v>24.9</v>
      </c>
      <c r="P32" s="13">
        <v>84.5</v>
      </c>
      <c r="Q32" s="13">
        <v>164.2</v>
      </c>
    </row>
    <row r="33" spans="1:28" x14ac:dyDescent="0.45">
      <c r="A33" s="10" t="s">
        <v>213</v>
      </c>
      <c r="B33" s="10" t="s">
        <v>238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S33" s="13">
        <v>64.599999999999994</v>
      </c>
      <c r="T33" s="13">
        <v>61.9</v>
      </c>
      <c r="U33" s="13">
        <v>54.7</v>
      </c>
      <c r="V33" s="13">
        <v>57.1</v>
      </c>
      <c r="W33" s="13">
        <v>61.7</v>
      </c>
      <c r="X33" s="13">
        <v>189.3</v>
      </c>
      <c r="Y33" s="13">
        <v>234.2</v>
      </c>
      <c r="Z33" s="13">
        <v>208.8</v>
      </c>
      <c r="AA33" s="13">
        <v>210</v>
      </c>
      <c r="AB33" s="13">
        <v>194.8</v>
      </c>
    </row>
    <row r="34" spans="1:28" x14ac:dyDescent="0.45">
      <c r="A34" s="10" t="s">
        <v>239</v>
      </c>
      <c r="B34" s="10" t="s">
        <v>240</v>
      </c>
      <c r="C34" s="13">
        <v>5.8</v>
      </c>
      <c r="D34" s="13">
        <v>56.1</v>
      </c>
      <c r="E34" s="13">
        <v>46.9</v>
      </c>
      <c r="F34" s="13">
        <v>24.4</v>
      </c>
      <c r="G34" s="13">
        <v>28.7</v>
      </c>
      <c r="H34" s="13">
        <v>6.2</v>
      </c>
      <c r="I34" s="13">
        <v>5.8</v>
      </c>
      <c r="J34" s="13">
        <v>24.3</v>
      </c>
      <c r="K34" s="13">
        <v>36</v>
      </c>
      <c r="L34" s="13">
        <v>82.8</v>
      </c>
      <c r="M34" s="13">
        <v>180</v>
      </c>
      <c r="N34" s="13">
        <v>225.1</v>
      </c>
      <c r="O34" s="13">
        <v>279.7</v>
      </c>
      <c r="P34" s="13">
        <v>261.89999999999998</v>
      </c>
      <c r="Q34" s="13">
        <v>273</v>
      </c>
      <c r="S34" s="36">
        <f>S33-R33</f>
        <v>64.599999999999994</v>
      </c>
      <c r="T34" s="36">
        <f>T33-S33</f>
        <v>-2.6999999999999957</v>
      </c>
      <c r="U34" s="36">
        <f>U33-T33</f>
        <v>-7.1999999999999957</v>
      </c>
      <c r="V34" s="36">
        <f>V33-U33</f>
        <v>2.3999999999999986</v>
      </c>
      <c r="W34" s="36">
        <f>W33-V33</f>
        <v>4.6000000000000014</v>
      </c>
      <c r="X34" s="36">
        <f>X33-W33</f>
        <v>127.60000000000001</v>
      </c>
      <c r="Y34" s="36">
        <f>Y33-X33</f>
        <v>44.899999999999977</v>
      </c>
      <c r="Z34" s="36">
        <f>Z33-Y33</f>
        <v>-25.399999999999977</v>
      </c>
      <c r="AA34" s="36">
        <f>AA33-Z33</f>
        <v>1.1999999999999886</v>
      </c>
      <c r="AB34" s="36">
        <f>AB33-AA33</f>
        <v>-15.199999999999989</v>
      </c>
    </row>
    <row r="35" spans="1:28" x14ac:dyDescent="0.45">
      <c r="A35" s="6" t="s">
        <v>241</v>
      </c>
      <c r="B35" s="6" t="s">
        <v>242</v>
      </c>
      <c r="C35" s="19">
        <v>1404.7</v>
      </c>
      <c r="D35" s="19">
        <v>1412.2</v>
      </c>
      <c r="E35" s="19">
        <v>1708.4</v>
      </c>
      <c r="F35" s="19">
        <v>1694.1</v>
      </c>
      <c r="G35" s="19">
        <v>1654.8</v>
      </c>
      <c r="H35" s="19">
        <v>1670.6</v>
      </c>
      <c r="I35" s="19">
        <v>1653.5</v>
      </c>
      <c r="J35" s="19">
        <v>1631.1</v>
      </c>
      <c r="K35" s="19">
        <v>1671.4</v>
      </c>
      <c r="L35" s="19">
        <v>1954.8</v>
      </c>
      <c r="M35" s="19">
        <v>3283.4</v>
      </c>
      <c r="N35" s="19">
        <v>4221.3999999999996</v>
      </c>
      <c r="O35" s="19">
        <v>4685.7</v>
      </c>
      <c r="P35" s="19">
        <v>5023.8</v>
      </c>
      <c r="Q35" s="19">
        <v>5273.3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8.5</v>
      </c>
      <c r="Y35" s="13">
        <v>11.4</v>
      </c>
      <c r="Z35" s="13">
        <v>30.9</v>
      </c>
      <c r="AA35" s="13">
        <v>29.5</v>
      </c>
      <c r="AB35" s="13">
        <v>29</v>
      </c>
    </row>
    <row r="36" spans="1:28" x14ac:dyDescent="0.45">
      <c r="A36" s="6" t="s">
        <v>51</v>
      </c>
      <c r="B36" s="6" t="s">
        <v>52</v>
      </c>
      <c r="C36" s="19">
        <v>1920.2</v>
      </c>
      <c r="D36" s="19">
        <v>2126.9</v>
      </c>
      <c r="E36" s="19">
        <v>2448.5</v>
      </c>
      <c r="F36" s="19">
        <v>2607.4</v>
      </c>
      <c r="G36" s="19">
        <v>2722.4</v>
      </c>
      <c r="H36" s="19">
        <v>2752.9</v>
      </c>
      <c r="I36" s="19">
        <v>2729.9</v>
      </c>
      <c r="J36" s="19">
        <v>2800.5</v>
      </c>
      <c r="K36" s="19">
        <v>2941.6</v>
      </c>
      <c r="L36" s="19">
        <v>3266</v>
      </c>
      <c r="M36" s="19">
        <v>4838.8999999999996</v>
      </c>
      <c r="N36" s="19">
        <v>5940.6</v>
      </c>
      <c r="O36" s="19">
        <v>6324.3</v>
      </c>
      <c r="P36" s="19">
        <v>6687.9</v>
      </c>
      <c r="Q36" s="19">
        <v>7322.9</v>
      </c>
      <c r="S36" s="36">
        <f>S34+S35</f>
        <v>64.599999999999994</v>
      </c>
      <c r="T36" s="36">
        <f>T34+T35</f>
        <v>-2.6999999999999957</v>
      </c>
      <c r="U36" s="36">
        <f>U34+U35</f>
        <v>-7.1999999999999957</v>
      </c>
      <c r="V36" s="36">
        <f>V34+V35</f>
        <v>2.3999999999999986</v>
      </c>
      <c r="W36" s="36">
        <f>W34+W35</f>
        <v>4.6000000000000014</v>
      </c>
      <c r="X36" s="36">
        <f>X34+X35</f>
        <v>136.10000000000002</v>
      </c>
      <c r="Y36" s="36">
        <f>Y34+Y35</f>
        <v>56.299999999999976</v>
      </c>
      <c r="Z36" s="36">
        <f>Z34+Z35</f>
        <v>5.5000000000000213</v>
      </c>
      <c r="AA36" s="36">
        <f>AA34+AA35</f>
        <v>30.699999999999989</v>
      </c>
      <c r="AB36" s="36">
        <f>AB34+AB35</f>
        <v>13.800000000000011</v>
      </c>
    </row>
    <row r="37" spans="1:28" x14ac:dyDescent="0.45">
      <c r="A37" s="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28" x14ac:dyDescent="0.45">
      <c r="A38" s="6" t="s">
        <v>243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28" x14ac:dyDescent="0.45">
      <c r="A39" s="10" t="s">
        <v>244</v>
      </c>
      <c r="B39" s="10" t="s">
        <v>245</v>
      </c>
      <c r="C39" s="13">
        <v>70.599999999999994</v>
      </c>
      <c r="D39" s="13">
        <v>79.400000000000006</v>
      </c>
      <c r="E39" s="13">
        <v>105.2</v>
      </c>
      <c r="F39" s="13">
        <v>117</v>
      </c>
      <c r="G39" s="13">
        <v>130.6</v>
      </c>
      <c r="H39" s="13">
        <v>132.4</v>
      </c>
      <c r="I39" s="13">
        <v>119.5</v>
      </c>
      <c r="J39" s="13">
        <v>135.80000000000001</v>
      </c>
      <c r="K39" s="13">
        <v>168.1</v>
      </c>
      <c r="L39" s="13">
        <v>196.2</v>
      </c>
      <c r="M39" s="13">
        <v>250.6</v>
      </c>
      <c r="N39" s="13">
        <v>333.2</v>
      </c>
      <c r="O39" s="13">
        <v>364.2</v>
      </c>
      <c r="P39" s="13">
        <v>358</v>
      </c>
      <c r="Q39" s="13">
        <v>408.5</v>
      </c>
    </row>
    <row r="40" spans="1:28" x14ac:dyDescent="0.45">
      <c r="A40" s="10" t="s">
        <v>246</v>
      </c>
      <c r="B40" s="10" t="s">
        <v>247</v>
      </c>
      <c r="C40" s="13">
        <v>2.4</v>
      </c>
      <c r="D40" s="13">
        <v>2.2000000000000002</v>
      </c>
      <c r="E40" s="13">
        <v>7</v>
      </c>
      <c r="F40" s="13">
        <v>4.9000000000000004</v>
      </c>
      <c r="G40" s="13">
        <v>7.9</v>
      </c>
      <c r="H40" s="13">
        <v>3.4</v>
      </c>
      <c r="I40" s="13">
        <v>4.9000000000000004</v>
      </c>
      <c r="J40" s="13">
        <v>7.4</v>
      </c>
      <c r="K40" s="13">
        <v>6</v>
      </c>
      <c r="L40" s="13">
        <v>8</v>
      </c>
      <c r="M40" s="13">
        <v>14.3</v>
      </c>
      <c r="N40" s="13">
        <v>18.7</v>
      </c>
      <c r="O40" s="13">
        <v>10.9</v>
      </c>
      <c r="P40" s="13">
        <v>14</v>
      </c>
      <c r="Q40" s="13">
        <v>22.8</v>
      </c>
    </row>
    <row r="41" spans="1:28" x14ac:dyDescent="0.45">
      <c r="A41" s="10" t="s">
        <v>248</v>
      </c>
      <c r="B41" s="10" t="s">
        <v>249</v>
      </c>
      <c r="C41" s="13">
        <v>12.3</v>
      </c>
      <c r="D41" s="13">
        <v>6.2</v>
      </c>
      <c r="E41" s="13">
        <v>6.2</v>
      </c>
      <c r="F41" s="13">
        <v>8.1999999999999993</v>
      </c>
      <c r="G41" s="13">
        <v>9.3000000000000007</v>
      </c>
      <c r="H41" s="13">
        <v>7.1</v>
      </c>
      <c r="I41" s="13">
        <v>4.7</v>
      </c>
      <c r="J41" s="13">
        <v>5.3</v>
      </c>
      <c r="K41" s="13">
        <v>5.8</v>
      </c>
      <c r="L41" s="13">
        <v>8.6999999999999993</v>
      </c>
      <c r="M41" s="13">
        <v>10</v>
      </c>
      <c r="N41" s="13">
        <v>26.1</v>
      </c>
      <c r="O41" s="13">
        <v>8.4</v>
      </c>
      <c r="P41" s="13">
        <v>7.7</v>
      </c>
      <c r="Q41" s="13">
        <v>22.5</v>
      </c>
    </row>
    <row r="42" spans="1:28" x14ac:dyDescent="0.45">
      <c r="A42" s="10" t="s">
        <v>250</v>
      </c>
      <c r="B42" s="10" t="s">
        <v>251</v>
      </c>
      <c r="C42" s="13">
        <v>0</v>
      </c>
      <c r="D42" s="13" t="s">
        <v>100</v>
      </c>
      <c r="E42" s="13" t="s">
        <v>100</v>
      </c>
      <c r="F42" s="13" t="s">
        <v>100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 t="s">
        <v>100</v>
      </c>
      <c r="N42" s="13" t="s">
        <v>100</v>
      </c>
      <c r="O42" s="13" t="s">
        <v>100</v>
      </c>
      <c r="P42" s="13" t="s">
        <v>100</v>
      </c>
      <c r="Q42" s="13" t="s">
        <v>100</v>
      </c>
    </row>
    <row r="43" spans="1:28" x14ac:dyDescent="0.45">
      <c r="A43" s="10" t="s">
        <v>252</v>
      </c>
      <c r="B43" s="10" t="s">
        <v>253</v>
      </c>
      <c r="C43" s="13">
        <v>55.9</v>
      </c>
      <c r="D43" s="13">
        <v>71</v>
      </c>
      <c r="E43" s="13">
        <v>92</v>
      </c>
      <c r="F43" s="13">
        <v>103.9</v>
      </c>
      <c r="G43" s="13">
        <v>113.3</v>
      </c>
      <c r="H43" s="13">
        <v>121.9</v>
      </c>
      <c r="I43" s="13">
        <v>109.9</v>
      </c>
      <c r="J43" s="13">
        <v>123.2</v>
      </c>
      <c r="K43" s="13">
        <v>156.30000000000001</v>
      </c>
      <c r="L43" s="13">
        <v>179.5</v>
      </c>
      <c r="M43" s="13">
        <v>226.3</v>
      </c>
      <c r="N43" s="13">
        <v>288.39999999999998</v>
      </c>
      <c r="O43" s="13">
        <v>344.9</v>
      </c>
      <c r="P43" s="13">
        <v>336.3</v>
      </c>
      <c r="Q43" s="13">
        <v>363.3</v>
      </c>
    </row>
    <row r="44" spans="1:28" x14ac:dyDescent="0.45">
      <c r="A44" s="10" t="s">
        <v>254</v>
      </c>
      <c r="B44" s="10" t="s">
        <v>255</v>
      </c>
      <c r="C44" s="13">
        <v>26.8</v>
      </c>
      <c r="D44" s="13">
        <v>32</v>
      </c>
      <c r="E44" s="13">
        <v>74.400000000000006</v>
      </c>
      <c r="F44" s="13">
        <v>53.1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93.2</v>
      </c>
      <c r="N44" s="13">
        <v>23.6</v>
      </c>
      <c r="O44" s="13">
        <v>22.8</v>
      </c>
      <c r="P44" s="13">
        <v>22.8</v>
      </c>
      <c r="Q44" s="13">
        <v>23.3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93.2</v>
      </c>
      <c r="Y44" s="13">
        <v>23.6</v>
      </c>
      <c r="Z44" s="13">
        <v>22.8</v>
      </c>
      <c r="AA44" s="13">
        <v>22.8</v>
      </c>
      <c r="AB44" s="13">
        <v>23.3</v>
      </c>
    </row>
    <row r="45" spans="1:28" x14ac:dyDescent="0.45">
      <c r="A45" s="10" t="s">
        <v>256</v>
      </c>
      <c r="B45" s="10" t="s">
        <v>257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75</v>
      </c>
      <c r="Y45" s="13">
        <v>0</v>
      </c>
      <c r="Z45" s="13">
        <v>0</v>
      </c>
      <c r="AA45" s="13">
        <v>0</v>
      </c>
      <c r="AB45" s="13">
        <v>0</v>
      </c>
    </row>
    <row r="46" spans="1:28" x14ac:dyDescent="0.45">
      <c r="A46" s="10" t="s">
        <v>258</v>
      </c>
      <c r="B46" s="10" t="s">
        <v>259</v>
      </c>
      <c r="C46" s="13" t="s">
        <v>100</v>
      </c>
      <c r="D46" s="13" t="s">
        <v>100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18.2</v>
      </c>
      <c r="N46" s="13">
        <v>23.6</v>
      </c>
      <c r="O46" s="13">
        <v>22.8</v>
      </c>
      <c r="P46" s="13">
        <v>22.8</v>
      </c>
      <c r="Q46" s="13">
        <v>23.3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515.29999999999995</v>
      </c>
      <c r="Y46" s="13">
        <v>919.1</v>
      </c>
      <c r="Z46" s="13">
        <v>858</v>
      </c>
      <c r="AA46" s="13">
        <v>866.4</v>
      </c>
      <c r="AB46" s="13">
        <v>854.4</v>
      </c>
    </row>
    <row r="47" spans="1:28" x14ac:dyDescent="0.45">
      <c r="A47" s="11" t="s">
        <v>260</v>
      </c>
      <c r="B47" s="11" t="s">
        <v>261</v>
      </c>
      <c r="C47" s="24" t="s">
        <v>100</v>
      </c>
      <c r="D47" s="24" t="s">
        <v>100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 t="s">
        <v>100</v>
      </c>
      <c r="Q47" s="24" t="s">
        <v>100</v>
      </c>
      <c r="S47" s="36">
        <f>S44+S45+S46</f>
        <v>0</v>
      </c>
      <c r="T47" s="36">
        <f>T44+T45+T46</f>
        <v>0</v>
      </c>
      <c r="U47" s="36">
        <f>U44+U45+U46</f>
        <v>0</v>
      </c>
      <c r="V47" s="36">
        <f>V44+V45+V46</f>
        <v>0</v>
      </c>
      <c r="W47" s="36">
        <f>W44+W45+W46</f>
        <v>0</v>
      </c>
      <c r="X47" s="36">
        <f>X44+X45+X46</f>
        <v>683.5</v>
      </c>
      <c r="Y47" s="36">
        <f>Y44+Y45+Y46</f>
        <v>942.7</v>
      </c>
      <c r="Z47" s="36">
        <f>Z44+Z45+Z46</f>
        <v>880.8</v>
      </c>
      <c r="AA47" s="36">
        <f>AA44+AA45+AA46</f>
        <v>889.19999999999993</v>
      </c>
      <c r="AB47" s="36">
        <f>AB44+AB45+AB46</f>
        <v>877.69999999999993</v>
      </c>
    </row>
    <row r="48" spans="1:28" x14ac:dyDescent="0.45">
      <c r="A48" s="11" t="s">
        <v>262</v>
      </c>
      <c r="B48" s="11" t="s">
        <v>263</v>
      </c>
      <c r="C48" s="24" t="s">
        <v>100</v>
      </c>
      <c r="D48" s="24" t="s">
        <v>100</v>
      </c>
      <c r="E48" s="24" t="s">
        <v>100</v>
      </c>
      <c r="F48" s="24" t="s">
        <v>100</v>
      </c>
      <c r="G48" s="24" t="s">
        <v>100</v>
      </c>
      <c r="H48" s="24" t="s">
        <v>100</v>
      </c>
      <c r="I48" s="24" t="s">
        <v>100</v>
      </c>
      <c r="J48" s="24" t="s">
        <v>100</v>
      </c>
      <c r="K48" s="24" t="s">
        <v>100</v>
      </c>
      <c r="L48" s="24" t="s">
        <v>100</v>
      </c>
      <c r="M48" s="24">
        <v>18.2</v>
      </c>
      <c r="N48" s="24">
        <v>23.6</v>
      </c>
      <c r="O48" s="24">
        <v>22.8</v>
      </c>
      <c r="P48" s="24">
        <v>22.8</v>
      </c>
      <c r="Q48" s="24">
        <v>23.3</v>
      </c>
      <c r="S48" s="24">
        <v>0.8</v>
      </c>
      <c r="T48" s="24">
        <v>0</v>
      </c>
      <c r="U48" s="24">
        <v>0</v>
      </c>
      <c r="V48" s="24">
        <v>0</v>
      </c>
      <c r="W48" s="24">
        <v>0</v>
      </c>
      <c r="X48" s="24">
        <v>3.5</v>
      </c>
      <c r="Y48" s="24">
        <v>11</v>
      </c>
      <c r="Z48" s="24">
        <v>12.4</v>
      </c>
      <c r="AA48" s="24">
        <v>22.7</v>
      </c>
      <c r="AB48" s="24">
        <v>47.1</v>
      </c>
    </row>
    <row r="49" spans="1:28" x14ac:dyDescent="0.45">
      <c r="A49" s="10" t="s">
        <v>264</v>
      </c>
      <c r="B49" s="10" t="s">
        <v>265</v>
      </c>
      <c r="C49" s="13">
        <v>26.8</v>
      </c>
      <c r="D49" s="13">
        <v>32</v>
      </c>
      <c r="E49" s="13">
        <v>74.400000000000006</v>
      </c>
      <c r="F49" s="13">
        <v>53.1</v>
      </c>
      <c r="G49" s="13">
        <v>0</v>
      </c>
      <c r="H49" s="13" t="s">
        <v>100</v>
      </c>
      <c r="I49" s="13" t="s">
        <v>100</v>
      </c>
      <c r="J49" s="13" t="s">
        <v>100</v>
      </c>
      <c r="K49" s="13" t="s">
        <v>100</v>
      </c>
      <c r="L49" s="13" t="s">
        <v>100</v>
      </c>
      <c r="M49" s="13">
        <v>75</v>
      </c>
      <c r="N49" s="13" t="s">
        <v>100</v>
      </c>
      <c r="O49" s="13" t="s">
        <v>100</v>
      </c>
      <c r="P49" s="13">
        <v>0</v>
      </c>
      <c r="Q49" s="13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f>X48/X47</f>
        <v>5.1207022677395757E-3</v>
      </c>
      <c r="Y49">
        <f>Y48/Y47</f>
        <v>1.1668611435239206E-2</v>
      </c>
      <c r="Z49">
        <f>Z48/Z47</f>
        <v>1.4078110808356041E-2</v>
      </c>
      <c r="AA49">
        <f>AA48/AA47</f>
        <v>2.5528565002249214E-2</v>
      </c>
      <c r="AB49">
        <f>AB48/AB47</f>
        <v>5.3662982795943948E-2</v>
      </c>
    </row>
    <row r="50" spans="1:28" x14ac:dyDescent="0.45">
      <c r="A50" s="10" t="s">
        <v>266</v>
      </c>
      <c r="B50" s="10" t="s">
        <v>267</v>
      </c>
      <c r="C50" s="13">
        <v>169.4</v>
      </c>
      <c r="D50" s="13">
        <v>200</v>
      </c>
      <c r="E50" s="13">
        <v>259.2</v>
      </c>
      <c r="F50" s="13">
        <v>307.2</v>
      </c>
      <c r="G50" s="13">
        <v>309.8</v>
      </c>
      <c r="H50" s="13">
        <v>332.7</v>
      </c>
      <c r="I50" s="13">
        <v>364.6</v>
      </c>
      <c r="J50" s="13">
        <v>403.3</v>
      </c>
      <c r="K50" s="13">
        <v>440.5</v>
      </c>
      <c r="L50" s="13">
        <v>328.6</v>
      </c>
      <c r="M50" s="13">
        <v>351.4</v>
      </c>
      <c r="N50" s="13">
        <v>372.1</v>
      </c>
      <c r="O50" s="13">
        <v>391.5</v>
      </c>
      <c r="P50" s="13">
        <v>414</v>
      </c>
      <c r="Q50" s="13">
        <v>457.5</v>
      </c>
    </row>
    <row r="51" spans="1:28" x14ac:dyDescent="0.45">
      <c r="A51" s="10" t="s">
        <v>268</v>
      </c>
      <c r="B51" s="10" t="s">
        <v>269</v>
      </c>
      <c r="C51" s="13">
        <v>169.3</v>
      </c>
      <c r="D51" s="13">
        <v>199.8</v>
      </c>
      <c r="E51" s="13">
        <v>259.2</v>
      </c>
      <c r="F51" s="13">
        <v>305.8</v>
      </c>
      <c r="G51" s="13">
        <v>309.8</v>
      </c>
      <c r="H51" s="13">
        <v>332.7</v>
      </c>
      <c r="I51" s="13">
        <v>364.6</v>
      </c>
      <c r="J51" s="13">
        <v>403.3</v>
      </c>
      <c r="K51" s="13">
        <v>440.5</v>
      </c>
      <c r="L51" s="13">
        <v>328.6</v>
      </c>
      <c r="M51" s="13">
        <v>351.4</v>
      </c>
      <c r="N51" s="13">
        <v>372.1</v>
      </c>
      <c r="O51" s="13">
        <v>391.5</v>
      </c>
      <c r="P51" s="13">
        <v>414</v>
      </c>
      <c r="Q51" s="13">
        <v>457.5</v>
      </c>
    </row>
    <row r="52" spans="1:28" x14ac:dyDescent="0.45">
      <c r="A52" s="10" t="s">
        <v>270</v>
      </c>
      <c r="B52" s="10" t="s">
        <v>271</v>
      </c>
      <c r="C52" s="13" t="s">
        <v>100</v>
      </c>
      <c r="D52" s="13" t="s">
        <v>100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</row>
    <row r="53" spans="1:28" x14ac:dyDescent="0.45">
      <c r="A53" s="10" t="s">
        <v>272</v>
      </c>
      <c r="B53" s="10" t="s">
        <v>273</v>
      </c>
      <c r="C53" s="13">
        <v>0.1</v>
      </c>
      <c r="D53" s="13">
        <v>0.2</v>
      </c>
      <c r="E53" s="13">
        <v>0</v>
      </c>
      <c r="F53" s="13">
        <v>1.4</v>
      </c>
      <c r="G53" s="13">
        <v>0</v>
      </c>
      <c r="H53" s="13" t="s">
        <v>100</v>
      </c>
      <c r="I53" s="13" t="s">
        <v>100</v>
      </c>
      <c r="J53" s="13" t="s">
        <v>100</v>
      </c>
      <c r="K53" s="13" t="s">
        <v>100</v>
      </c>
      <c r="L53" s="13" t="s">
        <v>100</v>
      </c>
      <c r="M53" s="13" t="s">
        <v>100</v>
      </c>
      <c r="N53" s="13" t="s">
        <v>100</v>
      </c>
      <c r="O53" s="13" t="s">
        <v>100</v>
      </c>
      <c r="P53" s="13" t="s">
        <v>100</v>
      </c>
      <c r="Q53" s="13" t="s">
        <v>100</v>
      </c>
    </row>
    <row r="54" spans="1:28" x14ac:dyDescent="0.45">
      <c r="A54" s="10" t="s">
        <v>274</v>
      </c>
      <c r="B54" s="10" t="s">
        <v>275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</row>
    <row r="55" spans="1:28" x14ac:dyDescent="0.45">
      <c r="A55" s="6" t="s">
        <v>53</v>
      </c>
      <c r="B55" s="6" t="s">
        <v>54</v>
      </c>
      <c r="C55" s="19">
        <v>266.8</v>
      </c>
      <c r="D55" s="19">
        <v>311.39999999999998</v>
      </c>
      <c r="E55" s="19">
        <v>438.8</v>
      </c>
      <c r="F55" s="19">
        <v>477.4</v>
      </c>
      <c r="G55" s="19">
        <v>440.4</v>
      </c>
      <c r="H55" s="19">
        <v>465.1</v>
      </c>
      <c r="I55" s="19">
        <v>484.1</v>
      </c>
      <c r="J55" s="19">
        <v>539.1</v>
      </c>
      <c r="K55" s="19">
        <v>608.6</v>
      </c>
      <c r="L55" s="19">
        <v>524.79999999999995</v>
      </c>
      <c r="M55" s="19">
        <v>695.1</v>
      </c>
      <c r="N55" s="19">
        <v>728.8</v>
      </c>
      <c r="O55" s="19">
        <v>778.5</v>
      </c>
      <c r="P55" s="19">
        <v>794.8</v>
      </c>
      <c r="Q55" s="19">
        <v>889.3</v>
      </c>
    </row>
    <row r="56" spans="1:28" x14ac:dyDescent="0.45">
      <c r="A56" s="10" t="s">
        <v>276</v>
      </c>
      <c r="B56" s="10" t="s">
        <v>277</v>
      </c>
      <c r="C56" s="13">
        <v>198.7</v>
      </c>
      <c r="D56" s="13">
        <v>127.6</v>
      </c>
      <c r="E56" s="13">
        <v>53.1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515.29999999999995</v>
      </c>
      <c r="N56" s="13">
        <v>919.1</v>
      </c>
      <c r="O56" s="13">
        <v>858</v>
      </c>
      <c r="P56" s="13">
        <v>866.4</v>
      </c>
      <c r="Q56" s="13">
        <v>854.4</v>
      </c>
      <c r="S56" s="13">
        <v>919.1</v>
      </c>
      <c r="T56" s="13">
        <v>858</v>
      </c>
      <c r="U56" s="13">
        <v>866.4</v>
      </c>
      <c r="V56" s="13">
        <v>854.4</v>
      </c>
    </row>
    <row r="57" spans="1:28" x14ac:dyDescent="0.45">
      <c r="A57" s="10" t="s">
        <v>278</v>
      </c>
      <c r="B57" s="10" t="s">
        <v>279</v>
      </c>
      <c r="C57" s="13">
        <v>198.7</v>
      </c>
      <c r="D57" s="13">
        <v>127.6</v>
      </c>
      <c r="E57" s="13">
        <v>53.1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423.5</v>
      </c>
      <c r="N57" s="13">
        <v>798.1</v>
      </c>
      <c r="O57" s="13">
        <v>753.6</v>
      </c>
      <c r="P57" s="13">
        <v>753.6</v>
      </c>
      <c r="Q57" s="13">
        <v>753.9</v>
      </c>
      <c r="S57" s="13">
        <v>23.6</v>
      </c>
      <c r="T57" s="13">
        <v>22.8</v>
      </c>
      <c r="U57" s="13">
        <v>22.8</v>
      </c>
      <c r="V57" s="13">
        <v>23.3</v>
      </c>
    </row>
    <row r="58" spans="1:28" x14ac:dyDescent="0.45">
      <c r="A58" s="10" t="s">
        <v>280</v>
      </c>
      <c r="B58" s="10" t="s">
        <v>281</v>
      </c>
      <c r="C58" s="13" t="s">
        <v>100</v>
      </c>
      <c r="D58" s="13" t="s">
        <v>100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91.8</v>
      </c>
      <c r="N58" s="13">
        <v>120.9</v>
      </c>
      <c r="O58" s="13">
        <v>104.4</v>
      </c>
      <c r="P58" s="13">
        <v>112.8</v>
      </c>
      <c r="Q58" s="13">
        <v>100.5</v>
      </c>
      <c r="S58" s="36">
        <f>S56+S57</f>
        <v>942.7</v>
      </c>
      <c r="T58" s="36">
        <f t="shared" ref="T58:V58" si="2">T56+T57</f>
        <v>880.8</v>
      </c>
      <c r="U58" s="36">
        <f t="shared" si="2"/>
        <v>889.19999999999993</v>
      </c>
      <c r="V58" s="36">
        <f t="shared" si="2"/>
        <v>877.69999999999993</v>
      </c>
    </row>
    <row r="59" spans="1:28" x14ac:dyDescent="0.45">
      <c r="A59" s="11" t="s">
        <v>282</v>
      </c>
      <c r="B59" s="11" t="s">
        <v>283</v>
      </c>
      <c r="C59" s="24" t="s">
        <v>100</v>
      </c>
      <c r="D59" s="24" t="s">
        <v>100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 t="s">
        <v>100</v>
      </c>
      <c r="Q59" s="24" t="s">
        <v>100</v>
      </c>
    </row>
    <row r="60" spans="1:28" x14ac:dyDescent="0.45">
      <c r="A60" s="11" t="s">
        <v>284</v>
      </c>
      <c r="B60" s="11" t="s">
        <v>285</v>
      </c>
      <c r="C60" s="24" t="s">
        <v>100</v>
      </c>
      <c r="D60" s="24" t="s">
        <v>100</v>
      </c>
      <c r="E60" s="24" t="s">
        <v>100</v>
      </c>
      <c r="F60" s="24" t="s">
        <v>100</v>
      </c>
      <c r="G60" s="24" t="s">
        <v>100</v>
      </c>
      <c r="H60" s="24" t="s">
        <v>100</v>
      </c>
      <c r="I60" s="24" t="s">
        <v>100</v>
      </c>
      <c r="J60" s="24" t="s">
        <v>100</v>
      </c>
      <c r="K60" s="24" t="s">
        <v>100</v>
      </c>
      <c r="L60" s="24" t="s">
        <v>100</v>
      </c>
      <c r="M60" s="24">
        <v>91.8</v>
      </c>
      <c r="N60" s="24">
        <v>120.9</v>
      </c>
      <c r="O60" s="24">
        <v>104.4</v>
      </c>
      <c r="P60" s="24">
        <v>112.8</v>
      </c>
      <c r="Q60" s="24">
        <v>100.5</v>
      </c>
    </row>
    <row r="61" spans="1:28" x14ac:dyDescent="0.45">
      <c r="A61" s="10" t="s">
        <v>286</v>
      </c>
      <c r="B61" s="10" t="s">
        <v>287</v>
      </c>
      <c r="C61" s="13">
        <v>142.1</v>
      </c>
      <c r="D61" s="13">
        <v>158</v>
      </c>
      <c r="E61" s="13">
        <v>202.1</v>
      </c>
      <c r="F61" s="13">
        <v>189.7</v>
      </c>
      <c r="G61" s="13">
        <v>145.69999999999999</v>
      </c>
      <c r="H61" s="13">
        <v>70.3</v>
      </c>
      <c r="I61" s="13">
        <v>51.3</v>
      </c>
      <c r="J61" s="13">
        <v>53</v>
      </c>
      <c r="K61" s="13">
        <v>87.2</v>
      </c>
      <c r="L61" s="13">
        <v>91.7</v>
      </c>
      <c r="M61" s="13">
        <v>175.1</v>
      </c>
      <c r="N61" s="13">
        <v>194.8</v>
      </c>
      <c r="O61" s="13">
        <v>203.8</v>
      </c>
      <c r="P61" s="13">
        <v>160.9</v>
      </c>
      <c r="Q61" s="13">
        <v>188.8</v>
      </c>
    </row>
    <row r="62" spans="1:28" x14ac:dyDescent="0.45">
      <c r="A62" s="10" t="s">
        <v>288</v>
      </c>
      <c r="B62" s="10" t="s">
        <v>289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</row>
    <row r="63" spans="1:28" x14ac:dyDescent="0.45">
      <c r="A63" s="10" t="s">
        <v>290</v>
      </c>
      <c r="B63" s="10" t="s">
        <v>291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 t="s">
        <v>100</v>
      </c>
    </row>
    <row r="64" spans="1:28" x14ac:dyDescent="0.45">
      <c r="A64" s="11" t="s">
        <v>292</v>
      </c>
      <c r="B64" s="11" t="s">
        <v>293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 t="s">
        <v>100</v>
      </c>
    </row>
    <row r="65" spans="1:17" x14ac:dyDescent="0.45">
      <c r="A65" s="11" t="s">
        <v>294</v>
      </c>
      <c r="B65" s="11" t="s">
        <v>295</v>
      </c>
      <c r="C65" s="24">
        <v>0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 t="s">
        <v>100</v>
      </c>
    </row>
    <row r="66" spans="1:17" x14ac:dyDescent="0.45">
      <c r="A66" s="10" t="s">
        <v>268</v>
      </c>
      <c r="B66" s="10" t="s">
        <v>296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15.1</v>
      </c>
      <c r="J66" s="13">
        <v>12.6</v>
      </c>
      <c r="K66" s="13">
        <v>28.1</v>
      </c>
      <c r="L66" s="13">
        <v>14.6</v>
      </c>
      <c r="M66" s="13">
        <v>13.9</v>
      </c>
      <c r="N66" s="13">
        <v>16.7</v>
      </c>
      <c r="O66" s="13">
        <v>21.3</v>
      </c>
      <c r="P66" s="13">
        <v>21.8</v>
      </c>
      <c r="Q66" s="13">
        <v>22.2</v>
      </c>
    </row>
    <row r="67" spans="1:17" x14ac:dyDescent="0.45">
      <c r="A67" s="10" t="s">
        <v>272</v>
      </c>
      <c r="B67" s="10" t="s">
        <v>297</v>
      </c>
      <c r="C67" s="13">
        <v>107.3</v>
      </c>
      <c r="D67" s="13">
        <v>75</v>
      </c>
      <c r="E67" s="13">
        <v>101.6</v>
      </c>
      <c r="F67" s="13">
        <v>92.8</v>
      </c>
      <c r="G67" s="13">
        <v>66.900000000000006</v>
      </c>
      <c r="H67" s="13">
        <v>16.2</v>
      </c>
      <c r="I67" s="13">
        <v>2.1</v>
      </c>
      <c r="J67" s="13">
        <v>2.2999999999999998</v>
      </c>
      <c r="K67" s="13">
        <v>1.5</v>
      </c>
      <c r="L67" s="13">
        <v>30.1</v>
      </c>
      <c r="M67" s="13">
        <v>78.599999999999994</v>
      </c>
      <c r="N67" s="13">
        <v>110.3</v>
      </c>
      <c r="O67" s="13">
        <v>105.5</v>
      </c>
      <c r="P67" s="13">
        <v>58.1</v>
      </c>
      <c r="Q67" s="13">
        <v>75.3</v>
      </c>
    </row>
    <row r="68" spans="1:17" x14ac:dyDescent="0.45">
      <c r="A68" s="10" t="s">
        <v>270</v>
      </c>
      <c r="B68" s="10" t="s">
        <v>298</v>
      </c>
      <c r="C68" s="13" t="s">
        <v>100</v>
      </c>
      <c r="D68" s="13" t="s">
        <v>100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</row>
    <row r="69" spans="1:17" x14ac:dyDescent="0.45">
      <c r="A69" s="10" t="s">
        <v>299</v>
      </c>
      <c r="B69" s="10" t="s">
        <v>300</v>
      </c>
      <c r="C69" s="13">
        <v>34.799999999999997</v>
      </c>
      <c r="D69" s="13">
        <v>83</v>
      </c>
      <c r="E69" s="13">
        <v>100.5</v>
      </c>
      <c r="F69" s="13">
        <v>96.9</v>
      </c>
      <c r="G69" s="13">
        <v>78.8</v>
      </c>
      <c r="H69" s="13">
        <v>54.1</v>
      </c>
      <c r="I69" s="13">
        <v>34.1</v>
      </c>
      <c r="J69" s="13">
        <v>38.200000000000003</v>
      </c>
      <c r="K69" s="13">
        <v>57.7</v>
      </c>
      <c r="L69" s="13">
        <v>47</v>
      </c>
      <c r="M69" s="13">
        <v>82.5</v>
      </c>
      <c r="N69" s="13">
        <v>67.8</v>
      </c>
      <c r="O69" s="13">
        <v>77</v>
      </c>
      <c r="P69" s="13">
        <v>81</v>
      </c>
      <c r="Q69" s="13">
        <v>91.3</v>
      </c>
    </row>
    <row r="70" spans="1:17" x14ac:dyDescent="0.45">
      <c r="A70" s="6" t="s">
        <v>301</v>
      </c>
      <c r="B70" s="6" t="s">
        <v>302</v>
      </c>
      <c r="C70" s="19">
        <v>340.8</v>
      </c>
      <c r="D70" s="19">
        <v>285.60000000000002</v>
      </c>
      <c r="E70" s="19">
        <v>255.2</v>
      </c>
      <c r="F70" s="19">
        <v>189.7</v>
      </c>
      <c r="G70" s="19">
        <v>145.69999999999999</v>
      </c>
      <c r="H70" s="19">
        <v>70.3</v>
      </c>
      <c r="I70" s="19">
        <v>51.3</v>
      </c>
      <c r="J70" s="19">
        <v>53</v>
      </c>
      <c r="K70" s="19">
        <v>87.2</v>
      </c>
      <c r="L70" s="19">
        <v>91.7</v>
      </c>
      <c r="M70" s="19">
        <v>690.4</v>
      </c>
      <c r="N70" s="19">
        <v>1113.9000000000001</v>
      </c>
      <c r="O70" s="19">
        <v>1061.8</v>
      </c>
      <c r="P70" s="19">
        <v>1027.3</v>
      </c>
      <c r="Q70" s="19">
        <v>1043.2</v>
      </c>
    </row>
    <row r="71" spans="1:17" x14ac:dyDescent="0.45">
      <c r="A71" s="6" t="s">
        <v>55</v>
      </c>
      <c r="B71" s="6" t="s">
        <v>56</v>
      </c>
      <c r="C71" s="19">
        <v>607.6</v>
      </c>
      <c r="D71" s="19">
        <v>596.9</v>
      </c>
      <c r="E71" s="19">
        <v>694</v>
      </c>
      <c r="F71" s="19">
        <v>667.1</v>
      </c>
      <c r="G71" s="19">
        <v>586.1</v>
      </c>
      <c r="H71" s="19">
        <v>535.4</v>
      </c>
      <c r="I71" s="19">
        <v>535.5</v>
      </c>
      <c r="J71" s="19">
        <v>592.1</v>
      </c>
      <c r="K71" s="19">
        <v>695.8</v>
      </c>
      <c r="L71" s="19">
        <v>616.4</v>
      </c>
      <c r="M71" s="19">
        <v>1385.5</v>
      </c>
      <c r="N71" s="19">
        <v>1842.7</v>
      </c>
      <c r="O71" s="19">
        <v>1840.3</v>
      </c>
      <c r="P71" s="19">
        <v>1822.1</v>
      </c>
      <c r="Q71" s="19">
        <v>1932.5</v>
      </c>
    </row>
    <row r="72" spans="1:17" x14ac:dyDescent="0.45">
      <c r="A72" s="10" t="s">
        <v>303</v>
      </c>
      <c r="B72" s="10" t="s">
        <v>304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</row>
    <row r="73" spans="1:17" x14ac:dyDescent="0.45">
      <c r="A73" s="10" t="s">
        <v>305</v>
      </c>
      <c r="B73" s="10" t="s">
        <v>306</v>
      </c>
      <c r="C73" s="13">
        <v>802.5</v>
      </c>
      <c r="D73" s="13">
        <v>857.6</v>
      </c>
      <c r="E73" s="13">
        <v>906.6</v>
      </c>
      <c r="F73" s="13">
        <v>928.3</v>
      </c>
      <c r="G73" s="13">
        <v>927</v>
      </c>
      <c r="H73" s="13">
        <v>905.8</v>
      </c>
      <c r="I73" s="13">
        <v>895.4</v>
      </c>
      <c r="J73" s="13">
        <v>883.9</v>
      </c>
      <c r="K73" s="13">
        <v>874.3</v>
      </c>
      <c r="L73" s="13">
        <v>868.4</v>
      </c>
      <c r="M73" s="13">
        <v>1189.9000000000001</v>
      </c>
      <c r="N73" s="13">
        <v>1435.2</v>
      </c>
      <c r="O73" s="13">
        <v>1466.6</v>
      </c>
      <c r="P73" s="13">
        <v>1541.3</v>
      </c>
      <c r="Q73" s="13">
        <v>1671.4</v>
      </c>
    </row>
    <row r="74" spans="1:17" x14ac:dyDescent="0.45">
      <c r="A74" s="10" t="s">
        <v>307</v>
      </c>
      <c r="B74" s="10" t="s">
        <v>308</v>
      </c>
      <c r="C74" s="13">
        <v>0.9</v>
      </c>
      <c r="D74" s="13">
        <v>0.9</v>
      </c>
      <c r="E74" s="13">
        <v>0.9</v>
      </c>
      <c r="F74" s="13">
        <v>0.9</v>
      </c>
      <c r="G74" s="13">
        <v>0.9</v>
      </c>
      <c r="H74" s="13">
        <v>0.9</v>
      </c>
      <c r="I74" s="13">
        <v>0.9</v>
      </c>
      <c r="J74" s="13">
        <v>0.9</v>
      </c>
      <c r="K74" s="13">
        <v>0.9</v>
      </c>
      <c r="L74" s="13">
        <v>0.9</v>
      </c>
      <c r="M74" s="13">
        <v>0.9</v>
      </c>
      <c r="N74" s="13">
        <v>1</v>
      </c>
      <c r="O74" s="13">
        <v>1</v>
      </c>
      <c r="P74" s="13">
        <v>1</v>
      </c>
      <c r="Q74" s="13">
        <v>1</v>
      </c>
    </row>
    <row r="75" spans="1:17" x14ac:dyDescent="0.45">
      <c r="A75" s="10" t="s">
        <v>309</v>
      </c>
      <c r="B75" s="10" t="s">
        <v>310</v>
      </c>
      <c r="C75" s="13">
        <v>801.6</v>
      </c>
      <c r="D75" s="13">
        <v>856.7</v>
      </c>
      <c r="E75" s="13">
        <v>905.7</v>
      </c>
      <c r="F75" s="13">
        <v>927.4</v>
      </c>
      <c r="G75" s="13">
        <v>926</v>
      </c>
      <c r="H75" s="13">
        <v>904.8</v>
      </c>
      <c r="I75" s="13">
        <v>894.5</v>
      </c>
      <c r="J75" s="13">
        <v>883</v>
      </c>
      <c r="K75" s="13">
        <v>873.4</v>
      </c>
      <c r="L75" s="13">
        <v>867.5</v>
      </c>
      <c r="M75" s="13">
        <v>1188.9000000000001</v>
      </c>
      <c r="N75" s="13">
        <v>1434.2</v>
      </c>
      <c r="O75" s="13">
        <v>1465.7</v>
      </c>
      <c r="P75" s="13">
        <v>1540.3</v>
      </c>
      <c r="Q75" s="13">
        <v>1670.5</v>
      </c>
    </row>
    <row r="76" spans="1:17" x14ac:dyDescent="0.45">
      <c r="A76" s="10" t="s">
        <v>311</v>
      </c>
      <c r="B76" s="10" t="s">
        <v>312</v>
      </c>
      <c r="C76" s="13">
        <v>0.9</v>
      </c>
      <c r="D76" s="13">
        <v>0</v>
      </c>
      <c r="E76" s="13">
        <v>0</v>
      </c>
      <c r="F76" s="13">
        <v>36.200000000000003</v>
      </c>
      <c r="G76" s="13">
        <v>72.900000000000006</v>
      </c>
      <c r="H76" s="13">
        <v>196</v>
      </c>
      <c r="I76" s="13">
        <v>440.8</v>
      </c>
      <c r="J76" s="13">
        <v>675.6</v>
      </c>
      <c r="K76" s="13">
        <v>907.5</v>
      </c>
      <c r="L76" s="13">
        <v>1075.9000000000001</v>
      </c>
      <c r="M76" s="13">
        <v>1041.8</v>
      </c>
      <c r="N76" s="13">
        <v>1124.0999999999999</v>
      </c>
      <c r="O76" s="13">
        <v>1185.7</v>
      </c>
      <c r="P76" s="13">
        <v>1335.6</v>
      </c>
      <c r="Q76" s="13">
        <v>1474.1</v>
      </c>
    </row>
    <row r="77" spans="1:17" x14ac:dyDescent="0.45">
      <c r="A77" s="10" t="s">
        <v>313</v>
      </c>
      <c r="B77" s="10" t="s">
        <v>314</v>
      </c>
      <c r="C77" s="13">
        <v>502.2</v>
      </c>
      <c r="D77" s="13">
        <v>655.29999999999995</v>
      </c>
      <c r="E77" s="13">
        <v>836</v>
      </c>
      <c r="F77" s="13">
        <v>1039.5</v>
      </c>
      <c r="G77" s="13">
        <v>1284.8</v>
      </c>
      <c r="H77" s="13">
        <v>1539.5</v>
      </c>
      <c r="I77" s="13">
        <v>1792</v>
      </c>
      <c r="J77" s="13">
        <v>2057.6999999999998</v>
      </c>
      <c r="K77" s="13">
        <v>2316.9</v>
      </c>
      <c r="L77" s="13">
        <v>2919.4</v>
      </c>
      <c r="M77" s="13">
        <v>3370.7</v>
      </c>
      <c r="N77" s="13">
        <v>3804.6</v>
      </c>
      <c r="O77" s="13">
        <v>4259.2</v>
      </c>
      <c r="P77" s="13">
        <v>4782.8999999999996</v>
      </c>
      <c r="Q77" s="13">
        <v>5283.3</v>
      </c>
    </row>
    <row r="78" spans="1:17" x14ac:dyDescent="0.45">
      <c r="A78" s="10" t="s">
        <v>315</v>
      </c>
      <c r="B78" s="10" t="s">
        <v>316</v>
      </c>
      <c r="C78" s="13">
        <v>8.8000000000000007</v>
      </c>
      <c r="D78" s="13">
        <v>17</v>
      </c>
      <c r="E78" s="13">
        <v>11.9</v>
      </c>
      <c r="F78" s="13">
        <v>8.6999999999999993</v>
      </c>
      <c r="G78" s="13">
        <v>-2.6</v>
      </c>
      <c r="H78" s="13">
        <v>-31.8</v>
      </c>
      <c r="I78" s="13">
        <v>-52.2</v>
      </c>
      <c r="J78" s="13">
        <v>-57.7</v>
      </c>
      <c r="K78" s="13">
        <v>-37.799999999999997</v>
      </c>
      <c r="L78" s="13">
        <v>-62.4</v>
      </c>
      <c r="M78" s="13">
        <v>-65.400000000000006</v>
      </c>
      <c r="N78" s="13">
        <v>-17.8</v>
      </c>
      <c r="O78" s="13">
        <v>-56.1</v>
      </c>
      <c r="P78" s="13">
        <v>-122.7</v>
      </c>
      <c r="Q78" s="13">
        <v>-90.3</v>
      </c>
    </row>
    <row r="79" spans="1:17" x14ac:dyDescent="0.45">
      <c r="A79" s="6" t="s">
        <v>317</v>
      </c>
      <c r="B79" s="6" t="s">
        <v>318</v>
      </c>
      <c r="C79" s="19">
        <v>1312.6</v>
      </c>
      <c r="D79" s="19">
        <v>1529.9</v>
      </c>
      <c r="E79" s="19">
        <v>1754.5</v>
      </c>
      <c r="F79" s="19">
        <v>1940.3</v>
      </c>
      <c r="G79" s="19">
        <v>2136.1999999999998</v>
      </c>
      <c r="H79" s="19">
        <v>2217.5</v>
      </c>
      <c r="I79" s="19">
        <v>2194.4</v>
      </c>
      <c r="J79" s="19">
        <v>2208.4</v>
      </c>
      <c r="K79" s="19">
        <v>2245.8000000000002</v>
      </c>
      <c r="L79" s="19">
        <v>2649.5</v>
      </c>
      <c r="M79" s="19">
        <v>3453.4</v>
      </c>
      <c r="N79" s="19">
        <v>4097.8999999999996</v>
      </c>
      <c r="O79" s="19">
        <v>4484</v>
      </c>
      <c r="P79" s="19">
        <v>4865.8999999999996</v>
      </c>
      <c r="Q79" s="19">
        <v>5390.4</v>
      </c>
    </row>
    <row r="80" spans="1:17" x14ac:dyDescent="0.45">
      <c r="A80" s="10" t="s">
        <v>319</v>
      </c>
      <c r="B80" s="10" t="s">
        <v>320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</row>
    <row r="81" spans="1:17" x14ac:dyDescent="0.45">
      <c r="A81" s="6" t="s">
        <v>57</v>
      </c>
      <c r="B81" s="6" t="s">
        <v>58</v>
      </c>
      <c r="C81" s="19">
        <v>1312.6</v>
      </c>
      <c r="D81" s="19">
        <v>1529.9</v>
      </c>
      <c r="E81" s="19">
        <v>1754.5</v>
      </c>
      <c r="F81" s="19">
        <v>1940.3</v>
      </c>
      <c r="G81" s="19">
        <v>2136.1999999999998</v>
      </c>
      <c r="H81" s="19">
        <v>2217.5</v>
      </c>
      <c r="I81" s="19">
        <v>2194.4</v>
      </c>
      <c r="J81" s="19">
        <v>2208.4</v>
      </c>
      <c r="K81" s="19">
        <v>2245.8000000000002</v>
      </c>
      <c r="L81" s="19">
        <v>2649.5</v>
      </c>
      <c r="M81" s="19">
        <v>3453.4</v>
      </c>
      <c r="N81" s="19">
        <v>4097.8999999999996</v>
      </c>
      <c r="O81" s="19">
        <v>4484</v>
      </c>
      <c r="P81" s="19">
        <v>4865.8999999999996</v>
      </c>
      <c r="Q81" s="19">
        <v>5390.4</v>
      </c>
    </row>
    <row r="82" spans="1:17" x14ac:dyDescent="0.45">
      <c r="A82" s="6" t="s">
        <v>321</v>
      </c>
      <c r="B82" s="6" t="s">
        <v>322</v>
      </c>
      <c r="C82" s="19">
        <v>1920.2</v>
      </c>
      <c r="D82" s="19">
        <v>2126.9</v>
      </c>
      <c r="E82" s="19">
        <v>2448.5</v>
      </c>
      <c r="F82" s="19">
        <v>2607.4</v>
      </c>
      <c r="G82" s="19">
        <v>2722.4</v>
      </c>
      <c r="H82" s="19">
        <v>2752.9</v>
      </c>
      <c r="I82" s="19">
        <v>2729.9</v>
      </c>
      <c r="J82" s="19">
        <v>2800.5</v>
      </c>
      <c r="K82" s="19">
        <v>2941.6</v>
      </c>
      <c r="L82" s="19">
        <v>3266</v>
      </c>
      <c r="M82" s="19">
        <v>4838.8999999999996</v>
      </c>
      <c r="N82" s="19">
        <v>5940.6</v>
      </c>
      <c r="O82" s="19">
        <v>6324.3</v>
      </c>
      <c r="P82" s="19">
        <v>6687.9</v>
      </c>
      <c r="Q82" s="19">
        <v>7322.9</v>
      </c>
    </row>
    <row r="83" spans="1:17" x14ac:dyDescent="0.45">
      <c r="A83" s="6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x14ac:dyDescent="0.45">
      <c r="A84" s="6" t="s">
        <v>161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x14ac:dyDescent="0.45">
      <c r="A85" s="10" t="s">
        <v>162</v>
      </c>
      <c r="B85" s="10" t="s">
        <v>163</v>
      </c>
      <c r="C85" s="12" t="s">
        <v>164</v>
      </c>
      <c r="D85" s="12" t="s">
        <v>164</v>
      </c>
      <c r="E85" s="12" t="s">
        <v>164</v>
      </c>
      <c r="F85" s="12" t="s">
        <v>164</v>
      </c>
      <c r="G85" s="12" t="s">
        <v>164</v>
      </c>
      <c r="H85" s="12" t="s">
        <v>164</v>
      </c>
      <c r="I85" s="12" t="s">
        <v>164</v>
      </c>
      <c r="J85" s="12" t="s">
        <v>164</v>
      </c>
      <c r="K85" s="12" t="s">
        <v>164</v>
      </c>
      <c r="L85" s="12" t="s">
        <v>164</v>
      </c>
      <c r="M85" s="12" t="s">
        <v>164</v>
      </c>
      <c r="N85" s="12" t="s">
        <v>164</v>
      </c>
      <c r="O85" s="12" t="s">
        <v>164</v>
      </c>
      <c r="P85" s="12" t="s">
        <v>164</v>
      </c>
      <c r="Q85" s="12" t="s">
        <v>164</v>
      </c>
    </row>
    <row r="86" spans="1:17" x14ac:dyDescent="0.45">
      <c r="A86" s="10" t="s">
        <v>323</v>
      </c>
      <c r="B86" s="10" t="s">
        <v>60</v>
      </c>
      <c r="C86" s="13">
        <v>89.7</v>
      </c>
      <c r="D86" s="13">
        <v>91.6</v>
      </c>
      <c r="E86" s="13">
        <v>92.7</v>
      </c>
      <c r="F86" s="13">
        <v>92.7</v>
      </c>
      <c r="G86" s="13">
        <v>92.3</v>
      </c>
      <c r="H86" s="13">
        <v>90.8</v>
      </c>
      <c r="I86" s="13">
        <v>88.1</v>
      </c>
      <c r="J86" s="13">
        <v>85.7</v>
      </c>
      <c r="K86" s="13">
        <v>84.2</v>
      </c>
      <c r="L86" s="13">
        <v>83.6</v>
      </c>
      <c r="M86" s="13">
        <v>85.7</v>
      </c>
      <c r="N86" s="13">
        <v>86.6</v>
      </c>
      <c r="O86" s="13">
        <v>87.1</v>
      </c>
      <c r="P86" s="13">
        <v>86.9</v>
      </c>
      <c r="Q86" s="13">
        <v>86.9</v>
      </c>
    </row>
    <row r="87" spans="1:17" x14ac:dyDescent="0.45">
      <c r="A87" s="10" t="s">
        <v>324</v>
      </c>
      <c r="B87" s="10" t="s">
        <v>325</v>
      </c>
      <c r="C87" s="13">
        <v>0</v>
      </c>
      <c r="D87" s="13">
        <v>0</v>
      </c>
      <c r="E87" s="13">
        <v>0</v>
      </c>
      <c r="F87" s="13">
        <v>0.5</v>
      </c>
      <c r="G87" s="13">
        <v>0.9</v>
      </c>
      <c r="H87" s="13">
        <v>2.5</v>
      </c>
      <c r="I87" s="13">
        <v>5.0999999999999996</v>
      </c>
      <c r="J87" s="13">
        <v>7.5</v>
      </c>
      <c r="K87" s="13">
        <v>9</v>
      </c>
      <c r="L87" s="13">
        <v>9.6</v>
      </c>
      <c r="M87" s="13">
        <v>8.9</v>
      </c>
      <c r="N87" s="13">
        <v>8.6999999999999993</v>
      </c>
      <c r="O87" s="13">
        <v>8.1999999999999993</v>
      </c>
      <c r="P87" s="13">
        <v>8.3000000000000007</v>
      </c>
      <c r="Q87" s="13">
        <v>8.4</v>
      </c>
    </row>
    <row r="88" spans="1:17" x14ac:dyDescent="0.45">
      <c r="A88" s="10" t="s">
        <v>326</v>
      </c>
      <c r="B88" s="10" t="s">
        <v>327</v>
      </c>
      <c r="C88" s="13" t="s">
        <v>100</v>
      </c>
      <c r="D88" s="13" t="s">
        <v>100</v>
      </c>
      <c r="E88" s="13" t="s">
        <v>100</v>
      </c>
      <c r="F88" s="13" t="s">
        <v>100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</row>
    <row r="89" spans="1:17" x14ac:dyDescent="0.45">
      <c r="A89" s="10" t="s">
        <v>328</v>
      </c>
      <c r="B89" s="10" t="s">
        <v>329</v>
      </c>
      <c r="C89" s="13">
        <v>30.8</v>
      </c>
      <c r="D89" s="13">
        <v>32.1</v>
      </c>
      <c r="E89" s="13">
        <v>38</v>
      </c>
      <c r="F89" s="13">
        <v>114</v>
      </c>
      <c r="G89" s="13">
        <v>104.3</v>
      </c>
      <c r="H89" s="13">
        <v>79.3</v>
      </c>
      <c r="I89" s="13">
        <v>77.8</v>
      </c>
      <c r="J89" s="13">
        <v>70.7</v>
      </c>
      <c r="K89" s="13">
        <v>66.599999999999994</v>
      </c>
      <c r="L89" s="13">
        <v>69.7</v>
      </c>
      <c r="M89" s="13">
        <v>128.80000000000001</v>
      </c>
      <c r="N89" s="13">
        <v>161.30000000000001</v>
      </c>
      <c r="O89" s="13">
        <v>141.80000000000001</v>
      </c>
      <c r="P89" s="13">
        <v>151.19999999999999</v>
      </c>
      <c r="Q89" s="13">
        <v>137.6</v>
      </c>
    </row>
    <row r="90" spans="1:17" x14ac:dyDescent="0.45">
      <c r="A90" s="10" t="s">
        <v>330</v>
      </c>
      <c r="B90" s="10" t="s">
        <v>331</v>
      </c>
      <c r="C90" s="13">
        <v>0.4</v>
      </c>
      <c r="D90" s="13">
        <v>0.1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 t="s">
        <v>100</v>
      </c>
      <c r="Q90" s="13" t="s">
        <v>100</v>
      </c>
    </row>
    <row r="91" spans="1:17" x14ac:dyDescent="0.45">
      <c r="A91" s="10" t="s">
        <v>332</v>
      </c>
      <c r="B91" s="10" t="s">
        <v>333</v>
      </c>
      <c r="C91" s="13">
        <v>1.3</v>
      </c>
      <c r="D91" s="13">
        <v>1.2</v>
      </c>
      <c r="E91" s="13">
        <v>1.1000000000000001</v>
      </c>
      <c r="F91" s="13">
        <v>1.1000000000000001</v>
      </c>
      <c r="G91" s="13">
        <v>0.1</v>
      </c>
      <c r="H91" s="13">
        <v>0.2</v>
      </c>
      <c r="I91" s="13">
        <v>0.1</v>
      </c>
      <c r="J91" s="13">
        <v>0.3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</row>
    <row r="92" spans="1:17" x14ac:dyDescent="0.45">
      <c r="A92" s="10" t="s">
        <v>334</v>
      </c>
      <c r="B92" s="10" t="s">
        <v>335</v>
      </c>
      <c r="C92" s="13">
        <v>8.1</v>
      </c>
      <c r="D92" s="13">
        <v>7.3</v>
      </c>
      <c r="E92" s="13">
        <v>7.5</v>
      </c>
      <c r="F92" s="13">
        <v>7.1</v>
      </c>
      <c r="G92" s="13">
        <v>6.2</v>
      </c>
      <c r="H92" s="13">
        <v>4.9000000000000004</v>
      </c>
      <c r="I92" s="13">
        <v>4</v>
      </c>
      <c r="J92" s="13">
        <v>3.1</v>
      </c>
      <c r="K92" s="13">
        <v>2.2000000000000002</v>
      </c>
      <c r="L92" s="13">
        <v>1.5</v>
      </c>
      <c r="M92" s="13">
        <v>1</v>
      </c>
      <c r="N92" s="13">
        <v>0.6</v>
      </c>
      <c r="O92" s="13">
        <v>0.4</v>
      </c>
      <c r="P92" s="13">
        <v>0.2</v>
      </c>
      <c r="Q92" s="13">
        <v>0.1</v>
      </c>
    </row>
    <row r="93" spans="1:17" x14ac:dyDescent="0.45">
      <c r="A93" s="10" t="s">
        <v>336</v>
      </c>
      <c r="B93" s="10" t="s">
        <v>337</v>
      </c>
      <c r="C93" s="13">
        <v>-118.4</v>
      </c>
      <c r="D93" s="13">
        <v>-313.39999999999998</v>
      </c>
      <c r="E93" s="13">
        <v>-344.8</v>
      </c>
      <c r="F93" s="13">
        <v>-524</v>
      </c>
      <c r="G93" s="13">
        <v>-743</v>
      </c>
      <c r="H93" s="13">
        <v>-788.8</v>
      </c>
      <c r="I93" s="13">
        <v>-784.6</v>
      </c>
      <c r="J93" s="13">
        <v>-822.9</v>
      </c>
      <c r="K93" s="13">
        <v>-881.8</v>
      </c>
      <c r="L93" s="13">
        <v>-777.4</v>
      </c>
      <c r="M93" s="13">
        <v>-263.89999999999998</v>
      </c>
      <c r="N93" s="13">
        <v>29.5</v>
      </c>
      <c r="O93" s="13">
        <v>212.7</v>
      </c>
      <c r="P93" s="13">
        <v>274.60000000000002</v>
      </c>
      <c r="Q93" s="13">
        <v>17.3</v>
      </c>
    </row>
    <row r="94" spans="1:17" x14ac:dyDescent="0.45">
      <c r="A94" s="10" t="s">
        <v>338</v>
      </c>
      <c r="B94" s="10" t="s">
        <v>339</v>
      </c>
      <c r="C94" s="14">
        <v>-9.02</v>
      </c>
      <c r="D94" s="14">
        <v>-20.49</v>
      </c>
      <c r="E94" s="14">
        <v>-19.649999999999999</v>
      </c>
      <c r="F94" s="14">
        <v>-27.01</v>
      </c>
      <c r="G94" s="14">
        <v>-34.78</v>
      </c>
      <c r="H94" s="14">
        <v>-35.57</v>
      </c>
      <c r="I94" s="14">
        <v>-35.75</v>
      </c>
      <c r="J94" s="14">
        <v>-37.26</v>
      </c>
      <c r="K94" s="14">
        <v>-39.26</v>
      </c>
      <c r="L94" s="14">
        <v>-29.34</v>
      </c>
      <c r="M94" s="14">
        <v>-7.64</v>
      </c>
      <c r="N94" s="14">
        <v>0.72</v>
      </c>
      <c r="O94" s="14">
        <v>4.74</v>
      </c>
      <c r="P94" s="14">
        <v>5.64</v>
      </c>
      <c r="Q94" s="14">
        <v>0.32</v>
      </c>
    </row>
    <row r="95" spans="1:17" x14ac:dyDescent="0.45">
      <c r="A95" s="10" t="s">
        <v>340</v>
      </c>
      <c r="B95" s="10" t="s">
        <v>341</v>
      </c>
      <c r="C95" s="14">
        <v>-8.68</v>
      </c>
      <c r="D95" s="14">
        <v>26.62</v>
      </c>
      <c r="E95" s="14">
        <v>17.350000000000001</v>
      </c>
      <c r="F95" s="14">
        <v>33.619999999999997</v>
      </c>
      <c r="G95" s="14">
        <v>50.13</v>
      </c>
      <c r="H95" s="14">
        <v>54.68</v>
      </c>
      <c r="I95" s="14">
        <v>54.51</v>
      </c>
      <c r="J95" s="14">
        <v>54.12</v>
      </c>
      <c r="K95" s="14">
        <v>50.49</v>
      </c>
      <c r="L95" s="14">
        <v>58.41</v>
      </c>
      <c r="M95" s="14">
        <v>28.91</v>
      </c>
      <c r="N95" s="14">
        <v>16.52</v>
      </c>
      <c r="O95" s="14">
        <v>14.48</v>
      </c>
      <c r="P95" s="14">
        <v>17.940000000000001</v>
      </c>
      <c r="Q95" s="14">
        <v>27.93</v>
      </c>
    </row>
    <row r="96" spans="1:17" x14ac:dyDescent="0.45">
      <c r="A96" s="10" t="s">
        <v>342</v>
      </c>
      <c r="B96" s="10" t="s">
        <v>343</v>
      </c>
      <c r="C96" s="14">
        <v>1.93</v>
      </c>
      <c r="D96" s="14">
        <v>2.2999999999999998</v>
      </c>
      <c r="E96" s="14">
        <v>1.69</v>
      </c>
      <c r="F96" s="14">
        <v>1.91</v>
      </c>
      <c r="G96" s="14">
        <v>2.42</v>
      </c>
      <c r="H96" s="14">
        <v>2.33</v>
      </c>
      <c r="I96" s="14">
        <v>2.2200000000000002</v>
      </c>
      <c r="J96" s="14">
        <v>2.17</v>
      </c>
      <c r="K96" s="14">
        <v>2.09</v>
      </c>
      <c r="L96" s="14">
        <v>2.5</v>
      </c>
      <c r="M96" s="14">
        <v>2.2400000000000002</v>
      </c>
      <c r="N96" s="14">
        <v>2.36</v>
      </c>
      <c r="O96" s="14">
        <v>2.1</v>
      </c>
      <c r="P96" s="14">
        <v>2.09</v>
      </c>
      <c r="Q96" s="14">
        <v>2.2999999999999998</v>
      </c>
    </row>
    <row r="97" spans="1:17" x14ac:dyDescent="0.45">
      <c r="A97" s="10" t="s">
        <v>344</v>
      </c>
      <c r="B97" s="10" t="s">
        <v>345</v>
      </c>
      <c r="C97" s="13" t="s">
        <v>100</v>
      </c>
      <c r="D97" s="13" t="s">
        <v>100</v>
      </c>
      <c r="E97" s="13" t="s">
        <v>100</v>
      </c>
      <c r="F97" s="13" t="s">
        <v>100</v>
      </c>
      <c r="G97" s="13" t="s">
        <v>100</v>
      </c>
      <c r="H97" s="13">
        <v>232.5</v>
      </c>
      <c r="I97" s="13">
        <v>245.6</v>
      </c>
      <c r="J97" s="13">
        <v>229.5</v>
      </c>
      <c r="K97" s="13">
        <v>320.39999999999998</v>
      </c>
      <c r="L97" s="13">
        <v>161.1</v>
      </c>
      <c r="M97" s="13">
        <v>245.9</v>
      </c>
      <c r="N97" s="13">
        <v>330.3</v>
      </c>
      <c r="O97" s="13">
        <v>302.60000000000002</v>
      </c>
      <c r="P97" s="13">
        <v>287.8</v>
      </c>
      <c r="Q97" s="13">
        <v>331.3</v>
      </c>
    </row>
    <row r="98" spans="1:17" x14ac:dyDescent="0.45">
      <c r="A98" s="10" t="s">
        <v>346</v>
      </c>
      <c r="B98" s="10" t="s">
        <v>347</v>
      </c>
      <c r="C98" s="14">
        <v>1600</v>
      </c>
      <c r="D98" s="14">
        <v>1660</v>
      </c>
      <c r="E98" s="14">
        <v>2100</v>
      </c>
      <c r="F98" s="14">
        <v>2400</v>
      </c>
      <c r="G98" s="14">
        <v>2600</v>
      </c>
      <c r="H98" s="14">
        <v>2700</v>
      </c>
      <c r="I98" s="14">
        <v>2800</v>
      </c>
      <c r="J98" s="14">
        <v>2800</v>
      </c>
      <c r="K98" s="14">
        <v>2900</v>
      </c>
      <c r="L98" s="14">
        <v>1700</v>
      </c>
      <c r="M98" s="14">
        <v>2100</v>
      </c>
      <c r="N98" s="14">
        <v>4800</v>
      </c>
      <c r="O98" s="14">
        <v>5100</v>
      </c>
      <c r="P98" s="14">
        <v>5600</v>
      </c>
      <c r="Q98" s="14">
        <v>6200</v>
      </c>
    </row>
    <row r="99" spans="1:17" x14ac:dyDescent="0.45">
      <c r="A99" s="7" t="s">
        <v>69</v>
      </c>
      <c r="B99" s="7"/>
      <c r="C99" s="7" t="s">
        <v>70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70"/>
  <sheetViews>
    <sheetView workbookViewId="0">
      <selection activeCell="A32" sqref="A32"/>
    </sheetView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2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8" ht="20.65" x14ac:dyDescent="0.45">
      <c r="A2" s="8" t="s">
        <v>188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28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8" x14ac:dyDescent="0.45">
      <c r="A4" s="3" t="s">
        <v>1</v>
      </c>
      <c r="B4" s="3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72</v>
      </c>
    </row>
    <row r="5" spans="1:28" x14ac:dyDescent="0.45">
      <c r="A5" s="9" t="s">
        <v>17</v>
      </c>
      <c r="B5" s="9"/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75</v>
      </c>
    </row>
    <row r="6" spans="1:28" x14ac:dyDescent="0.45">
      <c r="A6" s="6" t="s">
        <v>348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21"/>
    </row>
    <row r="7" spans="1:28" x14ac:dyDescent="0.45">
      <c r="A7" s="10" t="s">
        <v>349</v>
      </c>
      <c r="B7" s="10" t="s">
        <v>350</v>
      </c>
      <c r="C7" s="13">
        <v>153.1</v>
      </c>
      <c r="D7" s="13">
        <v>180.7</v>
      </c>
      <c r="E7" s="13">
        <v>203.5</v>
      </c>
      <c r="F7" s="13">
        <v>245.3</v>
      </c>
      <c r="G7" s="13">
        <v>254.7</v>
      </c>
      <c r="H7" s="13">
        <v>252.5</v>
      </c>
      <c r="I7" s="13">
        <v>265.60000000000002</v>
      </c>
      <c r="J7" s="13">
        <v>259.3</v>
      </c>
      <c r="K7" s="13">
        <v>419.4</v>
      </c>
      <c r="L7" s="13">
        <v>451.3</v>
      </c>
      <c r="M7" s="13">
        <v>433.9</v>
      </c>
      <c r="N7" s="13">
        <v>454.6</v>
      </c>
      <c r="O7" s="13">
        <v>523.70000000000005</v>
      </c>
      <c r="P7" s="13">
        <v>500.4</v>
      </c>
      <c r="Q7" s="16">
        <v>567.79999999999995</v>
      </c>
    </row>
    <row r="8" spans="1:28" x14ac:dyDescent="0.45">
      <c r="A8" s="10" t="s">
        <v>351</v>
      </c>
      <c r="B8" s="10" t="s">
        <v>352</v>
      </c>
      <c r="C8" s="13">
        <v>60.8</v>
      </c>
      <c r="D8" s="13">
        <v>66</v>
      </c>
      <c r="E8" s="13">
        <v>85.4</v>
      </c>
      <c r="F8" s="13">
        <v>80.7</v>
      </c>
      <c r="G8" s="13">
        <v>81.900000000000006</v>
      </c>
      <c r="H8" s="13">
        <v>77.7</v>
      </c>
      <c r="I8" s="13">
        <v>69.599999999999994</v>
      </c>
      <c r="J8" s="13">
        <v>67.7</v>
      </c>
      <c r="K8" s="13">
        <v>59.3</v>
      </c>
      <c r="L8" s="13">
        <v>60.5</v>
      </c>
      <c r="M8" s="13">
        <v>85.3</v>
      </c>
      <c r="N8" s="13">
        <v>106.9</v>
      </c>
      <c r="O8" s="13">
        <v>114.6</v>
      </c>
      <c r="P8" s="13">
        <v>132.5</v>
      </c>
      <c r="Q8" s="16">
        <v>140.80000000000001</v>
      </c>
      <c r="S8">
        <f>(S10-S9)/S11</f>
        <v>8.333333333333335E-3</v>
      </c>
      <c r="T8">
        <f>(T10-T9)/T11</f>
        <v>3.6062791684344508E-2</v>
      </c>
      <c r="U8">
        <f>(U10-U9)/U11</f>
        <v>3.3687405159332322E-2</v>
      </c>
      <c r="V8">
        <f>(V10-V9)/V11</f>
        <v>4.8571167716607327E-2</v>
      </c>
      <c r="W8">
        <f>(W10-W9)/W11</f>
        <v>6.4393939393939392E-2</v>
      </c>
      <c r="X8">
        <f>(X10-X9)/X11</f>
        <v>7.665413285836796E-2</v>
      </c>
      <c r="Y8">
        <f>(Y10-Y9)/Y11</f>
        <v>8.6599655028846728E-2</v>
      </c>
      <c r="Z8">
        <f>(Z10-Z9)/Z11</f>
        <v>8.7218754916872088E-2</v>
      </c>
      <c r="AA8">
        <f>(AA10-AA9)/AA11</f>
        <v>8.1380712625871418E-2</v>
      </c>
      <c r="AB8">
        <f>(AB10-AB9)/AB11</f>
        <v>9.7757610467421471E-2</v>
      </c>
    </row>
    <row r="9" spans="1:28" x14ac:dyDescent="0.45">
      <c r="A9" s="10" t="s">
        <v>353</v>
      </c>
      <c r="B9" s="10" t="s">
        <v>354</v>
      </c>
      <c r="C9" s="13">
        <v>-30.4</v>
      </c>
      <c r="D9" s="13">
        <v>8.1999999999999993</v>
      </c>
      <c r="E9" s="13">
        <v>0.5</v>
      </c>
      <c r="F9" s="13">
        <v>-15.6</v>
      </c>
      <c r="G9" s="13">
        <v>-0.7</v>
      </c>
      <c r="H9" s="13">
        <v>17.8</v>
      </c>
      <c r="I9" s="13">
        <v>20.399999999999999</v>
      </c>
      <c r="J9" s="13">
        <v>84.7</v>
      </c>
      <c r="K9" s="13">
        <v>33.799999999999997</v>
      </c>
      <c r="L9" s="13">
        <v>112.3</v>
      </c>
      <c r="M9" s="13">
        <v>144.30000000000001</v>
      </c>
      <c r="N9" s="13">
        <v>139.4</v>
      </c>
      <c r="O9" s="13">
        <v>52.6</v>
      </c>
      <c r="P9" s="13">
        <v>140.80000000000001</v>
      </c>
      <c r="Q9" s="16">
        <v>196.8</v>
      </c>
      <c r="S9" s="13">
        <v>14.5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</row>
    <row r="10" spans="1:28" x14ac:dyDescent="0.45">
      <c r="A10" s="10" t="s">
        <v>355</v>
      </c>
      <c r="B10" s="10" t="s">
        <v>356</v>
      </c>
      <c r="C10" s="13">
        <v>7.3</v>
      </c>
      <c r="D10" s="13">
        <v>13</v>
      </c>
      <c r="E10" s="13">
        <v>18.5</v>
      </c>
      <c r="F10" s="13">
        <v>25.3</v>
      </c>
      <c r="G10" s="13">
        <v>22.3</v>
      </c>
      <c r="H10" s="13">
        <v>34</v>
      </c>
      <c r="I10" s="13">
        <v>33.299999999999997</v>
      </c>
      <c r="J10" s="13">
        <v>53.2</v>
      </c>
      <c r="K10" s="13">
        <v>83.3</v>
      </c>
      <c r="L10" s="13">
        <v>116.2</v>
      </c>
      <c r="M10" s="13">
        <v>145.6</v>
      </c>
      <c r="N10" s="13">
        <v>166.3</v>
      </c>
      <c r="O10" s="13">
        <v>168.1</v>
      </c>
      <c r="P10" s="13">
        <v>221.9</v>
      </c>
      <c r="Q10" s="16">
        <v>261.2</v>
      </c>
      <c r="S10" s="13">
        <v>22.3</v>
      </c>
      <c r="T10" s="13">
        <v>34</v>
      </c>
      <c r="U10" s="13">
        <v>33.299999999999997</v>
      </c>
      <c r="V10" s="13">
        <v>53.2</v>
      </c>
      <c r="W10" s="13">
        <v>83.3</v>
      </c>
      <c r="X10" s="13">
        <v>116.2</v>
      </c>
      <c r="Y10" s="13">
        <v>145.6</v>
      </c>
      <c r="Z10" s="13">
        <v>166.3</v>
      </c>
      <c r="AA10" s="13">
        <v>168.1</v>
      </c>
      <c r="AB10" s="13">
        <v>221.9</v>
      </c>
    </row>
    <row r="11" spans="1:28" x14ac:dyDescent="0.45">
      <c r="A11" s="10" t="s">
        <v>357</v>
      </c>
      <c r="B11" s="10" t="s">
        <v>358</v>
      </c>
      <c r="C11" s="13">
        <v>-26.6</v>
      </c>
      <c r="D11" s="13">
        <v>-3</v>
      </c>
      <c r="E11" s="13">
        <v>-18.899999999999999</v>
      </c>
      <c r="F11" s="13">
        <v>-24</v>
      </c>
      <c r="G11" s="13">
        <v>-18.899999999999999</v>
      </c>
      <c r="H11" s="13">
        <v>-15.2</v>
      </c>
      <c r="I11" s="13">
        <v>-10.9</v>
      </c>
      <c r="J11" s="13">
        <v>-2.7</v>
      </c>
      <c r="K11" s="13">
        <v>-33.700000000000003</v>
      </c>
      <c r="L11" s="13">
        <v>-14.5</v>
      </c>
      <c r="M11" s="13">
        <v>-30.9</v>
      </c>
      <c r="N11" s="13">
        <v>-34.5</v>
      </c>
      <c r="O11" s="13">
        <v>-130.69999999999999</v>
      </c>
      <c r="P11" s="13">
        <v>-91.3</v>
      </c>
      <c r="Q11" s="16">
        <v>-89.3</v>
      </c>
      <c r="S11" s="19">
        <v>936</v>
      </c>
      <c r="T11" s="19">
        <v>942.8</v>
      </c>
      <c r="U11" s="19">
        <v>988.5</v>
      </c>
      <c r="V11" s="19">
        <v>1095.3</v>
      </c>
      <c r="W11" s="19">
        <v>1293.5999999999999</v>
      </c>
      <c r="X11" s="19">
        <v>1515.9</v>
      </c>
      <c r="Y11" s="19">
        <v>1681.3</v>
      </c>
      <c r="Z11" s="19">
        <v>1906.7</v>
      </c>
      <c r="AA11" s="19">
        <v>2065.6</v>
      </c>
      <c r="AB11" s="19">
        <v>2269.9</v>
      </c>
    </row>
    <row r="12" spans="1:28" x14ac:dyDescent="0.45">
      <c r="A12" s="10" t="s">
        <v>359</v>
      </c>
      <c r="B12" s="10" t="s">
        <v>360</v>
      </c>
      <c r="C12" s="13">
        <v>-11.1</v>
      </c>
      <c r="D12" s="13">
        <v>-1.8</v>
      </c>
      <c r="E12" s="13">
        <v>0.9</v>
      </c>
      <c r="F12" s="13">
        <v>-16.899999999999999</v>
      </c>
      <c r="G12" s="13">
        <v>-4.2</v>
      </c>
      <c r="H12" s="13">
        <v>-1</v>
      </c>
      <c r="I12" s="13">
        <v>-2</v>
      </c>
      <c r="J12" s="13">
        <v>34.299999999999997</v>
      </c>
      <c r="K12" s="13">
        <v>-15.8</v>
      </c>
      <c r="L12" s="13">
        <v>10.7</v>
      </c>
      <c r="M12" s="13">
        <v>29.6</v>
      </c>
      <c r="N12" s="13">
        <v>7.5</v>
      </c>
      <c r="O12" s="13">
        <v>15.2</v>
      </c>
      <c r="P12" s="13">
        <v>10.3</v>
      </c>
      <c r="Q12" s="16">
        <v>24.9</v>
      </c>
      <c r="S12">
        <f>S10/S11</f>
        <v>2.3824786324786327E-2</v>
      </c>
      <c r="T12">
        <f>T10/T11</f>
        <v>3.6062791684344508E-2</v>
      </c>
      <c r="U12">
        <f>U10/U11</f>
        <v>3.3687405159332322E-2</v>
      </c>
      <c r="V12">
        <f>V10/V11</f>
        <v>4.8571167716607327E-2</v>
      </c>
      <c r="W12">
        <f>W10/W11</f>
        <v>6.4393939393939392E-2</v>
      </c>
      <c r="X12">
        <f>X10/X11</f>
        <v>7.665413285836796E-2</v>
      </c>
      <c r="Y12">
        <f>Y10/Y11</f>
        <v>8.6599655028846728E-2</v>
      </c>
      <c r="Z12">
        <f>Z10/Z11</f>
        <v>8.7218754916872088E-2</v>
      </c>
      <c r="AA12">
        <f>AA10/AA11</f>
        <v>8.1380712625871418E-2</v>
      </c>
      <c r="AB12">
        <f>AB10/AB11</f>
        <v>9.7757610467421471E-2</v>
      </c>
    </row>
    <row r="13" spans="1:28" x14ac:dyDescent="0.45">
      <c r="A13" s="10" t="s">
        <v>361</v>
      </c>
      <c r="B13" s="10" t="s">
        <v>362</v>
      </c>
      <c r="C13" s="13">
        <v>-16.600000000000001</v>
      </c>
      <c r="D13" s="13">
        <v>52.9</v>
      </c>
      <c r="E13" s="13">
        <v>9</v>
      </c>
      <c r="F13" s="13">
        <v>22.6</v>
      </c>
      <c r="G13" s="13">
        <v>49.4</v>
      </c>
      <c r="H13" s="13">
        <v>27.7</v>
      </c>
      <c r="I13" s="13">
        <v>10.4</v>
      </c>
      <c r="J13" s="13">
        <v>16</v>
      </c>
      <c r="K13" s="13">
        <v>-27.5</v>
      </c>
      <c r="L13" s="13">
        <v>-124.2</v>
      </c>
      <c r="M13" s="13">
        <v>-116.1</v>
      </c>
      <c r="N13" s="13">
        <v>-151.4</v>
      </c>
      <c r="O13" s="13">
        <v>-59.9</v>
      </c>
      <c r="P13" s="13">
        <v>-56.6</v>
      </c>
      <c r="Q13" s="16">
        <v>-134.9</v>
      </c>
    </row>
    <row r="14" spans="1:28" x14ac:dyDescent="0.45">
      <c r="A14" s="10" t="s">
        <v>363</v>
      </c>
      <c r="B14" s="10" t="s">
        <v>364</v>
      </c>
      <c r="C14" s="13">
        <v>-11.1</v>
      </c>
      <c r="D14" s="13">
        <v>-8.1</v>
      </c>
      <c r="E14" s="13">
        <v>-12.4</v>
      </c>
      <c r="F14" s="13">
        <v>-3</v>
      </c>
      <c r="G14" s="13">
        <v>-5.6</v>
      </c>
      <c r="H14" s="13">
        <v>6</v>
      </c>
      <c r="I14" s="13">
        <v>-17.399999999999999</v>
      </c>
      <c r="J14" s="13">
        <v>-14.4</v>
      </c>
      <c r="K14" s="13">
        <v>-74.5</v>
      </c>
      <c r="L14" s="13">
        <v>-154.4</v>
      </c>
      <c r="M14" s="13">
        <v>-160.30000000000001</v>
      </c>
      <c r="N14" s="13">
        <v>-149</v>
      </c>
      <c r="O14" s="13">
        <v>-115</v>
      </c>
      <c r="P14" s="13">
        <v>-102.5</v>
      </c>
      <c r="Q14" s="16">
        <v>-204.8</v>
      </c>
    </row>
    <row r="15" spans="1:28" x14ac:dyDescent="0.45">
      <c r="A15" s="10" t="s">
        <v>365</v>
      </c>
      <c r="B15" s="10" t="s">
        <v>366</v>
      </c>
      <c r="C15" s="13" t="s">
        <v>100</v>
      </c>
      <c r="D15" s="13" t="s">
        <v>100</v>
      </c>
      <c r="E15" s="13" t="s">
        <v>100</v>
      </c>
      <c r="F15" s="13">
        <v>0</v>
      </c>
      <c r="G15" s="13" t="s">
        <v>100</v>
      </c>
      <c r="H15" s="13" t="s">
        <v>100</v>
      </c>
      <c r="I15" s="13" t="s">
        <v>100</v>
      </c>
      <c r="J15" s="13" t="s">
        <v>100</v>
      </c>
      <c r="K15" s="13" t="s">
        <v>100</v>
      </c>
      <c r="L15" s="13" t="s">
        <v>100</v>
      </c>
      <c r="M15" s="13" t="s">
        <v>100</v>
      </c>
      <c r="N15" s="13" t="s">
        <v>100</v>
      </c>
      <c r="O15" s="13" t="s">
        <v>100</v>
      </c>
      <c r="P15" s="13" t="s">
        <v>100</v>
      </c>
      <c r="Q15" s="16"/>
      <c r="S15" s="13">
        <v>49.4</v>
      </c>
      <c r="T15" s="13">
        <v>27.7</v>
      </c>
      <c r="U15" s="13">
        <v>10.4</v>
      </c>
      <c r="V15" s="13">
        <v>16</v>
      </c>
      <c r="W15" s="13">
        <v>-27.5</v>
      </c>
      <c r="X15" s="13">
        <v>-124.2</v>
      </c>
      <c r="Y15" s="13">
        <v>-116.1</v>
      </c>
      <c r="Z15" s="13">
        <v>-151.4</v>
      </c>
      <c r="AA15" s="13">
        <v>-59.9</v>
      </c>
      <c r="AB15" s="13">
        <v>-56.6</v>
      </c>
    </row>
    <row r="16" spans="1:28" x14ac:dyDescent="0.45">
      <c r="A16" s="10" t="s">
        <v>367</v>
      </c>
      <c r="B16" s="10" t="s">
        <v>368</v>
      </c>
      <c r="C16" s="13">
        <v>-5.5</v>
      </c>
      <c r="D16" s="13">
        <v>60.9</v>
      </c>
      <c r="E16" s="13">
        <v>21.4</v>
      </c>
      <c r="F16" s="13">
        <v>25.6</v>
      </c>
      <c r="G16" s="13">
        <v>55</v>
      </c>
      <c r="H16" s="13">
        <v>21.7</v>
      </c>
      <c r="I16" s="13">
        <v>27.8</v>
      </c>
      <c r="J16" s="13">
        <v>30.4</v>
      </c>
      <c r="K16" s="13">
        <v>47</v>
      </c>
      <c r="L16" s="13">
        <v>30.2</v>
      </c>
      <c r="M16" s="13">
        <v>44.2</v>
      </c>
      <c r="N16" s="13">
        <v>-2.4</v>
      </c>
      <c r="O16" s="13">
        <v>55.1</v>
      </c>
      <c r="P16" s="13">
        <v>45.9</v>
      </c>
      <c r="Q16" s="16">
        <v>69.900000000000006</v>
      </c>
      <c r="R16" s="19">
        <v>861.3</v>
      </c>
      <c r="S16" s="19">
        <v>936</v>
      </c>
      <c r="T16" s="19">
        <v>942.8</v>
      </c>
      <c r="U16" s="19">
        <v>988.5</v>
      </c>
      <c r="V16" s="19">
        <v>1095.3</v>
      </c>
      <c r="W16" s="19">
        <v>1293.5999999999999</v>
      </c>
      <c r="X16" s="19">
        <v>1515.9</v>
      </c>
      <c r="Y16" s="19">
        <v>1681.3</v>
      </c>
      <c r="Z16" s="19">
        <v>1906.7</v>
      </c>
      <c r="AA16" s="19">
        <v>2065.6</v>
      </c>
      <c r="AB16" s="19">
        <v>2269.9</v>
      </c>
    </row>
    <row r="17" spans="1:29" x14ac:dyDescent="0.45">
      <c r="A17" s="10" t="s">
        <v>369</v>
      </c>
      <c r="B17" s="10" t="s">
        <v>370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6">
        <v>0</v>
      </c>
      <c r="S17">
        <f>S15/(S16-R16)</f>
        <v>0.66131191432396208</v>
      </c>
      <c r="T17">
        <f>T15/(T16-S16)</f>
        <v>4.0735294117647332</v>
      </c>
      <c r="U17">
        <f>U15/(U16-T16)</f>
        <v>0.22757111597374158</v>
      </c>
      <c r="V17">
        <f>V15/(V16-U16)</f>
        <v>0.14981273408239706</v>
      </c>
      <c r="W17">
        <f>W15/(W16-V16)</f>
        <v>-0.13867876954109937</v>
      </c>
      <c r="X17">
        <f>X15/(X16-W16)</f>
        <v>-0.55870445344129516</v>
      </c>
      <c r="Y17">
        <f>Y15/(Y16-X16)</f>
        <v>-0.7019347037484891</v>
      </c>
      <c r="Z17">
        <f>Z15/(Z16-Y16)</f>
        <v>-0.67169476486246649</v>
      </c>
      <c r="AA17">
        <f>AA15/(AA16-Z16)</f>
        <v>-0.37696664568911298</v>
      </c>
      <c r="AB17">
        <f>AB15/(AB16-AA16)</f>
        <v>-0.27704356338717551</v>
      </c>
      <c r="AC17">
        <f>AVERAGE(S17:AB17)</f>
        <v>0.23872022754751954</v>
      </c>
    </row>
    <row r="18" spans="1:29" x14ac:dyDescent="0.45">
      <c r="A18" s="6" t="s">
        <v>348</v>
      </c>
      <c r="B18" s="6" t="s">
        <v>64</v>
      </c>
      <c r="C18" s="19">
        <v>166.9</v>
      </c>
      <c r="D18" s="19">
        <v>307.7</v>
      </c>
      <c r="E18" s="19">
        <v>298.39999999999998</v>
      </c>
      <c r="F18" s="19">
        <v>333</v>
      </c>
      <c r="G18" s="19">
        <v>385.3</v>
      </c>
      <c r="H18" s="19">
        <v>375.7</v>
      </c>
      <c r="I18" s="19">
        <v>366</v>
      </c>
      <c r="J18" s="19">
        <v>427.7</v>
      </c>
      <c r="K18" s="19">
        <v>485</v>
      </c>
      <c r="L18" s="19">
        <v>499.9</v>
      </c>
      <c r="M18" s="19">
        <v>547.29999999999995</v>
      </c>
      <c r="N18" s="19">
        <v>549.5</v>
      </c>
      <c r="O18" s="19">
        <v>631</v>
      </c>
      <c r="P18" s="19">
        <v>717.1</v>
      </c>
      <c r="Q18" s="22">
        <v>770.5</v>
      </c>
    </row>
    <row r="19" spans="1:29" x14ac:dyDescent="0.45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21"/>
    </row>
    <row r="20" spans="1:29" x14ac:dyDescent="0.45">
      <c r="A20" s="6" t="s">
        <v>371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21"/>
    </row>
    <row r="21" spans="1:29" x14ac:dyDescent="0.45">
      <c r="A21" s="10" t="s">
        <v>372</v>
      </c>
      <c r="B21" s="10" t="s">
        <v>373</v>
      </c>
      <c r="C21" s="13">
        <v>-14.3</v>
      </c>
      <c r="D21" s="13">
        <v>-22.1</v>
      </c>
      <c r="E21" s="13">
        <v>-24</v>
      </c>
      <c r="F21" s="13">
        <v>-28.8</v>
      </c>
      <c r="G21" s="13">
        <v>-26</v>
      </c>
      <c r="H21" s="13">
        <v>-16.100000000000001</v>
      </c>
      <c r="I21" s="13">
        <v>-12.4</v>
      </c>
      <c r="J21" s="13">
        <v>-19.100000000000001</v>
      </c>
      <c r="K21" s="13">
        <v>-21.8</v>
      </c>
      <c r="L21" s="13">
        <v>-44.9</v>
      </c>
      <c r="M21" s="13">
        <v>-35.4</v>
      </c>
      <c r="N21" s="13">
        <v>-23</v>
      </c>
      <c r="O21" s="13">
        <v>-24.4</v>
      </c>
      <c r="P21" s="13">
        <v>-25.3</v>
      </c>
      <c r="Q21" s="16">
        <v>-41</v>
      </c>
    </row>
    <row r="22" spans="1:29" x14ac:dyDescent="0.45">
      <c r="A22" s="10" t="s">
        <v>374</v>
      </c>
      <c r="B22" s="10" t="s">
        <v>375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6">
        <v>0</v>
      </c>
      <c r="S22">
        <v>26</v>
      </c>
      <c r="T22">
        <v>16</v>
      </c>
      <c r="U22">
        <v>12</v>
      </c>
      <c r="V22">
        <v>19</v>
      </c>
      <c r="W22">
        <v>21</v>
      </c>
      <c r="X22">
        <v>44</v>
      </c>
      <c r="Y22">
        <v>35</v>
      </c>
      <c r="Z22">
        <v>23</v>
      </c>
      <c r="AA22">
        <v>24</v>
      </c>
      <c r="AB22">
        <v>25</v>
      </c>
    </row>
    <row r="23" spans="1:29" x14ac:dyDescent="0.45">
      <c r="A23" s="11" t="s">
        <v>376</v>
      </c>
      <c r="B23" s="11" t="s">
        <v>377</v>
      </c>
      <c r="C23" s="24" t="s">
        <v>100</v>
      </c>
      <c r="D23" s="24" t="s">
        <v>100</v>
      </c>
      <c r="E23" s="24" t="s">
        <v>100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5">
        <v>0</v>
      </c>
      <c r="S23" s="19">
        <v>936</v>
      </c>
      <c r="T23" s="19">
        <v>942.8</v>
      </c>
      <c r="U23" s="19">
        <v>988.5</v>
      </c>
      <c r="V23" s="19">
        <v>1095.3</v>
      </c>
      <c r="W23" s="19">
        <v>1293.5999999999999</v>
      </c>
      <c r="X23" s="19">
        <v>1515.9</v>
      </c>
      <c r="Y23" s="19">
        <v>1681.3</v>
      </c>
      <c r="Z23" s="19">
        <v>1906.7</v>
      </c>
      <c r="AA23" s="19">
        <v>2065.6</v>
      </c>
      <c r="AB23" s="19">
        <v>2269.9</v>
      </c>
    </row>
    <row r="24" spans="1:29" x14ac:dyDescent="0.45">
      <c r="A24" s="11" t="s">
        <v>378</v>
      </c>
      <c r="B24" s="11" t="s">
        <v>379</v>
      </c>
      <c r="C24" s="24" t="s">
        <v>100</v>
      </c>
      <c r="D24" s="24" t="s">
        <v>100</v>
      </c>
      <c r="E24" s="24" t="s">
        <v>100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5">
        <v>0</v>
      </c>
      <c r="S24">
        <f>S22/S23</f>
        <v>2.7777777777777776E-2</v>
      </c>
      <c r="T24">
        <f>T22/T23</f>
        <v>1.6970725498515062E-2</v>
      </c>
      <c r="U24">
        <f>U22/U23</f>
        <v>1.2139605462822459E-2</v>
      </c>
      <c r="V24">
        <f>V22/V23</f>
        <v>1.7346845613074046E-2</v>
      </c>
      <c r="W24">
        <f>W22/W23</f>
        <v>1.6233766233766236E-2</v>
      </c>
      <c r="X24">
        <f>X22/X23</f>
        <v>2.9025661323306286E-2</v>
      </c>
      <c r="Y24">
        <f>Y22/Y23</f>
        <v>2.0817224766549694E-2</v>
      </c>
      <c r="Z24">
        <f>Z22/Z23</f>
        <v>1.2062726176115802E-2</v>
      </c>
      <c r="AA24">
        <f>AA22/AA23</f>
        <v>1.1618900077459334E-2</v>
      </c>
      <c r="AB24">
        <f>AB22/AB23</f>
        <v>1.1013701044098859E-2</v>
      </c>
    </row>
    <row r="25" spans="1:29" x14ac:dyDescent="0.45">
      <c r="A25" s="10" t="s">
        <v>380</v>
      </c>
      <c r="B25" s="10" t="s">
        <v>381</v>
      </c>
      <c r="C25" s="13">
        <v>-14.3</v>
      </c>
      <c r="D25" s="13">
        <v>-22.1</v>
      </c>
      <c r="E25" s="13">
        <v>-24</v>
      </c>
      <c r="F25" s="13">
        <v>-28.8</v>
      </c>
      <c r="G25" s="13">
        <v>-26</v>
      </c>
      <c r="H25" s="13">
        <v>-16.100000000000001</v>
      </c>
      <c r="I25" s="13">
        <v>-12.4</v>
      </c>
      <c r="J25" s="13">
        <v>-19.100000000000001</v>
      </c>
      <c r="K25" s="13">
        <v>-21.8</v>
      </c>
      <c r="L25" s="13">
        <v>-44.9</v>
      </c>
      <c r="M25" s="13">
        <v>-35.4</v>
      </c>
      <c r="N25" s="13">
        <v>-23</v>
      </c>
      <c r="O25" s="13">
        <v>-24.4</v>
      </c>
      <c r="P25" s="13">
        <v>-25.3</v>
      </c>
      <c r="Q25" s="16">
        <v>-41</v>
      </c>
    </row>
    <row r="26" spans="1:29" x14ac:dyDescent="0.45">
      <c r="A26" s="11" t="s">
        <v>382</v>
      </c>
      <c r="B26" s="11" t="s">
        <v>383</v>
      </c>
      <c r="C26" s="24">
        <v>-14.3</v>
      </c>
      <c r="D26" s="24">
        <v>-22.1</v>
      </c>
      <c r="E26" s="24">
        <v>-24</v>
      </c>
      <c r="F26" s="24">
        <v>-28.8</v>
      </c>
      <c r="G26" s="24">
        <v>-26</v>
      </c>
      <c r="H26" s="24">
        <v>-16.100000000000001</v>
      </c>
      <c r="I26" s="24">
        <v>-12.4</v>
      </c>
      <c r="J26" s="24">
        <v>-19.100000000000001</v>
      </c>
      <c r="K26" s="24">
        <v>-21.8</v>
      </c>
      <c r="L26" s="24">
        <v>-44.9</v>
      </c>
      <c r="M26" s="24">
        <v>-35.4</v>
      </c>
      <c r="N26" s="24">
        <v>-23</v>
      </c>
      <c r="O26" s="24">
        <v>-24.4</v>
      </c>
      <c r="P26" s="24">
        <v>-25.3</v>
      </c>
      <c r="Q26" s="25">
        <v>-41</v>
      </c>
    </row>
    <row r="27" spans="1:29" x14ac:dyDescent="0.45">
      <c r="A27" s="11" t="s">
        <v>384</v>
      </c>
      <c r="B27" s="11" t="s">
        <v>385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5">
        <v>0</v>
      </c>
    </row>
    <row r="28" spans="1:29" x14ac:dyDescent="0.45">
      <c r="A28" s="10" t="s">
        <v>386</v>
      </c>
      <c r="B28" s="10" t="s">
        <v>387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6">
        <v>0</v>
      </c>
    </row>
    <row r="29" spans="1:29" x14ac:dyDescent="0.45">
      <c r="A29" s="10" t="s">
        <v>388</v>
      </c>
      <c r="B29" s="10" t="s">
        <v>389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6">
        <v>0</v>
      </c>
    </row>
    <row r="30" spans="1:29" x14ac:dyDescent="0.45">
      <c r="A30" s="10" t="s">
        <v>390</v>
      </c>
      <c r="B30" s="10" t="s">
        <v>391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6">
        <v>0</v>
      </c>
    </row>
    <row r="31" spans="1:29" x14ac:dyDescent="0.45">
      <c r="A31" s="10" t="s">
        <v>392</v>
      </c>
      <c r="B31" s="10" t="s">
        <v>393</v>
      </c>
      <c r="C31" s="13">
        <v>0</v>
      </c>
      <c r="D31" s="13">
        <v>-269.5</v>
      </c>
      <c r="E31" s="13">
        <v>-45.1</v>
      </c>
      <c r="F31" s="13">
        <v>-4.2</v>
      </c>
      <c r="G31" s="13">
        <v>-103</v>
      </c>
      <c r="H31" s="13">
        <v>-46.1</v>
      </c>
      <c r="I31" s="13">
        <v>-7.9</v>
      </c>
      <c r="J31" s="13">
        <v>-63.9</v>
      </c>
      <c r="K31" s="13">
        <v>-283</v>
      </c>
      <c r="L31" s="13">
        <v>-787.2</v>
      </c>
      <c r="M31" s="13">
        <v>-572.29999999999995</v>
      </c>
      <c r="N31" s="13">
        <v>-510.8</v>
      </c>
      <c r="O31" s="13">
        <v>-386.3</v>
      </c>
      <c r="P31" s="13">
        <v>-208.9</v>
      </c>
      <c r="Q31" s="16">
        <v>-12.7</v>
      </c>
    </row>
    <row r="32" spans="1:29" x14ac:dyDescent="0.45">
      <c r="A32" s="10" t="s">
        <v>394</v>
      </c>
      <c r="B32" s="10" t="s">
        <v>395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6">
        <v>0</v>
      </c>
    </row>
    <row r="33" spans="1:17" x14ac:dyDescent="0.45">
      <c r="A33" s="10" t="s">
        <v>396</v>
      </c>
      <c r="B33" s="10" t="s">
        <v>397</v>
      </c>
      <c r="C33" s="13">
        <v>0</v>
      </c>
      <c r="D33" s="13">
        <v>-269.5</v>
      </c>
      <c r="E33" s="13">
        <v>-45.1</v>
      </c>
      <c r="F33" s="13">
        <v>-4.2</v>
      </c>
      <c r="G33" s="13">
        <v>-103</v>
      </c>
      <c r="H33" s="13">
        <v>-46.1</v>
      </c>
      <c r="I33" s="13">
        <v>-7.9</v>
      </c>
      <c r="J33" s="13">
        <v>-63.9</v>
      </c>
      <c r="K33" s="13">
        <v>-283</v>
      </c>
      <c r="L33" s="13">
        <v>-787.2</v>
      </c>
      <c r="M33" s="13">
        <v>-572.29999999999995</v>
      </c>
      <c r="N33" s="13">
        <v>-510.8</v>
      </c>
      <c r="O33" s="13">
        <v>-386.3</v>
      </c>
      <c r="P33" s="13">
        <v>-208.9</v>
      </c>
      <c r="Q33" s="16">
        <v>-12.7</v>
      </c>
    </row>
    <row r="34" spans="1:17" x14ac:dyDescent="0.45">
      <c r="A34" s="10" t="s">
        <v>398</v>
      </c>
      <c r="B34" s="10" t="s">
        <v>399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6">
        <v>0</v>
      </c>
    </row>
    <row r="35" spans="1:17" x14ac:dyDescent="0.45">
      <c r="A35" s="10" t="s">
        <v>400</v>
      </c>
      <c r="B35" s="10" t="s">
        <v>401</v>
      </c>
      <c r="C35" s="13">
        <v>7.6</v>
      </c>
      <c r="D35" s="13">
        <v>-0.1</v>
      </c>
      <c r="E35" s="13">
        <v>0.1</v>
      </c>
      <c r="F35" s="13">
        <v>-0.1</v>
      </c>
      <c r="G35" s="13">
        <v>-0.2</v>
      </c>
      <c r="H35" s="13">
        <v>0.2</v>
      </c>
      <c r="I35" s="13">
        <v>-11.8</v>
      </c>
      <c r="J35" s="13">
        <v>-11.6</v>
      </c>
      <c r="K35" s="13">
        <v>-7.4</v>
      </c>
      <c r="L35" s="13">
        <v>-1.4</v>
      </c>
      <c r="M35" s="13">
        <v>-6.6</v>
      </c>
      <c r="N35" s="13">
        <v>-3</v>
      </c>
      <c r="O35" s="13">
        <v>-0.7</v>
      </c>
      <c r="P35" s="13">
        <v>-5.8</v>
      </c>
      <c r="Q35" s="16">
        <v>-52.2</v>
      </c>
    </row>
    <row r="36" spans="1:17" x14ac:dyDescent="0.45">
      <c r="A36" s="10" t="s">
        <v>369</v>
      </c>
      <c r="B36" s="10" t="s">
        <v>402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6">
        <v>0</v>
      </c>
    </row>
    <row r="37" spans="1:17" x14ac:dyDescent="0.45">
      <c r="A37" s="6" t="s">
        <v>371</v>
      </c>
      <c r="B37" s="6" t="s">
        <v>66</v>
      </c>
      <c r="C37" s="19">
        <v>-6.6</v>
      </c>
      <c r="D37" s="19">
        <v>-291.60000000000002</v>
      </c>
      <c r="E37" s="19">
        <v>-69</v>
      </c>
      <c r="F37" s="19">
        <v>-33.200000000000003</v>
      </c>
      <c r="G37" s="19">
        <v>-129.30000000000001</v>
      </c>
      <c r="H37" s="19">
        <v>-62</v>
      </c>
      <c r="I37" s="19">
        <v>-32.200000000000003</v>
      </c>
      <c r="J37" s="19">
        <v>-94.7</v>
      </c>
      <c r="K37" s="19">
        <v>-312.2</v>
      </c>
      <c r="L37" s="19">
        <v>-833.5</v>
      </c>
      <c r="M37" s="19">
        <v>-614.29999999999995</v>
      </c>
      <c r="N37" s="19">
        <v>-536.79999999999995</v>
      </c>
      <c r="O37" s="19">
        <v>-411.4</v>
      </c>
      <c r="P37" s="19">
        <v>-240</v>
      </c>
      <c r="Q37" s="22">
        <v>-105.9</v>
      </c>
    </row>
    <row r="38" spans="1:17" x14ac:dyDescent="0.4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1"/>
    </row>
    <row r="39" spans="1:17" x14ac:dyDescent="0.45">
      <c r="A39" s="6" t="s">
        <v>403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21"/>
    </row>
    <row r="40" spans="1:17" x14ac:dyDescent="0.45">
      <c r="A40" s="10" t="s">
        <v>404</v>
      </c>
      <c r="B40" s="10" t="s">
        <v>405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6">
        <v>0</v>
      </c>
    </row>
    <row r="41" spans="1:17" x14ac:dyDescent="0.45">
      <c r="A41" s="10" t="s">
        <v>406</v>
      </c>
      <c r="B41" s="10" t="s">
        <v>407</v>
      </c>
      <c r="C41" s="13">
        <v>-65.900000000000006</v>
      </c>
      <c r="D41" s="13">
        <v>-32</v>
      </c>
      <c r="E41" s="13">
        <v>-74.400000000000006</v>
      </c>
      <c r="F41" s="13">
        <v>-53.1</v>
      </c>
      <c r="G41" s="13">
        <v>-0.1</v>
      </c>
      <c r="H41" s="13">
        <v>0</v>
      </c>
      <c r="I41" s="13">
        <v>0</v>
      </c>
      <c r="J41" s="13">
        <v>0</v>
      </c>
      <c r="K41" s="13">
        <v>0</v>
      </c>
      <c r="L41" s="13">
        <v>500</v>
      </c>
      <c r="M41" s="13">
        <v>300</v>
      </c>
      <c r="N41" s="13">
        <v>-45</v>
      </c>
      <c r="O41" s="13">
        <v>0</v>
      </c>
      <c r="P41" s="13">
        <v>0</v>
      </c>
      <c r="Q41" s="16">
        <v>0</v>
      </c>
    </row>
    <row r="42" spans="1:17" x14ac:dyDescent="0.45">
      <c r="A42" s="10" t="s">
        <v>408</v>
      </c>
      <c r="B42" s="10" t="s">
        <v>409</v>
      </c>
      <c r="C42" s="13" t="s">
        <v>100</v>
      </c>
      <c r="D42" s="13" t="s">
        <v>100</v>
      </c>
      <c r="E42" s="13" t="s">
        <v>100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6">
        <v>0</v>
      </c>
    </row>
    <row r="43" spans="1:17" x14ac:dyDescent="0.45">
      <c r="A43" s="10" t="s">
        <v>410</v>
      </c>
      <c r="B43" s="10" t="s">
        <v>411</v>
      </c>
      <c r="C43" s="13" t="s">
        <v>100</v>
      </c>
      <c r="D43" s="13" t="s">
        <v>100</v>
      </c>
      <c r="E43" s="13" t="s">
        <v>100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500</v>
      </c>
      <c r="M43" s="13">
        <v>375</v>
      </c>
      <c r="N43" s="13">
        <v>0</v>
      </c>
      <c r="O43" s="13">
        <v>0</v>
      </c>
      <c r="P43" s="13">
        <v>0</v>
      </c>
      <c r="Q43" s="16">
        <v>0</v>
      </c>
    </row>
    <row r="44" spans="1:17" x14ac:dyDescent="0.45">
      <c r="A44" s="10" t="s">
        <v>412</v>
      </c>
      <c r="B44" s="10" t="s">
        <v>413</v>
      </c>
      <c r="C44" s="13">
        <v>-65.900000000000006</v>
      </c>
      <c r="D44" s="13">
        <v>-32</v>
      </c>
      <c r="E44" s="13">
        <v>-74.400000000000006</v>
      </c>
      <c r="F44" s="13">
        <v>-53.1</v>
      </c>
      <c r="G44" s="13">
        <v>-0.1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-75</v>
      </c>
      <c r="N44" s="13">
        <v>-45</v>
      </c>
      <c r="O44" s="13">
        <v>0</v>
      </c>
      <c r="P44" s="13">
        <v>0</v>
      </c>
      <c r="Q44" s="16">
        <v>0</v>
      </c>
    </row>
    <row r="45" spans="1:17" x14ac:dyDescent="0.45">
      <c r="A45" s="10" t="s">
        <v>414</v>
      </c>
      <c r="B45" s="10" t="s">
        <v>415</v>
      </c>
      <c r="C45" s="13">
        <v>36.299999999999997</v>
      </c>
      <c r="D45" s="13">
        <v>22.3</v>
      </c>
      <c r="E45" s="13">
        <v>-47.2</v>
      </c>
      <c r="F45" s="13">
        <v>-69.2</v>
      </c>
      <c r="G45" s="13">
        <v>-175.9</v>
      </c>
      <c r="H45" s="13">
        <v>-294.3</v>
      </c>
      <c r="I45" s="13">
        <v>-282.5</v>
      </c>
      <c r="J45" s="13">
        <v>-294.7</v>
      </c>
      <c r="K45" s="13">
        <v>-257.7</v>
      </c>
      <c r="L45" s="13">
        <v>-67.5</v>
      </c>
      <c r="M45" s="13">
        <v>-202.5</v>
      </c>
      <c r="N45" s="13">
        <v>-200.3</v>
      </c>
      <c r="O45" s="13">
        <v>-244.2</v>
      </c>
      <c r="P45" s="13">
        <v>-230</v>
      </c>
      <c r="Q45" s="16">
        <v>-72.3</v>
      </c>
    </row>
    <row r="46" spans="1:17" x14ac:dyDescent="0.45">
      <c r="A46" s="10" t="s">
        <v>416</v>
      </c>
      <c r="B46" s="10" t="s">
        <v>417</v>
      </c>
      <c r="C46" s="13">
        <v>36.299999999999997</v>
      </c>
      <c r="D46" s="13">
        <v>35</v>
      </c>
      <c r="E46" s="13">
        <v>48.3</v>
      </c>
      <c r="F46" s="13">
        <v>47</v>
      </c>
      <c r="G46" s="13">
        <v>57.9</v>
      </c>
      <c r="H46" s="13">
        <v>43.6</v>
      </c>
      <c r="I46" s="13">
        <v>53.8</v>
      </c>
      <c r="J46" s="13">
        <v>52.5</v>
      </c>
      <c r="K46" s="13">
        <v>41</v>
      </c>
      <c r="L46" s="13">
        <v>34.1</v>
      </c>
      <c r="M46" s="13">
        <v>29.6</v>
      </c>
      <c r="N46" s="13">
        <v>31.4</v>
      </c>
      <c r="O46" s="13">
        <v>25.6</v>
      </c>
      <c r="P46" s="13">
        <v>30.1</v>
      </c>
      <c r="Q46" s="16">
        <v>14.5</v>
      </c>
    </row>
    <row r="47" spans="1:17" x14ac:dyDescent="0.45">
      <c r="A47" s="10" t="s">
        <v>418</v>
      </c>
      <c r="B47" s="10" t="s">
        <v>419</v>
      </c>
      <c r="C47" s="13">
        <v>0</v>
      </c>
      <c r="D47" s="13">
        <v>-12.7</v>
      </c>
      <c r="E47" s="13">
        <v>-95.5</v>
      </c>
      <c r="F47" s="13">
        <v>-116.1</v>
      </c>
      <c r="G47" s="13">
        <v>-233.8</v>
      </c>
      <c r="H47" s="13">
        <v>-337.9</v>
      </c>
      <c r="I47" s="13">
        <v>-336.3</v>
      </c>
      <c r="J47" s="13">
        <v>-347.2</v>
      </c>
      <c r="K47" s="13">
        <v>-298.7</v>
      </c>
      <c r="L47" s="13">
        <v>-101.5</v>
      </c>
      <c r="M47" s="13">
        <v>-232</v>
      </c>
      <c r="N47" s="13">
        <v>-231.7</v>
      </c>
      <c r="O47" s="13">
        <v>-269.8</v>
      </c>
      <c r="P47" s="13">
        <v>-260.10000000000002</v>
      </c>
      <c r="Q47" s="16">
        <v>-86.8</v>
      </c>
    </row>
    <row r="48" spans="1:17" x14ac:dyDescent="0.45">
      <c r="A48" s="10" t="s">
        <v>420</v>
      </c>
      <c r="B48" s="10" t="s">
        <v>421</v>
      </c>
      <c r="C48" s="13">
        <v>0</v>
      </c>
      <c r="D48" s="13">
        <v>0</v>
      </c>
      <c r="E48" s="13">
        <v>-3.2</v>
      </c>
      <c r="F48" s="13">
        <v>-7.4</v>
      </c>
      <c r="G48" s="13">
        <v>-9.6</v>
      </c>
      <c r="H48" s="13">
        <v>-5.6</v>
      </c>
      <c r="I48" s="13">
        <v>-6.1</v>
      </c>
      <c r="J48" s="13">
        <v>0</v>
      </c>
      <c r="K48" s="13">
        <v>-5</v>
      </c>
      <c r="L48" s="13">
        <v>-3.1</v>
      </c>
      <c r="M48" s="13">
        <v>-0.9</v>
      </c>
      <c r="N48" s="13">
        <v>-0.5</v>
      </c>
      <c r="O48" s="13">
        <v>-1.3</v>
      </c>
      <c r="P48" s="13">
        <v>-1.3</v>
      </c>
      <c r="Q48" s="16">
        <v>-2.9</v>
      </c>
    </row>
    <row r="49" spans="1:17" x14ac:dyDescent="0.45">
      <c r="A49" s="10" t="s">
        <v>369</v>
      </c>
      <c r="B49" s="10" t="s">
        <v>422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6">
        <v>0</v>
      </c>
    </row>
    <row r="50" spans="1:17" x14ac:dyDescent="0.45">
      <c r="A50" s="6" t="s">
        <v>403</v>
      </c>
      <c r="B50" s="6" t="s">
        <v>423</v>
      </c>
      <c r="C50" s="19">
        <v>-29.6</v>
      </c>
      <c r="D50" s="19">
        <v>-9.6999999999999993</v>
      </c>
      <c r="E50" s="19">
        <v>-124.8</v>
      </c>
      <c r="F50" s="19">
        <v>-129.80000000000001</v>
      </c>
      <c r="G50" s="19">
        <v>-185.6</v>
      </c>
      <c r="H50" s="19">
        <v>-299.89999999999998</v>
      </c>
      <c r="I50" s="19">
        <v>-288.60000000000002</v>
      </c>
      <c r="J50" s="19">
        <v>-294.7</v>
      </c>
      <c r="K50" s="19">
        <v>-262.7</v>
      </c>
      <c r="L50" s="19">
        <v>429.4</v>
      </c>
      <c r="M50" s="19">
        <v>96.6</v>
      </c>
      <c r="N50" s="19">
        <v>-245.9</v>
      </c>
      <c r="O50" s="19">
        <v>-245.5</v>
      </c>
      <c r="P50" s="19">
        <v>-231.3</v>
      </c>
      <c r="Q50" s="22">
        <v>-75.2</v>
      </c>
    </row>
    <row r="51" spans="1:17" x14ac:dyDescent="0.4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1"/>
    </row>
    <row r="52" spans="1:17" x14ac:dyDescent="0.45">
      <c r="A52" s="10" t="s">
        <v>424</v>
      </c>
      <c r="B52" s="10" t="s">
        <v>425</v>
      </c>
      <c r="C52" s="13">
        <v>6</v>
      </c>
      <c r="D52" s="13">
        <v>-7</v>
      </c>
      <c r="E52" s="13">
        <v>0.3</v>
      </c>
      <c r="F52" s="13">
        <v>-4.3</v>
      </c>
      <c r="G52" s="13">
        <v>-24.8</v>
      </c>
      <c r="H52" s="13">
        <v>-17.600000000000001</v>
      </c>
      <c r="I52" s="13">
        <v>-6.9</v>
      </c>
      <c r="J52" s="13">
        <v>20.7</v>
      </c>
      <c r="K52" s="13">
        <v>-14.4</v>
      </c>
      <c r="L52" s="13">
        <v>-0.8</v>
      </c>
      <c r="M52" s="13">
        <v>10.9</v>
      </c>
      <c r="N52" s="13">
        <v>-11.8</v>
      </c>
      <c r="O52" s="13">
        <v>-27.4</v>
      </c>
      <c r="P52" s="13">
        <v>0</v>
      </c>
      <c r="Q52" s="16">
        <v>17.3</v>
      </c>
    </row>
    <row r="53" spans="1:17" x14ac:dyDescent="0.45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21"/>
    </row>
    <row r="54" spans="1:17" x14ac:dyDescent="0.45">
      <c r="A54" s="6" t="s">
        <v>426</v>
      </c>
      <c r="B54" s="6" t="s">
        <v>427</v>
      </c>
      <c r="C54" s="19">
        <v>136.6</v>
      </c>
      <c r="D54" s="19">
        <v>-0.7</v>
      </c>
      <c r="E54" s="19">
        <v>104.9</v>
      </c>
      <c r="F54" s="19">
        <v>165.8</v>
      </c>
      <c r="G54" s="19">
        <v>45.6</v>
      </c>
      <c r="H54" s="19">
        <v>-3.9</v>
      </c>
      <c r="I54" s="19">
        <v>38.299999999999997</v>
      </c>
      <c r="J54" s="19">
        <v>59</v>
      </c>
      <c r="K54" s="19">
        <v>-104.4</v>
      </c>
      <c r="L54" s="19">
        <v>95</v>
      </c>
      <c r="M54" s="19">
        <v>40.6</v>
      </c>
      <c r="N54" s="19">
        <v>-245</v>
      </c>
      <c r="O54" s="19">
        <v>-53.3</v>
      </c>
      <c r="P54" s="19">
        <v>245.8</v>
      </c>
      <c r="Q54" s="22">
        <v>606.70000000000005</v>
      </c>
    </row>
    <row r="55" spans="1:17" x14ac:dyDescent="0.4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21"/>
    </row>
    <row r="56" spans="1:17" x14ac:dyDescent="0.45">
      <c r="A56" s="6" t="s">
        <v>428</v>
      </c>
      <c r="B56" s="6" t="s">
        <v>429</v>
      </c>
      <c r="C56" s="19">
        <v>131.9</v>
      </c>
      <c r="D56" s="19">
        <v>64.7</v>
      </c>
      <c r="E56" s="19">
        <v>103.2</v>
      </c>
      <c r="F56" s="19">
        <v>97.7</v>
      </c>
      <c r="G56" s="19">
        <v>118</v>
      </c>
      <c r="H56" s="19">
        <v>107.2</v>
      </c>
      <c r="I56" s="19">
        <v>118.5</v>
      </c>
      <c r="J56" s="19">
        <v>116.4</v>
      </c>
      <c r="K56" s="19">
        <v>87.2</v>
      </c>
      <c r="L56" s="19">
        <v>86.8</v>
      </c>
      <c r="M56" s="19">
        <v>54.2</v>
      </c>
      <c r="N56" s="19">
        <v>130.4</v>
      </c>
      <c r="O56" s="19">
        <v>115.3</v>
      </c>
      <c r="P56" s="19">
        <v>144.1</v>
      </c>
      <c r="Q56" s="22">
        <v>157.69999999999999</v>
      </c>
    </row>
    <row r="57" spans="1:17" x14ac:dyDescent="0.45">
      <c r="A57" s="6" t="s">
        <v>430</v>
      </c>
      <c r="B57" s="6" t="s">
        <v>431</v>
      </c>
      <c r="C57" s="19">
        <v>3</v>
      </c>
      <c r="D57" s="19">
        <v>1.9</v>
      </c>
      <c r="E57" s="19">
        <v>2</v>
      </c>
      <c r="F57" s="19">
        <v>0.7</v>
      </c>
      <c r="G57" s="19">
        <v>0.6</v>
      </c>
      <c r="H57" s="19">
        <v>0.6</v>
      </c>
      <c r="I57" s="19">
        <v>0.8</v>
      </c>
      <c r="J57" s="19">
        <v>0.2</v>
      </c>
      <c r="K57" s="19">
        <v>0.1</v>
      </c>
      <c r="L57" s="19">
        <v>0.8</v>
      </c>
      <c r="M57" s="19">
        <v>11.9</v>
      </c>
      <c r="N57" s="19">
        <v>11.1</v>
      </c>
      <c r="O57" s="19">
        <v>20.8</v>
      </c>
      <c r="P57" s="19">
        <v>46.1</v>
      </c>
      <c r="Q57" s="22">
        <v>48.7</v>
      </c>
    </row>
    <row r="58" spans="1:17" x14ac:dyDescent="0.4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21"/>
    </row>
    <row r="59" spans="1:17" x14ac:dyDescent="0.45">
      <c r="A59" s="6" t="s">
        <v>161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21"/>
    </row>
    <row r="60" spans="1:17" x14ac:dyDescent="0.45">
      <c r="A60" s="10" t="s">
        <v>165</v>
      </c>
      <c r="B60" s="10" t="s">
        <v>165</v>
      </c>
      <c r="C60" s="13">
        <v>280.10000000000002</v>
      </c>
      <c r="D60" s="13">
        <v>331.5</v>
      </c>
      <c r="E60" s="13">
        <v>379.7</v>
      </c>
      <c r="F60" s="13">
        <v>402.6</v>
      </c>
      <c r="G60" s="13">
        <v>429.4</v>
      </c>
      <c r="H60" s="13">
        <v>431.3</v>
      </c>
      <c r="I60" s="13">
        <v>445.8</v>
      </c>
      <c r="J60" s="13">
        <v>458.4</v>
      </c>
      <c r="K60" s="13">
        <v>535.79999999999995</v>
      </c>
      <c r="L60" s="13">
        <v>598.1</v>
      </c>
      <c r="M60" s="13">
        <v>606.4</v>
      </c>
      <c r="N60" s="13">
        <v>648.5</v>
      </c>
      <c r="O60" s="13">
        <v>734.8</v>
      </c>
      <c r="P60" s="13">
        <v>787.1</v>
      </c>
      <c r="Q60" s="16">
        <v>864.9</v>
      </c>
    </row>
    <row r="61" spans="1:17" x14ac:dyDescent="0.45">
      <c r="A61" s="10" t="s">
        <v>432</v>
      </c>
      <c r="B61" s="10" t="s">
        <v>167</v>
      </c>
      <c r="C61" s="14">
        <v>48.27</v>
      </c>
      <c r="D61" s="14">
        <v>47.94</v>
      </c>
      <c r="E61" s="14">
        <v>47.58</v>
      </c>
      <c r="F61" s="14">
        <v>46.74</v>
      </c>
      <c r="G61" s="14">
        <v>45.87</v>
      </c>
      <c r="H61" s="14">
        <v>45.75</v>
      </c>
      <c r="I61" s="14">
        <v>45.1</v>
      </c>
      <c r="J61" s="14">
        <v>41.85</v>
      </c>
      <c r="K61" s="14">
        <v>41.42</v>
      </c>
      <c r="L61" s="14">
        <v>39.450000000000003</v>
      </c>
      <c r="M61" s="14">
        <v>36.07</v>
      </c>
      <c r="N61" s="14">
        <v>34.01</v>
      </c>
      <c r="O61" s="14">
        <v>35.57</v>
      </c>
      <c r="P61" s="14">
        <v>34.68</v>
      </c>
      <c r="Q61" s="17">
        <v>35.049999999999997</v>
      </c>
    </row>
    <row r="62" spans="1:17" x14ac:dyDescent="0.45">
      <c r="A62" s="10" t="s">
        <v>433</v>
      </c>
      <c r="B62" s="10" t="s">
        <v>434</v>
      </c>
      <c r="C62" s="13">
        <v>0</v>
      </c>
      <c r="D62" s="13">
        <v>269.5</v>
      </c>
      <c r="E62" s="13">
        <v>45.1</v>
      </c>
      <c r="F62" s="13">
        <v>4.2</v>
      </c>
      <c r="G62" s="13">
        <v>103</v>
      </c>
      <c r="H62" s="13">
        <v>46.1</v>
      </c>
      <c r="I62" s="13">
        <v>7.9</v>
      </c>
      <c r="J62" s="13">
        <v>63.9</v>
      </c>
      <c r="K62" s="13">
        <v>283</v>
      </c>
      <c r="L62" s="13">
        <v>787.2</v>
      </c>
      <c r="M62" s="13">
        <v>572.29999999999995</v>
      </c>
      <c r="N62" s="13">
        <v>510.8</v>
      </c>
      <c r="O62" s="13">
        <v>386.3</v>
      </c>
      <c r="P62" s="13">
        <v>208.9</v>
      </c>
      <c r="Q62" s="16">
        <v>12.7</v>
      </c>
    </row>
    <row r="63" spans="1:17" x14ac:dyDescent="0.45">
      <c r="A63" s="10" t="s">
        <v>435</v>
      </c>
      <c r="B63" s="10" t="s">
        <v>436</v>
      </c>
      <c r="C63" s="13">
        <v>11.8</v>
      </c>
      <c r="D63" s="13">
        <v>10</v>
      </c>
      <c r="E63" s="13">
        <v>13.9</v>
      </c>
      <c r="F63" s="13">
        <v>10</v>
      </c>
      <c r="G63" s="13">
        <v>14.5</v>
      </c>
      <c r="H63" s="13" t="s">
        <v>100</v>
      </c>
      <c r="I63" s="13" t="s">
        <v>100</v>
      </c>
      <c r="J63" s="13" t="s">
        <v>100</v>
      </c>
      <c r="K63" s="13" t="s">
        <v>100</v>
      </c>
      <c r="L63" s="13" t="s">
        <v>100</v>
      </c>
      <c r="M63" s="13" t="s">
        <v>100</v>
      </c>
      <c r="N63" s="13" t="s">
        <v>100</v>
      </c>
      <c r="O63" s="13" t="s">
        <v>100</v>
      </c>
      <c r="P63" s="13" t="s">
        <v>100</v>
      </c>
      <c r="Q63" s="16"/>
    </row>
    <row r="64" spans="1:17" x14ac:dyDescent="0.45">
      <c r="A64" s="10" t="s">
        <v>437</v>
      </c>
      <c r="B64" s="10" t="s">
        <v>438</v>
      </c>
      <c r="C64" s="13">
        <v>152.6</v>
      </c>
      <c r="D64" s="13">
        <v>285.60000000000002</v>
      </c>
      <c r="E64" s="13">
        <v>274.39999999999998</v>
      </c>
      <c r="F64" s="13">
        <v>304.10000000000002</v>
      </c>
      <c r="G64" s="13">
        <v>359.3</v>
      </c>
      <c r="H64" s="13">
        <v>359.6</v>
      </c>
      <c r="I64" s="13">
        <v>353.5</v>
      </c>
      <c r="J64" s="13">
        <v>408.5</v>
      </c>
      <c r="K64" s="13">
        <v>463.2</v>
      </c>
      <c r="L64" s="13">
        <v>455</v>
      </c>
      <c r="M64" s="13">
        <v>511.9</v>
      </c>
      <c r="N64" s="13">
        <v>526.5</v>
      </c>
      <c r="O64" s="13">
        <v>606.6</v>
      </c>
      <c r="P64" s="13">
        <v>691.8</v>
      </c>
      <c r="Q64" s="16">
        <v>729.5</v>
      </c>
    </row>
    <row r="65" spans="1:17" x14ac:dyDescent="0.45">
      <c r="A65" s="10" t="s">
        <v>439</v>
      </c>
      <c r="B65" s="10" t="s">
        <v>440</v>
      </c>
      <c r="C65" s="13">
        <v>155.80000000000001</v>
      </c>
      <c r="D65" s="13">
        <v>287.89999999999998</v>
      </c>
      <c r="E65" s="13">
        <v>276.3</v>
      </c>
      <c r="F65" s="13">
        <v>305</v>
      </c>
      <c r="G65" s="13">
        <v>359.9</v>
      </c>
      <c r="H65" s="13">
        <v>359.6</v>
      </c>
      <c r="I65" s="13">
        <v>353.5</v>
      </c>
      <c r="J65" s="13">
        <v>408.5</v>
      </c>
      <c r="K65" s="13">
        <v>463.2</v>
      </c>
      <c r="L65" s="13">
        <v>458</v>
      </c>
      <c r="M65" s="13">
        <v>521.6</v>
      </c>
      <c r="N65" s="13">
        <v>537.4</v>
      </c>
      <c r="O65" s="13">
        <v>627.29999999999995</v>
      </c>
      <c r="P65" s="13">
        <v>731.6</v>
      </c>
      <c r="Q65" s="16">
        <v>770.5</v>
      </c>
    </row>
    <row r="66" spans="1:17" x14ac:dyDescent="0.45">
      <c r="A66" s="10" t="s">
        <v>441</v>
      </c>
      <c r="B66" s="10" t="s">
        <v>442</v>
      </c>
      <c r="C66" s="13">
        <v>86.7</v>
      </c>
      <c r="D66" s="13">
        <v>253.6</v>
      </c>
      <c r="E66" s="13">
        <v>200</v>
      </c>
      <c r="F66" s="13">
        <v>251</v>
      </c>
      <c r="G66" s="13">
        <v>359.2</v>
      </c>
      <c r="H66" s="13">
        <v>359.5</v>
      </c>
      <c r="I66" s="13">
        <v>353.5</v>
      </c>
      <c r="J66" s="13">
        <v>408.5</v>
      </c>
      <c r="K66" s="13">
        <v>463.2</v>
      </c>
      <c r="L66" s="13">
        <v>955</v>
      </c>
      <c r="M66" s="13">
        <v>811.9</v>
      </c>
      <c r="N66" s="13">
        <v>481.5</v>
      </c>
      <c r="O66" s="13">
        <v>606.6</v>
      </c>
      <c r="P66" s="13">
        <v>691.8</v>
      </c>
      <c r="Q66" s="16">
        <v>729.5</v>
      </c>
    </row>
    <row r="67" spans="1:17" x14ac:dyDescent="0.45">
      <c r="A67" s="10" t="s">
        <v>443</v>
      </c>
      <c r="B67" s="10" t="s">
        <v>444</v>
      </c>
      <c r="C67" s="14">
        <v>1.68</v>
      </c>
      <c r="D67" s="14">
        <v>3.1</v>
      </c>
      <c r="E67" s="14">
        <v>2.96</v>
      </c>
      <c r="F67" s="14">
        <v>3.28</v>
      </c>
      <c r="G67" s="14">
        <v>3.9</v>
      </c>
      <c r="H67" s="14">
        <v>4.01</v>
      </c>
      <c r="I67" s="14">
        <v>4.05</v>
      </c>
      <c r="J67" s="14">
        <v>4.8099999999999996</v>
      </c>
      <c r="K67" s="14">
        <v>5.52</v>
      </c>
      <c r="L67" s="14">
        <v>5.4</v>
      </c>
      <c r="M67" s="14">
        <v>5.96</v>
      </c>
      <c r="N67" s="14">
        <v>6.04</v>
      </c>
      <c r="O67" s="14">
        <v>6.97</v>
      </c>
      <c r="P67" s="14">
        <v>7.97</v>
      </c>
      <c r="Q67" s="17">
        <v>8.3699999999999992</v>
      </c>
    </row>
    <row r="68" spans="1:17" x14ac:dyDescent="0.45">
      <c r="A68" s="10" t="s">
        <v>445</v>
      </c>
      <c r="B68" s="10" t="s">
        <v>446</v>
      </c>
      <c r="C68" s="14">
        <v>30.94</v>
      </c>
      <c r="D68" s="14">
        <v>18.48</v>
      </c>
      <c r="E68" s="14">
        <v>22.73</v>
      </c>
      <c r="F68" s="14">
        <v>26.58</v>
      </c>
      <c r="G68" s="14">
        <v>21.01</v>
      </c>
      <c r="H68" s="14">
        <v>23.04</v>
      </c>
      <c r="I68" s="14">
        <v>22.82</v>
      </c>
      <c r="J68" s="14">
        <v>30.71</v>
      </c>
      <c r="K68" s="14">
        <v>25.91</v>
      </c>
      <c r="L68" s="14">
        <v>47.67</v>
      </c>
      <c r="M68" s="14">
        <v>61</v>
      </c>
      <c r="N68" s="14">
        <v>66.36</v>
      </c>
      <c r="O68" s="14">
        <v>34.67</v>
      </c>
      <c r="P68" s="14">
        <v>45.55</v>
      </c>
      <c r="Q68" s="17">
        <v>41.39</v>
      </c>
    </row>
    <row r="69" spans="1:17" x14ac:dyDescent="0.45">
      <c r="A69" s="10" t="s">
        <v>447</v>
      </c>
      <c r="B69" s="10" t="s">
        <v>448</v>
      </c>
      <c r="C69" s="14">
        <v>1.0900000000000001</v>
      </c>
      <c r="D69" s="14">
        <v>1.7</v>
      </c>
      <c r="E69" s="14">
        <v>1.47</v>
      </c>
      <c r="F69" s="14">
        <v>1.36</v>
      </c>
      <c r="G69" s="14">
        <v>1.51</v>
      </c>
      <c r="H69" s="14">
        <v>1.49</v>
      </c>
      <c r="I69" s="14">
        <v>1.38</v>
      </c>
      <c r="J69" s="14">
        <v>1.65</v>
      </c>
      <c r="K69" s="14">
        <v>1.1599999999999999</v>
      </c>
      <c r="L69" s="14">
        <v>1.1100000000000001</v>
      </c>
      <c r="M69" s="14">
        <v>1.26</v>
      </c>
      <c r="N69" s="14">
        <v>1.21</v>
      </c>
      <c r="O69" s="14">
        <v>1.2</v>
      </c>
      <c r="P69" s="14">
        <v>1.43</v>
      </c>
      <c r="Q69" s="17">
        <v>1.36</v>
      </c>
    </row>
    <row r="70" spans="1:17" x14ac:dyDescent="0.45">
      <c r="A70" s="7" t="s">
        <v>69</v>
      </c>
      <c r="B70" s="7"/>
      <c r="C70" s="7" t="s">
        <v>70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"/>
  <sheetViews>
    <sheetView workbookViewId="0">
      <selection activeCell="A6" sqref="A6"/>
    </sheetView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65" x14ac:dyDescent="0.45">
      <c r="A2" s="8" t="s">
        <v>449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 x14ac:dyDescent="0.45">
      <c r="A6" s="6" t="s">
        <v>450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x14ac:dyDescent="0.45">
      <c r="A7" s="10" t="s">
        <v>451</v>
      </c>
      <c r="B7" s="10" t="s">
        <v>452</v>
      </c>
      <c r="C7" s="14">
        <v>9.33</v>
      </c>
      <c r="D7" s="14">
        <v>10.77</v>
      </c>
      <c r="E7" s="14">
        <v>11</v>
      </c>
      <c r="F7" s="14">
        <v>11.01</v>
      </c>
      <c r="G7" s="14">
        <v>12.04</v>
      </c>
      <c r="H7" s="14">
        <v>11.7</v>
      </c>
      <c r="I7" s="14">
        <v>11.45</v>
      </c>
      <c r="J7" s="14">
        <v>12.07</v>
      </c>
      <c r="K7" s="14">
        <v>11.64</v>
      </c>
      <c r="L7" s="14">
        <v>17.13</v>
      </c>
      <c r="M7" s="14">
        <v>14.79</v>
      </c>
      <c r="N7" s="14">
        <v>11.49</v>
      </c>
      <c r="O7" s="14">
        <v>10.6</v>
      </c>
      <c r="P7" s="14">
        <v>11.2</v>
      </c>
      <c r="Q7" s="14">
        <v>9.76</v>
      </c>
    </row>
    <row r="8" spans="1:17" x14ac:dyDescent="0.45">
      <c r="A8" s="10" t="s">
        <v>453</v>
      </c>
      <c r="B8" s="10" t="s">
        <v>454</v>
      </c>
      <c r="C8" s="14">
        <v>6.15</v>
      </c>
      <c r="D8" s="14">
        <v>7.57</v>
      </c>
      <c r="E8" s="14">
        <v>7.9</v>
      </c>
      <c r="F8" s="14">
        <v>8.0500000000000007</v>
      </c>
      <c r="G8" s="14">
        <v>9.2100000000000009</v>
      </c>
      <c r="H8" s="14">
        <v>9.3000000000000007</v>
      </c>
      <c r="I8" s="14">
        <v>9.2100000000000009</v>
      </c>
      <c r="J8" s="14">
        <v>9.61</v>
      </c>
      <c r="K8" s="14">
        <v>9.0299999999999994</v>
      </c>
      <c r="L8" s="14">
        <v>13.51</v>
      </c>
      <c r="M8" s="14">
        <v>11.14</v>
      </c>
      <c r="N8" s="14">
        <v>8.0500000000000007</v>
      </c>
      <c r="O8" s="14">
        <v>7.41</v>
      </c>
      <c r="P8" s="14">
        <v>8.0500000000000007</v>
      </c>
      <c r="Q8" s="14">
        <v>7.14</v>
      </c>
    </row>
    <row r="9" spans="1:17" x14ac:dyDescent="0.45">
      <c r="A9" s="10" t="s">
        <v>455</v>
      </c>
      <c r="B9" s="10" t="s">
        <v>456</v>
      </c>
      <c r="C9" s="14">
        <v>8.2200000000000006</v>
      </c>
      <c r="D9" s="14">
        <v>9.69</v>
      </c>
      <c r="E9" s="14">
        <v>10.24</v>
      </c>
      <c r="F9" s="14">
        <v>10.6</v>
      </c>
      <c r="G9" s="14">
        <v>11.92</v>
      </c>
      <c r="H9" s="14">
        <v>11.73</v>
      </c>
      <c r="I9" s="14">
        <v>11.45</v>
      </c>
      <c r="J9" s="14">
        <v>12.07</v>
      </c>
      <c r="K9" s="14">
        <v>11.64</v>
      </c>
      <c r="L9" s="14">
        <v>17.13</v>
      </c>
      <c r="M9" s="14">
        <v>13.54</v>
      </c>
      <c r="N9" s="14">
        <v>9.75</v>
      </c>
      <c r="O9" s="14">
        <v>8.9499999999999993</v>
      </c>
      <c r="P9" s="14">
        <v>9.7899999999999991</v>
      </c>
      <c r="Q9" s="14">
        <v>8.99</v>
      </c>
    </row>
    <row r="10" spans="1:17" x14ac:dyDescent="0.45">
      <c r="A10" s="10" t="s">
        <v>457</v>
      </c>
      <c r="B10" s="10" t="s">
        <v>458</v>
      </c>
      <c r="C10" s="14">
        <v>7.55</v>
      </c>
      <c r="D10" s="14">
        <v>9.0500000000000007</v>
      </c>
      <c r="E10" s="14">
        <v>9.64</v>
      </c>
      <c r="F10" s="14">
        <v>10.02</v>
      </c>
      <c r="G10" s="14">
        <v>11.43</v>
      </c>
      <c r="H10" s="14">
        <v>11.51</v>
      </c>
      <c r="I10" s="14">
        <v>11.4</v>
      </c>
      <c r="J10" s="14">
        <v>12.07</v>
      </c>
      <c r="K10" s="14">
        <v>11.64</v>
      </c>
      <c r="L10" s="14">
        <v>16.79</v>
      </c>
      <c r="M10" s="14">
        <v>13.07</v>
      </c>
      <c r="N10" s="14">
        <v>9.3800000000000008</v>
      </c>
      <c r="O10" s="14">
        <v>8.52</v>
      </c>
      <c r="P10" s="14">
        <v>9.61</v>
      </c>
      <c r="Q10" s="14">
        <v>8.84</v>
      </c>
    </row>
    <row r="11" spans="1:17" x14ac:dyDescent="0.4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45">
      <c r="A12" s="6" t="s">
        <v>459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x14ac:dyDescent="0.45">
      <c r="A13" s="10" t="s">
        <v>170</v>
      </c>
      <c r="B13" s="10" t="s">
        <v>171</v>
      </c>
      <c r="C13" s="14">
        <v>81.19</v>
      </c>
      <c r="D13" s="14">
        <v>82.61</v>
      </c>
      <c r="E13" s="14">
        <v>82.79</v>
      </c>
      <c r="F13" s="14">
        <v>82.52</v>
      </c>
      <c r="G13" s="14">
        <v>82.97</v>
      </c>
      <c r="H13" s="14">
        <v>83.61</v>
      </c>
      <c r="I13" s="14">
        <v>84.38</v>
      </c>
      <c r="J13" s="14">
        <v>85.14</v>
      </c>
      <c r="K13" s="14">
        <v>86.29</v>
      </c>
      <c r="L13" s="14">
        <v>87.95</v>
      </c>
      <c r="M13" s="14">
        <v>89.03</v>
      </c>
      <c r="N13" s="14">
        <v>86.6</v>
      </c>
      <c r="O13" s="14">
        <v>86.47</v>
      </c>
      <c r="P13" s="14">
        <v>87.87</v>
      </c>
      <c r="Q13" s="14">
        <v>88.05</v>
      </c>
    </row>
    <row r="14" spans="1:17" x14ac:dyDescent="0.45">
      <c r="A14" s="10" t="s">
        <v>460</v>
      </c>
      <c r="B14" s="10" t="s">
        <v>461</v>
      </c>
      <c r="C14" s="14">
        <v>47.91</v>
      </c>
      <c r="D14" s="14">
        <v>48.27</v>
      </c>
      <c r="E14" s="14">
        <v>47.94</v>
      </c>
      <c r="F14" s="14">
        <v>47.58</v>
      </c>
      <c r="G14" s="14">
        <v>46.74</v>
      </c>
      <c r="H14" s="14">
        <v>45.87</v>
      </c>
      <c r="I14" s="14">
        <v>45.75</v>
      </c>
      <c r="J14" s="14">
        <v>45.1</v>
      </c>
      <c r="K14" s="14">
        <v>41.85</v>
      </c>
      <c r="L14" s="14">
        <v>41.42</v>
      </c>
      <c r="M14" s="14">
        <v>39.450000000000003</v>
      </c>
      <c r="N14" s="14">
        <v>36.07</v>
      </c>
      <c r="O14" s="14">
        <v>34.01</v>
      </c>
      <c r="P14" s="14">
        <v>35.57</v>
      </c>
      <c r="Q14" s="14">
        <v>34.68</v>
      </c>
    </row>
    <row r="15" spans="1:17" x14ac:dyDescent="0.45">
      <c r="A15" s="10" t="s">
        <v>172</v>
      </c>
      <c r="B15" s="10" t="s">
        <v>173</v>
      </c>
      <c r="C15" s="14">
        <v>35.5</v>
      </c>
      <c r="D15" s="14">
        <v>37.79</v>
      </c>
      <c r="E15" s="14">
        <v>38.409999999999997</v>
      </c>
      <c r="F15" s="14">
        <v>36.869999999999997</v>
      </c>
      <c r="G15" s="14">
        <v>37.369999999999997</v>
      </c>
      <c r="H15" s="14">
        <v>37.119999999999997</v>
      </c>
      <c r="I15" s="14">
        <v>37.520000000000003</v>
      </c>
      <c r="J15" s="14">
        <v>38.06</v>
      </c>
      <c r="K15" s="14">
        <v>35.67</v>
      </c>
      <c r="L15" s="14">
        <v>36.840000000000003</v>
      </c>
      <c r="M15" s="14">
        <v>33.979999999999997</v>
      </c>
      <c r="N15" s="14">
        <v>29.52</v>
      </c>
      <c r="O15" s="14">
        <v>26.92</v>
      </c>
      <c r="P15" s="14">
        <v>28.69</v>
      </c>
      <c r="Q15" s="14">
        <v>27.58</v>
      </c>
    </row>
    <row r="16" spans="1:17" x14ac:dyDescent="0.45">
      <c r="A16" s="10" t="s">
        <v>462</v>
      </c>
      <c r="B16" s="10" t="s">
        <v>463</v>
      </c>
      <c r="C16" s="14">
        <v>35.659999999999997</v>
      </c>
      <c r="D16" s="14">
        <v>56.5</v>
      </c>
      <c r="E16" s="14">
        <v>41.62</v>
      </c>
      <c r="F16" s="14">
        <v>26.93</v>
      </c>
      <c r="G16" s="14">
        <v>43.66</v>
      </c>
      <c r="H16" s="14">
        <v>34.229999999999997</v>
      </c>
      <c r="I16" s="14">
        <v>92.53</v>
      </c>
      <c r="J16" s="14">
        <v>49.36</v>
      </c>
      <c r="K16" s="14">
        <v>13.57</v>
      </c>
      <c r="L16" s="14">
        <v>43.27</v>
      </c>
      <c r="M16" s="14">
        <v>17.309999999999999</v>
      </c>
      <c r="N16" s="14" t="s">
        <v>100</v>
      </c>
      <c r="O16" s="14">
        <v>7.5</v>
      </c>
      <c r="P16" s="14">
        <v>49.98</v>
      </c>
      <c r="Q16" s="14">
        <v>16.38</v>
      </c>
    </row>
    <row r="17" spans="1:17" x14ac:dyDescent="0.45">
      <c r="A17" s="10" t="s">
        <v>464</v>
      </c>
      <c r="B17" s="10" t="s">
        <v>465</v>
      </c>
      <c r="C17" s="14">
        <v>33.57</v>
      </c>
      <c r="D17" s="14">
        <v>37.29</v>
      </c>
      <c r="E17" s="14">
        <v>38.299999999999997</v>
      </c>
      <c r="F17" s="14">
        <v>36.78</v>
      </c>
      <c r="G17" s="14">
        <v>37.44</v>
      </c>
      <c r="H17" s="14">
        <v>37.19</v>
      </c>
      <c r="I17" s="14">
        <v>37.840000000000003</v>
      </c>
      <c r="J17" s="14">
        <v>38.479999999999997</v>
      </c>
      <c r="K17" s="14">
        <v>36.130000000000003</v>
      </c>
      <c r="L17" s="14">
        <v>37.65</v>
      </c>
      <c r="M17" s="14">
        <v>34.47</v>
      </c>
      <c r="N17" s="14">
        <v>29.38</v>
      </c>
      <c r="O17" s="14">
        <v>27.03</v>
      </c>
      <c r="P17" s="14">
        <v>27.85</v>
      </c>
      <c r="Q17" s="14">
        <v>26.09</v>
      </c>
    </row>
    <row r="18" spans="1:17" x14ac:dyDescent="0.45">
      <c r="A18" s="10" t="s">
        <v>466</v>
      </c>
      <c r="B18" s="10" t="s">
        <v>467</v>
      </c>
      <c r="C18" s="14">
        <v>22.52</v>
      </c>
      <c r="D18" s="14">
        <v>26.39</v>
      </c>
      <c r="E18" s="14">
        <v>26.13</v>
      </c>
      <c r="F18" s="14">
        <v>25.5</v>
      </c>
      <c r="G18" s="14">
        <v>28.48</v>
      </c>
      <c r="H18" s="14">
        <v>27.21</v>
      </c>
      <c r="I18" s="14">
        <v>26.79</v>
      </c>
      <c r="J18" s="14">
        <v>26.87</v>
      </c>
      <c r="K18" s="14">
        <v>23.67</v>
      </c>
      <c r="L18" s="14">
        <v>32.42</v>
      </c>
      <c r="M18" s="14">
        <v>29.77</v>
      </c>
      <c r="N18" s="14">
        <v>25.81</v>
      </c>
      <c r="O18" s="14">
        <v>23.84</v>
      </c>
      <c r="P18" s="14">
        <v>25.35</v>
      </c>
      <c r="Q18" s="14">
        <v>22.05</v>
      </c>
    </row>
    <row r="19" spans="1:17" x14ac:dyDescent="0.45">
      <c r="A19" s="10" t="s">
        <v>468</v>
      </c>
      <c r="B19" s="10" t="s">
        <v>175</v>
      </c>
      <c r="C19" s="14">
        <v>22.52</v>
      </c>
      <c r="D19" s="14">
        <v>26.39</v>
      </c>
      <c r="E19" s="14">
        <v>26.13</v>
      </c>
      <c r="F19" s="14">
        <v>25.5</v>
      </c>
      <c r="G19" s="14">
        <v>28.48</v>
      </c>
      <c r="H19" s="14">
        <v>27.21</v>
      </c>
      <c r="I19" s="14">
        <v>26.79</v>
      </c>
      <c r="J19" s="14">
        <v>26.87</v>
      </c>
      <c r="K19" s="14">
        <v>23.67</v>
      </c>
      <c r="L19" s="14">
        <v>32.42</v>
      </c>
      <c r="M19" s="14">
        <v>29.77</v>
      </c>
      <c r="N19" s="14">
        <v>25.81</v>
      </c>
      <c r="O19" s="14">
        <v>23.84</v>
      </c>
      <c r="P19" s="14">
        <v>25.35</v>
      </c>
      <c r="Q19" s="14">
        <v>22.05</v>
      </c>
    </row>
    <row r="20" spans="1:17" x14ac:dyDescent="0.45">
      <c r="A20" s="10" t="s">
        <v>469</v>
      </c>
      <c r="B20" s="10" t="s">
        <v>470</v>
      </c>
      <c r="C20" s="14">
        <v>22.52</v>
      </c>
      <c r="D20" s="14">
        <v>26.39</v>
      </c>
      <c r="E20" s="14">
        <v>26.13</v>
      </c>
      <c r="F20" s="14">
        <v>25.5</v>
      </c>
      <c r="G20" s="14">
        <v>28.48</v>
      </c>
      <c r="H20" s="14">
        <v>27.21</v>
      </c>
      <c r="I20" s="14">
        <v>26.79</v>
      </c>
      <c r="J20" s="14">
        <v>26.87</v>
      </c>
      <c r="K20" s="14">
        <v>23.67</v>
      </c>
      <c r="L20" s="14">
        <v>32.42</v>
      </c>
      <c r="M20" s="14">
        <v>29.77</v>
      </c>
      <c r="N20" s="14">
        <v>25.81</v>
      </c>
      <c r="O20" s="14">
        <v>23.84</v>
      </c>
      <c r="P20" s="14">
        <v>25.35</v>
      </c>
      <c r="Q20" s="14">
        <v>22.05</v>
      </c>
    </row>
    <row r="21" spans="1:17" x14ac:dyDescent="0.4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45">
      <c r="A22" s="6" t="s">
        <v>471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x14ac:dyDescent="0.45">
      <c r="A23" s="10" t="s">
        <v>472</v>
      </c>
      <c r="B23" s="10" t="s">
        <v>473</v>
      </c>
      <c r="C23" s="14">
        <v>32.93</v>
      </c>
      <c r="D23" s="14">
        <v>29.23</v>
      </c>
      <c r="E23" s="14">
        <v>31.78</v>
      </c>
      <c r="F23" s="14">
        <v>30.68</v>
      </c>
      <c r="G23" s="14">
        <v>23.93</v>
      </c>
      <c r="H23" s="14">
        <v>26.84</v>
      </c>
      <c r="I23" s="14">
        <v>29.22</v>
      </c>
      <c r="J23" s="14">
        <v>30.15</v>
      </c>
      <c r="K23" s="14">
        <v>34.479999999999997</v>
      </c>
      <c r="L23" s="14">
        <v>13.9</v>
      </c>
      <c r="M23" s="14">
        <v>13.64</v>
      </c>
      <c r="N23" s="14">
        <v>12.16</v>
      </c>
      <c r="O23" s="14">
        <v>11.78</v>
      </c>
      <c r="P23" s="14">
        <v>8.9700000000000006</v>
      </c>
      <c r="Q23" s="14">
        <v>15.49</v>
      </c>
    </row>
    <row r="24" spans="1:17" x14ac:dyDescent="0.45">
      <c r="A24" s="10" t="s">
        <v>474</v>
      </c>
      <c r="B24" s="10" t="s">
        <v>475</v>
      </c>
      <c r="C24" s="14">
        <v>0</v>
      </c>
      <c r="D24" s="14" t="s">
        <v>100</v>
      </c>
      <c r="E24" s="14" t="s">
        <v>100</v>
      </c>
      <c r="F24" s="14" t="s">
        <v>100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</row>
    <row r="25" spans="1:17" x14ac:dyDescent="0.45">
      <c r="A25" s="10" t="s">
        <v>476</v>
      </c>
      <c r="B25" s="10" t="s">
        <v>477</v>
      </c>
      <c r="C25" s="14">
        <v>9.33</v>
      </c>
      <c r="D25" s="14" t="s">
        <v>100</v>
      </c>
      <c r="E25" s="14" t="s">
        <v>100</v>
      </c>
      <c r="F25" s="14" t="s">
        <v>100</v>
      </c>
      <c r="G25" s="14">
        <v>12.04</v>
      </c>
      <c r="H25" s="14">
        <v>11.7</v>
      </c>
      <c r="I25" s="14">
        <v>11.45</v>
      </c>
      <c r="J25" s="14">
        <v>12.07</v>
      </c>
      <c r="K25" s="14">
        <v>11.64</v>
      </c>
      <c r="L25" s="14">
        <v>17.13</v>
      </c>
      <c r="M25" s="14">
        <v>14.79</v>
      </c>
      <c r="N25" s="14">
        <v>11.49</v>
      </c>
      <c r="O25" s="14">
        <v>10.6</v>
      </c>
      <c r="P25" s="14">
        <v>11.2</v>
      </c>
      <c r="Q25" s="14">
        <v>9.76</v>
      </c>
    </row>
    <row r="26" spans="1:17" x14ac:dyDescent="0.45">
      <c r="A26" s="7" t="s">
        <v>69</v>
      </c>
      <c r="B26" s="7"/>
      <c r="C26" s="7" t="s">
        <v>70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1"/>
  <sheetViews>
    <sheetView workbookViewId="0">
      <selection activeCell="A2" sqref="A2"/>
    </sheetView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65" x14ac:dyDescent="0.45">
      <c r="A2" s="8" t="s">
        <v>478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 x14ac:dyDescent="0.45">
      <c r="A6" s="10" t="s">
        <v>479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45">
      <c r="A7" s="10" t="s">
        <v>480</v>
      </c>
      <c r="B7" s="10" t="s">
        <v>481</v>
      </c>
      <c r="C7" s="14" t="e">
        <f ca="1">_xll.BDH("ANSS US Equity","ESG_DISCLOSURE_SCORE","FY 2009","FY 2009","Currency=USD","Period=FY","BEST_FPERIOD_OVERRIDE=FY","FILING_STATUS=MR","Sort=A","Dates=H","DateFormat=P","Fill=—","Direction=H","UseDPDF=Y")</f>
        <v>#NAME?</v>
      </c>
      <c r="D7" s="14" t="e">
        <f ca="1">_xll.BDH("ANSS US Equity","ESG_DISCLOSURE_SCORE","FY 2010","FY 2010","Currency=USD","Period=FY","BEST_FPERIOD_OVERRIDE=FY","FILING_STATUS=MR","Sort=A","Dates=H","DateFormat=P","Fill=—","Direction=H","UseDPDF=Y")</f>
        <v>#NAME?</v>
      </c>
      <c r="E7" s="14" t="e">
        <f ca="1">_xll.BDH("ANSS US Equity","ESG_DISCLOSURE_SCORE","FY 2011","FY 2011","Currency=USD","Period=FY","BEST_FPERIOD_OVERRIDE=FY","FILING_STATUS=MR","Sort=A","Dates=H","DateFormat=P","Fill=—","Direction=H","UseDPDF=Y")</f>
        <v>#NAME?</v>
      </c>
      <c r="F7" s="14" t="e">
        <f ca="1">_xll.BDH("ANSS US Equity","ESG_DISCLOSURE_SCORE","FY 2012","FY 2012","Currency=USD","Period=FY","BEST_FPERIOD_OVERRIDE=FY","FILING_STATUS=MR","Sort=A","Dates=H","DateFormat=P","Fill=—","Direction=H","UseDPDF=Y")</f>
        <v>#NAME?</v>
      </c>
      <c r="G7" s="14" t="e">
        <f ca="1">_xll.BDH("ANSS US Equity","ESG_DISCLOSURE_SCORE","FY 2013","FY 2013","Currency=USD","Period=FY","BEST_FPERIOD_OVERRIDE=FY","FILING_STATUS=MR","Sort=A","Dates=H","DateFormat=P","Fill=—","Direction=H","UseDPDF=Y")</f>
        <v>#NAME?</v>
      </c>
      <c r="H7" s="14" t="e">
        <f ca="1">_xll.BDH("ANSS US Equity","ESG_DISCLOSURE_SCORE","FY 2014","FY 2014","Currency=USD","Period=FY","BEST_FPERIOD_OVERRIDE=FY","FILING_STATUS=MR","Sort=A","Dates=H","DateFormat=P","Fill=—","Direction=H","UseDPDF=Y")</f>
        <v>#NAME?</v>
      </c>
      <c r="I7" s="14" t="e">
        <f ca="1">_xll.BDH("ANSS US Equity","ESG_DISCLOSURE_SCORE","FY 2015","FY 2015","Currency=USD","Period=FY","BEST_FPERIOD_OVERRIDE=FY","FILING_STATUS=MR","Sort=A","Dates=H","DateFormat=P","Fill=—","Direction=H","UseDPDF=Y")</f>
        <v>#NAME?</v>
      </c>
      <c r="J7" s="14" t="e">
        <f ca="1">_xll.BDH("ANSS US Equity","ESG_DISCLOSURE_SCORE","FY 2016","FY 2016","Currency=USD","Period=FY","BEST_FPERIOD_OVERRIDE=FY","FILING_STATUS=MR","Sort=A","Dates=H","DateFormat=P","Fill=—","Direction=H","UseDPDF=Y")</f>
        <v>#NAME?</v>
      </c>
      <c r="K7" s="14" t="e">
        <f ca="1">_xll.BDH("ANSS US Equity","ESG_DISCLOSURE_SCORE","FY 2017","FY 2017","Currency=USD","Period=FY","BEST_FPERIOD_OVERRIDE=FY","FILING_STATUS=MR","Sort=A","Dates=H","DateFormat=P","Fill=—","Direction=H","UseDPDF=Y")</f>
        <v>#NAME?</v>
      </c>
      <c r="L7" s="14" t="e">
        <f ca="1">_xll.BDH("ANSS US Equity","ESG_DISCLOSURE_SCORE","FY 2018","FY 2018","Currency=USD","Period=FY","BEST_FPERIOD_OVERRIDE=FY","FILING_STATUS=MR","Sort=A","Dates=H","DateFormat=P","Fill=—","Direction=H","UseDPDF=Y")</f>
        <v>#NAME?</v>
      </c>
      <c r="M7" s="14" t="e">
        <f ca="1">_xll.BDH("ANSS US Equity","ESG_DISCLOSURE_SCORE","FY 2019","FY 2019","Currency=USD","Period=FY","BEST_FPERIOD_OVERRIDE=FY","FILING_STATUS=MR","Sort=A","Dates=H","DateFormat=P","Fill=—","Direction=H","UseDPDF=Y")</f>
        <v>#NAME?</v>
      </c>
      <c r="N7" s="14" t="e">
        <f ca="1">_xll.BDH("ANSS US Equity","ESG_DISCLOSURE_SCORE","FY 2020","FY 2020","Currency=USD","Period=FY","BEST_FPERIOD_OVERRIDE=FY","FILING_STATUS=MR","Sort=A","Dates=H","DateFormat=P","Fill=—","Direction=H","UseDPDF=Y")</f>
        <v>#NAME?</v>
      </c>
      <c r="O7" s="14" t="e">
        <f ca="1">_xll.BDH("ANSS US Equity","ESG_DISCLOSURE_SCORE","FY 2021","FY 2021","Currency=USD","Period=FY","BEST_FPERIOD_OVERRIDE=FY","FILING_STATUS=MR","Sort=A","Dates=H","DateFormat=P","Fill=—","Direction=H","UseDPDF=Y")</f>
        <v>#NAME?</v>
      </c>
      <c r="P7" s="14" t="e">
        <f ca="1">_xll.BDH("ANSS US Equity","ESG_DISCLOSURE_SCORE","FY 2022","FY 2022","Currency=USD","Period=FY","BEST_FPERIOD_OVERRIDE=FY","FILING_STATUS=MR","Sort=A","Dates=H","DateFormat=P","Fill=—","Direction=H","UseDPDF=Y")</f>
        <v>#NAME?</v>
      </c>
      <c r="Q7" s="14" t="e">
        <f ca="1">_xll.BDH("ANSS US Equity","ESG_DISCLOSURE_SCORE","FY 2023","FY 2023","Currency=USD","Period=FY","BEST_FPERIOD_OVERRIDE=FY","FILING_STATUS=MR","Sort=A","Dates=H","DateFormat=P","Fill=—","Direction=H","UseDPDF=Y")</f>
        <v>#NAME?</v>
      </c>
    </row>
    <row r="8" spans="1:17" x14ac:dyDescent="0.45">
      <c r="A8" s="10" t="s">
        <v>482</v>
      </c>
      <c r="B8" s="10" t="s">
        <v>483</v>
      </c>
      <c r="C8" s="14" t="e">
        <f ca="1">_xll.BDH("ANSS US Equity","ENVIRON_DISCLOSURE_SCORE","FY 2009","FY 2009","Currency=USD","Period=FY","BEST_FPERIOD_OVERRIDE=FY","FILING_STATUS=MR","Sort=A","Dates=H","DateFormat=P","Fill=—","Direction=H","UseDPDF=Y")</f>
        <v>#NAME?</v>
      </c>
      <c r="D8" s="14" t="e">
        <f ca="1">_xll.BDH("ANSS US Equity","ENVIRON_DISCLOSURE_SCORE","FY 2010","FY 2010","Currency=USD","Period=FY","BEST_FPERIOD_OVERRIDE=FY","FILING_STATUS=MR","Sort=A","Dates=H","DateFormat=P","Fill=—","Direction=H","UseDPDF=Y")</f>
        <v>#NAME?</v>
      </c>
      <c r="E8" s="14" t="e">
        <f ca="1">_xll.BDH("ANSS US Equity","ENVIRON_DISCLOSURE_SCORE","FY 2011","FY 2011","Currency=USD","Period=FY","BEST_FPERIOD_OVERRIDE=FY","FILING_STATUS=MR","Sort=A","Dates=H","DateFormat=P","Fill=—","Direction=H","UseDPDF=Y")</f>
        <v>#NAME?</v>
      </c>
      <c r="F8" s="14" t="e">
        <f ca="1">_xll.BDH("ANSS US Equity","ENVIRON_DISCLOSURE_SCORE","FY 2012","FY 2012","Currency=USD","Period=FY","BEST_FPERIOD_OVERRIDE=FY","FILING_STATUS=MR","Sort=A","Dates=H","DateFormat=P","Fill=—","Direction=H","UseDPDF=Y")</f>
        <v>#NAME?</v>
      </c>
      <c r="G8" s="14" t="e">
        <f ca="1">_xll.BDH("ANSS US Equity","ENVIRON_DISCLOSURE_SCORE","FY 2013","FY 2013","Currency=USD","Period=FY","BEST_FPERIOD_OVERRIDE=FY","FILING_STATUS=MR","Sort=A","Dates=H","DateFormat=P","Fill=—","Direction=H","UseDPDF=Y")</f>
        <v>#NAME?</v>
      </c>
      <c r="H8" s="14" t="e">
        <f ca="1">_xll.BDH("ANSS US Equity","ENVIRON_DISCLOSURE_SCORE","FY 2014","FY 2014","Currency=USD","Period=FY","BEST_FPERIOD_OVERRIDE=FY","FILING_STATUS=MR","Sort=A","Dates=H","DateFormat=P","Fill=—","Direction=H","UseDPDF=Y")</f>
        <v>#NAME?</v>
      </c>
      <c r="I8" s="14" t="e">
        <f ca="1">_xll.BDH("ANSS US Equity","ENVIRON_DISCLOSURE_SCORE","FY 2015","FY 2015","Currency=USD","Period=FY","BEST_FPERIOD_OVERRIDE=FY","FILING_STATUS=MR","Sort=A","Dates=H","DateFormat=P","Fill=—","Direction=H","UseDPDF=Y")</f>
        <v>#NAME?</v>
      </c>
      <c r="J8" s="14" t="e">
        <f ca="1">_xll.BDH("ANSS US Equity","ENVIRON_DISCLOSURE_SCORE","FY 2016","FY 2016","Currency=USD","Period=FY","BEST_FPERIOD_OVERRIDE=FY","FILING_STATUS=MR","Sort=A","Dates=H","DateFormat=P","Fill=—","Direction=H","UseDPDF=Y")</f>
        <v>#NAME?</v>
      </c>
      <c r="K8" s="14" t="e">
        <f ca="1">_xll.BDH("ANSS US Equity","ENVIRON_DISCLOSURE_SCORE","FY 2017","FY 2017","Currency=USD","Period=FY","BEST_FPERIOD_OVERRIDE=FY","FILING_STATUS=MR","Sort=A","Dates=H","DateFormat=P","Fill=—","Direction=H","UseDPDF=Y")</f>
        <v>#NAME?</v>
      </c>
      <c r="L8" s="14" t="e">
        <f ca="1">_xll.BDH("ANSS US Equity","ENVIRON_DISCLOSURE_SCORE","FY 2018","FY 2018","Currency=USD","Period=FY","BEST_FPERIOD_OVERRIDE=FY","FILING_STATUS=MR","Sort=A","Dates=H","DateFormat=P","Fill=—","Direction=H","UseDPDF=Y")</f>
        <v>#NAME?</v>
      </c>
      <c r="M8" s="14" t="e">
        <f ca="1">_xll.BDH("ANSS US Equity","ENVIRON_DISCLOSURE_SCORE","FY 2019","FY 2019","Currency=USD","Period=FY","BEST_FPERIOD_OVERRIDE=FY","FILING_STATUS=MR","Sort=A","Dates=H","DateFormat=P","Fill=—","Direction=H","UseDPDF=Y")</f>
        <v>#NAME?</v>
      </c>
      <c r="N8" s="14" t="e">
        <f ca="1">_xll.BDH("ANSS US Equity","ENVIRON_DISCLOSURE_SCORE","FY 2020","FY 2020","Currency=USD","Period=FY","BEST_FPERIOD_OVERRIDE=FY","FILING_STATUS=MR","Sort=A","Dates=H","DateFormat=P","Fill=—","Direction=H","UseDPDF=Y")</f>
        <v>#NAME?</v>
      </c>
      <c r="O8" s="14" t="e">
        <f ca="1">_xll.BDH("ANSS US Equity","ENVIRON_DISCLOSURE_SCORE","FY 2021","FY 2021","Currency=USD","Period=FY","BEST_FPERIOD_OVERRIDE=FY","FILING_STATUS=MR","Sort=A","Dates=H","DateFormat=P","Fill=—","Direction=H","UseDPDF=Y")</f>
        <v>#NAME?</v>
      </c>
      <c r="P8" s="14" t="e">
        <f ca="1">_xll.BDH("ANSS US Equity","ENVIRON_DISCLOSURE_SCORE","FY 2022","FY 2022","Currency=USD","Period=FY","BEST_FPERIOD_OVERRIDE=FY","FILING_STATUS=MR","Sort=A","Dates=H","DateFormat=P","Fill=—","Direction=H","UseDPDF=Y")</f>
        <v>#NAME?</v>
      </c>
      <c r="Q8" s="14" t="e">
        <f ca="1">_xll.BDH("ANSS US Equity","ENVIRON_DISCLOSURE_SCORE","FY 2023","FY 2023","Currency=USD","Period=FY","BEST_FPERIOD_OVERRIDE=FY","FILING_STATUS=MR","Sort=A","Dates=H","DateFormat=P","Fill=—","Direction=H","UseDPDF=Y")</f>
        <v>#NAME?</v>
      </c>
    </row>
    <row r="9" spans="1:17" x14ac:dyDescent="0.45">
      <c r="A9" s="10" t="s">
        <v>484</v>
      </c>
      <c r="B9" s="10" t="s">
        <v>485</v>
      </c>
      <c r="C9" s="14" t="e">
        <f ca="1">_xll.BDH("ANSS US Equity","SOCIAL_DISCLOSURE_SCORE","FY 2009","FY 2009","Currency=USD","Period=FY","BEST_FPERIOD_OVERRIDE=FY","FILING_STATUS=MR","Sort=A","Dates=H","DateFormat=P","Fill=—","Direction=H","UseDPDF=Y")</f>
        <v>#NAME?</v>
      </c>
      <c r="D9" s="14" t="e">
        <f ca="1">_xll.BDH("ANSS US Equity","SOCIAL_DISCLOSURE_SCORE","FY 2010","FY 2010","Currency=USD","Period=FY","BEST_FPERIOD_OVERRIDE=FY","FILING_STATUS=MR","Sort=A","Dates=H","DateFormat=P","Fill=—","Direction=H","UseDPDF=Y")</f>
        <v>#NAME?</v>
      </c>
      <c r="E9" s="14" t="e">
        <f ca="1">_xll.BDH("ANSS US Equity","SOCIAL_DISCLOSURE_SCORE","FY 2011","FY 2011","Currency=USD","Period=FY","BEST_FPERIOD_OVERRIDE=FY","FILING_STATUS=MR","Sort=A","Dates=H","DateFormat=P","Fill=—","Direction=H","UseDPDF=Y")</f>
        <v>#NAME?</v>
      </c>
      <c r="F9" s="14" t="e">
        <f ca="1">_xll.BDH("ANSS US Equity","SOCIAL_DISCLOSURE_SCORE","FY 2012","FY 2012","Currency=USD","Period=FY","BEST_FPERIOD_OVERRIDE=FY","FILING_STATUS=MR","Sort=A","Dates=H","DateFormat=P","Fill=—","Direction=H","UseDPDF=Y")</f>
        <v>#NAME?</v>
      </c>
      <c r="G9" s="14" t="e">
        <f ca="1">_xll.BDH("ANSS US Equity","SOCIAL_DISCLOSURE_SCORE","FY 2013","FY 2013","Currency=USD","Period=FY","BEST_FPERIOD_OVERRIDE=FY","FILING_STATUS=MR","Sort=A","Dates=H","DateFormat=P","Fill=—","Direction=H","UseDPDF=Y")</f>
        <v>#NAME?</v>
      </c>
      <c r="H9" s="14" t="e">
        <f ca="1">_xll.BDH("ANSS US Equity","SOCIAL_DISCLOSURE_SCORE","FY 2014","FY 2014","Currency=USD","Period=FY","BEST_FPERIOD_OVERRIDE=FY","FILING_STATUS=MR","Sort=A","Dates=H","DateFormat=P","Fill=—","Direction=H","UseDPDF=Y")</f>
        <v>#NAME?</v>
      </c>
      <c r="I9" s="14" t="e">
        <f ca="1">_xll.BDH("ANSS US Equity","SOCIAL_DISCLOSURE_SCORE","FY 2015","FY 2015","Currency=USD","Period=FY","BEST_FPERIOD_OVERRIDE=FY","FILING_STATUS=MR","Sort=A","Dates=H","DateFormat=P","Fill=—","Direction=H","UseDPDF=Y")</f>
        <v>#NAME?</v>
      </c>
      <c r="J9" s="14" t="e">
        <f ca="1">_xll.BDH("ANSS US Equity","SOCIAL_DISCLOSURE_SCORE","FY 2016","FY 2016","Currency=USD","Period=FY","BEST_FPERIOD_OVERRIDE=FY","FILING_STATUS=MR","Sort=A","Dates=H","DateFormat=P","Fill=—","Direction=H","UseDPDF=Y")</f>
        <v>#NAME?</v>
      </c>
      <c r="K9" s="14" t="e">
        <f ca="1">_xll.BDH("ANSS US Equity","SOCIAL_DISCLOSURE_SCORE","FY 2017","FY 2017","Currency=USD","Period=FY","BEST_FPERIOD_OVERRIDE=FY","FILING_STATUS=MR","Sort=A","Dates=H","DateFormat=P","Fill=—","Direction=H","UseDPDF=Y")</f>
        <v>#NAME?</v>
      </c>
      <c r="L9" s="14" t="e">
        <f ca="1">_xll.BDH("ANSS US Equity","SOCIAL_DISCLOSURE_SCORE","FY 2018","FY 2018","Currency=USD","Period=FY","BEST_FPERIOD_OVERRIDE=FY","FILING_STATUS=MR","Sort=A","Dates=H","DateFormat=P","Fill=—","Direction=H","UseDPDF=Y")</f>
        <v>#NAME?</v>
      </c>
      <c r="M9" s="14" t="e">
        <f ca="1">_xll.BDH("ANSS US Equity","SOCIAL_DISCLOSURE_SCORE","FY 2019","FY 2019","Currency=USD","Period=FY","BEST_FPERIOD_OVERRIDE=FY","FILING_STATUS=MR","Sort=A","Dates=H","DateFormat=P","Fill=—","Direction=H","UseDPDF=Y")</f>
        <v>#NAME?</v>
      </c>
      <c r="N9" s="14" t="e">
        <f ca="1">_xll.BDH("ANSS US Equity","SOCIAL_DISCLOSURE_SCORE","FY 2020","FY 2020","Currency=USD","Period=FY","BEST_FPERIOD_OVERRIDE=FY","FILING_STATUS=MR","Sort=A","Dates=H","DateFormat=P","Fill=—","Direction=H","UseDPDF=Y")</f>
        <v>#NAME?</v>
      </c>
      <c r="O9" s="14" t="e">
        <f ca="1">_xll.BDH("ANSS US Equity","SOCIAL_DISCLOSURE_SCORE","FY 2021","FY 2021","Currency=USD","Period=FY","BEST_FPERIOD_OVERRIDE=FY","FILING_STATUS=MR","Sort=A","Dates=H","DateFormat=P","Fill=—","Direction=H","UseDPDF=Y")</f>
        <v>#NAME?</v>
      </c>
      <c r="P9" s="14" t="e">
        <f ca="1">_xll.BDH("ANSS US Equity","SOCIAL_DISCLOSURE_SCORE","FY 2022","FY 2022","Currency=USD","Period=FY","BEST_FPERIOD_OVERRIDE=FY","FILING_STATUS=MR","Sort=A","Dates=H","DateFormat=P","Fill=—","Direction=H","UseDPDF=Y")</f>
        <v>#NAME?</v>
      </c>
      <c r="Q9" s="14" t="e">
        <f ca="1">_xll.BDH("ANSS US Equity","SOCIAL_DISCLOSURE_SCORE","FY 2023","FY 2023","Currency=USD","Period=FY","BEST_FPERIOD_OVERRIDE=FY","FILING_STATUS=MR","Sort=A","Dates=H","DateFormat=P","Fill=—","Direction=H","UseDPDF=Y")</f>
        <v>#NAME?</v>
      </c>
    </row>
    <row r="10" spans="1:17" x14ac:dyDescent="0.45">
      <c r="A10" s="10" t="s">
        <v>486</v>
      </c>
      <c r="B10" s="10" t="s">
        <v>487</v>
      </c>
      <c r="C10" s="14" t="e">
        <f ca="1">_xll.BDH("ANSS US Equity","GOVNCE_DISCLOSURE_SCORE","FY 2009","FY 2009","Currency=USD","Period=FY","BEST_FPERIOD_OVERRIDE=FY","FILING_STATUS=MR","Sort=A","Dates=H","DateFormat=P","Fill=—","Direction=H","UseDPDF=Y")</f>
        <v>#NAME?</v>
      </c>
      <c r="D10" s="14" t="e">
        <f ca="1">_xll.BDH("ANSS US Equity","GOVNCE_DISCLOSURE_SCORE","FY 2010","FY 2010","Currency=USD","Period=FY","BEST_FPERIOD_OVERRIDE=FY","FILING_STATUS=MR","Sort=A","Dates=H","DateFormat=P","Fill=—","Direction=H","UseDPDF=Y")</f>
        <v>#NAME?</v>
      </c>
      <c r="E10" s="14" t="e">
        <f ca="1">_xll.BDH("ANSS US Equity","GOVNCE_DISCLOSURE_SCORE","FY 2011","FY 2011","Currency=USD","Period=FY","BEST_FPERIOD_OVERRIDE=FY","FILING_STATUS=MR","Sort=A","Dates=H","DateFormat=P","Fill=—","Direction=H","UseDPDF=Y")</f>
        <v>#NAME?</v>
      </c>
      <c r="F10" s="14" t="e">
        <f ca="1">_xll.BDH("ANSS US Equity","GOVNCE_DISCLOSURE_SCORE","FY 2012","FY 2012","Currency=USD","Period=FY","BEST_FPERIOD_OVERRIDE=FY","FILING_STATUS=MR","Sort=A","Dates=H","DateFormat=P","Fill=—","Direction=H","UseDPDF=Y")</f>
        <v>#NAME?</v>
      </c>
      <c r="G10" s="14" t="e">
        <f ca="1">_xll.BDH("ANSS US Equity","GOVNCE_DISCLOSURE_SCORE","FY 2013","FY 2013","Currency=USD","Period=FY","BEST_FPERIOD_OVERRIDE=FY","FILING_STATUS=MR","Sort=A","Dates=H","DateFormat=P","Fill=—","Direction=H","UseDPDF=Y")</f>
        <v>#NAME?</v>
      </c>
      <c r="H10" s="14" t="e">
        <f ca="1">_xll.BDH("ANSS US Equity","GOVNCE_DISCLOSURE_SCORE","FY 2014","FY 2014","Currency=USD","Period=FY","BEST_FPERIOD_OVERRIDE=FY","FILING_STATUS=MR","Sort=A","Dates=H","DateFormat=P","Fill=—","Direction=H","UseDPDF=Y")</f>
        <v>#NAME?</v>
      </c>
      <c r="I10" s="14" t="e">
        <f ca="1">_xll.BDH("ANSS US Equity","GOVNCE_DISCLOSURE_SCORE","FY 2015","FY 2015","Currency=USD","Period=FY","BEST_FPERIOD_OVERRIDE=FY","FILING_STATUS=MR","Sort=A","Dates=H","DateFormat=P","Fill=—","Direction=H","UseDPDF=Y")</f>
        <v>#NAME?</v>
      </c>
      <c r="J10" s="14" t="e">
        <f ca="1">_xll.BDH("ANSS US Equity","GOVNCE_DISCLOSURE_SCORE","FY 2016","FY 2016","Currency=USD","Period=FY","BEST_FPERIOD_OVERRIDE=FY","FILING_STATUS=MR","Sort=A","Dates=H","DateFormat=P","Fill=—","Direction=H","UseDPDF=Y")</f>
        <v>#NAME?</v>
      </c>
      <c r="K10" s="14" t="e">
        <f ca="1">_xll.BDH("ANSS US Equity","GOVNCE_DISCLOSURE_SCORE","FY 2017","FY 2017","Currency=USD","Period=FY","BEST_FPERIOD_OVERRIDE=FY","FILING_STATUS=MR","Sort=A","Dates=H","DateFormat=P","Fill=—","Direction=H","UseDPDF=Y")</f>
        <v>#NAME?</v>
      </c>
      <c r="L10" s="14" t="e">
        <f ca="1">_xll.BDH("ANSS US Equity","GOVNCE_DISCLOSURE_SCORE","FY 2018","FY 2018","Currency=USD","Period=FY","BEST_FPERIOD_OVERRIDE=FY","FILING_STATUS=MR","Sort=A","Dates=H","DateFormat=P","Fill=—","Direction=H","UseDPDF=Y")</f>
        <v>#NAME?</v>
      </c>
      <c r="M10" s="14" t="e">
        <f ca="1">_xll.BDH("ANSS US Equity","GOVNCE_DISCLOSURE_SCORE","FY 2019","FY 2019","Currency=USD","Period=FY","BEST_FPERIOD_OVERRIDE=FY","FILING_STATUS=MR","Sort=A","Dates=H","DateFormat=P","Fill=—","Direction=H","UseDPDF=Y")</f>
        <v>#NAME?</v>
      </c>
      <c r="N10" s="14" t="e">
        <f ca="1">_xll.BDH("ANSS US Equity","GOVNCE_DISCLOSURE_SCORE","FY 2020","FY 2020","Currency=USD","Period=FY","BEST_FPERIOD_OVERRIDE=FY","FILING_STATUS=MR","Sort=A","Dates=H","DateFormat=P","Fill=—","Direction=H","UseDPDF=Y")</f>
        <v>#NAME?</v>
      </c>
      <c r="O10" s="14" t="e">
        <f ca="1">_xll.BDH("ANSS US Equity","GOVNCE_DISCLOSURE_SCORE","FY 2021","FY 2021","Currency=USD","Period=FY","BEST_FPERIOD_OVERRIDE=FY","FILING_STATUS=MR","Sort=A","Dates=H","DateFormat=P","Fill=—","Direction=H","UseDPDF=Y")</f>
        <v>#NAME?</v>
      </c>
      <c r="P10" s="14" t="e">
        <f ca="1">_xll.BDH("ANSS US Equity","GOVNCE_DISCLOSURE_SCORE","FY 2022","FY 2022","Currency=USD","Period=FY","BEST_FPERIOD_OVERRIDE=FY","FILING_STATUS=MR","Sort=A","Dates=H","DateFormat=P","Fill=—","Direction=H","UseDPDF=Y")</f>
        <v>#NAME?</v>
      </c>
      <c r="Q10" s="14" t="e">
        <f ca="1">_xll.BDH("ANSS US Equity","GOVNCE_DISCLOSURE_SCORE","FY 2023","FY 2023","Currency=USD","Period=FY","BEST_FPERIOD_OVERRIDE=FY","FILING_STATUS=MR","Sort=A","Dates=H","DateFormat=P","Fill=—","Direction=H","UseDPDF=Y")</f>
        <v>#NAME?</v>
      </c>
    </row>
    <row r="11" spans="1:17" x14ac:dyDescent="0.4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45">
      <c r="A12" s="6" t="s">
        <v>488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x14ac:dyDescent="0.45">
      <c r="A13" s="10" t="s">
        <v>489</v>
      </c>
      <c r="B13" s="10" t="s">
        <v>490</v>
      </c>
      <c r="C13" s="14" t="e">
        <f ca="1">_xll.BDH("ANSS US Equity","GHG_INTENSITY_PER_SALES","FY 2009","FY 2009","Currency=USD","Period=FY","BEST_FPERIOD_OVERRIDE=FY","FILING_STATUS=MR","FA_ADJUSTED=GAAP","Sort=A","Dates=H","DateFormat=P","Fill=—","Direction=H","UseDPDF=Y")</f>
        <v>#NAME?</v>
      </c>
      <c r="D13" s="14" t="e">
        <f ca="1">_xll.BDH("ANSS US Equity","GHG_INTENSITY_PER_SALES","FY 2010","FY 2010","Currency=USD","Period=FY","BEST_FPERIOD_OVERRIDE=FY","FILING_STATUS=MR","FA_ADJUSTED=GAAP","Sort=A","Dates=H","DateFormat=P","Fill=—","Direction=H","UseDPDF=Y")</f>
        <v>#NAME?</v>
      </c>
      <c r="E13" s="14" t="e">
        <f ca="1">_xll.BDH("ANSS US Equity","GHG_INTENSITY_PER_SALES","FY 2011","FY 2011","Currency=USD","Period=FY","BEST_FPERIOD_OVERRIDE=FY","FILING_STATUS=MR","FA_ADJUSTED=GAAP","Sort=A","Dates=H","DateFormat=P","Fill=—","Direction=H","UseDPDF=Y")</f>
        <v>#NAME?</v>
      </c>
      <c r="F13" s="14" t="e">
        <f ca="1">_xll.BDH("ANSS US Equity","GHG_INTENSITY_PER_SALES","FY 2012","FY 2012","Currency=USD","Period=FY","BEST_FPERIOD_OVERRIDE=FY","FILING_STATUS=MR","FA_ADJUSTED=GAAP","Sort=A","Dates=H","DateFormat=P","Fill=—","Direction=H","UseDPDF=Y")</f>
        <v>#NAME?</v>
      </c>
      <c r="G13" s="14" t="e">
        <f ca="1">_xll.BDH("ANSS US Equity","GHG_INTENSITY_PER_SALES","FY 2013","FY 2013","Currency=USD","Period=FY","BEST_FPERIOD_OVERRIDE=FY","FILING_STATUS=MR","FA_ADJUSTED=GAAP","Sort=A","Dates=H","DateFormat=P","Fill=—","Direction=H","UseDPDF=Y")</f>
        <v>#NAME?</v>
      </c>
      <c r="H13" s="14" t="e">
        <f ca="1">_xll.BDH("ANSS US Equity","GHG_INTENSITY_PER_SALES","FY 2014","FY 2014","Currency=USD","Period=FY","BEST_FPERIOD_OVERRIDE=FY","FILING_STATUS=MR","FA_ADJUSTED=GAAP","Sort=A","Dates=H","DateFormat=P","Fill=—","Direction=H","UseDPDF=Y")</f>
        <v>#NAME?</v>
      </c>
      <c r="I13" s="14" t="e">
        <f ca="1">_xll.BDH("ANSS US Equity","GHG_INTENSITY_PER_SALES","FY 2015","FY 2015","Currency=USD","Period=FY","BEST_FPERIOD_OVERRIDE=FY","FILING_STATUS=MR","FA_ADJUSTED=GAAP","Sort=A","Dates=H","DateFormat=P","Fill=—","Direction=H","UseDPDF=Y")</f>
        <v>#NAME?</v>
      </c>
      <c r="J13" s="14" t="e">
        <f ca="1">_xll.BDH("ANSS US Equity","GHG_INTENSITY_PER_SALES","FY 2016","FY 2016","Currency=USD","Period=FY","BEST_FPERIOD_OVERRIDE=FY","FILING_STATUS=MR","FA_ADJUSTED=GAAP","Sort=A","Dates=H","DateFormat=P","Fill=—","Direction=H","UseDPDF=Y")</f>
        <v>#NAME?</v>
      </c>
      <c r="K13" s="14" t="e">
        <f ca="1">_xll.BDH("ANSS US Equity","GHG_INTENSITY_PER_SALES","FY 2017","FY 2017","Currency=USD","Period=FY","BEST_FPERIOD_OVERRIDE=FY","FILING_STATUS=MR","FA_ADJUSTED=GAAP","Sort=A","Dates=H","DateFormat=P","Fill=—","Direction=H","UseDPDF=Y")</f>
        <v>#NAME?</v>
      </c>
      <c r="L13" s="14" t="e">
        <f ca="1">_xll.BDH("ANSS US Equity","GHG_INTENSITY_PER_SALES","FY 2018","FY 2018","Currency=USD","Period=FY","BEST_FPERIOD_OVERRIDE=FY","FILING_STATUS=MR","FA_ADJUSTED=GAAP","Sort=A","Dates=H","DateFormat=P","Fill=—","Direction=H","UseDPDF=Y")</f>
        <v>#NAME?</v>
      </c>
      <c r="M13" s="14" t="e">
        <f ca="1">_xll.BDH("ANSS US Equity","GHG_INTENSITY_PER_SALES","FY 2019","FY 2019","Currency=USD","Period=FY","BEST_FPERIOD_OVERRIDE=FY","FILING_STATUS=MR","FA_ADJUSTED=GAAP","Sort=A","Dates=H","DateFormat=P","Fill=—","Direction=H","UseDPDF=Y")</f>
        <v>#NAME?</v>
      </c>
      <c r="N13" s="14" t="e">
        <f ca="1">_xll.BDH("ANSS US Equity","GHG_INTENSITY_PER_SALES","FY 2020","FY 2020","Currency=USD","Period=FY","BEST_FPERIOD_OVERRIDE=FY","FILING_STATUS=MR","FA_ADJUSTED=GAAP","Sort=A","Dates=H","DateFormat=P","Fill=—","Direction=H","UseDPDF=Y")</f>
        <v>#NAME?</v>
      </c>
      <c r="O13" s="14" t="e">
        <f ca="1">_xll.BDH("ANSS US Equity","GHG_INTENSITY_PER_SALES","FY 2021","FY 2021","Currency=USD","Period=FY","BEST_FPERIOD_OVERRIDE=FY","FILING_STATUS=MR","FA_ADJUSTED=GAAP","Sort=A","Dates=H","DateFormat=P","Fill=—","Direction=H","UseDPDF=Y")</f>
        <v>#NAME?</v>
      </c>
      <c r="P13" s="14" t="e">
        <f ca="1">_xll.BDH("ANSS US Equity","GHG_INTENSITY_PER_SALES","FY 2022","FY 2022","Currency=USD","Period=FY","BEST_FPERIOD_OVERRIDE=FY","FILING_STATUS=MR","FA_ADJUSTED=GAAP","Sort=A","Dates=H","DateFormat=P","Fill=—","Direction=H","UseDPDF=Y")</f>
        <v>#NAME?</v>
      </c>
      <c r="Q13" s="14" t="e">
        <f ca="1">_xll.BDH("ANSS US Equity","GHG_INTENSITY_PER_SALES","FY 2023","FY 2023","Currency=USD","Period=FY","BEST_FPERIOD_OVERRIDE=FY","FILING_STATUS=MR","FA_ADJUSTED=GAAP","Sort=A","Dates=H","DateFormat=P","Fill=—","Direction=H","UseDPDF=Y")</f>
        <v>#NAME?</v>
      </c>
    </row>
    <row r="14" spans="1:17" x14ac:dyDescent="0.45">
      <c r="A14" s="10" t="s">
        <v>491</v>
      </c>
      <c r="B14" s="10" t="s">
        <v>492</v>
      </c>
      <c r="C14" s="14" t="e">
        <f ca="1">_xll.BDH("ANSS US Equity","GHG_SCOPE_1_INTENSITY_PER_SALES","FY 2009","FY 2009","Currency=USD","Period=FY","BEST_FPERIOD_OVERRIDE=FY","FILING_STATUS=MR","FA_ADJUSTED=GAAP","Sort=A","Dates=H","DateFormat=P","Fill=—","Direction=H","UseDPDF=Y")</f>
        <v>#NAME?</v>
      </c>
      <c r="D14" s="14" t="e">
        <f ca="1">_xll.BDH("ANSS US Equity","GHG_SCOPE_1_INTENSITY_PER_SALES","FY 2010","FY 2010","Currency=USD","Period=FY","BEST_FPERIOD_OVERRIDE=FY","FILING_STATUS=MR","FA_ADJUSTED=GAAP","Sort=A","Dates=H","DateFormat=P","Fill=—","Direction=H","UseDPDF=Y")</f>
        <v>#NAME?</v>
      </c>
      <c r="E14" s="14" t="e">
        <f ca="1">_xll.BDH("ANSS US Equity","GHG_SCOPE_1_INTENSITY_PER_SALES","FY 2011","FY 2011","Currency=USD","Period=FY","BEST_FPERIOD_OVERRIDE=FY","FILING_STATUS=MR","FA_ADJUSTED=GAAP","Sort=A","Dates=H","DateFormat=P","Fill=—","Direction=H","UseDPDF=Y")</f>
        <v>#NAME?</v>
      </c>
      <c r="F14" s="14" t="e">
        <f ca="1">_xll.BDH("ANSS US Equity","GHG_SCOPE_1_INTENSITY_PER_SALES","FY 2012","FY 2012","Currency=USD","Period=FY","BEST_FPERIOD_OVERRIDE=FY","FILING_STATUS=MR","FA_ADJUSTED=GAAP","Sort=A","Dates=H","DateFormat=P","Fill=—","Direction=H","UseDPDF=Y")</f>
        <v>#NAME?</v>
      </c>
      <c r="G14" s="14" t="e">
        <f ca="1">_xll.BDH("ANSS US Equity","GHG_SCOPE_1_INTENSITY_PER_SALES","FY 2013","FY 2013","Currency=USD","Period=FY","BEST_FPERIOD_OVERRIDE=FY","FILING_STATUS=MR","FA_ADJUSTED=GAAP","Sort=A","Dates=H","DateFormat=P","Fill=—","Direction=H","UseDPDF=Y")</f>
        <v>#NAME?</v>
      </c>
      <c r="H14" s="14" t="e">
        <f ca="1">_xll.BDH("ANSS US Equity","GHG_SCOPE_1_INTENSITY_PER_SALES","FY 2014","FY 2014","Currency=USD","Period=FY","BEST_FPERIOD_OVERRIDE=FY","FILING_STATUS=MR","FA_ADJUSTED=GAAP","Sort=A","Dates=H","DateFormat=P","Fill=—","Direction=H","UseDPDF=Y")</f>
        <v>#NAME?</v>
      </c>
      <c r="I14" s="14" t="e">
        <f ca="1">_xll.BDH("ANSS US Equity","GHG_SCOPE_1_INTENSITY_PER_SALES","FY 2015","FY 2015","Currency=USD","Period=FY","BEST_FPERIOD_OVERRIDE=FY","FILING_STATUS=MR","FA_ADJUSTED=GAAP","Sort=A","Dates=H","DateFormat=P","Fill=—","Direction=H","UseDPDF=Y")</f>
        <v>#NAME?</v>
      </c>
      <c r="J14" s="14" t="e">
        <f ca="1">_xll.BDH("ANSS US Equity","GHG_SCOPE_1_INTENSITY_PER_SALES","FY 2016","FY 2016","Currency=USD","Period=FY","BEST_FPERIOD_OVERRIDE=FY","FILING_STATUS=MR","FA_ADJUSTED=GAAP","Sort=A","Dates=H","DateFormat=P","Fill=—","Direction=H","UseDPDF=Y")</f>
        <v>#NAME?</v>
      </c>
      <c r="K14" s="14" t="e">
        <f ca="1">_xll.BDH("ANSS US Equity","GHG_SCOPE_1_INTENSITY_PER_SALES","FY 2017","FY 2017","Currency=USD","Period=FY","BEST_FPERIOD_OVERRIDE=FY","FILING_STATUS=MR","FA_ADJUSTED=GAAP","Sort=A","Dates=H","DateFormat=P","Fill=—","Direction=H","UseDPDF=Y")</f>
        <v>#NAME?</v>
      </c>
      <c r="L14" s="14" t="e">
        <f ca="1">_xll.BDH("ANSS US Equity","GHG_SCOPE_1_INTENSITY_PER_SALES","FY 2018","FY 2018","Currency=USD","Period=FY","BEST_FPERIOD_OVERRIDE=FY","FILING_STATUS=MR","FA_ADJUSTED=GAAP","Sort=A","Dates=H","DateFormat=P","Fill=—","Direction=H","UseDPDF=Y")</f>
        <v>#NAME?</v>
      </c>
      <c r="M14" s="14" t="e">
        <f ca="1">_xll.BDH("ANSS US Equity","GHG_SCOPE_1_INTENSITY_PER_SALES","FY 2019","FY 2019","Currency=USD","Period=FY","BEST_FPERIOD_OVERRIDE=FY","FILING_STATUS=MR","FA_ADJUSTED=GAAP","Sort=A","Dates=H","DateFormat=P","Fill=—","Direction=H","UseDPDF=Y")</f>
        <v>#NAME?</v>
      </c>
      <c r="N14" s="14" t="e">
        <f ca="1">_xll.BDH("ANSS US Equity","GHG_SCOPE_1_INTENSITY_PER_SALES","FY 2020","FY 2020","Currency=USD","Period=FY","BEST_FPERIOD_OVERRIDE=FY","FILING_STATUS=MR","FA_ADJUSTED=GAAP","Sort=A","Dates=H","DateFormat=P","Fill=—","Direction=H","UseDPDF=Y")</f>
        <v>#NAME?</v>
      </c>
      <c r="O14" s="14" t="e">
        <f ca="1">_xll.BDH("ANSS US Equity","GHG_SCOPE_1_INTENSITY_PER_SALES","FY 2021","FY 2021","Currency=USD","Period=FY","BEST_FPERIOD_OVERRIDE=FY","FILING_STATUS=MR","FA_ADJUSTED=GAAP","Sort=A","Dates=H","DateFormat=P","Fill=—","Direction=H","UseDPDF=Y")</f>
        <v>#NAME?</v>
      </c>
      <c r="P14" s="14" t="e">
        <f ca="1">_xll.BDH("ANSS US Equity","GHG_SCOPE_1_INTENSITY_PER_SALES","FY 2022","FY 2022","Currency=USD","Period=FY","BEST_FPERIOD_OVERRIDE=FY","FILING_STATUS=MR","FA_ADJUSTED=GAAP","Sort=A","Dates=H","DateFormat=P","Fill=—","Direction=H","UseDPDF=Y")</f>
        <v>#NAME?</v>
      </c>
      <c r="Q14" s="14" t="e">
        <f ca="1">_xll.BDH("ANSS US Equity","GHG_SCOPE_1_INTENSITY_PER_SALES","FY 2023","FY 2023","Currency=USD","Period=FY","BEST_FPERIOD_OVERRIDE=FY","FILING_STATUS=MR","FA_ADJUSTED=GAAP","Sort=A","Dates=H","DateFormat=P","Fill=—","Direction=H","UseDPDF=Y")</f>
        <v>#NAME?</v>
      </c>
    </row>
    <row r="15" spans="1:17" x14ac:dyDescent="0.45">
      <c r="A15" s="10" t="s">
        <v>493</v>
      </c>
      <c r="B15" s="10" t="s">
        <v>494</v>
      </c>
      <c r="C15" s="14" t="e">
        <f ca="1">_xll.BDH("ANSS US Equity","GHG_SCOPE_2_INTENSITY_PER_SALES","FY 2009","FY 2009","Currency=USD","Period=FY","BEST_FPERIOD_OVERRIDE=FY","FILING_STATUS=MR","FA_ADJUSTED=GAAP","Sort=A","Dates=H","DateFormat=P","Fill=—","Direction=H","UseDPDF=Y")</f>
        <v>#NAME?</v>
      </c>
      <c r="D15" s="14" t="e">
        <f ca="1">_xll.BDH("ANSS US Equity","GHG_SCOPE_2_INTENSITY_PER_SALES","FY 2010","FY 2010","Currency=USD","Period=FY","BEST_FPERIOD_OVERRIDE=FY","FILING_STATUS=MR","FA_ADJUSTED=GAAP","Sort=A","Dates=H","DateFormat=P","Fill=—","Direction=H","UseDPDF=Y")</f>
        <v>#NAME?</v>
      </c>
      <c r="E15" s="14" t="e">
        <f ca="1">_xll.BDH("ANSS US Equity","GHG_SCOPE_2_INTENSITY_PER_SALES","FY 2011","FY 2011","Currency=USD","Period=FY","BEST_FPERIOD_OVERRIDE=FY","FILING_STATUS=MR","FA_ADJUSTED=GAAP","Sort=A","Dates=H","DateFormat=P","Fill=—","Direction=H","UseDPDF=Y")</f>
        <v>#NAME?</v>
      </c>
      <c r="F15" s="14" t="e">
        <f ca="1">_xll.BDH("ANSS US Equity","GHG_SCOPE_2_INTENSITY_PER_SALES","FY 2012","FY 2012","Currency=USD","Period=FY","BEST_FPERIOD_OVERRIDE=FY","FILING_STATUS=MR","FA_ADJUSTED=GAAP","Sort=A","Dates=H","DateFormat=P","Fill=—","Direction=H","UseDPDF=Y")</f>
        <v>#NAME?</v>
      </c>
      <c r="G15" s="14" t="e">
        <f ca="1">_xll.BDH("ANSS US Equity","GHG_SCOPE_2_INTENSITY_PER_SALES","FY 2013","FY 2013","Currency=USD","Period=FY","BEST_FPERIOD_OVERRIDE=FY","FILING_STATUS=MR","FA_ADJUSTED=GAAP","Sort=A","Dates=H","DateFormat=P","Fill=—","Direction=H","UseDPDF=Y")</f>
        <v>#NAME?</v>
      </c>
      <c r="H15" s="14" t="e">
        <f ca="1">_xll.BDH("ANSS US Equity","GHG_SCOPE_2_INTENSITY_PER_SALES","FY 2014","FY 2014","Currency=USD","Period=FY","BEST_FPERIOD_OVERRIDE=FY","FILING_STATUS=MR","FA_ADJUSTED=GAAP","Sort=A","Dates=H","DateFormat=P","Fill=—","Direction=H","UseDPDF=Y")</f>
        <v>#NAME?</v>
      </c>
      <c r="I15" s="14" t="e">
        <f ca="1">_xll.BDH("ANSS US Equity","GHG_SCOPE_2_INTENSITY_PER_SALES","FY 2015","FY 2015","Currency=USD","Period=FY","BEST_FPERIOD_OVERRIDE=FY","FILING_STATUS=MR","FA_ADJUSTED=GAAP","Sort=A","Dates=H","DateFormat=P","Fill=—","Direction=H","UseDPDF=Y")</f>
        <v>#NAME?</v>
      </c>
      <c r="J15" s="14" t="e">
        <f ca="1">_xll.BDH("ANSS US Equity","GHG_SCOPE_2_INTENSITY_PER_SALES","FY 2016","FY 2016","Currency=USD","Period=FY","BEST_FPERIOD_OVERRIDE=FY","FILING_STATUS=MR","FA_ADJUSTED=GAAP","Sort=A","Dates=H","DateFormat=P","Fill=—","Direction=H","UseDPDF=Y")</f>
        <v>#NAME?</v>
      </c>
      <c r="K15" s="14" t="e">
        <f ca="1">_xll.BDH("ANSS US Equity","GHG_SCOPE_2_INTENSITY_PER_SALES","FY 2017","FY 2017","Currency=USD","Period=FY","BEST_FPERIOD_OVERRIDE=FY","FILING_STATUS=MR","FA_ADJUSTED=GAAP","Sort=A","Dates=H","DateFormat=P","Fill=—","Direction=H","UseDPDF=Y")</f>
        <v>#NAME?</v>
      </c>
      <c r="L15" s="14" t="e">
        <f ca="1">_xll.BDH("ANSS US Equity","GHG_SCOPE_2_INTENSITY_PER_SALES","FY 2018","FY 2018","Currency=USD","Period=FY","BEST_FPERIOD_OVERRIDE=FY","FILING_STATUS=MR","FA_ADJUSTED=GAAP","Sort=A","Dates=H","DateFormat=P","Fill=—","Direction=H","UseDPDF=Y")</f>
        <v>#NAME?</v>
      </c>
      <c r="M15" s="14" t="e">
        <f ca="1">_xll.BDH("ANSS US Equity","GHG_SCOPE_2_INTENSITY_PER_SALES","FY 2019","FY 2019","Currency=USD","Period=FY","BEST_FPERIOD_OVERRIDE=FY","FILING_STATUS=MR","FA_ADJUSTED=GAAP","Sort=A","Dates=H","DateFormat=P","Fill=—","Direction=H","UseDPDF=Y")</f>
        <v>#NAME?</v>
      </c>
      <c r="N15" s="14" t="e">
        <f ca="1">_xll.BDH("ANSS US Equity","GHG_SCOPE_2_INTENSITY_PER_SALES","FY 2020","FY 2020","Currency=USD","Period=FY","BEST_FPERIOD_OVERRIDE=FY","FILING_STATUS=MR","FA_ADJUSTED=GAAP","Sort=A","Dates=H","DateFormat=P","Fill=—","Direction=H","UseDPDF=Y")</f>
        <v>#NAME?</v>
      </c>
      <c r="O15" s="14" t="e">
        <f ca="1">_xll.BDH("ANSS US Equity","GHG_SCOPE_2_INTENSITY_PER_SALES","FY 2021","FY 2021","Currency=USD","Period=FY","BEST_FPERIOD_OVERRIDE=FY","FILING_STATUS=MR","FA_ADJUSTED=GAAP","Sort=A","Dates=H","DateFormat=P","Fill=—","Direction=H","UseDPDF=Y")</f>
        <v>#NAME?</v>
      </c>
      <c r="P15" s="14" t="e">
        <f ca="1">_xll.BDH("ANSS US Equity","GHG_SCOPE_2_INTENSITY_PER_SALES","FY 2022","FY 2022","Currency=USD","Period=FY","BEST_FPERIOD_OVERRIDE=FY","FILING_STATUS=MR","FA_ADJUSTED=GAAP","Sort=A","Dates=H","DateFormat=P","Fill=—","Direction=H","UseDPDF=Y")</f>
        <v>#NAME?</v>
      </c>
      <c r="Q15" s="14" t="e">
        <f ca="1">_xll.BDH("ANSS US Equity","GHG_SCOPE_2_INTENSITY_PER_SALES","FY 2023","FY 2023","Currency=USD","Period=FY","BEST_FPERIOD_OVERRIDE=FY","FILING_STATUS=MR","FA_ADJUSTED=GAAP","Sort=A","Dates=H","DateFormat=P","Fill=—","Direction=H","UseDPDF=Y")</f>
        <v>#NAME?</v>
      </c>
    </row>
    <row r="16" spans="1:17" x14ac:dyDescent="0.45">
      <c r="A16" s="10" t="s">
        <v>495</v>
      </c>
      <c r="B16" s="10" t="s">
        <v>496</v>
      </c>
      <c r="C16" s="14" t="e">
        <f ca="1">_xll.BDH("ANSS US Equity","GHG_INTENSITY_PER_EBITDA","FY 2009","FY 2009","Currency=USD","Period=FY","BEST_FPERIOD_OVERRIDE=FY","FILING_STATUS=MR","FA_ADJUSTED=GAAP","Sort=A","Dates=H","DateFormat=P","Fill=—","Direction=H","UseDPDF=Y")</f>
        <v>#NAME?</v>
      </c>
      <c r="D16" s="14" t="e">
        <f ca="1">_xll.BDH("ANSS US Equity","GHG_INTENSITY_PER_EBITDA","FY 2010","FY 2010","Currency=USD","Period=FY","BEST_FPERIOD_OVERRIDE=FY","FILING_STATUS=MR","FA_ADJUSTED=GAAP","Sort=A","Dates=H","DateFormat=P","Fill=—","Direction=H","UseDPDF=Y")</f>
        <v>#NAME?</v>
      </c>
      <c r="E16" s="14" t="e">
        <f ca="1">_xll.BDH("ANSS US Equity","GHG_INTENSITY_PER_EBITDA","FY 2011","FY 2011","Currency=USD","Period=FY","BEST_FPERIOD_OVERRIDE=FY","FILING_STATUS=MR","FA_ADJUSTED=GAAP","Sort=A","Dates=H","DateFormat=P","Fill=—","Direction=H","UseDPDF=Y")</f>
        <v>#NAME?</v>
      </c>
      <c r="F16" s="14" t="e">
        <f ca="1">_xll.BDH("ANSS US Equity","GHG_INTENSITY_PER_EBITDA","FY 2012","FY 2012","Currency=USD","Period=FY","BEST_FPERIOD_OVERRIDE=FY","FILING_STATUS=MR","FA_ADJUSTED=GAAP","Sort=A","Dates=H","DateFormat=P","Fill=—","Direction=H","UseDPDF=Y")</f>
        <v>#NAME?</v>
      </c>
      <c r="G16" s="14" t="e">
        <f ca="1">_xll.BDH("ANSS US Equity","GHG_INTENSITY_PER_EBITDA","FY 2013","FY 2013","Currency=USD","Period=FY","BEST_FPERIOD_OVERRIDE=FY","FILING_STATUS=MR","FA_ADJUSTED=GAAP","Sort=A","Dates=H","DateFormat=P","Fill=—","Direction=H","UseDPDF=Y")</f>
        <v>#NAME?</v>
      </c>
      <c r="H16" s="14" t="e">
        <f ca="1">_xll.BDH("ANSS US Equity","GHG_INTENSITY_PER_EBITDA","FY 2014","FY 2014","Currency=USD","Period=FY","BEST_FPERIOD_OVERRIDE=FY","FILING_STATUS=MR","FA_ADJUSTED=GAAP","Sort=A","Dates=H","DateFormat=P","Fill=—","Direction=H","UseDPDF=Y")</f>
        <v>#NAME?</v>
      </c>
      <c r="I16" s="14" t="e">
        <f ca="1">_xll.BDH("ANSS US Equity","GHG_INTENSITY_PER_EBITDA","FY 2015","FY 2015","Currency=USD","Period=FY","BEST_FPERIOD_OVERRIDE=FY","FILING_STATUS=MR","FA_ADJUSTED=GAAP","Sort=A","Dates=H","DateFormat=P","Fill=—","Direction=H","UseDPDF=Y")</f>
        <v>#NAME?</v>
      </c>
      <c r="J16" s="14" t="e">
        <f ca="1">_xll.BDH("ANSS US Equity","GHG_INTENSITY_PER_EBITDA","FY 2016","FY 2016","Currency=USD","Period=FY","BEST_FPERIOD_OVERRIDE=FY","FILING_STATUS=MR","FA_ADJUSTED=GAAP","Sort=A","Dates=H","DateFormat=P","Fill=—","Direction=H","UseDPDF=Y")</f>
        <v>#NAME?</v>
      </c>
      <c r="K16" s="14" t="e">
        <f ca="1">_xll.BDH("ANSS US Equity","GHG_INTENSITY_PER_EBITDA","FY 2017","FY 2017","Currency=USD","Period=FY","BEST_FPERIOD_OVERRIDE=FY","FILING_STATUS=MR","FA_ADJUSTED=GAAP","Sort=A","Dates=H","DateFormat=P","Fill=—","Direction=H","UseDPDF=Y")</f>
        <v>#NAME?</v>
      </c>
      <c r="L16" s="14" t="e">
        <f ca="1">_xll.BDH("ANSS US Equity","GHG_INTENSITY_PER_EBITDA","FY 2018","FY 2018","Currency=USD","Period=FY","BEST_FPERIOD_OVERRIDE=FY","FILING_STATUS=MR","FA_ADJUSTED=GAAP","Sort=A","Dates=H","DateFormat=P","Fill=—","Direction=H","UseDPDF=Y")</f>
        <v>#NAME?</v>
      </c>
      <c r="M16" s="14" t="e">
        <f ca="1">_xll.BDH("ANSS US Equity","GHG_INTENSITY_PER_EBITDA","FY 2019","FY 2019","Currency=USD","Period=FY","BEST_FPERIOD_OVERRIDE=FY","FILING_STATUS=MR","FA_ADJUSTED=GAAP","Sort=A","Dates=H","DateFormat=P","Fill=—","Direction=H","UseDPDF=Y")</f>
        <v>#NAME?</v>
      </c>
      <c r="N16" s="14" t="e">
        <f ca="1">_xll.BDH("ANSS US Equity","GHG_INTENSITY_PER_EBITDA","FY 2020","FY 2020","Currency=USD","Period=FY","BEST_FPERIOD_OVERRIDE=FY","FILING_STATUS=MR","FA_ADJUSTED=GAAP","Sort=A","Dates=H","DateFormat=P","Fill=—","Direction=H","UseDPDF=Y")</f>
        <v>#NAME?</v>
      </c>
      <c r="O16" s="14" t="e">
        <f ca="1">_xll.BDH("ANSS US Equity","GHG_INTENSITY_PER_EBITDA","FY 2021","FY 2021","Currency=USD","Period=FY","BEST_FPERIOD_OVERRIDE=FY","FILING_STATUS=MR","FA_ADJUSTED=GAAP","Sort=A","Dates=H","DateFormat=P","Fill=—","Direction=H","UseDPDF=Y")</f>
        <v>#NAME?</v>
      </c>
      <c r="P16" s="14" t="e">
        <f ca="1">_xll.BDH("ANSS US Equity","GHG_INTENSITY_PER_EBITDA","FY 2022","FY 2022","Currency=USD","Period=FY","BEST_FPERIOD_OVERRIDE=FY","FILING_STATUS=MR","FA_ADJUSTED=GAAP","Sort=A","Dates=H","DateFormat=P","Fill=—","Direction=H","UseDPDF=Y")</f>
        <v>#NAME?</v>
      </c>
      <c r="Q16" s="14" t="e">
        <f ca="1">_xll.BDH("ANSS US Equity","GHG_INTENSITY_PER_EBITDA","FY 2023","FY 2023","Currency=USD","Period=FY","BEST_FPERIOD_OVERRIDE=FY","FILING_STATUS=MR","FA_ADJUSTED=GAAP","Sort=A","Dates=H","DateFormat=P","Fill=—","Direction=H","UseDPDF=Y")</f>
        <v>#NAME?</v>
      </c>
    </row>
    <row r="17" spans="1:17" x14ac:dyDescent="0.45">
      <c r="A17" s="10" t="s">
        <v>497</v>
      </c>
      <c r="B17" s="10" t="s">
        <v>498</v>
      </c>
      <c r="C17" s="14" t="e">
        <f ca="1">_xll.BDH("ANSS US Equity","TOT_GHG_CO2_EM_INT_P_GR_FXD_AST","FY 2009","FY 2009","Currency=USD","Period=FY","BEST_FPERIOD_OVERRIDE=FY","FILING_STATUS=MR","Sort=A","Dates=H","DateFormat=P","Fill=—","Direction=H","UseDPDF=Y")</f>
        <v>#NAME?</v>
      </c>
      <c r="D17" s="14" t="e">
        <f ca="1">_xll.BDH("ANSS US Equity","TOT_GHG_CO2_EM_INT_P_GR_FXD_AST","FY 2010","FY 2010","Currency=USD","Period=FY","BEST_FPERIOD_OVERRIDE=FY","FILING_STATUS=MR","Sort=A","Dates=H","DateFormat=P","Fill=—","Direction=H","UseDPDF=Y")</f>
        <v>#NAME?</v>
      </c>
      <c r="E17" s="14" t="e">
        <f ca="1">_xll.BDH("ANSS US Equity","TOT_GHG_CO2_EM_INT_P_GR_FXD_AST","FY 2011","FY 2011","Currency=USD","Period=FY","BEST_FPERIOD_OVERRIDE=FY","FILING_STATUS=MR","Sort=A","Dates=H","DateFormat=P","Fill=—","Direction=H","UseDPDF=Y")</f>
        <v>#NAME?</v>
      </c>
      <c r="F17" s="14" t="e">
        <f ca="1">_xll.BDH("ANSS US Equity","TOT_GHG_CO2_EM_INT_P_GR_FXD_AST","FY 2012","FY 2012","Currency=USD","Period=FY","BEST_FPERIOD_OVERRIDE=FY","FILING_STATUS=MR","Sort=A","Dates=H","DateFormat=P","Fill=—","Direction=H","UseDPDF=Y")</f>
        <v>#NAME?</v>
      </c>
      <c r="G17" s="14" t="e">
        <f ca="1">_xll.BDH("ANSS US Equity","TOT_GHG_CO2_EM_INT_P_GR_FXD_AST","FY 2013","FY 2013","Currency=USD","Period=FY","BEST_FPERIOD_OVERRIDE=FY","FILING_STATUS=MR","Sort=A","Dates=H","DateFormat=P","Fill=—","Direction=H","UseDPDF=Y")</f>
        <v>#NAME?</v>
      </c>
      <c r="H17" s="14" t="e">
        <f ca="1">_xll.BDH("ANSS US Equity","TOT_GHG_CO2_EM_INT_P_GR_FXD_AST","FY 2014","FY 2014","Currency=USD","Period=FY","BEST_FPERIOD_OVERRIDE=FY","FILING_STATUS=MR","Sort=A","Dates=H","DateFormat=P","Fill=—","Direction=H","UseDPDF=Y")</f>
        <v>#NAME?</v>
      </c>
      <c r="I17" s="14" t="e">
        <f ca="1">_xll.BDH("ANSS US Equity","TOT_GHG_CO2_EM_INT_P_GR_FXD_AST","FY 2015","FY 2015","Currency=USD","Period=FY","BEST_FPERIOD_OVERRIDE=FY","FILING_STATUS=MR","Sort=A","Dates=H","DateFormat=P","Fill=—","Direction=H","UseDPDF=Y")</f>
        <v>#NAME?</v>
      </c>
      <c r="J17" s="14" t="e">
        <f ca="1">_xll.BDH("ANSS US Equity","TOT_GHG_CO2_EM_INT_P_GR_FXD_AST","FY 2016","FY 2016","Currency=USD","Period=FY","BEST_FPERIOD_OVERRIDE=FY","FILING_STATUS=MR","Sort=A","Dates=H","DateFormat=P","Fill=—","Direction=H","UseDPDF=Y")</f>
        <v>#NAME?</v>
      </c>
      <c r="K17" s="14" t="e">
        <f ca="1">_xll.BDH("ANSS US Equity","TOT_GHG_CO2_EM_INT_P_GR_FXD_AST","FY 2017","FY 2017","Currency=USD","Period=FY","BEST_FPERIOD_OVERRIDE=FY","FILING_STATUS=MR","Sort=A","Dates=H","DateFormat=P","Fill=—","Direction=H","UseDPDF=Y")</f>
        <v>#NAME?</v>
      </c>
      <c r="L17" s="14" t="e">
        <f ca="1">_xll.BDH("ANSS US Equity","TOT_GHG_CO2_EM_INT_P_GR_FXD_AST","FY 2018","FY 2018","Currency=USD","Period=FY","BEST_FPERIOD_OVERRIDE=FY","FILING_STATUS=MR","Sort=A","Dates=H","DateFormat=P","Fill=—","Direction=H","UseDPDF=Y")</f>
        <v>#NAME?</v>
      </c>
      <c r="M17" s="14" t="e">
        <f ca="1">_xll.BDH("ANSS US Equity","TOT_GHG_CO2_EM_INT_P_GR_FXD_AST","FY 2019","FY 2019","Currency=USD","Period=FY","BEST_FPERIOD_OVERRIDE=FY","FILING_STATUS=MR","Sort=A","Dates=H","DateFormat=P","Fill=—","Direction=H","UseDPDF=Y")</f>
        <v>#NAME?</v>
      </c>
      <c r="N17" s="14" t="e">
        <f ca="1">_xll.BDH("ANSS US Equity","TOT_GHG_CO2_EM_INT_P_GR_FXD_AST","FY 2020","FY 2020","Currency=USD","Period=FY","BEST_FPERIOD_OVERRIDE=FY","FILING_STATUS=MR","Sort=A","Dates=H","DateFormat=P","Fill=—","Direction=H","UseDPDF=Y")</f>
        <v>#NAME?</v>
      </c>
      <c r="O17" s="14" t="e">
        <f ca="1">_xll.BDH("ANSS US Equity","TOT_GHG_CO2_EM_INT_P_GR_FXD_AST","FY 2021","FY 2021","Currency=USD","Period=FY","BEST_FPERIOD_OVERRIDE=FY","FILING_STATUS=MR","Sort=A","Dates=H","DateFormat=P","Fill=—","Direction=H","UseDPDF=Y")</f>
        <v>#NAME?</v>
      </c>
      <c r="P17" s="14" t="e">
        <f ca="1">_xll.BDH("ANSS US Equity","TOT_GHG_CO2_EM_INT_P_GR_FXD_AST","FY 2022","FY 2022","Currency=USD","Period=FY","BEST_FPERIOD_OVERRIDE=FY","FILING_STATUS=MR","Sort=A","Dates=H","DateFormat=P","Fill=—","Direction=H","UseDPDF=Y")</f>
        <v>#NAME?</v>
      </c>
      <c r="Q17" s="14" t="e">
        <f ca="1">_xll.BDH("ANSS US Equity","TOT_GHG_CO2_EM_INT_P_GR_FXD_AST","FY 2023","FY 2023","Currency=USD","Period=FY","BEST_FPERIOD_OVERRIDE=FY","FILING_STATUS=MR","Sort=A","Dates=H","DateFormat=P","Fill=—","Direction=H","UseDPDF=Y")</f>
        <v>#NAME?</v>
      </c>
    </row>
    <row r="18" spans="1:17" x14ac:dyDescent="0.45">
      <c r="A18" s="10" t="s">
        <v>499</v>
      </c>
      <c r="B18" s="10" t="s">
        <v>500</v>
      </c>
      <c r="C18" s="14" t="e">
        <f ca="1">_xll.BDH("ANSS US Equity","TOT_GHG_CO2_EM_INT_P_NT_FXD_AST","FY 2009","FY 2009","Currency=USD","Period=FY","BEST_FPERIOD_OVERRIDE=FY","FILING_STATUS=MR","Sort=A","Dates=H","DateFormat=P","Fill=—","Direction=H","UseDPDF=Y")</f>
        <v>#NAME?</v>
      </c>
      <c r="D18" s="14" t="e">
        <f ca="1">_xll.BDH("ANSS US Equity","TOT_GHG_CO2_EM_INT_P_NT_FXD_AST","FY 2010","FY 2010","Currency=USD","Period=FY","BEST_FPERIOD_OVERRIDE=FY","FILING_STATUS=MR","Sort=A","Dates=H","DateFormat=P","Fill=—","Direction=H","UseDPDF=Y")</f>
        <v>#NAME?</v>
      </c>
      <c r="E18" s="14" t="e">
        <f ca="1">_xll.BDH("ANSS US Equity","TOT_GHG_CO2_EM_INT_P_NT_FXD_AST","FY 2011","FY 2011","Currency=USD","Period=FY","BEST_FPERIOD_OVERRIDE=FY","FILING_STATUS=MR","Sort=A","Dates=H","DateFormat=P","Fill=—","Direction=H","UseDPDF=Y")</f>
        <v>#NAME?</v>
      </c>
      <c r="F18" s="14" t="e">
        <f ca="1">_xll.BDH("ANSS US Equity","TOT_GHG_CO2_EM_INT_P_NT_FXD_AST","FY 2012","FY 2012","Currency=USD","Period=FY","BEST_FPERIOD_OVERRIDE=FY","FILING_STATUS=MR","Sort=A","Dates=H","DateFormat=P","Fill=—","Direction=H","UseDPDF=Y")</f>
        <v>#NAME?</v>
      </c>
      <c r="G18" s="14" t="e">
        <f ca="1">_xll.BDH("ANSS US Equity","TOT_GHG_CO2_EM_INT_P_NT_FXD_AST","FY 2013","FY 2013","Currency=USD","Period=FY","BEST_FPERIOD_OVERRIDE=FY","FILING_STATUS=MR","Sort=A","Dates=H","DateFormat=P","Fill=—","Direction=H","UseDPDF=Y")</f>
        <v>#NAME?</v>
      </c>
      <c r="H18" s="14" t="e">
        <f ca="1">_xll.BDH("ANSS US Equity","TOT_GHG_CO2_EM_INT_P_NT_FXD_AST","FY 2014","FY 2014","Currency=USD","Period=FY","BEST_FPERIOD_OVERRIDE=FY","FILING_STATUS=MR","Sort=A","Dates=H","DateFormat=P","Fill=—","Direction=H","UseDPDF=Y")</f>
        <v>#NAME?</v>
      </c>
      <c r="I18" s="14" t="e">
        <f ca="1">_xll.BDH("ANSS US Equity","TOT_GHG_CO2_EM_INT_P_NT_FXD_AST","FY 2015","FY 2015","Currency=USD","Period=FY","BEST_FPERIOD_OVERRIDE=FY","FILING_STATUS=MR","Sort=A","Dates=H","DateFormat=P","Fill=—","Direction=H","UseDPDF=Y")</f>
        <v>#NAME?</v>
      </c>
      <c r="J18" s="14" t="e">
        <f ca="1">_xll.BDH("ANSS US Equity","TOT_GHG_CO2_EM_INT_P_NT_FXD_AST","FY 2016","FY 2016","Currency=USD","Period=FY","BEST_FPERIOD_OVERRIDE=FY","FILING_STATUS=MR","Sort=A","Dates=H","DateFormat=P","Fill=—","Direction=H","UseDPDF=Y")</f>
        <v>#NAME?</v>
      </c>
      <c r="K18" s="14" t="e">
        <f ca="1">_xll.BDH("ANSS US Equity","TOT_GHG_CO2_EM_INT_P_NT_FXD_AST","FY 2017","FY 2017","Currency=USD","Period=FY","BEST_FPERIOD_OVERRIDE=FY","FILING_STATUS=MR","Sort=A","Dates=H","DateFormat=P","Fill=—","Direction=H","UseDPDF=Y")</f>
        <v>#NAME?</v>
      </c>
      <c r="L18" s="14" t="e">
        <f ca="1">_xll.BDH("ANSS US Equity","TOT_GHG_CO2_EM_INT_P_NT_FXD_AST","FY 2018","FY 2018","Currency=USD","Period=FY","BEST_FPERIOD_OVERRIDE=FY","FILING_STATUS=MR","Sort=A","Dates=H","DateFormat=P","Fill=—","Direction=H","UseDPDF=Y")</f>
        <v>#NAME?</v>
      </c>
      <c r="M18" s="14" t="e">
        <f ca="1">_xll.BDH("ANSS US Equity","TOT_GHG_CO2_EM_INT_P_NT_FXD_AST","FY 2019","FY 2019","Currency=USD","Period=FY","BEST_FPERIOD_OVERRIDE=FY","FILING_STATUS=MR","Sort=A","Dates=H","DateFormat=P","Fill=—","Direction=H","UseDPDF=Y")</f>
        <v>#NAME?</v>
      </c>
      <c r="N18" s="14" t="e">
        <f ca="1">_xll.BDH("ANSS US Equity","TOT_GHG_CO2_EM_INT_P_NT_FXD_AST","FY 2020","FY 2020","Currency=USD","Period=FY","BEST_FPERIOD_OVERRIDE=FY","FILING_STATUS=MR","Sort=A","Dates=H","DateFormat=P","Fill=—","Direction=H","UseDPDF=Y")</f>
        <v>#NAME?</v>
      </c>
      <c r="O18" s="14" t="e">
        <f ca="1">_xll.BDH("ANSS US Equity","TOT_GHG_CO2_EM_INT_P_NT_FXD_AST","FY 2021","FY 2021","Currency=USD","Period=FY","BEST_FPERIOD_OVERRIDE=FY","FILING_STATUS=MR","Sort=A","Dates=H","DateFormat=P","Fill=—","Direction=H","UseDPDF=Y")</f>
        <v>#NAME?</v>
      </c>
      <c r="P18" s="14" t="e">
        <f ca="1">_xll.BDH("ANSS US Equity","TOT_GHG_CO2_EM_INT_P_NT_FXD_AST","FY 2022","FY 2022","Currency=USD","Period=FY","BEST_FPERIOD_OVERRIDE=FY","FILING_STATUS=MR","Sort=A","Dates=H","DateFormat=P","Fill=—","Direction=H","UseDPDF=Y")</f>
        <v>#NAME?</v>
      </c>
      <c r="Q18" s="14" t="e">
        <f ca="1">_xll.BDH("ANSS US Equity","TOT_GHG_CO2_EM_INT_P_NT_FXD_AST","FY 2023","FY 2023","Currency=USD","Period=FY","BEST_FPERIOD_OVERRIDE=FY","FILING_STATUS=MR","Sort=A","Dates=H","DateFormat=P","Fill=—","Direction=H","UseDPDF=Y")</f>
        <v>#NAME?</v>
      </c>
    </row>
    <row r="19" spans="1:17" x14ac:dyDescent="0.45">
      <c r="A19" s="10" t="s">
        <v>501</v>
      </c>
      <c r="B19" s="10" t="s">
        <v>502</v>
      </c>
      <c r="C19" s="14" t="e">
        <f ca="1">_xll.BDH("ANSS US Equity","GHG_INTENSITY_PER_ENERGY","FY 2009","FY 2009","Currency=USD","Period=FY","BEST_FPERIOD_OVERRIDE=FY","FILING_STATUS=MR","Sort=A","Dates=H","DateFormat=P","Fill=—","Direction=H","UseDPDF=Y")</f>
        <v>#NAME?</v>
      </c>
      <c r="D19" s="14" t="e">
        <f ca="1">_xll.BDH("ANSS US Equity","GHG_INTENSITY_PER_ENERGY","FY 2010","FY 2010","Currency=USD","Period=FY","BEST_FPERIOD_OVERRIDE=FY","FILING_STATUS=MR","Sort=A","Dates=H","DateFormat=P","Fill=—","Direction=H","UseDPDF=Y")</f>
        <v>#NAME?</v>
      </c>
      <c r="E19" s="14" t="e">
        <f ca="1">_xll.BDH("ANSS US Equity","GHG_INTENSITY_PER_ENERGY","FY 2011","FY 2011","Currency=USD","Period=FY","BEST_FPERIOD_OVERRIDE=FY","FILING_STATUS=MR","Sort=A","Dates=H","DateFormat=P","Fill=—","Direction=H","UseDPDF=Y")</f>
        <v>#NAME?</v>
      </c>
      <c r="F19" s="14" t="e">
        <f ca="1">_xll.BDH("ANSS US Equity","GHG_INTENSITY_PER_ENERGY","FY 2012","FY 2012","Currency=USD","Period=FY","BEST_FPERIOD_OVERRIDE=FY","FILING_STATUS=MR","Sort=A","Dates=H","DateFormat=P","Fill=—","Direction=H","UseDPDF=Y")</f>
        <v>#NAME?</v>
      </c>
      <c r="G19" s="14" t="e">
        <f ca="1">_xll.BDH("ANSS US Equity","GHG_INTENSITY_PER_ENERGY","FY 2013","FY 2013","Currency=USD","Period=FY","BEST_FPERIOD_OVERRIDE=FY","FILING_STATUS=MR","Sort=A","Dates=H","DateFormat=P","Fill=—","Direction=H","UseDPDF=Y")</f>
        <v>#NAME?</v>
      </c>
      <c r="H19" s="14" t="e">
        <f ca="1">_xll.BDH("ANSS US Equity","GHG_INTENSITY_PER_ENERGY","FY 2014","FY 2014","Currency=USD","Period=FY","BEST_FPERIOD_OVERRIDE=FY","FILING_STATUS=MR","Sort=A","Dates=H","DateFormat=P","Fill=—","Direction=H","UseDPDF=Y")</f>
        <v>#NAME?</v>
      </c>
      <c r="I19" s="14" t="e">
        <f ca="1">_xll.BDH("ANSS US Equity","GHG_INTENSITY_PER_ENERGY","FY 2015","FY 2015","Currency=USD","Period=FY","BEST_FPERIOD_OVERRIDE=FY","FILING_STATUS=MR","Sort=A","Dates=H","DateFormat=P","Fill=—","Direction=H","UseDPDF=Y")</f>
        <v>#NAME?</v>
      </c>
      <c r="J19" s="14" t="e">
        <f ca="1">_xll.BDH("ANSS US Equity","GHG_INTENSITY_PER_ENERGY","FY 2016","FY 2016","Currency=USD","Period=FY","BEST_FPERIOD_OVERRIDE=FY","FILING_STATUS=MR","Sort=A","Dates=H","DateFormat=P","Fill=—","Direction=H","UseDPDF=Y")</f>
        <v>#NAME?</v>
      </c>
      <c r="K19" s="14" t="e">
        <f ca="1">_xll.BDH("ANSS US Equity","GHG_INTENSITY_PER_ENERGY","FY 2017","FY 2017","Currency=USD","Period=FY","BEST_FPERIOD_OVERRIDE=FY","FILING_STATUS=MR","Sort=A","Dates=H","DateFormat=P","Fill=—","Direction=H","UseDPDF=Y")</f>
        <v>#NAME?</v>
      </c>
      <c r="L19" s="14" t="e">
        <f ca="1">_xll.BDH("ANSS US Equity","GHG_INTENSITY_PER_ENERGY","FY 2018","FY 2018","Currency=USD","Period=FY","BEST_FPERIOD_OVERRIDE=FY","FILING_STATUS=MR","Sort=A","Dates=H","DateFormat=P","Fill=—","Direction=H","UseDPDF=Y")</f>
        <v>#NAME?</v>
      </c>
      <c r="M19" s="14" t="e">
        <f ca="1">_xll.BDH("ANSS US Equity","GHG_INTENSITY_PER_ENERGY","FY 2019","FY 2019","Currency=USD","Period=FY","BEST_FPERIOD_OVERRIDE=FY","FILING_STATUS=MR","Sort=A","Dates=H","DateFormat=P","Fill=—","Direction=H","UseDPDF=Y")</f>
        <v>#NAME?</v>
      </c>
      <c r="N19" s="14" t="e">
        <f ca="1">_xll.BDH("ANSS US Equity","GHG_INTENSITY_PER_ENERGY","FY 2020","FY 2020","Currency=USD","Period=FY","BEST_FPERIOD_OVERRIDE=FY","FILING_STATUS=MR","Sort=A","Dates=H","DateFormat=P","Fill=—","Direction=H","UseDPDF=Y")</f>
        <v>#NAME?</v>
      </c>
      <c r="O19" s="14" t="e">
        <f ca="1">_xll.BDH("ANSS US Equity","GHG_INTENSITY_PER_ENERGY","FY 2021","FY 2021","Currency=USD","Period=FY","BEST_FPERIOD_OVERRIDE=FY","FILING_STATUS=MR","Sort=A","Dates=H","DateFormat=P","Fill=—","Direction=H","UseDPDF=Y")</f>
        <v>#NAME?</v>
      </c>
      <c r="P19" s="14" t="e">
        <f ca="1">_xll.BDH("ANSS US Equity","GHG_INTENSITY_PER_ENERGY","FY 2022","FY 2022","Currency=USD","Period=FY","BEST_FPERIOD_OVERRIDE=FY","FILING_STATUS=MR","Sort=A","Dates=H","DateFormat=P","Fill=—","Direction=H","UseDPDF=Y")</f>
        <v>#NAME?</v>
      </c>
      <c r="Q19" s="14" t="e">
        <f ca="1">_xll.BDH("ANSS US Equity","GHG_INTENSITY_PER_ENERGY","FY 2023","FY 2023","Currency=USD","Period=FY","BEST_FPERIOD_OVERRIDE=FY","FILING_STATUS=MR","Sort=A","Dates=H","DateFormat=P","Fill=—","Direction=H","UseDPDF=Y")</f>
        <v>#NAME?</v>
      </c>
    </row>
    <row r="20" spans="1:17" x14ac:dyDescent="0.45">
      <c r="A20" s="10" t="s">
        <v>503</v>
      </c>
      <c r="B20" s="10" t="s">
        <v>504</v>
      </c>
      <c r="C20" s="14" t="e">
        <f ca="1">_xll.BDH("ANSS US Equity","GHG_INTENSITY_PER_EMPLOYEE","FY 2009","FY 2009","Currency=USD","Period=FY","BEST_FPERIOD_OVERRIDE=FY","FILING_STATUS=MR","Sort=A","Dates=H","DateFormat=P","Fill=—","Direction=H","UseDPDF=Y")</f>
        <v>#NAME?</v>
      </c>
      <c r="D20" s="14" t="e">
        <f ca="1">_xll.BDH("ANSS US Equity","GHG_INTENSITY_PER_EMPLOYEE","FY 2010","FY 2010","Currency=USD","Period=FY","BEST_FPERIOD_OVERRIDE=FY","FILING_STATUS=MR","Sort=A","Dates=H","DateFormat=P","Fill=—","Direction=H","UseDPDF=Y")</f>
        <v>#NAME?</v>
      </c>
      <c r="E20" s="14" t="e">
        <f ca="1">_xll.BDH("ANSS US Equity","GHG_INTENSITY_PER_EMPLOYEE","FY 2011","FY 2011","Currency=USD","Period=FY","BEST_FPERIOD_OVERRIDE=FY","FILING_STATUS=MR","Sort=A","Dates=H","DateFormat=P","Fill=—","Direction=H","UseDPDF=Y")</f>
        <v>#NAME?</v>
      </c>
      <c r="F20" s="14" t="e">
        <f ca="1">_xll.BDH("ANSS US Equity","GHG_INTENSITY_PER_EMPLOYEE","FY 2012","FY 2012","Currency=USD","Period=FY","BEST_FPERIOD_OVERRIDE=FY","FILING_STATUS=MR","Sort=A","Dates=H","DateFormat=P","Fill=—","Direction=H","UseDPDF=Y")</f>
        <v>#NAME?</v>
      </c>
      <c r="G20" s="14" t="e">
        <f ca="1">_xll.BDH("ANSS US Equity","GHG_INTENSITY_PER_EMPLOYEE","FY 2013","FY 2013","Currency=USD","Period=FY","BEST_FPERIOD_OVERRIDE=FY","FILING_STATUS=MR","Sort=A","Dates=H","DateFormat=P","Fill=—","Direction=H","UseDPDF=Y")</f>
        <v>#NAME?</v>
      </c>
      <c r="H20" s="14" t="e">
        <f ca="1">_xll.BDH("ANSS US Equity","GHG_INTENSITY_PER_EMPLOYEE","FY 2014","FY 2014","Currency=USD","Period=FY","BEST_FPERIOD_OVERRIDE=FY","FILING_STATUS=MR","Sort=A","Dates=H","DateFormat=P","Fill=—","Direction=H","UseDPDF=Y")</f>
        <v>#NAME?</v>
      </c>
      <c r="I20" s="14" t="e">
        <f ca="1">_xll.BDH("ANSS US Equity","GHG_INTENSITY_PER_EMPLOYEE","FY 2015","FY 2015","Currency=USD","Period=FY","BEST_FPERIOD_OVERRIDE=FY","FILING_STATUS=MR","Sort=A","Dates=H","DateFormat=P","Fill=—","Direction=H","UseDPDF=Y")</f>
        <v>#NAME?</v>
      </c>
      <c r="J20" s="14" t="e">
        <f ca="1">_xll.BDH("ANSS US Equity","GHG_INTENSITY_PER_EMPLOYEE","FY 2016","FY 2016","Currency=USD","Period=FY","BEST_FPERIOD_OVERRIDE=FY","FILING_STATUS=MR","Sort=A","Dates=H","DateFormat=P","Fill=—","Direction=H","UseDPDF=Y")</f>
        <v>#NAME?</v>
      </c>
      <c r="K20" s="14" t="e">
        <f ca="1">_xll.BDH("ANSS US Equity","GHG_INTENSITY_PER_EMPLOYEE","FY 2017","FY 2017","Currency=USD","Period=FY","BEST_FPERIOD_OVERRIDE=FY","FILING_STATUS=MR","Sort=A","Dates=H","DateFormat=P","Fill=—","Direction=H","UseDPDF=Y")</f>
        <v>#NAME?</v>
      </c>
      <c r="L20" s="14" t="e">
        <f ca="1">_xll.BDH("ANSS US Equity","GHG_INTENSITY_PER_EMPLOYEE","FY 2018","FY 2018","Currency=USD","Period=FY","BEST_FPERIOD_OVERRIDE=FY","FILING_STATUS=MR","Sort=A","Dates=H","DateFormat=P","Fill=—","Direction=H","UseDPDF=Y")</f>
        <v>#NAME?</v>
      </c>
      <c r="M20" s="14" t="e">
        <f ca="1">_xll.BDH("ANSS US Equity","GHG_INTENSITY_PER_EMPLOYEE","FY 2019","FY 2019","Currency=USD","Period=FY","BEST_FPERIOD_OVERRIDE=FY","FILING_STATUS=MR","Sort=A","Dates=H","DateFormat=P","Fill=—","Direction=H","UseDPDF=Y")</f>
        <v>#NAME?</v>
      </c>
      <c r="N20" s="14" t="e">
        <f ca="1">_xll.BDH("ANSS US Equity","GHG_INTENSITY_PER_EMPLOYEE","FY 2020","FY 2020","Currency=USD","Period=FY","BEST_FPERIOD_OVERRIDE=FY","FILING_STATUS=MR","Sort=A","Dates=H","DateFormat=P","Fill=—","Direction=H","UseDPDF=Y")</f>
        <v>#NAME?</v>
      </c>
      <c r="O20" s="14" t="e">
        <f ca="1">_xll.BDH("ANSS US Equity","GHG_INTENSITY_PER_EMPLOYEE","FY 2021","FY 2021","Currency=USD","Period=FY","BEST_FPERIOD_OVERRIDE=FY","FILING_STATUS=MR","Sort=A","Dates=H","DateFormat=P","Fill=—","Direction=H","UseDPDF=Y")</f>
        <v>#NAME?</v>
      </c>
      <c r="P20" s="14" t="e">
        <f ca="1">_xll.BDH("ANSS US Equity","GHG_INTENSITY_PER_EMPLOYEE","FY 2022","FY 2022","Currency=USD","Period=FY","BEST_FPERIOD_OVERRIDE=FY","FILING_STATUS=MR","Sort=A","Dates=H","DateFormat=P","Fill=—","Direction=H","UseDPDF=Y")</f>
        <v>#NAME?</v>
      </c>
      <c r="Q20" s="14" t="e">
        <f ca="1">_xll.BDH("ANSS US Equity","GHG_INTENSITY_PER_EMPLOYEE","FY 2023","FY 2023","Currency=USD","Period=FY","BEST_FPERIOD_OVERRIDE=FY","FILING_STATUS=MR","Sort=A","Dates=H","DateFormat=P","Fill=—","Direction=H","UseDPDF=Y")</f>
        <v>#NAME?</v>
      </c>
    </row>
    <row r="21" spans="1:17" x14ac:dyDescent="0.45">
      <c r="A21" s="10" t="s">
        <v>505</v>
      </c>
      <c r="B21" s="10" t="s">
        <v>506</v>
      </c>
      <c r="C21" s="14" t="e">
        <f ca="1">_xll.BDH("ANSS US Equity","GHG_INTENSITY_PER_ASSETS","FY 2009","FY 2009","Currency=USD","Period=FY","BEST_FPERIOD_OVERRIDE=FY","FILING_STATUS=MR","Sort=A","Dates=H","DateFormat=P","Fill=—","Direction=H","UseDPDF=Y")</f>
        <v>#NAME?</v>
      </c>
      <c r="D21" s="14" t="e">
        <f ca="1">_xll.BDH("ANSS US Equity","GHG_INTENSITY_PER_ASSETS","FY 2010","FY 2010","Currency=USD","Period=FY","BEST_FPERIOD_OVERRIDE=FY","FILING_STATUS=MR","Sort=A","Dates=H","DateFormat=P","Fill=—","Direction=H","UseDPDF=Y")</f>
        <v>#NAME?</v>
      </c>
      <c r="E21" s="14" t="e">
        <f ca="1">_xll.BDH("ANSS US Equity","GHG_INTENSITY_PER_ASSETS","FY 2011","FY 2011","Currency=USD","Period=FY","BEST_FPERIOD_OVERRIDE=FY","FILING_STATUS=MR","Sort=A","Dates=H","DateFormat=P","Fill=—","Direction=H","UseDPDF=Y")</f>
        <v>#NAME?</v>
      </c>
      <c r="F21" s="14" t="e">
        <f ca="1">_xll.BDH("ANSS US Equity","GHG_INTENSITY_PER_ASSETS","FY 2012","FY 2012","Currency=USD","Period=FY","BEST_FPERIOD_OVERRIDE=FY","FILING_STATUS=MR","Sort=A","Dates=H","DateFormat=P","Fill=—","Direction=H","UseDPDF=Y")</f>
        <v>#NAME?</v>
      </c>
      <c r="G21" s="14" t="e">
        <f ca="1">_xll.BDH("ANSS US Equity","GHG_INTENSITY_PER_ASSETS","FY 2013","FY 2013","Currency=USD","Period=FY","BEST_FPERIOD_OVERRIDE=FY","FILING_STATUS=MR","Sort=A","Dates=H","DateFormat=P","Fill=—","Direction=H","UseDPDF=Y")</f>
        <v>#NAME?</v>
      </c>
      <c r="H21" s="14" t="e">
        <f ca="1">_xll.BDH("ANSS US Equity","GHG_INTENSITY_PER_ASSETS","FY 2014","FY 2014","Currency=USD","Period=FY","BEST_FPERIOD_OVERRIDE=FY","FILING_STATUS=MR","Sort=A","Dates=H","DateFormat=P","Fill=—","Direction=H","UseDPDF=Y")</f>
        <v>#NAME?</v>
      </c>
      <c r="I21" s="14" t="e">
        <f ca="1">_xll.BDH("ANSS US Equity","GHG_INTENSITY_PER_ASSETS","FY 2015","FY 2015","Currency=USD","Period=FY","BEST_FPERIOD_OVERRIDE=FY","FILING_STATUS=MR","Sort=A","Dates=H","DateFormat=P","Fill=—","Direction=H","UseDPDF=Y")</f>
        <v>#NAME?</v>
      </c>
      <c r="J21" s="14" t="e">
        <f ca="1">_xll.BDH("ANSS US Equity","GHG_INTENSITY_PER_ASSETS","FY 2016","FY 2016","Currency=USD","Period=FY","BEST_FPERIOD_OVERRIDE=FY","FILING_STATUS=MR","Sort=A","Dates=H","DateFormat=P","Fill=—","Direction=H","UseDPDF=Y")</f>
        <v>#NAME?</v>
      </c>
      <c r="K21" s="14" t="e">
        <f ca="1">_xll.BDH("ANSS US Equity","GHG_INTENSITY_PER_ASSETS","FY 2017","FY 2017","Currency=USD","Period=FY","BEST_FPERIOD_OVERRIDE=FY","FILING_STATUS=MR","Sort=A","Dates=H","DateFormat=P","Fill=—","Direction=H","UseDPDF=Y")</f>
        <v>#NAME?</v>
      </c>
      <c r="L21" s="14" t="e">
        <f ca="1">_xll.BDH("ANSS US Equity","GHG_INTENSITY_PER_ASSETS","FY 2018","FY 2018","Currency=USD","Period=FY","BEST_FPERIOD_OVERRIDE=FY","FILING_STATUS=MR","Sort=A","Dates=H","DateFormat=P","Fill=—","Direction=H","UseDPDF=Y")</f>
        <v>#NAME?</v>
      </c>
      <c r="M21" s="14" t="e">
        <f ca="1">_xll.BDH("ANSS US Equity","GHG_INTENSITY_PER_ASSETS","FY 2019","FY 2019","Currency=USD","Period=FY","BEST_FPERIOD_OVERRIDE=FY","FILING_STATUS=MR","Sort=A","Dates=H","DateFormat=P","Fill=—","Direction=H","UseDPDF=Y")</f>
        <v>#NAME?</v>
      </c>
      <c r="N21" s="14" t="e">
        <f ca="1">_xll.BDH("ANSS US Equity","GHG_INTENSITY_PER_ASSETS","FY 2020","FY 2020","Currency=USD","Period=FY","BEST_FPERIOD_OVERRIDE=FY","FILING_STATUS=MR","Sort=A","Dates=H","DateFormat=P","Fill=—","Direction=H","UseDPDF=Y")</f>
        <v>#NAME?</v>
      </c>
      <c r="O21" s="14" t="e">
        <f ca="1">_xll.BDH("ANSS US Equity","GHG_INTENSITY_PER_ASSETS","FY 2021","FY 2021","Currency=USD","Period=FY","BEST_FPERIOD_OVERRIDE=FY","FILING_STATUS=MR","Sort=A","Dates=H","DateFormat=P","Fill=—","Direction=H","UseDPDF=Y")</f>
        <v>#NAME?</v>
      </c>
      <c r="P21" s="14" t="e">
        <f ca="1">_xll.BDH("ANSS US Equity","GHG_INTENSITY_PER_ASSETS","FY 2022","FY 2022","Currency=USD","Period=FY","BEST_FPERIOD_OVERRIDE=FY","FILING_STATUS=MR","Sort=A","Dates=H","DateFormat=P","Fill=—","Direction=H","UseDPDF=Y")</f>
        <v>#NAME?</v>
      </c>
      <c r="Q21" s="14" t="e">
        <f ca="1">_xll.BDH("ANSS US Equity","GHG_INTENSITY_PER_ASSETS","FY 2023","FY 2023","Currency=USD","Period=FY","BEST_FPERIOD_OVERRIDE=FY","FILING_STATUS=MR","Sort=A","Dates=H","DateFormat=P","Fill=—","Direction=H","UseDPDF=Y")</f>
        <v>#NAME?</v>
      </c>
    </row>
    <row r="22" spans="1:17" x14ac:dyDescent="0.45">
      <c r="A22" s="10" t="s">
        <v>507</v>
      </c>
      <c r="B22" s="10" t="s">
        <v>508</v>
      </c>
      <c r="C22" s="14" t="e">
        <f ca="1">_xll.BDH("ANSS US Equity","TRAVEL_GHG_PER_EMPLOYEE","FY 2009","FY 2009","Currency=USD","Period=FY","BEST_FPERIOD_OVERRIDE=FY","FILING_STATUS=MR","Sort=A","Dates=H","DateFormat=P","Fill=—","Direction=H","UseDPDF=Y")</f>
        <v>#NAME?</v>
      </c>
      <c r="D22" s="14" t="e">
        <f ca="1">_xll.BDH("ANSS US Equity","TRAVEL_GHG_PER_EMPLOYEE","FY 2010","FY 2010","Currency=USD","Period=FY","BEST_FPERIOD_OVERRIDE=FY","FILING_STATUS=MR","Sort=A","Dates=H","DateFormat=P","Fill=—","Direction=H","UseDPDF=Y")</f>
        <v>#NAME?</v>
      </c>
      <c r="E22" s="14" t="e">
        <f ca="1">_xll.BDH("ANSS US Equity","TRAVEL_GHG_PER_EMPLOYEE","FY 2011","FY 2011","Currency=USD","Period=FY","BEST_FPERIOD_OVERRIDE=FY","FILING_STATUS=MR","Sort=A","Dates=H","DateFormat=P","Fill=—","Direction=H","UseDPDF=Y")</f>
        <v>#NAME?</v>
      </c>
      <c r="F22" s="14" t="e">
        <f ca="1">_xll.BDH("ANSS US Equity","TRAVEL_GHG_PER_EMPLOYEE","FY 2012","FY 2012","Currency=USD","Period=FY","BEST_FPERIOD_OVERRIDE=FY","FILING_STATUS=MR","Sort=A","Dates=H","DateFormat=P","Fill=—","Direction=H","UseDPDF=Y")</f>
        <v>#NAME?</v>
      </c>
      <c r="G22" s="14" t="e">
        <f ca="1">_xll.BDH("ANSS US Equity","TRAVEL_GHG_PER_EMPLOYEE","FY 2013","FY 2013","Currency=USD","Period=FY","BEST_FPERIOD_OVERRIDE=FY","FILING_STATUS=MR","Sort=A","Dates=H","DateFormat=P","Fill=—","Direction=H","UseDPDF=Y")</f>
        <v>#NAME?</v>
      </c>
      <c r="H22" s="14" t="e">
        <f ca="1">_xll.BDH("ANSS US Equity","TRAVEL_GHG_PER_EMPLOYEE","FY 2014","FY 2014","Currency=USD","Period=FY","BEST_FPERIOD_OVERRIDE=FY","FILING_STATUS=MR","Sort=A","Dates=H","DateFormat=P","Fill=—","Direction=H","UseDPDF=Y")</f>
        <v>#NAME?</v>
      </c>
      <c r="I22" s="14" t="e">
        <f ca="1">_xll.BDH("ANSS US Equity","TRAVEL_GHG_PER_EMPLOYEE","FY 2015","FY 2015","Currency=USD","Period=FY","BEST_FPERIOD_OVERRIDE=FY","FILING_STATUS=MR","Sort=A","Dates=H","DateFormat=P","Fill=—","Direction=H","UseDPDF=Y")</f>
        <v>#NAME?</v>
      </c>
      <c r="J22" s="14" t="e">
        <f ca="1">_xll.BDH("ANSS US Equity","TRAVEL_GHG_PER_EMPLOYEE","FY 2016","FY 2016","Currency=USD","Period=FY","BEST_FPERIOD_OVERRIDE=FY","FILING_STATUS=MR","Sort=A","Dates=H","DateFormat=P","Fill=—","Direction=H","UseDPDF=Y")</f>
        <v>#NAME?</v>
      </c>
      <c r="K22" s="14" t="e">
        <f ca="1">_xll.BDH("ANSS US Equity","TRAVEL_GHG_PER_EMPLOYEE","FY 2017","FY 2017","Currency=USD","Period=FY","BEST_FPERIOD_OVERRIDE=FY","FILING_STATUS=MR","Sort=A","Dates=H","DateFormat=P","Fill=—","Direction=H","UseDPDF=Y")</f>
        <v>#NAME?</v>
      </c>
      <c r="L22" s="14" t="e">
        <f ca="1">_xll.BDH("ANSS US Equity","TRAVEL_GHG_PER_EMPLOYEE","FY 2018","FY 2018","Currency=USD","Period=FY","BEST_FPERIOD_OVERRIDE=FY","FILING_STATUS=MR","Sort=A","Dates=H","DateFormat=P","Fill=—","Direction=H","UseDPDF=Y")</f>
        <v>#NAME?</v>
      </c>
      <c r="M22" s="14" t="e">
        <f ca="1">_xll.BDH("ANSS US Equity","TRAVEL_GHG_PER_EMPLOYEE","FY 2019","FY 2019","Currency=USD","Period=FY","BEST_FPERIOD_OVERRIDE=FY","FILING_STATUS=MR","Sort=A","Dates=H","DateFormat=P","Fill=—","Direction=H","UseDPDF=Y")</f>
        <v>#NAME?</v>
      </c>
      <c r="N22" s="14" t="e">
        <f ca="1">_xll.BDH("ANSS US Equity","TRAVEL_GHG_PER_EMPLOYEE","FY 2020","FY 2020","Currency=USD","Period=FY","BEST_FPERIOD_OVERRIDE=FY","FILING_STATUS=MR","Sort=A","Dates=H","DateFormat=P","Fill=—","Direction=H","UseDPDF=Y")</f>
        <v>#NAME?</v>
      </c>
      <c r="O22" s="14" t="e">
        <f ca="1">_xll.BDH("ANSS US Equity","TRAVEL_GHG_PER_EMPLOYEE","FY 2021","FY 2021","Currency=USD","Period=FY","BEST_FPERIOD_OVERRIDE=FY","FILING_STATUS=MR","Sort=A","Dates=H","DateFormat=P","Fill=—","Direction=H","UseDPDF=Y")</f>
        <v>#NAME?</v>
      </c>
      <c r="P22" s="14" t="e">
        <f ca="1">_xll.BDH("ANSS US Equity","TRAVEL_GHG_PER_EMPLOYEE","FY 2022","FY 2022","Currency=USD","Period=FY","BEST_FPERIOD_OVERRIDE=FY","FILING_STATUS=MR","Sort=A","Dates=H","DateFormat=P","Fill=—","Direction=H","UseDPDF=Y")</f>
        <v>#NAME?</v>
      </c>
      <c r="Q22" s="14" t="e">
        <f ca="1">_xll.BDH("ANSS US Equity","TRAVEL_GHG_PER_EMPLOYEE","FY 2023","FY 2023","Currency=USD","Period=FY","BEST_FPERIOD_OVERRIDE=FY","FILING_STATUS=MR","Sort=A","Dates=H","DateFormat=P","Fill=—","Direction=H","UseDPDF=Y")</f>
        <v>#NAME?</v>
      </c>
    </row>
    <row r="23" spans="1:17" x14ac:dyDescent="0.4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x14ac:dyDescent="0.45">
      <c r="A24" s="6" t="s">
        <v>509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x14ac:dyDescent="0.45">
      <c r="A25" s="10" t="s">
        <v>510</v>
      </c>
      <c r="B25" s="10" t="s">
        <v>511</v>
      </c>
      <c r="C25" s="14" t="e">
        <f ca="1">_xll.BDH("ANSS US Equity","TRAVEL_EMISSIONS_PER_SALES","FY 2009","FY 2009","Currency=USD","Period=FY","BEST_FPERIOD_OVERRIDE=FY","FILING_STATUS=MR","FA_ADJUSTED=GAAP","Sort=A","Dates=H","DateFormat=P","Fill=—","Direction=H","UseDPDF=Y")</f>
        <v>#NAME?</v>
      </c>
      <c r="D25" s="14" t="e">
        <f ca="1">_xll.BDH("ANSS US Equity","TRAVEL_EMISSIONS_PER_SALES","FY 2010","FY 2010","Currency=USD","Period=FY","BEST_FPERIOD_OVERRIDE=FY","FILING_STATUS=MR","FA_ADJUSTED=GAAP","Sort=A","Dates=H","DateFormat=P","Fill=—","Direction=H","UseDPDF=Y")</f>
        <v>#NAME?</v>
      </c>
      <c r="E25" s="14" t="e">
        <f ca="1">_xll.BDH("ANSS US Equity","TRAVEL_EMISSIONS_PER_SALES","FY 2011","FY 2011","Currency=USD","Period=FY","BEST_FPERIOD_OVERRIDE=FY","FILING_STATUS=MR","FA_ADJUSTED=GAAP","Sort=A","Dates=H","DateFormat=P","Fill=—","Direction=H","UseDPDF=Y")</f>
        <v>#NAME?</v>
      </c>
      <c r="F25" s="14" t="e">
        <f ca="1">_xll.BDH("ANSS US Equity","TRAVEL_EMISSIONS_PER_SALES","FY 2012","FY 2012","Currency=USD","Period=FY","BEST_FPERIOD_OVERRIDE=FY","FILING_STATUS=MR","FA_ADJUSTED=GAAP","Sort=A","Dates=H","DateFormat=P","Fill=—","Direction=H","UseDPDF=Y")</f>
        <v>#NAME?</v>
      </c>
      <c r="G25" s="14" t="e">
        <f ca="1">_xll.BDH("ANSS US Equity","TRAVEL_EMISSIONS_PER_SALES","FY 2013","FY 2013","Currency=USD","Period=FY","BEST_FPERIOD_OVERRIDE=FY","FILING_STATUS=MR","FA_ADJUSTED=GAAP","Sort=A","Dates=H","DateFormat=P","Fill=—","Direction=H","UseDPDF=Y")</f>
        <v>#NAME?</v>
      </c>
      <c r="H25" s="14" t="e">
        <f ca="1">_xll.BDH("ANSS US Equity","TRAVEL_EMISSIONS_PER_SALES","FY 2014","FY 2014","Currency=USD","Period=FY","BEST_FPERIOD_OVERRIDE=FY","FILING_STATUS=MR","FA_ADJUSTED=GAAP","Sort=A","Dates=H","DateFormat=P","Fill=—","Direction=H","UseDPDF=Y")</f>
        <v>#NAME?</v>
      </c>
      <c r="I25" s="14" t="e">
        <f ca="1">_xll.BDH("ANSS US Equity","TRAVEL_EMISSIONS_PER_SALES","FY 2015","FY 2015","Currency=USD","Period=FY","BEST_FPERIOD_OVERRIDE=FY","FILING_STATUS=MR","FA_ADJUSTED=GAAP","Sort=A","Dates=H","DateFormat=P","Fill=—","Direction=H","UseDPDF=Y")</f>
        <v>#NAME?</v>
      </c>
      <c r="J25" s="14" t="e">
        <f ca="1">_xll.BDH("ANSS US Equity","TRAVEL_EMISSIONS_PER_SALES","FY 2016","FY 2016","Currency=USD","Period=FY","BEST_FPERIOD_OVERRIDE=FY","FILING_STATUS=MR","FA_ADJUSTED=GAAP","Sort=A","Dates=H","DateFormat=P","Fill=—","Direction=H","UseDPDF=Y")</f>
        <v>#NAME?</v>
      </c>
      <c r="K25" s="14" t="e">
        <f ca="1">_xll.BDH("ANSS US Equity","TRAVEL_EMISSIONS_PER_SALES","FY 2017","FY 2017","Currency=USD","Period=FY","BEST_FPERIOD_OVERRIDE=FY","FILING_STATUS=MR","FA_ADJUSTED=GAAP","Sort=A","Dates=H","DateFormat=P","Fill=—","Direction=H","UseDPDF=Y")</f>
        <v>#NAME?</v>
      </c>
      <c r="L25" s="14" t="e">
        <f ca="1">_xll.BDH("ANSS US Equity","TRAVEL_EMISSIONS_PER_SALES","FY 2018","FY 2018","Currency=USD","Period=FY","BEST_FPERIOD_OVERRIDE=FY","FILING_STATUS=MR","FA_ADJUSTED=GAAP","Sort=A","Dates=H","DateFormat=P","Fill=—","Direction=H","UseDPDF=Y")</f>
        <v>#NAME?</v>
      </c>
      <c r="M25" s="14" t="e">
        <f ca="1">_xll.BDH("ANSS US Equity","TRAVEL_EMISSIONS_PER_SALES","FY 2019","FY 2019","Currency=USD","Period=FY","BEST_FPERIOD_OVERRIDE=FY","FILING_STATUS=MR","FA_ADJUSTED=GAAP","Sort=A","Dates=H","DateFormat=P","Fill=—","Direction=H","UseDPDF=Y")</f>
        <v>#NAME?</v>
      </c>
      <c r="N25" s="14" t="e">
        <f ca="1">_xll.BDH("ANSS US Equity","TRAVEL_EMISSIONS_PER_SALES","FY 2020","FY 2020","Currency=USD","Period=FY","BEST_FPERIOD_OVERRIDE=FY","FILING_STATUS=MR","FA_ADJUSTED=GAAP","Sort=A","Dates=H","DateFormat=P","Fill=—","Direction=H","UseDPDF=Y")</f>
        <v>#NAME?</v>
      </c>
      <c r="O25" s="14" t="e">
        <f ca="1">_xll.BDH("ANSS US Equity","TRAVEL_EMISSIONS_PER_SALES","FY 2021","FY 2021","Currency=USD","Period=FY","BEST_FPERIOD_OVERRIDE=FY","FILING_STATUS=MR","FA_ADJUSTED=GAAP","Sort=A","Dates=H","DateFormat=P","Fill=—","Direction=H","UseDPDF=Y")</f>
        <v>#NAME?</v>
      </c>
      <c r="P25" s="14" t="e">
        <f ca="1">_xll.BDH("ANSS US Equity","TRAVEL_EMISSIONS_PER_SALES","FY 2022","FY 2022","Currency=USD","Period=FY","BEST_FPERIOD_OVERRIDE=FY","FILING_STATUS=MR","FA_ADJUSTED=GAAP","Sort=A","Dates=H","DateFormat=P","Fill=—","Direction=H","UseDPDF=Y")</f>
        <v>#NAME?</v>
      </c>
      <c r="Q25" s="14" t="e">
        <f ca="1">_xll.BDH("ANSS US Equity","TRAVEL_EMISSIONS_PER_SALES","FY 2023","FY 2023","Currency=USD","Period=FY","BEST_FPERIOD_OVERRIDE=FY","FILING_STATUS=MR","FA_ADJUSTED=GAAP","Sort=A","Dates=H","DateFormat=P","Fill=—","Direction=H","UseDPDF=Y")</f>
        <v>#NAME?</v>
      </c>
    </row>
    <row r="26" spans="1:17" x14ac:dyDescent="0.45">
      <c r="A26" s="10" t="s">
        <v>512</v>
      </c>
      <c r="B26" s="10" t="s">
        <v>513</v>
      </c>
      <c r="C26" s="14" t="e">
        <f ca="1">_xll.BDH("ANSS US Equity","TRAVEL_CO2_PER_EMPLOYEE","FY 2009","FY 2009","Currency=USD","Period=FY","BEST_FPERIOD_OVERRIDE=FY","FILING_STATUS=MR","Sort=A","Dates=H","DateFormat=P","Fill=—","Direction=H","UseDPDF=Y")</f>
        <v>#NAME?</v>
      </c>
      <c r="D26" s="14" t="e">
        <f ca="1">_xll.BDH("ANSS US Equity","TRAVEL_CO2_PER_EMPLOYEE","FY 2010","FY 2010","Currency=USD","Period=FY","BEST_FPERIOD_OVERRIDE=FY","FILING_STATUS=MR","Sort=A","Dates=H","DateFormat=P","Fill=—","Direction=H","UseDPDF=Y")</f>
        <v>#NAME?</v>
      </c>
      <c r="E26" s="14" t="e">
        <f ca="1">_xll.BDH("ANSS US Equity","TRAVEL_CO2_PER_EMPLOYEE","FY 2011","FY 2011","Currency=USD","Period=FY","BEST_FPERIOD_OVERRIDE=FY","FILING_STATUS=MR","Sort=A","Dates=H","DateFormat=P","Fill=—","Direction=H","UseDPDF=Y")</f>
        <v>#NAME?</v>
      </c>
      <c r="F26" s="14" t="e">
        <f ca="1">_xll.BDH("ANSS US Equity","TRAVEL_CO2_PER_EMPLOYEE","FY 2012","FY 2012","Currency=USD","Period=FY","BEST_FPERIOD_OVERRIDE=FY","FILING_STATUS=MR","Sort=A","Dates=H","DateFormat=P","Fill=—","Direction=H","UseDPDF=Y")</f>
        <v>#NAME?</v>
      </c>
      <c r="G26" s="14" t="e">
        <f ca="1">_xll.BDH("ANSS US Equity","TRAVEL_CO2_PER_EMPLOYEE","FY 2013","FY 2013","Currency=USD","Period=FY","BEST_FPERIOD_OVERRIDE=FY","FILING_STATUS=MR","Sort=A","Dates=H","DateFormat=P","Fill=—","Direction=H","UseDPDF=Y")</f>
        <v>#NAME?</v>
      </c>
      <c r="H26" s="14" t="e">
        <f ca="1">_xll.BDH("ANSS US Equity","TRAVEL_CO2_PER_EMPLOYEE","FY 2014","FY 2014","Currency=USD","Period=FY","BEST_FPERIOD_OVERRIDE=FY","FILING_STATUS=MR","Sort=A","Dates=H","DateFormat=P","Fill=—","Direction=H","UseDPDF=Y")</f>
        <v>#NAME?</v>
      </c>
      <c r="I26" s="14" t="e">
        <f ca="1">_xll.BDH("ANSS US Equity","TRAVEL_CO2_PER_EMPLOYEE","FY 2015","FY 2015","Currency=USD","Period=FY","BEST_FPERIOD_OVERRIDE=FY","FILING_STATUS=MR","Sort=A","Dates=H","DateFormat=P","Fill=—","Direction=H","UseDPDF=Y")</f>
        <v>#NAME?</v>
      </c>
      <c r="J26" s="14" t="e">
        <f ca="1">_xll.BDH("ANSS US Equity","TRAVEL_CO2_PER_EMPLOYEE","FY 2016","FY 2016","Currency=USD","Period=FY","BEST_FPERIOD_OVERRIDE=FY","FILING_STATUS=MR","Sort=A","Dates=H","DateFormat=P","Fill=—","Direction=H","UseDPDF=Y")</f>
        <v>#NAME?</v>
      </c>
      <c r="K26" s="14" t="e">
        <f ca="1">_xll.BDH("ANSS US Equity","TRAVEL_CO2_PER_EMPLOYEE","FY 2017","FY 2017","Currency=USD","Period=FY","BEST_FPERIOD_OVERRIDE=FY","FILING_STATUS=MR","Sort=A","Dates=H","DateFormat=P","Fill=—","Direction=H","UseDPDF=Y")</f>
        <v>#NAME?</v>
      </c>
      <c r="L26" s="14" t="e">
        <f ca="1">_xll.BDH("ANSS US Equity","TRAVEL_CO2_PER_EMPLOYEE","FY 2018","FY 2018","Currency=USD","Period=FY","BEST_FPERIOD_OVERRIDE=FY","FILING_STATUS=MR","Sort=A","Dates=H","DateFormat=P","Fill=—","Direction=H","UseDPDF=Y")</f>
        <v>#NAME?</v>
      </c>
      <c r="M26" s="14" t="e">
        <f ca="1">_xll.BDH("ANSS US Equity","TRAVEL_CO2_PER_EMPLOYEE","FY 2019","FY 2019","Currency=USD","Period=FY","BEST_FPERIOD_OVERRIDE=FY","FILING_STATUS=MR","Sort=A","Dates=H","DateFormat=P","Fill=—","Direction=H","UseDPDF=Y")</f>
        <v>#NAME?</v>
      </c>
      <c r="N26" s="14" t="e">
        <f ca="1">_xll.BDH("ANSS US Equity","TRAVEL_CO2_PER_EMPLOYEE","FY 2020","FY 2020","Currency=USD","Period=FY","BEST_FPERIOD_OVERRIDE=FY","FILING_STATUS=MR","Sort=A","Dates=H","DateFormat=P","Fill=—","Direction=H","UseDPDF=Y")</f>
        <v>#NAME?</v>
      </c>
      <c r="O26" s="14" t="e">
        <f ca="1">_xll.BDH("ANSS US Equity","TRAVEL_CO2_PER_EMPLOYEE","FY 2021","FY 2021","Currency=USD","Period=FY","BEST_FPERIOD_OVERRIDE=FY","FILING_STATUS=MR","Sort=A","Dates=H","DateFormat=P","Fill=—","Direction=H","UseDPDF=Y")</f>
        <v>#NAME?</v>
      </c>
      <c r="P26" s="14" t="e">
        <f ca="1">_xll.BDH("ANSS US Equity","TRAVEL_CO2_PER_EMPLOYEE","FY 2022","FY 2022","Currency=USD","Period=FY","BEST_FPERIOD_OVERRIDE=FY","FILING_STATUS=MR","Sort=A","Dates=H","DateFormat=P","Fill=—","Direction=H","UseDPDF=Y")</f>
        <v>#NAME?</v>
      </c>
      <c r="Q26" s="14" t="e">
        <f ca="1">_xll.BDH("ANSS US Equity","TRAVEL_CO2_PER_EMPLOYEE","FY 2023","FY 2023","Currency=USD","Period=FY","BEST_FPERIOD_OVERRIDE=FY","FILING_STATUS=MR","Sort=A","Dates=H","DateFormat=P","Fill=—","Direction=H","UseDPDF=Y")</f>
        <v>#NAME?</v>
      </c>
    </row>
    <row r="27" spans="1:17" x14ac:dyDescent="0.4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x14ac:dyDescent="0.45">
      <c r="A28" s="6" t="s">
        <v>514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x14ac:dyDescent="0.45">
      <c r="A29" s="10" t="s">
        <v>515</v>
      </c>
      <c r="B29" s="10" t="s">
        <v>516</v>
      </c>
      <c r="C29" s="14" t="e">
        <f ca="1">_xll.BDH("ANSS US Equity","ENERGY_INTENSITY_PER_SALES","FY 2009","FY 2009","Currency=USD","Period=FY","BEST_FPERIOD_OVERRIDE=FY","FILING_STATUS=MR","FA_ADJUSTED=GAAP","Sort=A","Dates=H","DateFormat=P","Fill=—","Direction=H","UseDPDF=Y")</f>
        <v>#NAME?</v>
      </c>
      <c r="D29" s="14" t="e">
        <f ca="1">_xll.BDH("ANSS US Equity","ENERGY_INTENSITY_PER_SALES","FY 2010","FY 2010","Currency=USD","Period=FY","BEST_FPERIOD_OVERRIDE=FY","FILING_STATUS=MR","FA_ADJUSTED=GAAP","Sort=A","Dates=H","DateFormat=P","Fill=—","Direction=H","UseDPDF=Y")</f>
        <v>#NAME?</v>
      </c>
      <c r="E29" s="14" t="e">
        <f ca="1">_xll.BDH("ANSS US Equity","ENERGY_INTENSITY_PER_SALES","FY 2011","FY 2011","Currency=USD","Period=FY","BEST_FPERIOD_OVERRIDE=FY","FILING_STATUS=MR","FA_ADJUSTED=GAAP","Sort=A","Dates=H","DateFormat=P","Fill=—","Direction=H","UseDPDF=Y")</f>
        <v>#NAME?</v>
      </c>
      <c r="F29" s="14" t="e">
        <f ca="1">_xll.BDH("ANSS US Equity","ENERGY_INTENSITY_PER_SALES","FY 2012","FY 2012","Currency=USD","Period=FY","BEST_FPERIOD_OVERRIDE=FY","FILING_STATUS=MR","FA_ADJUSTED=GAAP","Sort=A","Dates=H","DateFormat=P","Fill=—","Direction=H","UseDPDF=Y")</f>
        <v>#NAME?</v>
      </c>
      <c r="G29" s="14" t="e">
        <f ca="1">_xll.BDH("ANSS US Equity","ENERGY_INTENSITY_PER_SALES","FY 2013","FY 2013","Currency=USD","Period=FY","BEST_FPERIOD_OVERRIDE=FY","FILING_STATUS=MR","FA_ADJUSTED=GAAP","Sort=A","Dates=H","DateFormat=P","Fill=—","Direction=H","UseDPDF=Y")</f>
        <v>#NAME?</v>
      </c>
      <c r="H29" s="14" t="e">
        <f ca="1">_xll.BDH("ANSS US Equity","ENERGY_INTENSITY_PER_SALES","FY 2014","FY 2014","Currency=USD","Period=FY","BEST_FPERIOD_OVERRIDE=FY","FILING_STATUS=MR","FA_ADJUSTED=GAAP","Sort=A","Dates=H","DateFormat=P","Fill=—","Direction=H","UseDPDF=Y")</f>
        <v>#NAME?</v>
      </c>
      <c r="I29" s="14" t="e">
        <f ca="1">_xll.BDH("ANSS US Equity","ENERGY_INTENSITY_PER_SALES","FY 2015","FY 2015","Currency=USD","Period=FY","BEST_FPERIOD_OVERRIDE=FY","FILING_STATUS=MR","FA_ADJUSTED=GAAP","Sort=A","Dates=H","DateFormat=P","Fill=—","Direction=H","UseDPDF=Y")</f>
        <v>#NAME?</v>
      </c>
      <c r="J29" s="14" t="e">
        <f ca="1">_xll.BDH("ANSS US Equity","ENERGY_INTENSITY_PER_SALES","FY 2016","FY 2016","Currency=USD","Period=FY","BEST_FPERIOD_OVERRIDE=FY","FILING_STATUS=MR","FA_ADJUSTED=GAAP","Sort=A","Dates=H","DateFormat=P","Fill=—","Direction=H","UseDPDF=Y")</f>
        <v>#NAME?</v>
      </c>
      <c r="K29" s="14" t="e">
        <f ca="1">_xll.BDH("ANSS US Equity","ENERGY_INTENSITY_PER_SALES","FY 2017","FY 2017","Currency=USD","Period=FY","BEST_FPERIOD_OVERRIDE=FY","FILING_STATUS=MR","FA_ADJUSTED=GAAP","Sort=A","Dates=H","DateFormat=P","Fill=—","Direction=H","UseDPDF=Y")</f>
        <v>#NAME?</v>
      </c>
      <c r="L29" s="14" t="e">
        <f ca="1">_xll.BDH("ANSS US Equity","ENERGY_INTENSITY_PER_SALES","FY 2018","FY 2018","Currency=USD","Period=FY","BEST_FPERIOD_OVERRIDE=FY","FILING_STATUS=MR","FA_ADJUSTED=GAAP","Sort=A","Dates=H","DateFormat=P","Fill=—","Direction=H","UseDPDF=Y")</f>
        <v>#NAME?</v>
      </c>
      <c r="M29" s="14" t="e">
        <f ca="1">_xll.BDH("ANSS US Equity","ENERGY_INTENSITY_PER_SALES","FY 2019","FY 2019","Currency=USD","Period=FY","BEST_FPERIOD_OVERRIDE=FY","FILING_STATUS=MR","FA_ADJUSTED=GAAP","Sort=A","Dates=H","DateFormat=P","Fill=—","Direction=H","UseDPDF=Y")</f>
        <v>#NAME?</v>
      </c>
      <c r="N29" s="14" t="e">
        <f ca="1">_xll.BDH("ANSS US Equity","ENERGY_INTENSITY_PER_SALES","FY 2020","FY 2020","Currency=USD","Period=FY","BEST_FPERIOD_OVERRIDE=FY","FILING_STATUS=MR","FA_ADJUSTED=GAAP","Sort=A","Dates=H","DateFormat=P","Fill=—","Direction=H","UseDPDF=Y")</f>
        <v>#NAME?</v>
      </c>
      <c r="O29" s="14" t="e">
        <f ca="1">_xll.BDH("ANSS US Equity","ENERGY_INTENSITY_PER_SALES","FY 2021","FY 2021","Currency=USD","Period=FY","BEST_FPERIOD_OVERRIDE=FY","FILING_STATUS=MR","FA_ADJUSTED=GAAP","Sort=A","Dates=H","DateFormat=P","Fill=—","Direction=H","UseDPDF=Y")</f>
        <v>#NAME?</v>
      </c>
      <c r="P29" s="14" t="e">
        <f ca="1">_xll.BDH("ANSS US Equity","ENERGY_INTENSITY_PER_SALES","FY 2022","FY 2022","Currency=USD","Period=FY","BEST_FPERIOD_OVERRIDE=FY","FILING_STATUS=MR","FA_ADJUSTED=GAAP","Sort=A","Dates=H","DateFormat=P","Fill=—","Direction=H","UseDPDF=Y")</f>
        <v>#NAME?</v>
      </c>
      <c r="Q29" s="14" t="e">
        <f ca="1">_xll.BDH("ANSS US Equity","ENERGY_INTENSITY_PER_SALES","FY 2023","FY 2023","Currency=USD","Period=FY","BEST_FPERIOD_OVERRIDE=FY","FILING_STATUS=MR","FA_ADJUSTED=GAAP","Sort=A","Dates=H","DateFormat=P","Fill=—","Direction=H","UseDPDF=Y")</f>
        <v>#NAME?</v>
      </c>
    </row>
    <row r="30" spans="1:17" x14ac:dyDescent="0.45">
      <c r="A30" s="10" t="s">
        <v>517</v>
      </c>
      <c r="B30" s="10" t="s">
        <v>518</v>
      </c>
      <c r="C30" s="14" t="e">
        <f ca="1">_xll.BDH("ANSS US Equity","ENERGY_INTENSITY_PER_EBITDA","FY 2009","FY 2009","Currency=USD","Period=FY","BEST_FPERIOD_OVERRIDE=FY","FILING_STATUS=MR","FA_ADJUSTED=GAAP","Sort=A","Dates=H","DateFormat=P","Fill=—","Direction=H","UseDPDF=Y")</f>
        <v>#NAME?</v>
      </c>
      <c r="D30" s="14" t="e">
        <f ca="1">_xll.BDH("ANSS US Equity","ENERGY_INTENSITY_PER_EBITDA","FY 2010","FY 2010","Currency=USD","Period=FY","BEST_FPERIOD_OVERRIDE=FY","FILING_STATUS=MR","FA_ADJUSTED=GAAP","Sort=A","Dates=H","DateFormat=P","Fill=—","Direction=H","UseDPDF=Y")</f>
        <v>#NAME?</v>
      </c>
      <c r="E30" s="14" t="e">
        <f ca="1">_xll.BDH("ANSS US Equity","ENERGY_INTENSITY_PER_EBITDA","FY 2011","FY 2011","Currency=USD","Period=FY","BEST_FPERIOD_OVERRIDE=FY","FILING_STATUS=MR","FA_ADJUSTED=GAAP","Sort=A","Dates=H","DateFormat=P","Fill=—","Direction=H","UseDPDF=Y")</f>
        <v>#NAME?</v>
      </c>
      <c r="F30" s="14" t="e">
        <f ca="1">_xll.BDH("ANSS US Equity","ENERGY_INTENSITY_PER_EBITDA","FY 2012","FY 2012","Currency=USD","Period=FY","BEST_FPERIOD_OVERRIDE=FY","FILING_STATUS=MR","FA_ADJUSTED=GAAP","Sort=A","Dates=H","DateFormat=P","Fill=—","Direction=H","UseDPDF=Y")</f>
        <v>#NAME?</v>
      </c>
      <c r="G30" s="14" t="e">
        <f ca="1">_xll.BDH("ANSS US Equity","ENERGY_INTENSITY_PER_EBITDA","FY 2013","FY 2013","Currency=USD","Period=FY","BEST_FPERIOD_OVERRIDE=FY","FILING_STATUS=MR","FA_ADJUSTED=GAAP","Sort=A","Dates=H","DateFormat=P","Fill=—","Direction=H","UseDPDF=Y")</f>
        <v>#NAME?</v>
      </c>
      <c r="H30" s="14" t="e">
        <f ca="1">_xll.BDH("ANSS US Equity","ENERGY_INTENSITY_PER_EBITDA","FY 2014","FY 2014","Currency=USD","Period=FY","BEST_FPERIOD_OVERRIDE=FY","FILING_STATUS=MR","FA_ADJUSTED=GAAP","Sort=A","Dates=H","DateFormat=P","Fill=—","Direction=H","UseDPDF=Y")</f>
        <v>#NAME?</v>
      </c>
      <c r="I30" s="14" t="e">
        <f ca="1">_xll.BDH("ANSS US Equity","ENERGY_INTENSITY_PER_EBITDA","FY 2015","FY 2015","Currency=USD","Period=FY","BEST_FPERIOD_OVERRIDE=FY","FILING_STATUS=MR","FA_ADJUSTED=GAAP","Sort=A","Dates=H","DateFormat=P","Fill=—","Direction=H","UseDPDF=Y")</f>
        <v>#NAME?</v>
      </c>
      <c r="J30" s="14" t="e">
        <f ca="1">_xll.BDH("ANSS US Equity","ENERGY_INTENSITY_PER_EBITDA","FY 2016","FY 2016","Currency=USD","Period=FY","BEST_FPERIOD_OVERRIDE=FY","FILING_STATUS=MR","FA_ADJUSTED=GAAP","Sort=A","Dates=H","DateFormat=P","Fill=—","Direction=H","UseDPDF=Y")</f>
        <v>#NAME?</v>
      </c>
      <c r="K30" s="14" t="e">
        <f ca="1">_xll.BDH("ANSS US Equity","ENERGY_INTENSITY_PER_EBITDA","FY 2017","FY 2017","Currency=USD","Period=FY","BEST_FPERIOD_OVERRIDE=FY","FILING_STATUS=MR","FA_ADJUSTED=GAAP","Sort=A","Dates=H","DateFormat=P","Fill=—","Direction=H","UseDPDF=Y")</f>
        <v>#NAME?</v>
      </c>
      <c r="L30" s="14" t="e">
        <f ca="1">_xll.BDH("ANSS US Equity","ENERGY_INTENSITY_PER_EBITDA","FY 2018","FY 2018","Currency=USD","Period=FY","BEST_FPERIOD_OVERRIDE=FY","FILING_STATUS=MR","FA_ADJUSTED=GAAP","Sort=A","Dates=H","DateFormat=P","Fill=—","Direction=H","UseDPDF=Y")</f>
        <v>#NAME?</v>
      </c>
      <c r="M30" s="14" t="e">
        <f ca="1">_xll.BDH("ANSS US Equity","ENERGY_INTENSITY_PER_EBITDA","FY 2019","FY 2019","Currency=USD","Period=FY","BEST_FPERIOD_OVERRIDE=FY","FILING_STATUS=MR","FA_ADJUSTED=GAAP","Sort=A","Dates=H","DateFormat=P","Fill=—","Direction=H","UseDPDF=Y")</f>
        <v>#NAME?</v>
      </c>
      <c r="N30" s="14" t="e">
        <f ca="1">_xll.BDH("ANSS US Equity","ENERGY_INTENSITY_PER_EBITDA","FY 2020","FY 2020","Currency=USD","Period=FY","BEST_FPERIOD_OVERRIDE=FY","FILING_STATUS=MR","FA_ADJUSTED=GAAP","Sort=A","Dates=H","DateFormat=P","Fill=—","Direction=H","UseDPDF=Y")</f>
        <v>#NAME?</v>
      </c>
      <c r="O30" s="14" t="e">
        <f ca="1">_xll.BDH("ANSS US Equity","ENERGY_INTENSITY_PER_EBITDA","FY 2021","FY 2021","Currency=USD","Period=FY","BEST_FPERIOD_OVERRIDE=FY","FILING_STATUS=MR","FA_ADJUSTED=GAAP","Sort=A","Dates=H","DateFormat=P","Fill=—","Direction=H","UseDPDF=Y")</f>
        <v>#NAME?</v>
      </c>
      <c r="P30" s="14" t="e">
        <f ca="1">_xll.BDH("ANSS US Equity","ENERGY_INTENSITY_PER_EBITDA","FY 2022","FY 2022","Currency=USD","Period=FY","BEST_FPERIOD_OVERRIDE=FY","FILING_STATUS=MR","FA_ADJUSTED=GAAP","Sort=A","Dates=H","DateFormat=P","Fill=—","Direction=H","UseDPDF=Y")</f>
        <v>#NAME?</v>
      </c>
      <c r="Q30" s="14" t="e">
        <f ca="1">_xll.BDH("ANSS US Equity","ENERGY_INTENSITY_PER_EBITDA","FY 2023","FY 2023","Currency=USD","Period=FY","BEST_FPERIOD_OVERRIDE=FY","FILING_STATUS=MR","FA_ADJUSTED=GAAP","Sort=A","Dates=H","DateFormat=P","Fill=—","Direction=H","UseDPDF=Y")</f>
        <v>#NAME?</v>
      </c>
    </row>
    <row r="31" spans="1:17" x14ac:dyDescent="0.45">
      <c r="A31" s="10" t="s">
        <v>519</v>
      </c>
      <c r="B31" s="10" t="s">
        <v>520</v>
      </c>
      <c r="C31" s="14" t="e">
        <f ca="1">_xll.BDH("ANSS US Equity","ENERGY_INTENSITY_PER_EMPLOYEE","FY 2009","FY 2009","Currency=USD","Period=FY","BEST_FPERIOD_OVERRIDE=FY","FILING_STATUS=MR","Sort=A","Dates=H","DateFormat=P","Fill=—","Direction=H","UseDPDF=Y")</f>
        <v>#NAME?</v>
      </c>
      <c r="D31" s="14" t="e">
        <f ca="1">_xll.BDH("ANSS US Equity","ENERGY_INTENSITY_PER_EMPLOYEE","FY 2010","FY 2010","Currency=USD","Period=FY","BEST_FPERIOD_OVERRIDE=FY","FILING_STATUS=MR","Sort=A","Dates=H","DateFormat=P","Fill=—","Direction=H","UseDPDF=Y")</f>
        <v>#NAME?</v>
      </c>
      <c r="E31" s="14" t="e">
        <f ca="1">_xll.BDH("ANSS US Equity","ENERGY_INTENSITY_PER_EMPLOYEE","FY 2011","FY 2011","Currency=USD","Period=FY","BEST_FPERIOD_OVERRIDE=FY","FILING_STATUS=MR","Sort=A","Dates=H","DateFormat=P","Fill=—","Direction=H","UseDPDF=Y")</f>
        <v>#NAME?</v>
      </c>
      <c r="F31" s="14" t="e">
        <f ca="1">_xll.BDH("ANSS US Equity","ENERGY_INTENSITY_PER_EMPLOYEE","FY 2012","FY 2012","Currency=USD","Period=FY","BEST_FPERIOD_OVERRIDE=FY","FILING_STATUS=MR","Sort=A","Dates=H","DateFormat=P","Fill=—","Direction=H","UseDPDF=Y")</f>
        <v>#NAME?</v>
      </c>
      <c r="G31" s="14" t="e">
        <f ca="1">_xll.BDH("ANSS US Equity","ENERGY_INTENSITY_PER_EMPLOYEE","FY 2013","FY 2013","Currency=USD","Period=FY","BEST_FPERIOD_OVERRIDE=FY","FILING_STATUS=MR","Sort=A","Dates=H","DateFormat=P","Fill=—","Direction=H","UseDPDF=Y")</f>
        <v>#NAME?</v>
      </c>
      <c r="H31" s="14" t="e">
        <f ca="1">_xll.BDH("ANSS US Equity","ENERGY_INTENSITY_PER_EMPLOYEE","FY 2014","FY 2014","Currency=USD","Period=FY","BEST_FPERIOD_OVERRIDE=FY","FILING_STATUS=MR","Sort=A","Dates=H","DateFormat=P","Fill=—","Direction=H","UseDPDF=Y")</f>
        <v>#NAME?</v>
      </c>
      <c r="I31" s="14" t="e">
        <f ca="1">_xll.BDH("ANSS US Equity","ENERGY_INTENSITY_PER_EMPLOYEE","FY 2015","FY 2015","Currency=USD","Period=FY","BEST_FPERIOD_OVERRIDE=FY","FILING_STATUS=MR","Sort=A","Dates=H","DateFormat=P","Fill=—","Direction=H","UseDPDF=Y")</f>
        <v>#NAME?</v>
      </c>
      <c r="J31" s="14" t="e">
        <f ca="1">_xll.BDH("ANSS US Equity","ENERGY_INTENSITY_PER_EMPLOYEE","FY 2016","FY 2016","Currency=USD","Period=FY","BEST_FPERIOD_OVERRIDE=FY","FILING_STATUS=MR","Sort=A","Dates=H","DateFormat=P","Fill=—","Direction=H","UseDPDF=Y")</f>
        <v>#NAME?</v>
      </c>
      <c r="K31" s="14" t="e">
        <f ca="1">_xll.BDH("ANSS US Equity","ENERGY_INTENSITY_PER_EMPLOYEE","FY 2017","FY 2017","Currency=USD","Period=FY","BEST_FPERIOD_OVERRIDE=FY","FILING_STATUS=MR","Sort=A","Dates=H","DateFormat=P","Fill=—","Direction=H","UseDPDF=Y")</f>
        <v>#NAME?</v>
      </c>
      <c r="L31" s="14" t="e">
        <f ca="1">_xll.BDH("ANSS US Equity","ENERGY_INTENSITY_PER_EMPLOYEE","FY 2018","FY 2018","Currency=USD","Period=FY","BEST_FPERIOD_OVERRIDE=FY","FILING_STATUS=MR","Sort=A","Dates=H","DateFormat=P","Fill=—","Direction=H","UseDPDF=Y")</f>
        <v>#NAME?</v>
      </c>
      <c r="M31" s="14" t="e">
        <f ca="1">_xll.BDH("ANSS US Equity","ENERGY_INTENSITY_PER_EMPLOYEE","FY 2019","FY 2019","Currency=USD","Period=FY","BEST_FPERIOD_OVERRIDE=FY","FILING_STATUS=MR","Sort=A","Dates=H","DateFormat=P","Fill=—","Direction=H","UseDPDF=Y")</f>
        <v>#NAME?</v>
      </c>
      <c r="N31" s="14" t="e">
        <f ca="1">_xll.BDH("ANSS US Equity","ENERGY_INTENSITY_PER_EMPLOYEE","FY 2020","FY 2020","Currency=USD","Period=FY","BEST_FPERIOD_OVERRIDE=FY","FILING_STATUS=MR","Sort=A","Dates=H","DateFormat=P","Fill=—","Direction=H","UseDPDF=Y")</f>
        <v>#NAME?</v>
      </c>
      <c r="O31" s="14" t="e">
        <f ca="1">_xll.BDH("ANSS US Equity","ENERGY_INTENSITY_PER_EMPLOYEE","FY 2021","FY 2021","Currency=USD","Period=FY","BEST_FPERIOD_OVERRIDE=FY","FILING_STATUS=MR","Sort=A","Dates=H","DateFormat=P","Fill=—","Direction=H","UseDPDF=Y")</f>
        <v>#NAME?</v>
      </c>
      <c r="P31" s="14" t="e">
        <f ca="1">_xll.BDH("ANSS US Equity","ENERGY_INTENSITY_PER_EMPLOYEE","FY 2022","FY 2022","Currency=USD","Period=FY","BEST_FPERIOD_OVERRIDE=FY","FILING_STATUS=MR","Sort=A","Dates=H","DateFormat=P","Fill=—","Direction=H","UseDPDF=Y")</f>
        <v>#NAME?</v>
      </c>
      <c r="Q31" s="14" t="e">
        <f ca="1">_xll.BDH("ANSS US Equity","ENERGY_INTENSITY_PER_EMPLOYEE","FY 2023","FY 2023","Currency=USD","Period=FY","BEST_FPERIOD_OVERRIDE=FY","FILING_STATUS=MR","Sort=A","Dates=H","DateFormat=P","Fill=—","Direction=H","UseDPDF=Y")</f>
        <v>#NAME?</v>
      </c>
    </row>
    <row r="32" spans="1:17" x14ac:dyDescent="0.45">
      <c r="A32" s="10" t="s">
        <v>521</v>
      </c>
      <c r="B32" s="10" t="s">
        <v>522</v>
      </c>
      <c r="C32" s="14" t="e">
        <f ca="1">_xll.BDH("ANSS US Equity","ENERGY_INTENSITY_PER_ASSETS","FY 2009","FY 2009","Currency=USD","Period=FY","BEST_FPERIOD_OVERRIDE=FY","FILING_STATUS=MR","Sort=A","Dates=H","DateFormat=P","Fill=—","Direction=H","UseDPDF=Y")</f>
        <v>#NAME?</v>
      </c>
      <c r="D32" s="14" t="e">
        <f ca="1">_xll.BDH("ANSS US Equity","ENERGY_INTENSITY_PER_ASSETS","FY 2010","FY 2010","Currency=USD","Period=FY","BEST_FPERIOD_OVERRIDE=FY","FILING_STATUS=MR","Sort=A","Dates=H","DateFormat=P","Fill=—","Direction=H","UseDPDF=Y")</f>
        <v>#NAME?</v>
      </c>
      <c r="E32" s="14" t="e">
        <f ca="1">_xll.BDH("ANSS US Equity","ENERGY_INTENSITY_PER_ASSETS","FY 2011","FY 2011","Currency=USD","Period=FY","BEST_FPERIOD_OVERRIDE=FY","FILING_STATUS=MR","Sort=A","Dates=H","DateFormat=P","Fill=—","Direction=H","UseDPDF=Y")</f>
        <v>#NAME?</v>
      </c>
      <c r="F32" s="14" t="e">
        <f ca="1">_xll.BDH("ANSS US Equity","ENERGY_INTENSITY_PER_ASSETS","FY 2012","FY 2012","Currency=USD","Period=FY","BEST_FPERIOD_OVERRIDE=FY","FILING_STATUS=MR","Sort=A","Dates=H","DateFormat=P","Fill=—","Direction=H","UseDPDF=Y")</f>
        <v>#NAME?</v>
      </c>
      <c r="G32" s="14" t="e">
        <f ca="1">_xll.BDH("ANSS US Equity","ENERGY_INTENSITY_PER_ASSETS","FY 2013","FY 2013","Currency=USD","Period=FY","BEST_FPERIOD_OVERRIDE=FY","FILING_STATUS=MR","Sort=A","Dates=H","DateFormat=P","Fill=—","Direction=H","UseDPDF=Y")</f>
        <v>#NAME?</v>
      </c>
      <c r="H32" s="14" t="e">
        <f ca="1">_xll.BDH("ANSS US Equity","ENERGY_INTENSITY_PER_ASSETS","FY 2014","FY 2014","Currency=USD","Period=FY","BEST_FPERIOD_OVERRIDE=FY","FILING_STATUS=MR","Sort=A","Dates=H","DateFormat=P","Fill=—","Direction=H","UseDPDF=Y")</f>
        <v>#NAME?</v>
      </c>
      <c r="I32" s="14" t="e">
        <f ca="1">_xll.BDH("ANSS US Equity","ENERGY_INTENSITY_PER_ASSETS","FY 2015","FY 2015","Currency=USD","Period=FY","BEST_FPERIOD_OVERRIDE=FY","FILING_STATUS=MR","Sort=A","Dates=H","DateFormat=P","Fill=—","Direction=H","UseDPDF=Y")</f>
        <v>#NAME?</v>
      </c>
      <c r="J32" s="14" t="e">
        <f ca="1">_xll.BDH("ANSS US Equity","ENERGY_INTENSITY_PER_ASSETS","FY 2016","FY 2016","Currency=USD","Period=FY","BEST_FPERIOD_OVERRIDE=FY","FILING_STATUS=MR","Sort=A","Dates=H","DateFormat=P","Fill=—","Direction=H","UseDPDF=Y")</f>
        <v>#NAME?</v>
      </c>
      <c r="K32" s="14" t="e">
        <f ca="1">_xll.BDH("ANSS US Equity","ENERGY_INTENSITY_PER_ASSETS","FY 2017","FY 2017","Currency=USD","Period=FY","BEST_FPERIOD_OVERRIDE=FY","FILING_STATUS=MR","Sort=A","Dates=H","DateFormat=P","Fill=—","Direction=H","UseDPDF=Y")</f>
        <v>#NAME?</v>
      </c>
      <c r="L32" s="14" t="e">
        <f ca="1">_xll.BDH("ANSS US Equity","ENERGY_INTENSITY_PER_ASSETS","FY 2018","FY 2018","Currency=USD","Period=FY","BEST_FPERIOD_OVERRIDE=FY","FILING_STATUS=MR","Sort=A","Dates=H","DateFormat=P","Fill=—","Direction=H","UseDPDF=Y")</f>
        <v>#NAME?</v>
      </c>
      <c r="M32" s="14" t="e">
        <f ca="1">_xll.BDH("ANSS US Equity","ENERGY_INTENSITY_PER_ASSETS","FY 2019","FY 2019","Currency=USD","Period=FY","BEST_FPERIOD_OVERRIDE=FY","FILING_STATUS=MR","Sort=A","Dates=H","DateFormat=P","Fill=—","Direction=H","UseDPDF=Y")</f>
        <v>#NAME?</v>
      </c>
      <c r="N32" s="14" t="e">
        <f ca="1">_xll.BDH("ANSS US Equity","ENERGY_INTENSITY_PER_ASSETS","FY 2020","FY 2020","Currency=USD","Period=FY","BEST_FPERIOD_OVERRIDE=FY","FILING_STATUS=MR","Sort=A","Dates=H","DateFormat=P","Fill=—","Direction=H","UseDPDF=Y")</f>
        <v>#NAME?</v>
      </c>
      <c r="O32" s="14" t="e">
        <f ca="1">_xll.BDH("ANSS US Equity","ENERGY_INTENSITY_PER_ASSETS","FY 2021","FY 2021","Currency=USD","Period=FY","BEST_FPERIOD_OVERRIDE=FY","FILING_STATUS=MR","Sort=A","Dates=H","DateFormat=P","Fill=—","Direction=H","UseDPDF=Y")</f>
        <v>#NAME?</v>
      </c>
      <c r="P32" s="14" t="e">
        <f ca="1">_xll.BDH("ANSS US Equity","ENERGY_INTENSITY_PER_ASSETS","FY 2022","FY 2022","Currency=USD","Period=FY","BEST_FPERIOD_OVERRIDE=FY","FILING_STATUS=MR","Sort=A","Dates=H","DateFormat=P","Fill=—","Direction=H","UseDPDF=Y")</f>
        <v>#NAME?</v>
      </c>
      <c r="Q32" s="14" t="e">
        <f ca="1">_xll.BDH("ANSS US Equity","ENERGY_INTENSITY_PER_ASSETS","FY 2023","FY 2023","Currency=USD","Period=FY","BEST_FPERIOD_OVERRIDE=FY","FILING_STATUS=MR","Sort=A","Dates=H","DateFormat=P","Fill=—","Direction=H","UseDPDF=Y")</f>
        <v>#NAME?</v>
      </c>
    </row>
    <row r="33" spans="1:17" x14ac:dyDescent="0.4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x14ac:dyDescent="0.45">
      <c r="A34" s="6" t="s">
        <v>523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x14ac:dyDescent="0.45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x14ac:dyDescent="0.45">
      <c r="A36" s="6" t="s">
        <v>524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x14ac:dyDescent="0.45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x14ac:dyDescent="0.45">
      <c r="A38" s="6" t="s">
        <v>525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x14ac:dyDescent="0.4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45">
      <c r="A40" s="6" t="s">
        <v>526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x14ac:dyDescent="0.45">
      <c r="A41" s="10" t="s">
        <v>527</v>
      </c>
      <c r="B41" s="10" t="s">
        <v>528</v>
      </c>
      <c r="C41" s="14" t="e">
        <f ca="1">_xll.BDH("ANSS US Equity","WOMEN_MANAGEMENT_TO_EMPL_RATIO","FY 2009","FY 2009","Currency=USD","Period=FY","BEST_FPERIOD_OVERRIDE=FY","FILING_STATUS=MR","Sort=A","Dates=H","DateFormat=P","Fill=—","Direction=H","UseDPDF=Y")</f>
        <v>#NAME?</v>
      </c>
      <c r="D41" s="14" t="e">
        <f ca="1">_xll.BDH("ANSS US Equity","WOMEN_MANAGEMENT_TO_EMPL_RATIO","FY 2010","FY 2010","Currency=USD","Period=FY","BEST_FPERIOD_OVERRIDE=FY","FILING_STATUS=MR","Sort=A","Dates=H","DateFormat=P","Fill=—","Direction=H","UseDPDF=Y")</f>
        <v>#NAME?</v>
      </c>
      <c r="E41" s="14" t="e">
        <f ca="1">_xll.BDH("ANSS US Equity","WOMEN_MANAGEMENT_TO_EMPL_RATIO","FY 2011","FY 2011","Currency=USD","Period=FY","BEST_FPERIOD_OVERRIDE=FY","FILING_STATUS=MR","Sort=A","Dates=H","DateFormat=P","Fill=—","Direction=H","UseDPDF=Y")</f>
        <v>#NAME?</v>
      </c>
      <c r="F41" s="14" t="e">
        <f ca="1">_xll.BDH("ANSS US Equity","WOMEN_MANAGEMENT_TO_EMPL_RATIO","FY 2012","FY 2012","Currency=USD","Period=FY","BEST_FPERIOD_OVERRIDE=FY","FILING_STATUS=MR","Sort=A","Dates=H","DateFormat=P","Fill=—","Direction=H","UseDPDF=Y")</f>
        <v>#NAME?</v>
      </c>
      <c r="G41" s="14" t="e">
        <f ca="1">_xll.BDH("ANSS US Equity","WOMEN_MANAGEMENT_TO_EMPL_RATIO","FY 2013","FY 2013","Currency=USD","Period=FY","BEST_FPERIOD_OVERRIDE=FY","FILING_STATUS=MR","Sort=A","Dates=H","DateFormat=P","Fill=—","Direction=H","UseDPDF=Y")</f>
        <v>#NAME?</v>
      </c>
      <c r="H41" s="14" t="e">
        <f ca="1">_xll.BDH("ANSS US Equity","WOMEN_MANAGEMENT_TO_EMPL_RATIO","FY 2014","FY 2014","Currency=USD","Period=FY","BEST_FPERIOD_OVERRIDE=FY","FILING_STATUS=MR","Sort=A","Dates=H","DateFormat=P","Fill=—","Direction=H","UseDPDF=Y")</f>
        <v>#NAME?</v>
      </c>
      <c r="I41" s="14" t="e">
        <f ca="1">_xll.BDH("ANSS US Equity","WOMEN_MANAGEMENT_TO_EMPL_RATIO","FY 2015","FY 2015","Currency=USD","Period=FY","BEST_FPERIOD_OVERRIDE=FY","FILING_STATUS=MR","Sort=A","Dates=H","DateFormat=P","Fill=—","Direction=H","UseDPDF=Y")</f>
        <v>#NAME?</v>
      </c>
      <c r="J41" s="14" t="e">
        <f ca="1">_xll.BDH("ANSS US Equity","WOMEN_MANAGEMENT_TO_EMPL_RATIO","FY 2016","FY 2016","Currency=USD","Period=FY","BEST_FPERIOD_OVERRIDE=FY","FILING_STATUS=MR","Sort=A","Dates=H","DateFormat=P","Fill=—","Direction=H","UseDPDF=Y")</f>
        <v>#NAME?</v>
      </c>
      <c r="K41" s="14" t="e">
        <f ca="1">_xll.BDH("ANSS US Equity","WOMEN_MANAGEMENT_TO_EMPL_RATIO","FY 2017","FY 2017","Currency=USD","Period=FY","BEST_FPERIOD_OVERRIDE=FY","FILING_STATUS=MR","Sort=A","Dates=H","DateFormat=P","Fill=—","Direction=H","UseDPDF=Y")</f>
        <v>#NAME?</v>
      </c>
      <c r="L41" s="14" t="e">
        <f ca="1">_xll.BDH("ANSS US Equity","WOMEN_MANAGEMENT_TO_EMPL_RATIO","FY 2018","FY 2018","Currency=USD","Period=FY","BEST_FPERIOD_OVERRIDE=FY","FILING_STATUS=MR","Sort=A","Dates=H","DateFormat=P","Fill=—","Direction=H","UseDPDF=Y")</f>
        <v>#NAME?</v>
      </c>
      <c r="M41" s="14" t="e">
        <f ca="1">_xll.BDH("ANSS US Equity","WOMEN_MANAGEMENT_TO_EMPL_RATIO","FY 2019","FY 2019","Currency=USD","Period=FY","BEST_FPERIOD_OVERRIDE=FY","FILING_STATUS=MR","Sort=A","Dates=H","DateFormat=P","Fill=—","Direction=H","UseDPDF=Y")</f>
        <v>#NAME?</v>
      </c>
      <c r="N41" s="14" t="e">
        <f ca="1">_xll.BDH("ANSS US Equity","WOMEN_MANAGEMENT_TO_EMPL_RATIO","FY 2020","FY 2020","Currency=USD","Period=FY","BEST_FPERIOD_OVERRIDE=FY","FILING_STATUS=MR","Sort=A","Dates=H","DateFormat=P","Fill=—","Direction=H","UseDPDF=Y")</f>
        <v>#NAME?</v>
      </c>
      <c r="O41" s="14" t="e">
        <f ca="1">_xll.BDH("ANSS US Equity","WOMEN_MANAGEMENT_TO_EMPL_RATIO","FY 2021","FY 2021","Currency=USD","Period=FY","BEST_FPERIOD_OVERRIDE=FY","FILING_STATUS=MR","Sort=A","Dates=H","DateFormat=P","Fill=—","Direction=H","UseDPDF=Y")</f>
        <v>#NAME?</v>
      </c>
      <c r="P41" s="14" t="e">
        <f ca="1">_xll.BDH("ANSS US Equity","WOMEN_MANAGEMENT_TO_EMPL_RATIO","FY 2022","FY 2022","Currency=USD","Period=FY","BEST_FPERIOD_OVERRIDE=FY","FILING_STATUS=MR","Sort=A","Dates=H","DateFormat=P","Fill=—","Direction=H","UseDPDF=Y")</f>
        <v>#NAME?</v>
      </c>
      <c r="Q41" s="14" t="e">
        <f ca="1">_xll.BDH("ANSS US Equity","WOMEN_MANAGEMENT_TO_EMPL_RATIO","FY 2023","FY 2023","Currency=USD","Period=FY","BEST_FPERIOD_OVERRIDE=FY","FILING_STATUS=MR","Sort=A","Dates=H","DateFormat=P","Fill=—","Direction=H","UseDPDF=Y")</f>
        <v>#NAME?</v>
      </c>
    </row>
    <row r="42" spans="1:17" x14ac:dyDescent="0.45">
      <c r="A42" s="10" t="s">
        <v>529</v>
      </c>
      <c r="B42" s="10" t="s">
        <v>530</v>
      </c>
      <c r="C42" s="14" t="e">
        <f ca="1">_xll.BDH("ANSS US Equity","POL_DONATIONS_PCT_PRETAX_PROFIT","FY 2009","FY 2009","Currency=USD","Period=FY","BEST_FPERIOD_OVERRIDE=FY","FILING_STATUS=MR","FA_ADJUSTED=GAAP","Sort=A","Dates=H","DateFormat=P","Fill=—","Direction=H","UseDPDF=Y")</f>
        <v>#NAME?</v>
      </c>
      <c r="D42" s="14" t="e">
        <f ca="1">_xll.BDH("ANSS US Equity","POL_DONATIONS_PCT_PRETAX_PROFIT","FY 2010","FY 2010","Currency=USD","Period=FY","BEST_FPERIOD_OVERRIDE=FY","FILING_STATUS=MR","FA_ADJUSTED=GAAP","Sort=A","Dates=H","DateFormat=P","Fill=—","Direction=H","UseDPDF=Y")</f>
        <v>#NAME?</v>
      </c>
      <c r="E42" s="14" t="e">
        <f ca="1">_xll.BDH("ANSS US Equity","POL_DONATIONS_PCT_PRETAX_PROFIT","FY 2011","FY 2011","Currency=USD","Period=FY","BEST_FPERIOD_OVERRIDE=FY","FILING_STATUS=MR","FA_ADJUSTED=GAAP","Sort=A","Dates=H","DateFormat=P","Fill=—","Direction=H","UseDPDF=Y")</f>
        <v>#NAME?</v>
      </c>
      <c r="F42" s="14" t="e">
        <f ca="1">_xll.BDH("ANSS US Equity","POL_DONATIONS_PCT_PRETAX_PROFIT","FY 2012","FY 2012","Currency=USD","Period=FY","BEST_FPERIOD_OVERRIDE=FY","FILING_STATUS=MR","FA_ADJUSTED=GAAP","Sort=A","Dates=H","DateFormat=P","Fill=—","Direction=H","UseDPDF=Y")</f>
        <v>#NAME?</v>
      </c>
      <c r="G42" s="14" t="e">
        <f ca="1">_xll.BDH("ANSS US Equity","POL_DONATIONS_PCT_PRETAX_PROFIT","FY 2013","FY 2013","Currency=USD","Period=FY","BEST_FPERIOD_OVERRIDE=FY","FILING_STATUS=MR","FA_ADJUSTED=GAAP","Sort=A","Dates=H","DateFormat=P","Fill=—","Direction=H","UseDPDF=Y")</f>
        <v>#NAME?</v>
      </c>
      <c r="H42" s="14" t="e">
        <f ca="1">_xll.BDH("ANSS US Equity","POL_DONATIONS_PCT_PRETAX_PROFIT","FY 2014","FY 2014","Currency=USD","Period=FY","BEST_FPERIOD_OVERRIDE=FY","FILING_STATUS=MR","FA_ADJUSTED=GAAP","Sort=A","Dates=H","DateFormat=P","Fill=—","Direction=H","UseDPDF=Y")</f>
        <v>#NAME?</v>
      </c>
      <c r="I42" s="14" t="e">
        <f ca="1">_xll.BDH("ANSS US Equity","POL_DONATIONS_PCT_PRETAX_PROFIT","FY 2015","FY 2015","Currency=USD","Period=FY","BEST_FPERIOD_OVERRIDE=FY","FILING_STATUS=MR","FA_ADJUSTED=GAAP","Sort=A","Dates=H","DateFormat=P","Fill=—","Direction=H","UseDPDF=Y")</f>
        <v>#NAME?</v>
      </c>
      <c r="J42" s="14" t="e">
        <f ca="1">_xll.BDH("ANSS US Equity","POL_DONATIONS_PCT_PRETAX_PROFIT","FY 2016","FY 2016","Currency=USD","Period=FY","BEST_FPERIOD_OVERRIDE=FY","FILING_STATUS=MR","FA_ADJUSTED=GAAP","Sort=A","Dates=H","DateFormat=P","Fill=—","Direction=H","UseDPDF=Y")</f>
        <v>#NAME?</v>
      </c>
      <c r="K42" s="14" t="e">
        <f ca="1">_xll.BDH("ANSS US Equity","POL_DONATIONS_PCT_PRETAX_PROFIT","FY 2017","FY 2017","Currency=USD","Period=FY","BEST_FPERIOD_OVERRIDE=FY","FILING_STATUS=MR","FA_ADJUSTED=GAAP","Sort=A","Dates=H","DateFormat=P","Fill=—","Direction=H","UseDPDF=Y")</f>
        <v>#NAME?</v>
      </c>
      <c r="L42" s="14" t="e">
        <f ca="1">_xll.BDH("ANSS US Equity","POL_DONATIONS_PCT_PRETAX_PROFIT","FY 2018","FY 2018","Currency=USD","Period=FY","BEST_FPERIOD_OVERRIDE=FY","FILING_STATUS=MR","FA_ADJUSTED=GAAP","Sort=A","Dates=H","DateFormat=P","Fill=—","Direction=H","UseDPDF=Y")</f>
        <v>#NAME?</v>
      </c>
      <c r="M42" s="14" t="e">
        <f ca="1">_xll.BDH("ANSS US Equity","POL_DONATIONS_PCT_PRETAX_PROFIT","FY 2019","FY 2019","Currency=USD","Period=FY","BEST_FPERIOD_OVERRIDE=FY","FILING_STATUS=MR","FA_ADJUSTED=GAAP","Sort=A","Dates=H","DateFormat=P","Fill=—","Direction=H","UseDPDF=Y")</f>
        <v>#NAME?</v>
      </c>
      <c r="N42" s="14" t="e">
        <f ca="1">_xll.BDH("ANSS US Equity","POL_DONATIONS_PCT_PRETAX_PROFIT","FY 2020","FY 2020","Currency=USD","Period=FY","BEST_FPERIOD_OVERRIDE=FY","FILING_STATUS=MR","FA_ADJUSTED=GAAP","Sort=A","Dates=H","DateFormat=P","Fill=—","Direction=H","UseDPDF=Y")</f>
        <v>#NAME?</v>
      </c>
      <c r="O42" s="14" t="e">
        <f ca="1">_xll.BDH("ANSS US Equity","POL_DONATIONS_PCT_PRETAX_PROFIT","FY 2021","FY 2021","Currency=USD","Period=FY","BEST_FPERIOD_OVERRIDE=FY","FILING_STATUS=MR","FA_ADJUSTED=GAAP","Sort=A","Dates=H","DateFormat=P","Fill=—","Direction=H","UseDPDF=Y")</f>
        <v>#NAME?</v>
      </c>
      <c r="P42" s="14" t="e">
        <f ca="1">_xll.BDH("ANSS US Equity","POL_DONATIONS_PCT_PRETAX_PROFIT","FY 2022","FY 2022","Currency=USD","Period=FY","BEST_FPERIOD_OVERRIDE=FY","FILING_STATUS=MR","FA_ADJUSTED=GAAP","Sort=A","Dates=H","DateFormat=P","Fill=—","Direction=H","UseDPDF=Y")</f>
        <v>#NAME?</v>
      </c>
      <c r="Q42" s="14" t="e">
        <f ca="1">_xll.BDH("ANSS US Equity","POL_DONATIONS_PCT_PRETAX_PROFIT","FY 2023","FY 2023","Currency=USD","Period=FY","BEST_FPERIOD_OVERRIDE=FY","FILING_STATUS=MR","FA_ADJUSTED=GAAP","Sort=A","Dates=H","DateFormat=P","Fill=—","Direction=H","UseDPDF=Y")</f>
        <v>#NAME?</v>
      </c>
    </row>
    <row r="43" spans="1:17" x14ac:dyDescent="0.45">
      <c r="A43" s="10" t="s">
        <v>531</v>
      </c>
      <c r="B43" s="10" t="s">
        <v>532</v>
      </c>
      <c r="C43" s="14" t="e">
        <f ca="1">_xll.BDH("ANSS US Equity","RD_EXPENDITURES_PER_CASH_FLOW","FY 2009","FY 2009","Currency=USD","Period=FY","BEST_FPERIOD_OVERRIDE=FY","FILING_STATUS=MR","Sort=A","Dates=H","DateFormat=P","Fill=—","Direction=H","UseDPDF=Y")</f>
        <v>#NAME?</v>
      </c>
      <c r="D43" s="14" t="e">
        <f ca="1">_xll.BDH("ANSS US Equity","RD_EXPENDITURES_PER_CASH_FLOW","FY 2010","FY 2010","Currency=USD","Period=FY","BEST_FPERIOD_OVERRIDE=FY","FILING_STATUS=MR","Sort=A","Dates=H","DateFormat=P","Fill=—","Direction=H","UseDPDF=Y")</f>
        <v>#NAME?</v>
      </c>
      <c r="E43" s="14" t="e">
        <f ca="1">_xll.BDH("ANSS US Equity","RD_EXPENDITURES_PER_CASH_FLOW","FY 2011","FY 2011","Currency=USD","Period=FY","BEST_FPERIOD_OVERRIDE=FY","FILING_STATUS=MR","Sort=A","Dates=H","DateFormat=P","Fill=—","Direction=H","UseDPDF=Y")</f>
        <v>#NAME?</v>
      </c>
      <c r="F43" s="14" t="e">
        <f ca="1">_xll.BDH("ANSS US Equity","RD_EXPENDITURES_PER_CASH_FLOW","FY 2012","FY 2012","Currency=USD","Period=FY","BEST_FPERIOD_OVERRIDE=FY","FILING_STATUS=MR","Sort=A","Dates=H","DateFormat=P","Fill=—","Direction=H","UseDPDF=Y")</f>
        <v>#NAME?</v>
      </c>
      <c r="G43" s="14" t="e">
        <f ca="1">_xll.BDH("ANSS US Equity","RD_EXPENDITURES_PER_CASH_FLOW","FY 2013","FY 2013","Currency=USD","Period=FY","BEST_FPERIOD_OVERRIDE=FY","FILING_STATUS=MR","Sort=A","Dates=H","DateFormat=P","Fill=—","Direction=H","UseDPDF=Y")</f>
        <v>#NAME?</v>
      </c>
      <c r="H43" s="14" t="e">
        <f ca="1">_xll.BDH("ANSS US Equity","RD_EXPENDITURES_PER_CASH_FLOW","FY 2014","FY 2014","Currency=USD","Period=FY","BEST_FPERIOD_OVERRIDE=FY","FILING_STATUS=MR","Sort=A","Dates=H","DateFormat=P","Fill=—","Direction=H","UseDPDF=Y")</f>
        <v>#NAME?</v>
      </c>
      <c r="I43" s="14" t="e">
        <f ca="1">_xll.BDH("ANSS US Equity","RD_EXPENDITURES_PER_CASH_FLOW","FY 2015","FY 2015","Currency=USD","Period=FY","BEST_FPERIOD_OVERRIDE=FY","FILING_STATUS=MR","Sort=A","Dates=H","DateFormat=P","Fill=—","Direction=H","UseDPDF=Y")</f>
        <v>#NAME?</v>
      </c>
      <c r="J43" s="14" t="e">
        <f ca="1">_xll.BDH("ANSS US Equity","RD_EXPENDITURES_PER_CASH_FLOW","FY 2016","FY 2016","Currency=USD","Period=FY","BEST_FPERIOD_OVERRIDE=FY","FILING_STATUS=MR","Sort=A","Dates=H","DateFormat=P","Fill=—","Direction=H","UseDPDF=Y")</f>
        <v>#NAME?</v>
      </c>
      <c r="K43" s="14" t="e">
        <f ca="1">_xll.BDH("ANSS US Equity","RD_EXPENDITURES_PER_CASH_FLOW","FY 2017","FY 2017","Currency=USD","Period=FY","BEST_FPERIOD_OVERRIDE=FY","FILING_STATUS=MR","Sort=A","Dates=H","DateFormat=P","Fill=—","Direction=H","UseDPDF=Y")</f>
        <v>#NAME?</v>
      </c>
      <c r="L43" s="14" t="e">
        <f ca="1">_xll.BDH("ANSS US Equity","RD_EXPENDITURES_PER_CASH_FLOW","FY 2018","FY 2018","Currency=USD","Period=FY","BEST_FPERIOD_OVERRIDE=FY","FILING_STATUS=MR","Sort=A","Dates=H","DateFormat=P","Fill=—","Direction=H","UseDPDF=Y")</f>
        <v>#NAME?</v>
      </c>
      <c r="M43" s="14" t="e">
        <f ca="1">_xll.BDH("ANSS US Equity","RD_EXPENDITURES_PER_CASH_FLOW","FY 2019","FY 2019","Currency=USD","Period=FY","BEST_FPERIOD_OVERRIDE=FY","FILING_STATUS=MR","Sort=A","Dates=H","DateFormat=P","Fill=—","Direction=H","UseDPDF=Y")</f>
        <v>#NAME?</v>
      </c>
      <c r="N43" s="14" t="e">
        <f ca="1">_xll.BDH("ANSS US Equity","RD_EXPENDITURES_PER_CASH_FLOW","FY 2020","FY 2020","Currency=USD","Period=FY","BEST_FPERIOD_OVERRIDE=FY","FILING_STATUS=MR","Sort=A","Dates=H","DateFormat=P","Fill=—","Direction=H","UseDPDF=Y")</f>
        <v>#NAME?</v>
      </c>
      <c r="O43" s="14" t="e">
        <f ca="1">_xll.BDH("ANSS US Equity","RD_EXPENDITURES_PER_CASH_FLOW","FY 2021","FY 2021","Currency=USD","Period=FY","BEST_FPERIOD_OVERRIDE=FY","FILING_STATUS=MR","Sort=A","Dates=H","DateFormat=P","Fill=—","Direction=H","UseDPDF=Y")</f>
        <v>#NAME?</v>
      </c>
      <c r="P43" s="14" t="e">
        <f ca="1">_xll.BDH("ANSS US Equity","RD_EXPENDITURES_PER_CASH_FLOW","FY 2022","FY 2022","Currency=USD","Period=FY","BEST_FPERIOD_OVERRIDE=FY","FILING_STATUS=MR","Sort=A","Dates=H","DateFormat=P","Fill=—","Direction=H","UseDPDF=Y")</f>
        <v>#NAME?</v>
      </c>
      <c r="Q43" s="14" t="e">
        <f ca="1">_xll.BDH("ANSS US Equity","RD_EXPENDITURES_PER_CASH_FLOW","FY 2023","FY 2023","Currency=USD","Period=FY","BEST_FPERIOD_OVERRIDE=FY","FILING_STATUS=MR","Sort=A","Dates=H","DateFormat=P","Fill=—","Direction=H","UseDPDF=Y")</f>
        <v>#NAME?</v>
      </c>
    </row>
    <row r="44" spans="1:17" x14ac:dyDescent="0.45">
      <c r="A44" s="10" t="s">
        <v>533</v>
      </c>
      <c r="B44" s="10" t="s">
        <v>534</v>
      </c>
      <c r="C44" s="14" t="e">
        <f ca="1">_xll.BDH("ANSS US Equity","ACTUAL_NET_INCOME_PER_EMPLOYEE","FY 2009","FY 2009","Currency=USD","Period=FY","BEST_FPERIOD_OVERRIDE=FY","FILING_STATUS=MR","FA_ADJUSTED=GAAP","Sort=A","Dates=H","DateFormat=P","Fill=—","Direction=H","UseDPDF=Y")</f>
        <v>#NAME?</v>
      </c>
      <c r="D44" s="14" t="e">
        <f ca="1">_xll.BDH("ANSS US Equity","ACTUAL_NET_INCOME_PER_EMPLOYEE","FY 2010","FY 2010","Currency=USD","Period=FY","BEST_FPERIOD_OVERRIDE=FY","FILING_STATUS=MR","FA_ADJUSTED=GAAP","Sort=A","Dates=H","DateFormat=P","Fill=—","Direction=H","UseDPDF=Y")</f>
        <v>#NAME?</v>
      </c>
      <c r="E44" s="14" t="e">
        <f ca="1">_xll.BDH("ANSS US Equity","ACTUAL_NET_INCOME_PER_EMPLOYEE","FY 2011","FY 2011","Currency=USD","Period=FY","BEST_FPERIOD_OVERRIDE=FY","FILING_STATUS=MR","FA_ADJUSTED=GAAP","Sort=A","Dates=H","DateFormat=P","Fill=—","Direction=H","UseDPDF=Y")</f>
        <v>#NAME?</v>
      </c>
      <c r="F44" s="14" t="e">
        <f ca="1">_xll.BDH("ANSS US Equity","ACTUAL_NET_INCOME_PER_EMPLOYEE","FY 2012","FY 2012","Currency=USD","Period=FY","BEST_FPERIOD_OVERRIDE=FY","FILING_STATUS=MR","FA_ADJUSTED=GAAP","Sort=A","Dates=H","DateFormat=P","Fill=—","Direction=H","UseDPDF=Y")</f>
        <v>#NAME?</v>
      </c>
      <c r="G44" s="14" t="e">
        <f ca="1">_xll.BDH("ANSS US Equity","ACTUAL_NET_INCOME_PER_EMPLOYEE","FY 2013","FY 2013","Currency=USD","Period=FY","BEST_FPERIOD_OVERRIDE=FY","FILING_STATUS=MR","FA_ADJUSTED=GAAP","Sort=A","Dates=H","DateFormat=P","Fill=—","Direction=H","UseDPDF=Y")</f>
        <v>#NAME?</v>
      </c>
      <c r="H44" s="14" t="e">
        <f ca="1">_xll.BDH("ANSS US Equity","ACTUAL_NET_INCOME_PER_EMPLOYEE","FY 2014","FY 2014","Currency=USD","Period=FY","BEST_FPERIOD_OVERRIDE=FY","FILING_STATUS=MR","FA_ADJUSTED=GAAP","Sort=A","Dates=H","DateFormat=P","Fill=—","Direction=H","UseDPDF=Y")</f>
        <v>#NAME?</v>
      </c>
      <c r="I44" s="14" t="e">
        <f ca="1">_xll.BDH("ANSS US Equity","ACTUAL_NET_INCOME_PER_EMPLOYEE","FY 2015","FY 2015","Currency=USD","Period=FY","BEST_FPERIOD_OVERRIDE=FY","FILING_STATUS=MR","FA_ADJUSTED=GAAP","Sort=A","Dates=H","DateFormat=P","Fill=—","Direction=H","UseDPDF=Y")</f>
        <v>#NAME?</v>
      </c>
      <c r="J44" s="14" t="e">
        <f ca="1">_xll.BDH("ANSS US Equity","ACTUAL_NET_INCOME_PER_EMPLOYEE","FY 2016","FY 2016","Currency=USD","Period=FY","BEST_FPERIOD_OVERRIDE=FY","FILING_STATUS=MR","FA_ADJUSTED=GAAP","Sort=A","Dates=H","DateFormat=P","Fill=—","Direction=H","UseDPDF=Y")</f>
        <v>#NAME?</v>
      </c>
      <c r="K44" s="14" t="e">
        <f ca="1">_xll.BDH("ANSS US Equity","ACTUAL_NET_INCOME_PER_EMPLOYEE","FY 2017","FY 2017","Currency=USD","Period=FY","BEST_FPERIOD_OVERRIDE=FY","FILING_STATUS=MR","FA_ADJUSTED=GAAP","Sort=A","Dates=H","DateFormat=P","Fill=—","Direction=H","UseDPDF=Y")</f>
        <v>#NAME?</v>
      </c>
      <c r="L44" s="14" t="e">
        <f ca="1">_xll.BDH("ANSS US Equity","ACTUAL_NET_INCOME_PER_EMPLOYEE","FY 2018","FY 2018","Currency=USD","Period=FY","BEST_FPERIOD_OVERRIDE=FY","FILING_STATUS=MR","FA_ADJUSTED=GAAP","Sort=A","Dates=H","DateFormat=P","Fill=—","Direction=H","UseDPDF=Y")</f>
        <v>#NAME?</v>
      </c>
      <c r="M44" s="14" t="e">
        <f ca="1">_xll.BDH("ANSS US Equity","ACTUAL_NET_INCOME_PER_EMPLOYEE","FY 2019","FY 2019","Currency=USD","Period=FY","BEST_FPERIOD_OVERRIDE=FY","FILING_STATUS=MR","FA_ADJUSTED=GAAP","Sort=A","Dates=H","DateFormat=P","Fill=—","Direction=H","UseDPDF=Y")</f>
        <v>#NAME?</v>
      </c>
      <c r="N44" s="14" t="e">
        <f ca="1">_xll.BDH("ANSS US Equity","ACTUAL_NET_INCOME_PER_EMPLOYEE","FY 2020","FY 2020","Currency=USD","Period=FY","BEST_FPERIOD_OVERRIDE=FY","FILING_STATUS=MR","FA_ADJUSTED=GAAP","Sort=A","Dates=H","DateFormat=P","Fill=—","Direction=H","UseDPDF=Y")</f>
        <v>#NAME?</v>
      </c>
      <c r="O44" s="14" t="e">
        <f ca="1">_xll.BDH("ANSS US Equity","ACTUAL_NET_INCOME_PER_EMPLOYEE","FY 2021","FY 2021","Currency=USD","Period=FY","BEST_FPERIOD_OVERRIDE=FY","FILING_STATUS=MR","FA_ADJUSTED=GAAP","Sort=A","Dates=H","DateFormat=P","Fill=—","Direction=H","UseDPDF=Y")</f>
        <v>#NAME?</v>
      </c>
      <c r="P44" s="14" t="e">
        <f ca="1">_xll.BDH("ANSS US Equity","ACTUAL_NET_INCOME_PER_EMPLOYEE","FY 2022","FY 2022","Currency=USD","Period=FY","BEST_FPERIOD_OVERRIDE=FY","FILING_STATUS=MR","FA_ADJUSTED=GAAP","Sort=A","Dates=H","DateFormat=P","Fill=—","Direction=H","UseDPDF=Y")</f>
        <v>#NAME?</v>
      </c>
      <c r="Q44" s="14" t="e">
        <f ca="1">_xll.BDH("ANSS US Equity","ACTUAL_NET_INCOME_PER_EMPLOYEE","FY 2023","FY 2023","Currency=USD","Period=FY","BEST_FPERIOD_OVERRIDE=FY","FILING_STATUS=MR","FA_ADJUSTED=GAAP","Sort=A","Dates=H","DateFormat=P","Fill=—","Direction=H","UseDPDF=Y")</f>
        <v>#NAME?</v>
      </c>
    </row>
    <row r="45" spans="1:17" x14ac:dyDescent="0.45">
      <c r="A45" s="10" t="s">
        <v>535</v>
      </c>
      <c r="B45" s="10" t="s">
        <v>536</v>
      </c>
      <c r="C45" s="14" t="e">
        <f ca="1">_xll.BDH("ANSS US Equity","CASH_FLOW_PER_EMPLOYEE","FY 2009","FY 2009","Currency=USD","Period=FY","BEST_FPERIOD_OVERRIDE=FY","FILING_STATUS=MR","Sort=A","Dates=H","DateFormat=P","Fill=—","Direction=H","UseDPDF=Y")</f>
        <v>#NAME?</v>
      </c>
      <c r="D45" s="14" t="e">
        <f ca="1">_xll.BDH("ANSS US Equity","CASH_FLOW_PER_EMPLOYEE","FY 2010","FY 2010","Currency=USD","Period=FY","BEST_FPERIOD_OVERRIDE=FY","FILING_STATUS=MR","Sort=A","Dates=H","DateFormat=P","Fill=—","Direction=H","UseDPDF=Y")</f>
        <v>#NAME?</v>
      </c>
      <c r="E45" s="14" t="e">
        <f ca="1">_xll.BDH("ANSS US Equity","CASH_FLOW_PER_EMPLOYEE","FY 2011","FY 2011","Currency=USD","Period=FY","BEST_FPERIOD_OVERRIDE=FY","FILING_STATUS=MR","Sort=A","Dates=H","DateFormat=P","Fill=—","Direction=H","UseDPDF=Y")</f>
        <v>#NAME?</v>
      </c>
      <c r="F45" s="14" t="e">
        <f ca="1">_xll.BDH("ANSS US Equity","CASH_FLOW_PER_EMPLOYEE","FY 2012","FY 2012","Currency=USD","Period=FY","BEST_FPERIOD_OVERRIDE=FY","FILING_STATUS=MR","Sort=A","Dates=H","DateFormat=P","Fill=—","Direction=H","UseDPDF=Y")</f>
        <v>#NAME?</v>
      </c>
      <c r="G45" s="14" t="e">
        <f ca="1">_xll.BDH("ANSS US Equity","CASH_FLOW_PER_EMPLOYEE","FY 2013","FY 2013","Currency=USD","Period=FY","BEST_FPERIOD_OVERRIDE=FY","FILING_STATUS=MR","Sort=A","Dates=H","DateFormat=P","Fill=—","Direction=H","UseDPDF=Y")</f>
        <v>#NAME?</v>
      </c>
      <c r="H45" s="14" t="e">
        <f ca="1">_xll.BDH("ANSS US Equity","CASH_FLOW_PER_EMPLOYEE","FY 2014","FY 2014","Currency=USD","Period=FY","BEST_FPERIOD_OVERRIDE=FY","FILING_STATUS=MR","Sort=A","Dates=H","DateFormat=P","Fill=—","Direction=H","UseDPDF=Y")</f>
        <v>#NAME?</v>
      </c>
      <c r="I45" s="14" t="e">
        <f ca="1">_xll.BDH("ANSS US Equity","CASH_FLOW_PER_EMPLOYEE","FY 2015","FY 2015","Currency=USD","Period=FY","BEST_FPERIOD_OVERRIDE=FY","FILING_STATUS=MR","Sort=A","Dates=H","DateFormat=P","Fill=—","Direction=H","UseDPDF=Y")</f>
        <v>#NAME?</v>
      </c>
      <c r="J45" s="14" t="e">
        <f ca="1">_xll.BDH("ANSS US Equity","CASH_FLOW_PER_EMPLOYEE","FY 2016","FY 2016","Currency=USD","Period=FY","BEST_FPERIOD_OVERRIDE=FY","FILING_STATUS=MR","Sort=A","Dates=H","DateFormat=P","Fill=—","Direction=H","UseDPDF=Y")</f>
        <v>#NAME?</v>
      </c>
      <c r="K45" s="14" t="e">
        <f ca="1">_xll.BDH("ANSS US Equity","CASH_FLOW_PER_EMPLOYEE","FY 2017","FY 2017","Currency=USD","Period=FY","BEST_FPERIOD_OVERRIDE=FY","FILING_STATUS=MR","Sort=A","Dates=H","DateFormat=P","Fill=—","Direction=H","UseDPDF=Y")</f>
        <v>#NAME?</v>
      </c>
      <c r="L45" s="14" t="e">
        <f ca="1">_xll.BDH("ANSS US Equity","CASH_FLOW_PER_EMPLOYEE","FY 2018","FY 2018","Currency=USD","Period=FY","BEST_FPERIOD_OVERRIDE=FY","FILING_STATUS=MR","Sort=A","Dates=H","DateFormat=P","Fill=—","Direction=H","UseDPDF=Y")</f>
        <v>#NAME?</v>
      </c>
      <c r="M45" s="14" t="e">
        <f ca="1">_xll.BDH("ANSS US Equity","CASH_FLOW_PER_EMPLOYEE","FY 2019","FY 2019","Currency=USD","Period=FY","BEST_FPERIOD_OVERRIDE=FY","FILING_STATUS=MR","Sort=A","Dates=H","DateFormat=P","Fill=—","Direction=H","UseDPDF=Y")</f>
        <v>#NAME?</v>
      </c>
      <c r="N45" s="14" t="e">
        <f ca="1">_xll.BDH("ANSS US Equity","CASH_FLOW_PER_EMPLOYEE","FY 2020","FY 2020","Currency=USD","Period=FY","BEST_FPERIOD_OVERRIDE=FY","FILING_STATUS=MR","Sort=A","Dates=H","DateFormat=P","Fill=—","Direction=H","UseDPDF=Y")</f>
        <v>#NAME?</v>
      </c>
      <c r="O45" s="14" t="e">
        <f ca="1">_xll.BDH("ANSS US Equity","CASH_FLOW_PER_EMPLOYEE","FY 2021","FY 2021","Currency=USD","Period=FY","BEST_FPERIOD_OVERRIDE=FY","FILING_STATUS=MR","Sort=A","Dates=H","DateFormat=P","Fill=—","Direction=H","UseDPDF=Y")</f>
        <v>#NAME?</v>
      </c>
      <c r="P45" s="14" t="e">
        <f ca="1">_xll.BDH("ANSS US Equity","CASH_FLOW_PER_EMPLOYEE","FY 2022","FY 2022","Currency=USD","Period=FY","BEST_FPERIOD_OVERRIDE=FY","FILING_STATUS=MR","Sort=A","Dates=H","DateFormat=P","Fill=—","Direction=H","UseDPDF=Y")</f>
        <v>#NAME?</v>
      </c>
      <c r="Q45" s="14" t="e">
        <f ca="1">_xll.BDH("ANSS US Equity","CASH_FLOW_PER_EMPLOYEE","FY 2023","FY 2023","Currency=USD","Period=FY","BEST_FPERIOD_OVERRIDE=FY","FILING_STATUS=MR","Sort=A","Dates=H","DateFormat=P","Fill=—","Direction=H","UseDPDF=Y")</f>
        <v>#NAME?</v>
      </c>
    </row>
    <row r="46" spans="1:17" x14ac:dyDescent="0.4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x14ac:dyDescent="0.45">
      <c r="A47" s="6" t="s">
        <v>537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 x14ac:dyDescent="0.45">
      <c r="A48" s="10" t="s">
        <v>538</v>
      </c>
      <c r="B48" s="10" t="s">
        <v>539</v>
      </c>
      <c r="C48" s="14" t="e">
        <f ca="1">_xll.BDH("ANSS US Equity","PCT_OF_NON_EXEC_DIR_ON_BRD","FY 2009","FY 2009","Currency=USD","Period=FY","BEST_FPERIOD_OVERRIDE=FY","FILING_STATUS=MR","Sort=A","Dates=H","DateFormat=P","Fill=—","Direction=H","UseDPDF=Y")</f>
        <v>#NAME?</v>
      </c>
      <c r="D48" s="14" t="e">
        <f ca="1">_xll.BDH("ANSS US Equity","PCT_OF_NON_EXEC_DIR_ON_BRD","FY 2010","FY 2010","Currency=USD","Period=FY","BEST_FPERIOD_OVERRIDE=FY","FILING_STATUS=MR","Sort=A","Dates=H","DateFormat=P","Fill=—","Direction=H","UseDPDF=Y")</f>
        <v>#NAME?</v>
      </c>
      <c r="E48" s="14" t="e">
        <f ca="1">_xll.BDH("ANSS US Equity","PCT_OF_NON_EXEC_DIR_ON_BRD","FY 2011","FY 2011","Currency=USD","Period=FY","BEST_FPERIOD_OVERRIDE=FY","FILING_STATUS=MR","Sort=A","Dates=H","DateFormat=P","Fill=—","Direction=H","UseDPDF=Y")</f>
        <v>#NAME?</v>
      </c>
      <c r="F48" s="14" t="e">
        <f ca="1">_xll.BDH("ANSS US Equity","PCT_OF_NON_EXEC_DIR_ON_BRD","FY 2012","FY 2012","Currency=USD","Period=FY","BEST_FPERIOD_OVERRIDE=FY","FILING_STATUS=MR","Sort=A","Dates=H","DateFormat=P","Fill=—","Direction=H","UseDPDF=Y")</f>
        <v>#NAME?</v>
      </c>
      <c r="G48" s="14" t="e">
        <f ca="1">_xll.BDH("ANSS US Equity","PCT_OF_NON_EXEC_DIR_ON_BRD","FY 2013","FY 2013","Currency=USD","Period=FY","BEST_FPERIOD_OVERRIDE=FY","FILING_STATUS=MR","Sort=A","Dates=H","DateFormat=P","Fill=—","Direction=H","UseDPDF=Y")</f>
        <v>#NAME?</v>
      </c>
      <c r="H48" s="14" t="e">
        <f ca="1">_xll.BDH("ANSS US Equity","PCT_OF_NON_EXEC_DIR_ON_BRD","FY 2014","FY 2014","Currency=USD","Period=FY","BEST_FPERIOD_OVERRIDE=FY","FILING_STATUS=MR","Sort=A","Dates=H","DateFormat=P","Fill=—","Direction=H","UseDPDF=Y")</f>
        <v>#NAME?</v>
      </c>
      <c r="I48" s="14" t="e">
        <f ca="1">_xll.BDH("ANSS US Equity","PCT_OF_NON_EXEC_DIR_ON_BRD","FY 2015","FY 2015","Currency=USD","Period=FY","BEST_FPERIOD_OVERRIDE=FY","FILING_STATUS=MR","Sort=A","Dates=H","DateFormat=P","Fill=—","Direction=H","UseDPDF=Y")</f>
        <v>#NAME?</v>
      </c>
      <c r="J48" s="14" t="e">
        <f ca="1">_xll.BDH("ANSS US Equity","PCT_OF_NON_EXEC_DIR_ON_BRD","FY 2016","FY 2016","Currency=USD","Period=FY","BEST_FPERIOD_OVERRIDE=FY","FILING_STATUS=MR","Sort=A","Dates=H","DateFormat=P","Fill=—","Direction=H","UseDPDF=Y")</f>
        <v>#NAME?</v>
      </c>
      <c r="K48" s="14" t="e">
        <f ca="1">_xll.BDH("ANSS US Equity","PCT_OF_NON_EXEC_DIR_ON_BRD","FY 2017","FY 2017","Currency=USD","Period=FY","BEST_FPERIOD_OVERRIDE=FY","FILING_STATUS=MR","Sort=A","Dates=H","DateFormat=P","Fill=—","Direction=H","UseDPDF=Y")</f>
        <v>#NAME?</v>
      </c>
      <c r="L48" s="14" t="e">
        <f ca="1">_xll.BDH("ANSS US Equity","PCT_OF_NON_EXEC_DIR_ON_BRD","FY 2018","FY 2018","Currency=USD","Period=FY","BEST_FPERIOD_OVERRIDE=FY","FILING_STATUS=MR","Sort=A","Dates=H","DateFormat=P","Fill=—","Direction=H","UseDPDF=Y")</f>
        <v>#NAME?</v>
      </c>
      <c r="M48" s="14" t="e">
        <f ca="1">_xll.BDH("ANSS US Equity","PCT_OF_NON_EXEC_DIR_ON_BRD","FY 2019","FY 2019","Currency=USD","Period=FY","BEST_FPERIOD_OVERRIDE=FY","FILING_STATUS=MR","Sort=A","Dates=H","DateFormat=P","Fill=—","Direction=H","UseDPDF=Y")</f>
        <v>#NAME?</v>
      </c>
      <c r="N48" s="14" t="e">
        <f ca="1">_xll.BDH("ANSS US Equity","PCT_OF_NON_EXEC_DIR_ON_BRD","FY 2020","FY 2020","Currency=USD","Period=FY","BEST_FPERIOD_OVERRIDE=FY","FILING_STATUS=MR","Sort=A","Dates=H","DateFormat=P","Fill=—","Direction=H","UseDPDF=Y")</f>
        <v>#NAME?</v>
      </c>
      <c r="O48" s="14" t="e">
        <f ca="1">_xll.BDH("ANSS US Equity","PCT_OF_NON_EXEC_DIR_ON_BRD","FY 2021","FY 2021","Currency=USD","Period=FY","BEST_FPERIOD_OVERRIDE=FY","FILING_STATUS=MR","Sort=A","Dates=H","DateFormat=P","Fill=—","Direction=H","UseDPDF=Y")</f>
        <v>#NAME?</v>
      </c>
      <c r="P48" s="14" t="e">
        <f ca="1">_xll.BDH("ANSS US Equity","PCT_OF_NON_EXEC_DIR_ON_BRD","FY 2022","FY 2022","Currency=USD","Period=FY","BEST_FPERIOD_OVERRIDE=FY","FILING_STATUS=MR","Sort=A","Dates=H","DateFormat=P","Fill=—","Direction=H","UseDPDF=Y")</f>
        <v>#NAME?</v>
      </c>
      <c r="Q48" s="14" t="e">
        <f ca="1">_xll.BDH("ANSS US Equity","PCT_OF_NON_EXEC_DIR_ON_BRD","FY 2023","FY 2023","Currency=USD","Period=FY","BEST_FPERIOD_OVERRIDE=FY","FILING_STATUS=MR","Sort=A","Dates=H","DateFormat=P","Fill=—","Direction=H","UseDPDF=Y")</f>
        <v>#NAME?</v>
      </c>
    </row>
    <row r="49" spans="1:17" x14ac:dyDescent="0.45">
      <c r="A49" s="10" t="s">
        <v>540</v>
      </c>
      <c r="B49" s="10" t="s">
        <v>541</v>
      </c>
      <c r="C49" s="14" t="e">
        <f ca="1">_xll.BDH("ANSS US Equity","PCT_INDEPENDENT_DIRECTORS","FY 2009","FY 2009","Currency=USD","Period=FY","BEST_FPERIOD_OVERRIDE=FY","FILING_STATUS=MR","Sort=A","Dates=H","DateFormat=P","Fill=—","Direction=H","UseDPDF=Y")</f>
        <v>#NAME?</v>
      </c>
      <c r="D49" s="14" t="e">
        <f ca="1">_xll.BDH("ANSS US Equity","PCT_INDEPENDENT_DIRECTORS","FY 2010","FY 2010","Currency=USD","Period=FY","BEST_FPERIOD_OVERRIDE=FY","FILING_STATUS=MR","Sort=A","Dates=H","DateFormat=P","Fill=—","Direction=H","UseDPDF=Y")</f>
        <v>#NAME?</v>
      </c>
      <c r="E49" s="14" t="e">
        <f ca="1">_xll.BDH("ANSS US Equity","PCT_INDEPENDENT_DIRECTORS","FY 2011","FY 2011","Currency=USD","Period=FY","BEST_FPERIOD_OVERRIDE=FY","FILING_STATUS=MR","Sort=A","Dates=H","DateFormat=P","Fill=—","Direction=H","UseDPDF=Y")</f>
        <v>#NAME?</v>
      </c>
      <c r="F49" s="14" t="e">
        <f ca="1">_xll.BDH("ANSS US Equity","PCT_INDEPENDENT_DIRECTORS","FY 2012","FY 2012","Currency=USD","Period=FY","BEST_FPERIOD_OVERRIDE=FY","FILING_STATUS=MR","Sort=A","Dates=H","DateFormat=P","Fill=—","Direction=H","UseDPDF=Y")</f>
        <v>#NAME?</v>
      </c>
      <c r="G49" s="14" t="e">
        <f ca="1">_xll.BDH("ANSS US Equity","PCT_INDEPENDENT_DIRECTORS","FY 2013","FY 2013","Currency=USD","Period=FY","BEST_FPERIOD_OVERRIDE=FY","FILING_STATUS=MR","Sort=A","Dates=H","DateFormat=P","Fill=—","Direction=H","UseDPDF=Y")</f>
        <v>#NAME?</v>
      </c>
      <c r="H49" s="14" t="e">
        <f ca="1">_xll.BDH("ANSS US Equity","PCT_INDEPENDENT_DIRECTORS","FY 2014","FY 2014","Currency=USD","Period=FY","BEST_FPERIOD_OVERRIDE=FY","FILING_STATUS=MR","Sort=A","Dates=H","DateFormat=P","Fill=—","Direction=H","UseDPDF=Y")</f>
        <v>#NAME?</v>
      </c>
      <c r="I49" s="14" t="e">
        <f ca="1">_xll.BDH("ANSS US Equity","PCT_INDEPENDENT_DIRECTORS","FY 2015","FY 2015","Currency=USD","Period=FY","BEST_FPERIOD_OVERRIDE=FY","FILING_STATUS=MR","Sort=A","Dates=H","DateFormat=P","Fill=—","Direction=H","UseDPDF=Y")</f>
        <v>#NAME?</v>
      </c>
      <c r="J49" s="14" t="e">
        <f ca="1">_xll.BDH("ANSS US Equity","PCT_INDEPENDENT_DIRECTORS","FY 2016","FY 2016","Currency=USD","Period=FY","BEST_FPERIOD_OVERRIDE=FY","FILING_STATUS=MR","Sort=A","Dates=H","DateFormat=P","Fill=—","Direction=H","UseDPDF=Y")</f>
        <v>#NAME?</v>
      </c>
      <c r="K49" s="14" t="e">
        <f ca="1">_xll.BDH("ANSS US Equity","PCT_INDEPENDENT_DIRECTORS","FY 2017","FY 2017","Currency=USD","Period=FY","BEST_FPERIOD_OVERRIDE=FY","FILING_STATUS=MR","Sort=A","Dates=H","DateFormat=P","Fill=—","Direction=H","UseDPDF=Y")</f>
        <v>#NAME?</v>
      </c>
      <c r="L49" s="14" t="e">
        <f ca="1">_xll.BDH("ANSS US Equity","PCT_INDEPENDENT_DIRECTORS","FY 2018","FY 2018","Currency=USD","Period=FY","BEST_FPERIOD_OVERRIDE=FY","FILING_STATUS=MR","Sort=A","Dates=H","DateFormat=P","Fill=—","Direction=H","UseDPDF=Y")</f>
        <v>#NAME?</v>
      </c>
      <c r="M49" s="14" t="e">
        <f ca="1">_xll.BDH("ANSS US Equity","PCT_INDEPENDENT_DIRECTORS","FY 2019","FY 2019","Currency=USD","Period=FY","BEST_FPERIOD_OVERRIDE=FY","FILING_STATUS=MR","Sort=A","Dates=H","DateFormat=P","Fill=—","Direction=H","UseDPDF=Y")</f>
        <v>#NAME?</v>
      </c>
      <c r="N49" s="14" t="e">
        <f ca="1">_xll.BDH("ANSS US Equity","PCT_INDEPENDENT_DIRECTORS","FY 2020","FY 2020","Currency=USD","Period=FY","BEST_FPERIOD_OVERRIDE=FY","FILING_STATUS=MR","Sort=A","Dates=H","DateFormat=P","Fill=—","Direction=H","UseDPDF=Y")</f>
        <v>#NAME?</v>
      </c>
      <c r="O49" s="14" t="e">
        <f ca="1">_xll.BDH("ANSS US Equity","PCT_INDEPENDENT_DIRECTORS","FY 2021","FY 2021","Currency=USD","Period=FY","BEST_FPERIOD_OVERRIDE=FY","FILING_STATUS=MR","Sort=A","Dates=H","DateFormat=P","Fill=—","Direction=H","UseDPDF=Y")</f>
        <v>#NAME?</v>
      </c>
      <c r="P49" s="14" t="e">
        <f ca="1">_xll.BDH("ANSS US Equity","PCT_INDEPENDENT_DIRECTORS","FY 2022","FY 2022","Currency=USD","Period=FY","BEST_FPERIOD_OVERRIDE=FY","FILING_STATUS=MR","Sort=A","Dates=H","DateFormat=P","Fill=—","Direction=H","UseDPDF=Y")</f>
        <v>#NAME?</v>
      </c>
      <c r="Q49" s="14" t="e">
        <f ca="1">_xll.BDH("ANSS US Equity","PCT_INDEPENDENT_DIRECTORS","FY 2023","FY 2023","Currency=USD","Period=FY","BEST_FPERIOD_OVERRIDE=FY","FILING_STATUS=MR","Sort=A","Dates=H","DateFormat=P","Fill=—","Direction=H","UseDPDF=Y")</f>
        <v>#NAME?</v>
      </c>
    </row>
    <row r="50" spans="1:17" x14ac:dyDescent="0.45">
      <c r="A50" s="10" t="s">
        <v>542</v>
      </c>
      <c r="B50" s="10" t="s">
        <v>543</v>
      </c>
      <c r="C50" s="14" t="e">
        <f ca="1">_xll.BDH("ANSS US Equity","PCT_WOMEN_ON_BOARD","FY 2009","FY 2009","Currency=USD","Period=FY","BEST_FPERIOD_OVERRIDE=FY","FILING_STATUS=MR","Sort=A","Dates=H","DateFormat=P","Fill=—","Direction=H","UseDPDF=Y")</f>
        <v>#NAME?</v>
      </c>
      <c r="D50" s="14" t="e">
        <f ca="1">_xll.BDH("ANSS US Equity","PCT_WOMEN_ON_BOARD","FY 2010","FY 2010","Currency=USD","Period=FY","BEST_FPERIOD_OVERRIDE=FY","FILING_STATUS=MR","Sort=A","Dates=H","DateFormat=P","Fill=—","Direction=H","UseDPDF=Y")</f>
        <v>#NAME?</v>
      </c>
      <c r="E50" s="14" t="e">
        <f ca="1">_xll.BDH("ANSS US Equity","PCT_WOMEN_ON_BOARD","FY 2011","FY 2011","Currency=USD","Period=FY","BEST_FPERIOD_OVERRIDE=FY","FILING_STATUS=MR","Sort=A","Dates=H","DateFormat=P","Fill=—","Direction=H","UseDPDF=Y")</f>
        <v>#NAME?</v>
      </c>
      <c r="F50" s="14" t="e">
        <f ca="1">_xll.BDH("ANSS US Equity","PCT_WOMEN_ON_BOARD","FY 2012","FY 2012","Currency=USD","Period=FY","BEST_FPERIOD_OVERRIDE=FY","FILING_STATUS=MR","Sort=A","Dates=H","DateFormat=P","Fill=—","Direction=H","UseDPDF=Y")</f>
        <v>#NAME?</v>
      </c>
      <c r="G50" s="14" t="e">
        <f ca="1">_xll.BDH("ANSS US Equity","PCT_WOMEN_ON_BOARD","FY 2013","FY 2013","Currency=USD","Period=FY","BEST_FPERIOD_OVERRIDE=FY","FILING_STATUS=MR","Sort=A","Dates=H","DateFormat=P","Fill=—","Direction=H","UseDPDF=Y")</f>
        <v>#NAME?</v>
      </c>
      <c r="H50" s="14" t="e">
        <f ca="1">_xll.BDH("ANSS US Equity","PCT_WOMEN_ON_BOARD","FY 2014","FY 2014","Currency=USD","Period=FY","BEST_FPERIOD_OVERRIDE=FY","FILING_STATUS=MR","Sort=A","Dates=H","DateFormat=P","Fill=—","Direction=H","UseDPDF=Y")</f>
        <v>#NAME?</v>
      </c>
      <c r="I50" s="14" t="e">
        <f ca="1">_xll.BDH("ANSS US Equity","PCT_WOMEN_ON_BOARD","FY 2015","FY 2015","Currency=USD","Period=FY","BEST_FPERIOD_OVERRIDE=FY","FILING_STATUS=MR","Sort=A","Dates=H","DateFormat=P","Fill=—","Direction=H","UseDPDF=Y")</f>
        <v>#NAME?</v>
      </c>
      <c r="J50" s="14" t="e">
        <f ca="1">_xll.BDH("ANSS US Equity","PCT_WOMEN_ON_BOARD","FY 2016","FY 2016","Currency=USD","Period=FY","BEST_FPERIOD_OVERRIDE=FY","FILING_STATUS=MR","Sort=A","Dates=H","DateFormat=P","Fill=—","Direction=H","UseDPDF=Y")</f>
        <v>#NAME?</v>
      </c>
      <c r="K50" s="14" t="e">
        <f ca="1">_xll.BDH("ANSS US Equity","PCT_WOMEN_ON_BOARD","FY 2017","FY 2017","Currency=USD","Period=FY","BEST_FPERIOD_OVERRIDE=FY","FILING_STATUS=MR","Sort=A","Dates=H","DateFormat=P","Fill=—","Direction=H","UseDPDF=Y")</f>
        <v>#NAME?</v>
      </c>
      <c r="L50" s="14" t="e">
        <f ca="1">_xll.BDH("ANSS US Equity","PCT_WOMEN_ON_BOARD","FY 2018","FY 2018","Currency=USD","Period=FY","BEST_FPERIOD_OVERRIDE=FY","FILING_STATUS=MR","Sort=A","Dates=H","DateFormat=P","Fill=—","Direction=H","UseDPDF=Y")</f>
        <v>#NAME?</v>
      </c>
      <c r="M50" s="14" t="e">
        <f ca="1">_xll.BDH("ANSS US Equity","PCT_WOMEN_ON_BOARD","FY 2019","FY 2019","Currency=USD","Period=FY","BEST_FPERIOD_OVERRIDE=FY","FILING_STATUS=MR","Sort=A","Dates=H","DateFormat=P","Fill=—","Direction=H","UseDPDF=Y")</f>
        <v>#NAME?</v>
      </c>
      <c r="N50" s="14" t="e">
        <f ca="1">_xll.BDH("ANSS US Equity","PCT_WOMEN_ON_BOARD","FY 2020","FY 2020","Currency=USD","Period=FY","BEST_FPERIOD_OVERRIDE=FY","FILING_STATUS=MR","Sort=A","Dates=H","DateFormat=P","Fill=—","Direction=H","UseDPDF=Y")</f>
        <v>#NAME?</v>
      </c>
      <c r="O50" s="14" t="e">
        <f ca="1">_xll.BDH("ANSS US Equity","PCT_WOMEN_ON_BOARD","FY 2021","FY 2021","Currency=USD","Period=FY","BEST_FPERIOD_OVERRIDE=FY","FILING_STATUS=MR","Sort=A","Dates=H","DateFormat=P","Fill=—","Direction=H","UseDPDF=Y")</f>
        <v>#NAME?</v>
      </c>
      <c r="P50" s="14" t="e">
        <f ca="1">_xll.BDH("ANSS US Equity","PCT_WOMEN_ON_BOARD","FY 2022","FY 2022","Currency=USD","Period=FY","BEST_FPERIOD_OVERRIDE=FY","FILING_STATUS=MR","Sort=A","Dates=H","DateFormat=P","Fill=—","Direction=H","UseDPDF=Y")</f>
        <v>#NAME?</v>
      </c>
      <c r="Q50" s="14" t="e">
        <f ca="1">_xll.BDH("ANSS US Equity","PCT_WOMEN_ON_BOARD","FY 2023","FY 2023","Currency=USD","Period=FY","BEST_FPERIOD_OVERRIDE=FY","FILING_STATUS=MR","Sort=A","Dates=H","DateFormat=P","Fill=—","Direction=H","UseDPDF=Y")</f>
        <v>#NAME?</v>
      </c>
    </row>
    <row r="51" spans="1:17" x14ac:dyDescent="0.45">
      <c r="A51" s="10" t="s">
        <v>544</v>
      </c>
      <c r="B51" s="10" t="s">
        <v>545</v>
      </c>
      <c r="C51" s="14" t="e">
        <f ca="1">_xll.BDH("ANSS US Equity","PERCENTAGE_OF_FEMALE_EXECUTIVES","FY 2009","FY 2009","Currency=USD","Period=FY","BEST_FPERIOD_OVERRIDE=FY","FILING_STATUS=MR","Sort=A","Dates=H","DateFormat=P","Fill=—","Direction=H","UseDPDF=Y")</f>
        <v>#NAME?</v>
      </c>
      <c r="D51" s="14" t="e">
        <f ca="1">_xll.BDH("ANSS US Equity","PERCENTAGE_OF_FEMALE_EXECUTIVES","FY 2010","FY 2010","Currency=USD","Period=FY","BEST_FPERIOD_OVERRIDE=FY","FILING_STATUS=MR","Sort=A","Dates=H","DateFormat=P","Fill=—","Direction=H","UseDPDF=Y")</f>
        <v>#NAME?</v>
      </c>
      <c r="E51" s="14" t="e">
        <f ca="1">_xll.BDH("ANSS US Equity","PERCENTAGE_OF_FEMALE_EXECUTIVES","FY 2011","FY 2011","Currency=USD","Period=FY","BEST_FPERIOD_OVERRIDE=FY","FILING_STATUS=MR","Sort=A","Dates=H","DateFormat=P","Fill=—","Direction=H","UseDPDF=Y")</f>
        <v>#NAME?</v>
      </c>
      <c r="F51" s="14" t="e">
        <f ca="1">_xll.BDH("ANSS US Equity","PERCENTAGE_OF_FEMALE_EXECUTIVES","FY 2012","FY 2012","Currency=USD","Period=FY","BEST_FPERIOD_OVERRIDE=FY","FILING_STATUS=MR","Sort=A","Dates=H","DateFormat=P","Fill=—","Direction=H","UseDPDF=Y")</f>
        <v>#NAME?</v>
      </c>
      <c r="G51" s="14" t="e">
        <f ca="1">_xll.BDH("ANSS US Equity","PERCENTAGE_OF_FEMALE_EXECUTIVES","FY 2013","FY 2013","Currency=USD","Period=FY","BEST_FPERIOD_OVERRIDE=FY","FILING_STATUS=MR","Sort=A","Dates=H","DateFormat=P","Fill=—","Direction=H","UseDPDF=Y")</f>
        <v>#NAME?</v>
      </c>
      <c r="H51" s="14" t="e">
        <f ca="1">_xll.BDH("ANSS US Equity","PERCENTAGE_OF_FEMALE_EXECUTIVES","FY 2014","FY 2014","Currency=USD","Period=FY","BEST_FPERIOD_OVERRIDE=FY","FILING_STATUS=MR","Sort=A","Dates=H","DateFormat=P","Fill=—","Direction=H","UseDPDF=Y")</f>
        <v>#NAME?</v>
      </c>
      <c r="I51" s="14" t="e">
        <f ca="1">_xll.BDH("ANSS US Equity","PERCENTAGE_OF_FEMALE_EXECUTIVES","FY 2015","FY 2015","Currency=USD","Period=FY","BEST_FPERIOD_OVERRIDE=FY","FILING_STATUS=MR","Sort=A","Dates=H","DateFormat=P","Fill=—","Direction=H","UseDPDF=Y")</f>
        <v>#NAME?</v>
      </c>
      <c r="J51" s="14" t="e">
        <f ca="1">_xll.BDH("ANSS US Equity","PERCENTAGE_OF_FEMALE_EXECUTIVES","FY 2016","FY 2016","Currency=USD","Period=FY","BEST_FPERIOD_OVERRIDE=FY","FILING_STATUS=MR","Sort=A","Dates=H","DateFormat=P","Fill=—","Direction=H","UseDPDF=Y")</f>
        <v>#NAME?</v>
      </c>
      <c r="K51" s="14" t="e">
        <f ca="1">_xll.BDH("ANSS US Equity","PERCENTAGE_OF_FEMALE_EXECUTIVES","FY 2017","FY 2017","Currency=USD","Period=FY","BEST_FPERIOD_OVERRIDE=FY","FILING_STATUS=MR","Sort=A","Dates=H","DateFormat=P","Fill=—","Direction=H","UseDPDF=Y")</f>
        <v>#NAME?</v>
      </c>
      <c r="L51" s="14" t="e">
        <f ca="1">_xll.BDH("ANSS US Equity","PERCENTAGE_OF_FEMALE_EXECUTIVES","FY 2018","FY 2018","Currency=USD","Period=FY","BEST_FPERIOD_OVERRIDE=FY","FILING_STATUS=MR","Sort=A","Dates=H","DateFormat=P","Fill=—","Direction=H","UseDPDF=Y")</f>
        <v>#NAME?</v>
      </c>
      <c r="M51" s="14" t="e">
        <f ca="1">_xll.BDH("ANSS US Equity","PERCENTAGE_OF_FEMALE_EXECUTIVES","FY 2019","FY 2019","Currency=USD","Period=FY","BEST_FPERIOD_OVERRIDE=FY","FILING_STATUS=MR","Sort=A","Dates=H","DateFormat=P","Fill=—","Direction=H","UseDPDF=Y")</f>
        <v>#NAME?</v>
      </c>
      <c r="N51" s="14" t="e">
        <f ca="1">_xll.BDH("ANSS US Equity","PERCENTAGE_OF_FEMALE_EXECUTIVES","FY 2020","FY 2020","Currency=USD","Period=FY","BEST_FPERIOD_OVERRIDE=FY","FILING_STATUS=MR","Sort=A","Dates=H","DateFormat=P","Fill=—","Direction=H","UseDPDF=Y")</f>
        <v>#NAME?</v>
      </c>
      <c r="O51" s="14" t="e">
        <f ca="1">_xll.BDH("ANSS US Equity","PERCENTAGE_OF_FEMALE_EXECUTIVES","FY 2021","FY 2021","Currency=USD","Period=FY","BEST_FPERIOD_OVERRIDE=FY","FILING_STATUS=MR","Sort=A","Dates=H","DateFormat=P","Fill=—","Direction=H","UseDPDF=Y")</f>
        <v>#NAME?</v>
      </c>
      <c r="P51" s="14" t="e">
        <f ca="1">_xll.BDH("ANSS US Equity","PERCENTAGE_OF_FEMALE_EXECUTIVES","FY 2022","FY 2022","Currency=USD","Period=FY","BEST_FPERIOD_OVERRIDE=FY","FILING_STATUS=MR","Sort=A","Dates=H","DateFormat=P","Fill=—","Direction=H","UseDPDF=Y")</f>
        <v>#NAME?</v>
      </c>
      <c r="Q51" s="14" t="e">
        <f ca="1">_xll.BDH("ANSS US Equity","PERCENTAGE_OF_FEMALE_EXECUTIVES","FY 2023","FY 2023","Currency=USD","Period=FY","BEST_FPERIOD_OVERRIDE=FY","FILING_STATUS=MR","Sort=A","Dates=H","DateFormat=P","Fill=—","Direction=H","UseDPDF=Y")</f>
        <v>#NAME?</v>
      </c>
    </row>
    <row r="52" spans="1:17" x14ac:dyDescent="0.45">
      <c r="A52" s="10" t="s">
        <v>546</v>
      </c>
      <c r="B52" s="10" t="s">
        <v>547</v>
      </c>
      <c r="C52" s="14" t="e">
        <f ca="1">_xll.BDH("ANSS US Equity","BOARD_OF_DIRECTORS_AGE_RANGE","FY 2009","FY 2009","Currency=USD","Period=FY","BEST_FPERIOD_OVERRIDE=FY","FILING_STATUS=MR","Sort=A","Dates=H","DateFormat=P","Fill=—","Direction=H","UseDPDF=Y")</f>
        <v>#NAME?</v>
      </c>
      <c r="D52" s="14" t="e">
        <f ca="1">_xll.BDH("ANSS US Equity","BOARD_OF_DIRECTORS_AGE_RANGE","FY 2010","FY 2010","Currency=USD","Period=FY","BEST_FPERIOD_OVERRIDE=FY","FILING_STATUS=MR","Sort=A","Dates=H","DateFormat=P","Fill=—","Direction=H","UseDPDF=Y")</f>
        <v>#NAME?</v>
      </c>
      <c r="E52" s="14" t="e">
        <f ca="1">_xll.BDH("ANSS US Equity","BOARD_OF_DIRECTORS_AGE_RANGE","FY 2011","FY 2011","Currency=USD","Period=FY","BEST_FPERIOD_OVERRIDE=FY","FILING_STATUS=MR","Sort=A","Dates=H","DateFormat=P","Fill=—","Direction=H","UseDPDF=Y")</f>
        <v>#NAME?</v>
      </c>
      <c r="F52" s="14" t="e">
        <f ca="1">_xll.BDH("ANSS US Equity","BOARD_OF_DIRECTORS_AGE_RANGE","FY 2012","FY 2012","Currency=USD","Period=FY","BEST_FPERIOD_OVERRIDE=FY","FILING_STATUS=MR","Sort=A","Dates=H","DateFormat=P","Fill=—","Direction=H","UseDPDF=Y")</f>
        <v>#NAME?</v>
      </c>
      <c r="G52" s="14" t="e">
        <f ca="1">_xll.BDH("ANSS US Equity","BOARD_OF_DIRECTORS_AGE_RANGE","FY 2013","FY 2013","Currency=USD","Period=FY","BEST_FPERIOD_OVERRIDE=FY","FILING_STATUS=MR","Sort=A","Dates=H","DateFormat=P","Fill=—","Direction=H","UseDPDF=Y")</f>
        <v>#NAME?</v>
      </c>
      <c r="H52" s="14" t="e">
        <f ca="1">_xll.BDH("ANSS US Equity","BOARD_OF_DIRECTORS_AGE_RANGE","FY 2014","FY 2014","Currency=USD","Period=FY","BEST_FPERIOD_OVERRIDE=FY","FILING_STATUS=MR","Sort=A","Dates=H","DateFormat=P","Fill=—","Direction=H","UseDPDF=Y")</f>
        <v>#NAME?</v>
      </c>
      <c r="I52" s="14" t="e">
        <f ca="1">_xll.BDH("ANSS US Equity","BOARD_OF_DIRECTORS_AGE_RANGE","FY 2015","FY 2015","Currency=USD","Period=FY","BEST_FPERIOD_OVERRIDE=FY","FILING_STATUS=MR","Sort=A","Dates=H","DateFormat=P","Fill=—","Direction=H","UseDPDF=Y")</f>
        <v>#NAME?</v>
      </c>
      <c r="J52" s="14" t="e">
        <f ca="1">_xll.BDH("ANSS US Equity","BOARD_OF_DIRECTORS_AGE_RANGE","FY 2016","FY 2016","Currency=USD","Period=FY","BEST_FPERIOD_OVERRIDE=FY","FILING_STATUS=MR","Sort=A","Dates=H","DateFormat=P","Fill=—","Direction=H","UseDPDF=Y")</f>
        <v>#NAME?</v>
      </c>
      <c r="K52" s="14" t="e">
        <f ca="1">_xll.BDH("ANSS US Equity","BOARD_OF_DIRECTORS_AGE_RANGE","FY 2017","FY 2017","Currency=USD","Period=FY","BEST_FPERIOD_OVERRIDE=FY","FILING_STATUS=MR","Sort=A","Dates=H","DateFormat=P","Fill=—","Direction=H","UseDPDF=Y")</f>
        <v>#NAME?</v>
      </c>
      <c r="L52" s="14" t="e">
        <f ca="1">_xll.BDH("ANSS US Equity","BOARD_OF_DIRECTORS_AGE_RANGE","FY 2018","FY 2018","Currency=USD","Period=FY","BEST_FPERIOD_OVERRIDE=FY","FILING_STATUS=MR","Sort=A","Dates=H","DateFormat=P","Fill=—","Direction=H","UseDPDF=Y")</f>
        <v>#NAME?</v>
      </c>
      <c r="M52" s="14" t="e">
        <f ca="1">_xll.BDH("ANSS US Equity","BOARD_OF_DIRECTORS_AGE_RANGE","FY 2019","FY 2019","Currency=USD","Period=FY","BEST_FPERIOD_OVERRIDE=FY","FILING_STATUS=MR","Sort=A","Dates=H","DateFormat=P","Fill=—","Direction=H","UseDPDF=Y")</f>
        <v>#NAME?</v>
      </c>
      <c r="N52" s="14" t="e">
        <f ca="1">_xll.BDH("ANSS US Equity","BOARD_OF_DIRECTORS_AGE_RANGE","FY 2020","FY 2020","Currency=USD","Period=FY","BEST_FPERIOD_OVERRIDE=FY","FILING_STATUS=MR","Sort=A","Dates=H","DateFormat=P","Fill=—","Direction=H","UseDPDF=Y")</f>
        <v>#NAME?</v>
      </c>
      <c r="O52" s="14" t="e">
        <f ca="1">_xll.BDH("ANSS US Equity","BOARD_OF_DIRECTORS_AGE_RANGE","FY 2021","FY 2021","Currency=USD","Period=FY","BEST_FPERIOD_OVERRIDE=FY","FILING_STATUS=MR","Sort=A","Dates=H","DateFormat=P","Fill=—","Direction=H","UseDPDF=Y")</f>
        <v>#NAME?</v>
      </c>
      <c r="P52" s="14" t="e">
        <f ca="1">_xll.BDH("ANSS US Equity","BOARD_OF_DIRECTORS_AGE_RANGE","FY 2022","FY 2022","Currency=USD","Period=FY","BEST_FPERIOD_OVERRIDE=FY","FILING_STATUS=MR","Sort=A","Dates=H","DateFormat=P","Fill=—","Direction=H","UseDPDF=Y")</f>
        <v>#NAME?</v>
      </c>
      <c r="Q52" s="14" t="e">
        <f ca="1">_xll.BDH("ANSS US Equity","BOARD_OF_DIRECTORS_AGE_RANGE","FY 2023","FY 2023","Currency=USD","Period=FY","BEST_FPERIOD_OVERRIDE=FY","FILING_STATUS=MR","Sort=A","Dates=H","DateFormat=P","Fill=—","Direction=H","UseDPDF=Y")</f>
        <v>#NAME?</v>
      </c>
    </row>
    <row r="53" spans="1:17" x14ac:dyDescent="0.45">
      <c r="A53" s="10" t="s">
        <v>548</v>
      </c>
      <c r="B53" s="10" t="s">
        <v>549</v>
      </c>
      <c r="C53" s="14" t="e">
        <f ca="1">_xll.BDH("ANSS US Equity","BOARD_AVERAGE_AGE","FY 2009","FY 2009","Currency=USD","Period=FY","BEST_FPERIOD_OVERRIDE=FY","FILING_STATUS=MR","Sort=A","Dates=H","DateFormat=P","Fill=—","Direction=H","UseDPDF=Y")</f>
        <v>#NAME?</v>
      </c>
      <c r="D53" s="14" t="e">
        <f ca="1">_xll.BDH("ANSS US Equity","BOARD_AVERAGE_AGE","FY 2010","FY 2010","Currency=USD","Period=FY","BEST_FPERIOD_OVERRIDE=FY","FILING_STATUS=MR","Sort=A","Dates=H","DateFormat=P","Fill=—","Direction=H","UseDPDF=Y")</f>
        <v>#NAME?</v>
      </c>
      <c r="E53" s="14" t="e">
        <f ca="1">_xll.BDH("ANSS US Equity","BOARD_AVERAGE_AGE","FY 2011","FY 2011","Currency=USD","Period=FY","BEST_FPERIOD_OVERRIDE=FY","FILING_STATUS=MR","Sort=A","Dates=H","DateFormat=P","Fill=—","Direction=H","UseDPDF=Y")</f>
        <v>#NAME?</v>
      </c>
      <c r="F53" s="14" t="e">
        <f ca="1">_xll.BDH("ANSS US Equity","BOARD_AVERAGE_AGE","FY 2012","FY 2012","Currency=USD","Period=FY","BEST_FPERIOD_OVERRIDE=FY","FILING_STATUS=MR","Sort=A","Dates=H","DateFormat=P","Fill=—","Direction=H","UseDPDF=Y")</f>
        <v>#NAME?</v>
      </c>
      <c r="G53" s="14" t="e">
        <f ca="1">_xll.BDH("ANSS US Equity","BOARD_AVERAGE_AGE","FY 2013","FY 2013","Currency=USD","Period=FY","BEST_FPERIOD_OVERRIDE=FY","FILING_STATUS=MR","Sort=A","Dates=H","DateFormat=P","Fill=—","Direction=H","UseDPDF=Y")</f>
        <v>#NAME?</v>
      </c>
      <c r="H53" s="14" t="e">
        <f ca="1">_xll.BDH("ANSS US Equity","BOARD_AVERAGE_AGE","FY 2014","FY 2014","Currency=USD","Period=FY","BEST_FPERIOD_OVERRIDE=FY","FILING_STATUS=MR","Sort=A","Dates=H","DateFormat=P","Fill=—","Direction=H","UseDPDF=Y")</f>
        <v>#NAME?</v>
      </c>
      <c r="I53" s="14" t="e">
        <f ca="1">_xll.BDH("ANSS US Equity","BOARD_AVERAGE_AGE","FY 2015","FY 2015","Currency=USD","Period=FY","BEST_FPERIOD_OVERRIDE=FY","FILING_STATUS=MR","Sort=A","Dates=H","DateFormat=P","Fill=—","Direction=H","UseDPDF=Y")</f>
        <v>#NAME?</v>
      </c>
      <c r="J53" s="14" t="e">
        <f ca="1">_xll.BDH("ANSS US Equity","BOARD_AVERAGE_AGE","FY 2016","FY 2016","Currency=USD","Period=FY","BEST_FPERIOD_OVERRIDE=FY","FILING_STATUS=MR","Sort=A","Dates=H","DateFormat=P","Fill=—","Direction=H","UseDPDF=Y")</f>
        <v>#NAME?</v>
      </c>
      <c r="K53" s="14" t="e">
        <f ca="1">_xll.BDH("ANSS US Equity","BOARD_AVERAGE_AGE","FY 2017","FY 2017","Currency=USD","Period=FY","BEST_FPERIOD_OVERRIDE=FY","FILING_STATUS=MR","Sort=A","Dates=H","DateFormat=P","Fill=—","Direction=H","UseDPDF=Y")</f>
        <v>#NAME?</v>
      </c>
      <c r="L53" s="14" t="e">
        <f ca="1">_xll.BDH("ANSS US Equity","BOARD_AVERAGE_AGE","FY 2018","FY 2018","Currency=USD","Period=FY","BEST_FPERIOD_OVERRIDE=FY","FILING_STATUS=MR","Sort=A","Dates=H","DateFormat=P","Fill=—","Direction=H","UseDPDF=Y")</f>
        <v>#NAME?</v>
      </c>
      <c r="M53" s="14" t="e">
        <f ca="1">_xll.BDH("ANSS US Equity","BOARD_AVERAGE_AGE","FY 2019","FY 2019","Currency=USD","Period=FY","BEST_FPERIOD_OVERRIDE=FY","FILING_STATUS=MR","Sort=A","Dates=H","DateFormat=P","Fill=—","Direction=H","UseDPDF=Y")</f>
        <v>#NAME?</v>
      </c>
      <c r="N53" s="14" t="e">
        <f ca="1">_xll.BDH("ANSS US Equity","BOARD_AVERAGE_AGE","FY 2020","FY 2020","Currency=USD","Period=FY","BEST_FPERIOD_OVERRIDE=FY","FILING_STATUS=MR","Sort=A","Dates=H","DateFormat=P","Fill=—","Direction=H","UseDPDF=Y")</f>
        <v>#NAME?</v>
      </c>
      <c r="O53" s="14" t="e">
        <f ca="1">_xll.BDH("ANSS US Equity","BOARD_AVERAGE_AGE","FY 2021","FY 2021","Currency=USD","Period=FY","BEST_FPERIOD_OVERRIDE=FY","FILING_STATUS=MR","Sort=A","Dates=H","DateFormat=P","Fill=—","Direction=H","UseDPDF=Y")</f>
        <v>#NAME?</v>
      </c>
      <c r="P53" s="14" t="e">
        <f ca="1">_xll.BDH("ANSS US Equity","BOARD_AVERAGE_AGE","FY 2022","FY 2022","Currency=USD","Period=FY","BEST_FPERIOD_OVERRIDE=FY","FILING_STATUS=MR","Sort=A","Dates=H","DateFormat=P","Fill=—","Direction=H","UseDPDF=Y")</f>
        <v>#NAME?</v>
      </c>
      <c r="Q53" s="14" t="e">
        <f ca="1">_xll.BDH("ANSS US Equity","BOARD_AVERAGE_AGE","FY 2023","FY 2023","Currency=USD","Period=FY","BEST_FPERIOD_OVERRIDE=FY","FILING_STATUS=MR","Sort=A","Dates=H","DateFormat=P","Fill=—","Direction=H","UseDPDF=Y")</f>
        <v>#NAME?</v>
      </c>
    </row>
    <row r="54" spans="1:17" x14ac:dyDescent="0.45">
      <c r="A54" s="10" t="s">
        <v>550</v>
      </c>
      <c r="B54" s="10" t="s">
        <v>551</v>
      </c>
      <c r="C54" s="14" t="e">
        <f ca="1">_xll.BDH("ANSS US Equity","BOARD_MEETING_ATTENDANCE_PCT","FY 2009","FY 2009","Currency=USD","Period=FY","BEST_FPERIOD_OVERRIDE=FY","FILING_STATUS=MR","Sort=A","Dates=H","DateFormat=P","Fill=—","Direction=H","UseDPDF=Y")</f>
        <v>#NAME?</v>
      </c>
      <c r="D54" s="14" t="e">
        <f ca="1">_xll.BDH("ANSS US Equity","BOARD_MEETING_ATTENDANCE_PCT","FY 2010","FY 2010","Currency=USD","Period=FY","BEST_FPERIOD_OVERRIDE=FY","FILING_STATUS=MR","Sort=A","Dates=H","DateFormat=P","Fill=—","Direction=H","UseDPDF=Y")</f>
        <v>#NAME?</v>
      </c>
      <c r="E54" s="14" t="e">
        <f ca="1">_xll.BDH("ANSS US Equity","BOARD_MEETING_ATTENDANCE_PCT","FY 2011","FY 2011","Currency=USD","Period=FY","BEST_FPERIOD_OVERRIDE=FY","FILING_STATUS=MR","Sort=A","Dates=H","DateFormat=P","Fill=—","Direction=H","UseDPDF=Y")</f>
        <v>#NAME?</v>
      </c>
      <c r="F54" s="14" t="e">
        <f ca="1">_xll.BDH("ANSS US Equity","BOARD_MEETING_ATTENDANCE_PCT","FY 2012","FY 2012","Currency=USD","Period=FY","BEST_FPERIOD_OVERRIDE=FY","FILING_STATUS=MR","Sort=A","Dates=H","DateFormat=P","Fill=—","Direction=H","UseDPDF=Y")</f>
        <v>#NAME?</v>
      </c>
      <c r="G54" s="14" t="e">
        <f ca="1">_xll.BDH("ANSS US Equity","BOARD_MEETING_ATTENDANCE_PCT","FY 2013","FY 2013","Currency=USD","Period=FY","BEST_FPERIOD_OVERRIDE=FY","FILING_STATUS=MR","Sort=A","Dates=H","DateFormat=P","Fill=—","Direction=H","UseDPDF=Y")</f>
        <v>#NAME?</v>
      </c>
      <c r="H54" s="14" t="e">
        <f ca="1">_xll.BDH("ANSS US Equity","BOARD_MEETING_ATTENDANCE_PCT","FY 2014","FY 2014","Currency=USD","Period=FY","BEST_FPERIOD_OVERRIDE=FY","FILING_STATUS=MR","Sort=A","Dates=H","DateFormat=P","Fill=—","Direction=H","UseDPDF=Y")</f>
        <v>#NAME?</v>
      </c>
      <c r="I54" s="14" t="e">
        <f ca="1">_xll.BDH("ANSS US Equity","BOARD_MEETING_ATTENDANCE_PCT","FY 2015","FY 2015","Currency=USD","Period=FY","BEST_FPERIOD_OVERRIDE=FY","FILING_STATUS=MR","Sort=A","Dates=H","DateFormat=P","Fill=—","Direction=H","UseDPDF=Y")</f>
        <v>#NAME?</v>
      </c>
      <c r="J54" s="14" t="e">
        <f ca="1">_xll.BDH("ANSS US Equity","BOARD_MEETING_ATTENDANCE_PCT","FY 2016","FY 2016","Currency=USD","Period=FY","BEST_FPERIOD_OVERRIDE=FY","FILING_STATUS=MR","Sort=A","Dates=H","DateFormat=P","Fill=—","Direction=H","UseDPDF=Y")</f>
        <v>#NAME?</v>
      </c>
      <c r="K54" s="14" t="e">
        <f ca="1">_xll.BDH("ANSS US Equity","BOARD_MEETING_ATTENDANCE_PCT","FY 2017","FY 2017","Currency=USD","Period=FY","BEST_FPERIOD_OVERRIDE=FY","FILING_STATUS=MR","Sort=A","Dates=H","DateFormat=P","Fill=—","Direction=H","UseDPDF=Y")</f>
        <v>#NAME?</v>
      </c>
      <c r="L54" s="14" t="e">
        <f ca="1">_xll.BDH("ANSS US Equity","BOARD_MEETING_ATTENDANCE_PCT","FY 2018","FY 2018","Currency=USD","Period=FY","BEST_FPERIOD_OVERRIDE=FY","FILING_STATUS=MR","Sort=A","Dates=H","DateFormat=P","Fill=—","Direction=H","UseDPDF=Y")</f>
        <v>#NAME?</v>
      </c>
      <c r="M54" s="14" t="e">
        <f ca="1">_xll.BDH("ANSS US Equity","BOARD_MEETING_ATTENDANCE_PCT","FY 2019","FY 2019","Currency=USD","Period=FY","BEST_FPERIOD_OVERRIDE=FY","FILING_STATUS=MR","Sort=A","Dates=H","DateFormat=P","Fill=—","Direction=H","UseDPDF=Y")</f>
        <v>#NAME?</v>
      </c>
      <c r="N54" s="14" t="e">
        <f ca="1">_xll.BDH("ANSS US Equity","BOARD_MEETING_ATTENDANCE_PCT","FY 2020","FY 2020","Currency=USD","Period=FY","BEST_FPERIOD_OVERRIDE=FY","FILING_STATUS=MR","Sort=A","Dates=H","DateFormat=P","Fill=—","Direction=H","UseDPDF=Y")</f>
        <v>#NAME?</v>
      </c>
      <c r="O54" s="14" t="e">
        <f ca="1">_xll.BDH("ANSS US Equity","BOARD_MEETING_ATTENDANCE_PCT","FY 2021","FY 2021","Currency=USD","Period=FY","BEST_FPERIOD_OVERRIDE=FY","FILING_STATUS=MR","Sort=A","Dates=H","DateFormat=P","Fill=—","Direction=H","UseDPDF=Y")</f>
        <v>#NAME?</v>
      </c>
      <c r="P54" s="14" t="e">
        <f ca="1">_xll.BDH("ANSS US Equity","BOARD_MEETING_ATTENDANCE_PCT","FY 2022","FY 2022","Currency=USD","Period=FY","BEST_FPERIOD_OVERRIDE=FY","FILING_STATUS=MR","Sort=A","Dates=H","DateFormat=P","Fill=—","Direction=H","UseDPDF=Y")</f>
        <v>#NAME?</v>
      </c>
      <c r="Q54" s="14" t="e">
        <f ca="1">_xll.BDH("ANSS US Equity","BOARD_MEETING_ATTENDANCE_PCT","FY 2023","FY 2023","Currency=USD","Period=FY","BEST_FPERIOD_OVERRIDE=FY","FILING_STATUS=MR","Sort=A","Dates=H","DateFormat=P","Fill=—","Direction=H","UseDPDF=Y")</f>
        <v>#NAME?</v>
      </c>
    </row>
    <row r="55" spans="1:17" x14ac:dyDescent="0.45">
      <c r="A55" s="10" t="s">
        <v>552</v>
      </c>
      <c r="B55" s="10" t="s">
        <v>553</v>
      </c>
      <c r="C55" s="14" t="e">
        <f ca="1">_xll.BDH("ANSS US Equity","IND_DIRECTORS_BRD_MTG_ATTEND_PCT","FY 2009","FY 2009","Currency=USD","Period=FY","BEST_FPERIOD_OVERRIDE=FY","FILING_STATUS=MR","Sort=A","Dates=H","DateFormat=P","Fill=—","Direction=H","UseDPDF=Y")</f>
        <v>#NAME?</v>
      </c>
      <c r="D55" s="14" t="e">
        <f ca="1">_xll.BDH("ANSS US Equity","IND_DIRECTORS_BRD_MTG_ATTEND_PCT","FY 2010","FY 2010","Currency=USD","Period=FY","BEST_FPERIOD_OVERRIDE=FY","FILING_STATUS=MR","Sort=A","Dates=H","DateFormat=P","Fill=—","Direction=H","UseDPDF=Y")</f>
        <v>#NAME?</v>
      </c>
      <c r="E55" s="14" t="e">
        <f ca="1">_xll.BDH("ANSS US Equity","IND_DIRECTORS_BRD_MTG_ATTEND_PCT","FY 2011","FY 2011","Currency=USD","Period=FY","BEST_FPERIOD_OVERRIDE=FY","FILING_STATUS=MR","Sort=A","Dates=H","DateFormat=P","Fill=—","Direction=H","UseDPDF=Y")</f>
        <v>#NAME?</v>
      </c>
      <c r="F55" s="14" t="e">
        <f ca="1">_xll.BDH("ANSS US Equity","IND_DIRECTORS_BRD_MTG_ATTEND_PCT","FY 2012","FY 2012","Currency=USD","Period=FY","BEST_FPERIOD_OVERRIDE=FY","FILING_STATUS=MR","Sort=A","Dates=H","DateFormat=P","Fill=—","Direction=H","UseDPDF=Y")</f>
        <v>#NAME?</v>
      </c>
      <c r="G55" s="14" t="e">
        <f ca="1">_xll.BDH("ANSS US Equity","IND_DIRECTORS_BRD_MTG_ATTEND_PCT","FY 2013","FY 2013","Currency=USD","Period=FY","BEST_FPERIOD_OVERRIDE=FY","FILING_STATUS=MR","Sort=A","Dates=H","DateFormat=P","Fill=—","Direction=H","UseDPDF=Y")</f>
        <v>#NAME?</v>
      </c>
      <c r="H55" s="14" t="e">
        <f ca="1">_xll.BDH("ANSS US Equity","IND_DIRECTORS_BRD_MTG_ATTEND_PCT","FY 2014","FY 2014","Currency=USD","Period=FY","BEST_FPERIOD_OVERRIDE=FY","FILING_STATUS=MR","Sort=A","Dates=H","DateFormat=P","Fill=—","Direction=H","UseDPDF=Y")</f>
        <v>#NAME?</v>
      </c>
      <c r="I55" s="14" t="e">
        <f ca="1">_xll.BDH("ANSS US Equity","IND_DIRECTORS_BRD_MTG_ATTEND_PCT","FY 2015","FY 2015","Currency=USD","Period=FY","BEST_FPERIOD_OVERRIDE=FY","FILING_STATUS=MR","Sort=A","Dates=H","DateFormat=P","Fill=—","Direction=H","UseDPDF=Y")</f>
        <v>#NAME?</v>
      </c>
      <c r="J55" s="14" t="e">
        <f ca="1">_xll.BDH("ANSS US Equity","IND_DIRECTORS_BRD_MTG_ATTEND_PCT","FY 2016","FY 2016","Currency=USD","Period=FY","BEST_FPERIOD_OVERRIDE=FY","FILING_STATUS=MR","Sort=A","Dates=H","DateFormat=P","Fill=—","Direction=H","UseDPDF=Y")</f>
        <v>#NAME?</v>
      </c>
      <c r="K55" s="14" t="e">
        <f ca="1">_xll.BDH("ANSS US Equity","IND_DIRECTORS_BRD_MTG_ATTEND_PCT","FY 2017","FY 2017","Currency=USD","Period=FY","BEST_FPERIOD_OVERRIDE=FY","FILING_STATUS=MR","Sort=A","Dates=H","DateFormat=P","Fill=—","Direction=H","UseDPDF=Y")</f>
        <v>#NAME?</v>
      </c>
      <c r="L55" s="14" t="e">
        <f ca="1">_xll.BDH("ANSS US Equity","IND_DIRECTORS_BRD_MTG_ATTEND_PCT","FY 2018","FY 2018","Currency=USD","Period=FY","BEST_FPERIOD_OVERRIDE=FY","FILING_STATUS=MR","Sort=A","Dates=H","DateFormat=P","Fill=—","Direction=H","UseDPDF=Y")</f>
        <v>#NAME?</v>
      </c>
      <c r="M55" s="14" t="e">
        <f ca="1">_xll.BDH("ANSS US Equity","IND_DIRECTORS_BRD_MTG_ATTEND_PCT","FY 2019","FY 2019","Currency=USD","Period=FY","BEST_FPERIOD_OVERRIDE=FY","FILING_STATUS=MR","Sort=A","Dates=H","DateFormat=P","Fill=—","Direction=H","UseDPDF=Y")</f>
        <v>#NAME?</v>
      </c>
      <c r="N55" s="14" t="e">
        <f ca="1">_xll.BDH("ANSS US Equity","IND_DIRECTORS_BRD_MTG_ATTEND_PCT","FY 2020","FY 2020","Currency=USD","Period=FY","BEST_FPERIOD_OVERRIDE=FY","FILING_STATUS=MR","Sort=A","Dates=H","DateFormat=P","Fill=—","Direction=H","UseDPDF=Y")</f>
        <v>#NAME?</v>
      </c>
      <c r="O55" s="14" t="e">
        <f ca="1">_xll.BDH("ANSS US Equity","IND_DIRECTORS_BRD_MTG_ATTEND_PCT","FY 2021","FY 2021","Currency=USD","Period=FY","BEST_FPERIOD_OVERRIDE=FY","FILING_STATUS=MR","Sort=A","Dates=H","DateFormat=P","Fill=—","Direction=H","UseDPDF=Y")</f>
        <v>#NAME?</v>
      </c>
      <c r="P55" s="14" t="e">
        <f ca="1">_xll.BDH("ANSS US Equity","IND_DIRECTORS_BRD_MTG_ATTEND_PCT","FY 2022","FY 2022","Currency=USD","Period=FY","BEST_FPERIOD_OVERRIDE=FY","FILING_STATUS=MR","Sort=A","Dates=H","DateFormat=P","Fill=—","Direction=H","UseDPDF=Y")</f>
        <v>#NAME?</v>
      </c>
      <c r="Q55" s="14" t="e">
        <f ca="1">_xll.BDH("ANSS US Equity","IND_DIRECTORS_BRD_MTG_ATTEND_PCT","FY 2023","FY 2023","Currency=USD","Period=FY","BEST_FPERIOD_OVERRIDE=FY","FILING_STATUS=MR","Sort=A","Dates=H","DateFormat=P","Fill=—","Direction=H","UseDPDF=Y")</f>
        <v>#NAME?</v>
      </c>
    </row>
    <row r="56" spans="1:17" x14ac:dyDescent="0.45">
      <c r="A56" s="10" t="s">
        <v>554</v>
      </c>
      <c r="B56" s="10" t="s">
        <v>555</v>
      </c>
      <c r="C56" s="14" t="e">
        <f ca="1">_xll.BDH("ANSS US Equity","PCT_IND_DIRECTORS_ON_AUDIT_CMTE","FY 2009","FY 2009","Currency=USD","Period=FY","BEST_FPERIOD_OVERRIDE=FY","FILING_STATUS=MR","Sort=A","Dates=H","DateFormat=P","Fill=—","Direction=H","UseDPDF=Y")</f>
        <v>#NAME?</v>
      </c>
      <c r="D56" s="14" t="e">
        <f ca="1">_xll.BDH("ANSS US Equity","PCT_IND_DIRECTORS_ON_AUDIT_CMTE","FY 2010","FY 2010","Currency=USD","Period=FY","BEST_FPERIOD_OVERRIDE=FY","FILING_STATUS=MR","Sort=A","Dates=H","DateFormat=P","Fill=—","Direction=H","UseDPDF=Y")</f>
        <v>#NAME?</v>
      </c>
      <c r="E56" s="14" t="e">
        <f ca="1">_xll.BDH("ANSS US Equity","PCT_IND_DIRECTORS_ON_AUDIT_CMTE","FY 2011","FY 2011","Currency=USD","Period=FY","BEST_FPERIOD_OVERRIDE=FY","FILING_STATUS=MR","Sort=A","Dates=H","DateFormat=P","Fill=—","Direction=H","UseDPDF=Y")</f>
        <v>#NAME?</v>
      </c>
      <c r="F56" s="14" t="e">
        <f ca="1">_xll.BDH("ANSS US Equity","PCT_IND_DIRECTORS_ON_AUDIT_CMTE","FY 2012","FY 2012","Currency=USD","Period=FY","BEST_FPERIOD_OVERRIDE=FY","FILING_STATUS=MR","Sort=A","Dates=H","DateFormat=P","Fill=—","Direction=H","UseDPDF=Y")</f>
        <v>#NAME?</v>
      </c>
      <c r="G56" s="14" t="e">
        <f ca="1">_xll.BDH("ANSS US Equity","PCT_IND_DIRECTORS_ON_AUDIT_CMTE","FY 2013","FY 2013","Currency=USD","Period=FY","BEST_FPERIOD_OVERRIDE=FY","FILING_STATUS=MR","Sort=A","Dates=H","DateFormat=P","Fill=—","Direction=H","UseDPDF=Y")</f>
        <v>#NAME?</v>
      </c>
      <c r="H56" s="14" t="e">
        <f ca="1">_xll.BDH("ANSS US Equity","PCT_IND_DIRECTORS_ON_AUDIT_CMTE","FY 2014","FY 2014","Currency=USD","Period=FY","BEST_FPERIOD_OVERRIDE=FY","FILING_STATUS=MR","Sort=A","Dates=H","DateFormat=P","Fill=—","Direction=H","UseDPDF=Y")</f>
        <v>#NAME?</v>
      </c>
      <c r="I56" s="14" t="e">
        <f ca="1">_xll.BDH("ANSS US Equity","PCT_IND_DIRECTORS_ON_AUDIT_CMTE","FY 2015","FY 2015","Currency=USD","Period=FY","BEST_FPERIOD_OVERRIDE=FY","FILING_STATUS=MR","Sort=A","Dates=H","DateFormat=P","Fill=—","Direction=H","UseDPDF=Y")</f>
        <v>#NAME?</v>
      </c>
      <c r="J56" s="14" t="e">
        <f ca="1">_xll.BDH("ANSS US Equity","PCT_IND_DIRECTORS_ON_AUDIT_CMTE","FY 2016","FY 2016","Currency=USD","Period=FY","BEST_FPERIOD_OVERRIDE=FY","FILING_STATUS=MR","Sort=A","Dates=H","DateFormat=P","Fill=—","Direction=H","UseDPDF=Y")</f>
        <v>#NAME?</v>
      </c>
      <c r="K56" s="14" t="e">
        <f ca="1">_xll.BDH("ANSS US Equity","PCT_IND_DIRECTORS_ON_AUDIT_CMTE","FY 2017","FY 2017","Currency=USD","Period=FY","BEST_FPERIOD_OVERRIDE=FY","FILING_STATUS=MR","Sort=A","Dates=H","DateFormat=P","Fill=—","Direction=H","UseDPDF=Y")</f>
        <v>#NAME?</v>
      </c>
      <c r="L56" s="14" t="e">
        <f ca="1">_xll.BDH("ANSS US Equity","PCT_IND_DIRECTORS_ON_AUDIT_CMTE","FY 2018","FY 2018","Currency=USD","Period=FY","BEST_FPERIOD_OVERRIDE=FY","FILING_STATUS=MR","Sort=A","Dates=H","DateFormat=P","Fill=—","Direction=H","UseDPDF=Y")</f>
        <v>#NAME?</v>
      </c>
      <c r="M56" s="14" t="e">
        <f ca="1">_xll.BDH("ANSS US Equity","PCT_IND_DIRECTORS_ON_AUDIT_CMTE","FY 2019","FY 2019","Currency=USD","Period=FY","BEST_FPERIOD_OVERRIDE=FY","FILING_STATUS=MR","Sort=A","Dates=H","DateFormat=P","Fill=—","Direction=H","UseDPDF=Y")</f>
        <v>#NAME?</v>
      </c>
      <c r="N56" s="14" t="e">
        <f ca="1">_xll.BDH("ANSS US Equity","PCT_IND_DIRECTORS_ON_AUDIT_CMTE","FY 2020","FY 2020","Currency=USD","Period=FY","BEST_FPERIOD_OVERRIDE=FY","FILING_STATUS=MR","Sort=A","Dates=H","DateFormat=P","Fill=—","Direction=H","UseDPDF=Y")</f>
        <v>#NAME?</v>
      </c>
      <c r="O56" s="14" t="e">
        <f ca="1">_xll.BDH("ANSS US Equity","PCT_IND_DIRECTORS_ON_AUDIT_CMTE","FY 2021","FY 2021","Currency=USD","Period=FY","BEST_FPERIOD_OVERRIDE=FY","FILING_STATUS=MR","Sort=A","Dates=H","DateFormat=P","Fill=—","Direction=H","UseDPDF=Y")</f>
        <v>#NAME?</v>
      </c>
      <c r="P56" s="14" t="e">
        <f ca="1">_xll.BDH("ANSS US Equity","PCT_IND_DIRECTORS_ON_AUDIT_CMTE","FY 2022","FY 2022","Currency=USD","Period=FY","BEST_FPERIOD_OVERRIDE=FY","FILING_STATUS=MR","Sort=A","Dates=H","DateFormat=P","Fill=—","Direction=H","UseDPDF=Y")</f>
        <v>#NAME?</v>
      </c>
      <c r="Q56" s="14" t="e">
        <f ca="1">_xll.BDH("ANSS US Equity","PCT_IND_DIRECTORS_ON_AUDIT_CMTE","FY 2023","FY 2023","Currency=USD","Period=FY","BEST_FPERIOD_OVERRIDE=FY","FILING_STATUS=MR","Sort=A","Dates=H","DateFormat=P","Fill=—","Direction=H","UseDPDF=Y")</f>
        <v>#NAME?</v>
      </c>
    </row>
    <row r="57" spans="1:17" x14ac:dyDescent="0.45">
      <c r="A57" s="10" t="s">
        <v>556</v>
      </c>
      <c r="B57" s="10" t="s">
        <v>557</v>
      </c>
      <c r="C57" s="14" t="e">
        <f ca="1">_xll.BDH("ANSS US Equity","AUDIT_COMMITTEE_MTG_ATTEND_PCT","FY 2009","FY 2009","Currency=USD","Period=FY","BEST_FPERIOD_OVERRIDE=FY","FILING_STATUS=MR","Sort=A","Dates=H","DateFormat=P","Fill=—","Direction=H","UseDPDF=Y")</f>
        <v>#NAME?</v>
      </c>
      <c r="D57" s="14" t="e">
        <f ca="1">_xll.BDH("ANSS US Equity","AUDIT_COMMITTEE_MTG_ATTEND_PCT","FY 2010","FY 2010","Currency=USD","Period=FY","BEST_FPERIOD_OVERRIDE=FY","FILING_STATUS=MR","Sort=A","Dates=H","DateFormat=P","Fill=—","Direction=H","UseDPDF=Y")</f>
        <v>#NAME?</v>
      </c>
      <c r="E57" s="14" t="e">
        <f ca="1">_xll.BDH("ANSS US Equity","AUDIT_COMMITTEE_MTG_ATTEND_PCT","FY 2011","FY 2011","Currency=USD","Period=FY","BEST_FPERIOD_OVERRIDE=FY","FILING_STATUS=MR","Sort=A","Dates=H","DateFormat=P","Fill=—","Direction=H","UseDPDF=Y")</f>
        <v>#NAME?</v>
      </c>
      <c r="F57" s="14" t="e">
        <f ca="1">_xll.BDH("ANSS US Equity","AUDIT_COMMITTEE_MTG_ATTEND_PCT","FY 2012","FY 2012","Currency=USD","Period=FY","BEST_FPERIOD_OVERRIDE=FY","FILING_STATUS=MR","Sort=A","Dates=H","DateFormat=P","Fill=—","Direction=H","UseDPDF=Y")</f>
        <v>#NAME?</v>
      </c>
      <c r="G57" s="14" t="e">
        <f ca="1">_xll.BDH("ANSS US Equity","AUDIT_COMMITTEE_MTG_ATTEND_PCT","FY 2013","FY 2013","Currency=USD","Period=FY","BEST_FPERIOD_OVERRIDE=FY","FILING_STATUS=MR","Sort=A","Dates=H","DateFormat=P","Fill=—","Direction=H","UseDPDF=Y")</f>
        <v>#NAME?</v>
      </c>
      <c r="H57" s="14" t="e">
        <f ca="1">_xll.BDH("ANSS US Equity","AUDIT_COMMITTEE_MTG_ATTEND_PCT","FY 2014","FY 2014","Currency=USD","Period=FY","BEST_FPERIOD_OVERRIDE=FY","FILING_STATUS=MR","Sort=A","Dates=H","DateFormat=P","Fill=—","Direction=H","UseDPDF=Y")</f>
        <v>#NAME?</v>
      </c>
      <c r="I57" s="14" t="e">
        <f ca="1">_xll.BDH("ANSS US Equity","AUDIT_COMMITTEE_MTG_ATTEND_PCT","FY 2015","FY 2015","Currency=USD","Period=FY","BEST_FPERIOD_OVERRIDE=FY","FILING_STATUS=MR","Sort=A","Dates=H","DateFormat=P","Fill=—","Direction=H","UseDPDF=Y")</f>
        <v>#NAME?</v>
      </c>
      <c r="J57" s="14" t="e">
        <f ca="1">_xll.BDH("ANSS US Equity","AUDIT_COMMITTEE_MTG_ATTEND_PCT","FY 2016","FY 2016","Currency=USD","Period=FY","BEST_FPERIOD_OVERRIDE=FY","FILING_STATUS=MR","Sort=A","Dates=H","DateFormat=P","Fill=—","Direction=H","UseDPDF=Y")</f>
        <v>#NAME?</v>
      </c>
      <c r="K57" s="14" t="e">
        <f ca="1">_xll.BDH("ANSS US Equity","AUDIT_COMMITTEE_MTG_ATTEND_PCT","FY 2017","FY 2017","Currency=USD","Period=FY","BEST_FPERIOD_OVERRIDE=FY","FILING_STATUS=MR","Sort=A","Dates=H","DateFormat=P","Fill=—","Direction=H","UseDPDF=Y")</f>
        <v>#NAME?</v>
      </c>
      <c r="L57" s="14" t="e">
        <f ca="1">_xll.BDH("ANSS US Equity","AUDIT_COMMITTEE_MTG_ATTEND_PCT","FY 2018","FY 2018","Currency=USD","Period=FY","BEST_FPERIOD_OVERRIDE=FY","FILING_STATUS=MR","Sort=A","Dates=H","DateFormat=P","Fill=—","Direction=H","UseDPDF=Y")</f>
        <v>#NAME?</v>
      </c>
      <c r="M57" s="14" t="e">
        <f ca="1">_xll.BDH("ANSS US Equity","AUDIT_COMMITTEE_MTG_ATTEND_PCT","FY 2019","FY 2019","Currency=USD","Period=FY","BEST_FPERIOD_OVERRIDE=FY","FILING_STATUS=MR","Sort=A","Dates=H","DateFormat=P","Fill=—","Direction=H","UseDPDF=Y")</f>
        <v>#NAME?</v>
      </c>
      <c r="N57" s="14" t="e">
        <f ca="1">_xll.BDH("ANSS US Equity","AUDIT_COMMITTEE_MTG_ATTEND_PCT","FY 2020","FY 2020","Currency=USD","Period=FY","BEST_FPERIOD_OVERRIDE=FY","FILING_STATUS=MR","Sort=A","Dates=H","DateFormat=P","Fill=—","Direction=H","UseDPDF=Y")</f>
        <v>#NAME?</v>
      </c>
      <c r="O57" s="14" t="e">
        <f ca="1">_xll.BDH("ANSS US Equity","AUDIT_COMMITTEE_MTG_ATTEND_PCT","FY 2021","FY 2021","Currency=USD","Period=FY","BEST_FPERIOD_OVERRIDE=FY","FILING_STATUS=MR","Sort=A","Dates=H","DateFormat=P","Fill=—","Direction=H","UseDPDF=Y")</f>
        <v>#NAME?</v>
      </c>
      <c r="P57" s="14" t="e">
        <f ca="1">_xll.BDH("ANSS US Equity","AUDIT_COMMITTEE_MTG_ATTEND_PCT","FY 2022","FY 2022","Currency=USD","Period=FY","BEST_FPERIOD_OVERRIDE=FY","FILING_STATUS=MR","Sort=A","Dates=H","DateFormat=P","Fill=—","Direction=H","UseDPDF=Y")</f>
        <v>#NAME?</v>
      </c>
      <c r="Q57" s="14" t="e">
        <f ca="1">_xll.BDH("ANSS US Equity","AUDIT_COMMITTEE_MTG_ATTEND_PCT","FY 2023","FY 2023","Currency=USD","Period=FY","BEST_FPERIOD_OVERRIDE=FY","FILING_STATUS=MR","Sort=A","Dates=H","DateFormat=P","Fill=—","Direction=H","UseDPDF=Y")</f>
        <v>#NAME?</v>
      </c>
    </row>
    <row r="58" spans="1:17" x14ac:dyDescent="0.45">
      <c r="A58" s="10" t="s">
        <v>558</v>
      </c>
      <c r="B58" s="10" t="s">
        <v>559</v>
      </c>
      <c r="C58" s="14" t="e">
        <f ca="1">_xll.BDH("ANSS US Equity","PCT_IND_DIRECTORS_ON_COMP_CMTE","FY 2009","FY 2009","Currency=USD","Period=FY","BEST_FPERIOD_OVERRIDE=FY","FILING_STATUS=MR","Sort=A","Dates=H","DateFormat=P","Fill=—","Direction=H","UseDPDF=Y")</f>
        <v>#NAME?</v>
      </c>
      <c r="D58" s="14" t="e">
        <f ca="1">_xll.BDH("ANSS US Equity","PCT_IND_DIRECTORS_ON_COMP_CMTE","FY 2010","FY 2010","Currency=USD","Period=FY","BEST_FPERIOD_OVERRIDE=FY","FILING_STATUS=MR","Sort=A","Dates=H","DateFormat=P","Fill=—","Direction=H","UseDPDF=Y")</f>
        <v>#NAME?</v>
      </c>
      <c r="E58" s="14" t="e">
        <f ca="1">_xll.BDH("ANSS US Equity","PCT_IND_DIRECTORS_ON_COMP_CMTE","FY 2011","FY 2011","Currency=USD","Period=FY","BEST_FPERIOD_OVERRIDE=FY","FILING_STATUS=MR","Sort=A","Dates=H","DateFormat=P","Fill=—","Direction=H","UseDPDF=Y")</f>
        <v>#NAME?</v>
      </c>
      <c r="F58" s="14" t="e">
        <f ca="1">_xll.BDH("ANSS US Equity","PCT_IND_DIRECTORS_ON_COMP_CMTE","FY 2012","FY 2012","Currency=USD","Period=FY","BEST_FPERIOD_OVERRIDE=FY","FILING_STATUS=MR","Sort=A","Dates=H","DateFormat=P","Fill=—","Direction=H","UseDPDF=Y")</f>
        <v>#NAME?</v>
      </c>
      <c r="G58" s="14" t="e">
        <f ca="1">_xll.BDH("ANSS US Equity","PCT_IND_DIRECTORS_ON_COMP_CMTE","FY 2013","FY 2013","Currency=USD","Period=FY","BEST_FPERIOD_OVERRIDE=FY","FILING_STATUS=MR","Sort=A","Dates=H","DateFormat=P","Fill=—","Direction=H","UseDPDF=Y")</f>
        <v>#NAME?</v>
      </c>
      <c r="H58" s="14" t="e">
        <f ca="1">_xll.BDH("ANSS US Equity","PCT_IND_DIRECTORS_ON_COMP_CMTE","FY 2014","FY 2014","Currency=USD","Period=FY","BEST_FPERIOD_OVERRIDE=FY","FILING_STATUS=MR","Sort=A","Dates=H","DateFormat=P","Fill=—","Direction=H","UseDPDF=Y")</f>
        <v>#NAME?</v>
      </c>
      <c r="I58" s="14" t="e">
        <f ca="1">_xll.BDH("ANSS US Equity","PCT_IND_DIRECTORS_ON_COMP_CMTE","FY 2015","FY 2015","Currency=USD","Period=FY","BEST_FPERIOD_OVERRIDE=FY","FILING_STATUS=MR","Sort=A","Dates=H","DateFormat=P","Fill=—","Direction=H","UseDPDF=Y")</f>
        <v>#NAME?</v>
      </c>
      <c r="J58" s="14" t="e">
        <f ca="1">_xll.BDH("ANSS US Equity","PCT_IND_DIRECTORS_ON_COMP_CMTE","FY 2016","FY 2016","Currency=USD","Period=FY","BEST_FPERIOD_OVERRIDE=FY","FILING_STATUS=MR","Sort=A","Dates=H","DateFormat=P","Fill=—","Direction=H","UseDPDF=Y")</f>
        <v>#NAME?</v>
      </c>
      <c r="K58" s="14" t="e">
        <f ca="1">_xll.BDH("ANSS US Equity","PCT_IND_DIRECTORS_ON_COMP_CMTE","FY 2017","FY 2017","Currency=USD","Period=FY","BEST_FPERIOD_OVERRIDE=FY","FILING_STATUS=MR","Sort=A","Dates=H","DateFormat=P","Fill=—","Direction=H","UseDPDF=Y")</f>
        <v>#NAME?</v>
      </c>
      <c r="L58" s="14" t="e">
        <f ca="1">_xll.BDH("ANSS US Equity","PCT_IND_DIRECTORS_ON_COMP_CMTE","FY 2018","FY 2018","Currency=USD","Period=FY","BEST_FPERIOD_OVERRIDE=FY","FILING_STATUS=MR","Sort=A","Dates=H","DateFormat=P","Fill=—","Direction=H","UseDPDF=Y")</f>
        <v>#NAME?</v>
      </c>
      <c r="M58" s="14" t="e">
        <f ca="1">_xll.BDH("ANSS US Equity","PCT_IND_DIRECTORS_ON_COMP_CMTE","FY 2019","FY 2019","Currency=USD","Period=FY","BEST_FPERIOD_OVERRIDE=FY","FILING_STATUS=MR","Sort=A","Dates=H","DateFormat=P","Fill=—","Direction=H","UseDPDF=Y")</f>
        <v>#NAME?</v>
      </c>
      <c r="N58" s="14" t="e">
        <f ca="1">_xll.BDH("ANSS US Equity","PCT_IND_DIRECTORS_ON_COMP_CMTE","FY 2020","FY 2020","Currency=USD","Period=FY","BEST_FPERIOD_OVERRIDE=FY","FILING_STATUS=MR","Sort=A","Dates=H","DateFormat=P","Fill=—","Direction=H","UseDPDF=Y")</f>
        <v>#NAME?</v>
      </c>
      <c r="O58" s="14" t="e">
        <f ca="1">_xll.BDH("ANSS US Equity","PCT_IND_DIRECTORS_ON_COMP_CMTE","FY 2021","FY 2021","Currency=USD","Period=FY","BEST_FPERIOD_OVERRIDE=FY","FILING_STATUS=MR","Sort=A","Dates=H","DateFormat=P","Fill=—","Direction=H","UseDPDF=Y")</f>
        <v>#NAME?</v>
      </c>
      <c r="P58" s="14" t="e">
        <f ca="1">_xll.BDH("ANSS US Equity","PCT_IND_DIRECTORS_ON_COMP_CMTE","FY 2022","FY 2022","Currency=USD","Period=FY","BEST_FPERIOD_OVERRIDE=FY","FILING_STATUS=MR","Sort=A","Dates=H","DateFormat=P","Fill=—","Direction=H","UseDPDF=Y")</f>
        <v>#NAME?</v>
      </c>
      <c r="Q58" s="14" t="e">
        <f ca="1">_xll.BDH("ANSS US Equity","PCT_IND_DIRECTORS_ON_COMP_CMTE","FY 2023","FY 2023","Currency=USD","Period=FY","BEST_FPERIOD_OVERRIDE=FY","FILING_STATUS=MR","Sort=A","Dates=H","DateFormat=P","Fill=—","Direction=H","UseDPDF=Y")</f>
        <v>#NAME?</v>
      </c>
    </row>
    <row r="59" spans="1:17" x14ac:dyDescent="0.45">
      <c r="A59" s="10" t="s">
        <v>560</v>
      </c>
      <c r="B59" s="10" t="s">
        <v>561</v>
      </c>
      <c r="C59" s="14" t="e">
        <f ca="1">_xll.BDH("ANSS US Equity","COMPENSATION_CMTE_MTG_ATTEND_PCT","FY 2009","FY 2009","Currency=USD","Period=FY","BEST_FPERIOD_OVERRIDE=FY","FILING_STATUS=MR","Sort=A","Dates=H","DateFormat=P","Fill=—","Direction=H","UseDPDF=Y")</f>
        <v>#NAME?</v>
      </c>
      <c r="D59" s="14" t="e">
        <f ca="1">_xll.BDH("ANSS US Equity","COMPENSATION_CMTE_MTG_ATTEND_PCT","FY 2010","FY 2010","Currency=USD","Period=FY","BEST_FPERIOD_OVERRIDE=FY","FILING_STATUS=MR","Sort=A","Dates=H","DateFormat=P","Fill=—","Direction=H","UseDPDF=Y")</f>
        <v>#NAME?</v>
      </c>
      <c r="E59" s="14" t="e">
        <f ca="1">_xll.BDH("ANSS US Equity","COMPENSATION_CMTE_MTG_ATTEND_PCT","FY 2011","FY 2011","Currency=USD","Period=FY","BEST_FPERIOD_OVERRIDE=FY","FILING_STATUS=MR","Sort=A","Dates=H","DateFormat=P","Fill=—","Direction=H","UseDPDF=Y")</f>
        <v>#NAME?</v>
      </c>
      <c r="F59" s="14" t="e">
        <f ca="1">_xll.BDH("ANSS US Equity","COMPENSATION_CMTE_MTG_ATTEND_PCT","FY 2012","FY 2012","Currency=USD","Period=FY","BEST_FPERIOD_OVERRIDE=FY","FILING_STATUS=MR","Sort=A","Dates=H","DateFormat=P","Fill=—","Direction=H","UseDPDF=Y")</f>
        <v>#NAME?</v>
      </c>
      <c r="G59" s="14" t="e">
        <f ca="1">_xll.BDH("ANSS US Equity","COMPENSATION_CMTE_MTG_ATTEND_PCT","FY 2013","FY 2013","Currency=USD","Period=FY","BEST_FPERIOD_OVERRIDE=FY","FILING_STATUS=MR","Sort=A","Dates=H","DateFormat=P","Fill=—","Direction=H","UseDPDF=Y")</f>
        <v>#NAME?</v>
      </c>
      <c r="H59" s="14" t="e">
        <f ca="1">_xll.BDH("ANSS US Equity","COMPENSATION_CMTE_MTG_ATTEND_PCT","FY 2014","FY 2014","Currency=USD","Period=FY","BEST_FPERIOD_OVERRIDE=FY","FILING_STATUS=MR","Sort=A","Dates=H","DateFormat=P","Fill=—","Direction=H","UseDPDF=Y")</f>
        <v>#NAME?</v>
      </c>
      <c r="I59" s="14" t="e">
        <f ca="1">_xll.BDH("ANSS US Equity","COMPENSATION_CMTE_MTG_ATTEND_PCT","FY 2015","FY 2015","Currency=USD","Period=FY","BEST_FPERIOD_OVERRIDE=FY","FILING_STATUS=MR","Sort=A","Dates=H","DateFormat=P","Fill=—","Direction=H","UseDPDF=Y")</f>
        <v>#NAME?</v>
      </c>
      <c r="J59" s="14" t="e">
        <f ca="1">_xll.BDH("ANSS US Equity","COMPENSATION_CMTE_MTG_ATTEND_PCT","FY 2016","FY 2016","Currency=USD","Period=FY","BEST_FPERIOD_OVERRIDE=FY","FILING_STATUS=MR","Sort=A","Dates=H","DateFormat=P","Fill=—","Direction=H","UseDPDF=Y")</f>
        <v>#NAME?</v>
      </c>
      <c r="K59" s="14" t="e">
        <f ca="1">_xll.BDH("ANSS US Equity","COMPENSATION_CMTE_MTG_ATTEND_PCT","FY 2017","FY 2017","Currency=USD","Period=FY","BEST_FPERIOD_OVERRIDE=FY","FILING_STATUS=MR","Sort=A","Dates=H","DateFormat=P","Fill=—","Direction=H","UseDPDF=Y")</f>
        <v>#NAME?</v>
      </c>
      <c r="L59" s="14" t="e">
        <f ca="1">_xll.BDH("ANSS US Equity","COMPENSATION_CMTE_MTG_ATTEND_PCT","FY 2018","FY 2018","Currency=USD","Period=FY","BEST_FPERIOD_OVERRIDE=FY","FILING_STATUS=MR","Sort=A","Dates=H","DateFormat=P","Fill=—","Direction=H","UseDPDF=Y")</f>
        <v>#NAME?</v>
      </c>
      <c r="M59" s="14" t="e">
        <f ca="1">_xll.BDH("ANSS US Equity","COMPENSATION_CMTE_MTG_ATTEND_PCT","FY 2019","FY 2019","Currency=USD","Period=FY","BEST_FPERIOD_OVERRIDE=FY","FILING_STATUS=MR","Sort=A","Dates=H","DateFormat=P","Fill=—","Direction=H","UseDPDF=Y")</f>
        <v>#NAME?</v>
      </c>
      <c r="N59" s="14" t="e">
        <f ca="1">_xll.BDH("ANSS US Equity","COMPENSATION_CMTE_MTG_ATTEND_PCT","FY 2020","FY 2020","Currency=USD","Period=FY","BEST_FPERIOD_OVERRIDE=FY","FILING_STATUS=MR","Sort=A","Dates=H","DateFormat=P","Fill=—","Direction=H","UseDPDF=Y")</f>
        <v>#NAME?</v>
      </c>
      <c r="O59" s="14" t="e">
        <f ca="1">_xll.BDH("ANSS US Equity","COMPENSATION_CMTE_MTG_ATTEND_PCT","FY 2021","FY 2021","Currency=USD","Period=FY","BEST_FPERIOD_OVERRIDE=FY","FILING_STATUS=MR","Sort=A","Dates=H","DateFormat=P","Fill=—","Direction=H","UseDPDF=Y")</f>
        <v>#NAME?</v>
      </c>
      <c r="P59" s="14" t="e">
        <f ca="1">_xll.BDH("ANSS US Equity","COMPENSATION_CMTE_MTG_ATTEND_PCT","FY 2022","FY 2022","Currency=USD","Period=FY","BEST_FPERIOD_OVERRIDE=FY","FILING_STATUS=MR","Sort=A","Dates=H","DateFormat=P","Fill=—","Direction=H","UseDPDF=Y")</f>
        <v>#NAME?</v>
      </c>
      <c r="Q59" s="14" t="e">
        <f ca="1">_xll.BDH("ANSS US Equity","COMPENSATION_CMTE_MTG_ATTEND_PCT","FY 2023","FY 2023","Currency=USD","Period=FY","BEST_FPERIOD_OVERRIDE=FY","FILING_STATUS=MR","Sort=A","Dates=H","DateFormat=P","Fill=—","Direction=H","UseDPDF=Y")</f>
        <v>#NAME?</v>
      </c>
    </row>
    <row r="60" spans="1:17" x14ac:dyDescent="0.45">
      <c r="A60" s="10" t="s">
        <v>562</v>
      </c>
      <c r="B60" s="10" t="s">
        <v>563</v>
      </c>
      <c r="C60" s="14" t="e">
        <f ca="1">_xll.BDH("ANSS US Equity","PCT_OF_IND_DIRECTORS_ON_NOM_CMTE","FY 2009","FY 2009","Currency=USD","Period=FY","BEST_FPERIOD_OVERRIDE=FY","FILING_STATUS=MR","Sort=A","Dates=H","DateFormat=P","Fill=—","Direction=H","UseDPDF=Y")</f>
        <v>#NAME?</v>
      </c>
      <c r="D60" s="14" t="e">
        <f ca="1">_xll.BDH("ANSS US Equity","PCT_OF_IND_DIRECTORS_ON_NOM_CMTE","FY 2010","FY 2010","Currency=USD","Period=FY","BEST_FPERIOD_OVERRIDE=FY","FILING_STATUS=MR","Sort=A","Dates=H","DateFormat=P","Fill=—","Direction=H","UseDPDF=Y")</f>
        <v>#NAME?</v>
      </c>
      <c r="E60" s="14" t="e">
        <f ca="1">_xll.BDH("ANSS US Equity","PCT_OF_IND_DIRECTORS_ON_NOM_CMTE","FY 2011","FY 2011","Currency=USD","Period=FY","BEST_FPERIOD_OVERRIDE=FY","FILING_STATUS=MR","Sort=A","Dates=H","DateFormat=P","Fill=—","Direction=H","UseDPDF=Y")</f>
        <v>#NAME?</v>
      </c>
      <c r="F60" s="14" t="e">
        <f ca="1">_xll.BDH("ANSS US Equity","PCT_OF_IND_DIRECTORS_ON_NOM_CMTE","FY 2012","FY 2012","Currency=USD","Period=FY","BEST_FPERIOD_OVERRIDE=FY","FILING_STATUS=MR","Sort=A","Dates=H","DateFormat=P","Fill=—","Direction=H","UseDPDF=Y")</f>
        <v>#NAME?</v>
      </c>
      <c r="G60" s="14" t="e">
        <f ca="1">_xll.BDH("ANSS US Equity","PCT_OF_IND_DIRECTORS_ON_NOM_CMTE","FY 2013","FY 2013","Currency=USD","Period=FY","BEST_FPERIOD_OVERRIDE=FY","FILING_STATUS=MR","Sort=A","Dates=H","DateFormat=P","Fill=—","Direction=H","UseDPDF=Y")</f>
        <v>#NAME?</v>
      </c>
      <c r="H60" s="14" t="e">
        <f ca="1">_xll.BDH("ANSS US Equity","PCT_OF_IND_DIRECTORS_ON_NOM_CMTE","FY 2014","FY 2014","Currency=USD","Period=FY","BEST_FPERIOD_OVERRIDE=FY","FILING_STATUS=MR","Sort=A","Dates=H","DateFormat=P","Fill=—","Direction=H","UseDPDF=Y")</f>
        <v>#NAME?</v>
      </c>
      <c r="I60" s="14" t="e">
        <f ca="1">_xll.BDH("ANSS US Equity","PCT_OF_IND_DIRECTORS_ON_NOM_CMTE","FY 2015","FY 2015","Currency=USD","Period=FY","BEST_FPERIOD_OVERRIDE=FY","FILING_STATUS=MR","Sort=A","Dates=H","DateFormat=P","Fill=—","Direction=H","UseDPDF=Y")</f>
        <v>#NAME?</v>
      </c>
      <c r="J60" s="14" t="e">
        <f ca="1">_xll.BDH("ANSS US Equity","PCT_OF_IND_DIRECTORS_ON_NOM_CMTE","FY 2016","FY 2016","Currency=USD","Period=FY","BEST_FPERIOD_OVERRIDE=FY","FILING_STATUS=MR","Sort=A","Dates=H","DateFormat=P","Fill=—","Direction=H","UseDPDF=Y")</f>
        <v>#NAME?</v>
      </c>
      <c r="K60" s="14" t="e">
        <f ca="1">_xll.BDH("ANSS US Equity","PCT_OF_IND_DIRECTORS_ON_NOM_CMTE","FY 2017","FY 2017","Currency=USD","Period=FY","BEST_FPERIOD_OVERRIDE=FY","FILING_STATUS=MR","Sort=A","Dates=H","DateFormat=P","Fill=—","Direction=H","UseDPDF=Y")</f>
        <v>#NAME?</v>
      </c>
      <c r="L60" s="14" t="e">
        <f ca="1">_xll.BDH("ANSS US Equity","PCT_OF_IND_DIRECTORS_ON_NOM_CMTE","FY 2018","FY 2018","Currency=USD","Period=FY","BEST_FPERIOD_OVERRIDE=FY","FILING_STATUS=MR","Sort=A","Dates=H","DateFormat=P","Fill=—","Direction=H","UseDPDF=Y")</f>
        <v>#NAME?</v>
      </c>
      <c r="M60" s="14" t="e">
        <f ca="1">_xll.BDH("ANSS US Equity","PCT_OF_IND_DIRECTORS_ON_NOM_CMTE","FY 2019","FY 2019","Currency=USD","Period=FY","BEST_FPERIOD_OVERRIDE=FY","FILING_STATUS=MR","Sort=A","Dates=H","DateFormat=P","Fill=—","Direction=H","UseDPDF=Y")</f>
        <v>#NAME?</v>
      </c>
      <c r="N60" s="14" t="e">
        <f ca="1">_xll.BDH("ANSS US Equity","PCT_OF_IND_DIRECTORS_ON_NOM_CMTE","FY 2020","FY 2020","Currency=USD","Period=FY","BEST_FPERIOD_OVERRIDE=FY","FILING_STATUS=MR","Sort=A","Dates=H","DateFormat=P","Fill=—","Direction=H","UseDPDF=Y")</f>
        <v>#NAME?</v>
      </c>
      <c r="O60" s="14" t="e">
        <f ca="1">_xll.BDH("ANSS US Equity","PCT_OF_IND_DIRECTORS_ON_NOM_CMTE","FY 2021","FY 2021","Currency=USD","Period=FY","BEST_FPERIOD_OVERRIDE=FY","FILING_STATUS=MR","Sort=A","Dates=H","DateFormat=P","Fill=—","Direction=H","UseDPDF=Y")</f>
        <v>#NAME?</v>
      </c>
      <c r="P60" s="14" t="e">
        <f ca="1">_xll.BDH("ANSS US Equity","PCT_OF_IND_DIRECTORS_ON_NOM_CMTE","FY 2022","FY 2022","Currency=USD","Period=FY","BEST_FPERIOD_OVERRIDE=FY","FILING_STATUS=MR","Sort=A","Dates=H","DateFormat=P","Fill=—","Direction=H","UseDPDF=Y")</f>
        <v>#NAME?</v>
      </c>
      <c r="Q60" s="14" t="e">
        <f ca="1">_xll.BDH("ANSS US Equity","PCT_OF_IND_DIRECTORS_ON_NOM_CMTE","FY 2023","FY 2023","Currency=USD","Period=FY","BEST_FPERIOD_OVERRIDE=FY","FILING_STATUS=MR","Sort=A","Dates=H","DateFormat=P","Fill=—","Direction=H","UseDPDF=Y")</f>
        <v>#NAME?</v>
      </c>
    </row>
    <row r="61" spans="1:17" x14ac:dyDescent="0.45">
      <c r="A61" s="7" t="s">
        <v>69</v>
      </c>
      <c r="B61" s="7"/>
      <c r="C61" s="7" t="s">
        <v>70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1"/>
  <sheetViews>
    <sheetView workbookViewId="0"/>
  </sheetViews>
  <sheetFormatPr defaultRowHeight="14.25" x14ac:dyDescent="0.45"/>
  <cols>
    <col min="1" max="1" width="35.1328125" customWidth="1"/>
    <col min="2" max="2" width="0" hidden="1" customWidth="1"/>
    <col min="3" max="3" width="11.86328125" customWidth="1"/>
    <col min="4" max="4" width="7" customWidth="1"/>
    <col min="5" max="5" width="11.86328125" customWidth="1"/>
    <col min="6" max="6" width="7" customWidth="1"/>
    <col min="7" max="7" width="11.86328125" customWidth="1"/>
    <col min="8" max="8" width="7" customWidth="1"/>
    <col min="9" max="9" width="11.86328125" customWidth="1"/>
    <col min="10" max="10" width="7" customWidth="1"/>
    <col min="11" max="11" width="11.86328125" customWidth="1"/>
    <col min="12" max="12" width="7" customWidth="1"/>
    <col min="13" max="13" width="11.86328125" customWidth="1"/>
    <col min="14" max="14" width="7" customWidth="1"/>
    <col min="15" max="15" width="11.86328125" customWidth="1"/>
    <col min="16" max="16" width="7" customWidth="1"/>
    <col min="17" max="17" width="11.86328125" customWidth="1"/>
    <col min="18" max="18" width="7" customWidth="1"/>
    <col min="19" max="19" width="11.86328125" customWidth="1"/>
    <col min="20" max="20" width="7" customWidth="1"/>
    <col min="21" max="21" width="11.86328125" customWidth="1"/>
    <col min="22" max="22" width="7" customWidth="1"/>
    <col min="23" max="23" width="11.86328125" customWidth="1"/>
    <col min="24" max="24" width="7" customWidth="1"/>
    <col min="25" max="25" width="11.86328125" customWidth="1"/>
    <col min="26" max="26" width="7" customWidth="1"/>
    <col min="27" max="27" width="11.86328125" customWidth="1"/>
    <col min="28" max="28" width="7" customWidth="1"/>
    <col min="29" max="29" width="11.86328125" customWidth="1"/>
    <col min="30" max="30" width="7" customWidth="1"/>
    <col min="31" max="31" width="11.86328125" customWidth="1"/>
    <col min="32" max="32" width="7" customWidth="1"/>
  </cols>
  <sheetData>
    <row r="1" spans="1:32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65" x14ac:dyDescent="0.45">
      <c r="A2" s="8" t="s">
        <v>564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45">
      <c r="A4" s="3" t="s">
        <v>1</v>
      </c>
      <c r="B4" s="3"/>
      <c r="C4" s="26" t="s">
        <v>2</v>
      </c>
      <c r="D4" s="26"/>
      <c r="E4" s="26" t="s">
        <v>3</v>
      </c>
      <c r="F4" s="26"/>
      <c r="G4" s="26" t="s">
        <v>4</v>
      </c>
      <c r="H4" s="26"/>
      <c r="I4" s="26" t="s">
        <v>5</v>
      </c>
      <c r="J4" s="26"/>
      <c r="K4" s="26" t="s">
        <v>6</v>
      </c>
      <c r="L4" s="26"/>
      <c r="M4" s="26" t="s">
        <v>7</v>
      </c>
      <c r="N4" s="26"/>
      <c r="O4" s="26" t="s">
        <v>8</v>
      </c>
      <c r="P4" s="26"/>
      <c r="Q4" s="26" t="s">
        <v>9</v>
      </c>
      <c r="R4" s="26"/>
      <c r="S4" s="26" t="s">
        <v>10</v>
      </c>
      <c r="T4" s="26"/>
      <c r="U4" s="26" t="s">
        <v>11</v>
      </c>
      <c r="V4" s="26"/>
      <c r="W4" s="26" t="s">
        <v>12</v>
      </c>
      <c r="X4" s="26"/>
      <c r="Y4" s="26" t="s">
        <v>13</v>
      </c>
      <c r="Z4" s="26"/>
      <c r="AA4" s="26" t="s">
        <v>14</v>
      </c>
      <c r="AB4" s="26"/>
      <c r="AC4" s="26" t="s">
        <v>15</v>
      </c>
      <c r="AD4" s="26"/>
      <c r="AE4" s="26" t="s">
        <v>16</v>
      </c>
      <c r="AF4" s="26"/>
    </row>
    <row r="5" spans="1:32" x14ac:dyDescent="0.45">
      <c r="A5" s="9" t="s">
        <v>17</v>
      </c>
      <c r="B5" s="9"/>
      <c r="C5" s="27" t="s">
        <v>18</v>
      </c>
      <c r="D5" s="27"/>
      <c r="E5" s="27" t="s">
        <v>19</v>
      </c>
      <c r="F5" s="27"/>
      <c r="G5" s="27" t="s">
        <v>20</v>
      </c>
      <c r="H5" s="27"/>
      <c r="I5" s="27" t="s">
        <v>21</v>
      </c>
      <c r="J5" s="27"/>
      <c r="K5" s="27" t="s">
        <v>22</v>
      </c>
      <c r="L5" s="27"/>
      <c r="M5" s="27" t="s">
        <v>23</v>
      </c>
      <c r="N5" s="27"/>
      <c r="O5" s="27" t="s">
        <v>24</v>
      </c>
      <c r="P5" s="27"/>
      <c r="Q5" s="27" t="s">
        <v>25</v>
      </c>
      <c r="R5" s="27"/>
      <c r="S5" s="27" t="s">
        <v>26</v>
      </c>
      <c r="T5" s="27"/>
      <c r="U5" s="27" t="s">
        <v>27</v>
      </c>
      <c r="V5" s="27"/>
      <c r="W5" s="27" t="s">
        <v>28</v>
      </c>
      <c r="X5" s="27"/>
      <c r="Y5" s="27" t="s">
        <v>29</v>
      </c>
      <c r="Z5" s="27"/>
      <c r="AA5" s="27" t="s">
        <v>30</v>
      </c>
      <c r="AB5" s="27"/>
      <c r="AC5" s="27" t="s">
        <v>31</v>
      </c>
      <c r="AD5" s="27"/>
      <c r="AE5" s="27" t="s">
        <v>32</v>
      </c>
      <c r="AF5" s="27"/>
    </row>
    <row r="6" spans="1:32" x14ac:dyDescent="0.45">
      <c r="A6" s="6" t="s">
        <v>78</v>
      </c>
      <c r="B6" s="6"/>
      <c r="C6" s="32">
        <v>516.88499999999999</v>
      </c>
      <c r="D6" s="33">
        <v>1</v>
      </c>
      <c r="E6" s="32">
        <v>580.23599999999999</v>
      </c>
      <c r="F6" s="33">
        <v>1</v>
      </c>
      <c r="G6" s="32">
        <v>691.44899999999996</v>
      </c>
      <c r="H6" s="33">
        <v>1</v>
      </c>
      <c r="I6" s="32">
        <v>798.01800000000003</v>
      </c>
      <c r="J6" s="33">
        <v>1</v>
      </c>
      <c r="K6" s="32">
        <v>861.26</v>
      </c>
      <c r="L6" s="33">
        <v>1</v>
      </c>
      <c r="M6" s="32">
        <v>936.02099999999996</v>
      </c>
      <c r="N6" s="33">
        <v>1</v>
      </c>
      <c r="O6" s="32">
        <v>942.75300000000004</v>
      </c>
      <c r="P6" s="33">
        <v>1</v>
      </c>
      <c r="Q6" s="32">
        <v>988.46500000000003</v>
      </c>
      <c r="R6" s="33">
        <v>1</v>
      </c>
      <c r="S6" s="32">
        <v>1095.25</v>
      </c>
      <c r="T6" s="33">
        <v>1</v>
      </c>
      <c r="U6" s="32">
        <v>1293.636</v>
      </c>
      <c r="V6" s="33">
        <v>1</v>
      </c>
      <c r="W6" s="32">
        <v>1515.8920000000001</v>
      </c>
      <c r="X6" s="33">
        <v>1</v>
      </c>
      <c r="Y6" s="32">
        <v>1681.297</v>
      </c>
      <c r="Z6" s="33">
        <v>1</v>
      </c>
      <c r="AA6" s="32">
        <v>1906.7149999999999</v>
      </c>
      <c r="AB6" s="33">
        <v>1</v>
      </c>
      <c r="AC6" s="32">
        <v>2065.5529999999999</v>
      </c>
      <c r="AD6" s="33">
        <v>1</v>
      </c>
      <c r="AE6" s="32">
        <v>2269.9490000000001</v>
      </c>
      <c r="AF6" s="33">
        <v>1</v>
      </c>
    </row>
    <row r="7" spans="1:32" x14ac:dyDescent="0.45">
      <c r="A7" s="10" t="s">
        <v>565</v>
      </c>
      <c r="B7" s="10"/>
      <c r="C7" s="28">
        <v>201.25200000000001</v>
      </c>
      <c r="D7" s="29">
        <v>0.389355465916016</v>
      </c>
      <c r="E7" s="28">
        <v>229.203</v>
      </c>
      <c r="F7" s="29">
        <v>0.39501685521063901</v>
      </c>
      <c r="G7" s="28">
        <v>265.56799999999998</v>
      </c>
      <c r="H7" s="29">
        <v>0.384074602754505</v>
      </c>
      <c r="I7" s="28">
        <v>296.14800000000002</v>
      </c>
      <c r="J7" s="29">
        <v>0.37110441117869503</v>
      </c>
      <c r="K7" s="28">
        <v>332.31599999999997</v>
      </c>
      <c r="L7" s="29">
        <v>0.38584864036411798</v>
      </c>
      <c r="M7" s="28">
        <v>371.51900000000001</v>
      </c>
      <c r="N7" s="29">
        <v>0.39691310344532899</v>
      </c>
      <c r="O7" s="28">
        <v>387.64800000000002</v>
      </c>
      <c r="P7" s="29">
        <v>0.41118723568103199</v>
      </c>
      <c r="Q7" s="28">
        <v>420.291</v>
      </c>
      <c r="R7" s="29">
        <v>0.42519563161062901</v>
      </c>
      <c r="S7" s="28">
        <v>470.286</v>
      </c>
      <c r="T7" s="29">
        <v>0.42938689796849999</v>
      </c>
      <c r="U7" s="28">
        <v>716.91899999999998</v>
      </c>
      <c r="V7" s="29">
        <v>0.55418912275168597</v>
      </c>
      <c r="W7" s="28">
        <v>816.26199999999994</v>
      </c>
      <c r="X7" s="29">
        <v>0.53846975905935301</v>
      </c>
      <c r="Y7" s="28">
        <v>900.447</v>
      </c>
      <c r="Z7" s="29">
        <v>0.53556688675469</v>
      </c>
      <c r="AA7" s="28">
        <v>960.91800000000001</v>
      </c>
      <c r="AB7" s="29">
        <v>0.50396519668644801</v>
      </c>
      <c r="AC7" s="28">
        <v>1076.575</v>
      </c>
      <c r="AD7" s="29">
        <v>0.52120424893478901</v>
      </c>
      <c r="AE7" s="28">
        <v>1181.201</v>
      </c>
      <c r="AF7" s="29">
        <v>0.52036455444593699</v>
      </c>
    </row>
    <row r="8" spans="1:32" x14ac:dyDescent="0.45">
      <c r="A8" s="10" t="s">
        <v>566</v>
      </c>
      <c r="B8" s="10"/>
      <c r="C8" s="28">
        <v>182.786</v>
      </c>
      <c r="D8" s="29">
        <v>0.353629917679948</v>
      </c>
      <c r="E8" s="28">
        <v>211.465</v>
      </c>
      <c r="F8" s="29">
        <v>0.36444653554760498</v>
      </c>
      <c r="G8" s="28">
        <v>246.54599999999999</v>
      </c>
      <c r="H8" s="29">
        <v>0.35656425853533702</v>
      </c>
      <c r="I8" s="28">
        <v>275.49799999999999</v>
      </c>
      <c r="J8" s="29">
        <v>0.34522780187915603</v>
      </c>
      <c r="K8" s="28">
        <v>309.08499999999998</v>
      </c>
      <c r="L8" s="29">
        <v>0.358875368645937</v>
      </c>
      <c r="M8" s="28">
        <v>346.69799999999998</v>
      </c>
      <c r="N8" s="29">
        <v>0.37039553599759001</v>
      </c>
      <c r="O8" s="28">
        <v>364.59100000000001</v>
      </c>
      <c r="P8" s="29">
        <v>0.38673014034428999</v>
      </c>
      <c r="Q8" s="28">
        <v>394.745</v>
      </c>
      <c r="R8" s="29">
        <v>0.39935151978067002</v>
      </c>
      <c r="S8" s="28">
        <v>440.428</v>
      </c>
      <c r="T8" s="29">
        <v>0.40212554211367302</v>
      </c>
      <c r="U8" s="28">
        <v>676.88300000000004</v>
      </c>
      <c r="V8" s="29">
        <v>0.52324069521874805</v>
      </c>
      <c r="W8" s="28">
        <v>760.57399999999996</v>
      </c>
      <c r="X8" s="29">
        <v>0.50173363273900795</v>
      </c>
      <c r="Y8" s="28">
        <v>840.59699999999998</v>
      </c>
      <c r="Z8" s="29">
        <v>0.49996936888604498</v>
      </c>
      <c r="AA8" s="28">
        <v>896.03700000000003</v>
      </c>
      <c r="AB8" s="29">
        <v>0.469937562771573</v>
      </c>
      <c r="AC8" s="28">
        <v>1004.245</v>
      </c>
      <c r="AD8" s="29">
        <v>0.486186992054912</v>
      </c>
      <c r="AE8" s="28">
        <v>1103.5229999999999</v>
      </c>
      <c r="AF8" s="29">
        <v>0.48614440236322498</v>
      </c>
    </row>
    <row r="9" spans="1:32" x14ac:dyDescent="0.45">
      <c r="A9" s="10" t="s">
        <v>567</v>
      </c>
      <c r="B9" s="10"/>
      <c r="C9" s="28">
        <v>18.466000000000001</v>
      </c>
      <c r="D9" s="29">
        <v>3.5725548236068001E-2</v>
      </c>
      <c r="E9" s="28">
        <v>17.738</v>
      </c>
      <c r="F9" s="29">
        <v>3.0570319663033699E-2</v>
      </c>
      <c r="G9" s="28">
        <v>19.021999999999998</v>
      </c>
      <c r="H9" s="29">
        <v>2.75103442191687E-2</v>
      </c>
      <c r="I9" s="28">
        <v>20.65</v>
      </c>
      <c r="J9" s="29">
        <v>2.58766092995396E-2</v>
      </c>
      <c r="K9" s="28">
        <v>23.231000000000002</v>
      </c>
      <c r="L9" s="29">
        <v>2.69732717181803E-2</v>
      </c>
      <c r="M9" s="28">
        <v>24.821000000000002</v>
      </c>
      <c r="N9" s="29">
        <v>2.65175674477389E-2</v>
      </c>
      <c r="O9" s="28">
        <v>23.056999999999999</v>
      </c>
      <c r="P9" s="29">
        <v>2.44570953367425E-2</v>
      </c>
      <c r="Q9" s="28">
        <v>25.545999999999999</v>
      </c>
      <c r="R9" s="29">
        <v>2.5844111829958601E-2</v>
      </c>
      <c r="S9" s="28">
        <v>29.858000000000001</v>
      </c>
      <c r="T9" s="29">
        <v>2.7261355854827699E-2</v>
      </c>
      <c r="U9" s="28">
        <v>40.036000000000001</v>
      </c>
      <c r="V9" s="29">
        <v>3.0948427532938201E-2</v>
      </c>
      <c r="W9" s="28">
        <v>55.688000000000002</v>
      </c>
      <c r="X9" s="29">
        <v>3.6736126320344703E-2</v>
      </c>
      <c r="Y9" s="28">
        <v>59.85</v>
      </c>
      <c r="Z9" s="29">
        <v>3.5597517868645498E-2</v>
      </c>
      <c r="AA9" s="28">
        <v>64.881</v>
      </c>
      <c r="AB9" s="29">
        <v>3.4027633914874497E-2</v>
      </c>
      <c r="AC9" s="28">
        <v>72.33</v>
      </c>
      <c r="AD9" s="29">
        <v>3.5017256879876703E-2</v>
      </c>
      <c r="AE9" s="28">
        <v>77.677999999999997</v>
      </c>
      <c r="AF9" s="29">
        <v>3.4220152082712001E-2</v>
      </c>
    </row>
    <row r="10" spans="1:32" x14ac:dyDescent="0.45">
      <c r="A10" s="10" t="s">
        <v>568</v>
      </c>
      <c r="B10" s="10"/>
      <c r="C10" s="28">
        <v>315.63299999999998</v>
      </c>
      <c r="D10" s="29">
        <v>0.610644534083984</v>
      </c>
      <c r="E10" s="28">
        <v>351.03300000000002</v>
      </c>
      <c r="F10" s="29">
        <v>0.60498314478936199</v>
      </c>
      <c r="G10" s="28">
        <v>425.88099999999997</v>
      </c>
      <c r="H10" s="29">
        <v>0.615925397245495</v>
      </c>
      <c r="I10" s="28">
        <v>501.87</v>
      </c>
      <c r="J10" s="29">
        <v>0.62889558882130503</v>
      </c>
      <c r="K10" s="28">
        <v>528.94399999999996</v>
      </c>
      <c r="L10" s="29">
        <v>0.61415135963588197</v>
      </c>
      <c r="M10" s="28">
        <v>564.50199999999995</v>
      </c>
      <c r="N10" s="29">
        <v>0.60308689655467096</v>
      </c>
      <c r="O10" s="28">
        <v>555.10500000000002</v>
      </c>
      <c r="P10" s="29">
        <v>0.58881276431896801</v>
      </c>
      <c r="Q10" s="28">
        <v>568.17399999999998</v>
      </c>
      <c r="R10" s="29">
        <v>0.57480436838937099</v>
      </c>
      <c r="S10" s="28">
        <v>624.96400000000006</v>
      </c>
      <c r="T10" s="29">
        <v>0.57061310203149995</v>
      </c>
      <c r="U10" s="28">
        <v>576.71699999999998</v>
      </c>
      <c r="V10" s="29">
        <v>0.44581087724831397</v>
      </c>
      <c r="W10" s="28">
        <v>699.63</v>
      </c>
      <c r="X10" s="29">
        <v>0.46153024094064699</v>
      </c>
      <c r="Y10" s="28">
        <v>780.85</v>
      </c>
      <c r="Z10" s="29">
        <v>0.46443311324531</v>
      </c>
      <c r="AA10" s="28">
        <v>945.79700000000003</v>
      </c>
      <c r="AB10" s="29">
        <v>0.49603480331355199</v>
      </c>
      <c r="AC10" s="28">
        <v>988.97799999999995</v>
      </c>
      <c r="AD10" s="29">
        <v>0.47879575106521099</v>
      </c>
      <c r="AE10" s="28">
        <v>1088.748</v>
      </c>
      <c r="AF10" s="29">
        <v>0.47963544555406301</v>
      </c>
    </row>
    <row r="11" spans="1:32" x14ac:dyDescent="0.45">
      <c r="A11" s="10" t="s">
        <v>569</v>
      </c>
      <c r="B11" s="10"/>
      <c r="C11" s="28">
        <v>181.10499999999999</v>
      </c>
      <c r="D11" s="29">
        <v>0.35037774359867302</v>
      </c>
      <c r="E11" s="28">
        <v>184.53899999999999</v>
      </c>
      <c r="F11" s="29">
        <v>0.31804127975513402</v>
      </c>
      <c r="G11" s="28">
        <v>218.005</v>
      </c>
      <c r="H11" s="29">
        <v>0.31528717230048797</v>
      </c>
      <c r="I11" s="28">
        <v>279.28300000000002</v>
      </c>
      <c r="J11" s="29">
        <v>0.34997080266359898</v>
      </c>
      <c r="K11" s="28">
        <v>297.65800000000002</v>
      </c>
      <c r="L11" s="29">
        <v>0.34560759817012299</v>
      </c>
      <c r="M11" s="28">
        <v>318.041</v>
      </c>
      <c r="N11" s="29">
        <v>0.33977976989832498</v>
      </c>
      <c r="O11" s="28">
        <v>316.36700000000002</v>
      </c>
      <c r="P11" s="29">
        <v>0.335577823671736</v>
      </c>
      <c r="Q11" s="28">
        <v>340.33100000000002</v>
      </c>
      <c r="R11" s="29">
        <v>0.34430252967985697</v>
      </c>
      <c r="S11" s="28">
        <v>376.88600000000002</v>
      </c>
      <c r="T11" s="29">
        <v>0.34410956402647802</v>
      </c>
      <c r="U11" s="28">
        <v>275.61900000000003</v>
      </c>
      <c r="V11" s="29">
        <v>0.21305761435210499</v>
      </c>
      <c r="W11" s="28">
        <v>406.04300000000001</v>
      </c>
      <c r="X11" s="29">
        <v>0.26785747269594401</v>
      </c>
      <c r="Y11" s="28">
        <v>500.10500000000002</v>
      </c>
      <c r="Z11" s="29">
        <v>0.29745190766414298</v>
      </c>
      <c r="AA11" s="28">
        <v>617.64300000000003</v>
      </c>
      <c r="AB11" s="29">
        <v>0.32393042484062901</v>
      </c>
      <c r="AC11" s="28">
        <v>687.66499999999996</v>
      </c>
      <c r="AD11" s="29">
        <v>0.33292053024057</v>
      </c>
      <c r="AE11" s="28">
        <v>786.05</v>
      </c>
      <c r="AF11" s="29">
        <v>0.34628531301804599</v>
      </c>
    </row>
    <row r="12" spans="1:32" x14ac:dyDescent="0.45">
      <c r="A12" s="10" t="s">
        <v>570</v>
      </c>
      <c r="B12" s="10"/>
      <c r="C12" s="28">
        <v>134.52799999999999</v>
      </c>
      <c r="D12" s="29">
        <v>0.26026679048531098</v>
      </c>
      <c r="E12" s="28">
        <v>166.494</v>
      </c>
      <c r="F12" s="29">
        <v>0.28694186503422697</v>
      </c>
      <c r="G12" s="28">
        <v>207.876</v>
      </c>
      <c r="H12" s="29">
        <v>0.30063822494500703</v>
      </c>
      <c r="I12" s="28">
        <v>222.58699999999999</v>
      </c>
      <c r="J12" s="29">
        <v>0.278924786157706</v>
      </c>
      <c r="K12" s="28">
        <v>231.286</v>
      </c>
      <c r="L12" s="29">
        <v>0.26854376146575898</v>
      </c>
      <c r="M12" s="28">
        <v>246.46100000000001</v>
      </c>
      <c r="N12" s="29">
        <v>0.26330712665634598</v>
      </c>
      <c r="O12" s="28">
        <v>238.738</v>
      </c>
      <c r="P12" s="29">
        <v>0.25323494064723201</v>
      </c>
      <c r="Q12" s="28">
        <v>227.84299999999999</v>
      </c>
      <c r="R12" s="29">
        <v>0.23050183870951399</v>
      </c>
      <c r="S12" s="28">
        <v>248.078</v>
      </c>
      <c r="T12" s="29">
        <v>0.22650353800502199</v>
      </c>
      <c r="U12" s="28">
        <v>301.09800000000001</v>
      </c>
      <c r="V12" s="29">
        <v>0.23275326289620901</v>
      </c>
      <c r="W12" s="28">
        <v>293.58699999999999</v>
      </c>
      <c r="X12" s="29">
        <v>0.193672768244703</v>
      </c>
      <c r="Y12" s="28">
        <v>280.745</v>
      </c>
      <c r="Z12" s="29">
        <v>0.166981205581167</v>
      </c>
      <c r="AA12" s="28">
        <v>328.154</v>
      </c>
      <c r="AB12" s="29">
        <v>0.17210437847292301</v>
      </c>
      <c r="AC12" s="28">
        <v>301.31299999999999</v>
      </c>
      <c r="AD12" s="29">
        <v>0.14587522082464099</v>
      </c>
      <c r="AE12" s="28">
        <v>302.69799999999998</v>
      </c>
      <c r="AF12" s="29">
        <v>0.13335013253601699</v>
      </c>
    </row>
    <row r="13" spans="1:32" x14ac:dyDescent="0.45">
      <c r="A13" s="6" t="s">
        <v>571</v>
      </c>
      <c r="B13" s="6"/>
      <c r="C13" s="34" t="s">
        <v>100</v>
      </c>
      <c r="D13" s="35"/>
      <c r="E13" s="34" t="s">
        <v>100</v>
      </c>
      <c r="F13" s="35"/>
      <c r="G13" s="34" t="s">
        <v>100</v>
      </c>
      <c r="H13" s="35"/>
      <c r="I13" s="34" t="s">
        <v>100</v>
      </c>
      <c r="J13" s="35"/>
      <c r="K13" s="34" t="s">
        <v>100</v>
      </c>
      <c r="L13" s="35"/>
      <c r="M13" s="34" t="s">
        <v>100</v>
      </c>
      <c r="N13" s="35"/>
      <c r="O13" s="34" t="s">
        <v>100</v>
      </c>
      <c r="P13" s="35"/>
      <c r="Q13" s="34" t="s">
        <v>100</v>
      </c>
      <c r="R13" s="35"/>
      <c r="S13" s="34" t="s">
        <v>100</v>
      </c>
      <c r="T13" s="35"/>
      <c r="U13" s="34" t="s">
        <v>100</v>
      </c>
      <c r="V13" s="35"/>
      <c r="W13" s="34" t="s">
        <v>100</v>
      </c>
      <c r="X13" s="35"/>
      <c r="Y13" s="34" t="s">
        <v>100</v>
      </c>
      <c r="Z13" s="35"/>
      <c r="AA13" s="34" t="s">
        <v>100</v>
      </c>
      <c r="AB13" s="35"/>
      <c r="AC13" s="34" t="s">
        <v>100</v>
      </c>
      <c r="AD13" s="35"/>
      <c r="AE13" s="34" t="s">
        <v>100</v>
      </c>
      <c r="AF13" s="35"/>
    </row>
    <row r="14" spans="1:32" x14ac:dyDescent="0.45">
      <c r="A14" s="10" t="s">
        <v>565</v>
      </c>
      <c r="B14" s="10"/>
      <c r="C14" s="30" t="s">
        <v>100</v>
      </c>
      <c r="D14" s="31"/>
      <c r="E14" s="30" t="s">
        <v>100</v>
      </c>
      <c r="F14" s="31"/>
      <c r="G14" s="30" t="s">
        <v>100</v>
      </c>
      <c r="H14" s="31"/>
      <c r="I14" s="30" t="s">
        <v>100</v>
      </c>
      <c r="J14" s="31"/>
      <c r="K14" s="30" t="s">
        <v>100</v>
      </c>
      <c r="L14" s="31"/>
      <c r="M14" s="30" t="s">
        <v>100</v>
      </c>
      <c r="N14" s="31"/>
      <c r="O14" s="30" t="s">
        <v>100</v>
      </c>
      <c r="P14" s="31"/>
      <c r="Q14" s="30" t="s">
        <v>100</v>
      </c>
      <c r="R14" s="31"/>
      <c r="S14" s="30" t="s">
        <v>100</v>
      </c>
      <c r="T14" s="31"/>
      <c r="U14" s="30" t="s">
        <v>100</v>
      </c>
      <c r="V14" s="31"/>
      <c r="W14" s="30">
        <v>53.8</v>
      </c>
      <c r="X14" s="31"/>
      <c r="Y14" s="30">
        <v>53.6</v>
      </c>
      <c r="Z14" s="31"/>
      <c r="AA14" s="30">
        <v>50.4</v>
      </c>
      <c r="AB14" s="31"/>
      <c r="AC14" s="30">
        <v>52.1</v>
      </c>
      <c r="AD14" s="31"/>
      <c r="AE14" s="30">
        <v>52</v>
      </c>
      <c r="AF14" s="31"/>
    </row>
    <row r="15" spans="1:32" x14ac:dyDescent="0.45">
      <c r="A15" s="10" t="s">
        <v>566</v>
      </c>
      <c r="B15" s="10"/>
      <c r="C15" s="30" t="s">
        <v>100</v>
      </c>
      <c r="D15" s="31"/>
      <c r="E15" s="30" t="s">
        <v>100</v>
      </c>
      <c r="F15" s="31"/>
      <c r="G15" s="30" t="s">
        <v>100</v>
      </c>
      <c r="H15" s="31"/>
      <c r="I15" s="30" t="s">
        <v>100</v>
      </c>
      <c r="J15" s="31"/>
      <c r="K15" s="30" t="s">
        <v>100</v>
      </c>
      <c r="L15" s="31"/>
      <c r="M15" s="30" t="s">
        <v>100</v>
      </c>
      <c r="N15" s="31"/>
      <c r="O15" s="30" t="s">
        <v>100</v>
      </c>
      <c r="P15" s="31"/>
      <c r="Q15" s="30" t="s">
        <v>100</v>
      </c>
      <c r="R15" s="31"/>
      <c r="S15" s="30" t="s">
        <v>100</v>
      </c>
      <c r="T15" s="31"/>
      <c r="U15" s="30" t="s">
        <v>100</v>
      </c>
      <c r="V15" s="31"/>
      <c r="W15" s="30">
        <v>50.2</v>
      </c>
      <c r="X15" s="31"/>
      <c r="Y15" s="30">
        <v>50</v>
      </c>
      <c r="Z15" s="31"/>
      <c r="AA15" s="30">
        <v>47</v>
      </c>
      <c r="AB15" s="31"/>
      <c r="AC15" s="30">
        <v>48.6</v>
      </c>
      <c r="AD15" s="31"/>
      <c r="AE15" s="30">
        <v>48.6</v>
      </c>
      <c r="AF15" s="31"/>
    </row>
    <row r="16" spans="1:32" x14ac:dyDescent="0.45">
      <c r="A16" s="10" t="s">
        <v>567</v>
      </c>
      <c r="B16" s="10"/>
      <c r="C16" s="30" t="s">
        <v>100</v>
      </c>
      <c r="D16" s="31"/>
      <c r="E16" s="30" t="s">
        <v>100</v>
      </c>
      <c r="F16" s="31"/>
      <c r="G16" s="30" t="s">
        <v>100</v>
      </c>
      <c r="H16" s="31"/>
      <c r="I16" s="30" t="s">
        <v>100</v>
      </c>
      <c r="J16" s="31"/>
      <c r="K16" s="30" t="s">
        <v>100</v>
      </c>
      <c r="L16" s="31"/>
      <c r="M16" s="30" t="s">
        <v>100</v>
      </c>
      <c r="N16" s="31"/>
      <c r="O16" s="30" t="s">
        <v>100</v>
      </c>
      <c r="P16" s="31"/>
      <c r="Q16" s="30" t="s">
        <v>100</v>
      </c>
      <c r="R16" s="31"/>
      <c r="S16" s="30" t="s">
        <v>100</v>
      </c>
      <c r="T16" s="31"/>
      <c r="U16" s="30" t="s">
        <v>100</v>
      </c>
      <c r="V16" s="31"/>
      <c r="W16" s="30">
        <v>3.6</v>
      </c>
      <c r="X16" s="31"/>
      <c r="Y16" s="30">
        <v>3.6</v>
      </c>
      <c r="Z16" s="31"/>
      <c r="AA16" s="30">
        <v>3.4</v>
      </c>
      <c r="AB16" s="31"/>
      <c r="AC16" s="30">
        <v>3.5</v>
      </c>
      <c r="AD16" s="31"/>
      <c r="AE16" s="30">
        <v>3.5</v>
      </c>
      <c r="AF16" s="31"/>
    </row>
    <row r="17" spans="1:32" x14ac:dyDescent="0.45">
      <c r="A17" s="10" t="s">
        <v>568</v>
      </c>
      <c r="B17" s="10"/>
      <c r="C17" s="30" t="s">
        <v>100</v>
      </c>
      <c r="D17" s="31"/>
      <c r="E17" s="30" t="s">
        <v>100</v>
      </c>
      <c r="F17" s="31"/>
      <c r="G17" s="30" t="s">
        <v>100</v>
      </c>
      <c r="H17" s="31"/>
      <c r="I17" s="30" t="s">
        <v>100</v>
      </c>
      <c r="J17" s="31"/>
      <c r="K17" s="30" t="s">
        <v>100</v>
      </c>
      <c r="L17" s="31"/>
      <c r="M17" s="30" t="s">
        <v>100</v>
      </c>
      <c r="N17" s="31"/>
      <c r="O17" s="30" t="s">
        <v>100</v>
      </c>
      <c r="P17" s="31"/>
      <c r="Q17" s="30" t="s">
        <v>100</v>
      </c>
      <c r="R17" s="31"/>
      <c r="S17" s="30" t="s">
        <v>100</v>
      </c>
      <c r="T17" s="31"/>
      <c r="U17" s="30" t="s">
        <v>100</v>
      </c>
      <c r="V17" s="31"/>
      <c r="W17" s="30">
        <v>46.2</v>
      </c>
      <c r="X17" s="31"/>
      <c r="Y17" s="30">
        <v>46.4</v>
      </c>
      <c r="Z17" s="31"/>
      <c r="AA17" s="30">
        <v>49.6</v>
      </c>
      <c r="AB17" s="31"/>
      <c r="AC17" s="30">
        <v>47.9</v>
      </c>
      <c r="AD17" s="31"/>
      <c r="AE17" s="30">
        <v>47.9</v>
      </c>
      <c r="AF17" s="31"/>
    </row>
    <row r="18" spans="1:32" x14ac:dyDescent="0.45">
      <c r="A18" s="10" t="s">
        <v>569</v>
      </c>
      <c r="B18" s="10"/>
      <c r="C18" s="30" t="s">
        <v>100</v>
      </c>
      <c r="D18" s="31"/>
      <c r="E18" s="30" t="s">
        <v>100</v>
      </c>
      <c r="F18" s="31"/>
      <c r="G18" s="30" t="s">
        <v>100</v>
      </c>
      <c r="H18" s="31"/>
      <c r="I18" s="30" t="s">
        <v>100</v>
      </c>
      <c r="J18" s="31"/>
      <c r="K18" s="30" t="s">
        <v>100</v>
      </c>
      <c r="L18" s="31"/>
      <c r="M18" s="30" t="s">
        <v>100</v>
      </c>
      <c r="N18" s="31"/>
      <c r="O18" s="30" t="s">
        <v>100</v>
      </c>
      <c r="P18" s="31"/>
      <c r="Q18" s="30" t="s">
        <v>100</v>
      </c>
      <c r="R18" s="31"/>
      <c r="S18" s="30" t="s">
        <v>100</v>
      </c>
      <c r="T18" s="31"/>
      <c r="U18" s="30" t="s">
        <v>100</v>
      </c>
      <c r="V18" s="31"/>
      <c r="W18" s="30">
        <v>26.8</v>
      </c>
      <c r="X18" s="31"/>
      <c r="Y18" s="30">
        <v>29.7</v>
      </c>
      <c r="Z18" s="31"/>
      <c r="AA18" s="30">
        <v>32.4</v>
      </c>
      <c r="AB18" s="31"/>
      <c r="AC18" s="30">
        <v>33.299999999999997</v>
      </c>
      <c r="AD18" s="31"/>
      <c r="AE18" s="30">
        <v>34.6</v>
      </c>
      <c r="AF18" s="31"/>
    </row>
    <row r="19" spans="1:32" x14ac:dyDescent="0.45">
      <c r="A19" s="10" t="s">
        <v>570</v>
      </c>
      <c r="B19" s="10"/>
      <c r="C19" s="30" t="s">
        <v>100</v>
      </c>
      <c r="D19" s="31"/>
      <c r="E19" s="30" t="s">
        <v>100</v>
      </c>
      <c r="F19" s="31"/>
      <c r="G19" s="30" t="s">
        <v>100</v>
      </c>
      <c r="H19" s="31"/>
      <c r="I19" s="30" t="s">
        <v>100</v>
      </c>
      <c r="J19" s="31"/>
      <c r="K19" s="30" t="s">
        <v>100</v>
      </c>
      <c r="L19" s="31"/>
      <c r="M19" s="30" t="s">
        <v>100</v>
      </c>
      <c r="N19" s="31"/>
      <c r="O19" s="30" t="s">
        <v>100</v>
      </c>
      <c r="P19" s="31"/>
      <c r="Q19" s="30" t="s">
        <v>100</v>
      </c>
      <c r="R19" s="31"/>
      <c r="S19" s="30" t="s">
        <v>100</v>
      </c>
      <c r="T19" s="31"/>
      <c r="U19" s="30" t="s">
        <v>100</v>
      </c>
      <c r="V19" s="31"/>
      <c r="W19" s="30">
        <v>19.399999999999999</v>
      </c>
      <c r="X19" s="31"/>
      <c r="Y19" s="30">
        <v>16.7</v>
      </c>
      <c r="Z19" s="31"/>
      <c r="AA19" s="30">
        <v>17.2</v>
      </c>
      <c r="AB19" s="31"/>
      <c r="AC19" s="30">
        <v>14.6</v>
      </c>
      <c r="AD19" s="31"/>
      <c r="AE19" s="30">
        <v>13.3</v>
      </c>
      <c r="AF19" s="31"/>
    </row>
    <row r="20" spans="1:32" x14ac:dyDescent="0.45">
      <c r="A20" s="6" t="s">
        <v>572</v>
      </c>
      <c r="B20" s="6"/>
      <c r="C20" s="34" t="s">
        <v>100</v>
      </c>
      <c r="D20" s="35"/>
      <c r="E20" s="34" t="s">
        <v>100</v>
      </c>
      <c r="F20" s="35"/>
      <c r="G20" s="34" t="s">
        <v>100</v>
      </c>
      <c r="H20" s="35"/>
      <c r="I20" s="34" t="s">
        <v>100</v>
      </c>
      <c r="J20" s="35"/>
      <c r="K20" s="34" t="s">
        <v>100</v>
      </c>
      <c r="L20" s="35"/>
      <c r="M20" s="34" t="s">
        <v>100</v>
      </c>
      <c r="N20" s="35"/>
      <c r="O20" s="34" t="s">
        <v>100</v>
      </c>
      <c r="P20" s="35"/>
      <c r="Q20" s="34" t="s">
        <v>100</v>
      </c>
      <c r="R20" s="35"/>
      <c r="S20" s="34" t="s">
        <v>100</v>
      </c>
      <c r="T20" s="35"/>
      <c r="U20" s="34" t="s">
        <v>100</v>
      </c>
      <c r="V20" s="35"/>
      <c r="W20" s="34" t="s">
        <v>100</v>
      </c>
      <c r="X20" s="35"/>
      <c r="Y20" s="34" t="s">
        <v>100</v>
      </c>
      <c r="Z20" s="35"/>
      <c r="AA20" s="34" t="s">
        <v>100</v>
      </c>
      <c r="AB20" s="35"/>
      <c r="AC20" s="34" t="s">
        <v>100</v>
      </c>
      <c r="AD20" s="35"/>
      <c r="AE20" s="34" t="s">
        <v>100</v>
      </c>
      <c r="AF20" s="35"/>
    </row>
    <row r="21" spans="1:32" x14ac:dyDescent="0.45">
      <c r="A21" s="10" t="s">
        <v>573</v>
      </c>
      <c r="B21" s="10"/>
      <c r="C21" s="30" t="s">
        <v>100</v>
      </c>
      <c r="D21" s="31"/>
      <c r="E21" s="30" t="s">
        <v>100</v>
      </c>
      <c r="F21" s="31"/>
      <c r="G21" s="30">
        <v>74</v>
      </c>
      <c r="H21" s="31"/>
      <c r="I21" s="30">
        <v>74</v>
      </c>
      <c r="J21" s="31"/>
      <c r="K21" s="30">
        <v>75</v>
      </c>
      <c r="L21" s="31"/>
      <c r="M21" s="30">
        <v>75</v>
      </c>
      <c r="N21" s="31"/>
      <c r="O21" s="30">
        <v>76</v>
      </c>
      <c r="P21" s="31"/>
      <c r="Q21" s="30">
        <v>75</v>
      </c>
      <c r="R21" s="31"/>
      <c r="S21" s="30">
        <v>75</v>
      </c>
      <c r="T21" s="31"/>
      <c r="U21" s="30">
        <v>77</v>
      </c>
      <c r="V21" s="31"/>
      <c r="W21" s="30">
        <v>77.099999999999994</v>
      </c>
      <c r="X21" s="31"/>
      <c r="Y21" s="30">
        <v>77.8</v>
      </c>
      <c r="Z21" s="31"/>
      <c r="AA21" s="30">
        <v>76.3</v>
      </c>
      <c r="AB21" s="31"/>
      <c r="AC21" s="30">
        <v>76.099999999999994</v>
      </c>
      <c r="AD21" s="31"/>
      <c r="AE21" s="30">
        <v>73.900000000000006</v>
      </c>
      <c r="AF21" s="31"/>
    </row>
    <row r="22" spans="1:32" x14ac:dyDescent="0.45">
      <c r="A22" s="10" t="s">
        <v>574</v>
      </c>
      <c r="B22" s="10"/>
      <c r="C22" s="30" t="s">
        <v>100</v>
      </c>
      <c r="D22" s="31"/>
      <c r="E22" s="30" t="s">
        <v>100</v>
      </c>
      <c r="F22" s="31"/>
      <c r="G22" s="30">
        <v>26</v>
      </c>
      <c r="H22" s="31"/>
      <c r="I22" s="30">
        <v>26</v>
      </c>
      <c r="J22" s="31"/>
      <c r="K22" s="30">
        <v>25</v>
      </c>
      <c r="L22" s="31"/>
      <c r="M22" s="30">
        <v>25</v>
      </c>
      <c r="N22" s="31"/>
      <c r="O22" s="30">
        <v>24</v>
      </c>
      <c r="P22" s="31"/>
      <c r="Q22" s="30">
        <v>25</v>
      </c>
      <c r="R22" s="31"/>
      <c r="S22" s="30">
        <v>25</v>
      </c>
      <c r="T22" s="31"/>
      <c r="U22" s="30">
        <v>23</v>
      </c>
      <c r="V22" s="31"/>
      <c r="W22" s="30">
        <v>22.9</v>
      </c>
      <c r="X22" s="31"/>
      <c r="Y22" s="30">
        <v>22.2</v>
      </c>
      <c r="Z22" s="31"/>
      <c r="AA22" s="30">
        <v>23.7</v>
      </c>
      <c r="AB22" s="31"/>
      <c r="AC22" s="30">
        <v>23.9</v>
      </c>
      <c r="AD22" s="31"/>
      <c r="AE22" s="30">
        <v>26.1</v>
      </c>
      <c r="AF22" s="31"/>
    </row>
    <row r="23" spans="1:32" x14ac:dyDescent="0.45">
      <c r="A23" s="6" t="s">
        <v>575</v>
      </c>
      <c r="B23" s="6"/>
      <c r="C23" s="34" t="s">
        <v>100</v>
      </c>
      <c r="D23" s="35"/>
      <c r="E23" s="34" t="s">
        <v>100</v>
      </c>
      <c r="F23" s="35"/>
      <c r="G23" s="34" t="s">
        <v>100</v>
      </c>
      <c r="H23" s="35"/>
      <c r="I23" s="34" t="s">
        <v>100</v>
      </c>
      <c r="J23" s="35"/>
      <c r="K23" s="34" t="s">
        <v>100</v>
      </c>
      <c r="L23" s="35"/>
      <c r="M23" s="34" t="s">
        <v>100</v>
      </c>
      <c r="N23" s="35"/>
      <c r="O23" s="34" t="s">
        <v>100</v>
      </c>
      <c r="P23" s="35"/>
      <c r="Q23" s="34" t="s">
        <v>100</v>
      </c>
      <c r="R23" s="35"/>
      <c r="S23" s="34" t="s">
        <v>100</v>
      </c>
      <c r="T23" s="35"/>
      <c r="U23" s="34" t="s">
        <v>100</v>
      </c>
      <c r="V23" s="35"/>
      <c r="W23" s="34" t="s">
        <v>100</v>
      </c>
      <c r="X23" s="35"/>
      <c r="Y23" s="34" t="s">
        <v>100</v>
      </c>
      <c r="Z23" s="35"/>
      <c r="AA23" s="34" t="s">
        <v>100</v>
      </c>
      <c r="AB23" s="35"/>
      <c r="AC23" s="34" t="s">
        <v>100</v>
      </c>
      <c r="AD23" s="35"/>
      <c r="AE23" s="34" t="s">
        <v>100</v>
      </c>
      <c r="AF23" s="35"/>
    </row>
    <row r="24" spans="1:32" x14ac:dyDescent="0.45">
      <c r="A24" s="10" t="s">
        <v>576</v>
      </c>
      <c r="B24" s="10"/>
      <c r="C24" s="30" t="s">
        <v>100</v>
      </c>
      <c r="D24" s="31"/>
      <c r="E24" s="30" t="s">
        <v>100</v>
      </c>
      <c r="F24" s="31"/>
      <c r="G24" s="30" t="s">
        <v>100</v>
      </c>
      <c r="H24" s="31"/>
      <c r="I24" s="30" t="s">
        <v>100</v>
      </c>
      <c r="J24" s="31"/>
      <c r="K24" s="30" t="s">
        <v>100</v>
      </c>
      <c r="L24" s="31"/>
      <c r="M24" s="30" t="s">
        <v>100</v>
      </c>
      <c r="N24" s="31"/>
      <c r="O24" s="30" t="s">
        <v>100</v>
      </c>
      <c r="P24" s="31"/>
      <c r="Q24" s="30" t="s">
        <v>100</v>
      </c>
      <c r="R24" s="31"/>
      <c r="S24" s="30" t="s">
        <v>100</v>
      </c>
      <c r="T24" s="31"/>
      <c r="U24" s="30">
        <v>-27.4</v>
      </c>
      <c r="V24" s="31"/>
      <c r="W24" s="30">
        <v>49.4</v>
      </c>
      <c r="X24" s="31"/>
      <c r="Y24" s="30">
        <v>21.3</v>
      </c>
      <c r="Z24" s="31"/>
      <c r="AA24" s="30">
        <v>24.9</v>
      </c>
      <c r="AB24" s="31"/>
      <c r="AC24" s="30">
        <v>17.899999999999999</v>
      </c>
      <c r="AD24" s="31"/>
      <c r="AE24" s="30">
        <v>14.4</v>
      </c>
      <c r="AF24" s="31"/>
    </row>
    <row r="25" spans="1:32" x14ac:dyDescent="0.45">
      <c r="A25" s="10" t="s">
        <v>577</v>
      </c>
      <c r="B25" s="10"/>
      <c r="C25" s="30" t="s">
        <v>100</v>
      </c>
      <c r="D25" s="31"/>
      <c r="E25" s="30" t="s">
        <v>100</v>
      </c>
      <c r="F25" s="31"/>
      <c r="G25" s="30" t="s">
        <v>100</v>
      </c>
      <c r="H25" s="31"/>
      <c r="I25" s="30" t="s">
        <v>100</v>
      </c>
      <c r="J25" s="31"/>
      <c r="K25" s="30" t="s">
        <v>100</v>
      </c>
      <c r="L25" s="31"/>
      <c r="M25" s="30" t="s">
        <v>100</v>
      </c>
      <c r="N25" s="31"/>
      <c r="O25" s="30" t="s">
        <v>100</v>
      </c>
      <c r="P25" s="31"/>
      <c r="Q25" s="30" t="s">
        <v>100</v>
      </c>
      <c r="R25" s="31"/>
      <c r="S25" s="30" t="s">
        <v>100</v>
      </c>
      <c r="T25" s="31"/>
      <c r="U25" s="30">
        <v>51.6</v>
      </c>
      <c r="V25" s="31"/>
      <c r="W25" s="30">
        <v>14.3</v>
      </c>
      <c r="X25" s="31"/>
      <c r="Y25" s="30">
        <v>9.8000000000000007</v>
      </c>
      <c r="Z25" s="31"/>
      <c r="AA25" s="30">
        <v>5.6</v>
      </c>
      <c r="AB25" s="31"/>
      <c r="AC25" s="30">
        <v>18.3</v>
      </c>
      <c r="AD25" s="31"/>
      <c r="AE25" s="30">
        <v>10.3</v>
      </c>
      <c r="AF25" s="31"/>
    </row>
    <row r="26" spans="1:32" x14ac:dyDescent="0.45">
      <c r="A26" s="10" t="s">
        <v>578</v>
      </c>
      <c r="B26" s="10"/>
      <c r="C26" s="30" t="s">
        <v>100</v>
      </c>
      <c r="D26" s="31"/>
      <c r="E26" s="30" t="s">
        <v>100</v>
      </c>
      <c r="F26" s="31"/>
      <c r="G26" s="30" t="s">
        <v>100</v>
      </c>
      <c r="H26" s="31"/>
      <c r="I26" s="30" t="s">
        <v>100</v>
      </c>
      <c r="J26" s="31"/>
      <c r="K26" s="30" t="s">
        <v>100</v>
      </c>
      <c r="L26" s="31"/>
      <c r="M26" s="30" t="s">
        <v>100</v>
      </c>
      <c r="N26" s="31"/>
      <c r="O26" s="30" t="s">
        <v>100</v>
      </c>
      <c r="P26" s="31"/>
      <c r="Q26" s="30" t="s">
        <v>100</v>
      </c>
      <c r="R26" s="31"/>
      <c r="S26" s="30" t="s">
        <v>100</v>
      </c>
      <c r="T26" s="31"/>
      <c r="U26" s="30">
        <v>33.1</v>
      </c>
      <c r="V26" s="31"/>
      <c r="W26" s="30">
        <v>41.5</v>
      </c>
      <c r="X26" s="31"/>
      <c r="Y26" s="30">
        <v>6.8</v>
      </c>
      <c r="Z26" s="31"/>
      <c r="AA26" s="30">
        <v>7.4</v>
      </c>
      <c r="AB26" s="31"/>
      <c r="AC26" s="30">
        <v>16.100000000000001</v>
      </c>
      <c r="AD26" s="31"/>
      <c r="AE26" s="30">
        <v>7.4</v>
      </c>
      <c r="AF26" s="31"/>
    </row>
    <row r="27" spans="1:32" x14ac:dyDescent="0.45">
      <c r="A27" s="10" t="s">
        <v>579</v>
      </c>
      <c r="B27" s="10"/>
      <c r="C27" s="30" t="s">
        <v>100</v>
      </c>
      <c r="D27" s="31"/>
      <c r="E27" s="30" t="s">
        <v>100</v>
      </c>
      <c r="F27" s="31"/>
      <c r="G27" s="30" t="s">
        <v>100</v>
      </c>
      <c r="H27" s="31"/>
      <c r="I27" s="30" t="s">
        <v>100</v>
      </c>
      <c r="J27" s="31"/>
      <c r="K27" s="30" t="s">
        <v>100</v>
      </c>
      <c r="L27" s="31"/>
      <c r="M27" s="30" t="s">
        <v>100</v>
      </c>
      <c r="N27" s="31"/>
      <c r="O27" s="30" t="s">
        <v>100</v>
      </c>
      <c r="P27" s="31"/>
      <c r="Q27" s="30" t="s">
        <v>100</v>
      </c>
      <c r="R27" s="31"/>
      <c r="S27" s="30" t="s">
        <v>100</v>
      </c>
      <c r="T27" s="31"/>
      <c r="U27" s="30">
        <v>20.2</v>
      </c>
      <c r="V27" s="31"/>
      <c r="W27" s="30">
        <v>-1.1000000000000001</v>
      </c>
      <c r="X27" s="31"/>
      <c r="Y27" s="30">
        <v>-5.4</v>
      </c>
      <c r="Z27" s="31"/>
      <c r="AA27" s="30">
        <v>16.3</v>
      </c>
      <c r="AB27" s="31"/>
      <c r="AC27" s="30">
        <v>-4.0999999999999996</v>
      </c>
      <c r="AD27" s="31"/>
      <c r="AE27" s="30">
        <v>0.7</v>
      </c>
      <c r="AF27" s="31"/>
    </row>
    <row r="28" spans="1:32" x14ac:dyDescent="0.45">
      <c r="A28" s="10" t="s">
        <v>565</v>
      </c>
      <c r="B28" s="10"/>
      <c r="C28" s="30" t="s">
        <v>100</v>
      </c>
      <c r="D28" s="31"/>
      <c r="E28" s="30" t="s">
        <v>100</v>
      </c>
      <c r="F28" s="31"/>
      <c r="G28" s="30" t="s">
        <v>100</v>
      </c>
      <c r="H28" s="31"/>
      <c r="I28" s="30" t="s">
        <v>100</v>
      </c>
      <c r="J28" s="31"/>
      <c r="K28" s="30" t="s">
        <v>100</v>
      </c>
      <c r="L28" s="31"/>
      <c r="M28" s="30" t="s">
        <v>100</v>
      </c>
      <c r="N28" s="31"/>
      <c r="O28" s="30" t="s">
        <v>100</v>
      </c>
      <c r="P28" s="31"/>
      <c r="Q28" s="30" t="s">
        <v>100</v>
      </c>
      <c r="R28" s="31"/>
      <c r="S28" s="30" t="s">
        <v>100</v>
      </c>
      <c r="T28" s="31"/>
      <c r="U28" s="30">
        <v>50.4</v>
      </c>
      <c r="V28" s="31"/>
      <c r="W28" s="30">
        <v>15.8</v>
      </c>
      <c r="X28" s="31"/>
      <c r="Y28" s="30">
        <v>9.6</v>
      </c>
      <c r="Z28" s="31"/>
      <c r="AA28" s="30">
        <v>5.7</v>
      </c>
      <c r="AB28" s="31"/>
      <c r="AC28" s="30" t="s">
        <v>100</v>
      </c>
      <c r="AD28" s="31"/>
      <c r="AE28" s="30" t="s">
        <v>100</v>
      </c>
      <c r="AF28" s="31"/>
    </row>
    <row r="29" spans="1:32" x14ac:dyDescent="0.45">
      <c r="A29" s="10" t="s">
        <v>568</v>
      </c>
      <c r="B29" s="10"/>
      <c r="C29" s="30" t="s">
        <v>100</v>
      </c>
      <c r="D29" s="31"/>
      <c r="E29" s="30" t="s">
        <v>100</v>
      </c>
      <c r="F29" s="31"/>
      <c r="G29" s="30" t="s">
        <v>100</v>
      </c>
      <c r="H29" s="31"/>
      <c r="I29" s="30" t="s">
        <v>100</v>
      </c>
      <c r="J29" s="31"/>
      <c r="K29" s="30" t="s">
        <v>100</v>
      </c>
      <c r="L29" s="31"/>
      <c r="M29" s="30" t="s">
        <v>100</v>
      </c>
      <c r="N29" s="31"/>
      <c r="O29" s="30" t="s">
        <v>100</v>
      </c>
      <c r="P29" s="31"/>
      <c r="Q29" s="30" t="s">
        <v>100</v>
      </c>
      <c r="R29" s="31"/>
      <c r="S29" s="30" t="s">
        <v>100</v>
      </c>
      <c r="T29" s="31"/>
      <c r="U29" s="30">
        <v>-8.5</v>
      </c>
      <c r="V29" s="31"/>
      <c r="W29" s="30">
        <v>23.1</v>
      </c>
      <c r="X29" s="31"/>
      <c r="Y29" s="30">
        <v>10.1</v>
      </c>
      <c r="Z29" s="31"/>
      <c r="AA29" s="30">
        <v>21.8</v>
      </c>
      <c r="AB29" s="31"/>
      <c r="AC29" s="30" t="s">
        <v>100</v>
      </c>
      <c r="AD29" s="31"/>
      <c r="AE29" s="30" t="s">
        <v>100</v>
      </c>
      <c r="AF29" s="31"/>
    </row>
    <row r="30" spans="1:32" x14ac:dyDescent="0.45">
      <c r="A30" s="6" t="s">
        <v>580</v>
      </c>
      <c r="B30" s="6"/>
      <c r="C30" s="32">
        <v>97.236000000000004</v>
      </c>
      <c r="D30" s="33">
        <v>1</v>
      </c>
      <c r="E30" s="32">
        <v>100.879</v>
      </c>
      <c r="F30" s="33">
        <v>1</v>
      </c>
      <c r="G30" s="32">
        <v>119.014</v>
      </c>
      <c r="H30" s="33">
        <v>1</v>
      </c>
      <c r="I30" s="32">
        <v>139.51599999999999</v>
      </c>
      <c r="J30" s="33">
        <v>1</v>
      </c>
      <c r="K30" s="32">
        <v>146.69200000000001</v>
      </c>
      <c r="L30" s="33">
        <v>1</v>
      </c>
      <c r="M30" s="32">
        <v>153.386</v>
      </c>
      <c r="N30" s="33">
        <v>1</v>
      </c>
      <c r="O30" s="32">
        <v>147.24600000000001</v>
      </c>
      <c r="P30" s="33">
        <v>1</v>
      </c>
      <c r="Q30" s="32">
        <v>146.86000000000001</v>
      </c>
      <c r="R30" s="33">
        <v>1</v>
      </c>
      <c r="S30" s="32">
        <v>150.16399999999999</v>
      </c>
      <c r="T30" s="33">
        <v>1</v>
      </c>
      <c r="U30" s="32">
        <v>155.88499999999999</v>
      </c>
      <c r="V30" s="33">
        <v>1</v>
      </c>
      <c r="W30" s="32">
        <v>166.273</v>
      </c>
      <c r="X30" s="33">
        <v>1</v>
      </c>
      <c r="Y30" s="32">
        <v>225.26400000000001</v>
      </c>
      <c r="Z30" s="33">
        <v>1</v>
      </c>
      <c r="AA30" s="32">
        <v>257.98399999999998</v>
      </c>
      <c r="AB30" s="33">
        <v>1</v>
      </c>
      <c r="AC30" s="32">
        <v>250.64099999999999</v>
      </c>
      <c r="AD30" s="33">
        <v>1</v>
      </c>
      <c r="AE30" s="32">
        <v>271.298</v>
      </c>
      <c r="AF30" s="33">
        <v>1</v>
      </c>
    </row>
    <row r="31" spans="1:32" x14ac:dyDescent="0.45">
      <c r="A31" s="10" t="s">
        <v>565</v>
      </c>
      <c r="B31" s="10"/>
      <c r="C31" s="28">
        <v>50.021000000000001</v>
      </c>
      <c r="D31" s="29">
        <v>0.83048596237817696</v>
      </c>
      <c r="E31" s="28">
        <v>57.351999999999997</v>
      </c>
      <c r="F31" s="29">
        <v>0.84190129473591502</v>
      </c>
      <c r="G31" s="28">
        <v>69.402000000000001</v>
      </c>
      <c r="H31" s="29">
        <v>0.813756067818868</v>
      </c>
      <c r="I31" s="28">
        <v>74.114999999999995</v>
      </c>
      <c r="J31" s="29">
        <v>0.751467650846117</v>
      </c>
      <c r="K31" s="28">
        <v>80.031000000000006</v>
      </c>
      <c r="L31" s="29">
        <v>0.73833422514161295</v>
      </c>
      <c r="M31" s="28">
        <v>85.126000000000005</v>
      </c>
      <c r="N31" s="29">
        <v>0.73553783277025597</v>
      </c>
      <c r="O31" s="28">
        <v>79.385999999999996</v>
      </c>
      <c r="P31" s="29">
        <v>0.73172889917135997</v>
      </c>
      <c r="Q31" s="28">
        <v>79.908000000000001</v>
      </c>
      <c r="R31" s="29">
        <v>0.734664607237423</v>
      </c>
      <c r="S31" s="28">
        <v>78.948999999999998</v>
      </c>
      <c r="T31" s="29">
        <v>0.69638352297785999</v>
      </c>
      <c r="U31" s="28">
        <v>110.232</v>
      </c>
      <c r="V31" s="29">
        <v>0.855499763292485</v>
      </c>
      <c r="W31" s="28">
        <v>120.619</v>
      </c>
      <c r="X31" s="29">
        <v>0.83436979033362602</v>
      </c>
      <c r="Y31" s="28">
        <v>154.00399999999999</v>
      </c>
      <c r="Z31" s="29">
        <v>0.83415844265580497</v>
      </c>
      <c r="AA31" s="28">
        <v>159.066</v>
      </c>
      <c r="AB31" s="29">
        <v>0.80653273975520001</v>
      </c>
      <c r="AC31" s="28">
        <v>148.18799999999999</v>
      </c>
      <c r="AD31" s="29">
        <v>0.81750326862287503</v>
      </c>
      <c r="AE31" s="28">
        <v>150.304</v>
      </c>
      <c r="AF31" s="29">
        <v>0.78979338756121698</v>
      </c>
    </row>
    <row r="32" spans="1:32" x14ac:dyDescent="0.45">
      <c r="A32" s="10" t="s">
        <v>581</v>
      </c>
      <c r="B32" s="10"/>
      <c r="C32" s="28">
        <v>37.005000000000003</v>
      </c>
      <c r="D32" s="29"/>
      <c r="E32" s="28">
        <v>32.756999999999998</v>
      </c>
      <c r="F32" s="29"/>
      <c r="G32" s="28">
        <v>33.728000000000002</v>
      </c>
      <c r="H32" s="29"/>
      <c r="I32" s="28">
        <v>40.889000000000003</v>
      </c>
      <c r="J32" s="29"/>
      <c r="K32" s="28">
        <v>38.298000000000002</v>
      </c>
      <c r="L32" s="29"/>
      <c r="M32" s="28">
        <v>37.652999999999999</v>
      </c>
      <c r="N32" s="29"/>
      <c r="O32" s="28">
        <v>38.755000000000003</v>
      </c>
      <c r="P32" s="29"/>
      <c r="Q32" s="28">
        <v>38.091999999999999</v>
      </c>
      <c r="R32" s="29"/>
      <c r="S32" s="28">
        <v>36.793999999999997</v>
      </c>
      <c r="T32" s="29"/>
      <c r="U32" s="28">
        <v>27.033999999999999</v>
      </c>
      <c r="V32" s="29"/>
      <c r="W32" s="28">
        <v>21.71</v>
      </c>
      <c r="X32" s="29"/>
      <c r="Y32" s="28">
        <v>40.642000000000003</v>
      </c>
      <c r="Z32" s="29"/>
      <c r="AA32" s="28">
        <v>60.762</v>
      </c>
      <c r="AB32" s="29"/>
      <c r="AC32" s="28">
        <v>69.372</v>
      </c>
      <c r="AD32" s="29"/>
      <c r="AE32" s="28">
        <v>80.989999999999995</v>
      </c>
      <c r="AF32" s="29"/>
    </row>
    <row r="33" spans="1:32" x14ac:dyDescent="0.45">
      <c r="A33" s="10" t="s">
        <v>568</v>
      </c>
      <c r="B33" s="10"/>
      <c r="C33" s="28">
        <v>10.210000000000001</v>
      </c>
      <c r="D33" s="29">
        <v>0.16951403762182299</v>
      </c>
      <c r="E33" s="28">
        <v>10.77</v>
      </c>
      <c r="F33" s="29">
        <v>0.15809870526408501</v>
      </c>
      <c r="G33" s="28">
        <v>15.884</v>
      </c>
      <c r="H33" s="29">
        <v>0.186243932181132</v>
      </c>
      <c r="I33" s="28">
        <v>24.512</v>
      </c>
      <c r="J33" s="29">
        <v>0.248532349153883</v>
      </c>
      <c r="K33" s="28">
        <v>28.363</v>
      </c>
      <c r="L33" s="29">
        <v>0.26166577485838699</v>
      </c>
      <c r="M33" s="28">
        <v>30.606999999999999</v>
      </c>
      <c r="N33" s="29">
        <v>0.26446216722974403</v>
      </c>
      <c r="O33" s="28">
        <v>29.105</v>
      </c>
      <c r="P33" s="29">
        <v>0.26827110082863997</v>
      </c>
      <c r="Q33" s="28">
        <v>28.86</v>
      </c>
      <c r="R33" s="29">
        <v>0.265335392762577</v>
      </c>
      <c r="S33" s="28">
        <v>34.420999999999999</v>
      </c>
      <c r="T33" s="29">
        <v>0.30361647702214001</v>
      </c>
      <c r="U33" s="28">
        <v>18.619</v>
      </c>
      <c r="V33" s="29">
        <v>0.144500236707515</v>
      </c>
      <c r="W33" s="28">
        <v>23.943999999999999</v>
      </c>
      <c r="X33" s="29">
        <v>0.16563020966637401</v>
      </c>
      <c r="Y33" s="28">
        <v>30.617999999999999</v>
      </c>
      <c r="Z33" s="29">
        <v>0.16584155734419501</v>
      </c>
      <c r="AA33" s="28">
        <v>38.155999999999999</v>
      </c>
      <c r="AB33" s="29">
        <v>0.19346726024479999</v>
      </c>
      <c r="AC33" s="28">
        <v>33.081000000000003</v>
      </c>
      <c r="AD33" s="29">
        <v>0.18249673137712499</v>
      </c>
      <c r="AE33" s="28">
        <v>40.003999999999998</v>
      </c>
      <c r="AF33" s="29">
        <v>0.210206612438783</v>
      </c>
    </row>
    <row r="34" spans="1:32" x14ac:dyDescent="0.45">
      <c r="A34" s="6" t="s">
        <v>582</v>
      </c>
      <c r="B34" s="6"/>
      <c r="C34" s="32">
        <v>-3.38</v>
      </c>
      <c r="D34" s="33"/>
      <c r="E34" s="32">
        <v>7.891</v>
      </c>
      <c r="F34" s="33">
        <v>1</v>
      </c>
      <c r="G34" s="32">
        <v>17.164000000000001</v>
      </c>
      <c r="H34" s="33">
        <v>1</v>
      </c>
      <c r="I34" s="32">
        <v>13.340999999999999</v>
      </c>
      <c r="J34" s="33">
        <v>1</v>
      </c>
      <c r="K34" s="32">
        <v>9.7669999999999995</v>
      </c>
      <c r="L34" s="33">
        <v>1</v>
      </c>
      <c r="M34" s="32">
        <v>7.3390000000000004</v>
      </c>
      <c r="N34" s="33">
        <v>1</v>
      </c>
      <c r="O34" s="32">
        <v>-7.242</v>
      </c>
      <c r="P34" s="33"/>
      <c r="Q34" s="32">
        <v>0.27700000000000002</v>
      </c>
      <c r="R34" s="33">
        <v>1</v>
      </c>
      <c r="S34" s="32">
        <v>4.6020000000000003</v>
      </c>
      <c r="T34" s="33">
        <v>1</v>
      </c>
      <c r="U34" s="32">
        <v>15.481</v>
      </c>
      <c r="V34" s="33">
        <v>1</v>
      </c>
      <c r="W34" s="32">
        <v>15.712</v>
      </c>
      <c r="X34" s="33">
        <v>1</v>
      </c>
      <c r="Y34" s="32">
        <v>40.058999999999997</v>
      </c>
      <c r="Z34" s="33">
        <v>1</v>
      </c>
      <c r="AA34" s="32">
        <v>197.22200000000001</v>
      </c>
      <c r="AB34" s="33">
        <v>1</v>
      </c>
      <c r="AC34" s="32">
        <v>181.26900000000001</v>
      </c>
      <c r="AD34" s="33">
        <v>1</v>
      </c>
      <c r="AE34" s="32">
        <v>9.0389999999999997</v>
      </c>
      <c r="AF34" s="33">
        <v>1</v>
      </c>
    </row>
    <row r="35" spans="1:32" x14ac:dyDescent="0.45">
      <c r="A35" s="10" t="s">
        <v>568</v>
      </c>
      <c r="B35" s="10"/>
      <c r="C35" s="28">
        <v>0.44400000000000001</v>
      </c>
      <c r="D35" s="29">
        <v>-0.13136094674556201</v>
      </c>
      <c r="E35" s="28">
        <v>0.56000000000000005</v>
      </c>
      <c r="F35" s="29">
        <v>7.0966924344189594E-2</v>
      </c>
      <c r="G35" s="28">
        <v>5.1139999999999999</v>
      </c>
      <c r="H35" s="29">
        <v>0.29794919599161002</v>
      </c>
      <c r="I35" s="28">
        <v>8.6280000000000001</v>
      </c>
      <c r="J35" s="29">
        <v>0.64672813132448803</v>
      </c>
      <c r="K35" s="28">
        <v>3.851</v>
      </c>
      <c r="L35" s="29">
        <v>0.39428688440667597</v>
      </c>
      <c r="M35" s="28">
        <v>2.2440000000000002</v>
      </c>
      <c r="N35" s="29">
        <v>0.30576372802834201</v>
      </c>
      <c r="O35" s="28">
        <v>-1.502</v>
      </c>
      <c r="P35" s="29">
        <v>0.20740127036730199</v>
      </c>
      <c r="Q35" s="28">
        <v>-0.245</v>
      </c>
      <c r="R35" s="29">
        <v>-0.88447653429602902</v>
      </c>
      <c r="S35" s="28">
        <v>5.5609999999999999</v>
      </c>
      <c r="T35" s="29">
        <v>1.2083876575401999</v>
      </c>
      <c r="U35" s="28">
        <v>-15.802</v>
      </c>
      <c r="V35" s="29">
        <v>-1.0207350946321301</v>
      </c>
      <c r="W35" s="28">
        <v>5.3250000000000002</v>
      </c>
      <c r="X35" s="29">
        <v>0.338912932790224</v>
      </c>
      <c r="Y35" s="28">
        <v>6.6740000000000004</v>
      </c>
      <c r="Z35" s="29">
        <v>0.16660425871838999</v>
      </c>
      <c r="AA35" s="28">
        <v>38.155999999999999</v>
      </c>
      <c r="AB35" s="29">
        <v>0.19346726024479999</v>
      </c>
      <c r="AC35" s="28">
        <v>33.081000000000003</v>
      </c>
      <c r="AD35" s="29">
        <v>0.18249673137712499</v>
      </c>
      <c r="AE35" s="28">
        <v>6.923</v>
      </c>
      <c r="AF35" s="29">
        <v>0.76590330788804095</v>
      </c>
    </row>
    <row r="36" spans="1:32" x14ac:dyDescent="0.45">
      <c r="A36" s="10" t="s">
        <v>565</v>
      </c>
      <c r="B36" s="10"/>
      <c r="C36" s="28">
        <v>-3.8239999999999998</v>
      </c>
      <c r="D36" s="29">
        <v>1.1313609467455601</v>
      </c>
      <c r="E36" s="28">
        <v>7.3310000000000004</v>
      </c>
      <c r="F36" s="29">
        <v>0.92903307565581095</v>
      </c>
      <c r="G36" s="28">
        <v>12.05</v>
      </c>
      <c r="H36" s="29">
        <v>0.70205080400839004</v>
      </c>
      <c r="I36" s="28">
        <v>4.7130000000000001</v>
      </c>
      <c r="J36" s="29">
        <v>0.35327186867551202</v>
      </c>
      <c r="K36" s="28">
        <v>5.9160000000000004</v>
      </c>
      <c r="L36" s="29">
        <v>0.60571311559332497</v>
      </c>
      <c r="M36" s="28">
        <v>5.0949999999999998</v>
      </c>
      <c r="N36" s="29">
        <v>0.69423627197165805</v>
      </c>
      <c r="O36" s="28">
        <v>-5.74</v>
      </c>
      <c r="P36" s="29">
        <v>0.79259872963269795</v>
      </c>
      <c r="Q36" s="28">
        <v>0.52200000000000002</v>
      </c>
      <c r="R36" s="29">
        <v>1.8844765342960299</v>
      </c>
      <c r="S36" s="28">
        <v>-0.95899999999999996</v>
      </c>
      <c r="T36" s="29">
        <v>-0.2083876575402</v>
      </c>
      <c r="U36" s="28">
        <v>31.283000000000001</v>
      </c>
      <c r="V36" s="29">
        <v>2.0207350946321299</v>
      </c>
      <c r="W36" s="28">
        <v>10.387</v>
      </c>
      <c r="X36" s="29">
        <v>0.66108706720977595</v>
      </c>
      <c r="Y36" s="28">
        <v>33.384999999999998</v>
      </c>
      <c r="Z36" s="29">
        <v>0.83339574128160998</v>
      </c>
      <c r="AA36" s="28">
        <v>159.066</v>
      </c>
      <c r="AB36" s="29">
        <v>0.80653273975520001</v>
      </c>
      <c r="AC36" s="28">
        <v>148.18799999999999</v>
      </c>
      <c r="AD36" s="29">
        <v>0.81750326862287503</v>
      </c>
      <c r="AE36" s="28">
        <v>2.1160000000000001</v>
      </c>
      <c r="AF36" s="29">
        <v>0.23409669211195899</v>
      </c>
    </row>
    <row r="37" spans="1:32" x14ac:dyDescent="0.45">
      <c r="A37" s="6" t="s">
        <v>89</v>
      </c>
      <c r="B37" s="6"/>
      <c r="C37" s="32">
        <v>419.649</v>
      </c>
      <c r="D37" s="33">
        <v>1</v>
      </c>
      <c r="E37" s="32">
        <v>479.35700000000003</v>
      </c>
      <c r="F37" s="33">
        <v>1</v>
      </c>
      <c r="G37" s="32">
        <v>572.43499999999995</v>
      </c>
      <c r="H37" s="33">
        <v>1</v>
      </c>
      <c r="I37" s="32">
        <v>658.50199999999995</v>
      </c>
      <c r="J37" s="33">
        <v>1</v>
      </c>
      <c r="K37" s="32">
        <v>714.56799999999998</v>
      </c>
      <c r="L37" s="33">
        <v>1</v>
      </c>
      <c r="M37" s="32">
        <v>782.63499999999999</v>
      </c>
      <c r="N37" s="33">
        <v>1</v>
      </c>
      <c r="O37" s="32">
        <v>795.50699999999995</v>
      </c>
      <c r="P37" s="33">
        <v>1</v>
      </c>
      <c r="Q37" s="32">
        <v>841.60500000000002</v>
      </c>
      <c r="R37" s="33">
        <v>1</v>
      </c>
      <c r="S37" s="32">
        <v>945.08600000000001</v>
      </c>
      <c r="T37" s="33">
        <v>1</v>
      </c>
      <c r="U37" s="32">
        <v>1137.751</v>
      </c>
      <c r="V37" s="33">
        <v>1</v>
      </c>
      <c r="W37" s="32">
        <v>1349.6189999999999</v>
      </c>
      <c r="X37" s="33">
        <v>1</v>
      </c>
      <c r="Y37" s="32">
        <v>1456.0329999999999</v>
      </c>
      <c r="Z37" s="33">
        <v>1</v>
      </c>
      <c r="AA37" s="32">
        <v>1648.731</v>
      </c>
      <c r="AB37" s="33">
        <v>1</v>
      </c>
      <c r="AC37" s="32">
        <v>1814.912</v>
      </c>
      <c r="AD37" s="33">
        <v>1</v>
      </c>
      <c r="AE37" s="32">
        <v>1998.6510000000001</v>
      </c>
      <c r="AF37" s="33">
        <v>1</v>
      </c>
    </row>
    <row r="38" spans="1:32" x14ac:dyDescent="0.45">
      <c r="A38" s="10" t="s">
        <v>583</v>
      </c>
      <c r="B38" s="10"/>
      <c r="C38" s="28">
        <v>419.649</v>
      </c>
      <c r="D38" s="29">
        <v>1</v>
      </c>
      <c r="E38" s="28">
        <v>479.35700000000003</v>
      </c>
      <c r="F38" s="29">
        <v>1</v>
      </c>
      <c r="G38" s="28">
        <v>572.43499999999995</v>
      </c>
      <c r="H38" s="29">
        <v>1</v>
      </c>
      <c r="I38" s="28">
        <v>658.50199999999995</v>
      </c>
      <c r="J38" s="29">
        <v>1</v>
      </c>
      <c r="K38" s="28">
        <v>714.56799999999998</v>
      </c>
      <c r="L38" s="29">
        <v>1</v>
      </c>
      <c r="M38" s="28">
        <v>782.63499999999999</v>
      </c>
      <c r="N38" s="29">
        <v>1</v>
      </c>
      <c r="O38" s="28">
        <v>795.50699999999995</v>
      </c>
      <c r="P38" s="29">
        <v>1</v>
      </c>
      <c r="Q38" s="28">
        <v>841.60500000000002</v>
      </c>
      <c r="R38" s="29">
        <v>1</v>
      </c>
      <c r="S38" s="28">
        <v>945.08600000000001</v>
      </c>
      <c r="T38" s="29">
        <v>1</v>
      </c>
      <c r="U38" s="28">
        <v>1137.751</v>
      </c>
      <c r="V38" s="29">
        <v>1</v>
      </c>
      <c r="W38" s="28">
        <v>1349.6189999999999</v>
      </c>
      <c r="X38" s="29">
        <v>1</v>
      </c>
      <c r="Y38" s="28">
        <v>1456.0329999999999</v>
      </c>
      <c r="Z38" s="29">
        <v>1</v>
      </c>
      <c r="AA38" s="28">
        <v>1648.731</v>
      </c>
      <c r="AB38" s="29">
        <v>1</v>
      </c>
      <c r="AC38" s="28">
        <v>1814.912</v>
      </c>
      <c r="AD38" s="29">
        <v>1</v>
      </c>
      <c r="AE38" s="28">
        <v>1998.6510000000001</v>
      </c>
      <c r="AF38" s="29">
        <v>1</v>
      </c>
    </row>
    <row r="39" spans="1:32" x14ac:dyDescent="0.45">
      <c r="A39" s="6" t="s">
        <v>584</v>
      </c>
      <c r="B39" s="6"/>
      <c r="C39" s="34" t="s">
        <v>100</v>
      </c>
      <c r="D39" s="35"/>
      <c r="E39" s="34" t="s">
        <v>100</v>
      </c>
      <c r="F39" s="35"/>
      <c r="G39" s="34" t="s">
        <v>100</v>
      </c>
      <c r="H39" s="35"/>
      <c r="I39" s="34" t="s">
        <v>100</v>
      </c>
      <c r="J39" s="35"/>
      <c r="K39" s="34" t="s">
        <v>100</v>
      </c>
      <c r="L39" s="35"/>
      <c r="M39" s="34" t="s">
        <v>100</v>
      </c>
      <c r="N39" s="35"/>
      <c r="O39" s="34" t="s">
        <v>100</v>
      </c>
      <c r="P39" s="35"/>
      <c r="Q39" s="34" t="s">
        <v>100</v>
      </c>
      <c r="R39" s="35"/>
      <c r="S39" s="34" t="s">
        <v>100</v>
      </c>
      <c r="T39" s="35"/>
      <c r="U39" s="34" t="s">
        <v>100</v>
      </c>
      <c r="V39" s="35"/>
      <c r="W39" s="34" t="s">
        <v>100</v>
      </c>
      <c r="X39" s="35"/>
      <c r="Y39" s="34" t="s">
        <v>100</v>
      </c>
      <c r="Z39" s="35"/>
      <c r="AA39" s="34" t="s">
        <v>100</v>
      </c>
      <c r="AB39" s="35"/>
      <c r="AC39" s="34" t="s">
        <v>100</v>
      </c>
      <c r="AD39" s="35"/>
      <c r="AE39" s="34" t="s">
        <v>100</v>
      </c>
      <c r="AF39" s="35"/>
    </row>
    <row r="40" spans="1:32" x14ac:dyDescent="0.45">
      <c r="A40" s="10" t="s">
        <v>565</v>
      </c>
      <c r="B40" s="10"/>
      <c r="C40" s="30">
        <v>25.6</v>
      </c>
      <c r="D40" s="31"/>
      <c r="E40" s="30">
        <v>13.9</v>
      </c>
      <c r="F40" s="31"/>
      <c r="G40" s="30">
        <v>15.9</v>
      </c>
      <c r="H40" s="31"/>
      <c r="I40" s="30">
        <v>11.5</v>
      </c>
      <c r="J40" s="31"/>
      <c r="K40" s="30">
        <v>12.2</v>
      </c>
      <c r="L40" s="31"/>
      <c r="M40" s="30">
        <v>11.8</v>
      </c>
      <c r="N40" s="31"/>
      <c r="O40" s="30">
        <v>4.3</v>
      </c>
      <c r="P40" s="31"/>
      <c r="Q40" s="30">
        <v>8.4</v>
      </c>
      <c r="R40" s="31"/>
      <c r="S40" s="30">
        <v>11.9</v>
      </c>
      <c r="T40" s="31"/>
      <c r="U40" s="30">
        <v>52.4</v>
      </c>
      <c r="V40" s="31"/>
      <c r="W40" s="30">
        <v>13.9</v>
      </c>
      <c r="X40" s="31"/>
      <c r="Y40" s="30">
        <v>10.3</v>
      </c>
      <c r="Z40" s="31"/>
      <c r="AA40" s="30">
        <v>6.7</v>
      </c>
      <c r="AB40" s="31"/>
      <c r="AC40" s="30">
        <v>12</v>
      </c>
      <c r="AD40" s="31"/>
      <c r="AE40" s="30">
        <v>3.5</v>
      </c>
      <c r="AF40" s="31"/>
    </row>
    <row r="41" spans="1:32" x14ac:dyDescent="0.45">
      <c r="A41" s="10" t="s">
        <v>566</v>
      </c>
      <c r="B41" s="10"/>
      <c r="C41" s="30">
        <v>34.6</v>
      </c>
      <c r="D41" s="31"/>
      <c r="E41" s="30">
        <v>15.7</v>
      </c>
      <c r="F41" s="31"/>
      <c r="G41" s="30">
        <v>16.600000000000001</v>
      </c>
      <c r="H41" s="31"/>
      <c r="I41" s="30">
        <v>11.7</v>
      </c>
      <c r="J41" s="31"/>
      <c r="K41" s="30">
        <v>12.2</v>
      </c>
      <c r="L41" s="31"/>
      <c r="M41" s="30">
        <v>12.2</v>
      </c>
      <c r="N41" s="31"/>
      <c r="O41" s="30">
        <v>5.2</v>
      </c>
      <c r="P41" s="31"/>
      <c r="Q41" s="30">
        <v>8.3000000000000007</v>
      </c>
      <c r="R41" s="31"/>
      <c r="S41" s="30">
        <v>11.6</v>
      </c>
      <c r="T41" s="31"/>
      <c r="U41" s="30">
        <v>53.7</v>
      </c>
      <c r="V41" s="31"/>
      <c r="W41" s="30">
        <v>12.4</v>
      </c>
      <c r="X41" s="31"/>
      <c r="Y41" s="30">
        <v>7.5</v>
      </c>
      <c r="Z41" s="31"/>
      <c r="AA41" s="30">
        <v>6.6</v>
      </c>
      <c r="AB41" s="31"/>
      <c r="AC41" s="30">
        <v>12.1</v>
      </c>
      <c r="AD41" s="31"/>
      <c r="AE41" s="30">
        <v>9.9</v>
      </c>
      <c r="AF41" s="31"/>
    </row>
    <row r="42" spans="1:32" x14ac:dyDescent="0.45">
      <c r="A42" s="10" t="s">
        <v>567</v>
      </c>
      <c r="B42" s="10"/>
      <c r="C42" s="30">
        <v>-24.4</v>
      </c>
      <c r="D42" s="31"/>
      <c r="E42" s="30">
        <v>-3.9</v>
      </c>
      <c r="F42" s="31"/>
      <c r="G42" s="30">
        <v>7.2</v>
      </c>
      <c r="H42" s="31"/>
      <c r="I42" s="30">
        <v>8.6</v>
      </c>
      <c r="J42" s="31"/>
      <c r="K42" s="30">
        <v>12.5</v>
      </c>
      <c r="L42" s="31"/>
      <c r="M42" s="30">
        <v>6.8</v>
      </c>
      <c r="N42" s="31"/>
      <c r="O42" s="30">
        <v>-7.1</v>
      </c>
      <c r="P42" s="31"/>
      <c r="Q42" s="30">
        <v>10.8</v>
      </c>
      <c r="R42" s="31"/>
      <c r="S42" s="30">
        <v>16.899999999999999</v>
      </c>
      <c r="T42" s="31"/>
      <c r="U42" s="30">
        <v>34.1</v>
      </c>
      <c r="V42" s="31"/>
      <c r="W42" s="30">
        <v>39.1</v>
      </c>
      <c r="X42" s="31"/>
      <c r="Y42" s="30">
        <v>10.9</v>
      </c>
      <c r="Z42" s="31"/>
      <c r="AA42" s="30">
        <v>8.4</v>
      </c>
      <c r="AB42" s="31"/>
      <c r="AC42" s="30">
        <v>11.5</v>
      </c>
      <c r="AD42" s="31"/>
      <c r="AE42" s="30">
        <v>7.4</v>
      </c>
      <c r="AF42" s="31"/>
    </row>
    <row r="43" spans="1:32" x14ac:dyDescent="0.45">
      <c r="A43" s="10" t="s">
        <v>568</v>
      </c>
      <c r="B43" s="10"/>
      <c r="C43" s="30">
        <v>-0.8</v>
      </c>
      <c r="D43" s="31"/>
      <c r="E43" s="30">
        <v>11.2</v>
      </c>
      <c r="F43" s="31"/>
      <c r="G43" s="30">
        <v>21.3</v>
      </c>
      <c r="H43" s="31"/>
      <c r="I43" s="30">
        <v>17.8</v>
      </c>
      <c r="J43" s="31"/>
      <c r="K43" s="30">
        <v>5.4</v>
      </c>
      <c r="L43" s="31"/>
      <c r="M43" s="30">
        <v>6.7</v>
      </c>
      <c r="N43" s="31"/>
      <c r="O43" s="30">
        <v>-1.7</v>
      </c>
      <c r="P43" s="31"/>
      <c r="Q43" s="30">
        <v>2.4</v>
      </c>
      <c r="R43" s="31"/>
      <c r="S43" s="30">
        <v>10</v>
      </c>
      <c r="T43" s="31"/>
      <c r="U43" s="30">
        <v>-7.7</v>
      </c>
      <c r="V43" s="31"/>
      <c r="W43" s="30">
        <v>21.3</v>
      </c>
      <c r="X43" s="31"/>
      <c r="Y43" s="30">
        <v>11.6</v>
      </c>
      <c r="Z43" s="31"/>
      <c r="AA43" s="30">
        <v>21.1</v>
      </c>
      <c r="AB43" s="31"/>
      <c r="AC43" s="30">
        <v>4.5999999999999996</v>
      </c>
      <c r="AD43" s="31"/>
      <c r="AE43" s="30">
        <v>2.7</v>
      </c>
      <c r="AF43" s="31"/>
    </row>
    <row r="44" spans="1:32" x14ac:dyDescent="0.45">
      <c r="A44" s="10" t="s">
        <v>569</v>
      </c>
      <c r="B44" s="10"/>
      <c r="C44" s="30">
        <v>2.1</v>
      </c>
      <c r="D44" s="31"/>
      <c r="E44" s="30">
        <v>1.9</v>
      </c>
      <c r="F44" s="31"/>
      <c r="G44" s="30">
        <v>18.100000000000001</v>
      </c>
      <c r="H44" s="31"/>
      <c r="I44" s="30">
        <v>28.1</v>
      </c>
      <c r="J44" s="31"/>
      <c r="K44" s="30">
        <v>6.6</v>
      </c>
      <c r="L44" s="31"/>
      <c r="M44" s="30">
        <v>6.8</v>
      </c>
      <c r="N44" s="31"/>
      <c r="O44" s="30">
        <v>-3.1</v>
      </c>
      <c r="P44" s="31"/>
      <c r="Q44" s="30">
        <v>7.6</v>
      </c>
      <c r="R44" s="31"/>
      <c r="S44" s="30">
        <v>10.7</v>
      </c>
      <c r="T44" s="31"/>
      <c r="U44" s="30">
        <v>-26.9</v>
      </c>
      <c r="V44" s="31"/>
      <c r="W44" s="30">
        <v>47.3</v>
      </c>
      <c r="X44" s="31"/>
      <c r="Y44" s="30">
        <v>23.2</v>
      </c>
      <c r="Z44" s="31"/>
      <c r="AA44" s="30">
        <v>23.5</v>
      </c>
      <c r="AB44" s="31"/>
      <c r="AC44" s="30">
        <v>11.3</v>
      </c>
      <c r="AD44" s="31"/>
      <c r="AE44" s="30">
        <v>14.3</v>
      </c>
      <c r="AF44" s="31"/>
    </row>
    <row r="45" spans="1:32" x14ac:dyDescent="0.45">
      <c r="A45" s="10" t="s">
        <v>570</v>
      </c>
      <c r="B45" s="10"/>
      <c r="C45" s="30">
        <v>-4.4000000000000004</v>
      </c>
      <c r="D45" s="31"/>
      <c r="E45" s="30">
        <v>23.8</v>
      </c>
      <c r="F45" s="31"/>
      <c r="G45" s="30">
        <v>24.9</v>
      </c>
      <c r="H45" s="31"/>
      <c r="I45" s="30">
        <v>7.1</v>
      </c>
      <c r="J45" s="31"/>
      <c r="K45" s="30">
        <v>3.9</v>
      </c>
      <c r="L45" s="31"/>
      <c r="M45" s="30">
        <v>6.6</v>
      </c>
      <c r="N45" s="31"/>
      <c r="O45" s="30">
        <v>-3.1</v>
      </c>
      <c r="P45" s="31"/>
      <c r="Q45" s="30">
        <v>-4.5999999999999996</v>
      </c>
      <c r="R45" s="31"/>
      <c r="S45" s="30">
        <v>8.9</v>
      </c>
      <c r="T45" s="31"/>
      <c r="U45" s="30">
        <v>21.4</v>
      </c>
      <c r="V45" s="31"/>
      <c r="W45" s="30">
        <v>-2.5</v>
      </c>
      <c r="X45" s="31"/>
      <c r="Y45" s="30">
        <v>-4.4000000000000004</v>
      </c>
      <c r="Z45" s="31"/>
      <c r="AA45" s="30">
        <v>16.899999999999999</v>
      </c>
      <c r="AB45" s="31"/>
      <c r="AC45" s="30">
        <v>-8.1999999999999993</v>
      </c>
      <c r="AD45" s="31"/>
      <c r="AE45" s="30">
        <v>0.5</v>
      </c>
      <c r="AF45" s="31"/>
    </row>
    <row r="46" spans="1:32" x14ac:dyDescent="0.45">
      <c r="A46" s="6" t="s">
        <v>585</v>
      </c>
      <c r="B46" s="6"/>
      <c r="C46" s="34" t="s">
        <v>100</v>
      </c>
      <c r="D46" s="35"/>
      <c r="E46" s="34" t="s">
        <v>100</v>
      </c>
      <c r="F46" s="35"/>
      <c r="G46" s="34" t="s">
        <v>100</v>
      </c>
      <c r="H46" s="35"/>
      <c r="I46" s="34" t="s">
        <v>100</v>
      </c>
      <c r="J46" s="35"/>
      <c r="K46" s="34" t="s">
        <v>100</v>
      </c>
      <c r="L46" s="35"/>
      <c r="M46" s="34" t="s">
        <v>100</v>
      </c>
      <c r="N46" s="35"/>
      <c r="O46" s="34" t="s">
        <v>100</v>
      </c>
      <c r="P46" s="35"/>
      <c r="Q46" s="34" t="s">
        <v>100</v>
      </c>
      <c r="R46" s="35"/>
      <c r="S46" s="34" t="s">
        <v>100</v>
      </c>
      <c r="T46" s="35"/>
      <c r="U46" s="34" t="s">
        <v>100</v>
      </c>
      <c r="V46" s="35"/>
      <c r="W46" s="34" t="s">
        <v>100</v>
      </c>
      <c r="X46" s="35"/>
      <c r="Y46" s="34" t="s">
        <v>100</v>
      </c>
      <c r="Z46" s="35"/>
      <c r="AA46" s="34" t="s">
        <v>100</v>
      </c>
      <c r="AB46" s="35"/>
      <c r="AC46" s="34" t="s">
        <v>100</v>
      </c>
      <c r="AD46" s="35"/>
      <c r="AE46" s="34" t="s">
        <v>100</v>
      </c>
      <c r="AF46" s="35"/>
    </row>
    <row r="47" spans="1:32" x14ac:dyDescent="0.45">
      <c r="A47" s="10" t="s">
        <v>568</v>
      </c>
      <c r="B47" s="10"/>
      <c r="C47" s="30">
        <v>4.5</v>
      </c>
      <c r="D47" s="31"/>
      <c r="E47" s="30">
        <v>5.5</v>
      </c>
      <c r="F47" s="31"/>
      <c r="G47" s="30">
        <v>47.5</v>
      </c>
      <c r="H47" s="31"/>
      <c r="I47" s="30">
        <v>54.3</v>
      </c>
      <c r="J47" s="31"/>
      <c r="K47" s="30">
        <v>15.7</v>
      </c>
      <c r="L47" s="31"/>
      <c r="M47" s="30">
        <v>7.9</v>
      </c>
      <c r="N47" s="31"/>
      <c r="O47" s="30">
        <v>-4.9000000000000004</v>
      </c>
      <c r="P47" s="31"/>
      <c r="Q47" s="30">
        <v>-0.8</v>
      </c>
      <c r="R47" s="31"/>
      <c r="S47" s="30">
        <v>19.3</v>
      </c>
      <c r="T47" s="31"/>
      <c r="U47" s="30">
        <v>-45.9</v>
      </c>
      <c r="V47" s="31"/>
      <c r="W47" s="30">
        <v>28.6</v>
      </c>
      <c r="X47" s="31"/>
      <c r="Y47" s="30">
        <v>27.9</v>
      </c>
      <c r="Z47" s="31"/>
      <c r="AA47" s="30" t="s">
        <v>100</v>
      </c>
      <c r="AB47" s="31"/>
      <c r="AC47" s="30">
        <v>-13.3</v>
      </c>
      <c r="AD47" s="31"/>
      <c r="AE47" s="30">
        <v>20.9</v>
      </c>
      <c r="AF47" s="31"/>
    </row>
    <row r="48" spans="1:32" x14ac:dyDescent="0.45">
      <c r="A48" s="10" t="s">
        <v>565</v>
      </c>
      <c r="B48" s="10"/>
      <c r="C48" s="30">
        <v>-7.1</v>
      </c>
      <c r="D48" s="31"/>
      <c r="E48" s="30">
        <v>14.7</v>
      </c>
      <c r="F48" s="31"/>
      <c r="G48" s="30">
        <v>21</v>
      </c>
      <c r="H48" s="31"/>
      <c r="I48" s="30">
        <v>6.8</v>
      </c>
      <c r="J48" s="31"/>
      <c r="K48" s="30">
        <v>8</v>
      </c>
      <c r="L48" s="31"/>
      <c r="M48" s="30">
        <v>6.4</v>
      </c>
      <c r="N48" s="31"/>
      <c r="O48" s="30">
        <v>-6.7</v>
      </c>
      <c r="P48" s="31"/>
      <c r="Q48" s="30">
        <v>0.7</v>
      </c>
      <c r="R48" s="31"/>
      <c r="S48" s="30">
        <v>-1.2</v>
      </c>
      <c r="T48" s="31"/>
      <c r="U48" s="30">
        <v>39.6</v>
      </c>
      <c r="V48" s="31"/>
      <c r="W48" s="30">
        <v>9.4</v>
      </c>
      <c r="X48" s="31"/>
      <c r="Y48" s="30">
        <v>27.7</v>
      </c>
      <c r="Z48" s="31"/>
      <c r="AA48" s="30" t="s">
        <v>100</v>
      </c>
      <c r="AB48" s="31"/>
      <c r="AC48" s="30">
        <v>-6.8</v>
      </c>
      <c r="AD48" s="31"/>
      <c r="AE48" s="30">
        <v>1.4</v>
      </c>
      <c r="AF48" s="31"/>
    </row>
    <row r="49" spans="1:32" x14ac:dyDescent="0.45">
      <c r="A49" s="6" t="s">
        <v>586</v>
      </c>
      <c r="B49" s="6"/>
      <c r="C49" s="32" t="s">
        <v>100</v>
      </c>
      <c r="D49" s="33"/>
      <c r="E49" s="32">
        <v>580.23599999999999</v>
      </c>
      <c r="F49" s="33">
        <v>1</v>
      </c>
      <c r="G49" s="32">
        <v>701.07</v>
      </c>
      <c r="H49" s="33">
        <v>1</v>
      </c>
      <c r="I49" s="32">
        <v>807.654</v>
      </c>
      <c r="J49" s="33">
        <v>1</v>
      </c>
      <c r="K49" s="32">
        <v>865.89200000000005</v>
      </c>
      <c r="L49" s="33">
        <v>1</v>
      </c>
      <c r="M49" s="32">
        <v>941.44200000000001</v>
      </c>
      <c r="N49" s="33">
        <v>1</v>
      </c>
      <c r="O49" s="32">
        <v>944.47799999999995</v>
      </c>
      <c r="P49" s="33">
        <v>1</v>
      </c>
      <c r="Q49" s="32">
        <v>988.56799999999998</v>
      </c>
      <c r="R49" s="33">
        <v>1</v>
      </c>
      <c r="S49" s="32">
        <v>1098.106</v>
      </c>
      <c r="T49" s="33">
        <v>1</v>
      </c>
      <c r="U49" s="32">
        <v>1303.078</v>
      </c>
      <c r="V49" s="33">
        <v>1</v>
      </c>
      <c r="W49" s="32">
        <v>1528.4059999999999</v>
      </c>
      <c r="X49" s="33">
        <v>1</v>
      </c>
      <c r="Y49" s="32">
        <v>1695.498</v>
      </c>
      <c r="Z49" s="33">
        <v>1</v>
      </c>
      <c r="AA49" s="32">
        <v>1931.4870000000001</v>
      </c>
      <c r="AB49" s="33">
        <v>1</v>
      </c>
      <c r="AC49" s="32">
        <v>2072.886</v>
      </c>
      <c r="AD49" s="33">
        <v>1</v>
      </c>
      <c r="AE49" s="32">
        <v>2269.9490000000001</v>
      </c>
      <c r="AF49" s="33">
        <v>1</v>
      </c>
    </row>
    <row r="50" spans="1:32" x14ac:dyDescent="0.45">
      <c r="A50" s="10" t="s">
        <v>565</v>
      </c>
      <c r="B50" s="10"/>
      <c r="C50" s="28" t="s">
        <v>100</v>
      </c>
      <c r="D50" s="29"/>
      <c r="E50" s="28">
        <v>229.203</v>
      </c>
      <c r="F50" s="29">
        <v>0.39501685521063901</v>
      </c>
      <c r="G50" s="28">
        <v>265.77</v>
      </c>
      <c r="H50" s="29">
        <v>0.37909195943343699</v>
      </c>
      <c r="I50" s="28">
        <v>298.803</v>
      </c>
      <c r="J50" s="29">
        <v>0.36996411829818199</v>
      </c>
      <c r="K50" s="28">
        <v>333.61900000000003</v>
      </c>
      <c r="L50" s="29">
        <v>0.38528938943886798</v>
      </c>
      <c r="M50" s="28">
        <v>373.54899999999998</v>
      </c>
      <c r="N50" s="29">
        <v>0.39678386985071801</v>
      </c>
      <c r="O50" s="28">
        <v>388.23500000000001</v>
      </c>
      <c r="P50" s="29">
        <v>0.41105774830117803</v>
      </c>
      <c r="Q50" s="28">
        <v>420.36700000000002</v>
      </c>
      <c r="R50" s="29">
        <v>0.42522820888396101</v>
      </c>
      <c r="S50" s="28">
        <v>471.154</v>
      </c>
      <c r="T50" s="29">
        <v>0.42906058249385798</v>
      </c>
      <c r="U50" s="28">
        <v>726.31899999999996</v>
      </c>
      <c r="V50" s="29">
        <v>0.557387201687082</v>
      </c>
      <c r="W50" s="28">
        <v>826.30499999999995</v>
      </c>
      <c r="X50" s="29">
        <v>0.54063187399159696</v>
      </c>
      <c r="Y50" s="28">
        <v>913.52700000000004</v>
      </c>
      <c r="Z50" s="29">
        <v>0.53879568126886601</v>
      </c>
      <c r="AA50" s="28">
        <v>984.28200000000004</v>
      </c>
      <c r="AB50" s="29">
        <v>0.50959804544374399</v>
      </c>
      <c r="AC50" s="28">
        <v>1083.7829999999999</v>
      </c>
      <c r="AD50" s="29">
        <v>0.52283772479528501</v>
      </c>
      <c r="AE50" s="28">
        <v>1181.201</v>
      </c>
      <c r="AF50" s="29">
        <v>0.52036455444593699</v>
      </c>
    </row>
    <row r="51" spans="1:32" x14ac:dyDescent="0.45">
      <c r="A51" s="10" t="s">
        <v>566</v>
      </c>
      <c r="B51" s="10"/>
      <c r="C51" s="28" t="s">
        <v>100</v>
      </c>
      <c r="D51" s="29"/>
      <c r="E51" s="28">
        <v>211.465</v>
      </c>
      <c r="F51" s="29">
        <v>0.36444653554760498</v>
      </c>
      <c r="G51" s="28">
        <v>246.74799999999999</v>
      </c>
      <c r="H51" s="29">
        <v>0.35195914815924201</v>
      </c>
      <c r="I51" s="28">
        <v>278.15300000000002</v>
      </c>
      <c r="J51" s="29">
        <v>0.344396238983525</v>
      </c>
      <c r="K51" s="28">
        <v>310.38799999999998</v>
      </c>
      <c r="L51" s="29">
        <v>0.35846040845740601</v>
      </c>
      <c r="M51" s="28">
        <v>348.58199999999999</v>
      </c>
      <c r="N51" s="29">
        <v>0.37026391429318001</v>
      </c>
      <c r="O51" s="28">
        <v>365.14699999999999</v>
      </c>
      <c r="P51" s="29">
        <v>0.38661249917944102</v>
      </c>
      <c r="Q51" s="28">
        <v>394.82100000000003</v>
      </c>
      <c r="R51" s="29">
        <v>0.39938678978077402</v>
      </c>
      <c r="S51" s="28">
        <v>441.29599999999999</v>
      </c>
      <c r="T51" s="29">
        <v>0.40187012911321901</v>
      </c>
      <c r="U51" s="28">
        <v>686.28300000000002</v>
      </c>
      <c r="V51" s="29">
        <v>0.52666302400930698</v>
      </c>
      <c r="W51" s="28">
        <v>770.60599999999999</v>
      </c>
      <c r="X51" s="29">
        <v>0.50418933189218096</v>
      </c>
      <c r="Y51" s="28">
        <v>853.66600000000005</v>
      </c>
      <c r="Z51" s="29">
        <v>0.50348983012660598</v>
      </c>
      <c r="AA51" s="28">
        <v>919.39099999999996</v>
      </c>
      <c r="AB51" s="29">
        <v>0.476001650541785</v>
      </c>
      <c r="AC51" s="28">
        <v>1011.452</v>
      </c>
      <c r="AD51" s="29">
        <v>0.48794386184286098</v>
      </c>
      <c r="AE51" s="28">
        <v>1103.5229999999999</v>
      </c>
      <c r="AF51" s="29">
        <v>0.48614440236322498</v>
      </c>
    </row>
    <row r="52" spans="1:32" x14ac:dyDescent="0.45">
      <c r="A52" s="10" t="s">
        <v>567</v>
      </c>
      <c r="B52" s="10"/>
      <c r="C52" s="28" t="s">
        <v>100</v>
      </c>
      <c r="D52" s="29"/>
      <c r="E52" s="28">
        <v>17.738</v>
      </c>
      <c r="F52" s="29">
        <v>3.0570319663033699E-2</v>
      </c>
      <c r="G52" s="28">
        <v>19.021999999999998</v>
      </c>
      <c r="H52" s="29">
        <v>2.7132811274195201E-2</v>
      </c>
      <c r="I52" s="28">
        <v>20.65</v>
      </c>
      <c r="J52" s="29">
        <v>2.5567879314657E-2</v>
      </c>
      <c r="K52" s="28">
        <v>23.231000000000002</v>
      </c>
      <c r="L52" s="29">
        <v>2.68289809814619E-2</v>
      </c>
      <c r="M52" s="28">
        <v>24.966999999999999</v>
      </c>
      <c r="N52" s="29">
        <v>2.6519955557538302E-2</v>
      </c>
      <c r="O52" s="28">
        <v>23.088000000000001</v>
      </c>
      <c r="P52" s="29">
        <v>2.4445249121737098E-2</v>
      </c>
      <c r="Q52" s="28">
        <v>25.545999999999999</v>
      </c>
      <c r="R52" s="29">
        <v>2.5841419103187602E-2</v>
      </c>
      <c r="S52" s="28">
        <v>29.858000000000001</v>
      </c>
      <c r="T52" s="29">
        <v>2.7190453380638999E-2</v>
      </c>
      <c r="U52" s="28">
        <v>40.036000000000001</v>
      </c>
      <c r="V52" s="29">
        <v>3.0724177677775199E-2</v>
      </c>
      <c r="W52" s="28">
        <v>55.698999999999998</v>
      </c>
      <c r="X52" s="29">
        <v>3.6442542099415998E-2</v>
      </c>
      <c r="Y52" s="28">
        <v>59.860999999999997</v>
      </c>
      <c r="Z52" s="29">
        <v>3.53058511422603E-2</v>
      </c>
      <c r="AA52" s="28">
        <v>64.891000000000005</v>
      </c>
      <c r="AB52" s="29">
        <v>3.3596394901959002E-2</v>
      </c>
      <c r="AC52" s="28">
        <v>72.331000000000003</v>
      </c>
      <c r="AD52" s="29">
        <v>3.4893862952424803E-2</v>
      </c>
      <c r="AE52" s="28">
        <v>77.677999999999997</v>
      </c>
      <c r="AF52" s="29">
        <v>3.4220152082712001E-2</v>
      </c>
    </row>
    <row r="53" spans="1:32" x14ac:dyDescent="0.45">
      <c r="A53" s="10" t="s">
        <v>568</v>
      </c>
      <c r="B53" s="10"/>
      <c r="C53" s="28" t="s">
        <v>100</v>
      </c>
      <c r="D53" s="29"/>
      <c r="E53" s="28">
        <v>351.03300000000002</v>
      </c>
      <c r="F53" s="29">
        <v>0.60498314478936199</v>
      </c>
      <c r="G53" s="28">
        <v>435.3</v>
      </c>
      <c r="H53" s="29">
        <v>0.62090804056656301</v>
      </c>
      <c r="I53" s="28">
        <v>508.851</v>
      </c>
      <c r="J53" s="29">
        <v>0.63003588170181801</v>
      </c>
      <c r="K53" s="28">
        <v>532.27300000000002</v>
      </c>
      <c r="L53" s="29">
        <v>0.61471061056113196</v>
      </c>
      <c r="M53" s="28">
        <v>567.89300000000003</v>
      </c>
      <c r="N53" s="29">
        <v>0.60321613014928199</v>
      </c>
      <c r="O53" s="28">
        <v>556.24300000000005</v>
      </c>
      <c r="P53" s="29">
        <v>0.58894225169882197</v>
      </c>
      <c r="Q53" s="28">
        <v>568.20100000000002</v>
      </c>
      <c r="R53" s="29">
        <v>0.57477179111603904</v>
      </c>
      <c r="S53" s="28">
        <v>626.952</v>
      </c>
      <c r="T53" s="29">
        <v>0.57093941750614197</v>
      </c>
      <c r="U53" s="28">
        <v>576.75900000000001</v>
      </c>
      <c r="V53" s="29">
        <v>0.442612798312918</v>
      </c>
      <c r="W53" s="28">
        <v>702.101</v>
      </c>
      <c r="X53" s="29">
        <v>0.45936812600840399</v>
      </c>
      <c r="Y53" s="28">
        <v>781.971</v>
      </c>
      <c r="Z53" s="29">
        <v>0.46120431873113399</v>
      </c>
      <c r="AA53" s="28">
        <v>947.20500000000004</v>
      </c>
      <c r="AB53" s="29">
        <v>0.49040195455625601</v>
      </c>
      <c r="AC53" s="28">
        <v>989.10299999999995</v>
      </c>
      <c r="AD53" s="29">
        <v>0.47716227520471499</v>
      </c>
      <c r="AE53" s="28">
        <v>1088.748</v>
      </c>
      <c r="AF53" s="29">
        <v>0.47963544555406301</v>
      </c>
    </row>
    <row r="54" spans="1:32" x14ac:dyDescent="0.45">
      <c r="A54" s="10" t="s">
        <v>569</v>
      </c>
      <c r="B54" s="10"/>
      <c r="C54" s="28" t="s">
        <v>100</v>
      </c>
      <c r="D54" s="29"/>
      <c r="E54" s="28">
        <v>184.53899999999999</v>
      </c>
      <c r="F54" s="29">
        <v>0.31804127975513402</v>
      </c>
      <c r="G54" s="28">
        <v>227.392</v>
      </c>
      <c r="H54" s="29">
        <v>0.32434992226168602</v>
      </c>
      <c r="I54" s="28">
        <v>282.81</v>
      </c>
      <c r="J54" s="29">
        <v>0.35016232198441399</v>
      </c>
      <c r="K54" s="28">
        <v>298.23</v>
      </c>
      <c r="L54" s="29">
        <v>0.344419396414333</v>
      </c>
      <c r="M54" s="28">
        <v>320.10000000000002</v>
      </c>
      <c r="N54" s="29">
        <v>0.340010324587176</v>
      </c>
      <c r="O54" s="28">
        <v>317.03800000000001</v>
      </c>
      <c r="P54" s="29">
        <v>0.33567536776928603</v>
      </c>
      <c r="Q54" s="28">
        <v>340.358</v>
      </c>
      <c r="R54" s="29">
        <v>0.34429396864960199</v>
      </c>
      <c r="S54" s="28">
        <v>378.87400000000002</v>
      </c>
      <c r="T54" s="29">
        <v>0.34502497937357601</v>
      </c>
      <c r="U54" s="28">
        <v>275.661</v>
      </c>
      <c r="V54" s="29">
        <v>0.21154604712841399</v>
      </c>
      <c r="W54" s="28">
        <v>406.62099999999998</v>
      </c>
      <c r="X54" s="29">
        <v>0.266042530584151</v>
      </c>
      <c r="Y54" s="28">
        <v>501.18</v>
      </c>
      <c r="Z54" s="29">
        <v>0.29559456867539802</v>
      </c>
      <c r="AA54" s="28">
        <v>618.95799999999997</v>
      </c>
      <c r="AB54" s="29">
        <v>0.32045672582833801</v>
      </c>
      <c r="AC54" s="28">
        <v>687.79</v>
      </c>
      <c r="AD54" s="29">
        <v>0.33180309963982602</v>
      </c>
      <c r="AE54" s="28">
        <v>786.05</v>
      </c>
      <c r="AF54" s="29">
        <v>0.34628531301804599</v>
      </c>
    </row>
    <row r="55" spans="1:32" x14ac:dyDescent="0.45">
      <c r="A55" s="10" t="s">
        <v>570</v>
      </c>
      <c r="B55" s="10"/>
      <c r="C55" s="28" t="s">
        <v>100</v>
      </c>
      <c r="D55" s="29"/>
      <c r="E55" s="28">
        <v>166.494</v>
      </c>
      <c r="F55" s="29">
        <v>0.28694186503422697</v>
      </c>
      <c r="G55" s="28">
        <v>207.90799999999999</v>
      </c>
      <c r="H55" s="29">
        <v>0.29655811830487699</v>
      </c>
      <c r="I55" s="28">
        <v>226.041</v>
      </c>
      <c r="J55" s="29">
        <v>0.27987355971740402</v>
      </c>
      <c r="K55" s="28">
        <v>234.04300000000001</v>
      </c>
      <c r="L55" s="29">
        <v>0.27029121414679902</v>
      </c>
      <c r="M55" s="28">
        <v>247.79300000000001</v>
      </c>
      <c r="N55" s="29">
        <v>0.26320580556210599</v>
      </c>
      <c r="O55" s="28">
        <v>239.20500000000001</v>
      </c>
      <c r="P55" s="29">
        <v>0.253266883929536</v>
      </c>
      <c r="Q55" s="28">
        <v>227.84299999999999</v>
      </c>
      <c r="R55" s="29">
        <v>0.230477822466436</v>
      </c>
      <c r="S55" s="28">
        <v>248.078</v>
      </c>
      <c r="T55" s="29">
        <v>0.22591443813256601</v>
      </c>
      <c r="U55" s="28">
        <v>301.09800000000001</v>
      </c>
      <c r="V55" s="29">
        <v>0.23106675118450301</v>
      </c>
      <c r="W55" s="28">
        <v>295.48</v>
      </c>
      <c r="X55" s="29">
        <v>0.19332559542425201</v>
      </c>
      <c r="Y55" s="28">
        <v>280.791</v>
      </c>
      <c r="Z55" s="29">
        <v>0.165609750055736</v>
      </c>
      <c r="AA55" s="28">
        <v>328.24700000000001</v>
      </c>
      <c r="AB55" s="29">
        <v>0.16994522872791801</v>
      </c>
      <c r="AC55" s="28">
        <v>301.31299999999999</v>
      </c>
      <c r="AD55" s="29">
        <v>0.145359175564889</v>
      </c>
      <c r="AE55" s="28">
        <v>302.69799999999998</v>
      </c>
      <c r="AF55" s="29">
        <v>0.13335013253601699</v>
      </c>
    </row>
    <row r="56" spans="1:32" x14ac:dyDescent="0.45">
      <c r="A56" s="6" t="s">
        <v>587</v>
      </c>
      <c r="B56" s="6"/>
      <c r="C56" s="34" t="s">
        <v>100</v>
      </c>
      <c r="D56" s="35"/>
      <c r="E56" s="34" t="s">
        <v>100</v>
      </c>
      <c r="F56" s="35"/>
      <c r="G56" s="34" t="s">
        <v>100</v>
      </c>
      <c r="H56" s="35"/>
      <c r="I56" s="34" t="s">
        <v>100</v>
      </c>
      <c r="J56" s="35"/>
      <c r="K56" s="34" t="s">
        <v>100</v>
      </c>
      <c r="L56" s="35"/>
      <c r="M56" s="34" t="s">
        <v>100</v>
      </c>
      <c r="N56" s="35"/>
      <c r="O56" s="34" t="s">
        <v>100</v>
      </c>
      <c r="P56" s="35"/>
      <c r="Q56" s="34" t="s">
        <v>100</v>
      </c>
      <c r="R56" s="35"/>
      <c r="S56" s="34" t="s">
        <v>100</v>
      </c>
      <c r="T56" s="35"/>
      <c r="U56" s="34" t="s">
        <v>100</v>
      </c>
      <c r="V56" s="35"/>
      <c r="W56" s="34" t="s">
        <v>100</v>
      </c>
      <c r="X56" s="35"/>
      <c r="Y56" s="34" t="s">
        <v>100</v>
      </c>
      <c r="Z56" s="35"/>
      <c r="AA56" s="34" t="s">
        <v>100</v>
      </c>
      <c r="AB56" s="35"/>
      <c r="AC56" s="34" t="s">
        <v>100</v>
      </c>
      <c r="AD56" s="35"/>
      <c r="AE56" s="34" t="s">
        <v>100</v>
      </c>
      <c r="AF56" s="35"/>
    </row>
    <row r="57" spans="1:32" x14ac:dyDescent="0.45">
      <c r="A57" s="10" t="s">
        <v>588</v>
      </c>
      <c r="B57" s="10"/>
      <c r="C57" s="30" t="s">
        <v>100</v>
      </c>
      <c r="D57" s="31"/>
      <c r="E57" s="30" t="s">
        <v>100</v>
      </c>
      <c r="F57" s="31"/>
      <c r="G57" s="30" t="s">
        <v>100</v>
      </c>
      <c r="H57" s="31"/>
      <c r="I57" s="30" t="s">
        <v>100</v>
      </c>
      <c r="J57" s="31"/>
      <c r="K57" s="30" t="s">
        <v>100</v>
      </c>
      <c r="L57" s="31"/>
      <c r="M57" s="30" t="s">
        <v>100</v>
      </c>
      <c r="N57" s="31"/>
      <c r="O57" s="30" t="s">
        <v>100</v>
      </c>
      <c r="P57" s="31"/>
      <c r="Q57" s="30" t="s">
        <v>100</v>
      </c>
      <c r="R57" s="31"/>
      <c r="S57" s="30" t="s">
        <v>100</v>
      </c>
      <c r="T57" s="31"/>
      <c r="U57" s="30">
        <v>2</v>
      </c>
      <c r="V57" s="31"/>
      <c r="W57" s="30">
        <v>2</v>
      </c>
      <c r="X57" s="31"/>
      <c r="Y57" s="30">
        <v>2</v>
      </c>
      <c r="Z57" s="31"/>
      <c r="AA57" s="30">
        <v>2</v>
      </c>
      <c r="AB57" s="31"/>
      <c r="AC57" s="30">
        <v>2</v>
      </c>
      <c r="AD57" s="31"/>
      <c r="AE57" s="30">
        <v>31</v>
      </c>
      <c r="AF57" s="31"/>
    </row>
    <row r="58" spans="1:32" x14ac:dyDescent="0.45">
      <c r="A58" s="10" t="s">
        <v>589</v>
      </c>
      <c r="B58" s="10"/>
      <c r="C58" s="30" t="s">
        <v>100</v>
      </c>
      <c r="D58" s="31"/>
      <c r="E58" s="30" t="s">
        <v>100</v>
      </c>
      <c r="F58" s="31"/>
      <c r="G58" s="30" t="s">
        <v>100</v>
      </c>
      <c r="H58" s="31"/>
      <c r="I58" s="30" t="s">
        <v>100</v>
      </c>
      <c r="J58" s="31"/>
      <c r="K58" s="30" t="s">
        <v>100</v>
      </c>
      <c r="L58" s="31"/>
      <c r="M58" s="30" t="s">
        <v>100</v>
      </c>
      <c r="N58" s="31"/>
      <c r="O58" s="30" t="s">
        <v>100</v>
      </c>
      <c r="P58" s="31"/>
      <c r="Q58" s="30" t="s">
        <v>100</v>
      </c>
      <c r="R58" s="31"/>
      <c r="S58" s="30" t="s">
        <v>100</v>
      </c>
      <c r="T58" s="31"/>
      <c r="U58" s="30">
        <v>33</v>
      </c>
      <c r="V58" s="31"/>
      <c r="W58" s="30">
        <v>32</v>
      </c>
      <c r="X58" s="31"/>
      <c r="Y58" s="30">
        <v>31</v>
      </c>
      <c r="Z58" s="31"/>
      <c r="AA58" s="30">
        <v>32</v>
      </c>
      <c r="AB58" s="31"/>
      <c r="AC58" s="30">
        <v>32</v>
      </c>
      <c r="AD58" s="31"/>
      <c r="AE58" s="30">
        <v>31</v>
      </c>
      <c r="AF58" s="31"/>
    </row>
    <row r="59" spans="1:32" x14ac:dyDescent="0.45">
      <c r="A59" s="10" t="s">
        <v>590</v>
      </c>
      <c r="B59" s="10"/>
      <c r="C59" s="30" t="s">
        <v>100</v>
      </c>
      <c r="D59" s="31"/>
      <c r="E59" s="30" t="s">
        <v>100</v>
      </c>
      <c r="F59" s="31"/>
      <c r="G59" s="30" t="s">
        <v>100</v>
      </c>
      <c r="H59" s="31"/>
      <c r="I59" s="30" t="s">
        <v>100</v>
      </c>
      <c r="J59" s="31"/>
      <c r="K59" s="30" t="s">
        <v>100</v>
      </c>
      <c r="L59" s="31"/>
      <c r="M59" s="30">
        <v>12</v>
      </c>
      <c r="N59" s="31"/>
      <c r="O59" s="30">
        <v>12</v>
      </c>
      <c r="P59" s="31"/>
      <c r="Q59" s="30">
        <v>17</v>
      </c>
      <c r="R59" s="31"/>
      <c r="S59" s="30" t="s">
        <v>100</v>
      </c>
      <c r="T59" s="31"/>
      <c r="U59" s="30">
        <v>17</v>
      </c>
      <c r="V59" s="31"/>
      <c r="W59" s="30">
        <v>17</v>
      </c>
      <c r="X59" s="31"/>
      <c r="Y59" s="30">
        <v>19</v>
      </c>
      <c r="Z59" s="31"/>
      <c r="AA59" s="30">
        <v>20</v>
      </c>
      <c r="AB59" s="31"/>
      <c r="AC59" s="30">
        <v>22</v>
      </c>
      <c r="AD59" s="31"/>
      <c r="AE59" s="30">
        <v>22</v>
      </c>
      <c r="AF59" s="31"/>
    </row>
    <row r="60" spans="1:32" x14ac:dyDescent="0.45">
      <c r="A60" s="10" t="s">
        <v>591</v>
      </c>
      <c r="B60" s="10"/>
      <c r="C60" s="30" t="s">
        <v>100</v>
      </c>
      <c r="D60" s="31"/>
      <c r="E60" s="30" t="s">
        <v>100</v>
      </c>
      <c r="F60" s="31"/>
      <c r="G60" s="30" t="s">
        <v>100</v>
      </c>
      <c r="H60" s="31"/>
      <c r="I60" s="30" t="s">
        <v>100</v>
      </c>
      <c r="J60" s="31"/>
      <c r="K60" s="30" t="s">
        <v>100</v>
      </c>
      <c r="L60" s="31"/>
      <c r="M60" s="30">
        <v>14</v>
      </c>
      <c r="N60" s="31"/>
      <c r="O60" s="30">
        <v>12</v>
      </c>
      <c r="P60" s="31"/>
      <c r="Q60" s="30">
        <v>14</v>
      </c>
      <c r="R60" s="31"/>
      <c r="S60" s="30" t="s">
        <v>100</v>
      </c>
      <c r="T60" s="31"/>
      <c r="U60" s="30">
        <v>17</v>
      </c>
      <c r="V60" s="31"/>
      <c r="W60" s="30">
        <v>18</v>
      </c>
      <c r="X60" s="31"/>
      <c r="Y60" s="30">
        <v>19</v>
      </c>
      <c r="Z60" s="31"/>
      <c r="AA60" s="30">
        <v>17</v>
      </c>
      <c r="AB60" s="31"/>
      <c r="AC60" s="30">
        <v>16</v>
      </c>
      <c r="AD60" s="31"/>
      <c r="AE60" s="30">
        <v>18</v>
      </c>
      <c r="AF60" s="31"/>
    </row>
    <row r="61" spans="1:32" x14ac:dyDescent="0.45">
      <c r="A61" s="10" t="s">
        <v>592</v>
      </c>
      <c r="B61" s="10"/>
      <c r="C61" s="30" t="s">
        <v>100</v>
      </c>
      <c r="D61" s="31"/>
      <c r="E61" s="30" t="s">
        <v>100</v>
      </c>
      <c r="F61" s="31"/>
      <c r="G61" s="30" t="s">
        <v>100</v>
      </c>
      <c r="H61" s="31"/>
      <c r="I61" s="30" t="s">
        <v>100</v>
      </c>
      <c r="J61" s="31"/>
      <c r="K61" s="30" t="s">
        <v>100</v>
      </c>
      <c r="L61" s="31"/>
      <c r="M61" s="30">
        <v>11</v>
      </c>
      <c r="N61" s="31"/>
      <c r="O61" s="30">
        <v>15</v>
      </c>
      <c r="P61" s="31"/>
      <c r="Q61" s="30">
        <v>14</v>
      </c>
      <c r="R61" s="31"/>
      <c r="S61" s="30" t="s">
        <v>100</v>
      </c>
      <c r="T61" s="31"/>
      <c r="U61" s="30">
        <v>11</v>
      </c>
      <c r="V61" s="31"/>
      <c r="W61" s="30">
        <v>10</v>
      </c>
      <c r="X61" s="31"/>
      <c r="Y61" s="30">
        <v>8</v>
      </c>
      <c r="Z61" s="31"/>
      <c r="AA61" s="30">
        <v>8</v>
      </c>
      <c r="AB61" s="31"/>
      <c r="AC61" s="30">
        <v>8</v>
      </c>
      <c r="AD61" s="31"/>
      <c r="AE61" s="30">
        <v>9</v>
      </c>
      <c r="AF61" s="31"/>
    </row>
    <row r="62" spans="1:32" x14ac:dyDescent="0.45">
      <c r="A62" s="10" t="s">
        <v>593</v>
      </c>
      <c r="B62" s="10"/>
      <c r="C62" s="30" t="s">
        <v>100</v>
      </c>
      <c r="D62" s="31"/>
      <c r="E62" s="30" t="s">
        <v>100</v>
      </c>
      <c r="F62" s="31"/>
      <c r="G62" s="30" t="s">
        <v>100</v>
      </c>
      <c r="H62" s="31"/>
      <c r="I62" s="30" t="s">
        <v>100</v>
      </c>
      <c r="J62" s="31"/>
      <c r="K62" s="30" t="s">
        <v>100</v>
      </c>
      <c r="L62" s="31"/>
      <c r="M62" s="30">
        <v>7</v>
      </c>
      <c r="N62" s="31"/>
      <c r="O62" s="30">
        <v>6</v>
      </c>
      <c r="P62" s="31"/>
      <c r="Q62" s="30">
        <v>5</v>
      </c>
      <c r="R62" s="31"/>
      <c r="S62" s="30" t="s">
        <v>100</v>
      </c>
      <c r="T62" s="31"/>
      <c r="U62" s="30">
        <v>8</v>
      </c>
      <c r="V62" s="31"/>
      <c r="W62" s="30">
        <v>8</v>
      </c>
      <c r="X62" s="31"/>
      <c r="Y62" s="30">
        <v>9</v>
      </c>
      <c r="Z62" s="31"/>
      <c r="AA62" s="30">
        <v>9</v>
      </c>
      <c r="AB62" s="31"/>
      <c r="AC62" s="30">
        <v>9</v>
      </c>
      <c r="AD62" s="31"/>
      <c r="AE62" s="30">
        <v>7</v>
      </c>
      <c r="AF62" s="31"/>
    </row>
    <row r="63" spans="1:32" x14ac:dyDescent="0.45">
      <c r="A63" s="10" t="s">
        <v>594</v>
      </c>
      <c r="B63" s="10"/>
      <c r="C63" s="30" t="s">
        <v>100</v>
      </c>
      <c r="D63" s="31"/>
      <c r="E63" s="30" t="s">
        <v>100</v>
      </c>
      <c r="F63" s="31"/>
      <c r="G63" s="30" t="s">
        <v>100</v>
      </c>
      <c r="H63" s="31"/>
      <c r="I63" s="30" t="s">
        <v>100</v>
      </c>
      <c r="J63" s="31"/>
      <c r="K63" s="30" t="s">
        <v>100</v>
      </c>
      <c r="L63" s="31"/>
      <c r="M63" s="30">
        <v>9</v>
      </c>
      <c r="N63" s="31"/>
      <c r="O63" s="30">
        <v>9</v>
      </c>
      <c r="P63" s="31"/>
      <c r="Q63" s="30">
        <v>8</v>
      </c>
      <c r="R63" s="31"/>
      <c r="S63" s="30" t="s">
        <v>100</v>
      </c>
      <c r="T63" s="31"/>
      <c r="U63" s="30">
        <v>6</v>
      </c>
      <c r="V63" s="31"/>
      <c r="W63" s="30">
        <v>5</v>
      </c>
      <c r="X63" s="31"/>
      <c r="Y63" s="30">
        <v>5</v>
      </c>
      <c r="Z63" s="31"/>
      <c r="AA63" s="30">
        <v>5</v>
      </c>
      <c r="AB63" s="31"/>
      <c r="AC63" s="30">
        <v>5</v>
      </c>
      <c r="AD63" s="31"/>
      <c r="AE63" s="30">
        <v>5</v>
      </c>
      <c r="AF63" s="31"/>
    </row>
    <row r="64" spans="1:32" x14ac:dyDescent="0.45">
      <c r="A64" s="10" t="s">
        <v>595</v>
      </c>
      <c r="B64" s="10"/>
      <c r="C64" s="30" t="s">
        <v>100</v>
      </c>
      <c r="D64" s="31"/>
      <c r="E64" s="30" t="s">
        <v>100</v>
      </c>
      <c r="F64" s="31"/>
      <c r="G64" s="30" t="s">
        <v>100</v>
      </c>
      <c r="H64" s="31"/>
      <c r="I64" s="30" t="s">
        <v>100</v>
      </c>
      <c r="J64" s="31"/>
      <c r="K64" s="30" t="s">
        <v>100</v>
      </c>
      <c r="L64" s="31"/>
      <c r="M64" s="30">
        <v>7</v>
      </c>
      <c r="N64" s="31"/>
      <c r="O64" s="30">
        <v>6</v>
      </c>
      <c r="P64" s="31"/>
      <c r="Q64" s="30">
        <v>4</v>
      </c>
      <c r="R64" s="31"/>
      <c r="S64" s="30" t="s">
        <v>100</v>
      </c>
      <c r="T64" s="31"/>
      <c r="U64" s="30">
        <v>3</v>
      </c>
      <c r="V64" s="31"/>
      <c r="W64" s="30">
        <v>3</v>
      </c>
      <c r="X64" s="31"/>
      <c r="Y64" s="30">
        <v>3</v>
      </c>
      <c r="Z64" s="31"/>
      <c r="AA64" s="30">
        <v>3</v>
      </c>
      <c r="AB64" s="31"/>
      <c r="AC64" s="30">
        <v>3</v>
      </c>
      <c r="AD64" s="31"/>
      <c r="AE64" s="30">
        <v>3</v>
      </c>
      <c r="AF64" s="31"/>
    </row>
    <row r="65" spans="1:32" x14ac:dyDescent="0.45">
      <c r="A65" s="10" t="s">
        <v>596</v>
      </c>
      <c r="B65" s="10"/>
      <c r="C65" s="30" t="s">
        <v>100</v>
      </c>
      <c r="D65" s="31"/>
      <c r="E65" s="30" t="s">
        <v>100</v>
      </c>
      <c r="F65" s="31"/>
      <c r="G65" s="30" t="s">
        <v>100</v>
      </c>
      <c r="H65" s="31"/>
      <c r="I65" s="30" t="s">
        <v>100</v>
      </c>
      <c r="J65" s="31"/>
      <c r="K65" s="30" t="s">
        <v>100</v>
      </c>
      <c r="L65" s="31"/>
      <c r="M65" s="30">
        <v>2</v>
      </c>
      <c r="N65" s="31"/>
      <c r="O65" s="30">
        <v>2</v>
      </c>
      <c r="P65" s="31"/>
      <c r="Q65" s="30">
        <v>1</v>
      </c>
      <c r="R65" s="31"/>
      <c r="S65" s="30" t="s">
        <v>100</v>
      </c>
      <c r="T65" s="31"/>
      <c r="U65" s="30">
        <v>2</v>
      </c>
      <c r="V65" s="31"/>
      <c r="W65" s="30">
        <v>1</v>
      </c>
      <c r="X65" s="31"/>
      <c r="Y65" s="30">
        <v>1</v>
      </c>
      <c r="Z65" s="31"/>
      <c r="AA65" s="30">
        <v>2</v>
      </c>
      <c r="AB65" s="31"/>
      <c r="AC65" s="30">
        <v>2</v>
      </c>
      <c r="AD65" s="31"/>
      <c r="AE65" s="30">
        <v>2</v>
      </c>
      <c r="AF65" s="31"/>
    </row>
    <row r="66" spans="1:32" x14ac:dyDescent="0.45">
      <c r="A66" s="10" t="s">
        <v>597</v>
      </c>
      <c r="B66" s="10"/>
      <c r="C66" s="30" t="s">
        <v>100</v>
      </c>
      <c r="D66" s="31"/>
      <c r="E66" s="30" t="s">
        <v>100</v>
      </c>
      <c r="F66" s="31"/>
      <c r="G66" s="30" t="s">
        <v>100</v>
      </c>
      <c r="H66" s="31"/>
      <c r="I66" s="30" t="s">
        <v>100</v>
      </c>
      <c r="J66" s="31"/>
      <c r="K66" s="30" t="s">
        <v>100</v>
      </c>
      <c r="L66" s="31"/>
      <c r="M66" s="30">
        <v>1</v>
      </c>
      <c r="N66" s="31"/>
      <c r="O66" s="30">
        <v>1</v>
      </c>
      <c r="P66" s="31"/>
      <c r="Q66" s="30">
        <v>1</v>
      </c>
      <c r="R66" s="31"/>
      <c r="S66" s="30" t="s">
        <v>100</v>
      </c>
      <c r="T66" s="31"/>
      <c r="U66" s="30">
        <v>1</v>
      </c>
      <c r="V66" s="31"/>
      <c r="W66" s="30">
        <v>2</v>
      </c>
      <c r="X66" s="31"/>
      <c r="Y66" s="30">
        <v>2</v>
      </c>
      <c r="Z66" s="31"/>
      <c r="AA66" s="30">
        <v>1</v>
      </c>
      <c r="AB66" s="31"/>
      <c r="AC66" s="30">
        <v>1</v>
      </c>
      <c r="AD66" s="31"/>
      <c r="AE66" s="30">
        <v>1</v>
      </c>
      <c r="AF66" s="31"/>
    </row>
    <row r="67" spans="1:32" x14ac:dyDescent="0.45">
      <c r="A67" s="10" t="s">
        <v>598</v>
      </c>
      <c r="B67" s="10"/>
      <c r="C67" s="30" t="s">
        <v>100</v>
      </c>
      <c r="D67" s="31"/>
      <c r="E67" s="30" t="s">
        <v>100</v>
      </c>
      <c r="F67" s="31"/>
      <c r="G67" s="30" t="s">
        <v>100</v>
      </c>
      <c r="H67" s="31"/>
      <c r="I67" s="30" t="s">
        <v>100</v>
      </c>
      <c r="J67" s="31"/>
      <c r="K67" s="30" t="s">
        <v>100</v>
      </c>
      <c r="L67" s="31"/>
      <c r="M67" s="30" t="s">
        <v>100</v>
      </c>
      <c r="N67" s="31"/>
      <c r="O67" s="30" t="s">
        <v>100</v>
      </c>
      <c r="P67" s="31"/>
      <c r="Q67" s="30" t="s">
        <v>100</v>
      </c>
      <c r="R67" s="31"/>
      <c r="S67" s="30" t="s">
        <v>100</v>
      </c>
      <c r="T67" s="31"/>
      <c r="U67" s="30" t="s">
        <v>100</v>
      </c>
      <c r="V67" s="31"/>
      <c r="W67" s="30">
        <v>2</v>
      </c>
      <c r="X67" s="31"/>
      <c r="Y67" s="30">
        <v>1</v>
      </c>
      <c r="Z67" s="31"/>
      <c r="AA67" s="30">
        <v>1</v>
      </c>
      <c r="AB67" s="31"/>
      <c r="AC67" s="30" t="s">
        <v>100</v>
      </c>
      <c r="AD67" s="31"/>
      <c r="AE67" s="30" t="s">
        <v>100</v>
      </c>
      <c r="AF67" s="31"/>
    </row>
    <row r="68" spans="1:32" x14ac:dyDescent="0.45">
      <c r="A68" s="10" t="s">
        <v>599</v>
      </c>
      <c r="B68" s="10"/>
      <c r="C68" s="30" t="s">
        <v>100</v>
      </c>
      <c r="D68" s="31"/>
      <c r="E68" s="30" t="s">
        <v>100</v>
      </c>
      <c r="F68" s="31"/>
      <c r="G68" s="30" t="s">
        <v>100</v>
      </c>
      <c r="H68" s="31"/>
      <c r="I68" s="30" t="s">
        <v>100</v>
      </c>
      <c r="J68" s="31"/>
      <c r="K68" s="30" t="s">
        <v>100</v>
      </c>
      <c r="L68" s="31"/>
      <c r="M68" s="30">
        <v>16</v>
      </c>
      <c r="N68" s="31"/>
      <c r="O68" s="30">
        <v>14</v>
      </c>
      <c r="P68" s="31"/>
      <c r="Q68" s="30">
        <v>14</v>
      </c>
      <c r="R68" s="31"/>
      <c r="S68" s="30" t="s">
        <v>100</v>
      </c>
      <c r="T68" s="31"/>
      <c r="U68" s="30" t="s">
        <v>100</v>
      </c>
      <c r="V68" s="31"/>
      <c r="W68" s="30" t="s">
        <v>100</v>
      </c>
      <c r="X68" s="31"/>
      <c r="Y68" s="30" t="s">
        <v>100</v>
      </c>
      <c r="Z68" s="31"/>
      <c r="AA68" s="30" t="s">
        <v>100</v>
      </c>
      <c r="AB68" s="31"/>
      <c r="AC68" s="30" t="s">
        <v>100</v>
      </c>
      <c r="AD68" s="31"/>
      <c r="AE68" s="30" t="s">
        <v>100</v>
      </c>
      <c r="AF68" s="31"/>
    </row>
    <row r="69" spans="1:32" x14ac:dyDescent="0.45">
      <c r="A69" s="10" t="s">
        <v>600</v>
      </c>
      <c r="B69" s="10"/>
      <c r="C69" s="30" t="s">
        <v>100</v>
      </c>
      <c r="D69" s="31"/>
      <c r="E69" s="30" t="s">
        <v>100</v>
      </c>
      <c r="F69" s="31"/>
      <c r="G69" s="30" t="s">
        <v>100</v>
      </c>
      <c r="H69" s="31"/>
      <c r="I69" s="30" t="s">
        <v>100</v>
      </c>
      <c r="J69" s="31"/>
      <c r="K69" s="30" t="s">
        <v>100</v>
      </c>
      <c r="L69" s="31"/>
      <c r="M69" s="30">
        <v>19</v>
      </c>
      <c r="N69" s="31"/>
      <c r="O69" s="30">
        <v>20</v>
      </c>
      <c r="P69" s="31"/>
      <c r="Q69" s="30">
        <v>20</v>
      </c>
      <c r="R69" s="31"/>
      <c r="S69" s="30" t="s">
        <v>100</v>
      </c>
      <c r="T69" s="31"/>
      <c r="U69" s="30" t="s">
        <v>100</v>
      </c>
      <c r="V69" s="31"/>
      <c r="W69" s="30" t="s">
        <v>100</v>
      </c>
      <c r="X69" s="31"/>
      <c r="Y69" s="30" t="s">
        <v>100</v>
      </c>
      <c r="Z69" s="31"/>
      <c r="AA69" s="30" t="s">
        <v>100</v>
      </c>
      <c r="AB69" s="31"/>
      <c r="AC69" s="30" t="s">
        <v>100</v>
      </c>
      <c r="AD69" s="31"/>
      <c r="AE69" s="30" t="s">
        <v>100</v>
      </c>
      <c r="AF69" s="31"/>
    </row>
    <row r="70" spans="1:32" x14ac:dyDescent="0.45">
      <c r="A70" s="10" t="s">
        <v>601</v>
      </c>
      <c r="B70" s="10"/>
      <c r="C70" s="30" t="s">
        <v>100</v>
      </c>
      <c r="D70" s="31"/>
      <c r="E70" s="30" t="s">
        <v>100</v>
      </c>
      <c r="F70" s="31"/>
      <c r="G70" s="30" t="s">
        <v>100</v>
      </c>
      <c r="H70" s="31"/>
      <c r="I70" s="30" t="s">
        <v>100</v>
      </c>
      <c r="J70" s="31"/>
      <c r="K70" s="30" t="s">
        <v>100</v>
      </c>
      <c r="L70" s="31"/>
      <c r="M70" s="30">
        <v>2</v>
      </c>
      <c r="N70" s="31"/>
      <c r="O70" s="30">
        <v>2</v>
      </c>
      <c r="P70" s="31"/>
      <c r="Q70" s="30">
        <v>2</v>
      </c>
      <c r="R70" s="31"/>
      <c r="S70" s="30" t="s">
        <v>100</v>
      </c>
      <c r="T70" s="31"/>
      <c r="U70" s="30" t="s">
        <v>100</v>
      </c>
      <c r="V70" s="31"/>
      <c r="W70" s="30" t="s">
        <v>100</v>
      </c>
      <c r="X70" s="31"/>
      <c r="Y70" s="30" t="s">
        <v>100</v>
      </c>
      <c r="Z70" s="31"/>
      <c r="AA70" s="30" t="s">
        <v>100</v>
      </c>
      <c r="AB70" s="31"/>
      <c r="AC70" s="30" t="s">
        <v>100</v>
      </c>
      <c r="AD70" s="31"/>
      <c r="AE70" s="30" t="s">
        <v>100</v>
      </c>
      <c r="AF70" s="31"/>
    </row>
    <row r="71" spans="1:32" x14ac:dyDescent="0.45">
      <c r="A71" s="6" t="s">
        <v>602</v>
      </c>
      <c r="B71" s="6"/>
      <c r="C71" s="34" t="s">
        <v>100</v>
      </c>
      <c r="D71" s="35"/>
      <c r="E71" s="34" t="s">
        <v>100</v>
      </c>
      <c r="F71" s="35"/>
      <c r="G71" s="34" t="s">
        <v>100</v>
      </c>
      <c r="H71" s="35"/>
      <c r="I71" s="34" t="s">
        <v>100</v>
      </c>
      <c r="J71" s="35"/>
      <c r="K71" s="34" t="s">
        <v>100</v>
      </c>
      <c r="L71" s="35"/>
      <c r="M71" s="34" t="s">
        <v>100</v>
      </c>
      <c r="N71" s="35"/>
      <c r="O71" s="34" t="s">
        <v>100</v>
      </c>
      <c r="P71" s="35"/>
      <c r="Q71" s="34" t="s">
        <v>100</v>
      </c>
      <c r="R71" s="35"/>
      <c r="S71" s="34" t="s">
        <v>100</v>
      </c>
      <c r="T71" s="35"/>
      <c r="U71" s="34" t="s">
        <v>100</v>
      </c>
      <c r="V71" s="35"/>
      <c r="W71" s="34" t="s">
        <v>100</v>
      </c>
      <c r="X71" s="35"/>
      <c r="Y71" s="34" t="s">
        <v>100</v>
      </c>
      <c r="Z71" s="35"/>
      <c r="AA71" s="34" t="s">
        <v>100</v>
      </c>
      <c r="AB71" s="35"/>
      <c r="AC71" s="34" t="s">
        <v>100</v>
      </c>
      <c r="AD71" s="35"/>
      <c r="AE71" s="34" t="s">
        <v>100</v>
      </c>
      <c r="AF71" s="35"/>
    </row>
    <row r="72" spans="1:32" x14ac:dyDescent="0.45">
      <c r="A72" s="10" t="s">
        <v>576</v>
      </c>
      <c r="B72" s="10"/>
      <c r="C72" s="30" t="s">
        <v>100</v>
      </c>
      <c r="D72" s="31"/>
      <c r="E72" s="30" t="s">
        <v>100</v>
      </c>
      <c r="F72" s="31"/>
      <c r="G72" s="30">
        <v>10.54</v>
      </c>
      <c r="H72" s="31"/>
      <c r="I72" s="30">
        <v>7.53</v>
      </c>
      <c r="J72" s="31"/>
      <c r="K72" s="30">
        <v>5.45</v>
      </c>
      <c r="L72" s="31"/>
      <c r="M72" s="30">
        <v>7.3</v>
      </c>
      <c r="N72" s="31"/>
      <c r="O72" s="30">
        <v>-1</v>
      </c>
      <c r="P72" s="31"/>
      <c r="Q72" s="30">
        <v>7.4</v>
      </c>
      <c r="R72" s="31"/>
      <c r="S72" s="30">
        <v>11.3</v>
      </c>
      <c r="T72" s="31"/>
      <c r="U72" s="30">
        <v>12.8</v>
      </c>
      <c r="V72" s="31"/>
      <c r="W72" s="30">
        <v>47.5</v>
      </c>
      <c r="X72" s="31"/>
      <c r="Y72" s="30">
        <v>23.3</v>
      </c>
      <c r="Z72" s="31"/>
      <c r="AA72" s="30">
        <v>23.5</v>
      </c>
      <c r="AB72" s="31"/>
      <c r="AC72" s="30">
        <v>11.1</v>
      </c>
      <c r="AD72" s="31"/>
      <c r="AE72" s="30">
        <v>14.3</v>
      </c>
      <c r="AF72" s="31"/>
    </row>
    <row r="73" spans="1:32" x14ac:dyDescent="0.45">
      <c r="A73" s="10" t="s">
        <v>577</v>
      </c>
      <c r="B73" s="10"/>
      <c r="C73" s="30" t="s">
        <v>100</v>
      </c>
      <c r="D73" s="31"/>
      <c r="E73" s="30" t="s">
        <v>100</v>
      </c>
      <c r="F73" s="31"/>
      <c r="G73" s="30">
        <v>16.489999999999998</v>
      </c>
      <c r="H73" s="31"/>
      <c r="I73" s="30">
        <v>12.45</v>
      </c>
      <c r="J73" s="31"/>
      <c r="K73" s="30">
        <v>11.59</v>
      </c>
      <c r="L73" s="31"/>
      <c r="M73" s="30">
        <v>12.3</v>
      </c>
      <c r="N73" s="31"/>
      <c r="O73" s="30">
        <v>4.8</v>
      </c>
      <c r="P73" s="31"/>
      <c r="Q73" s="30">
        <v>8.1</v>
      </c>
      <c r="R73" s="31"/>
      <c r="S73" s="30">
        <v>11.8</v>
      </c>
      <c r="T73" s="31"/>
      <c r="U73" s="30">
        <v>14.7</v>
      </c>
      <c r="V73" s="31"/>
      <c r="W73" s="30">
        <v>12.3</v>
      </c>
      <c r="X73" s="31"/>
      <c r="Y73" s="30">
        <v>10.8</v>
      </c>
      <c r="Z73" s="31"/>
      <c r="AA73" s="30">
        <v>7.7</v>
      </c>
      <c r="AB73" s="31"/>
      <c r="AC73" s="30">
        <v>10</v>
      </c>
      <c r="AD73" s="31"/>
      <c r="AE73" s="30">
        <v>9.1</v>
      </c>
      <c r="AF73" s="31"/>
    </row>
    <row r="74" spans="1:32" x14ac:dyDescent="0.45">
      <c r="A74" s="10" t="s">
        <v>578</v>
      </c>
      <c r="B74" s="10"/>
      <c r="C74" s="30" t="s">
        <v>100</v>
      </c>
      <c r="D74" s="31"/>
      <c r="E74" s="30" t="s">
        <v>100</v>
      </c>
      <c r="F74" s="31"/>
      <c r="G74" s="30">
        <v>6.37</v>
      </c>
      <c r="H74" s="31"/>
      <c r="I74" s="30">
        <v>7.8</v>
      </c>
      <c r="J74" s="31"/>
      <c r="K74" s="30">
        <v>12.5</v>
      </c>
      <c r="L74" s="31"/>
      <c r="M74" s="30">
        <v>7.5</v>
      </c>
      <c r="N74" s="31"/>
      <c r="O74" s="30">
        <v>-7.5</v>
      </c>
      <c r="P74" s="31"/>
      <c r="Q74" s="30">
        <v>10.6</v>
      </c>
      <c r="R74" s="31"/>
      <c r="S74" s="30">
        <v>16.899999999999999</v>
      </c>
      <c r="T74" s="31"/>
      <c r="U74" s="30">
        <v>34.299999999999997</v>
      </c>
      <c r="V74" s="31"/>
      <c r="W74" s="30">
        <v>39.1</v>
      </c>
      <c r="X74" s="31"/>
      <c r="Y74" s="30">
        <v>7.5</v>
      </c>
      <c r="Z74" s="31"/>
      <c r="AA74" s="30">
        <v>8.4</v>
      </c>
      <c r="AB74" s="31"/>
      <c r="AC74" s="30">
        <v>11.5</v>
      </c>
      <c r="AD74" s="31"/>
      <c r="AE74" s="30">
        <v>7.4</v>
      </c>
      <c r="AF74" s="31"/>
    </row>
    <row r="75" spans="1:32" x14ac:dyDescent="0.45">
      <c r="A75" s="10" t="s">
        <v>579</v>
      </c>
      <c r="B75" s="10"/>
      <c r="C75" s="30" t="s">
        <v>100</v>
      </c>
      <c r="D75" s="31"/>
      <c r="E75" s="30" t="s">
        <v>100</v>
      </c>
      <c r="F75" s="31"/>
      <c r="G75" s="30">
        <v>24.79</v>
      </c>
      <c r="H75" s="31"/>
      <c r="I75" s="30">
        <v>8.5299999999999994</v>
      </c>
      <c r="J75" s="31"/>
      <c r="K75" s="30">
        <v>3.54</v>
      </c>
      <c r="L75" s="31"/>
      <c r="M75" s="30">
        <v>5.9</v>
      </c>
      <c r="N75" s="31"/>
      <c r="O75" s="30">
        <v>-3.5</v>
      </c>
      <c r="P75" s="31"/>
      <c r="Q75" s="30">
        <v>-4.7</v>
      </c>
      <c r="R75" s="31"/>
      <c r="S75" s="30">
        <v>8.9</v>
      </c>
      <c r="T75" s="31"/>
      <c r="U75" s="30">
        <v>4.2</v>
      </c>
      <c r="V75" s="31"/>
      <c r="W75" s="30">
        <v>-1.9</v>
      </c>
      <c r="X75" s="31"/>
      <c r="Y75" s="30">
        <v>-5</v>
      </c>
      <c r="Z75" s="31"/>
      <c r="AA75" s="30">
        <v>16.899999999999999</v>
      </c>
      <c r="AB75" s="31"/>
      <c r="AC75" s="30">
        <v>-8.1999999999999993</v>
      </c>
      <c r="AD75" s="31"/>
      <c r="AE75" s="30">
        <v>0.5</v>
      </c>
      <c r="AF75" s="31"/>
    </row>
    <row r="76" spans="1:32" x14ac:dyDescent="0.45">
      <c r="A76" s="6" t="s">
        <v>603</v>
      </c>
      <c r="B76" s="6"/>
      <c r="C76" s="34" t="s">
        <v>100</v>
      </c>
      <c r="D76" s="35"/>
      <c r="E76" s="34" t="s">
        <v>100</v>
      </c>
      <c r="F76" s="35"/>
      <c r="G76" s="34" t="s">
        <v>100</v>
      </c>
      <c r="H76" s="35"/>
      <c r="I76" s="34" t="s">
        <v>100</v>
      </c>
      <c r="J76" s="35"/>
      <c r="K76" s="34" t="s">
        <v>100</v>
      </c>
      <c r="L76" s="35"/>
      <c r="M76" s="34" t="s">
        <v>100</v>
      </c>
      <c r="N76" s="35"/>
      <c r="O76" s="34" t="s">
        <v>100</v>
      </c>
      <c r="P76" s="35"/>
      <c r="Q76" s="34" t="s">
        <v>100</v>
      </c>
      <c r="R76" s="35"/>
      <c r="S76" s="34" t="s">
        <v>100</v>
      </c>
      <c r="T76" s="35"/>
      <c r="U76" s="34" t="s">
        <v>100</v>
      </c>
      <c r="V76" s="35"/>
      <c r="W76" s="34" t="s">
        <v>100</v>
      </c>
      <c r="X76" s="35"/>
      <c r="Y76" s="34" t="s">
        <v>100</v>
      </c>
      <c r="Z76" s="35"/>
      <c r="AA76" s="34" t="s">
        <v>100</v>
      </c>
      <c r="AB76" s="35"/>
      <c r="AC76" s="34" t="s">
        <v>100</v>
      </c>
      <c r="AD76" s="35"/>
      <c r="AE76" s="34" t="s">
        <v>100</v>
      </c>
      <c r="AF76" s="35"/>
    </row>
    <row r="77" spans="1:32" x14ac:dyDescent="0.45">
      <c r="A77" s="10" t="s">
        <v>576</v>
      </c>
      <c r="B77" s="10"/>
      <c r="C77" s="30" t="s">
        <v>100</v>
      </c>
      <c r="D77" s="31"/>
      <c r="E77" s="30" t="s">
        <v>100</v>
      </c>
      <c r="F77" s="31"/>
      <c r="G77" s="30">
        <v>19.34</v>
      </c>
      <c r="H77" s="31"/>
      <c r="I77" s="30">
        <v>26.75</v>
      </c>
      <c r="J77" s="31"/>
      <c r="K77" s="30">
        <v>8.25</v>
      </c>
      <c r="L77" s="31"/>
      <c r="M77" s="30">
        <v>8.3000000000000007</v>
      </c>
      <c r="N77" s="31"/>
      <c r="O77" s="30">
        <v>5.4</v>
      </c>
      <c r="P77" s="31"/>
      <c r="Q77" s="30">
        <v>6.7</v>
      </c>
      <c r="R77" s="31"/>
      <c r="S77" s="30">
        <v>11.3</v>
      </c>
      <c r="T77" s="31"/>
      <c r="U77" s="30">
        <v>11.7</v>
      </c>
      <c r="V77" s="31"/>
      <c r="W77" s="30">
        <v>49.6</v>
      </c>
      <c r="X77" s="31"/>
      <c r="Y77" s="30">
        <v>21.4</v>
      </c>
      <c r="Z77" s="31"/>
      <c r="AA77" s="30">
        <v>24.9</v>
      </c>
      <c r="AB77" s="31"/>
      <c r="AC77" s="30">
        <v>17.600000000000001</v>
      </c>
      <c r="AD77" s="31"/>
      <c r="AE77" s="30">
        <v>14.4</v>
      </c>
      <c r="AF77" s="31"/>
    </row>
    <row r="78" spans="1:32" x14ac:dyDescent="0.45">
      <c r="A78" s="10" t="s">
        <v>577</v>
      </c>
      <c r="B78" s="10"/>
      <c r="C78" s="30" t="s">
        <v>100</v>
      </c>
      <c r="D78" s="31"/>
      <c r="E78" s="30" t="s">
        <v>100</v>
      </c>
      <c r="F78" s="31"/>
      <c r="G78" s="30">
        <v>13.23</v>
      </c>
      <c r="H78" s="31"/>
      <c r="I78" s="30">
        <v>14.82</v>
      </c>
      <c r="J78" s="31"/>
      <c r="K78" s="30">
        <v>13.8</v>
      </c>
      <c r="L78" s="31"/>
      <c r="M78" s="30">
        <v>13</v>
      </c>
      <c r="N78" s="31"/>
      <c r="O78" s="30">
        <v>12.6</v>
      </c>
      <c r="P78" s="31"/>
      <c r="Q78" s="30">
        <v>9</v>
      </c>
      <c r="R78" s="31"/>
      <c r="S78" s="30">
        <v>11.2</v>
      </c>
      <c r="T78" s="31"/>
      <c r="U78" s="30">
        <v>12.9</v>
      </c>
      <c r="V78" s="31"/>
      <c r="W78" s="30">
        <v>14.2</v>
      </c>
      <c r="X78" s="31"/>
      <c r="Y78" s="30">
        <v>10</v>
      </c>
      <c r="Z78" s="31"/>
      <c r="AA78" s="30">
        <v>6.7</v>
      </c>
      <c r="AB78" s="31"/>
      <c r="AC78" s="30">
        <v>16.100000000000001</v>
      </c>
      <c r="AD78" s="31"/>
      <c r="AE78" s="30">
        <v>9.5</v>
      </c>
      <c r="AF78" s="31"/>
    </row>
    <row r="79" spans="1:32" x14ac:dyDescent="0.45">
      <c r="A79" s="10" t="s">
        <v>578</v>
      </c>
      <c r="B79" s="10"/>
      <c r="C79" s="30" t="s">
        <v>100</v>
      </c>
      <c r="D79" s="31"/>
      <c r="E79" s="30" t="s">
        <v>100</v>
      </c>
      <c r="F79" s="31"/>
      <c r="G79" s="30">
        <v>3.46</v>
      </c>
      <c r="H79" s="31"/>
      <c r="I79" s="30">
        <v>11.75</v>
      </c>
      <c r="J79" s="31"/>
      <c r="K79" s="30">
        <v>13.7</v>
      </c>
      <c r="L79" s="31"/>
      <c r="M79" s="30">
        <v>8.1999999999999993</v>
      </c>
      <c r="N79" s="31"/>
      <c r="O79" s="30">
        <v>0.2</v>
      </c>
      <c r="P79" s="31"/>
      <c r="Q79" s="30">
        <v>11</v>
      </c>
      <c r="R79" s="31"/>
      <c r="S79" s="30">
        <v>16</v>
      </c>
      <c r="T79" s="31"/>
      <c r="U79" s="30">
        <v>33.4</v>
      </c>
      <c r="V79" s="31"/>
      <c r="W79" s="30">
        <v>41.6</v>
      </c>
      <c r="X79" s="31"/>
      <c r="Y79" s="30">
        <v>6.8</v>
      </c>
      <c r="Z79" s="31"/>
      <c r="AA79" s="30">
        <v>7.4</v>
      </c>
      <c r="AB79" s="31"/>
      <c r="AC79" s="30">
        <v>16.100000000000001</v>
      </c>
      <c r="AD79" s="31"/>
      <c r="AE79" s="30">
        <v>7.4</v>
      </c>
      <c r="AF79" s="31"/>
    </row>
    <row r="80" spans="1:32" x14ac:dyDescent="0.45">
      <c r="A80" s="10" t="s">
        <v>579</v>
      </c>
      <c r="B80" s="10"/>
      <c r="C80" s="30" t="s">
        <v>100</v>
      </c>
      <c r="D80" s="31"/>
      <c r="E80" s="30" t="s">
        <v>100</v>
      </c>
      <c r="F80" s="31"/>
      <c r="G80" s="30">
        <v>22.1</v>
      </c>
      <c r="H80" s="31"/>
      <c r="I80" s="30">
        <v>10.77</v>
      </c>
      <c r="J80" s="31"/>
      <c r="K80" s="30">
        <v>4.96</v>
      </c>
      <c r="L80" s="31"/>
      <c r="M80" s="30">
        <v>6.8</v>
      </c>
      <c r="N80" s="31"/>
      <c r="O80" s="30">
        <v>3.1</v>
      </c>
      <c r="P80" s="31"/>
      <c r="Q80" s="30">
        <v>-4.3</v>
      </c>
      <c r="R80" s="31"/>
      <c r="S80" s="30">
        <v>7.6</v>
      </c>
      <c r="T80" s="31"/>
      <c r="U80" s="30">
        <v>3.2</v>
      </c>
      <c r="V80" s="31"/>
      <c r="W80" s="30">
        <v>-0.5</v>
      </c>
      <c r="X80" s="31"/>
      <c r="Y80" s="30">
        <v>-6</v>
      </c>
      <c r="Z80" s="31"/>
      <c r="AA80" s="30">
        <v>16.3</v>
      </c>
      <c r="AB80" s="31"/>
      <c r="AC80" s="30">
        <v>-4.0999999999999996</v>
      </c>
      <c r="AD80" s="31"/>
      <c r="AE80" s="30">
        <v>0.7</v>
      </c>
      <c r="AF80" s="31"/>
    </row>
    <row r="81" spans="1:32" x14ac:dyDescent="0.45">
      <c r="A81" s="7" t="s">
        <v>69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13"/>
  <sheetViews>
    <sheetView workbookViewId="0"/>
  </sheetViews>
  <sheetFormatPr defaultRowHeight="14.25" x14ac:dyDescent="0.45"/>
  <cols>
    <col min="1" max="1" width="35.1328125" customWidth="1"/>
    <col min="2" max="2" width="0" hidden="1" customWidth="1"/>
    <col min="3" max="3" width="11.86328125" customWidth="1"/>
    <col min="4" max="4" width="7" customWidth="1"/>
    <col min="5" max="5" width="11.86328125" customWidth="1"/>
    <col min="6" max="6" width="7" customWidth="1"/>
    <col min="7" max="7" width="11.86328125" customWidth="1"/>
    <col min="8" max="8" width="7" customWidth="1"/>
    <col min="9" max="9" width="11.86328125" customWidth="1"/>
    <col min="10" max="10" width="7" customWidth="1"/>
    <col min="11" max="11" width="11.86328125" customWidth="1"/>
    <col min="12" max="12" width="7" customWidth="1"/>
    <col min="13" max="13" width="11.86328125" customWidth="1"/>
    <col min="14" max="14" width="7" customWidth="1"/>
    <col min="15" max="15" width="11.86328125" customWidth="1"/>
    <col min="16" max="16" width="7" customWidth="1"/>
    <col min="17" max="17" width="11.86328125" customWidth="1"/>
    <col min="18" max="18" width="7" customWidth="1"/>
    <col min="19" max="19" width="11.86328125" customWidth="1"/>
    <col min="20" max="20" width="7" customWidth="1"/>
    <col min="21" max="21" width="11.86328125" customWidth="1"/>
    <col min="22" max="22" width="7" customWidth="1"/>
    <col min="23" max="23" width="11.86328125" customWidth="1"/>
    <col min="24" max="24" width="7" customWidth="1"/>
    <col min="25" max="25" width="11.86328125" customWidth="1"/>
    <col min="26" max="26" width="7" customWidth="1"/>
    <col min="27" max="27" width="11.86328125" customWidth="1"/>
    <col min="28" max="28" width="7" customWidth="1"/>
    <col min="29" max="29" width="11.86328125" customWidth="1"/>
    <col min="30" max="30" width="7" customWidth="1"/>
    <col min="31" max="31" width="11.86328125" customWidth="1"/>
    <col min="32" max="32" width="7" customWidth="1"/>
  </cols>
  <sheetData>
    <row r="1" spans="1:32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65" x14ac:dyDescent="0.45">
      <c r="A2" s="8" t="s">
        <v>604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45">
      <c r="A4" s="3" t="s">
        <v>1</v>
      </c>
      <c r="B4" s="3"/>
      <c r="C4" s="26" t="s">
        <v>2</v>
      </c>
      <c r="D4" s="26"/>
      <c r="E4" s="26" t="s">
        <v>3</v>
      </c>
      <c r="F4" s="26"/>
      <c r="G4" s="26" t="s">
        <v>4</v>
      </c>
      <c r="H4" s="26"/>
      <c r="I4" s="26" t="s">
        <v>5</v>
      </c>
      <c r="J4" s="26"/>
      <c r="K4" s="26" t="s">
        <v>6</v>
      </c>
      <c r="L4" s="26"/>
      <c r="M4" s="26" t="s">
        <v>7</v>
      </c>
      <c r="N4" s="26"/>
      <c r="O4" s="26" t="s">
        <v>8</v>
      </c>
      <c r="P4" s="26"/>
      <c r="Q4" s="26" t="s">
        <v>9</v>
      </c>
      <c r="R4" s="26"/>
      <c r="S4" s="26" t="s">
        <v>10</v>
      </c>
      <c r="T4" s="26"/>
      <c r="U4" s="26" t="s">
        <v>11</v>
      </c>
      <c r="V4" s="26"/>
      <c r="W4" s="26" t="s">
        <v>12</v>
      </c>
      <c r="X4" s="26"/>
      <c r="Y4" s="26" t="s">
        <v>13</v>
      </c>
      <c r="Z4" s="26"/>
      <c r="AA4" s="26" t="s">
        <v>14</v>
      </c>
      <c r="AB4" s="26"/>
      <c r="AC4" s="26" t="s">
        <v>15</v>
      </c>
      <c r="AD4" s="26"/>
      <c r="AE4" s="26" t="s">
        <v>16</v>
      </c>
      <c r="AF4" s="26"/>
    </row>
    <row r="5" spans="1:32" x14ac:dyDescent="0.45">
      <c r="A5" s="9" t="s">
        <v>17</v>
      </c>
      <c r="B5" s="9"/>
      <c r="C5" s="27" t="s">
        <v>18</v>
      </c>
      <c r="D5" s="27"/>
      <c r="E5" s="27" t="s">
        <v>19</v>
      </c>
      <c r="F5" s="27"/>
      <c r="G5" s="27" t="s">
        <v>20</v>
      </c>
      <c r="H5" s="27"/>
      <c r="I5" s="27" t="s">
        <v>21</v>
      </c>
      <c r="J5" s="27"/>
      <c r="K5" s="27" t="s">
        <v>22</v>
      </c>
      <c r="L5" s="27"/>
      <c r="M5" s="27" t="s">
        <v>23</v>
      </c>
      <c r="N5" s="27"/>
      <c r="O5" s="27" t="s">
        <v>24</v>
      </c>
      <c r="P5" s="27"/>
      <c r="Q5" s="27" t="s">
        <v>25</v>
      </c>
      <c r="R5" s="27"/>
      <c r="S5" s="27" t="s">
        <v>26</v>
      </c>
      <c r="T5" s="27"/>
      <c r="U5" s="27" t="s">
        <v>27</v>
      </c>
      <c r="V5" s="27"/>
      <c r="W5" s="27" t="s">
        <v>28</v>
      </c>
      <c r="X5" s="27"/>
      <c r="Y5" s="27" t="s">
        <v>29</v>
      </c>
      <c r="Z5" s="27"/>
      <c r="AA5" s="27" t="s">
        <v>30</v>
      </c>
      <c r="AB5" s="27"/>
      <c r="AC5" s="27" t="s">
        <v>31</v>
      </c>
      <c r="AD5" s="27"/>
      <c r="AE5" s="27" t="s">
        <v>32</v>
      </c>
      <c r="AF5" s="27"/>
    </row>
    <row r="6" spans="1:32" x14ac:dyDescent="0.45">
      <c r="A6" s="6" t="s">
        <v>78</v>
      </c>
      <c r="B6" s="6"/>
      <c r="C6" s="32">
        <v>516.88499999999999</v>
      </c>
      <c r="D6" s="33">
        <v>1</v>
      </c>
      <c r="E6" s="32">
        <v>580.23599999999999</v>
      </c>
      <c r="F6" s="33">
        <v>1</v>
      </c>
      <c r="G6" s="32">
        <v>691.44899999999996</v>
      </c>
      <c r="H6" s="33">
        <v>1</v>
      </c>
      <c r="I6" s="32">
        <v>798.01800000000003</v>
      </c>
      <c r="J6" s="33">
        <v>1</v>
      </c>
      <c r="K6" s="32">
        <v>861.26</v>
      </c>
      <c r="L6" s="33">
        <v>1</v>
      </c>
      <c r="M6" s="32">
        <v>936.02099999999996</v>
      </c>
      <c r="N6" s="33">
        <v>1</v>
      </c>
      <c r="O6" s="32">
        <v>942.75300000000004</v>
      </c>
      <c r="P6" s="33">
        <v>1</v>
      </c>
      <c r="Q6" s="32">
        <v>988.46500000000003</v>
      </c>
      <c r="R6" s="33">
        <v>1</v>
      </c>
      <c r="S6" s="32">
        <v>1095.25</v>
      </c>
      <c r="T6" s="33">
        <v>1</v>
      </c>
      <c r="U6" s="32">
        <v>1293.636</v>
      </c>
      <c r="V6" s="33">
        <v>1</v>
      </c>
      <c r="W6" s="32">
        <v>1515.8920000000001</v>
      </c>
      <c r="X6" s="33">
        <v>1</v>
      </c>
      <c r="Y6" s="32">
        <v>1681.297</v>
      </c>
      <c r="Z6" s="33">
        <v>1</v>
      </c>
      <c r="AA6" s="32">
        <v>1906.7149999999999</v>
      </c>
      <c r="AB6" s="33">
        <v>1</v>
      </c>
      <c r="AC6" s="32">
        <v>2065.5529999999999</v>
      </c>
      <c r="AD6" s="33">
        <v>1</v>
      </c>
      <c r="AE6" s="32">
        <v>2269.9490000000001</v>
      </c>
      <c r="AF6" s="33">
        <v>1</v>
      </c>
    </row>
    <row r="7" spans="1:32" x14ac:dyDescent="0.45">
      <c r="A7" s="10" t="s">
        <v>605</v>
      </c>
      <c r="B7" s="10"/>
      <c r="C7" s="28">
        <v>344.61</v>
      </c>
      <c r="D7" s="29">
        <v>0.66670535999303504</v>
      </c>
      <c r="E7" s="28">
        <v>391.58699999999999</v>
      </c>
      <c r="F7" s="29">
        <v>0.674875395528716</v>
      </c>
      <c r="G7" s="28">
        <v>475.52499999999998</v>
      </c>
      <c r="H7" s="29">
        <v>0.68772244952266903</v>
      </c>
      <c r="I7" s="28">
        <v>532.58199999999999</v>
      </c>
      <c r="J7" s="29">
        <v>0.66738093626960804</v>
      </c>
      <c r="K7" s="28">
        <v>568.93700000000001</v>
      </c>
      <c r="L7" s="29">
        <v>0.66058681466688296</v>
      </c>
      <c r="M7" s="28">
        <v>615.69399999999996</v>
      </c>
      <c r="N7" s="29">
        <v>0.65777797720350295</v>
      </c>
      <c r="O7" s="28">
        <v>588.32000000000005</v>
      </c>
      <c r="P7" s="29">
        <v>0.62404468614790898</v>
      </c>
      <c r="Q7" s="28">
        <v>620.52800000000002</v>
      </c>
      <c r="R7" s="29">
        <v>0.62776931909577005</v>
      </c>
      <c r="S7" s="28">
        <v>677.90700000000004</v>
      </c>
      <c r="T7" s="29">
        <v>0.61895183748002702</v>
      </c>
      <c r="U7" s="28">
        <v>787.30100000000004</v>
      </c>
      <c r="V7" s="29">
        <v>0.60859546271130405</v>
      </c>
      <c r="W7" s="28">
        <v>877.976</v>
      </c>
      <c r="X7" s="29">
        <v>0.57918110261153199</v>
      </c>
      <c r="Y7" s="28">
        <v>904.58100000000002</v>
      </c>
      <c r="Z7" s="29">
        <v>0.53802570277589301</v>
      </c>
      <c r="AA7" s="28">
        <v>1039.5899999999999</v>
      </c>
      <c r="AB7" s="29">
        <v>0.545225689208927</v>
      </c>
      <c r="AC7" s="28">
        <v>1132.9659999999999</v>
      </c>
      <c r="AD7" s="29">
        <v>0.54850492822019103</v>
      </c>
      <c r="AE7" s="28">
        <v>1211.6559999999999</v>
      </c>
      <c r="AF7" s="29">
        <v>0.53378115543565097</v>
      </c>
    </row>
    <row r="8" spans="1:32" x14ac:dyDescent="0.45">
      <c r="A8" s="10" t="s">
        <v>606</v>
      </c>
      <c r="B8" s="10"/>
      <c r="C8" s="28">
        <v>134.869</v>
      </c>
      <c r="D8" s="29">
        <v>0.260926511699895</v>
      </c>
      <c r="E8" s="28">
        <v>138.15700000000001</v>
      </c>
      <c r="F8" s="29">
        <v>0.23810484009954599</v>
      </c>
      <c r="G8" s="28">
        <v>166.55099999999999</v>
      </c>
      <c r="H8" s="29">
        <v>0.24087242876914999</v>
      </c>
      <c r="I8" s="28">
        <v>177.06899999999999</v>
      </c>
      <c r="J8" s="29">
        <v>0.22188597249686101</v>
      </c>
      <c r="K8" s="28">
        <v>201.614</v>
      </c>
      <c r="L8" s="29">
        <v>0.23409191185007999</v>
      </c>
      <c r="M8" s="28">
        <v>159.011</v>
      </c>
      <c r="N8" s="29">
        <v>0.16987973560422301</v>
      </c>
      <c r="O8" s="28">
        <v>145.98500000000001</v>
      </c>
      <c r="P8" s="29">
        <v>0.15484967960855101</v>
      </c>
      <c r="Q8" s="28">
        <v>139.81299999999999</v>
      </c>
      <c r="R8" s="29">
        <v>0.14144456303460401</v>
      </c>
      <c r="S8" s="28">
        <v>166.47200000000001</v>
      </c>
      <c r="T8" s="29">
        <v>0.15199452179867601</v>
      </c>
      <c r="U8" s="28">
        <v>193.31700000000001</v>
      </c>
      <c r="V8" s="29">
        <v>0.14943693589232199</v>
      </c>
      <c r="W8" s="28">
        <v>279.74400000000003</v>
      </c>
      <c r="X8" s="29">
        <v>0.184540851195204</v>
      </c>
      <c r="Y8" s="28">
        <v>307.93299999999999</v>
      </c>
      <c r="Z8" s="29">
        <v>0.18315205463401199</v>
      </c>
      <c r="AA8" s="28">
        <v>359.07400000000001</v>
      </c>
      <c r="AB8" s="29">
        <v>0.18832075061034301</v>
      </c>
      <c r="AC8" s="28">
        <v>349.15899999999999</v>
      </c>
      <c r="AD8" s="29">
        <v>0.169038993431783</v>
      </c>
      <c r="AE8" s="28">
        <v>406.71899999999999</v>
      </c>
      <c r="AF8" s="29">
        <v>0.179175391165176</v>
      </c>
    </row>
    <row r="9" spans="1:32" x14ac:dyDescent="0.45">
      <c r="A9" s="10" t="s">
        <v>607</v>
      </c>
      <c r="B9" s="10"/>
      <c r="C9" s="28">
        <v>75.206999999999994</v>
      </c>
      <c r="D9" s="29">
        <v>0.145500449809919</v>
      </c>
      <c r="E9" s="28">
        <v>95.498000000000005</v>
      </c>
      <c r="F9" s="29">
        <v>0.164584755168587</v>
      </c>
      <c r="G9" s="28">
        <v>112.17100000000001</v>
      </c>
      <c r="H9" s="29">
        <v>0.162225992083292</v>
      </c>
      <c r="I9" s="28">
        <v>122.437</v>
      </c>
      <c r="J9" s="29">
        <v>0.15342636381635499</v>
      </c>
      <c r="K9" s="28">
        <v>108.06399999999999</v>
      </c>
      <c r="L9" s="29">
        <v>0.12547198290876199</v>
      </c>
      <c r="M9" s="28">
        <v>108.75700000000001</v>
      </c>
      <c r="N9" s="29">
        <v>0.116190769224195</v>
      </c>
      <c r="O9" s="28">
        <v>104.29900000000001</v>
      </c>
      <c r="P9" s="29">
        <v>0.11063237136344301</v>
      </c>
      <c r="Q9" s="28">
        <v>120.16</v>
      </c>
      <c r="R9" s="29">
        <v>0.121562220210124</v>
      </c>
      <c r="S9" s="28">
        <v>126.09699999999999</v>
      </c>
      <c r="T9" s="29">
        <v>0.11513079205660801</v>
      </c>
      <c r="U9" s="28">
        <v>145.95099999999999</v>
      </c>
      <c r="V9" s="29">
        <v>0.11282230859376199</v>
      </c>
      <c r="W9" s="28">
        <v>162.154</v>
      </c>
      <c r="X9" s="29">
        <v>0.10696936193343599</v>
      </c>
      <c r="Y9" s="28">
        <v>183.11699999999999</v>
      </c>
      <c r="Z9" s="29">
        <v>0.10891412998417301</v>
      </c>
      <c r="AA9" s="28">
        <v>193.096</v>
      </c>
      <c r="AB9" s="29">
        <v>0.101271558675523</v>
      </c>
      <c r="AC9" s="28">
        <v>186.19900000000001</v>
      </c>
      <c r="AD9" s="29">
        <v>9.0144866774176199E-2</v>
      </c>
      <c r="AE9" s="28">
        <v>203.01300000000001</v>
      </c>
      <c r="AF9" s="29">
        <v>8.9435048981276702E-2</v>
      </c>
    </row>
    <row r="10" spans="1:32" x14ac:dyDescent="0.45">
      <c r="A10" s="10" t="s">
        <v>608</v>
      </c>
      <c r="B10" s="10"/>
      <c r="C10" s="28">
        <v>55.652000000000001</v>
      </c>
      <c r="D10" s="29">
        <v>0.107668049953084</v>
      </c>
      <c r="E10" s="28">
        <v>60.399000000000001</v>
      </c>
      <c r="F10" s="29">
        <v>0.10409385146733401</v>
      </c>
      <c r="G10" s="28">
        <v>72.301000000000002</v>
      </c>
      <c r="H10" s="29">
        <v>0.10456447257859899</v>
      </c>
      <c r="I10" s="28">
        <v>82.007999999999996</v>
      </c>
      <c r="J10" s="29">
        <v>0.102764599294753</v>
      </c>
      <c r="K10" s="28">
        <v>93.525000000000006</v>
      </c>
      <c r="L10" s="29">
        <v>0.108590901702157</v>
      </c>
      <c r="M10" s="28">
        <v>99.713999999999999</v>
      </c>
      <c r="N10" s="29">
        <v>0.10652966119349901</v>
      </c>
      <c r="O10" s="28">
        <v>94.546000000000006</v>
      </c>
      <c r="P10" s="29">
        <v>0.100287137776279</v>
      </c>
      <c r="Q10" s="28">
        <v>99.813999999999993</v>
      </c>
      <c r="R10" s="29">
        <v>0.100978790346649</v>
      </c>
      <c r="S10" s="28">
        <v>108.211</v>
      </c>
      <c r="T10" s="29">
        <v>9.8800273910066197E-2</v>
      </c>
      <c r="U10" s="28">
        <v>140.506</v>
      </c>
      <c r="V10" s="29">
        <v>0.10861324205572501</v>
      </c>
      <c r="W10" s="28">
        <v>158.809</v>
      </c>
      <c r="X10" s="29">
        <v>0.104762740353534</v>
      </c>
      <c r="Y10" s="28">
        <v>160.77099999999999</v>
      </c>
      <c r="Z10" s="29">
        <v>9.5623200422055105E-2</v>
      </c>
      <c r="AA10" s="28">
        <v>158.541</v>
      </c>
      <c r="AB10" s="29">
        <v>8.3148766333720606E-2</v>
      </c>
      <c r="AC10" s="28">
        <v>198.61199999999999</v>
      </c>
      <c r="AD10" s="29">
        <v>9.6154395457293998E-2</v>
      </c>
      <c r="AE10" s="28">
        <v>199.06800000000001</v>
      </c>
      <c r="AF10" s="29">
        <v>8.7697124472840601E-2</v>
      </c>
    </row>
    <row r="11" spans="1:32" x14ac:dyDescent="0.45">
      <c r="A11" s="10" t="s">
        <v>609</v>
      </c>
      <c r="B11" s="10"/>
      <c r="C11" s="28">
        <v>70.813999999999993</v>
      </c>
      <c r="D11" s="29">
        <v>0.13700146067307001</v>
      </c>
      <c r="E11" s="28">
        <v>87.658000000000001</v>
      </c>
      <c r="F11" s="29">
        <v>0.15107301167111301</v>
      </c>
      <c r="G11" s="28">
        <v>112.43300000000001</v>
      </c>
      <c r="H11" s="29">
        <v>0.162604906507928</v>
      </c>
      <c r="I11" s="28">
        <v>138.684</v>
      </c>
      <c r="J11" s="29">
        <v>0.173785553709315</v>
      </c>
      <c r="K11" s="28">
        <v>151.571</v>
      </c>
      <c r="L11" s="29">
        <v>0.175987506676265</v>
      </c>
      <c r="M11" s="28">
        <v>119.78700000000001</v>
      </c>
      <c r="N11" s="29">
        <v>0.12797469287548</v>
      </c>
      <c r="O11" s="28">
        <v>125.59</v>
      </c>
      <c r="P11" s="29">
        <v>0.133216229489591</v>
      </c>
      <c r="Q11" s="28">
        <v>141.37299999999999</v>
      </c>
      <c r="R11" s="29">
        <v>0.14302276762454899</v>
      </c>
      <c r="S11" s="28">
        <v>106.029</v>
      </c>
      <c r="T11" s="29">
        <v>9.6808034695275005E-2</v>
      </c>
      <c r="U11" s="28">
        <v>109.57899999999999</v>
      </c>
      <c r="V11" s="29">
        <v>8.4706207928660002E-2</v>
      </c>
      <c r="W11" s="28">
        <v>187.18700000000001</v>
      </c>
      <c r="X11" s="29">
        <v>0.123483071353368</v>
      </c>
      <c r="Y11" s="28">
        <v>177.80699999999999</v>
      </c>
      <c r="Z11" s="29">
        <v>0.10575585396274401</v>
      </c>
      <c r="AA11" s="28">
        <v>223.02600000000001</v>
      </c>
      <c r="AB11" s="29">
        <v>0.116968713205697</v>
      </c>
      <c r="AC11" s="28">
        <v>271.048</v>
      </c>
      <c r="AD11" s="29">
        <v>0.13122297031351901</v>
      </c>
      <c r="AE11" s="28">
        <v>185.12799999999999</v>
      </c>
      <c r="AF11" s="29">
        <v>8.1556017337834394E-2</v>
      </c>
    </row>
    <row r="12" spans="1:32" x14ac:dyDescent="0.45">
      <c r="A12" s="10" t="s">
        <v>610</v>
      </c>
      <c r="B12" s="10"/>
      <c r="C12" s="28" t="s">
        <v>100</v>
      </c>
      <c r="D12" s="29"/>
      <c r="E12" s="28" t="s">
        <v>100</v>
      </c>
      <c r="F12" s="29"/>
      <c r="G12" s="28" t="s">
        <v>100</v>
      </c>
      <c r="H12" s="29"/>
      <c r="I12" s="28" t="s">
        <v>100</v>
      </c>
      <c r="J12" s="29"/>
      <c r="K12" s="28" t="s">
        <v>100</v>
      </c>
      <c r="L12" s="29"/>
      <c r="M12" s="28" t="s">
        <v>100</v>
      </c>
      <c r="N12" s="29"/>
      <c r="O12" s="28" t="s">
        <v>100</v>
      </c>
      <c r="P12" s="29"/>
      <c r="Q12" s="28" t="s">
        <v>100</v>
      </c>
      <c r="R12" s="29"/>
      <c r="S12" s="28">
        <v>54.414999999999999</v>
      </c>
      <c r="T12" s="29">
        <v>4.9682720839990903E-2</v>
      </c>
      <c r="U12" s="28">
        <v>57.567</v>
      </c>
      <c r="V12" s="29">
        <v>4.4500153056965003E-2</v>
      </c>
      <c r="W12" s="28" t="s">
        <v>100</v>
      </c>
      <c r="X12" s="29"/>
      <c r="Y12" s="28" t="s">
        <v>100</v>
      </c>
      <c r="Z12" s="29"/>
      <c r="AA12" s="28" t="s">
        <v>100</v>
      </c>
      <c r="AB12" s="29"/>
      <c r="AC12" s="28" t="s">
        <v>100</v>
      </c>
      <c r="AD12" s="29"/>
      <c r="AE12" s="28">
        <v>111.467</v>
      </c>
      <c r="AF12" s="29">
        <v>4.9105508537857001E-2</v>
      </c>
    </row>
    <row r="13" spans="1:32" x14ac:dyDescent="0.45">
      <c r="A13" s="10" t="s">
        <v>611</v>
      </c>
      <c r="B13" s="10"/>
      <c r="C13" s="28" t="s">
        <v>100</v>
      </c>
      <c r="D13" s="29"/>
      <c r="E13" s="28" t="s">
        <v>100</v>
      </c>
      <c r="F13" s="29"/>
      <c r="G13" s="28" t="s">
        <v>100</v>
      </c>
      <c r="H13" s="29"/>
      <c r="I13" s="28" t="s">
        <v>100</v>
      </c>
      <c r="J13" s="29"/>
      <c r="K13" s="28" t="s">
        <v>100</v>
      </c>
      <c r="L13" s="29"/>
      <c r="M13" s="28">
        <v>55.606000000000002</v>
      </c>
      <c r="N13" s="29">
        <v>5.9406786813543701E-2</v>
      </c>
      <c r="O13" s="28">
        <v>55.142000000000003</v>
      </c>
      <c r="P13" s="29">
        <v>5.8490399924476501E-2</v>
      </c>
      <c r="Q13" s="28">
        <v>56.79</v>
      </c>
      <c r="R13" s="29">
        <v>5.74527170916522E-2</v>
      </c>
      <c r="S13" s="28">
        <v>63.011000000000003</v>
      </c>
      <c r="T13" s="29">
        <v>5.7531157270029699E-2</v>
      </c>
      <c r="U13" s="28">
        <v>72.724000000000004</v>
      </c>
      <c r="V13" s="29">
        <v>5.6216741030707201E-2</v>
      </c>
      <c r="W13" s="28">
        <v>90.081999999999994</v>
      </c>
      <c r="X13" s="29">
        <v>5.94250777759893E-2</v>
      </c>
      <c r="Y13" s="28">
        <v>74.953000000000003</v>
      </c>
      <c r="Z13" s="29">
        <v>4.4580463772908703E-2</v>
      </c>
      <c r="AA13" s="28">
        <v>105.85299999999999</v>
      </c>
      <c r="AB13" s="29">
        <v>5.5515900383644103E-2</v>
      </c>
      <c r="AC13" s="28">
        <v>127.94799999999999</v>
      </c>
      <c r="AD13" s="29">
        <v>6.1943702243418601E-2</v>
      </c>
      <c r="AE13" s="28">
        <v>106.261</v>
      </c>
      <c r="AF13" s="29">
        <v>4.6812064940666101E-2</v>
      </c>
    </row>
    <row r="14" spans="1:32" x14ac:dyDescent="0.45">
      <c r="A14" s="10" t="s">
        <v>612</v>
      </c>
      <c r="B14" s="10"/>
      <c r="C14" s="28" t="s">
        <v>100</v>
      </c>
      <c r="D14" s="29"/>
      <c r="E14" s="28" t="s">
        <v>100</v>
      </c>
      <c r="F14" s="29"/>
      <c r="G14" s="28" t="s">
        <v>100</v>
      </c>
      <c r="H14" s="29"/>
      <c r="I14" s="28" t="s">
        <v>100</v>
      </c>
      <c r="J14" s="29"/>
      <c r="K14" s="28" t="s">
        <v>100</v>
      </c>
      <c r="L14" s="29"/>
      <c r="M14" s="28">
        <v>58.784999999999997</v>
      </c>
      <c r="N14" s="29">
        <v>6.2803078136067503E-2</v>
      </c>
      <c r="O14" s="28">
        <v>49.444000000000003</v>
      </c>
      <c r="P14" s="29">
        <v>5.2446399003768698E-2</v>
      </c>
      <c r="Q14" s="28">
        <v>49.293999999999997</v>
      </c>
      <c r="R14" s="29">
        <v>4.9869241703044603E-2</v>
      </c>
      <c r="S14" s="28">
        <v>53.671999999999997</v>
      </c>
      <c r="T14" s="29">
        <v>4.9004336909381399E-2</v>
      </c>
      <c r="U14" s="28">
        <v>67.656999999999996</v>
      </c>
      <c r="V14" s="29">
        <v>5.2299874153162097E-2</v>
      </c>
      <c r="W14" s="28" t="s">
        <v>100</v>
      </c>
      <c r="X14" s="29"/>
      <c r="Y14" s="28" t="s">
        <v>100</v>
      </c>
      <c r="Z14" s="29"/>
      <c r="AA14" s="28" t="s">
        <v>100</v>
      </c>
      <c r="AB14" s="29"/>
      <c r="AC14" s="28" t="s">
        <v>100</v>
      </c>
      <c r="AD14" s="29"/>
      <c r="AE14" s="28" t="s">
        <v>100</v>
      </c>
      <c r="AF14" s="29"/>
    </row>
    <row r="15" spans="1:32" x14ac:dyDescent="0.45">
      <c r="A15" s="10" t="s">
        <v>613</v>
      </c>
      <c r="B15" s="10"/>
      <c r="C15" s="28">
        <v>8.0679999999999996</v>
      </c>
      <c r="D15" s="29">
        <v>1.56088878570669E-2</v>
      </c>
      <c r="E15" s="28">
        <v>9.875</v>
      </c>
      <c r="F15" s="29">
        <v>1.70189371221365E-2</v>
      </c>
      <c r="G15" s="28">
        <v>12.069000000000001</v>
      </c>
      <c r="H15" s="29">
        <v>1.7454649583700299E-2</v>
      </c>
      <c r="I15" s="28">
        <v>12.384</v>
      </c>
      <c r="J15" s="29">
        <v>1.55184469523244E-2</v>
      </c>
      <c r="K15" s="28">
        <v>14.163</v>
      </c>
      <c r="L15" s="29">
        <v>1.6444511529619399E-2</v>
      </c>
      <c r="M15" s="28">
        <v>14.034000000000001</v>
      </c>
      <c r="N15" s="29">
        <v>1.4993253356495199E-2</v>
      </c>
      <c r="O15" s="28">
        <v>13.314</v>
      </c>
      <c r="P15" s="29">
        <v>1.41224689818012E-2</v>
      </c>
      <c r="Q15" s="28">
        <v>13.284000000000001</v>
      </c>
      <c r="R15" s="29">
        <v>1.34390190851472E-2</v>
      </c>
      <c r="S15" s="28" t="s">
        <v>100</v>
      </c>
      <c r="T15" s="29"/>
      <c r="U15" s="28" t="s">
        <v>100</v>
      </c>
      <c r="V15" s="29"/>
      <c r="W15" s="28" t="s">
        <v>100</v>
      </c>
      <c r="X15" s="29"/>
      <c r="Y15" s="28" t="s">
        <v>100</v>
      </c>
      <c r="Z15" s="29"/>
      <c r="AA15" s="28" t="s">
        <v>100</v>
      </c>
      <c r="AB15" s="29"/>
      <c r="AC15" s="28" t="s">
        <v>100</v>
      </c>
      <c r="AD15" s="29"/>
      <c r="AE15" s="28" t="s">
        <v>100</v>
      </c>
      <c r="AF15" s="29"/>
    </row>
    <row r="16" spans="1:32" x14ac:dyDescent="0.45">
      <c r="A16" s="10" t="s">
        <v>614</v>
      </c>
      <c r="B16" s="10"/>
      <c r="C16" s="28">
        <v>172.27500000000001</v>
      </c>
      <c r="D16" s="29">
        <v>0.33329464000696502</v>
      </c>
      <c r="E16" s="28">
        <v>188.649</v>
      </c>
      <c r="F16" s="29">
        <v>0.325124604471284</v>
      </c>
      <c r="G16" s="28">
        <v>215.92400000000001</v>
      </c>
      <c r="H16" s="29">
        <v>0.31227755047733102</v>
      </c>
      <c r="I16" s="28">
        <v>265.43599999999998</v>
      </c>
      <c r="J16" s="29">
        <v>0.33261906373039202</v>
      </c>
      <c r="K16" s="28">
        <v>292.32299999999998</v>
      </c>
      <c r="L16" s="29">
        <v>0.33941318533311698</v>
      </c>
      <c r="M16" s="28">
        <v>320.327</v>
      </c>
      <c r="N16" s="29">
        <v>0.34222202279649699</v>
      </c>
      <c r="O16" s="28">
        <v>354.43299999999999</v>
      </c>
      <c r="P16" s="29">
        <v>0.37595531385209102</v>
      </c>
      <c r="Q16" s="28">
        <v>367.93700000000001</v>
      </c>
      <c r="R16" s="29">
        <v>0.37223068090423</v>
      </c>
      <c r="S16" s="28">
        <v>417.34300000000002</v>
      </c>
      <c r="T16" s="29">
        <v>0.38104816251997298</v>
      </c>
      <c r="U16" s="28">
        <v>506.33499999999998</v>
      </c>
      <c r="V16" s="29">
        <v>0.39140453728869601</v>
      </c>
      <c r="W16" s="28">
        <v>637.91600000000005</v>
      </c>
      <c r="X16" s="29">
        <v>0.42081889738846801</v>
      </c>
      <c r="Y16" s="28">
        <v>776.71600000000001</v>
      </c>
      <c r="Z16" s="29">
        <v>0.46197429722410699</v>
      </c>
      <c r="AA16" s="28">
        <v>867.125</v>
      </c>
      <c r="AB16" s="29">
        <v>0.454774310791073</v>
      </c>
      <c r="AC16" s="28">
        <v>932.58699999999999</v>
      </c>
      <c r="AD16" s="29">
        <v>0.45149507177980902</v>
      </c>
      <c r="AE16" s="28">
        <v>1058.2929999999999</v>
      </c>
      <c r="AF16" s="29">
        <v>0.46621884456434898</v>
      </c>
    </row>
    <row r="17" spans="1:32" x14ac:dyDescent="0.45">
      <c r="A17" s="6" t="s">
        <v>615</v>
      </c>
      <c r="B17" s="6"/>
      <c r="C17" s="32" t="s">
        <v>100</v>
      </c>
      <c r="D17" s="33"/>
      <c r="E17" s="32" t="s">
        <v>100</v>
      </c>
      <c r="F17" s="33"/>
      <c r="G17" s="32" t="s">
        <v>100</v>
      </c>
      <c r="H17" s="33"/>
      <c r="I17" s="32" t="s">
        <v>100</v>
      </c>
      <c r="J17" s="33"/>
      <c r="K17" s="32" t="s">
        <v>100</v>
      </c>
      <c r="L17" s="33"/>
      <c r="M17" s="32" t="s">
        <v>100</v>
      </c>
      <c r="N17" s="33"/>
      <c r="O17" s="32" t="s">
        <v>100</v>
      </c>
      <c r="P17" s="33"/>
      <c r="Q17" s="32" t="s">
        <v>100</v>
      </c>
      <c r="R17" s="33"/>
      <c r="S17" s="32" t="s">
        <v>100</v>
      </c>
      <c r="T17" s="33"/>
      <c r="U17" s="32" t="s">
        <v>100</v>
      </c>
      <c r="V17" s="33"/>
      <c r="W17" s="32">
        <v>1515.8920000000001</v>
      </c>
      <c r="X17" s="33">
        <v>1</v>
      </c>
      <c r="Y17" s="32">
        <v>1681.297</v>
      </c>
      <c r="Z17" s="33">
        <v>1</v>
      </c>
      <c r="AA17" s="32">
        <v>1906.7149999999999</v>
      </c>
      <c r="AB17" s="33">
        <v>1</v>
      </c>
      <c r="AC17" s="32">
        <v>2065.5529999999999</v>
      </c>
      <c r="AD17" s="33">
        <v>1</v>
      </c>
      <c r="AE17" s="32">
        <v>2269.9490000000001</v>
      </c>
      <c r="AF17" s="33">
        <v>1</v>
      </c>
    </row>
    <row r="18" spans="1:32" x14ac:dyDescent="0.45">
      <c r="A18" s="10" t="s">
        <v>616</v>
      </c>
      <c r="B18" s="10"/>
      <c r="C18" s="28" t="s">
        <v>100</v>
      </c>
      <c r="D18" s="29"/>
      <c r="E18" s="28" t="s">
        <v>100</v>
      </c>
      <c r="F18" s="29"/>
      <c r="G18" s="28" t="s">
        <v>100</v>
      </c>
      <c r="H18" s="29"/>
      <c r="I18" s="28" t="s">
        <v>100</v>
      </c>
      <c r="J18" s="29"/>
      <c r="K18" s="28" t="s">
        <v>100</v>
      </c>
      <c r="L18" s="29"/>
      <c r="M18" s="28" t="s">
        <v>100</v>
      </c>
      <c r="N18" s="29"/>
      <c r="O18" s="28" t="s">
        <v>100</v>
      </c>
      <c r="P18" s="29"/>
      <c r="Q18" s="28" t="s">
        <v>100</v>
      </c>
      <c r="R18" s="29"/>
      <c r="S18" s="28" t="s">
        <v>100</v>
      </c>
      <c r="T18" s="29"/>
      <c r="U18" s="28" t="s">
        <v>100</v>
      </c>
      <c r="V18" s="29"/>
      <c r="W18" s="28">
        <v>662.90599999999995</v>
      </c>
      <c r="X18" s="29">
        <v>0.43730424067149898</v>
      </c>
      <c r="Y18" s="28">
        <v>803.07100000000003</v>
      </c>
      <c r="Z18" s="29">
        <v>0.47764969544345798</v>
      </c>
      <c r="AA18" s="28">
        <v>902.71500000000003</v>
      </c>
      <c r="AB18" s="29">
        <v>0.47343992154045</v>
      </c>
      <c r="AC18" s="28">
        <v>969.23699999999997</v>
      </c>
      <c r="AD18" s="29">
        <v>0.46923850416813301</v>
      </c>
      <c r="AE18" s="28">
        <v>1106.242</v>
      </c>
      <c r="AF18" s="29">
        <v>0.48734222663152299</v>
      </c>
    </row>
    <row r="19" spans="1:32" x14ac:dyDescent="0.45">
      <c r="A19" s="10" t="s">
        <v>617</v>
      </c>
      <c r="B19" s="10"/>
      <c r="C19" s="28" t="s">
        <v>100</v>
      </c>
      <c r="D19" s="29"/>
      <c r="E19" s="28" t="s">
        <v>100</v>
      </c>
      <c r="F19" s="29"/>
      <c r="G19" s="28" t="s">
        <v>100</v>
      </c>
      <c r="H19" s="29"/>
      <c r="I19" s="28" t="s">
        <v>100</v>
      </c>
      <c r="J19" s="29"/>
      <c r="K19" s="28" t="s">
        <v>100</v>
      </c>
      <c r="L19" s="29"/>
      <c r="M19" s="28" t="s">
        <v>100</v>
      </c>
      <c r="N19" s="29"/>
      <c r="O19" s="28" t="s">
        <v>100</v>
      </c>
      <c r="P19" s="29"/>
      <c r="Q19" s="28" t="s">
        <v>100</v>
      </c>
      <c r="R19" s="29"/>
      <c r="S19" s="28" t="s">
        <v>100</v>
      </c>
      <c r="T19" s="29"/>
      <c r="U19" s="28" t="s">
        <v>100</v>
      </c>
      <c r="V19" s="29"/>
      <c r="W19" s="28">
        <v>438.553</v>
      </c>
      <c r="X19" s="29">
        <v>0.28930359154873803</v>
      </c>
      <c r="Y19" s="28">
        <v>468.70400000000001</v>
      </c>
      <c r="Z19" s="29">
        <v>0.27877525505606698</v>
      </c>
      <c r="AA19" s="28">
        <v>517.61500000000001</v>
      </c>
      <c r="AB19" s="29">
        <v>0.27146951694406402</v>
      </c>
      <c r="AC19" s="28">
        <v>547.77099999999996</v>
      </c>
      <c r="AD19" s="29">
        <v>0.26519338888907701</v>
      </c>
      <c r="AE19" s="28">
        <v>605.78700000000003</v>
      </c>
      <c r="AF19" s="29">
        <v>0.266872515638017</v>
      </c>
    </row>
    <row r="20" spans="1:32" x14ac:dyDescent="0.45">
      <c r="A20" s="10" t="s">
        <v>606</v>
      </c>
      <c r="B20" s="10"/>
      <c r="C20" s="28" t="s">
        <v>100</v>
      </c>
      <c r="D20" s="29"/>
      <c r="E20" s="28" t="s">
        <v>100</v>
      </c>
      <c r="F20" s="29"/>
      <c r="G20" s="28" t="s">
        <v>100</v>
      </c>
      <c r="H20" s="29"/>
      <c r="I20" s="28" t="s">
        <v>100</v>
      </c>
      <c r="J20" s="29"/>
      <c r="K20" s="28" t="s">
        <v>100</v>
      </c>
      <c r="L20" s="29"/>
      <c r="M20" s="28" t="s">
        <v>100</v>
      </c>
      <c r="N20" s="29"/>
      <c r="O20" s="28" t="s">
        <v>100</v>
      </c>
      <c r="P20" s="29"/>
      <c r="Q20" s="28" t="s">
        <v>100</v>
      </c>
      <c r="R20" s="29"/>
      <c r="S20" s="28" t="s">
        <v>100</v>
      </c>
      <c r="T20" s="29"/>
      <c r="U20" s="28" t="s">
        <v>100</v>
      </c>
      <c r="V20" s="29"/>
      <c r="W20" s="28">
        <v>235.66499999999999</v>
      </c>
      <c r="X20" s="29">
        <v>0.155462922160682</v>
      </c>
      <c r="Y20" s="28">
        <v>307.93299999999999</v>
      </c>
      <c r="Z20" s="29">
        <v>0.18315205463401199</v>
      </c>
      <c r="AA20" s="28">
        <v>359.07400000000001</v>
      </c>
      <c r="AB20" s="29">
        <v>0.18832075061034301</v>
      </c>
      <c r="AC20" s="28">
        <v>349.15899999999999</v>
      </c>
      <c r="AD20" s="29">
        <v>0.169038993431783</v>
      </c>
      <c r="AE20" s="28">
        <v>406.71899999999999</v>
      </c>
      <c r="AF20" s="29">
        <v>0.179175391165176</v>
      </c>
    </row>
    <row r="21" spans="1:32" x14ac:dyDescent="0.45">
      <c r="A21" s="10" t="s">
        <v>608</v>
      </c>
      <c r="B21" s="10"/>
      <c r="C21" s="28" t="s">
        <v>100</v>
      </c>
      <c r="D21" s="29"/>
      <c r="E21" s="28" t="s">
        <v>100</v>
      </c>
      <c r="F21" s="29"/>
      <c r="G21" s="28" t="s">
        <v>100</v>
      </c>
      <c r="H21" s="29"/>
      <c r="I21" s="28" t="s">
        <v>100</v>
      </c>
      <c r="J21" s="29"/>
      <c r="K21" s="28" t="s">
        <v>100</v>
      </c>
      <c r="L21" s="29"/>
      <c r="M21" s="28" t="s">
        <v>100</v>
      </c>
      <c r="N21" s="29"/>
      <c r="O21" s="28" t="s">
        <v>100</v>
      </c>
      <c r="P21" s="29"/>
      <c r="Q21" s="28" t="s">
        <v>100</v>
      </c>
      <c r="R21" s="29"/>
      <c r="S21" s="28" t="s">
        <v>100</v>
      </c>
      <c r="T21" s="29"/>
      <c r="U21" s="28" t="s">
        <v>100</v>
      </c>
      <c r="V21" s="29"/>
      <c r="W21" s="28">
        <v>158.809</v>
      </c>
      <c r="X21" s="29">
        <v>0.104762740353534</v>
      </c>
      <c r="Y21" s="28">
        <v>160.77099999999999</v>
      </c>
      <c r="Z21" s="29">
        <v>9.5623200422055105E-2</v>
      </c>
      <c r="AA21" s="28">
        <v>158.541</v>
      </c>
      <c r="AB21" s="29">
        <v>8.3148766333720606E-2</v>
      </c>
      <c r="AC21" s="28">
        <v>198.61199999999999</v>
      </c>
      <c r="AD21" s="29">
        <v>9.6154395457293998E-2</v>
      </c>
      <c r="AE21" s="28">
        <v>199.06800000000001</v>
      </c>
      <c r="AF21" s="29">
        <v>8.7697124472840601E-2</v>
      </c>
    </row>
    <row r="22" spans="1:32" x14ac:dyDescent="0.45">
      <c r="A22" s="10" t="s">
        <v>618</v>
      </c>
      <c r="B22" s="10"/>
      <c r="C22" s="28" t="s">
        <v>100</v>
      </c>
      <c r="D22" s="29"/>
      <c r="E22" s="28" t="s">
        <v>100</v>
      </c>
      <c r="F22" s="29"/>
      <c r="G22" s="28" t="s">
        <v>100</v>
      </c>
      <c r="H22" s="29"/>
      <c r="I22" s="28" t="s">
        <v>100</v>
      </c>
      <c r="J22" s="29"/>
      <c r="K22" s="28" t="s">
        <v>100</v>
      </c>
      <c r="L22" s="29"/>
      <c r="M22" s="28" t="s">
        <v>100</v>
      </c>
      <c r="N22" s="29"/>
      <c r="O22" s="28" t="s">
        <v>100</v>
      </c>
      <c r="P22" s="29"/>
      <c r="Q22" s="28" t="s">
        <v>100</v>
      </c>
      <c r="R22" s="29"/>
      <c r="S22" s="28" t="s">
        <v>100</v>
      </c>
      <c r="T22" s="29"/>
      <c r="U22" s="28" t="s">
        <v>100</v>
      </c>
      <c r="V22" s="29"/>
      <c r="W22" s="28">
        <v>44.079000000000001</v>
      </c>
      <c r="X22" s="29">
        <v>2.90779290345222E-2</v>
      </c>
      <c r="Y22" s="28" t="s">
        <v>100</v>
      </c>
      <c r="Z22" s="29"/>
      <c r="AA22" s="28" t="s">
        <v>100</v>
      </c>
      <c r="AB22" s="29"/>
      <c r="AC22" s="28" t="s">
        <v>100</v>
      </c>
      <c r="AD22" s="29"/>
      <c r="AE22" s="28" t="s">
        <v>100</v>
      </c>
      <c r="AF22" s="29"/>
    </row>
    <row r="23" spans="1:32" x14ac:dyDescent="0.45">
      <c r="A23" s="10" t="s">
        <v>619</v>
      </c>
      <c r="B23" s="10"/>
      <c r="C23" s="28" t="s">
        <v>100</v>
      </c>
      <c r="D23" s="29"/>
      <c r="E23" s="28" t="s">
        <v>100</v>
      </c>
      <c r="F23" s="29"/>
      <c r="G23" s="28" t="s">
        <v>100</v>
      </c>
      <c r="H23" s="29"/>
      <c r="I23" s="28" t="s">
        <v>100</v>
      </c>
      <c r="J23" s="29"/>
      <c r="K23" s="28" t="s">
        <v>100</v>
      </c>
      <c r="L23" s="29"/>
      <c r="M23" s="28" t="s">
        <v>100</v>
      </c>
      <c r="N23" s="29"/>
      <c r="O23" s="28" t="s">
        <v>100</v>
      </c>
      <c r="P23" s="29"/>
      <c r="Q23" s="28" t="s">
        <v>100</v>
      </c>
      <c r="R23" s="29"/>
      <c r="S23" s="28" t="s">
        <v>100</v>
      </c>
      <c r="T23" s="29"/>
      <c r="U23" s="28" t="s">
        <v>100</v>
      </c>
      <c r="V23" s="29"/>
      <c r="W23" s="28">
        <v>414.43299999999999</v>
      </c>
      <c r="X23" s="29">
        <v>0.273392167779763</v>
      </c>
      <c r="Y23" s="28">
        <v>409.52199999999999</v>
      </c>
      <c r="Z23" s="29">
        <v>0.24357504950047501</v>
      </c>
      <c r="AA23" s="28">
        <v>486.38499999999999</v>
      </c>
      <c r="AB23" s="29">
        <v>0.25509056151548598</v>
      </c>
      <c r="AC23" s="28">
        <v>548.54499999999996</v>
      </c>
      <c r="AD23" s="29">
        <v>0.26556810694278998</v>
      </c>
      <c r="AE23" s="28">
        <v>557.91999999999996</v>
      </c>
      <c r="AF23" s="29">
        <v>0.24578525773046001</v>
      </c>
    </row>
    <row r="24" spans="1:32" x14ac:dyDescent="0.45">
      <c r="A24" s="10" t="s">
        <v>620</v>
      </c>
      <c r="B24" s="10"/>
      <c r="C24" s="28" t="s">
        <v>100</v>
      </c>
      <c r="D24" s="29"/>
      <c r="E24" s="28" t="s">
        <v>100</v>
      </c>
      <c r="F24" s="29"/>
      <c r="G24" s="28" t="s">
        <v>100</v>
      </c>
      <c r="H24" s="29"/>
      <c r="I24" s="28" t="s">
        <v>100</v>
      </c>
      <c r="J24" s="29"/>
      <c r="K24" s="28" t="s">
        <v>100</v>
      </c>
      <c r="L24" s="29"/>
      <c r="M24" s="28" t="s">
        <v>100</v>
      </c>
      <c r="N24" s="29"/>
      <c r="O24" s="28" t="s">
        <v>100</v>
      </c>
      <c r="P24" s="29"/>
      <c r="Q24" s="28" t="s">
        <v>100</v>
      </c>
      <c r="R24" s="29"/>
      <c r="S24" s="28" t="s">
        <v>100</v>
      </c>
      <c r="T24" s="29"/>
      <c r="U24" s="28" t="s">
        <v>100</v>
      </c>
      <c r="V24" s="29"/>
      <c r="W24" s="28">
        <v>252.279</v>
      </c>
      <c r="X24" s="29">
        <v>0.16642280584632699</v>
      </c>
      <c r="Y24" s="28">
        <v>226.405</v>
      </c>
      <c r="Z24" s="29">
        <v>0.13466091951630199</v>
      </c>
      <c r="AA24" s="28">
        <v>293.28899999999999</v>
      </c>
      <c r="AB24" s="29">
        <v>0.153819002839963</v>
      </c>
      <c r="AC24" s="28">
        <v>362.346</v>
      </c>
      <c r="AD24" s="29">
        <v>0.17542324016861299</v>
      </c>
      <c r="AE24" s="28">
        <v>354.90699999999998</v>
      </c>
      <c r="AF24" s="29">
        <v>0.15635020874918301</v>
      </c>
    </row>
    <row r="25" spans="1:32" x14ac:dyDescent="0.45">
      <c r="A25" s="10" t="s">
        <v>607</v>
      </c>
      <c r="B25" s="10"/>
      <c r="C25" s="28" t="s">
        <v>100</v>
      </c>
      <c r="D25" s="29"/>
      <c r="E25" s="28" t="s">
        <v>100</v>
      </c>
      <c r="F25" s="29"/>
      <c r="G25" s="28" t="s">
        <v>100</v>
      </c>
      <c r="H25" s="29"/>
      <c r="I25" s="28" t="s">
        <v>100</v>
      </c>
      <c r="J25" s="29"/>
      <c r="K25" s="28" t="s">
        <v>100</v>
      </c>
      <c r="L25" s="29"/>
      <c r="M25" s="28" t="s">
        <v>100</v>
      </c>
      <c r="N25" s="29"/>
      <c r="O25" s="28" t="s">
        <v>100</v>
      </c>
      <c r="P25" s="29"/>
      <c r="Q25" s="28" t="s">
        <v>100</v>
      </c>
      <c r="R25" s="29"/>
      <c r="S25" s="28" t="s">
        <v>100</v>
      </c>
      <c r="T25" s="29"/>
      <c r="U25" s="28" t="s">
        <v>100</v>
      </c>
      <c r="V25" s="29"/>
      <c r="W25" s="28">
        <v>162.154</v>
      </c>
      <c r="X25" s="29">
        <v>0.10696936193343599</v>
      </c>
      <c r="Y25" s="28">
        <v>183.11699999999999</v>
      </c>
      <c r="Z25" s="29">
        <v>0.10891412998417301</v>
      </c>
      <c r="AA25" s="28">
        <v>193.096</v>
      </c>
      <c r="AB25" s="29">
        <v>0.101271558675523</v>
      </c>
      <c r="AC25" s="28">
        <v>186.19900000000001</v>
      </c>
      <c r="AD25" s="29">
        <v>9.0144866774176199E-2</v>
      </c>
      <c r="AE25" s="28">
        <v>203.01300000000001</v>
      </c>
      <c r="AF25" s="29">
        <v>8.9435048981276702E-2</v>
      </c>
    </row>
    <row r="26" spans="1:32" x14ac:dyDescent="0.45">
      <c r="A26" s="6" t="s">
        <v>572</v>
      </c>
      <c r="B26" s="6"/>
      <c r="C26" s="34" t="s">
        <v>100</v>
      </c>
      <c r="D26" s="35"/>
      <c r="E26" s="34" t="s">
        <v>100</v>
      </c>
      <c r="F26" s="35"/>
      <c r="G26" s="34" t="s">
        <v>100</v>
      </c>
      <c r="H26" s="35"/>
      <c r="I26" s="34" t="s">
        <v>100</v>
      </c>
      <c r="J26" s="35"/>
      <c r="K26" s="34" t="s">
        <v>100</v>
      </c>
      <c r="L26" s="35"/>
      <c r="M26" s="34" t="s">
        <v>100</v>
      </c>
      <c r="N26" s="35"/>
      <c r="O26" s="34" t="s">
        <v>100</v>
      </c>
      <c r="P26" s="35"/>
      <c r="Q26" s="34" t="s">
        <v>100</v>
      </c>
      <c r="R26" s="35"/>
      <c r="S26" s="34" t="s">
        <v>100</v>
      </c>
      <c r="T26" s="35"/>
      <c r="U26" s="34" t="s">
        <v>100</v>
      </c>
      <c r="V26" s="35"/>
      <c r="W26" s="34" t="s">
        <v>100</v>
      </c>
      <c r="X26" s="35"/>
      <c r="Y26" s="34" t="s">
        <v>100</v>
      </c>
      <c r="Z26" s="35"/>
      <c r="AA26" s="34" t="s">
        <v>100</v>
      </c>
      <c r="AB26" s="35"/>
      <c r="AC26" s="34" t="s">
        <v>100</v>
      </c>
      <c r="AD26" s="35"/>
      <c r="AE26" s="34" t="s">
        <v>100</v>
      </c>
      <c r="AF26" s="35"/>
    </row>
    <row r="27" spans="1:32" x14ac:dyDescent="0.45">
      <c r="A27" s="10" t="s">
        <v>616</v>
      </c>
      <c r="B27" s="10"/>
      <c r="C27" s="30" t="s">
        <v>100</v>
      </c>
      <c r="D27" s="31"/>
      <c r="E27" s="30" t="s">
        <v>100</v>
      </c>
      <c r="F27" s="31"/>
      <c r="G27" s="30" t="s">
        <v>100</v>
      </c>
      <c r="H27" s="31"/>
      <c r="I27" s="30" t="s">
        <v>100</v>
      </c>
      <c r="J27" s="31"/>
      <c r="K27" s="30" t="s">
        <v>100</v>
      </c>
      <c r="L27" s="31"/>
      <c r="M27" s="30">
        <v>36</v>
      </c>
      <c r="N27" s="31"/>
      <c r="O27" s="30">
        <v>39</v>
      </c>
      <c r="P27" s="31"/>
      <c r="Q27" s="30">
        <v>39</v>
      </c>
      <c r="R27" s="31"/>
      <c r="S27" s="30">
        <v>39</v>
      </c>
      <c r="T27" s="31"/>
      <c r="U27" s="30">
        <v>39.1</v>
      </c>
      <c r="V27" s="31"/>
      <c r="W27" s="30">
        <v>43.7</v>
      </c>
      <c r="X27" s="31"/>
      <c r="Y27" s="30">
        <v>47.8</v>
      </c>
      <c r="Z27" s="31"/>
      <c r="AA27" s="30">
        <v>47.3</v>
      </c>
      <c r="AB27" s="31"/>
      <c r="AC27" s="30">
        <v>46.9</v>
      </c>
      <c r="AD27" s="31"/>
      <c r="AE27" s="30">
        <v>48.7</v>
      </c>
      <c r="AF27" s="31"/>
    </row>
    <row r="28" spans="1:32" x14ac:dyDescent="0.45">
      <c r="A28" s="10" t="s">
        <v>617</v>
      </c>
      <c r="B28" s="10"/>
      <c r="C28" s="30" t="s">
        <v>100</v>
      </c>
      <c r="D28" s="31"/>
      <c r="E28" s="30" t="s">
        <v>100</v>
      </c>
      <c r="F28" s="31"/>
      <c r="G28" s="30" t="s">
        <v>100</v>
      </c>
      <c r="H28" s="31"/>
      <c r="I28" s="30" t="s">
        <v>100</v>
      </c>
      <c r="J28" s="31"/>
      <c r="K28" s="30" t="s">
        <v>100</v>
      </c>
      <c r="L28" s="31"/>
      <c r="M28" s="30">
        <v>34</v>
      </c>
      <c r="N28" s="31"/>
      <c r="O28" s="30">
        <v>31</v>
      </c>
      <c r="P28" s="31"/>
      <c r="Q28" s="30">
        <v>29</v>
      </c>
      <c r="R28" s="31"/>
      <c r="S28" s="30">
        <v>29</v>
      </c>
      <c r="T28" s="31"/>
      <c r="U28" s="30" t="s">
        <v>100</v>
      </c>
      <c r="V28" s="31"/>
      <c r="W28" s="30">
        <v>29</v>
      </c>
      <c r="X28" s="31"/>
      <c r="Y28" s="30">
        <v>27.9</v>
      </c>
      <c r="Z28" s="31"/>
      <c r="AA28" s="30">
        <v>27.1</v>
      </c>
      <c r="AB28" s="31"/>
      <c r="AC28" s="30">
        <v>26.5</v>
      </c>
      <c r="AD28" s="31"/>
      <c r="AE28" s="30">
        <v>26.7</v>
      </c>
      <c r="AF28" s="31"/>
    </row>
    <row r="29" spans="1:32" x14ac:dyDescent="0.45">
      <c r="A29" s="10" t="s">
        <v>606</v>
      </c>
      <c r="B29" s="10"/>
      <c r="C29" s="30" t="s">
        <v>100</v>
      </c>
      <c r="D29" s="31"/>
      <c r="E29" s="30" t="s">
        <v>100</v>
      </c>
      <c r="F29" s="31"/>
      <c r="G29" s="30" t="s">
        <v>100</v>
      </c>
      <c r="H29" s="31"/>
      <c r="I29" s="30" t="s">
        <v>100</v>
      </c>
      <c r="J29" s="31"/>
      <c r="K29" s="30" t="s">
        <v>100</v>
      </c>
      <c r="L29" s="31"/>
      <c r="M29" s="30" t="s">
        <v>100</v>
      </c>
      <c r="N29" s="31"/>
      <c r="O29" s="30" t="s">
        <v>100</v>
      </c>
      <c r="P29" s="31"/>
      <c r="Q29" s="30" t="s">
        <v>100</v>
      </c>
      <c r="R29" s="31"/>
      <c r="S29" s="30" t="s">
        <v>100</v>
      </c>
      <c r="T29" s="31"/>
      <c r="U29" s="30" t="s">
        <v>100</v>
      </c>
      <c r="V29" s="31"/>
      <c r="W29" s="30">
        <v>15.6</v>
      </c>
      <c r="X29" s="31"/>
      <c r="Y29" s="30">
        <v>18.3</v>
      </c>
      <c r="Z29" s="31"/>
      <c r="AA29" s="30">
        <v>18.8</v>
      </c>
      <c r="AB29" s="31"/>
      <c r="AC29" s="30">
        <v>16.899999999999999</v>
      </c>
      <c r="AD29" s="31"/>
      <c r="AE29" s="30">
        <v>17.899999999999999</v>
      </c>
      <c r="AF29" s="31"/>
    </row>
    <row r="30" spans="1:32" x14ac:dyDescent="0.45">
      <c r="A30" s="10" t="s">
        <v>608</v>
      </c>
      <c r="B30" s="10"/>
      <c r="C30" s="30" t="s">
        <v>100</v>
      </c>
      <c r="D30" s="31"/>
      <c r="E30" s="30" t="s">
        <v>100</v>
      </c>
      <c r="F30" s="31"/>
      <c r="G30" s="30" t="s">
        <v>100</v>
      </c>
      <c r="H30" s="31"/>
      <c r="I30" s="30" t="s">
        <v>100</v>
      </c>
      <c r="J30" s="31"/>
      <c r="K30" s="30" t="s">
        <v>100</v>
      </c>
      <c r="L30" s="31"/>
      <c r="M30" s="30" t="s">
        <v>100</v>
      </c>
      <c r="N30" s="31"/>
      <c r="O30" s="30" t="s">
        <v>100</v>
      </c>
      <c r="P30" s="31"/>
      <c r="Q30" s="30" t="s">
        <v>100</v>
      </c>
      <c r="R30" s="31"/>
      <c r="S30" s="30" t="s">
        <v>100</v>
      </c>
      <c r="T30" s="31"/>
      <c r="U30" s="30" t="s">
        <v>100</v>
      </c>
      <c r="V30" s="31"/>
      <c r="W30" s="30">
        <v>10.5</v>
      </c>
      <c r="X30" s="31"/>
      <c r="Y30" s="30">
        <v>9.6</v>
      </c>
      <c r="Z30" s="31"/>
      <c r="AA30" s="30">
        <v>8.3000000000000007</v>
      </c>
      <c r="AB30" s="31"/>
      <c r="AC30" s="30">
        <v>9.6</v>
      </c>
      <c r="AD30" s="31"/>
      <c r="AE30" s="30">
        <v>8.8000000000000007</v>
      </c>
      <c r="AF30" s="31"/>
    </row>
    <row r="31" spans="1:32" x14ac:dyDescent="0.45">
      <c r="A31" s="10" t="s">
        <v>618</v>
      </c>
      <c r="B31" s="10"/>
      <c r="C31" s="30" t="s">
        <v>100</v>
      </c>
      <c r="D31" s="31"/>
      <c r="E31" s="30" t="s">
        <v>100</v>
      </c>
      <c r="F31" s="31"/>
      <c r="G31" s="30" t="s">
        <v>100</v>
      </c>
      <c r="H31" s="31"/>
      <c r="I31" s="30" t="s">
        <v>100</v>
      </c>
      <c r="J31" s="31"/>
      <c r="K31" s="30" t="s">
        <v>100</v>
      </c>
      <c r="L31" s="31"/>
      <c r="M31" s="30" t="s">
        <v>100</v>
      </c>
      <c r="N31" s="31"/>
      <c r="O31" s="30" t="s">
        <v>100</v>
      </c>
      <c r="P31" s="31"/>
      <c r="Q31" s="30" t="s">
        <v>100</v>
      </c>
      <c r="R31" s="31"/>
      <c r="S31" s="30" t="s">
        <v>100</v>
      </c>
      <c r="T31" s="31"/>
      <c r="U31" s="30" t="s">
        <v>100</v>
      </c>
      <c r="V31" s="31"/>
      <c r="W31" s="30">
        <v>2.9</v>
      </c>
      <c r="X31" s="31"/>
      <c r="Y31" s="30" t="s">
        <v>100</v>
      </c>
      <c r="Z31" s="31"/>
      <c r="AA31" s="30" t="s">
        <v>100</v>
      </c>
      <c r="AB31" s="31"/>
      <c r="AC31" s="30" t="s">
        <v>100</v>
      </c>
      <c r="AD31" s="31"/>
      <c r="AE31" s="30" t="s">
        <v>100</v>
      </c>
      <c r="AF31" s="31"/>
    </row>
    <row r="32" spans="1:32" x14ac:dyDescent="0.45">
      <c r="A32" s="10" t="s">
        <v>619</v>
      </c>
      <c r="B32" s="10"/>
      <c r="C32" s="30" t="s">
        <v>100</v>
      </c>
      <c r="D32" s="31"/>
      <c r="E32" s="30" t="s">
        <v>100</v>
      </c>
      <c r="F32" s="31"/>
      <c r="G32" s="30" t="s">
        <v>100</v>
      </c>
      <c r="H32" s="31"/>
      <c r="I32" s="30" t="s">
        <v>100</v>
      </c>
      <c r="J32" s="31"/>
      <c r="K32" s="30" t="s">
        <v>100</v>
      </c>
      <c r="L32" s="31"/>
      <c r="M32" s="30">
        <v>30</v>
      </c>
      <c r="N32" s="31"/>
      <c r="O32" s="30">
        <v>30</v>
      </c>
      <c r="P32" s="31"/>
      <c r="Q32" s="30">
        <v>32</v>
      </c>
      <c r="R32" s="31"/>
      <c r="S32" s="30">
        <v>32</v>
      </c>
      <c r="T32" s="31"/>
      <c r="U32" s="30" t="s">
        <v>100</v>
      </c>
      <c r="V32" s="31"/>
      <c r="W32" s="30">
        <v>27.3</v>
      </c>
      <c r="X32" s="31"/>
      <c r="Y32" s="30">
        <v>24.3</v>
      </c>
      <c r="Z32" s="31"/>
      <c r="AA32" s="30">
        <v>25.5</v>
      </c>
      <c r="AB32" s="31"/>
      <c r="AC32" s="30">
        <v>26.6</v>
      </c>
      <c r="AD32" s="31"/>
      <c r="AE32" s="30">
        <v>24.5</v>
      </c>
      <c r="AF32" s="31"/>
    </row>
    <row r="33" spans="1:32" x14ac:dyDescent="0.45">
      <c r="A33" s="10" t="s">
        <v>620</v>
      </c>
      <c r="B33" s="10"/>
      <c r="C33" s="30" t="s">
        <v>100</v>
      </c>
      <c r="D33" s="31"/>
      <c r="E33" s="30" t="s">
        <v>100</v>
      </c>
      <c r="F33" s="31"/>
      <c r="G33" s="30" t="s">
        <v>100</v>
      </c>
      <c r="H33" s="31"/>
      <c r="I33" s="30" t="s">
        <v>100</v>
      </c>
      <c r="J33" s="31"/>
      <c r="K33" s="30" t="s">
        <v>100</v>
      </c>
      <c r="L33" s="31"/>
      <c r="M33" s="30" t="s">
        <v>100</v>
      </c>
      <c r="N33" s="31"/>
      <c r="O33" s="30" t="s">
        <v>100</v>
      </c>
      <c r="P33" s="31"/>
      <c r="Q33" s="30" t="s">
        <v>100</v>
      </c>
      <c r="R33" s="31"/>
      <c r="S33" s="30" t="s">
        <v>100</v>
      </c>
      <c r="T33" s="31"/>
      <c r="U33" s="30" t="s">
        <v>100</v>
      </c>
      <c r="V33" s="31"/>
      <c r="W33" s="30">
        <v>16.600000000000001</v>
      </c>
      <c r="X33" s="31"/>
      <c r="Y33" s="30">
        <v>13.5</v>
      </c>
      <c r="Z33" s="31"/>
      <c r="AA33" s="30">
        <v>15.4</v>
      </c>
      <c r="AB33" s="31"/>
      <c r="AC33" s="30">
        <v>17.5</v>
      </c>
      <c r="AD33" s="31"/>
      <c r="AE33" s="30">
        <v>15.6</v>
      </c>
      <c r="AF33" s="31"/>
    </row>
    <row r="34" spans="1:32" x14ac:dyDescent="0.45">
      <c r="A34" s="10" t="s">
        <v>607</v>
      </c>
      <c r="B34" s="10"/>
      <c r="C34" s="30" t="s">
        <v>100</v>
      </c>
      <c r="D34" s="31"/>
      <c r="E34" s="30" t="s">
        <v>100</v>
      </c>
      <c r="F34" s="31"/>
      <c r="G34" s="30" t="s">
        <v>100</v>
      </c>
      <c r="H34" s="31"/>
      <c r="I34" s="30" t="s">
        <v>100</v>
      </c>
      <c r="J34" s="31"/>
      <c r="K34" s="30" t="s">
        <v>100</v>
      </c>
      <c r="L34" s="31"/>
      <c r="M34" s="30" t="s">
        <v>100</v>
      </c>
      <c r="N34" s="31"/>
      <c r="O34" s="30" t="s">
        <v>100</v>
      </c>
      <c r="P34" s="31"/>
      <c r="Q34" s="30" t="s">
        <v>100</v>
      </c>
      <c r="R34" s="31"/>
      <c r="S34" s="30" t="s">
        <v>100</v>
      </c>
      <c r="T34" s="31"/>
      <c r="U34" s="30" t="s">
        <v>100</v>
      </c>
      <c r="V34" s="31"/>
      <c r="W34" s="30">
        <v>10.7</v>
      </c>
      <c r="X34" s="31"/>
      <c r="Y34" s="30">
        <v>10.8</v>
      </c>
      <c r="Z34" s="31"/>
      <c r="AA34" s="30">
        <v>10.1</v>
      </c>
      <c r="AB34" s="31"/>
      <c r="AC34" s="30">
        <v>9</v>
      </c>
      <c r="AD34" s="31"/>
      <c r="AE34" s="30">
        <v>8.9</v>
      </c>
      <c r="AF34" s="31"/>
    </row>
    <row r="35" spans="1:32" x14ac:dyDescent="0.45">
      <c r="A35" s="10" t="s">
        <v>621</v>
      </c>
      <c r="B35" s="10"/>
      <c r="C35" s="30" t="s">
        <v>100</v>
      </c>
      <c r="D35" s="31"/>
      <c r="E35" s="30" t="s">
        <v>100</v>
      </c>
      <c r="F35" s="31"/>
      <c r="G35" s="30" t="s">
        <v>100</v>
      </c>
      <c r="H35" s="31"/>
      <c r="I35" s="30" t="s">
        <v>100</v>
      </c>
      <c r="J35" s="31"/>
      <c r="K35" s="30" t="s">
        <v>100</v>
      </c>
      <c r="L35" s="31"/>
      <c r="M35" s="30" t="s">
        <v>100</v>
      </c>
      <c r="N35" s="31"/>
      <c r="O35" s="30" t="s">
        <v>100</v>
      </c>
      <c r="P35" s="31"/>
      <c r="Q35" s="30" t="s">
        <v>100</v>
      </c>
      <c r="R35" s="31"/>
      <c r="S35" s="30" t="s">
        <v>100</v>
      </c>
      <c r="T35" s="31"/>
      <c r="U35" s="30">
        <v>60.9</v>
      </c>
      <c r="V35" s="31"/>
      <c r="W35" s="30" t="s">
        <v>100</v>
      </c>
      <c r="X35" s="31"/>
      <c r="Y35" s="30" t="s">
        <v>100</v>
      </c>
      <c r="Z35" s="31"/>
      <c r="AA35" s="30">
        <v>45.5</v>
      </c>
      <c r="AB35" s="31"/>
      <c r="AC35" s="30" t="s">
        <v>100</v>
      </c>
      <c r="AD35" s="31"/>
      <c r="AE35" s="30" t="s">
        <v>100</v>
      </c>
      <c r="AF35" s="31"/>
    </row>
    <row r="36" spans="1:32" x14ac:dyDescent="0.45">
      <c r="A36" s="6" t="s">
        <v>575</v>
      </c>
      <c r="B36" s="6"/>
      <c r="C36" s="34" t="s">
        <v>100</v>
      </c>
      <c r="D36" s="35"/>
      <c r="E36" s="34" t="s">
        <v>100</v>
      </c>
      <c r="F36" s="35"/>
      <c r="G36" s="34" t="s">
        <v>100</v>
      </c>
      <c r="H36" s="35"/>
      <c r="I36" s="34" t="s">
        <v>100</v>
      </c>
      <c r="J36" s="35"/>
      <c r="K36" s="34" t="s">
        <v>100</v>
      </c>
      <c r="L36" s="35"/>
      <c r="M36" s="34" t="s">
        <v>100</v>
      </c>
      <c r="N36" s="35"/>
      <c r="O36" s="34" t="s">
        <v>100</v>
      </c>
      <c r="P36" s="35"/>
      <c r="Q36" s="34" t="s">
        <v>100</v>
      </c>
      <c r="R36" s="35"/>
      <c r="S36" s="34" t="s">
        <v>100</v>
      </c>
      <c r="T36" s="35"/>
      <c r="U36" s="34" t="s">
        <v>100</v>
      </c>
      <c r="V36" s="35"/>
      <c r="W36" s="34" t="s">
        <v>100</v>
      </c>
      <c r="X36" s="35"/>
      <c r="Y36" s="34" t="s">
        <v>100</v>
      </c>
      <c r="Z36" s="35"/>
      <c r="AA36" s="34" t="s">
        <v>100</v>
      </c>
      <c r="AB36" s="35"/>
      <c r="AC36" s="34" t="s">
        <v>100</v>
      </c>
      <c r="AD36" s="35"/>
      <c r="AE36" s="34" t="s">
        <v>100</v>
      </c>
      <c r="AF36" s="35"/>
    </row>
    <row r="37" spans="1:32" x14ac:dyDescent="0.45">
      <c r="A37" s="10" t="s">
        <v>616</v>
      </c>
      <c r="B37" s="10"/>
      <c r="C37" s="30" t="s">
        <v>100</v>
      </c>
      <c r="D37" s="31"/>
      <c r="E37" s="30" t="s">
        <v>100</v>
      </c>
      <c r="F37" s="31"/>
      <c r="G37" s="30" t="s">
        <v>100</v>
      </c>
      <c r="H37" s="31"/>
      <c r="I37" s="30" t="s">
        <v>100</v>
      </c>
      <c r="J37" s="31"/>
      <c r="K37" s="30" t="s">
        <v>100</v>
      </c>
      <c r="L37" s="31"/>
      <c r="M37" s="30">
        <v>9</v>
      </c>
      <c r="N37" s="31"/>
      <c r="O37" s="30">
        <v>10.4</v>
      </c>
      <c r="P37" s="31"/>
      <c r="Q37" s="30">
        <v>3.7</v>
      </c>
      <c r="R37" s="31"/>
      <c r="S37" s="30">
        <v>13.1</v>
      </c>
      <c r="T37" s="31"/>
      <c r="U37" s="30">
        <v>19.399999999999999</v>
      </c>
      <c r="V37" s="31"/>
      <c r="W37" s="30">
        <v>25.4</v>
      </c>
      <c r="X37" s="31"/>
      <c r="Y37" s="30">
        <v>21.2</v>
      </c>
      <c r="Z37" s="31"/>
      <c r="AA37" s="30">
        <v>12.3</v>
      </c>
      <c r="AB37" s="31"/>
      <c r="AC37" s="30">
        <v>7.6</v>
      </c>
      <c r="AD37" s="31"/>
      <c r="AE37" s="30">
        <v>14.2</v>
      </c>
      <c r="AF37" s="31"/>
    </row>
    <row r="38" spans="1:32" x14ac:dyDescent="0.45">
      <c r="A38" s="10" t="s">
        <v>617</v>
      </c>
      <c r="B38" s="10"/>
      <c r="C38" s="30" t="s">
        <v>100</v>
      </c>
      <c r="D38" s="31"/>
      <c r="E38" s="30" t="s">
        <v>100</v>
      </c>
      <c r="F38" s="31"/>
      <c r="G38" s="30" t="s">
        <v>100</v>
      </c>
      <c r="H38" s="31"/>
      <c r="I38" s="30" t="s">
        <v>100</v>
      </c>
      <c r="J38" s="31"/>
      <c r="K38" s="30" t="s">
        <v>100</v>
      </c>
      <c r="L38" s="31"/>
      <c r="M38" s="30">
        <v>7</v>
      </c>
      <c r="N38" s="31"/>
      <c r="O38" s="30">
        <v>5.6</v>
      </c>
      <c r="P38" s="31"/>
      <c r="Q38" s="30">
        <v>2.9</v>
      </c>
      <c r="R38" s="31"/>
      <c r="S38" s="30">
        <v>7.5</v>
      </c>
      <c r="T38" s="31"/>
      <c r="U38" s="30">
        <v>18.3</v>
      </c>
      <c r="V38" s="31"/>
      <c r="W38" s="30">
        <v>13.8</v>
      </c>
      <c r="X38" s="31"/>
      <c r="Y38" s="30">
        <v>3.8</v>
      </c>
      <c r="Z38" s="31"/>
      <c r="AA38" s="30">
        <v>9.1999999999999993</v>
      </c>
      <c r="AB38" s="31"/>
      <c r="AC38" s="30">
        <v>16.100000000000001</v>
      </c>
      <c r="AD38" s="31"/>
      <c r="AE38" s="30">
        <v>8.3000000000000007</v>
      </c>
      <c r="AF38" s="31"/>
    </row>
    <row r="39" spans="1:32" x14ac:dyDescent="0.45">
      <c r="A39" s="10" t="s">
        <v>606</v>
      </c>
      <c r="B39" s="10"/>
      <c r="C39" s="30" t="s">
        <v>100</v>
      </c>
      <c r="D39" s="31"/>
      <c r="E39" s="30" t="s">
        <v>100</v>
      </c>
      <c r="F39" s="31"/>
      <c r="G39" s="30" t="s">
        <v>100</v>
      </c>
      <c r="H39" s="31"/>
      <c r="I39" s="30" t="s">
        <v>100</v>
      </c>
      <c r="J39" s="31"/>
      <c r="K39" s="30" t="s">
        <v>100</v>
      </c>
      <c r="L39" s="31"/>
      <c r="M39" s="30" t="s">
        <v>100</v>
      </c>
      <c r="N39" s="31"/>
      <c r="O39" s="30" t="s">
        <v>100</v>
      </c>
      <c r="P39" s="31"/>
      <c r="Q39" s="30" t="s">
        <v>100</v>
      </c>
      <c r="R39" s="31"/>
      <c r="S39" s="30" t="s">
        <v>100</v>
      </c>
      <c r="T39" s="31"/>
      <c r="U39" s="30" t="s">
        <v>100</v>
      </c>
      <c r="V39" s="31"/>
      <c r="W39" s="30" t="s">
        <v>100</v>
      </c>
      <c r="X39" s="31"/>
      <c r="Y39" s="30">
        <v>1.6</v>
      </c>
      <c r="Z39" s="31"/>
      <c r="AA39" s="30">
        <v>14.9</v>
      </c>
      <c r="AB39" s="31"/>
      <c r="AC39" s="30">
        <v>6.1</v>
      </c>
      <c r="AD39" s="31"/>
      <c r="AE39" s="30">
        <v>14.5</v>
      </c>
      <c r="AF39" s="31"/>
    </row>
    <row r="40" spans="1:32" x14ac:dyDescent="0.45">
      <c r="A40" s="10" t="s">
        <v>608</v>
      </c>
      <c r="B40" s="10"/>
      <c r="C40" s="30" t="s">
        <v>100</v>
      </c>
      <c r="D40" s="31"/>
      <c r="E40" s="30" t="s">
        <v>100</v>
      </c>
      <c r="F40" s="31"/>
      <c r="G40" s="30" t="s">
        <v>100</v>
      </c>
      <c r="H40" s="31"/>
      <c r="I40" s="30" t="s">
        <v>100</v>
      </c>
      <c r="J40" s="31"/>
      <c r="K40" s="30" t="s">
        <v>100</v>
      </c>
      <c r="L40" s="31"/>
      <c r="M40" s="30" t="s">
        <v>100</v>
      </c>
      <c r="N40" s="31"/>
      <c r="O40" s="30" t="s">
        <v>100</v>
      </c>
      <c r="P40" s="31"/>
      <c r="Q40" s="30" t="s">
        <v>100</v>
      </c>
      <c r="R40" s="31"/>
      <c r="S40" s="30" t="s">
        <v>100</v>
      </c>
      <c r="T40" s="31"/>
      <c r="U40" s="30" t="s">
        <v>100</v>
      </c>
      <c r="V40" s="31"/>
      <c r="W40" s="30" t="s">
        <v>100</v>
      </c>
      <c r="X40" s="31"/>
      <c r="Y40" s="30">
        <v>-2.2999999999999998</v>
      </c>
      <c r="Z40" s="31"/>
      <c r="AA40" s="30">
        <v>-1.8</v>
      </c>
      <c r="AB40" s="31"/>
      <c r="AC40" s="30">
        <v>38.9</v>
      </c>
      <c r="AD40" s="31"/>
      <c r="AE40" s="30">
        <v>-2.6</v>
      </c>
      <c r="AF40" s="31"/>
    </row>
    <row r="41" spans="1:32" x14ac:dyDescent="0.45">
      <c r="A41" s="10" t="s">
        <v>619</v>
      </c>
      <c r="B41" s="10"/>
      <c r="C41" s="30" t="s">
        <v>100</v>
      </c>
      <c r="D41" s="31"/>
      <c r="E41" s="30" t="s">
        <v>100</v>
      </c>
      <c r="F41" s="31"/>
      <c r="G41" s="30" t="s">
        <v>100</v>
      </c>
      <c r="H41" s="31"/>
      <c r="I41" s="30" t="s">
        <v>100</v>
      </c>
      <c r="J41" s="31"/>
      <c r="K41" s="30" t="s">
        <v>100</v>
      </c>
      <c r="L41" s="31"/>
      <c r="M41" s="30">
        <v>13</v>
      </c>
      <c r="N41" s="31"/>
      <c r="O41" s="30">
        <v>7.2</v>
      </c>
      <c r="P41" s="31"/>
      <c r="Q41" s="30">
        <v>9</v>
      </c>
      <c r="R41" s="31"/>
      <c r="S41" s="30">
        <v>9.4</v>
      </c>
      <c r="T41" s="31"/>
      <c r="U41" s="30">
        <v>11.7</v>
      </c>
      <c r="V41" s="31"/>
      <c r="W41" s="30">
        <v>15.6</v>
      </c>
      <c r="X41" s="31"/>
      <c r="Y41" s="30">
        <v>-2.1</v>
      </c>
      <c r="Z41" s="31"/>
      <c r="AA41" s="30">
        <v>19.600000000000001</v>
      </c>
      <c r="AB41" s="31"/>
      <c r="AC41" s="30">
        <v>24.6</v>
      </c>
      <c r="AD41" s="31"/>
      <c r="AE41" s="30">
        <v>5</v>
      </c>
      <c r="AF41" s="31"/>
    </row>
    <row r="42" spans="1:32" x14ac:dyDescent="0.45">
      <c r="A42" s="10" t="s">
        <v>607</v>
      </c>
      <c r="B42" s="10"/>
      <c r="C42" s="30" t="s">
        <v>100</v>
      </c>
      <c r="D42" s="31"/>
      <c r="E42" s="30" t="s">
        <v>100</v>
      </c>
      <c r="F42" s="31"/>
      <c r="G42" s="30" t="s">
        <v>100</v>
      </c>
      <c r="H42" s="31"/>
      <c r="I42" s="30" t="s">
        <v>100</v>
      </c>
      <c r="J42" s="31"/>
      <c r="K42" s="30" t="s">
        <v>100</v>
      </c>
      <c r="L42" s="31"/>
      <c r="M42" s="30" t="s">
        <v>100</v>
      </c>
      <c r="N42" s="31"/>
      <c r="O42" s="30" t="s">
        <v>100</v>
      </c>
      <c r="P42" s="31"/>
      <c r="Q42" s="30" t="s">
        <v>100</v>
      </c>
      <c r="R42" s="31"/>
      <c r="S42" s="30" t="s">
        <v>100</v>
      </c>
      <c r="T42" s="31"/>
      <c r="U42" s="30" t="s">
        <v>100</v>
      </c>
      <c r="V42" s="31"/>
      <c r="W42" s="30" t="s">
        <v>100</v>
      </c>
      <c r="X42" s="31"/>
      <c r="Y42" s="30">
        <v>10.4</v>
      </c>
      <c r="Z42" s="31"/>
      <c r="AA42" s="30">
        <v>8.5</v>
      </c>
      <c r="AB42" s="31"/>
      <c r="AC42" s="30">
        <v>14.5</v>
      </c>
      <c r="AD42" s="31"/>
      <c r="AE42" s="30">
        <v>16.2</v>
      </c>
      <c r="AF42" s="31"/>
    </row>
    <row r="43" spans="1:32" x14ac:dyDescent="0.45">
      <c r="A43" s="10" t="s">
        <v>620</v>
      </c>
      <c r="B43" s="10"/>
      <c r="C43" s="30" t="s">
        <v>100</v>
      </c>
      <c r="D43" s="31"/>
      <c r="E43" s="30" t="s">
        <v>100</v>
      </c>
      <c r="F43" s="31"/>
      <c r="G43" s="30" t="s">
        <v>100</v>
      </c>
      <c r="H43" s="31"/>
      <c r="I43" s="30" t="s">
        <v>100</v>
      </c>
      <c r="J43" s="31"/>
      <c r="K43" s="30" t="s">
        <v>100</v>
      </c>
      <c r="L43" s="31"/>
      <c r="M43" s="30" t="s">
        <v>100</v>
      </c>
      <c r="N43" s="31"/>
      <c r="O43" s="30" t="s">
        <v>100</v>
      </c>
      <c r="P43" s="31"/>
      <c r="Q43" s="30" t="s">
        <v>100</v>
      </c>
      <c r="R43" s="31"/>
      <c r="S43" s="30" t="s">
        <v>100</v>
      </c>
      <c r="T43" s="31"/>
      <c r="U43" s="30" t="s">
        <v>100</v>
      </c>
      <c r="V43" s="31"/>
      <c r="W43" s="30" t="s">
        <v>100</v>
      </c>
      <c r="X43" s="31"/>
      <c r="Y43" s="30">
        <v>-10.1</v>
      </c>
      <c r="Z43" s="31"/>
      <c r="AA43" s="30">
        <v>28.5</v>
      </c>
      <c r="AB43" s="31"/>
      <c r="AC43" s="30">
        <v>31.3</v>
      </c>
      <c r="AD43" s="31"/>
      <c r="AE43" s="30">
        <v>-0.8</v>
      </c>
      <c r="AF43" s="31"/>
    </row>
    <row r="44" spans="1:32" x14ac:dyDescent="0.45">
      <c r="A44" s="6" t="s">
        <v>118</v>
      </c>
      <c r="B44" s="6"/>
      <c r="C44" s="32">
        <v>173.529</v>
      </c>
      <c r="D44" s="33">
        <v>1</v>
      </c>
      <c r="E44" s="32">
        <v>216.39400000000001</v>
      </c>
      <c r="F44" s="33">
        <v>1</v>
      </c>
      <c r="G44" s="32">
        <v>264.858</v>
      </c>
      <c r="H44" s="33">
        <v>1</v>
      </c>
      <c r="I44" s="32">
        <v>293.54700000000003</v>
      </c>
      <c r="J44" s="33">
        <v>1</v>
      </c>
      <c r="K44" s="32">
        <v>322.48899999999998</v>
      </c>
      <c r="L44" s="33">
        <v>1</v>
      </c>
      <c r="M44" s="32">
        <v>348.13900000000001</v>
      </c>
      <c r="N44" s="33">
        <v>1</v>
      </c>
      <c r="O44" s="32">
        <v>356.76499999999999</v>
      </c>
      <c r="P44" s="33">
        <v>1</v>
      </c>
      <c r="Q44" s="32">
        <v>380.315</v>
      </c>
      <c r="R44" s="33">
        <v>1</v>
      </c>
      <c r="S44" s="32">
        <v>395.69400000000002</v>
      </c>
      <c r="T44" s="33">
        <v>1</v>
      </c>
      <c r="U44" s="32">
        <v>487.08499999999998</v>
      </c>
      <c r="V44" s="33">
        <v>1</v>
      </c>
      <c r="W44" s="32">
        <v>522.58299999999997</v>
      </c>
      <c r="X44" s="33">
        <v>1</v>
      </c>
      <c r="Y44" s="32">
        <v>493.92500000000001</v>
      </c>
      <c r="Z44" s="33">
        <v>1</v>
      </c>
      <c r="AA44" s="32">
        <v>515.35400000000004</v>
      </c>
      <c r="AB44" s="33">
        <v>1</v>
      </c>
      <c r="AC44" s="32">
        <v>575.31500000000005</v>
      </c>
      <c r="AD44" s="33">
        <v>1</v>
      </c>
      <c r="AE44" s="32">
        <v>592.13800000000003</v>
      </c>
      <c r="AF44" s="33">
        <v>1</v>
      </c>
    </row>
    <row r="45" spans="1:32" x14ac:dyDescent="0.45">
      <c r="A45" s="10" t="s">
        <v>614</v>
      </c>
      <c r="B45" s="10"/>
      <c r="C45" s="28">
        <v>128.173</v>
      </c>
      <c r="D45" s="29">
        <v>0.73862582046804903</v>
      </c>
      <c r="E45" s="28">
        <v>162.92099999999999</v>
      </c>
      <c r="F45" s="29">
        <v>0.75289056073643401</v>
      </c>
      <c r="G45" s="28">
        <v>205.96600000000001</v>
      </c>
      <c r="H45" s="29">
        <v>0.77764689003164</v>
      </c>
      <c r="I45" s="28">
        <v>234.49700000000001</v>
      </c>
      <c r="J45" s="29">
        <v>0.79883970880302002</v>
      </c>
      <c r="K45" s="28">
        <v>272.56900000000002</v>
      </c>
      <c r="L45" s="29">
        <v>0.84520402246278103</v>
      </c>
      <c r="M45" s="28">
        <v>291.04199999999997</v>
      </c>
      <c r="N45" s="29">
        <v>0.83599366919535001</v>
      </c>
      <c r="O45" s="28">
        <v>325.09699999999998</v>
      </c>
      <c r="P45" s="29">
        <v>0.91123568735722404</v>
      </c>
      <c r="Q45" s="28">
        <v>340.25099999999998</v>
      </c>
      <c r="R45" s="29">
        <v>0.89465574589484997</v>
      </c>
      <c r="S45" s="28">
        <v>344.447</v>
      </c>
      <c r="T45" s="29">
        <v>0.87048830662077303</v>
      </c>
      <c r="U45" s="28">
        <v>455.47800000000001</v>
      </c>
      <c r="V45" s="29">
        <v>0.93510988841783305</v>
      </c>
      <c r="W45" s="28">
        <v>448.27100000000002</v>
      </c>
      <c r="X45" s="29">
        <v>0.85779866547515005</v>
      </c>
      <c r="Y45" s="28">
        <v>465.38200000000001</v>
      </c>
      <c r="Z45" s="29">
        <v>0.94221187427241004</v>
      </c>
      <c r="AA45" s="28">
        <v>460.39499999999998</v>
      </c>
      <c r="AB45" s="29">
        <v>0.893356799403905</v>
      </c>
      <c r="AC45" s="28">
        <v>504.79700000000003</v>
      </c>
      <c r="AD45" s="29">
        <v>0.87742714860554705</v>
      </c>
      <c r="AE45" s="28">
        <v>458.58100000000002</v>
      </c>
      <c r="AF45" s="29">
        <v>0.77444953710114905</v>
      </c>
    </row>
    <row r="46" spans="1:32" x14ac:dyDescent="0.45">
      <c r="A46" s="10" t="s">
        <v>605</v>
      </c>
      <c r="B46" s="10"/>
      <c r="C46" s="28">
        <v>45.356000000000002</v>
      </c>
      <c r="D46" s="29">
        <v>0.26137417953195102</v>
      </c>
      <c r="E46" s="28">
        <v>53.472999999999999</v>
      </c>
      <c r="F46" s="29">
        <v>0.24710943926356599</v>
      </c>
      <c r="G46" s="28">
        <v>58.892000000000003</v>
      </c>
      <c r="H46" s="29">
        <v>0.22235310996836</v>
      </c>
      <c r="I46" s="28">
        <v>59.05</v>
      </c>
      <c r="J46" s="29">
        <v>0.20116029119698001</v>
      </c>
      <c r="K46" s="28">
        <v>49.92</v>
      </c>
      <c r="L46" s="29">
        <v>0.15479597753721799</v>
      </c>
      <c r="M46" s="28">
        <v>57.097000000000001</v>
      </c>
      <c r="N46" s="29">
        <v>0.16400633080464999</v>
      </c>
      <c r="O46" s="28">
        <v>31.667999999999999</v>
      </c>
      <c r="P46" s="29">
        <v>8.8764312642775997E-2</v>
      </c>
      <c r="Q46" s="28">
        <v>40.064</v>
      </c>
      <c r="R46" s="29">
        <v>0.10534425410515</v>
      </c>
      <c r="S46" s="28">
        <v>51.247</v>
      </c>
      <c r="T46" s="29">
        <v>0.12951169337922699</v>
      </c>
      <c r="U46" s="28">
        <v>31.606999999999999</v>
      </c>
      <c r="V46" s="29">
        <v>6.4890111582167398E-2</v>
      </c>
      <c r="W46" s="28">
        <v>74.311999999999998</v>
      </c>
      <c r="X46" s="29">
        <v>0.14220133452485101</v>
      </c>
      <c r="Y46" s="28">
        <v>28.542999999999999</v>
      </c>
      <c r="Z46" s="29">
        <v>5.7788125727590199E-2</v>
      </c>
      <c r="AA46" s="28">
        <v>54.959000000000003</v>
      </c>
      <c r="AB46" s="29">
        <v>0.106643200596095</v>
      </c>
      <c r="AC46" s="28">
        <v>70.518000000000001</v>
      </c>
      <c r="AD46" s="29">
        <v>0.12257285139445299</v>
      </c>
      <c r="AE46" s="28">
        <v>133.55699999999999</v>
      </c>
      <c r="AF46" s="29">
        <v>0.225550462898851</v>
      </c>
    </row>
    <row r="47" spans="1:32" x14ac:dyDescent="0.45">
      <c r="A47" s="6" t="s">
        <v>584</v>
      </c>
      <c r="B47" s="6"/>
      <c r="C47" s="34" t="s">
        <v>100</v>
      </c>
      <c r="D47" s="35"/>
      <c r="E47" s="34" t="s">
        <v>100</v>
      </c>
      <c r="F47" s="35"/>
      <c r="G47" s="34" t="s">
        <v>100</v>
      </c>
      <c r="H47" s="35"/>
      <c r="I47" s="34" t="s">
        <v>100</v>
      </c>
      <c r="J47" s="35"/>
      <c r="K47" s="34" t="s">
        <v>100</v>
      </c>
      <c r="L47" s="35"/>
      <c r="M47" s="34" t="s">
        <v>100</v>
      </c>
      <c r="N47" s="35"/>
      <c r="O47" s="34" t="s">
        <v>100</v>
      </c>
      <c r="P47" s="35"/>
      <c r="Q47" s="34" t="s">
        <v>100</v>
      </c>
      <c r="R47" s="35"/>
      <c r="S47" s="34" t="s">
        <v>100</v>
      </c>
      <c r="T47" s="35"/>
      <c r="U47" s="34" t="s">
        <v>100</v>
      </c>
      <c r="V47" s="35"/>
      <c r="W47" s="34" t="s">
        <v>100</v>
      </c>
      <c r="X47" s="35"/>
      <c r="Y47" s="34" t="s">
        <v>100</v>
      </c>
      <c r="Z47" s="35"/>
      <c r="AA47" s="34" t="s">
        <v>100</v>
      </c>
      <c r="AB47" s="35"/>
      <c r="AC47" s="34" t="s">
        <v>100</v>
      </c>
      <c r="AD47" s="35"/>
      <c r="AE47" s="34" t="s">
        <v>100</v>
      </c>
      <c r="AF47" s="35"/>
    </row>
    <row r="48" spans="1:32" x14ac:dyDescent="0.45">
      <c r="A48" s="10" t="s">
        <v>616</v>
      </c>
      <c r="B48" s="10"/>
      <c r="C48" s="30" t="s">
        <v>100</v>
      </c>
      <c r="D48" s="31"/>
      <c r="E48" s="30" t="s">
        <v>100</v>
      </c>
      <c r="F48" s="31"/>
      <c r="G48" s="30" t="s">
        <v>100</v>
      </c>
      <c r="H48" s="31"/>
      <c r="I48" s="30" t="s">
        <v>100</v>
      </c>
      <c r="J48" s="31"/>
      <c r="K48" s="30" t="s">
        <v>100</v>
      </c>
      <c r="L48" s="31"/>
      <c r="M48" s="30" t="s">
        <v>100</v>
      </c>
      <c r="N48" s="31"/>
      <c r="O48" s="30" t="s">
        <v>100</v>
      </c>
      <c r="P48" s="31"/>
      <c r="Q48" s="30" t="s">
        <v>100</v>
      </c>
      <c r="R48" s="31"/>
      <c r="S48" s="30" t="s">
        <v>100</v>
      </c>
      <c r="T48" s="31"/>
      <c r="U48" s="30" t="s">
        <v>100</v>
      </c>
      <c r="V48" s="31"/>
      <c r="W48" s="30" t="s">
        <v>100</v>
      </c>
      <c r="X48" s="31"/>
      <c r="Y48" s="30">
        <v>21.1</v>
      </c>
      <c r="Z48" s="31"/>
      <c r="AA48" s="30">
        <v>12.4</v>
      </c>
      <c r="AB48" s="31"/>
      <c r="AC48" s="30">
        <v>7.4</v>
      </c>
      <c r="AD48" s="31"/>
      <c r="AE48" s="30">
        <v>14.1</v>
      </c>
      <c r="AF48" s="31"/>
    </row>
    <row r="49" spans="1:32" x14ac:dyDescent="0.45">
      <c r="A49" s="10" t="s">
        <v>617</v>
      </c>
      <c r="B49" s="10"/>
      <c r="C49" s="30" t="s">
        <v>100</v>
      </c>
      <c r="D49" s="31"/>
      <c r="E49" s="30" t="s">
        <v>100</v>
      </c>
      <c r="F49" s="31"/>
      <c r="G49" s="30" t="s">
        <v>100</v>
      </c>
      <c r="H49" s="31"/>
      <c r="I49" s="30" t="s">
        <v>100</v>
      </c>
      <c r="J49" s="31"/>
      <c r="K49" s="30" t="s">
        <v>100</v>
      </c>
      <c r="L49" s="31"/>
      <c r="M49" s="30" t="s">
        <v>100</v>
      </c>
      <c r="N49" s="31"/>
      <c r="O49" s="30" t="s">
        <v>100</v>
      </c>
      <c r="P49" s="31"/>
      <c r="Q49" s="30" t="s">
        <v>100</v>
      </c>
      <c r="R49" s="31"/>
      <c r="S49" s="30" t="s">
        <v>100</v>
      </c>
      <c r="T49" s="31"/>
      <c r="U49" s="30" t="s">
        <v>100</v>
      </c>
      <c r="V49" s="31"/>
      <c r="W49" s="30" t="s">
        <v>100</v>
      </c>
      <c r="X49" s="31"/>
      <c r="Y49" s="30">
        <v>6.9</v>
      </c>
      <c r="Z49" s="31"/>
      <c r="AA49" s="30">
        <v>10.4</v>
      </c>
      <c r="AB49" s="31"/>
      <c r="AC49" s="30">
        <v>5.8</v>
      </c>
      <c r="AD49" s="31"/>
      <c r="AE49" s="30">
        <v>10.6</v>
      </c>
      <c r="AF49" s="31"/>
    </row>
    <row r="50" spans="1:32" x14ac:dyDescent="0.45">
      <c r="A50" s="10" t="s">
        <v>606</v>
      </c>
      <c r="B50" s="10"/>
      <c r="C50" s="30" t="s">
        <v>100</v>
      </c>
      <c r="D50" s="31"/>
      <c r="E50" s="30" t="s">
        <v>100</v>
      </c>
      <c r="F50" s="31"/>
      <c r="G50" s="30" t="s">
        <v>100</v>
      </c>
      <c r="H50" s="31"/>
      <c r="I50" s="30" t="s">
        <v>100</v>
      </c>
      <c r="J50" s="31"/>
      <c r="K50" s="30" t="s">
        <v>100</v>
      </c>
      <c r="L50" s="31"/>
      <c r="M50" s="30" t="s">
        <v>100</v>
      </c>
      <c r="N50" s="31"/>
      <c r="O50" s="30" t="s">
        <v>100</v>
      </c>
      <c r="P50" s="31"/>
      <c r="Q50" s="30" t="s">
        <v>100</v>
      </c>
      <c r="R50" s="31"/>
      <c r="S50" s="30" t="s">
        <v>100</v>
      </c>
      <c r="T50" s="31"/>
      <c r="U50" s="30" t="s">
        <v>100</v>
      </c>
      <c r="V50" s="31"/>
      <c r="W50" s="30" t="s">
        <v>100</v>
      </c>
      <c r="X50" s="31"/>
      <c r="Y50" s="30">
        <v>4.3</v>
      </c>
      <c r="Z50" s="31"/>
      <c r="AA50" s="30">
        <v>16.600000000000001</v>
      </c>
      <c r="AB50" s="31"/>
      <c r="AC50" s="30">
        <v>-2.8</v>
      </c>
      <c r="AD50" s="31"/>
      <c r="AE50" s="30">
        <v>16.5</v>
      </c>
      <c r="AF50" s="31"/>
    </row>
    <row r="51" spans="1:32" x14ac:dyDescent="0.45">
      <c r="A51" s="10" t="s">
        <v>608</v>
      </c>
      <c r="B51" s="10"/>
      <c r="C51" s="30" t="s">
        <v>100</v>
      </c>
      <c r="D51" s="31"/>
      <c r="E51" s="30" t="s">
        <v>100</v>
      </c>
      <c r="F51" s="31"/>
      <c r="G51" s="30" t="s">
        <v>100</v>
      </c>
      <c r="H51" s="31"/>
      <c r="I51" s="30" t="s">
        <v>100</v>
      </c>
      <c r="J51" s="31"/>
      <c r="K51" s="30" t="s">
        <v>100</v>
      </c>
      <c r="L51" s="31"/>
      <c r="M51" s="30" t="s">
        <v>100</v>
      </c>
      <c r="N51" s="31"/>
      <c r="O51" s="30" t="s">
        <v>100</v>
      </c>
      <c r="P51" s="31"/>
      <c r="Q51" s="30" t="s">
        <v>100</v>
      </c>
      <c r="R51" s="31"/>
      <c r="S51" s="30" t="s">
        <v>100</v>
      </c>
      <c r="T51" s="31"/>
      <c r="U51" s="30" t="s">
        <v>100</v>
      </c>
      <c r="V51" s="31"/>
      <c r="W51" s="30" t="s">
        <v>100</v>
      </c>
      <c r="X51" s="31"/>
      <c r="Y51" s="30">
        <v>1.2</v>
      </c>
      <c r="Z51" s="31"/>
      <c r="AA51" s="30">
        <v>-1.4</v>
      </c>
      <c r="AB51" s="31"/>
      <c r="AC51" s="30">
        <v>25.3</v>
      </c>
      <c r="AD51" s="31"/>
      <c r="AE51" s="30">
        <v>0.2</v>
      </c>
      <c r="AF51" s="31"/>
    </row>
    <row r="52" spans="1:32" x14ac:dyDescent="0.45">
      <c r="A52" s="10" t="s">
        <v>619</v>
      </c>
      <c r="B52" s="10"/>
      <c r="C52" s="30" t="s">
        <v>100</v>
      </c>
      <c r="D52" s="31"/>
      <c r="E52" s="30" t="s">
        <v>100</v>
      </c>
      <c r="F52" s="31"/>
      <c r="G52" s="30" t="s">
        <v>100</v>
      </c>
      <c r="H52" s="31"/>
      <c r="I52" s="30" t="s">
        <v>100</v>
      </c>
      <c r="J52" s="31"/>
      <c r="K52" s="30" t="s">
        <v>100</v>
      </c>
      <c r="L52" s="31"/>
      <c r="M52" s="30" t="s">
        <v>100</v>
      </c>
      <c r="N52" s="31"/>
      <c r="O52" s="30" t="s">
        <v>100</v>
      </c>
      <c r="P52" s="31"/>
      <c r="Q52" s="30" t="s">
        <v>100</v>
      </c>
      <c r="R52" s="31"/>
      <c r="S52" s="30" t="s">
        <v>100</v>
      </c>
      <c r="T52" s="31"/>
      <c r="U52" s="30" t="s">
        <v>100</v>
      </c>
      <c r="V52" s="31"/>
      <c r="W52" s="30" t="s">
        <v>100</v>
      </c>
      <c r="X52" s="31"/>
      <c r="Y52" s="30">
        <v>-1.2</v>
      </c>
      <c r="Z52" s="31"/>
      <c r="AA52" s="30">
        <v>18.8</v>
      </c>
      <c r="AB52" s="31"/>
      <c r="AC52" s="30">
        <v>12.8</v>
      </c>
      <c r="AD52" s="31"/>
      <c r="AE52" s="30">
        <v>1.7</v>
      </c>
      <c r="AF52" s="31"/>
    </row>
    <row r="53" spans="1:32" x14ac:dyDescent="0.45">
      <c r="A53" s="10" t="s">
        <v>607</v>
      </c>
      <c r="B53" s="10"/>
      <c r="C53" s="30" t="s">
        <v>100</v>
      </c>
      <c r="D53" s="31"/>
      <c r="E53" s="30" t="s">
        <v>100</v>
      </c>
      <c r="F53" s="31"/>
      <c r="G53" s="30" t="s">
        <v>100</v>
      </c>
      <c r="H53" s="31"/>
      <c r="I53" s="30" t="s">
        <v>100</v>
      </c>
      <c r="J53" s="31"/>
      <c r="K53" s="30" t="s">
        <v>100</v>
      </c>
      <c r="L53" s="31"/>
      <c r="M53" s="30" t="s">
        <v>100</v>
      </c>
      <c r="N53" s="31"/>
      <c r="O53" s="30" t="s">
        <v>100</v>
      </c>
      <c r="P53" s="31"/>
      <c r="Q53" s="30" t="s">
        <v>100</v>
      </c>
      <c r="R53" s="31"/>
      <c r="S53" s="30" t="s">
        <v>100</v>
      </c>
      <c r="T53" s="31"/>
      <c r="U53" s="30" t="s">
        <v>100</v>
      </c>
      <c r="V53" s="31"/>
      <c r="W53" s="30" t="s">
        <v>100</v>
      </c>
      <c r="X53" s="31"/>
      <c r="Y53" s="30">
        <v>12.9</v>
      </c>
      <c r="Z53" s="31"/>
      <c r="AA53" s="30">
        <v>5.4</v>
      </c>
      <c r="AB53" s="31"/>
      <c r="AC53" s="30">
        <v>-3.6</v>
      </c>
      <c r="AD53" s="31"/>
      <c r="AE53" s="30">
        <v>9</v>
      </c>
      <c r="AF53" s="31"/>
    </row>
    <row r="54" spans="1:32" x14ac:dyDescent="0.45">
      <c r="A54" s="10" t="s">
        <v>620</v>
      </c>
      <c r="B54" s="10"/>
      <c r="C54" s="30" t="s">
        <v>100</v>
      </c>
      <c r="D54" s="31"/>
      <c r="E54" s="30" t="s">
        <v>100</v>
      </c>
      <c r="F54" s="31"/>
      <c r="G54" s="30" t="s">
        <v>100</v>
      </c>
      <c r="H54" s="31"/>
      <c r="I54" s="30" t="s">
        <v>100</v>
      </c>
      <c r="J54" s="31"/>
      <c r="K54" s="30" t="s">
        <v>100</v>
      </c>
      <c r="L54" s="31"/>
      <c r="M54" s="30" t="s">
        <v>100</v>
      </c>
      <c r="N54" s="31"/>
      <c r="O54" s="30" t="s">
        <v>100</v>
      </c>
      <c r="P54" s="31"/>
      <c r="Q54" s="30" t="s">
        <v>100</v>
      </c>
      <c r="R54" s="31"/>
      <c r="S54" s="30" t="s">
        <v>100</v>
      </c>
      <c r="T54" s="31"/>
      <c r="U54" s="30" t="s">
        <v>100</v>
      </c>
      <c r="V54" s="31"/>
      <c r="W54" s="30" t="s">
        <v>100</v>
      </c>
      <c r="X54" s="31"/>
      <c r="Y54" s="30">
        <v>-10.3</v>
      </c>
      <c r="Z54" s="31"/>
      <c r="AA54" s="30">
        <v>29.5</v>
      </c>
      <c r="AB54" s="31"/>
      <c r="AC54" s="30">
        <v>23.5</v>
      </c>
      <c r="AD54" s="31"/>
      <c r="AE54" s="30">
        <v>-2.1</v>
      </c>
      <c r="AF54" s="31"/>
    </row>
    <row r="55" spans="1:32" x14ac:dyDescent="0.45">
      <c r="A55" s="6" t="s">
        <v>622</v>
      </c>
      <c r="B55" s="6"/>
      <c r="C55" s="32" t="s">
        <v>100</v>
      </c>
      <c r="D55" s="33"/>
      <c r="E55" s="32" t="s">
        <v>100</v>
      </c>
      <c r="F55" s="33"/>
      <c r="G55" s="32" t="s">
        <v>100</v>
      </c>
      <c r="H55" s="33"/>
      <c r="I55" s="32" t="s">
        <v>100</v>
      </c>
      <c r="J55" s="33"/>
      <c r="K55" s="32" t="s">
        <v>100</v>
      </c>
      <c r="L55" s="33"/>
      <c r="M55" s="32" t="s">
        <v>100</v>
      </c>
      <c r="N55" s="33"/>
      <c r="O55" s="32" t="s">
        <v>100</v>
      </c>
      <c r="P55" s="33"/>
      <c r="Q55" s="32">
        <v>-2.2469999999999999</v>
      </c>
      <c r="R55" s="33"/>
      <c r="S55" s="32">
        <v>5.3940000000000001</v>
      </c>
      <c r="T55" s="33">
        <v>1</v>
      </c>
      <c r="U55" s="32">
        <v>14.622</v>
      </c>
      <c r="V55" s="33">
        <v>1</v>
      </c>
      <c r="W55" s="32">
        <v>-24.007999999999999</v>
      </c>
      <c r="X55" s="33"/>
      <c r="Y55" s="32">
        <v>16.841000000000001</v>
      </c>
      <c r="Z55" s="33">
        <v>1</v>
      </c>
      <c r="AA55" s="32">
        <v>3.431</v>
      </c>
      <c r="AB55" s="33">
        <v>1</v>
      </c>
      <c r="AC55" s="32">
        <v>-112.742</v>
      </c>
      <c r="AD55" s="33"/>
      <c r="AE55" s="32">
        <v>-5.7530000000000001</v>
      </c>
      <c r="AF55" s="33"/>
    </row>
    <row r="56" spans="1:32" x14ac:dyDescent="0.45">
      <c r="A56" s="10" t="s">
        <v>623</v>
      </c>
      <c r="B56" s="10"/>
      <c r="C56" s="28" t="s">
        <v>100</v>
      </c>
      <c r="D56" s="29"/>
      <c r="E56" s="28" t="s">
        <v>100</v>
      </c>
      <c r="F56" s="29"/>
      <c r="G56" s="28" t="s">
        <v>100</v>
      </c>
      <c r="H56" s="29"/>
      <c r="I56" s="28" t="s">
        <v>100</v>
      </c>
      <c r="J56" s="29"/>
      <c r="K56" s="28" t="s">
        <v>100</v>
      </c>
      <c r="L56" s="29"/>
      <c r="M56" s="28" t="s">
        <v>100</v>
      </c>
      <c r="N56" s="29"/>
      <c r="O56" s="28" t="s">
        <v>100</v>
      </c>
      <c r="P56" s="29"/>
      <c r="Q56" s="28">
        <v>-5.5949999999999998</v>
      </c>
      <c r="R56" s="29">
        <v>2.4899866488651501</v>
      </c>
      <c r="S56" s="28">
        <v>6.6340000000000003</v>
      </c>
      <c r="T56" s="29">
        <v>1.2298850574712601</v>
      </c>
      <c r="U56" s="28">
        <v>12.497999999999999</v>
      </c>
      <c r="V56" s="29">
        <v>0.85473943372999595</v>
      </c>
      <c r="W56" s="28">
        <v>-17.361000000000001</v>
      </c>
      <c r="X56" s="29">
        <v>0.72313395534821701</v>
      </c>
      <c r="Y56" s="28">
        <v>11.803000000000001</v>
      </c>
      <c r="Z56" s="29">
        <v>0.70084911822338303</v>
      </c>
      <c r="AA56" s="28">
        <v>1.99</v>
      </c>
      <c r="AB56" s="29">
        <v>0.58000582920431398</v>
      </c>
      <c r="AC56" s="28">
        <v>-47.963000000000001</v>
      </c>
      <c r="AD56" s="29">
        <v>0.42542264639619698</v>
      </c>
      <c r="AE56" s="28">
        <v>13.179</v>
      </c>
      <c r="AF56" s="29">
        <v>-2.2908047974969601</v>
      </c>
    </row>
    <row r="57" spans="1:32" x14ac:dyDescent="0.45">
      <c r="A57" s="10" t="s">
        <v>624</v>
      </c>
      <c r="B57" s="10"/>
      <c r="C57" s="28" t="s">
        <v>100</v>
      </c>
      <c r="D57" s="29"/>
      <c r="E57" s="28" t="s">
        <v>100</v>
      </c>
      <c r="F57" s="29"/>
      <c r="G57" s="28" t="s">
        <v>100</v>
      </c>
      <c r="H57" s="29"/>
      <c r="I57" s="28" t="s">
        <v>100</v>
      </c>
      <c r="J57" s="29"/>
      <c r="K57" s="28" t="s">
        <v>100</v>
      </c>
      <c r="L57" s="29"/>
      <c r="M57" s="28" t="s">
        <v>100</v>
      </c>
      <c r="N57" s="29"/>
      <c r="O57" s="28" t="s">
        <v>100</v>
      </c>
      <c r="P57" s="29"/>
      <c r="Q57" s="28">
        <v>-0.41599999999999998</v>
      </c>
      <c r="R57" s="29">
        <v>0.18513573653760601</v>
      </c>
      <c r="S57" s="28">
        <v>0.32900000000000001</v>
      </c>
      <c r="T57" s="29">
        <v>6.0993696700037098E-2</v>
      </c>
      <c r="U57" s="28">
        <v>-0.129</v>
      </c>
      <c r="V57" s="29">
        <v>-8.82232252769799E-3</v>
      </c>
      <c r="W57" s="28">
        <v>-1.46</v>
      </c>
      <c r="X57" s="29">
        <v>6.0813062312562498E-2</v>
      </c>
      <c r="Y57" s="28">
        <v>-0.189</v>
      </c>
      <c r="Z57" s="29">
        <v>-1.1222611483878601E-2</v>
      </c>
      <c r="AA57" s="28">
        <v>2.3879999999999999</v>
      </c>
      <c r="AB57" s="29">
        <v>0.69600699504517605</v>
      </c>
      <c r="AC57" s="28">
        <v>-0.17699999999999999</v>
      </c>
      <c r="AD57" s="29">
        <v>1.5699561831438199E-3</v>
      </c>
      <c r="AE57" s="28">
        <v>-0.81100000000000005</v>
      </c>
      <c r="AF57" s="29">
        <v>0.14096992873283501</v>
      </c>
    </row>
    <row r="58" spans="1:32" x14ac:dyDescent="0.45">
      <c r="A58" s="10" t="s">
        <v>625</v>
      </c>
      <c r="B58" s="10"/>
      <c r="C58" s="28" t="s">
        <v>100</v>
      </c>
      <c r="D58" s="29"/>
      <c r="E58" s="28" t="s">
        <v>100</v>
      </c>
      <c r="F58" s="29"/>
      <c r="G58" s="28" t="s">
        <v>100</v>
      </c>
      <c r="H58" s="29"/>
      <c r="I58" s="28" t="s">
        <v>100</v>
      </c>
      <c r="J58" s="29"/>
      <c r="K58" s="28" t="s">
        <v>100</v>
      </c>
      <c r="L58" s="29"/>
      <c r="M58" s="28" t="s">
        <v>100</v>
      </c>
      <c r="N58" s="29"/>
      <c r="O58" s="28" t="s">
        <v>100</v>
      </c>
      <c r="P58" s="29"/>
      <c r="Q58" s="28">
        <v>-1.72</v>
      </c>
      <c r="R58" s="29">
        <v>0.76546506453048502</v>
      </c>
      <c r="S58" s="28">
        <v>1.4390000000000001</v>
      </c>
      <c r="T58" s="29">
        <v>0.266777901371895</v>
      </c>
      <c r="U58" s="28">
        <v>0.91800000000000004</v>
      </c>
      <c r="V58" s="29">
        <v>6.2782109150594997E-2</v>
      </c>
      <c r="W58" s="28">
        <v>-5.0970000000000004</v>
      </c>
      <c r="X58" s="29">
        <v>0.21230423192269199</v>
      </c>
      <c r="Y58" s="28" t="s">
        <v>100</v>
      </c>
      <c r="Z58" s="29"/>
      <c r="AA58" s="28" t="s">
        <v>100</v>
      </c>
      <c r="AB58" s="29"/>
      <c r="AC58" s="28">
        <v>-17.472999999999999</v>
      </c>
      <c r="AD58" s="29">
        <v>0.15498217168402201</v>
      </c>
      <c r="AE58" s="28">
        <v>-1.01</v>
      </c>
      <c r="AF58" s="29">
        <v>0.175560577090214</v>
      </c>
    </row>
    <row r="59" spans="1:32" x14ac:dyDescent="0.45">
      <c r="A59" s="10" t="s">
        <v>626</v>
      </c>
      <c r="B59" s="10"/>
      <c r="C59" s="28" t="s">
        <v>100</v>
      </c>
      <c r="D59" s="29"/>
      <c r="E59" s="28" t="s">
        <v>100</v>
      </c>
      <c r="F59" s="29"/>
      <c r="G59" s="28" t="s">
        <v>100</v>
      </c>
      <c r="H59" s="29"/>
      <c r="I59" s="28" t="s">
        <v>100</v>
      </c>
      <c r="J59" s="29"/>
      <c r="K59" s="28" t="s">
        <v>100</v>
      </c>
      <c r="L59" s="29"/>
      <c r="M59" s="28" t="s">
        <v>100</v>
      </c>
      <c r="N59" s="29"/>
      <c r="O59" s="28" t="s">
        <v>100</v>
      </c>
      <c r="P59" s="29"/>
      <c r="Q59" s="28" t="s">
        <v>100</v>
      </c>
      <c r="R59" s="29"/>
      <c r="S59" s="28">
        <v>0.88600000000000001</v>
      </c>
      <c r="T59" s="29">
        <v>0.164256581386726</v>
      </c>
      <c r="U59" s="28" t="s">
        <v>100</v>
      </c>
      <c r="V59" s="29"/>
      <c r="W59" s="28" t="s">
        <v>100</v>
      </c>
      <c r="X59" s="29"/>
      <c r="Y59" s="28">
        <v>1.3759999999999999</v>
      </c>
      <c r="Z59" s="29">
        <v>8.1705361914375593E-2</v>
      </c>
      <c r="AA59" s="28">
        <v>1.4370000000000001</v>
      </c>
      <c r="AB59" s="29">
        <v>0.41882832993296398</v>
      </c>
      <c r="AC59" s="28">
        <v>-2.7189999999999999</v>
      </c>
      <c r="AD59" s="29">
        <v>2.4117010519593401E-2</v>
      </c>
      <c r="AE59" s="28">
        <v>-1.6659999999999999</v>
      </c>
      <c r="AF59" s="29">
        <v>0.28958804102207503</v>
      </c>
    </row>
    <row r="60" spans="1:32" x14ac:dyDescent="0.45">
      <c r="A60" s="10" t="s">
        <v>627</v>
      </c>
      <c r="B60" s="10"/>
      <c r="C60" s="28" t="s">
        <v>100</v>
      </c>
      <c r="D60" s="29"/>
      <c r="E60" s="28" t="s">
        <v>100</v>
      </c>
      <c r="F60" s="29"/>
      <c r="G60" s="28" t="s">
        <v>100</v>
      </c>
      <c r="H60" s="29"/>
      <c r="I60" s="28" t="s">
        <v>100</v>
      </c>
      <c r="J60" s="29"/>
      <c r="K60" s="28" t="s">
        <v>100</v>
      </c>
      <c r="L60" s="29"/>
      <c r="M60" s="28" t="s">
        <v>100</v>
      </c>
      <c r="N60" s="29"/>
      <c r="O60" s="28" t="s">
        <v>100</v>
      </c>
      <c r="P60" s="29"/>
      <c r="Q60" s="28">
        <v>-0.94099999999999995</v>
      </c>
      <c r="R60" s="29">
        <v>0.41878059635068998</v>
      </c>
      <c r="S60" s="28">
        <v>0.83799999999999997</v>
      </c>
      <c r="T60" s="29">
        <v>0.155357804968484</v>
      </c>
      <c r="U60" s="28">
        <v>-1.623</v>
      </c>
      <c r="V60" s="29">
        <v>-0.110997127615921</v>
      </c>
      <c r="W60" s="28" t="s">
        <v>100</v>
      </c>
      <c r="X60" s="29"/>
      <c r="Y60" s="28">
        <v>-1.294</v>
      </c>
      <c r="Z60" s="29">
        <v>-7.6836292381687502E-2</v>
      </c>
      <c r="AA60" s="28" t="s">
        <v>100</v>
      </c>
      <c r="AB60" s="29"/>
      <c r="AC60" s="28">
        <v>-2.2959999999999998</v>
      </c>
      <c r="AD60" s="29">
        <v>2.0365081336147998E-2</v>
      </c>
      <c r="AE60" s="28">
        <v>-1.988</v>
      </c>
      <c r="AF60" s="29">
        <v>0.34555883886667799</v>
      </c>
    </row>
    <row r="61" spans="1:32" x14ac:dyDescent="0.45">
      <c r="A61" s="10" t="s">
        <v>628</v>
      </c>
      <c r="B61" s="10"/>
      <c r="C61" s="28" t="s">
        <v>100</v>
      </c>
      <c r="D61" s="29"/>
      <c r="E61" s="28" t="s">
        <v>100</v>
      </c>
      <c r="F61" s="29"/>
      <c r="G61" s="28" t="s">
        <v>100</v>
      </c>
      <c r="H61" s="29"/>
      <c r="I61" s="28" t="s">
        <v>100</v>
      </c>
      <c r="J61" s="29"/>
      <c r="K61" s="28" t="s">
        <v>100</v>
      </c>
      <c r="L61" s="29"/>
      <c r="M61" s="28" t="s">
        <v>100</v>
      </c>
      <c r="N61" s="29"/>
      <c r="O61" s="28" t="s">
        <v>100</v>
      </c>
      <c r="P61" s="29"/>
      <c r="Q61" s="28">
        <v>10.36</v>
      </c>
      <c r="R61" s="29">
        <v>-4.6105919003115199</v>
      </c>
      <c r="S61" s="28">
        <v>-3.4159999999999999</v>
      </c>
      <c r="T61" s="29">
        <v>-0.63329625509825704</v>
      </c>
      <c r="U61" s="28">
        <v>2.0880000000000001</v>
      </c>
      <c r="V61" s="29">
        <v>0.14279852277390201</v>
      </c>
      <c r="W61" s="28">
        <v>1.7909999999999999</v>
      </c>
      <c r="X61" s="29">
        <v>-7.4600133288903706E-2</v>
      </c>
      <c r="Y61" s="28">
        <v>4.0670000000000002</v>
      </c>
      <c r="Z61" s="29">
        <v>0.241493973041981</v>
      </c>
      <c r="AA61" s="28">
        <v>-5.6289999999999996</v>
      </c>
      <c r="AB61" s="29">
        <v>-1.64062955406587</v>
      </c>
      <c r="AC61" s="28">
        <v>-35.027000000000001</v>
      </c>
      <c r="AD61" s="29">
        <v>0.310682797892533</v>
      </c>
      <c r="AE61" s="28">
        <v>-13.457000000000001</v>
      </c>
      <c r="AF61" s="29">
        <v>2.3391274117851601</v>
      </c>
    </row>
    <row r="62" spans="1:32" x14ac:dyDescent="0.45">
      <c r="A62" s="10" t="s">
        <v>629</v>
      </c>
      <c r="B62" s="10"/>
      <c r="C62" s="28" t="s">
        <v>100</v>
      </c>
      <c r="D62" s="29"/>
      <c r="E62" s="28" t="s">
        <v>100</v>
      </c>
      <c r="F62" s="29"/>
      <c r="G62" s="28" t="s">
        <v>100</v>
      </c>
      <c r="H62" s="29"/>
      <c r="I62" s="28" t="s">
        <v>100</v>
      </c>
      <c r="J62" s="29"/>
      <c r="K62" s="28" t="s">
        <v>100</v>
      </c>
      <c r="L62" s="29"/>
      <c r="M62" s="28" t="s">
        <v>100</v>
      </c>
      <c r="N62" s="29"/>
      <c r="O62" s="28" t="s">
        <v>100</v>
      </c>
      <c r="P62" s="29"/>
      <c r="Q62" s="28" t="s">
        <v>100</v>
      </c>
      <c r="R62" s="29"/>
      <c r="S62" s="28" t="s">
        <v>100</v>
      </c>
      <c r="T62" s="29"/>
      <c r="U62" s="28" t="s">
        <v>100</v>
      </c>
      <c r="V62" s="29"/>
      <c r="W62" s="28" t="s">
        <v>100</v>
      </c>
      <c r="X62" s="29"/>
      <c r="Y62" s="28" t="s">
        <v>100</v>
      </c>
      <c r="Z62" s="29"/>
      <c r="AA62" s="28" t="s">
        <v>100</v>
      </c>
      <c r="AB62" s="29"/>
      <c r="AC62" s="28">
        <v>-0.57699999999999996</v>
      </c>
      <c r="AD62" s="29">
        <v>5.11787976086995E-3</v>
      </c>
      <c r="AE62" s="28" t="s">
        <v>100</v>
      </c>
      <c r="AF62" s="29"/>
    </row>
    <row r="63" spans="1:32" x14ac:dyDescent="0.45">
      <c r="A63" s="10" t="s">
        <v>630</v>
      </c>
      <c r="B63" s="10"/>
      <c r="C63" s="28" t="s">
        <v>100</v>
      </c>
      <c r="D63" s="29"/>
      <c r="E63" s="28" t="s">
        <v>100</v>
      </c>
      <c r="F63" s="29"/>
      <c r="G63" s="28" t="s">
        <v>100</v>
      </c>
      <c r="H63" s="29"/>
      <c r="I63" s="28" t="s">
        <v>100</v>
      </c>
      <c r="J63" s="29"/>
      <c r="K63" s="28" t="s">
        <v>100</v>
      </c>
      <c r="L63" s="29"/>
      <c r="M63" s="28" t="s">
        <v>100</v>
      </c>
      <c r="N63" s="29"/>
      <c r="O63" s="28" t="s">
        <v>100</v>
      </c>
      <c r="P63" s="29"/>
      <c r="Q63" s="28" t="s">
        <v>100</v>
      </c>
      <c r="R63" s="29"/>
      <c r="S63" s="28" t="s">
        <v>100</v>
      </c>
      <c r="T63" s="29"/>
      <c r="U63" s="28" t="s">
        <v>100</v>
      </c>
      <c r="V63" s="29"/>
      <c r="W63" s="28" t="s">
        <v>100</v>
      </c>
      <c r="X63" s="29"/>
      <c r="Y63" s="28" t="s">
        <v>100</v>
      </c>
      <c r="Z63" s="29"/>
      <c r="AA63" s="28" t="s">
        <v>100</v>
      </c>
      <c r="AB63" s="29"/>
      <c r="AC63" s="28">
        <v>-0.69899999999999995</v>
      </c>
      <c r="AD63" s="29">
        <v>6.1999964520764199E-3</v>
      </c>
      <c r="AE63" s="28" t="s">
        <v>100</v>
      </c>
      <c r="AF63" s="29"/>
    </row>
    <row r="64" spans="1:32" x14ac:dyDescent="0.45">
      <c r="A64" s="10" t="s">
        <v>631</v>
      </c>
      <c r="B64" s="10"/>
      <c r="C64" s="28" t="s">
        <v>100</v>
      </c>
      <c r="D64" s="29"/>
      <c r="E64" s="28" t="s">
        <v>100</v>
      </c>
      <c r="F64" s="29"/>
      <c r="G64" s="28" t="s">
        <v>100</v>
      </c>
      <c r="H64" s="29"/>
      <c r="I64" s="28" t="s">
        <v>100</v>
      </c>
      <c r="J64" s="29"/>
      <c r="K64" s="28" t="s">
        <v>100</v>
      </c>
      <c r="L64" s="29"/>
      <c r="M64" s="28" t="s">
        <v>100</v>
      </c>
      <c r="N64" s="29"/>
      <c r="O64" s="28" t="s">
        <v>100</v>
      </c>
      <c r="P64" s="29"/>
      <c r="Q64" s="28">
        <v>-3.9350000000000001</v>
      </c>
      <c r="R64" s="29">
        <v>1.75122385402759</v>
      </c>
      <c r="S64" s="28">
        <v>-1.3160000000000001</v>
      </c>
      <c r="T64" s="29">
        <v>-0.243974786800148</v>
      </c>
      <c r="U64" s="28">
        <v>0.87</v>
      </c>
      <c r="V64" s="29">
        <v>5.9499384489125999E-2</v>
      </c>
      <c r="W64" s="28">
        <v>-1.881</v>
      </c>
      <c r="X64" s="29">
        <v>7.8348883705431499E-2</v>
      </c>
      <c r="Y64" s="28">
        <v>1.0780000000000001</v>
      </c>
      <c r="Z64" s="29">
        <v>6.4010450685826295E-2</v>
      </c>
      <c r="AA64" s="28">
        <v>3.2450000000000001</v>
      </c>
      <c r="AB64" s="29">
        <v>0.94578839988341601</v>
      </c>
      <c r="AC64" s="28">
        <v>-5.8109999999999999</v>
      </c>
      <c r="AD64" s="29">
        <v>5.1542459775416397E-2</v>
      </c>
      <c r="AE64" s="28" t="s">
        <v>100</v>
      </c>
      <c r="AF64" s="29"/>
    </row>
    <row r="65" spans="1:32" x14ac:dyDescent="0.45">
      <c r="A65" s="6" t="s">
        <v>586</v>
      </c>
      <c r="B65" s="6"/>
      <c r="C65" s="32" t="s">
        <v>100</v>
      </c>
      <c r="D65" s="33"/>
      <c r="E65" s="32">
        <v>580.23599999999999</v>
      </c>
      <c r="F65" s="33">
        <v>1</v>
      </c>
      <c r="G65" s="32">
        <v>701.07</v>
      </c>
      <c r="H65" s="33">
        <v>1</v>
      </c>
      <c r="I65" s="32">
        <v>807.654</v>
      </c>
      <c r="J65" s="33">
        <v>1</v>
      </c>
      <c r="K65" s="32">
        <v>865.89200000000005</v>
      </c>
      <c r="L65" s="33">
        <v>1</v>
      </c>
      <c r="M65" s="32">
        <v>941.44200000000001</v>
      </c>
      <c r="N65" s="33">
        <v>1</v>
      </c>
      <c r="O65" s="32">
        <v>944.47799999999995</v>
      </c>
      <c r="P65" s="33">
        <v>1</v>
      </c>
      <c r="Q65" s="32">
        <v>988.56799999999998</v>
      </c>
      <c r="R65" s="33">
        <v>1</v>
      </c>
      <c r="S65" s="32">
        <v>1098.106</v>
      </c>
      <c r="T65" s="33">
        <v>1</v>
      </c>
      <c r="U65" s="32">
        <v>1303.078</v>
      </c>
      <c r="V65" s="33">
        <v>1</v>
      </c>
      <c r="W65" s="32">
        <v>1528.4059999999999</v>
      </c>
      <c r="X65" s="33">
        <v>1</v>
      </c>
      <c r="Y65" s="32">
        <v>1695.498</v>
      </c>
      <c r="Z65" s="33">
        <v>1</v>
      </c>
      <c r="AA65" s="32">
        <v>1931.4870000000001</v>
      </c>
      <c r="AB65" s="33">
        <v>1</v>
      </c>
      <c r="AC65" s="32">
        <v>2072.886</v>
      </c>
      <c r="AD65" s="33">
        <v>1</v>
      </c>
      <c r="AE65" s="32">
        <v>2269.9490000000001</v>
      </c>
      <c r="AF65" s="33">
        <v>1</v>
      </c>
    </row>
    <row r="66" spans="1:32" x14ac:dyDescent="0.45">
      <c r="A66" s="10" t="s">
        <v>616</v>
      </c>
      <c r="B66" s="10"/>
      <c r="C66" s="28" t="s">
        <v>100</v>
      </c>
      <c r="D66" s="29"/>
      <c r="E66" s="28">
        <v>198.524</v>
      </c>
      <c r="F66" s="29">
        <v>0.34214354159342097</v>
      </c>
      <c r="G66" s="28">
        <v>233.452</v>
      </c>
      <c r="H66" s="29">
        <v>0.33299385225441103</v>
      </c>
      <c r="I66" s="28">
        <v>280.60300000000001</v>
      </c>
      <c r="J66" s="29">
        <v>0.34742971619034901</v>
      </c>
      <c r="K66" s="28">
        <v>307.27499999999998</v>
      </c>
      <c r="L66" s="29">
        <v>0.35486527188148198</v>
      </c>
      <c r="M66" s="28">
        <v>335.86599999999999</v>
      </c>
      <c r="N66" s="29">
        <v>0.35675697493844599</v>
      </c>
      <c r="O66" s="28">
        <v>368.435</v>
      </c>
      <c r="P66" s="29">
        <v>0.390093787256029</v>
      </c>
      <c r="Q66" s="28">
        <v>381.30200000000002</v>
      </c>
      <c r="R66" s="29">
        <v>0.38571145333452</v>
      </c>
      <c r="S66" s="28">
        <v>432.709</v>
      </c>
      <c r="T66" s="29">
        <v>0.39405030115489798</v>
      </c>
      <c r="U66" s="28">
        <v>531.17600000000004</v>
      </c>
      <c r="V66" s="29">
        <v>0.40763177645543902</v>
      </c>
      <c r="W66" s="28">
        <v>669.20299999999997</v>
      </c>
      <c r="X66" s="29">
        <v>0.43784374047210001</v>
      </c>
      <c r="Y66" s="28">
        <v>810.553</v>
      </c>
      <c r="Z66" s="29">
        <v>0.47806190275659399</v>
      </c>
      <c r="AA66" s="28">
        <v>921.41399999999999</v>
      </c>
      <c r="AB66" s="29">
        <v>0.47704903009960697</v>
      </c>
      <c r="AC66" s="28">
        <v>972.37300000000005</v>
      </c>
      <c r="AD66" s="29">
        <v>0.469091402035616</v>
      </c>
      <c r="AE66" s="28">
        <v>1106.242</v>
      </c>
      <c r="AF66" s="29">
        <v>0.48734222663152299</v>
      </c>
    </row>
    <row r="67" spans="1:32" x14ac:dyDescent="0.45">
      <c r="A67" s="10" t="s">
        <v>617</v>
      </c>
      <c r="B67" s="10"/>
      <c r="C67" s="28" t="s">
        <v>100</v>
      </c>
      <c r="D67" s="29"/>
      <c r="E67" s="28">
        <v>198.55600000000001</v>
      </c>
      <c r="F67" s="29">
        <v>0.34219869156687999</v>
      </c>
      <c r="G67" s="28">
        <v>240.34</v>
      </c>
      <c r="H67" s="29">
        <v>0.34281883406792502</v>
      </c>
      <c r="I67" s="28">
        <v>262.971</v>
      </c>
      <c r="J67" s="29">
        <v>0.32559858553291399</v>
      </c>
      <c r="K67" s="28">
        <v>298.08999999999997</v>
      </c>
      <c r="L67" s="29">
        <v>0.34425771343308398</v>
      </c>
      <c r="M67" s="28">
        <v>319.85700000000003</v>
      </c>
      <c r="N67" s="29">
        <v>0.33975220990777999</v>
      </c>
      <c r="O67" s="28">
        <v>290.39600000000002</v>
      </c>
      <c r="P67" s="29">
        <v>0.30746719351853602</v>
      </c>
      <c r="Q67" s="28">
        <v>288.928</v>
      </c>
      <c r="R67" s="29">
        <v>0.29226922174296599</v>
      </c>
      <c r="S67" s="28">
        <v>316.08300000000003</v>
      </c>
      <c r="T67" s="29">
        <v>0.28784379650052</v>
      </c>
      <c r="U67" s="28">
        <v>404.76600000000002</v>
      </c>
      <c r="V67" s="29">
        <v>0.31062300184639802</v>
      </c>
      <c r="W67" s="28">
        <v>442.05200000000002</v>
      </c>
      <c r="X67" s="29">
        <v>0.28922419828239398</v>
      </c>
      <c r="Y67" s="28">
        <v>470.83100000000002</v>
      </c>
      <c r="Z67" s="29">
        <v>0.27769481296940501</v>
      </c>
      <c r="AA67" s="28">
        <v>520.27</v>
      </c>
      <c r="AB67" s="29">
        <v>0.26936241351870299</v>
      </c>
      <c r="AC67" s="28">
        <v>549.60799999999995</v>
      </c>
      <c r="AD67" s="29">
        <v>0.26514145013280999</v>
      </c>
      <c r="AE67" s="28">
        <v>605.78700000000003</v>
      </c>
      <c r="AF67" s="29">
        <v>0.266872515638017</v>
      </c>
    </row>
    <row r="68" spans="1:32" x14ac:dyDescent="0.45">
      <c r="A68" s="10" t="s">
        <v>606</v>
      </c>
      <c r="B68" s="10"/>
      <c r="C68" s="28" t="s">
        <v>100</v>
      </c>
      <c r="D68" s="29"/>
      <c r="E68" s="28">
        <v>111.34699999999999</v>
      </c>
      <c r="F68" s="29">
        <v>0.191899502960864</v>
      </c>
      <c r="G68" s="28">
        <v>137.11500000000001</v>
      </c>
      <c r="H68" s="29">
        <v>0.19557961401857199</v>
      </c>
      <c r="I68" s="28">
        <v>145.899</v>
      </c>
      <c r="J68" s="29">
        <v>0.18064542489729499</v>
      </c>
      <c r="K68" s="28">
        <v>166.75700000000001</v>
      </c>
      <c r="L68" s="29">
        <v>0.19258406360146499</v>
      </c>
      <c r="M68" s="28">
        <v>176.58600000000001</v>
      </c>
      <c r="N68" s="29">
        <v>0.18756970689644201</v>
      </c>
      <c r="O68" s="28">
        <v>156.548</v>
      </c>
      <c r="P68" s="29">
        <v>0.16575081685333101</v>
      </c>
      <c r="Q68" s="28">
        <v>155.22499999999999</v>
      </c>
      <c r="R68" s="29">
        <v>0.15702005324873999</v>
      </c>
      <c r="S68" s="28">
        <v>174.196</v>
      </c>
      <c r="T68" s="29">
        <v>0.15863313742024901</v>
      </c>
      <c r="U68" s="28">
        <v>224.744</v>
      </c>
      <c r="V68" s="29">
        <v>0.17247164022414599</v>
      </c>
      <c r="W68" s="28">
        <v>237.274</v>
      </c>
      <c r="X68" s="29">
        <v>0.155242782349716</v>
      </c>
      <c r="Y68" s="28">
        <v>309.31400000000002</v>
      </c>
      <c r="Z68" s="29">
        <v>0.18243253604545701</v>
      </c>
      <c r="AA68" s="28">
        <v>360.98500000000001</v>
      </c>
      <c r="AB68" s="29">
        <v>0.18689486390537399</v>
      </c>
      <c r="AC68" s="28">
        <v>350.37400000000002</v>
      </c>
      <c r="AD68" s="29">
        <v>0.169027143798549</v>
      </c>
      <c r="AE68" s="28">
        <v>406.71899999999999</v>
      </c>
      <c r="AF68" s="29">
        <v>0.179175391165176</v>
      </c>
    </row>
    <row r="69" spans="1:32" x14ac:dyDescent="0.45">
      <c r="A69" s="10" t="s">
        <v>608</v>
      </c>
      <c r="B69" s="10"/>
      <c r="C69" s="28" t="s">
        <v>100</v>
      </c>
      <c r="D69" s="29"/>
      <c r="E69" s="28">
        <v>60.399000000000001</v>
      </c>
      <c r="F69" s="29">
        <v>0.10409385146733401</v>
      </c>
      <c r="G69" s="28">
        <v>72.364999999999995</v>
      </c>
      <c r="H69" s="29">
        <v>0.103220791076497</v>
      </c>
      <c r="I69" s="28">
        <v>82.534999999999997</v>
      </c>
      <c r="J69" s="29">
        <v>0.1021910372511</v>
      </c>
      <c r="K69" s="28">
        <v>93.658000000000001</v>
      </c>
      <c r="L69" s="29">
        <v>0.108163604698969</v>
      </c>
      <c r="M69" s="28">
        <v>99.995999999999995</v>
      </c>
      <c r="N69" s="29">
        <v>0.106215783871975</v>
      </c>
      <c r="O69" s="28">
        <v>94.61</v>
      </c>
      <c r="P69" s="29">
        <v>0.10017173507482401</v>
      </c>
      <c r="Q69" s="28">
        <v>99.816000000000003</v>
      </c>
      <c r="R69" s="29">
        <v>0.10097029238251699</v>
      </c>
      <c r="S69" s="28">
        <v>108.377</v>
      </c>
      <c r="T69" s="29">
        <v>9.8694479403627702E-2</v>
      </c>
      <c r="U69" s="28">
        <v>141.64400000000001</v>
      </c>
      <c r="V69" s="29">
        <v>0.108699555974393</v>
      </c>
      <c r="W69" s="28">
        <v>159.82</v>
      </c>
      <c r="X69" s="29">
        <v>0.10456645681841099</v>
      </c>
      <c r="Y69" s="28">
        <v>161.517</v>
      </c>
      <c r="Z69" s="29">
        <v>9.5262276923947994E-2</v>
      </c>
      <c r="AA69" s="28">
        <v>159.285</v>
      </c>
      <c r="AB69" s="29">
        <v>8.2467549613329E-2</v>
      </c>
      <c r="AC69" s="28">
        <v>199.23400000000001</v>
      </c>
      <c r="AD69" s="29">
        <v>9.6114306334260505E-2</v>
      </c>
      <c r="AE69" s="28">
        <v>199.06800000000001</v>
      </c>
      <c r="AF69" s="29">
        <v>8.7697124472840601E-2</v>
      </c>
    </row>
    <row r="70" spans="1:32" x14ac:dyDescent="0.45">
      <c r="A70" s="10" t="s">
        <v>618</v>
      </c>
      <c r="B70" s="10"/>
      <c r="C70" s="28" t="s">
        <v>100</v>
      </c>
      <c r="D70" s="29"/>
      <c r="E70" s="28">
        <v>26.81</v>
      </c>
      <c r="F70" s="29">
        <v>4.6205337138681503E-2</v>
      </c>
      <c r="G70" s="28">
        <v>30.86</v>
      </c>
      <c r="H70" s="29">
        <v>4.4018428972855801E-2</v>
      </c>
      <c r="I70" s="28">
        <v>34.536999999999999</v>
      </c>
      <c r="J70" s="29">
        <v>4.2762123384518597E-2</v>
      </c>
      <c r="K70" s="28">
        <v>37.674999999999997</v>
      </c>
      <c r="L70" s="29">
        <v>4.3510045132649298E-2</v>
      </c>
      <c r="M70" s="28">
        <v>43.274999999999999</v>
      </c>
      <c r="N70" s="29">
        <v>4.5966719139362802E-2</v>
      </c>
      <c r="O70" s="28">
        <v>39.238</v>
      </c>
      <c r="P70" s="29">
        <v>4.1544641590381098E-2</v>
      </c>
      <c r="Q70" s="28">
        <v>33.887</v>
      </c>
      <c r="R70" s="29">
        <v>3.42788761117091E-2</v>
      </c>
      <c r="S70" s="28">
        <v>33.51</v>
      </c>
      <c r="T70" s="29">
        <v>3.0516179676643201E-2</v>
      </c>
      <c r="U70" s="28">
        <v>38.378</v>
      </c>
      <c r="V70" s="29">
        <v>2.94518056478584E-2</v>
      </c>
      <c r="W70" s="28">
        <v>44.957999999999998</v>
      </c>
      <c r="X70" s="29">
        <v>2.9414959114266798E-2</v>
      </c>
      <c r="Y70" s="28" t="s">
        <v>100</v>
      </c>
      <c r="Z70" s="29"/>
      <c r="AA70" s="28" t="s">
        <v>100</v>
      </c>
      <c r="AB70" s="29"/>
      <c r="AC70" s="28" t="s">
        <v>100</v>
      </c>
      <c r="AD70" s="29"/>
      <c r="AE70" s="28" t="s">
        <v>100</v>
      </c>
      <c r="AF70" s="29"/>
    </row>
    <row r="71" spans="1:32" x14ac:dyDescent="0.45">
      <c r="A71" s="10" t="s">
        <v>619</v>
      </c>
      <c r="B71" s="10"/>
      <c r="C71" s="28" t="s">
        <v>100</v>
      </c>
      <c r="D71" s="29"/>
      <c r="E71" s="28">
        <v>183.15600000000001</v>
      </c>
      <c r="F71" s="29">
        <v>0.31565776683969998</v>
      </c>
      <c r="G71" s="28">
        <v>227.27799999999999</v>
      </c>
      <c r="H71" s="29">
        <v>0.32418731367766401</v>
      </c>
      <c r="I71" s="28">
        <v>264.08</v>
      </c>
      <c r="J71" s="29">
        <v>0.326971698276737</v>
      </c>
      <c r="K71" s="28">
        <v>260.52699999999999</v>
      </c>
      <c r="L71" s="29">
        <v>0.30087701468543399</v>
      </c>
      <c r="M71" s="28">
        <v>285.71899999999999</v>
      </c>
      <c r="N71" s="29">
        <v>0.30349081515377502</v>
      </c>
      <c r="O71" s="28">
        <v>285.64699999999999</v>
      </c>
      <c r="P71" s="29">
        <v>0.30243901922543498</v>
      </c>
      <c r="Q71" s="28">
        <v>318.33800000000002</v>
      </c>
      <c r="R71" s="29">
        <v>0.32201932492251401</v>
      </c>
      <c r="S71" s="28">
        <v>349.31400000000002</v>
      </c>
      <c r="T71" s="29">
        <v>0.31810590234458203</v>
      </c>
      <c r="U71" s="28">
        <v>367.13600000000002</v>
      </c>
      <c r="V71" s="29">
        <v>0.28174522169816402</v>
      </c>
      <c r="W71" s="28">
        <v>417.15100000000001</v>
      </c>
      <c r="X71" s="29">
        <v>0.27293206124550701</v>
      </c>
      <c r="Y71" s="28">
        <v>414.11399999999998</v>
      </c>
      <c r="Z71" s="29">
        <v>0.24424328427400099</v>
      </c>
      <c r="AA71" s="28">
        <v>489.803</v>
      </c>
      <c r="AB71" s="29">
        <v>0.25358855638168898</v>
      </c>
      <c r="AC71" s="28">
        <v>550.90499999999997</v>
      </c>
      <c r="AD71" s="29">
        <v>0.26576714783157401</v>
      </c>
      <c r="AE71" s="28">
        <v>557.91999999999996</v>
      </c>
      <c r="AF71" s="29">
        <v>0.24578525773046001</v>
      </c>
    </row>
    <row r="72" spans="1:32" x14ac:dyDescent="0.45">
      <c r="A72" s="10" t="s">
        <v>620</v>
      </c>
      <c r="B72" s="10"/>
      <c r="C72" s="28" t="s">
        <v>100</v>
      </c>
      <c r="D72" s="29"/>
      <c r="E72" s="28">
        <v>87.658000000000001</v>
      </c>
      <c r="F72" s="29">
        <v>0.15107301167111301</v>
      </c>
      <c r="G72" s="28">
        <v>114.151</v>
      </c>
      <c r="H72" s="29">
        <v>0.16282396907584101</v>
      </c>
      <c r="I72" s="28">
        <v>141.11199999999999</v>
      </c>
      <c r="J72" s="29">
        <v>0.17471838188135</v>
      </c>
      <c r="K72" s="28">
        <v>152.422</v>
      </c>
      <c r="L72" s="29">
        <v>0.17602888119996499</v>
      </c>
      <c r="M72" s="28">
        <v>176.19800000000001</v>
      </c>
      <c r="N72" s="29">
        <v>0.18715757316966899</v>
      </c>
      <c r="O72" s="28">
        <v>181.184</v>
      </c>
      <c r="P72" s="29">
        <v>0.19183506656586999</v>
      </c>
      <c r="Q72" s="28">
        <v>198.178</v>
      </c>
      <c r="R72" s="29">
        <v>0.20046977041538899</v>
      </c>
      <c r="S72" s="28">
        <v>222.792</v>
      </c>
      <c r="T72" s="29">
        <v>0.20288751723421999</v>
      </c>
      <c r="U72" s="28">
        <v>218.77799999999999</v>
      </c>
      <c r="V72" s="29">
        <v>0.16789324967499999</v>
      </c>
      <c r="W72" s="28">
        <v>253.73500000000001</v>
      </c>
      <c r="X72" s="29">
        <v>0.16601282643486101</v>
      </c>
      <c r="Y72" s="28">
        <v>229.10300000000001</v>
      </c>
      <c r="Z72" s="29">
        <v>0.13512431155919999</v>
      </c>
      <c r="AA72" s="28">
        <v>294.96499999999997</v>
      </c>
      <c r="AB72" s="29">
        <v>0.15271394526600501</v>
      </c>
      <c r="AC72" s="28">
        <v>363.28800000000001</v>
      </c>
      <c r="AD72" s="29">
        <v>0.17525710531114599</v>
      </c>
      <c r="AE72" s="28">
        <v>354.90699999999998</v>
      </c>
      <c r="AF72" s="29">
        <v>0.15635020874918301</v>
      </c>
    </row>
    <row r="73" spans="1:32" x14ac:dyDescent="0.45">
      <c r="A73" s="10" t="s">
        <v>607</v>
      </c>
      <c r="B73" s="10"/>
      <c r="C73" s="28" t="s">
        <v>100</v>
      </c>
      <c r="D73" s="29"/>
      <c r="E73" s="28">
        <v>95.498000000000005</v>
      </c>
      <c r="F73" s="29">
        <v>0.164584755168587</v>
      </c>
      <c r="G73" s="28">
        <v>113.127</v>
      </c>
      <c r="H73" s="29">
        <v>0.161363344601823</v>
      </c>
      <c r="I73" s="28">
        <v>122.968</v>
      </c>
      <c r="J73" s="29">
        <v>0.152253316395387</v>
      </c>
      <c r="K73" s="28">
        <v>108.105</v>
      </c>
      <c r="L73" s="29">
        <v>0.124848133485469</v>
      </c>
      <c r="M73" s="28">
        <v>109.521</v>
      </c>
      <c r="N73" s="29">
        <v>0.116333241984105</v>
      </c>
      <c r="O73" s="28">
        <v>104.46299999999999</v>
      </c>
      <c r="P73" s="29">
        <v>0.11060395265956401</v>
      </c>
      <c r="Q73" s="28">
        <v>120.16</v>
      </c>
      <c r="R73" s="29">
        <v>0.121549554507125</v>
      </c>
      <c r="S73" s="28">
        <v>126.52200000000001</v>
      </c>
      <c r="T73" s="29">
        <v>0.115218385110363</v>
      </c>
      <c r="U73" s="28">
        <v>148.358</v>
      </c>
      <c r="V73" s="29">
        <v>0.11385197202316399</v>
      </c>
      <c r="W73" s="28">
        <v>163.416</v>
      </c>
      <c r="X73" s="29">
        <v>0.106919234810646</v>
      </c>
      <c r="Y73" s="28">
        <v>185.011</v>
      </c>
      <c r="Z73" s="29">
        <v>0.109118972714801</v>
      </c>
      <c r="AA73" s="28">
        <v>194.83799999999999</v>
      </c>
      <c r="AB73" s="29">
        <v>0.10087461111568399</v>
      </c>
      <c r="AC73" s="28">
        <v>187.61699999999999</v>
      </c>
      <c r="AD73" s="29">
        <v>9.0510042520428005E-2</v>
      </c>
      <c r="AE73" s="28">
        <v>203.01300000000001</v>
      </c>
      <c r="AF73" s="29">
        <v>8.9435048981276702E-2</v>
      </c>
    </row>
    <row r="74" spans="1:32" x14ac:dyDescent="0.45">
      <c r="A74" s="6" t="s">
        <v>632</v>
      </c>
      <c r="B74" s="6"/>
      <c r="C74" s="32">
        <v>35.131</v>
      </c>
      <c r="D74" s="33">
        <v>1</v>
      </c>
      <c r="E74" s="32">
        <v>36.920999999999999</v>
      </c>
      <c r="F74" s="33">
        <v>1</v>
      </c>
      <c r="G74" s="32">
        <v>45.637999999999998</v>
      </c>
      <c r="H74" s="33">
        <v>1</v>
      </c>
      <c r="I74" s="32">
        <v>52.253</v>
      </c>
      <c r="J74" s="33">
        <v>1</v>
      </c>
      <c r="K74" s="32">
        <v>60.537999999999997</v>
      </c>
      <c r="L74" s="33">
        <v>1</v>
      </c>
      <c r="M74" s="32">
        <v>64.643000000000001</v>
      </c>
      <c r="N74" s="33">
        <v>1</v>
      </c>
      <c r="O74" s="32">
        <v>61.923999999999999</v>
      </c>
      <c r="P74" s="33">
        <v>1</v>
      </c>
      <c r="Q74" s="32">
        <v>54.677</v>
      </c>
      <c r="R74" s="33">
        <v>1</v>
      </c>
      <c r="S74" s="32">
        <v>57.095999999999997</v>
      </c>
      <c r="T74" s="33">
        <v>1</v>
      </c>
      <c r="U74" s="32">
        <v>61.655000000000001</v>
      </c>
      <c r="V74" s="33">
        <v>1</v>
      </c>
      <c r="W74" s="32" t="s">
        <v>100</v>
      </c>
      <c r="X74" s="33"/>
      <c r="Y74" s="32" t="s">
        <v>100</v>
      </c>
      <c r="Z74" s="33"/>
      <c r="AA74" s="32" t="s">
        <v>100</v>
      </c>
      <c r="AB74" s="33"/>
      <c r="AC74" s="32" t="s">
        <v>100</v>
      </c>
      <c r="AD74" s="33"/>
      <c r="AE74" s="32" t="s">
        <v>100</v>
      </c>
      <c r="AF74" s="33"/>
    </row>
    <row r="75" spans="1:32" x14ac:dyDescent="0.45">
      <c r="A75" s="10" t="s">
        <v>605</v>
      </c>
      <c r="B75" s="10"/>
      <c r="C75" s="28">
        <v>10.566000000000001</v>
      </c>
      <c r="D75" s="29">
        <v>0.30076001252455098</v>
      </c>
      <c r="E75" s="28">
        <v>11.765000000000001</v>
      </c>
      <c r="F75" s="29">
        <v>0.31865334091709302</v>
      </c>
      <c r="G75" s="28">
        <v>14.721</v>
      </c>
      <c r="H75" s="29">
        <v>0.32256014724571602</v>
      </c>
      <c r="I75" s="28">
        <v>15.537000000000001</v>
      </c>
      <c r="J75" s="29">
        <v>0.29734177941936402</v>
      </c>
      <c r="K75" s="28">
        <v>15.422000000000001</v>
      </c>
      <c r="L75" s="29">
        <v>0.25474908322045697</v>
      </c>
      <c r="M75" s="28">
        <v>14.686</v>
      </c>
      <c r="N75" s="29">
        <v>0.22718623826245701</v>
      </c>
      <c r="O75" s="28">
        <v>13.952999999999999</v>
      </c>
      <c r="P75" s="29">
        <v>0.22532459143466199</v>
      </c>
      <c r="Q75" s="28">
        <v>10.867000000000001</v>
      </c>
      <c r="R75" s="29">
        <v>0.19874901695411201</v>
      </c>
      <c r="S75" s="28">
        <v>11.598000000000001</v>
      </c>
      <c r="T75" s="29">
        <v>0.203131567885666</v>
      </c>
      <c r="U75" s="28">
        <v>15.05</v>
      </c>
      <c r="V75" s="29">
        <v>0.244100235179629</v>
      </c>
      <c r="W75" s="28" t="s">
        <v>100</v>
      </c>
      <c r="X75" s="29"/>
      <c r="Y75" s="28" t="s">
        <v>100</v>
      </c>
      <c r="Z75" s="29"/>
      <c r="AA75" s="28" t="s">
        <v>100</v>
      </c>
      <c r="AB75" s="29"/>
      <c r="AC75" s="28" t="s">
        <v>100</v>
      </c>
      <c r="AD75" s="29"/>
      <c r="AE75" s="28" t="s">
        <v>100</v>
      </c>
      <c r="AF75" s="29"/>
    </row>
    <row r="76" spans="1:32" x14ac:dyDescent="0.45">
      <c r="A76" s="10" t="s">
        <v>633</v>
      </c>
      <c r="B76" s="10"/>
      <c r="C76" s="28" t="s">
        <v>100</v>
      </c>
      <c r="D76" s="29"/>
      <c r="E76" s="28" t="s">
        <v>100</v>
      </c>
      <c r="F76" s="29"/>
      <c r="G76" s="28" t="s">
        <v>100</v>
      </c>
      <c r="H76" s="29"/>
      <c r="I76" s="28" t="s">
        <v>100</v>
      </c>
      <c r="J76" s="29"/>
      <c r="K76" s="28">
        <v>9.0950000000000006</v>
      </c>
      <c r="L76" s="29">
        <v>0.15023621526974801</v>
      </c>
      <c r="M76" s="28">
        <v>7.84</v>
      </c>
      <c r="N76" s="29">
        <v>0.121281499930387</v>
      </c>
      <c r="O76" s="28">
        <v>6.8079999999999998</v>
      </c>
      <c r="P76" s="29">
        <v>0.109941218267554</v>
      </c>
      <c r="Q76" s="28">
        <v>4.7530000000000001</v>
      </c>
      <c r="R76" s="29">
        <v>8.6928690308539197E-2</v>
      </c>
      <c r="S76" s="28">
        <v>5.1139999999999999</v>
      </c>
      <c r="T76" s="29">
        <v>8.9568446125823195E-2</v>
      </c>
      <c r="U76" s="28" t="s">
        <v>100</v>
      </c>
      <c r="V76" s="29"/>
      <c r="W76" s="28" t="s">
        <v>100</v>
      </c>
      <c r="X76" s="29"/>
      <c r="Y76" s="28" t="s">
        <v>100</v>
      </c>
      <c r="Z76" s="29"/>
      <c r="AA76" s="28" t="s">
        <v>100</v>
      </c>
      <c r="AB76" s="29"/>
      <c r="AC76" s="28" t="s">
        <v>100</v>
      </c>
      <c r="AD76" s="29"/>
      <c r="AE76" s="28" t="s">
        <v>100</v>
      </c>
      <c r="AF76" s="29"/>
    </row>
    <row r="77" spans="1:32" x14ac:dyDescent="0.45">
      <c r="A77" s="10" t="s">
        <v>612</v>
      </c>
      <c r="B77" s="10"/>
      <c r="C77" s="28" t="s">
        <v>100</v>
      </c>
      <c r="D77" s="29"/>
      <c r="E77" s="28">
        <v>1.139</v>
      </c>
      <c r="F77" s="29">
        <v>3.08496519595894E-2</v>
      </c>
      <c r="G77" s="28">
        <v>2.3879999999999999</v>
      </c>
      <c r="H77" s="29">
        <v>5.2324817038432898E-2</v>
      </c>
      <c r="I77" s="28">
        <v>2.3780000000000001</v>
      </c>
      <c r="J77" s="29">
        <v>4.5509348745526597E-2</v>
      </c>
      <c r="K77" s="28" t="s">
        <v>100</v>
      </c>
      <c r="L77" s="29"/>
      <c r="M77" s="28" t="s">
        <v>100</v>
      </c>
      <c r="N77" s="29"/>
      <c r="O77" s="28" t="s">
        <v>100</v>
      </c>
      <c r="P77" s="29"/>
      <c r="Q77" s="28" t="s">
        <v>100</v>
      </c>
      <c r="R77" s="29"/>
      <c r="S77" s="28" t="s">
        <v>100</v>
      </c>
      <c r="T77" s="29"/>
      <c r="U77" s="28" t="s">
        <v>100</v>
      </c>
      <c r="V77" s="29"/>
      <c r="W77" s="28" t="s">
        <v>100</v>
      </c>
      <c r="X77" s="29"/>
      <c r="Y77" s="28" t="s">
        <v>100</v>
      </c>
      <c r="Z77" s="29"/>
      <c r="AA77" s="28" t="s">
        <v>100</v>
      </c>
      <c r="AB77" s="29"/>
      <c r="AC77" s="28" t="s">
        <v>100</v>
      </c>
      <c r="AD77" s="29"/>
      <c r="AE77" s="28" t="s">
        <v>100</v>
      </c>
      <c r="AF77" s="29"/>
    </row>
    <row r="78" spans="1:32" x14ac:dyDescent="0.45">
      <c r="A78" s="10" t="s">
        <v>634</v>
      </c>
      <c r="B78" s="10"/>
      <c r="C78" s="28">
        <v>2.8820000000000001</v>
      </c>
      <c r="D78" s="29">
        <v>8.2035808829808404E-2</v>
      </c>
      <c r="E78" s="28">
        <v>2.8460000000000001</v>
      </c>
      <c r="F78" s="29">
        <v>7.7083502613688695E-2</v>
      </c>
      <c r="G78" s="28">
        <v>3.0920000000000001</v>
      </c>
      <c r="H78" s="29">
        <v>6.7750558744905598E-2</v>
      </c>
      <c r="I78" s="28">
        <v>3.3919999999999999</v>
      </c>
      <c r="J78" s="29">
        <v>6.4914933113888199E-2</v>
      </c>
      <c r="K78" s="28">
        <v>3.226</v>
      </c>
      <c r="L78" s="29">
        <v>5.3288843371105801E-2</v>
      </c>
      <c r="M78" s="28">
        <v>3.1230000000000002</v>
      </c>
      <c r="N78" s="29">
        <v>4.8311495444208999E-2</v>
      </c>
      <c r="O78" s="28">
        <v>3.286</v>
      </c>
      <c r="P78" s="29">
        <v>5.3065047477553098E-2</v>
      </c>
      <c r="Q78" s="28">
        <v>3.0329999999999999</v>
      </c>
      <c r="R78" s="29">
        <v>5.5471221903176798E-2</v>
      </c>
      <c r="S78" s="28">
        <v>3.7040000000000002</v>
      </c>
      <c r="T78" s="29">
        <v>6.4873196020737003E-2</v>
      </c>
      <c r="U78" s="28">
        <v>4.1760000000000002</v>
      </c>
      <c r="V78" s="29">
        <v>6.7731733030573393E-2</v>
      </c>
      <c r="W78" s="28" t="s">
        <v>100</v>
      </c>
      <c r="X78" s="29"/>
      <c r="Y78" s="28" t="s">
        <v>100</v>
      </c>
      <c r="Z78" s="29"/>
      <c r="AA78" s="28" t="s">
        <v>100</v>
      </c>
      <c r="AB78" s="29"/>
      <c r="AC78" s="28" t="s">
        <v>100</v>
      </c>
      <c r="AD78" s="29"/>
      <c r="AE78" s="28" t="s">
        <v>100</v>
      </c>
      <c r="AF78" s="29"/>
    </row>
    <row r="79" spans="1:32" x14ac:dyDescent="0.45">
      <c r="A79" s="10" t="s">
        <v>618</v>
      </c>
      <c r="B79" s="10"/>
      <c r="C79" s="28">
        <v>1.708</v>
      </c>
      <c r="D79" s="29">
        <v>4.8618029660413897E-2</v>
      </c>
      <c r="E79" s="28">
        <v>2.3159999999999998</v>
      </c>
      <c r="F79" s="29">
        <v>6.2728528479727E-2</v>
      </c>
      <c r="G79" s="28">
        <v>3.077</v>
      </c>
      <c r="H79" s="29">
        <v>6.7421885271046006E-2</v>
      </c>
      <c r="I79" s="28">
        <v>3.532</v>
      </c>
      <c r="J79" s="29">
        <v>6.7594205117409503E-2</v>
      </c>
      <c r="K79" s="28" t="s">
        <v>100</v>
      </c>
      <c r="L79" s="29"/>
      <c r="M79" s="28" t="s">
        <v>100</v>
      </c>
      <c r="N79" s="29"/>
      <c r="O79" s="28" t="s">
        <v>100</v>
      </c>
      <c r="P79" s="29"/>
      <c r="Q79" s="28" t="s">
        <v>100</v>
      </c>
      <c r="R79" s="29"/>
      <c r="S79" s="28" t="s">
        <v>100</v>
      </c>
      <c r="T79" s="29"/>
      <c r="U79" s="28">
        <v>1.238</v>
      </c>
      <c r="V79" s="29">
        <v>2.00794744951748E-2</v>
      </c>
      <c r="W79" s="28" t="s">
        <v>100</v>
      </c>
      <c r="X79" s="29"/>
      <c r="Y79" s="28" t="s">
        <v>100</v>
      </c>
      <c r="Z79" s="29"/>
      <c r="AA79" s="28" t="s">
        <v>100</v>
      </c>
      <c r="AB79" s="29"/>
      <c r="AC79" s="28" t="s">
        <v>100</v>
      </c>
      <c r="AD79" s="29"/>
      <c r="AE79" s="28" t="s">
        <v>100</v>
      </c>
      <c r="AF79" s="29"/>
    </row>
    <row r="80" spans="1:32" x14ac:dyDescent="0.45">
      <c r="A80" s="10" t="s">
        <v>613</v>
      </c>
      <c r="B80" s="10"/>
      <c r="C80" s="28">
        <v>0.57699999999999996</v>
      </c>
      <c r="D80" s="29">
        <v>1.64242406990977E-2</v>
      </c>
      <c r="E80" s="28">
        <v>1.014</v>
      </c>
      <c r="F80" s="29">
        <v>2.7464044852523E-2</v>
      </c>
      <c r="G80" s="28">
        <v>0.93799999999999994</v>
      </c>
      <c r="H80" s="29">
        <v>2.0553047898680898E-2</v>
      </c>
      <c r="I80" s="28">
        <v>0.753</v>
      </c>
      <c r="J80" s="29">
        <v>1.4410655847511099E-2</v>
      </c>
      <c r="K80" s="28" t="s">
        <v>100</v>
      </c>
      <c r="L80" s="29"/>
      <c r="M80" s="28" t="s">
        <v>100</v>
      </c>
      <c r="N80" s="29"/>
      <c r="O80" s="28" t="s">
        <v>100</v>
      </c>
      <c r="P80" s="29"/>
      <c r="Q80" s="28" t="s">
        <v>100</v>
      </c>
      <c r="R80" s="29"/>
      <c r="S80" s="28" t="s">
        <v>100</v>
      </c>
      <c r="T80" s="29"/>
      <c r="U80" s="28" t="s">
        <v>100</v>
      </c>
      <c r="V80" s="29"/>
      <c r="W80" s="28" t="s">
        <v>100</v>
      </c>
      <c r="X80" s="29"/>
      <c r="Y80" s="28" t="s">
        <v>100</v>
      </c>
      <c r="Z80" s="29"/>
      <c r="AA80" s="28" t="s">
        <v>100</v>
      </c>
      <c r="AB80" s="29"/>
      <c r="AC80" s="28" t="s">
        <v>100</v>
      </c>
      <c r="AD80" s="29"/>
      <c r="AE80" s="28" t="s">
        <v>100</v>
      </c>
      <c r="AF80" s="29"/>
    </row>
    <row r="81" spans="1:32" x14ac:dyDescent="0.45">
      <c r="A81" s="10" t="s">
        <v>608</v>
      </c>
      <c r="B81" s="10"/>
      <c r="C81" s="28">
        <v>1.6479999999999999</v>
      </c>
      <c r="D81" s="29">
        <v>4.6910136346816199E-2</v>
      </c>
      <c r="E81" s="28">
        <v>1.7090000000000001</v>
      </c>
      <c r="F81" s="29">
        <v>4.6288020367812301E-2</v>
      </c>
      <c r="G81" s="28">
        <v>1.843</v>
      </c>
      <c r="H81" s="29">
        <v>4.0383014154870903E-2</v>
      </c>
      <c r="I81" s="28">
        <v>2.0870000000000002</v>
      </c>
      <c r="J81" s="29">
        <v>3.9940290509635802E-2</v>
      </c>
      <c r="K81" s="28" t="s">
        <v>100</v>
      </c>
      <c r="L81" s="29"/>
      <c r="M81" s="28" t="s">
        <v>100</v>
      </c>
      <c r="N81" s="29"/>
      <c r="O81" s="28" t="s">
        <v>100</v>
      </c>
      <c r="P81" s="29"/>
      <c r="Q81" s="28" t="s">
        <v>100</v>
      </c>
      <c r="R81" s="29"/>
      <c r="S81" s="28" t="s">
        <v>100</v>
      </c>
      <c r="T81" s="29"/>
      <c r="U81" s="28">
        <v>2.1579999999999999</v>
      </c>
      <c r="V81" s="29">
        <v>3.5001216446354698E-2</v>
      </c>
      <c r="W81" s="28" t="s">
        <v>100</v>
      </c>
      <c r="X81" s="29"/>
      <c r="Y81" s="28" t="s">
        <v>100</v>
      </c>
      <c r="Z81" s="29"/>
      <c r="AA81" s="28" t="s">
        <v>100</v>
      </c>
      <c r="AB81" s="29"/>
      <c r="AC81" s="28" t="s">
        <v>100</v>
      </c>
      <c r="AD81" s="29"/>
      <c r="AE81" s="28" t="s">
        <v>100</v>
      </c>
      <c r="AF81" s="29"/>
    </row>
    <row r="82" spans="1:32" x14ac:dyDescent="0.45">
      <c r="A82" s="10" t="s">
        <v>607</v>
      </c>
      <c r="B82" s="10"/>
      <c r="C82" s="28">
        <v>1.8140000000000001</v>
      </c>
      <c r="D82" s="29">
        <v>5.1635307847769797E-2</v>
      </c>
      <c r="E82" s="28">
        <v>1.4930000000000001</v>
      </c>
      <c r="F82" s="29">
        <v>4.0437691286801601E-2</v>
      </c>
      <c r="G82" s="28">
        <v>1.4470000000000001</v>
      </c>
      <c r="H82" s="29">
        <v>3.1706034444980102E-2</v>
      </c>
      <c r="I82" s="28">
        <v>1.2529999999999999</v>
      </c>
      <c r="J82" s="29">
        <v>2.3979484431515902E-2</v>
      </c>
      <c r="K82" s="28" t="s">
        <v>100</v>
      </c>
      <c r="L82" s="29"/>
      <c r="M82" s="28" t="s">
        <v>100</v>
      </c>
      <c r="N82" s="29"/>
      <c r="O82" s="28" t="s">
        <v>100</v>
      </c>
      <c r="P82" s="29"/>
      <c r="Q82" s="28" t="s">
        <v>100</v>
      </c>
      <c r="R82" s="29"/>
      <c r="S82" s="28" t="s">
        <v>100</v>
      </c>
      <c r="T82" s="29"/>
      <c r="U82" s="28" t="s">
        <v>100</v>
      </c>
      <c r="V82" s="29"/>
      <c r="W82" s="28" t="s">
        <v>100</v>
      </c>
      <c r="X82" s="29"/>
      <c r="Y82" s="28" t="s">
        <v>100</v>
      </c>
      <c r="Z82" s="29"/>
      <c r="AA82" s="28" t="s">
        <v>100</v>
      </c>
      <c r="AB82" s="29"/>
      <c r="AC82" s="28" t="s">
        <v>100</v>
      </c>
      <c r="AD82" s="29"/>
      <c r="AE82" s="28" t="s">
        <v>100</v>
      </c>
      <c r="AF82" s="29"/>
    </row>
    <row r="83" spans="1:32" x14ac:dyDescent="0.45">
      <c r="A83" s="10" t="s">
        <v>609</v>
      </c>
      <c r="B83" s="10"/>
      <c r="C83" s="28">
        <v>0.30599999999999999</v>
      </c>
      <c r="D83" s="29">
        <v>8.7102558993481499E-3</v>
      </c>
      <c r="E83" s="28">
        <v>0.42799999999999999</v>
      </c>
      <c r="F83" s="29">
        <v>1.15923187345955E-2</v>
      </c>
      <c r="G83" s="28">
        <v>0.97899999999999998</v>
      </c>
      <c r="H83" s="29">
        <v>2.1451422060563601E-2</v>
      </c>
      <c r="I83" s="28">
        <v>0.96899999999999997</v>
      </c>
      <c r="J83" s="29">
        <v>1.8544389795801201E-2</v>
      </c>
      <c r="K83" s="28">
        <v>3.101</v>
      </c>
      <c r="L83" s="29">
        <v>5.12240245796029E-2</v>
      </c>
      <c r="M83" s="28">
        <v>3.7229999999999999</v>
      </c>
      <c r="N83" s="29">
        <v>5.7593242887861003E-2</v>
      </c>
      <c r="O83" s="28">
        <v>3.859</v>
      </c>
      <c r="P83" s="29">
        <v>6.23183256895549E-2</v>
      </c>
      <c r="Q83" s="28">
        <v>3.081</v>
      </c>
      <c r="R83" s="29">
        <v>5.6349104742396301E-2</v>
      </c>
      <c r="S83" s="28">
        <v>2.78</v>
      </c>
      <c r="T83" s="29">
        <v>4.8689925739106098E-2</v>
      </c>
      <c r="U83" s="28">
        <v>3.754</v>
      </c>
      <c r="V83" s="29">
        <v>6.0887194874706001E-2</v>
      </c>
      <c r="W83" s="28" t="s">
        <v>100</v>
      </c>
      <c r="X83" s="29"/>
      <c r="Y83" s="28" t="s">
        <v>100</v>
      </c>
      <c r="Z83" s="29"/>
      <c r="AA83" s="28" t="s">
        <v>100</v>
      </c>
      <c r="AB83" s="29"/>
      <c r="AC83" s="28" t="s">
        <v>100</v>
      </c>
      <c r="AD83" s="29"/>
      <c r="AE83" s="28" t="s">
        <v>100</v>
      </c>
      <c r="AF83" s="29"/>
    </row>
    <row r="84" spans="1:32" x14ac:dyDescent="0.45">
      <c r="A84" s="10" t="s">
        <v>606</v>
      </c>
      <c r="B84" s="10"/>
      <c r="C84" s="28">
        <v>1.631</v>
      </c>
      <c r="D84" s="29">
        <v>4.6426233241296903E-2</v>
      </c>
      <c r="E84" s="28">
        <v>0.82</v>
      </c>
      <c r="F84" s="29">
        <v>2.2209582622355801E-2</v>
      </c>
      <c r="G84" s="28">
        <v>0.95699999999999996</v>
      </c>
      <c r="H84" s="29">
        <v>2.0969367632236301E-2</v>
      </c>
      <c r="I84" s="28">
        <v>1.173</v>
      </c>
      <c r="J84" s="29">
        <v>2.2448471858075102E-2</v>
      </c>
      <c r="K84" s="28" t="s">
        <v>100</v>
      </c>
      <c r="L84" s="29"/>
      <c r="M84" s="28" t="s">
        <v>100</v>
      </c>
      <c r="N84" s="29"/>
      <c r="O84" s="28" t="s">
        <v>100</v>
      </c>
      <c r="P84" s="29"/>
      <c r="Q84" s="28" t="s">
        <v>100</v>
      </c>
      <c r="R84" s="29"/>
      <c r="S84" s="28" t="s">
        <v>100</v>
      </c>
      <c r="T84" s="29"/>
      <c r="U84" s="28">
        <v>3.7240000000000002</v>
      </c>
      <c r="V84" s="29">
        <v>6.04006163328197E-2</v>
      </c>
      <c r="W84" s="28" t="s">
        <v>100</v>
      </c>
      <c r="X84" s="29"/>
      <c r="Y84" s="28" t="s">
        <v>100</v>
      </c>
      <c r="Z84" s="29"/>
      <c r="AA84" s="28" t="s">
        <v>100</v>
      </c>
      <c r="AB84" s="29"/>
      <c r="AC84" s="28" t="s">
        <v>100</v>
      </c>
      <c r="AD84" s="29"/>
      <c r="AE84" s="28" t="s">
        <v>100</v>
      </c>
      <c r="AF84" s="29"/>
    </row>
    <row r="85" spans="1:32" x14ac:dyDescent="0.45">
      <c r="A85" s="10" t="s">
        <v>614</v>
      </c>
      <c r="B85" s="10"/>
      <c r="C85" s="28">
        <v>24.565000000000001</v>
      </c>
      <c r="D85" s="29">
        <v>0.69923998747544902</v>
      </c>
      <c r="E85" s="28">
        <v>25.155999999999999</v>
      </c>
      <c r="F85" s="29">
        <v>0.68134665908290704</v>
      </c>
      <c r="G85" s="28">
        <v>30.917000000000002</v>
      </c>
      <c r="H85" s="29">
        <v>0.67743985275428398</v>
      </c>
      <c r="I85" s="28">
        <v>36.716000000000001</v>
      </c>
      <c r="J85" s="29">
        <v>0.70265822058063598</v>
      </c>
      <c r="K85" s="28">
        <v>45.116</v>
      </c>
      <c r="L85" s="29">
        <v>0.74525091677954303</v>
      </c>
      <c r="M85" s="28">
        <v>49.957000000000001</v>
      </c>
      <c r="N85" s="29">
        <v>0.77281376173754301</v>
      </c>
      <c r="O85" s="28">
        <v>47.970999999999997</v>
      </c>
      <c r="P85" s="29">
        <v>0.77467540856533801</v>
      </c>
      <c r="Q85" s="28">
        <v>43.81</v>
      </c>
      <c r="R85" s="29">
        <v>0.80125098304588804</v>
      </c>
      <c r="S85" s="28">
        <v>45.497999999999998</v>
      </c>
      <c r="T85" s="29">
        <v>0.796868432114334</v>
      </c>
      <c r="U85" s="28">
        <v>46.604999999999997</v>
      </c>
      <c r="V85" s="29">
        <v>0.75589976482037102</v>
      </c>
      <c r="W85" s="28" t="s">
        <v>100</v>
      </c>
      <c r="X85" s="29"/>
      <c r="Y85" s="28" t="s">
        <v>100</v>
      </c>
      <c r="Z85" s="29"/>
      <c r="AA85" s="28" t="s">
        <v>100</v>
      </c>
      <c r="AB85" s="29"/>
      <c r="AC85" s="28" t="s">
        <v>100</v>
      </c>
      <c r="AD85" s="29"/>
      <c r="AE85" s="28" t="s">
        <v>100</v>
      </c>
      <c r="AF85" s="29"/>
    </row>
    <row r="86" spans="1:32" x14ac:dyDescent="0.45">
      <c r="A86" s="6" t="s">
        <v>635</v>
      </c>
      <c r="B86" s="6"/>
      <c r="C86" s="32" t="s">
        <v>100</v>
      </c>
      <c r="D86" s="33"/>
      <c r="E86" s="32" t="s">
        <v>100</v>
      </c>
      <c r="F86" s="33"/>
      <c r="G86" s="32" t="s">
        <v>100</v>
      </c>
      <c r="H86" s="33"/>
      <c r="I86" s="32" t="s">
        <v>100</v>
      </c>
      <c r="J86" s="33"/>
      <c r="K86" s="32" t="s">
        <v>100</v>
      </c>
      <c r="L86" s="33"/>
      <c r="M86" s="32" t="s">
        <v>100</v>
      </c>
      <c r="N86" s="33"/>
      <c r="O86" s="32" t="s">
        <v>100</v>
      </c>
      <c r="P86" s="33"/>
      <c r="Q86" s="32" t="s">
        <v>100</v>
      </c>
      <c r="R86" s="33"/>
      <c r="S86" s="32" t="s">
        <v>100</v>
      </c>
      <c r="T86" s="33"/>
      <c r="U86" s="32" t="s">
        <v>100</v>
      </c>
      <c r="V86" s="33"/>
      <c r="W86" s="32">
        <v>83.635999999999996</v>
      </c>
      <c r="X86" s="33">
        <v>1</v>
      </c>
      <c r="Y86" s="32">
        <v>96.503</v>
      </c>
      <c r="Z86" s="33">
        <v>1</v>
      </c>
      <c r="AA86" s="32">
        <v>92.131</v>
      </c>
      <c r="AB86" s="33">
        <v>1</v>
      </c>
      <c r="AC86" s="32">
        <v>80.837999999999994</v>
      </c>
      <c r="AD86" s="33">
        <v>1</v>
      </c>
      <c r="AE86" s="32">
        <v>77.78</v>
      </c>
      <c r="AF86" s="33">
        <v>1</v>
      </c>
    </row>
    <row r="87" spans="1:32" x14ac:dyDescent="0.45">
      <c r="A87" s="10" t="s">
        <v>614</v>
      </c>
      <c r="B87" s="10"/>
      <c r="C87" s="28" t="s">
        <v>100</v>
      </c>
      <c r="D87" s="29"/>
      <c r="E87" s="28" t="s">
        <v>100</v>
      </c>
      <c r="F87" s="29"/>
      <c r="G87" s="28" t="s">
        <v>100</v>
      </c>
      <c r="H87" s="29"/>
      <c r="I87" s="28" t="s">
        <v>100</v>
      </c>
      <c r="J87" s="29"/>
      <c r="K87" s="28" t="s">
        <v>100</v>
      </c>
      <c r="L87" s="29"/>
      <c r="M87" s="28" t="s">
        <v>100</v>
      </c>
      <c r="N87" s="29"/>
      <c r="O87" s="28" t="s">
        <v>100</v>
      </c>
      <c r="P87" s="29"/>
      <c r="Q87" s="28" t="s">
        <v>100</v>
      </c>
      <c r="R87" s="29"/>
      <c r="S87" s="28" t="s">
        <v>100</v>
      </c>
      <c r="T87" s="29"/>
      <c r="U87" s="28" t="s">
        <v>100</v>
      </c>
      <c r="V87" s="29"/>
      <c r="W87" s="28">
        <v>59.472999999999999</v>
      </c>
      <c r="X87" s="29">
        <v>0.71109330910134405</v>
      </c>
      <c r="Y87" s="28">
        <v>65.632999999999996</v>
      </c>
      <c r="Z87" s="29">
        <v>0.68011357159881003</v>
      </c>
      <c r="AA87" s="28">
        <v>62.88</v>
      </c>
      <c r="AB87" s="29">
        <v>0.68250643106012099</v>
      </c>
      <c r="AC87" s="28">
        <v>58.258000000000003</v>
      </c>
      <c r="AD87" s="29">
        <v>0.72067591974071599</v>
      </c>
      <c r="AE87" s="28">
        <v>56.420999999999999</v>
      </c>
      <c r="AF87" s="29">
        <v>0.72539213165338101</v>
      </c>
    </row>
    <row r="88" spans="1:32" x14ac:dyDescent="0.45">
      <c r="A88" s="10" t="s">
        <v>605</v>
      </c>
      <c r="B88" s="10"/>
      <c r="C88" s="28" t="s">
        <v>100</v>
      </c>
      <c r="D88" s="29"/>
      <c r="E88" s="28" t="s">
        <v>100</v>
      </c>
      <c r="F88" s="29"/>
      <c r="G88" s="28" t="s">
        <v>100</v>
      </c>
      <c r="H88" s="29"/>
      <c r="I88" s="28" t="s">
        <v>100</v>
      </c>
      <c r="J88" s="29"/>
      <c r="K88" s="28" t="s">
        <v>100</v>
      </c>
      <c r="L88" s="29"/>
      <c r="M88" s="28" t="s">
        <v>100</v>
      </c>
      <c r="N88" s="29"/>
      <c r="O88" s="28" t="s">
        <v>100</v>
      </c>
      <c r="P88" s="29"/>
      <c r="Q88" s="28" t="s">
        <v>100</v>
      </c>
      <c r="R88" s="29"/>
      <c r="S88" s="28" t="s">
        <v>100</v>
      </c>
      <c r="T88" s="29"/>
      <c r="U88" s="28" t="s">
        <v>100</v>
      </c>
      <c r="V88" s="29"/>
      <c r="W88" s="28">
        <v>24.163</v>
      </c>
      <c r="X88" s="29">
        <v>0.288906690898656</v>
      </c>
      <c r="Y88" s="28">
        <v>30.87</v>
      </c>
      <c r="Z88" s="29">
        <v>0.31988642840119003</v>
      </c>
      <c r="AA88" s="28">
        <v>29.251000000000001</v>
      </c>
      <c r="AB88" s="29">
        <v>0.31749356893987901</v>
      </c>
      <c r="AC88" s="28">
        <v>22.58</v>
      </c>
      <c r="AD88" s="29">
        <v>0.27932408025928401</v>
      </c>
      <c r="AE88" s="28">
        <v>21.359000000000002</v>
      </c>
      <c r="AF88" s="29">
        <v>0.27460786834661899</v>
      </c>
    </row>
    <row r="89" spans="1:32" x14ac:dyDescent="0.45">
      <c r="A89" s="10" t="s">
        <v>606</v>
      </c>
      <c r="B89" s="10"/>
      <c r="C89" s="28" t="s">
        <v>100</v>
      </c>
      <c r="D89" s="29"/>
      <c r="E89" s="28" t="s">
        <v>100</v>
      </c>
      <c r="F89" s="29"/>
      <c r="G89" s="28" t="s">
        <v>100</v>
      </c>
      <c r="H89" s="29"/>
      <c r="I89" s="28" t="s">
        <v>100</v>
      </c>
      <c r="J89" s="29"/>
      <c r="K89" s="28" t="s">
        <v>100</v>
      </c>
      <c r="L89" s="29"/>
      <c r="M89" s="28" t="s">
        <v>100</v>
      </c>
      <c r="N89" s="29"/>
      <c r="O89" s="28" t="s">
        <v>100</v>
      </c>
      <c r="P89" s="29"/>
      <c r="Q89" s="28" t="s">
        <v>100</v>
      </c>
      <c r="R89" s="29"/>
      <c r="S89" s="28" t="s">
        <v>100</v>
      </c>
      <c r="T89" s="29"/>
      <c r="U89" s="28" t="s">
        <v>100</v>
      </c>
      <c r="V89" s="29"/>
      <c r="W89" s="28">
        <v>1.875</v>
      </c>
      <c r="X89" s="29">
        <v>2.2418575732938002E-2</v>
      </c>
      <c r="Y89" s="28">
        <v>5.8470000000000004</v>
      </c>
      <c r="Z89" s="29">
        <v>6.0588789985803602E-2</v>
      </c>
      <c r="AA89" s="28">
        <v>9.2149999999999999</v>
      </c>
      <c r="AB89" s="29">
        <v>0.10002062280882699</v>
      </c>
      <c r="AC89" s="28">
        <v>8.51</v>
      </c>
      <c r="AD89" s="29">
        <v>0.105272272940944</v>
      </c>
      <c r="AE89" s="28">
        <v>6.9240000000000004</v>
      </c>
      <c r="AF89" s="29">
        <v>8.9020313705322707E-2</v>
      </c>
    </row>
    <row r="90" spans="1:32" x14ac:dyDescent="0.45">
      <c r="A90" s="10" t="s">
        <v>634</v>
      </c>
      <c r="B90" s="10"/>
      <c r="C90" s="28" t="s">
        <v>100</v>
      </c>
      <c r="D90" s="29"/>
      <c r="E90" s="28" t="s">
        <v>100</v>
      </c>
      <c r="F90" s="29"/>
      <c r="G90" s="28" t="s">
        <v>100</v>
      </c>
      <c r="H90" s="29"/>
      <c r="I90" s="28" t="s">
        <v>100</v>
      </c>
      <c r="J90" s="29"/>
      <c r="K90" s="28" t="s">
        <v>100</v>
      </c>
      <c r="L90" s="29"/>
      <c r="M90" s="28" t="s">
        <v>100</v>
      </c>
      <c r="N90" s="29"/>
      <c r="O90" s="28" t="s">
        <v>100</v>
      </c>
      <c r="P90" s="29"/>
      <c r="Q90" s="28" t="s">
        <v>100</v>
      </c>
      <c r="R90" s="29"/>
      <c r="S90" s="28" t="s">
        <v>100</v>
      </c>
      <c r="T90" s="29"/>
      <c r="U90" s="28" t="s">
        <v>100</v>
      </c>
      <c r="V90" s="29"/>
      <c r="W90" s="28">
        <v>5.66</v>
      </c>
      <c r="X90" s="29">
        <v>6.7674207279162096E-2</v>
      </c>
      <c r="Y90" s="28">
        <v>7.4080000000000004</v>
      </c>
      <c r="Z90" s="29">
        <v>7.6764452918562098E-2</v>
      </c>
      <c r="AA90" s="28">
        <v>6.1440000000000001</v>
      </c>
      <c r="AB90" s="29">
        <v>6.6687651279156906E-2</v>
      </c>
      <c r="AC90" s="28">
        <v>5.9779999999999998</v>
      </c>
      <c r="AD90" s="29">
        <v>7.3950369875553604E-2</v>
      </c>
      <c r="AE90" s="28">
        <v>5.0570000000000004</v>
      </c>
      <c r="AF90" s="29">
        <v>6.5016713808176904E-2</v>
      </c>
    </row>
    <row r="91" spans="1:32" x14ac:dyDescent="0.45">
      <c r="A91" s="10" t="s">
        <v>612</v>
      </c>
      <c r="B91" s="10"/>
      <c r="C91" s="28" t="s">
        <v>100</v>
      </c>
      <c r="D91" s="29"/>
      <c r="E91" s="28" t="s">
        <v>100</v>
      </c>
      <c r="F91" s="29"/>
      <c r="G91" s="28" t="s">
        <v>100</v>
      </c>
      <c r="H91" s="29"/>
      <c r="I91" s="28" t="s">
        <v>100</v>
      </c>
      <c r="J91" s="29"/>
      <c r="K91" s="28" t="s">
        <v>100</v>
      </c>
      <c r="L91" s="29"/>
      <c r="M91" s="28" t="s">
        <v>100</v>
      </c>
      <c r="N91" s="29"/>
      <c r="O91" s="28" t="s">
        <v>100</v>
      </c>
      <c r="P91" s="29"/>
      <c r="Q91" s="28" t="s">
        <v>100</v>
      </c>
      <c r="R91" s="29"/>
      <c r="S91" s="28" t="s">
        <v>100</v>
      </c>
      <c r="T91" s="29"/>
      <c r="U91" s="28" t="s">
        <v>100</v>
      </c>
      <c r="V91" s="29"/>
      <c r="W91" s="28">
        <v>3.657</v>
      </c>
      <c r="X91" s="29">
        <v>4.3725190109522201E-2</v>
      </c>
      <c r="Y91" s="28">
        <v>5.7489999999999997</v>
      </c>
      <c r="Z91" s="29">
        <v>5.9573277514688702E-2</v>
      </c>
      <c r="AA91" s="28">
        <v>4.2169999999999996</v>
      </c>
      <c r="AB91" s="29">
        <v>4.5771781485059303E-2</v>
      </c>
      <c r="AC91" s="28" t="s">
        <v>100</v>
      </c>
      <c r="AD91" s="29"/>
      <c r="AE91" s="28">
        <v>4.7709999999999999</v>
      </c>
      <c r="AF91" s="29">
        <v>6.1339676009256897E-2</v>
      </c>
    </row>
    <row r="92" spans="1:32" x14ac:dyDescent="0.45">
      <c r="A92" s="10" t="s">
        <v>609</v>
      </c>
      <c r="B92" s="10"/>
      <c r="C92" s="28" t="s">
        <v>100</v>
      </c>
      <c r="D92" s="29"/>
      <c r="E92" s="28" t="s">
        <v>100</v>
      </c>
      <c r="F92" s="29"/>
      <c r="G92" s="28" t="s">
        <v>100</v>
      </c>
      <c r="H92" s="29"/>
      <c r="I92" s="28" t="s">
        <v>100</v>
      </c>
      <c r="J92" s="29"/>
      <c r="K92" s="28" t="s">
        <v>100</v>
      </c>
      <c r="L92" s="29"/>
      <c r="M92" s="28" t="s">
        <v>100</v>
      </c>
      <c r="N92" s="29"/>
      <c r="O92" s="28" t="s">
        <v>100</v>
      </c>
      <c r="P92" s="29"/>
      <c r="Q92" s="28" t="s">
        <v>100</v>
      </c>
      <c r="R92" s="29"/>
      <c r="S92" s="28" t="s">
        <v>100</v>
      </c>
      <c r="T92" s="29"/>
      <c r="U92" s="28" t="s">
        <v>100</v>
      </c>
      <c r="V92" s="29"/>
      <c r="W92" s="28">
        <v>4.54</v>
      </c>
      <c r="X92" s="29">
        <v>5.42828447080205E-2</v>
      </c>
      <c r="Y92" s="28">
        <v>6.5890000000000004</v>
      </c>
      <c r="Z92" s="29">
        <v>6.8277670124244794E-2</v>
      </c>
      <c r="AA92" s="28">
        <v>5.2409999999999997</v>
      </c>
      <c r="AB92" s="29">
        <v>5.68863900315855E-2</v>
      </c>
      <c r="AC92" s="28">
        <v>5.5590000000000002</v>
      </c>
      <c r="AD92" s="29">
        <v>6.8767163957544702E-2</v>
      </c>
      <c r="AE92" s="28">
        <v>4.6070000000000002</v>
      </c>
      <c r="AF92" s="29">
        <v>5.9231164823862197E-2</v>
      </c>
    </row>
    <row r="93" spans="1:32" x14ac:dyDescent="0.45">
      <c r="A93" s="10" t="s">
        <v>608</v>
      </c>
      <c r="B93" s="10"/>
      <c r="C93" s="28" t="s">
        <v>100</v>
      </c>
      <c r="D93" s="29"/>
      <c r="E93" s="28" t="s">
        <v>100</v>
      </c>
      <c r="F93" s="29"/>
      <c r="G93" s="28" t="s">
        <v>100</v>
      </c>
      <c r="H93" s="29"/>
      <c r="I93" s="28" t="s">
        <v>100</v>
      </c>
      <c r="J93" s="29"/>
      <c r="K93" s="28" t="s">
        <v>100</v>
      </c>
      <c r="L93" s="29"/>
      <c r="M93" s="28" t="s">
        <v>100</v>
      </c>
      <c r="N93" s="29"/>
      <c r="O93" s="28" t="s">
        <v>100</v>
      </c>
      <c r="P93" s="29"/>
      <c r="Q93" s="28" t="s">
        <v>100</v>
      </c>
      <c r="R93" s="29"/>
      <c r="S93" s="28" t="s">
        <v>100</v>
      </c>
      <c r="T93" s="29"/>
      <c r="U93" s="28" t="s">
        <v>100</v>
      </c>
      <c r="V93" s="29"/>
      <c r="W93" s="28">
        <v>4.2370000000000001</v>
      </c>
      <c r="X93" s="29">
        <v>5.0660002869577697E-2</v>
      </c>
      <c r="Y93" s="28">
        <v>5.2770000000000001</v>
      </c>
      <c r="Z93" s="29">
        <v>5.4682237857890399E-2</v>
      </c>
      <c r="AA93" s="28">
        <v>4.4340000000000002</v>
      </c>
      <c r="AB93" s="29">
        <v>4.8127123335250897E-2</v>
      </c>
      <c r="AC93" s="28">
        <v>2.5329999999999999</v>
      </c>
      <c r="AD93" s="29">
        <v>3.1334273485242099E-2</v>
      </c>
      <c r="AE93" s="28" t="s">
        <v>100</v>
      </c>
      <c r="AF93" s="29"/>
    </row>
    <row r="94" spans="1:32" x14ac:dyDescent="0.45">
      <c r="A94" s="10" t="s">
        <v>618</v>
      </c>
      <c r="B94" s="10"/>
      <c r="C94" s="28" t="s">
        <v>100</v>
      </c>
      <c r="D94" s="29"/>
      <c r="E94" s="28" t="s">
        <v>100</v>
      </c>
      <c r="F94" s="29"/>
      <c r="G94" s="28" t="s">
        <v>100</v>
      </c>
      <c r="H94" s="29"/>
      <c r="I94" s="28" t="s">
        <v>100</v>
      </c>
      <c r="J94" s="29"/>
      <c r="K94" s="28" t="s">
        <v>100</v>
      </c>
      <c r="L94" s="29"/>
      <c r="M94" s="28" t="s">
        <v>100</v>
      </c>
      <c r="N94" s="29"/>
      <c r="O94" s="28" t="s">
        <v>100</v>
      </c>
      <c r="P94" s="29"/>
      <c r="Q94" s="28" t="s">
        <v>100</v>
      </c>
      <c r="R94" s="29"/>
      <c r="S94" s="28" t="s">
        <v>100</v>
      </c>
      <c r="T94" s="29"/>
      <c r="U94" s="28" t="s">
        <v>100</v>
      </c>
      <c r="V94" s="29"/>
      <c r="W94" s="28">
        <v>4.194</v>
      </c>
      <c r="X94" s="29">
        <v>5.0145870199435602E-2</v>
      </c>
      <c r="Y94" s="28" t="s">
        <v>100</v>
      </c>
      <c r="Z94" s="29"/>
      <c r="AA94" s="28" t="s">
        <v>100</v>
      </c>
      <c r="AB94" s="29"/>
      <c r="AC94" s="28" t="s">
        <v>100</v>
      </c>
      <c r="AD94" s="29"/>
      <c r="AE94" s="28" t="s">
        <v>100</v>
      </c>
      <c r="AF94" s="29"/>
    </row>
    <row r="95" spans="1:32" x14ac:dyDescent="0.45">
      <c r="A95" s="6" t="s">
        <v>602</v>
      </c>
      <c r="B95" s="6"/>
      <c r="C95" s="34" t="s">
        <v>100</v>
      </c>
      <c r="D95" s="35"/>
      <c r="E95" s="34" t="s">
        <v>100</v>
      </c>
      <c r="F95" s="35"/>
      <c r="G95" s="34" t="s">
        <v>100</v>
      </c>
      <c r="H95" s="35"/>
      <c r="I95" s="34" t="s">
        <v>100</v>
      </c>
      <c r="J95" s="35"/>
      <c r="K95" s="34" t="s">
        <v>100</v>
      </c>
      <c r="L95" s="35"/>
      <c r="M95" s="34" t="s">
        <v>100</v>
      </c>
      <c r="N95" s="35"/>
      <c r="O95" s="34" t="s">
        <v>100</v>
      </c>
      <c r="P95" s="35"/>
      <c r="Q95" s="34" t="s">
        <v>100</v>
      </c>
      <c r="R95" s="35"/>
      <c r="S95" s="34" t="s">
        <v>100</v>
      </c>
      <c r="T95" s="35"/>
      <c r="U95" s="34" t="s">
        <v>100</v>
      </c>
      <c r="V95" s="35"/>
      <c r="W95" s="34" t="s">
        <v>100</v>
      </c>
      <c r="X95" s="35"/>
      <c r="Y95" s="34" t="s">
        <v>100</v>
      </c>
      <c r="Z95" s="35"/>
      <c r="AA95" s="34" t="s">
        <v>100</v>
      </c>
      <c r="AB95" s="35"/>
      <c r="AC95" s="34" t="s">
        <v>100</v>
      </c>
      <c r="AD95" s="35"/>
      <c r="AE95" s="34" t="s">
        <v>100</v>
      </c>
      <c r="AF95" s="35"/>
    </row>
    <row r="96" spans="1:32" x14ac:dyDescent="0.45">
      <c r="A96" s="10" t="s">
        <v>616</v>
      </c>
      <c r="B96" s="10"/>
      <c r="C96" s="30" t="s">
        <v>100</v>
      </c>
      <c r="D96" s="31"/>
      <c r="E96" s="30">
        <v>10.26</v>
      </c>
      <c r="F96" s="31"/>
      <c r="G96" s="30">
        <v>10.26</v>
      </c>
      <c r="H96" s="31"/>
      <c r="I96" s="30">
        <v>10.14</v>
      </c>
      <c r="J96" s="31"/>
      <c r="K96" s="30">
        <v>9.51</v>
      </c>
      <c r="L96" s="31"/>
      <c r="M96" s="30">
        <v>9.3000000000000007</v>
      </c>
      <c r="N96" s="31"/>
      <c r="O96" s="30">
        <v>9.6999999999999993</v>
      </c>
      <c r="P96" s="31"/>
      <c r="Q96" s="30">
        <v>3.5</v>
      </c>
      <c r="R96" s="31"/>
      <c r="S96" s="30">
        <v>13.5</v>
      </c>
      <c r="T96" s="31"/>
      <c r="U96" s="30">
        <v>14</v>
      </c>
      <c r="V96" s="31"/>
      <c r="W96" s="30">
        <v>26</v>
      </c>
      <c r="X96" s="31"/>
      <c r="Y96" s="30">
        <v>21.1</v>
      </c>
      <c r="Z96" s="31"/>
      <c r="AA96" s="30">
        <v>13.7</v>
      </c>
      <c r="AB96" s="31"/>
      <c r="AC96" s="30">
        <v>5.5</v>
      </c>
      <c r="AD96" s="31"/>
      <c r="AE96" s="30">
        <v>13.8</v>
      </c>
      <c r="AF96" s="31"/>
    </row>
    <row r="97" spans="1:32" x14ac:dyDescent="0.45">
      <c r="A97" s="10" t="s">
        <v>617</v>
      </c>
      <c r="B97" s="10"/>
      <c r="C97" s="30" t="s">
        <v>100</v>
      </c>
      <c r="D97" s="31"/>
      <c r="E97" s="30">
        <v>19.38</v>
      </c>
      <c r="F97" s="31"/>
      <c r="G97" s="30">
        <v>19.38</v>
      </c>
      <c r="H97" s="31"/>
      <c r="I97" s="30">
        <v>7</v>
      </c>
      <c r="J97" s="31"/>
      <c r="K97" s="30">
        <v>13.35</v>
      </c>
      <c r="L97" s="31"/>
      <c r="M97" s="30">
        <v>7.3</v>
      </c>
      <c r="N97" s="31"/>
      <c r="O97" s="30">
        <v>-9.1999999999999993</v>
      </c>
      <c r="P97" s="31"/>
      <c r="Q97" s="30">
        <v>-0.5</v>
      </c>
      <c r="R97" s="31"/>
      <c r="S97" s="30">
        <v>9.4</v>
      </c>
      <c r="T97" s="31"/>
      <c r="U97" s="30">
        <v>14</v>
      </c>
      <c r="V97" s="31"/>
      <c r="W97" s="30">
        <v>9.1999999999999993</v>
      </c>
      <c r="X97" s="31"/>
      <c r="Y97" s="30">
        <v>6.5</v>
      </c>
      <c r="Z97" s="31"/>
      <c r="AA97" s="30">
        <v>10.5</v>
      </c>
      <c r="AB97" s="31"/>
      <c r="AC97" s="30">
        <v>5.6</v>
      </c>
      <c r="AD97" s="31"/>
      <c r="AE97" s="30">
        <v>10.199999999999999</v>
      </c>
      <c r="AF97" s="31"/>
    </row>
    <row r="98" spans="1:32" x14ac:dyDescent="0.45">
      <c r="A98" s="10" t="s">
        <v>606</v>
      </c>
      <c r="B98" s="10"/>
      <c r="C98" s="30" t="s">
        <v>100</v>
      </c>
      <c r="D98" s="31"/>
      <c r="E98" s="30">
        <v>20.99</v>
      </c>
      <c r="F98" s="31"/>
      <c r="G98" s="30">
        <v>20.99</v>
      </c>
      <c r="H98" s="31"/>
      <c r="I98" s="30">
        <v>3.79</v>
      </c>
      <c r="J98" s="31"/>
      <c r="K98" s="30">
        <v>14.3</v>
      </c>
      <c r="L98" s="31"/>
      <c r="M98" s="30">
        <v>5.9</v>
      </c>
      <c r="N98" s="31"/>
      <c r="O98" s="30">
        <v>-11.3</v>
      </c>
      <c r="P98" s="31"/>
      <c r="Q98" s="30">
        <v>-0.8</v>
      </c>
      <c r="R98" s="31"/>
      <c r="S98" s="30">
        <v>12.2</v>
      </c>
      <c r="T98" s="31"/>
      <c r="U98" s="30">
        <v>13</v>
      </c>
      <c r="V98" s="31"/>
      <c r="W98" s="30">
        <v>5.6</v>
      </c>
      <c r="X98" s="31"/>
      <c r="Y98" s="30">
        <v>4</v>
      </c>
      <c r="Z98" s="31"/>
      <c r="AA98" s="30">
        <v>16.7</v>
      </c>
      <c r="AB98" s="31"/>
      <c r="AC98" s="30">
        <v>-2.9</v>
      </c>
      <c r="AD98" s="31"/>
      <c r="AE98" s="30">
        <v>16.100000000000001</v>
      </c>
      <c r="AF98" s="31"/>
    </row>
    <row r="99" spans="1:32" x14ac:dyDescent="0.45">
      <c r="A99" s="10" t="s">
        <v>608</v>
      </c>
      <c r="B99" s="10"/>
      <c r="C99" s="30" t="s">
        <v>100</v>
      </c>
      <c r="D99" s="31"/>
      <c r="E99" s="30">
        <v>19.600000000000001</v>
      </c>
      <c r="F99" s="31"/>
      <c r="G99" s="30">
        <v>19.600000000000001</v>
      </c>
      <c r="H99" s="31"/>
      <c r="I99" s="30">
        <v>12.6</v>
      </c>
      <c r="J99" s="31"/>
      <c r="K99" s="30">
        <v>13.48</v>
      </c>
      <c r="L99" s="31"/>
      <c r="M99" s="30">
        <v>6.8</v>
      </c>
      <c r="N99" s="31"/>
      <c r="O99" s="30">
        <v>-5.4</v>
      </c>
      <c r="P99" s="31"/>
      <c r="Q99" s="30">
        <v>5.5</v>
      </c>
      <c r="R99" s="31"/>
      <c r="S99" s="30">
        <v>8.6</v>
      </c>
      <c r="T99" s="31"/>
      <c r="U99" s="30">
        <v>16.7</v>
      </c>
      <c r="V99" s="31"/>
      <c r="W99" s="30">
        <v>12.8</v>
      </c>
      <c r="X99" s="31"/>
      <c r="Y99" s="30">
        <v>1.1000000000000001</v>
      </c>
      <c r="Z99" s="31"/>
      <c r="AA99" s="30">
        <v>-1.4</v>
      </c>
      <c r="AB99" s="31"/>
      <c r="AC99" s="30">
        <v>25.1</v>
      </c>
      <c r="AD99" s="31"/>
      <c r="AE99" s="30">
        <v>-0.1</v>
      </c>
      <c r="AF99" s="31"/>
    </row>
    <row r="100" spans="1:32" x14ac:dyDescent="0.45">
      <c r="A100" s="10" t="s">
        <v>618</v>
      </c>
      <c r="B100" s="10"/>
      <c r="C100" s="30" t="s">
        <v>100</v>
      </c>
      <c r="D100" s="31"/>
      <c r="E100" s="30">
        <v>12.22</v>
      </c>
      <c r="F100" s="31"/>
      <c r="G100" s="30">
        <v>12.22</v>
      </c>
      <c r="H100" s="31"/>
      <c r="I100" s="30">
        <v>7.97</v>
      </c>
      <c r="J100" s="31"/>
      <c r="K100" s="30">
        <v>9.09</v>
      </c>
      <c r="L100" s="31"/>
      <c r="M100" s="30">
        <v>14.9</v>
      </c>
      <c r="N100" s="31"/>
      <c r="O100" s="30">
        <v>-9.3000000000000007</v>
      </c>
      <c r="P100" s="31"/>
      <c r="Q100" s="30">
        <v>-13.6</v>
      </c>
      <c r="R100" s="31"/>
      <c r="S100" s="30">
        <v>-1.1000000000000001</v>
      </c>
      <c r="T100" s="31"/>
      <c r="U100" s="30">
        <v>10.7</v>
      </c>
      <c r="V100" s="31"/>
      <c r="W100" s="30">
        <v>17.100000000000001</v>
      </c>
      <c r="X100" s="31"/>
      <c r="Y100" s="30" t="s">
        <v>100</v>
      </c>
      <c r="Z100" s="31"/>
      <c r="AA100" s="30" t="s">
        <v>100</v>
      </c>
      <c r="AB100" s="31"/>
      <c r="AC100" s="30" t="s">
        <v>100</v>
      </c>
      <c r="AD100" s="31"/>
      <c r="AE100" s="30" t="s">
        <v>100</v>
      </c>
      <c r="AF100" s="31"/>
    </row>
    <row r="101" spans="1:32" x14ac:dyDescent="0.45">
      <c r="A101" s="10" t="s">
        <v>619</v>
      </c>
      <c r="B101" s="10"/>
      <c r="C101" s="30" t="s">
        <v>100</v>
      </c>
      <c r="D101" s="31"/>
      <c r="E101" s="30">
        <v>20.67</v>
      </c>
      <c r="F101" s="31"/>
      <c r="G101" s="30">
        <v>20.67</v>
      </c>
      <c r="H101" s="31"/>
      <c r="I101" s="30">
        <v>11.95</v>
      </c>
      <c r="J101" s="31"/>
      <c r="K101" s="30">
        <v>-1.35</v>
      </c>
      <c r="L101" s="31"/>
      <c r="M101" s="30">
        <v>9.6999999999999993</v>
      </c>
      <c r="N101" s="31"/>
      <c r="O101" s="30">
        <v>0</v>
      </c>
      <c r="P101" s="31"/>
      <c r="Q101" s="30">
        <v>11.4</v>
      </c>
      <c r="R101" s="31"/>
      <c r="S101" s="30">
        <v>9.6999999999999993</v>
      </c>
      <c r="T101" s="31"/>
      <c r="U101" s="30">
        <v>7.8</v>
      </c>
      <c r="V101" s="31"/>
      <c r="W101" s="30">
        <v>13.6</v>
      </c>
      <c r="X101" s="31"/>
      <c r="Y101" s="30">
        <v>-0.7</v>
      </c>
      <c r="Z101" s="31"/>
      <c r="AA101" s="30">
        <v>18.3</v>
      </c>
      <c r="AB101" s="31"/>
      <c r="AC101" s="30">
        <v>12.5</v>
      </c>
      <c r="AD101" s="31"/>
      <c r="AE101" s="30">
        <v>1.3</v>
      </c>
      <c r="AF101" s="31"/>
    </row>
    <row r="102" spans="1:32" x14ac:dyDescent="0.45">
      <c r="A102" s="10" t="s">
        <v>607</v>
      </c>
      <c r="B102" s="10"/>
      <c r="C102" s="30" t="s">
        <v>100</v>
      </c>
      <c r="D102" s="31"/>
      <c r="E102" s="30">
        <v>15.76</v>
      </c>
      <c r="F102" s="31"/>
      <c r="G102" s="30">
        <v>15.76</v>
      </c>
      <c r="H102" s="31"/>
      <c r="I102" s="30">
        <v>5.63</v>
      </c>
      <c r="J102" s="31"/>
      <c r="K102" s="30">
        <v>-12.09</v>
      </c>
      <c r="L102" s="31"/>
      <c r="M102" s="30">
        <v>1.3</v>
      </c>
      <c r="N102" s="31"/>
      <c r="O102" s="30">
        <v>-4.5999999999999996</v>
      </c>
      <c r="P102" s="31"/>
      <c r="Q102" s="30">
        <v>15</v>
      </c>
      <c r="R102" s="31"/>
      <c r="S102" s="30">
        <v>5.3</v>
      </c>
      <c r="T102" s="31"/>
      <c r="U102" s="30">
        <v>12</v>
      </c>
      <c r="V102" s="31"/>
      <c r="W102" s="30">
        <v>10.1</v>
      </c>
      <c r="X102" s="31"/>
      <c r="Y102" s="30">
        <v>13.2</v>
      </c>
      <c r="Z102" s="31"/>
      <c r="AA102" s="30">
        <v>5.3</v>
      </c>
      <c r="AB102" s="31"/>
      <c r="AC102" s="30">
        <v>-3.7</v>
      </c>
      <c r="AD102" s="31"/>
      <c r="AE102" s="30">
        <v>8.1999999999999993</v>
      </c>
      <c r="AF102" s="31"/>
    </row>
    <row r="103" spans="1:32" x14ac:dyDescent="0.45">
      <c r="A103" s="10" t="s">
        <v>620</v>
      </c>
      <c r="B103" s="10"/>
      <c r="C103" s="30" t="s">
        <v>100</v>
      </c>
      <c r="D103" s="31"/>
      <c r="E103" s="30">
        <v>26.01</v>
      </c>
      <c r="F103" s="31"/>
      <c r="G103" s="30">
        <v>26.01</v>
      </c>
      <c r="H103" s="31"/>
      <c r="I103" s="30">
        <v>18.28</v>
      </c>
      <c r="J103" s="31"/>
      <c r="K103" s="30">
        <v>8.01</v>
      </c>
      <c r="L103" s="31"/>
      <c r="M103" s="30">
        <v>15.6</v>
      </c>
      <c r="N103" s="31"/>
      <c r="O103" s="30">
        <v>2.8</v>
      </c>
      <c r="P103" s="31"/>
      <c r="Q103" s="30">
        <v>9.4</v>
      </c>
      <c r="R103" s="31"/>
      <c r="S103" s="30">
        <v>12.4</v>
      </c>
      <c r="T103" s="31"/>
      <c r="U103" s="30">
        <v>5.2</v>
      </c>
      <c r="V103" s="31"/>
      <c r="W103" s="30">
        <v>16</v>
      </c>
      <c r="X103" s="31"/>
      <c r="Y103" s="30">
        <v>-9.6999999999999993</v>
      </c>
      <c r="Z103" s="31"/>
      <c r="AA103" s="30">
        <v>28.7</v>
      </c>
      <c r="AB103" s="31"/>
      <c r="AC103" s="30">
        <v>23.2</v>
      </c>
      <c r="AD103" s="31"/>
      <c r="AE103" s="30">
        <v>-2.2999999999999998</v>
      </c>
      <c r="AF103" s="31"/>
    </row>
    <row r="104" spans="1:32" x14ac:dyDescent="0.45">
      <c r="A104" s="6" t="s">
        <v>603</v>
      </c>
      <c r="B104" s="6"/>
      <c r="C104" s="34" t="s">
        <v>100</v>
      </c>
      <c r="D104" s="35"/>
      <c r="E104" s="34" t="s">
        <v>100</v>
      </c>
      <c r="F104" s="35"/>
      <c r="G104" s="34" t="s">
        <v>100</v>
      </c>
      <c r="H104" s="35"/>
      <c r="I104" s="34" t="s">
        <v>100</v>
      </c>
      <c r="J104" s="35"/>
      <c r="K104" s="34" t="s">
        <v>100</v>
      </c>
      <c r="L104" s="35"/>
      <c r="M104" s="34" t="s">
        <v>100</v>
      </c>
      <c r="N104" s="35"/>
      <c r="O104" s="34" t="s">
        <v>100</v>
      </c>
      <c r="P104" s="35"/>
      <c r="Q104" s="34" t="s">
        <v>100</v>
      </c>
      <c r="R104" s="35"/>
      <c r="S104" s="34" t="s">
        <v>100</v>
      </c>
      <c r="T104" s="35"/>
      <c r="U104" s="34" t="s">
        <v>100</v>
      </c>
      <c r="V104" s="35"/>
      <c r="W104" s="34" t="s">
        <v>100</v>
      </c>
      <c r="X104" s="35"/>
      <c r="Y104" s="34" t="s">
        <v>100</v>
      </c>
      <c r="Z104" s="35"/>
      <c r="AA104" s="34" t="s">
        <v>100</v>
      </c>
      <c r="AB104" s="35"/>
      <c r="AC104" s="34" t="s">
        <v>100</v>
      </c>
      <c r="AD104" s="35"/>
      <c r="AE104" s="34" t="s">
        <v>100</v>
      </c>
      <c r="AF104" s="35"/>
    </row>
    <row r="105" spans="1:32" x14ac:dyDescent="0.45">
      <c r="A105" s="10" t="s">
        <v>616</v>
      </c>
      <c r="B105" s="10"/>
      <c r="C105" s="30" t="s">
        <v>100</v>
      </c>
      <c r="D105" s="31"/>
      <c r="E105" s="30">
        <v>17.47</v>
      </c>
      <c r="F105" s="31"/>
      <c r="G105" s="30">
        <v>17.47</v>
      </c>
      <c r="H105" s="31"/>
      <c r="I105" s="30">
        <v>20.22</v>
      </c>
      <c r="J105" s="31"/>
      <c r="K105" s="30">
        <v>9.6</v>
      </c>
      <c r="L105" s="31"/>
      <c r="M105" s="30">
        <v>9.5</v>
      </c>
      <c r="N105" s="31"/>
      <c r="O105" s="30">
        <v>10.1</v>
      </c>
      <c r="P105" s="31"/>
      <c r="Q105" s="30">
        <v>3.6</v>
      </c>
      <c r="R105" s="31"/>
      <c r="S105" s="30">
        <v>13.4</v>
      </c>
      <c r="T105" s="31"/>
      <c r="U105" s="30">
        <v>14</v>
      </c>
      <c r="V105" s="31"/>
      <c r="W105" s="30">
        <v>26.1</v>
      </c>
      <c r="X105" s="31"/>
      <c r="Y105" s="30">
        <v>21.1</v>
      </c>
      <c r="Z105" s="31"/>
      <c r="AA105" s="30">
        <v>13.6</v>
      </c>
      <c r="AB105" s="31"/>
      <c r="AC105" s="30">
        <v>5.7</v>
      </c>
      <c r="AD105" s="31"/>
      <c r="AE105" s="30">
        <v>13.8</v>
      </c>
      <c r="AF105" s="31"/>
    </row>
    <row r="106" spans="1:32" x14ac:dyDescent="0.45">
      <c r="A106" s="10" t="s">
        <v>617</v>
      </c>
      <c r="B106" s="10"/>
      <c r="C106" s="30" t="s">
        <v>100</v>
      </c>
      <c r="D106" s="31"/>
      <c r="E106" s="30">
        <v>16.46</v>
      </c>
      <c r="F106" s="31"/>
      <c r="G106" s="30">
        <v>16.46</v>
      </c>
      <c r="H106" s="31"/>
      <c r="I106" s="30">
        <v>15.35</v>
      </c>
      <c r="J106" s="31"/>
      <c r="K106" s="30">
        <v>11.4</v>
      </c>
      <c r="L106" s="31"/>
      <c r="M106" s="30">
        <v>6.4</v>
      </c>
      <c r="N106" s="31"/>
      <c r="O106" s="30">
        <v>4.9000000000000004</v>
      </c>
      <c r="P106" s="31"/>
      <c r="Q106" s="30">
        <v>2.8</v>
      </c>
      <c r="R106" s="31"/>
      <c r="S106" s="30">
        <v>7.6</v>
      </c>
      <c r="T106" s="31"/>
      <c r="U106" s="30">
        <v>10.199999999999999</v>
      </c>
      <c r="V106" s="31"/>
      <c r="W106" s="30">
        <v>13.8</v>
      </c>
      <c r="X106" s="31"/>
      <c r="Y106" s="30">
        <v>3.5</v>
      </c>
      <c r="Z106" s="31"/>
      <c r="AA106" s="30">
        <v>9.1999999999999993</v>
      </c>
      <c r="AB106" s="31"/>
      <c r="AC106" s="30">
        <v>15.9</v>
      </c>
      <c r="AD106" s="31"/>
      <c r="AE106" s="30">
        <v>7.9</v>
      </c>
      <c r="AF106" s="31"/>
    </row>
    <row r="107" spans="1:32" x14ac:dyDescent="0.45">
      <c r="A107" s="10" t="s">
        <v>606</v>
      </c>
      <c r="B107" s="10"/>
      <c r="C107" s="30" t="s">
        <v>100</v>
      </c>
      <c r="D107" s="31"/>
      <c r="E107" s="30">
        <v>19.079999999999998</v>
      </c>
      <c r="F107" s="31"/>
      <c r="G107" s="30">
        <v>19.079999999999998</v>
      </c>
      <c r="H107" s="31"/>
      <c r="I107" s="30">
        <v>12.85</v>
      </c>
      <c r="J107" s="31"/>
      <c r="K107" s="30">
        <v>11.92</v>
      </c>
      <c r="L107" s="31"/>
      <c r="M107" s="30">
        <v>5.2</v>
      </c>
      <c r="N107" s="31"/>
      <c r="O107" s="30">
        <v>3.2</v>
      </c>
      <c r="P107" s="31"/>
      <c r="Q107" s="30">
        <v>1.2</v>
      </c>
      <c r="R107" s="31"/>
      <c r="S107" s="30">
        <v>9.6999999999999993</v>
      </c>
      <c r="T107" s="31"/>
      <c r="U107" s="30">
        <v>9.5</v>
      </c>
      <c r="V107" s="31"/>
      <c r="W107" s="30">
        <v>9.8000000000000007</v>
      </c>
      <c r="X107" s="31"/>
      <c r="Y107" s="30">
        <v>1.3</v>
      </c>
      <c r="Z107" s="31"/>
      <c r="AA107" s="30">
        <v>15</v>
      </c>
      <c r="AB107" s="31"/>
      <c r="AC107" s="30">
        <v>5.9</v>
      </c>
      <c r="AD107" s="31"/>
      <c r="AE107" s="30">
        <v>14.1</v>
      </c>
      <c r="AF107" s="31"/>
    </row>
    <row r="108" spans="1:32" x14ac:dyDescent="0.45">
      <c r="A108" s="10" t="s">
        <v>608</v>
      </c>
      <c r="B108" s="10"/>
      <c r="C108" s="30" t="s">
        <v>100</v>
      </c>
      <c r="D108" s="31"/>
      <c r="E108" s="30">
        <v>15.48</v>
      </c>
      <c r="F108" s="31"/>
      <c r="G108" s="30">
        <v>15.48</v>
      </c>
      <c r="H108" s="31"/>
      <c r="I108" s="30">
        <v>20.48</v>
      </c>
      <c r="J108" s="31"/>
      <c r="K108" s="30">
        <v>10.99</v>
      </c>
      <c r="L108" s="31"/>
      <c r="M108" s="30">
        <v>7</v>
      </c>
      <c r="N108" s="31"/>
      <c r="O108" s="30">
        <v>11.1</v>
      </c>
      <c r="P108" s="31"/>
      <c r="Q108" s="30">
        <v>8.1999999999999993</v>
      </c>
      <c r="R108" s="31"/>
      <c r="S108" s="30">
        <v>6.3</v>
      </c>
      <c r="T108" s="31"/>
      <c r="U108" s="30">
        <v>12.1</v>
      </c>
      <c r="V108" s="31"/>
      <c r="W108" s="30">
        <v>18.100000000000001</v>
      </c>
      <c r="X108" s="31"/>
      <c r="Y108" s="30">
        <v>-2.5</v>
      </c>
      <c r="Z108" s="31"/>
      <c r="AA108" s="30">
        <v>-1.8</v>
      </c>
      <c r="AB108" s="31"/>
      <c r="AC108" s="30">
        <v>38.700000000000003</v>
      </c>
      <c r="AD108" s="31"/>
      <c r="AE108" s="30">
        <v>-2.9</v>
      </c>
      <c r="AF108" s="31"/>
    </row>
    <row r="109" spans="1:32" x14ac:dyDescent="0.45">
      <c r="A109" s="10" t="s">
        <v>618</v>
      </c>
      <c r="B109" s="10"/>
      <c r="C109" s="30" t="s">
        <v>100</v>
      </c>
      <c r="D109" s="31"/>
      <c r="E109" s="30">
        <v>7.77</v>
      </c>
      <c r="F109" s="31"/>
      <c r="G109" s="30">
        <v>7.77</v>
      </c>
      <c r="H109" s="31"/>
      <c r="I109" s="30">
        <v>14.46</v>
      </c>
      <c r="J109" s="31"/>
      <c r="K109" s="30">
        <v>10.18</v>
      </c>
      <c r="L109" s="31"/>
      <c r="M109" s="30">
        <v>9.8000000000000007</v>
      </c>
      <c r="N109" s="31"/>
      <c r="O109" s="30">
        <v>-2.5</v>
      </c>
      <c r="P109" s="31"/>
      <c r="Q109" s="30">
        <v>-4.2</v>
      </c>
      <c r="R109" s="31"/>
      <c r="S109" s="30">
        <v>2.4</v>
      </c>
      <c r="T109" s="31"/>
      <c r="U109" s="30">
        <v>7.3</v>
      </c>
      <c r="V109" s="31"/>
      <c r="W109" s="30">
        <v>21.5</v>
      </c>
      <c r="X109" s="31"/>
      <c r="Y109" s="30" t="s">
        <v>100</v>
      </c>
      <c r="Z109" s="31"/>
      <c r="AA109" s="30" t="s">
        <v>100</v>
      </c>
      <c r="AB109" s="31"/>
      <c r="AC109" s="30" t="s">
        <v>100</v>
      </c>
      <c r="AD109" s="31"/>
      <c r="AE109" s="30" t="s">
        <v>100</v>
      </c>
      <c r="AF109" s="31"/>
    </row>
    <row r="110" spans="1:32" x14ac:dyDescent="0.45">
      <c r="A110" s="10" t="s">
        <v>619</v>
      </c>
      <c r="B110" s="10"/>
      <c r="C110" s="30" t="s">
        <v>100</v>
      </c>
      <c r="D110" s="31"/>
      <c r="E110" s="30">
        <v>18.399999999999999</v>
      </c>
      <c r="F110" s="31"/>
      <c r="G110" s="30">
        <v>18.399999999999999</v>
      </c>
      <c r="H110" s="31"/>
      <c r="I110" s="30">
        <v>16.68</v>
      </c>
      <c r="J110" s="31"/>
      <c r="K110" s="30">
        <v>7.13</v>
      </c>
      <c r="L110" s="31"/>
      <c r="M110" s="30">
        <v>13.4</v>
      </c>
      <c r="N110" s="31"/>
      <c r="O110" s="30">
        <v>6.8</v>
      </c>
      <c r="P110" s="31"/>
      <c r="Q110" s="30">
        <v>8.8000000000000007</v>
      </c>
      <c r="R110" s="31"/>
      <c r="S110" s="30">
        <v>9.6999999999999993</v>
      </c>
      <c r="T110" s="31"/>
      <c r="U110" s="30">
        <v>7.1</v>
      </c>
      <c r="V110" s="31"/>
      <c r="W110" s="30">
        <v>15</v>
      </c>
      <c r="X110" s="31"/>
      <c r="Y110" s="30">
        <v>-1.6</v>
      </c>
      <c r="Z110" s="31"/>
      <c r="AA110" s="30">
        <v>19.100000000000001</v>
      </c>
      <c r="AB110" s="31"/>
      <c r="AC110" s="30">
        <v>24.3</v>
      </c>
      <c r="AD110" s="31"/>
      <c r="AE110" s="30">
        <v>4.5999999999999996</v>
      </c>
      <c r="AF110" s="31"/>
    </row>
    <row r="111" spans="1:32" x14ac:dyDescent="0.45">
      <c r="A111" s="10" t="s">
        <v>607</v>
      </c>
      <c r="B111" s="10"/>
      <c r="C111" s="30" t="s">
        <v>100</v>
      </c>
      <c r="D111" s="31"/>
      <c r="E111" s="30">
        <v>8.0500000000000007</v>
      </c>
      <c r="F111" s="31"/>
      <c r="G111" s="30">
        <v>8.0500000000000007</v>
      </c>
      <c r="H111" s="31"/>
      <c r="I111" s="30">
        <v>8.31</v>
      </c>
      <c r="J111" s="31"/>
      <c r="K111" s="30">
        <v>5.22</v>
      </c>
      <c r="L111" s="31"/>
      <c r="M111" s="30">
        <v>10.4</v>
      </c>
      <c r="N111" s="31"/>
      <c r="O111" s="30">
        <v>8.6999999999999993</v>
      </c>
      <c r="P111" s="31"/>
      <c r="Q111" s="30">
        <v>5.0999999999999996</v>
      </c>
      <c r="R111" s="31"/>
      <c r="S111" s="30">
        <v>8.1</v>
      </c>
      <c r="T111" s="31"/>
      <c r="U111" s="30">
        <v>10.4</v>
      </c>
      <c r="V111" s="31"/>
      <c r="W111" s="30">
        <v>8.9</v>
      </c>
      <c r="X111" s="31"/>
      <c r="Y111" s="30">
        <v>10.7</v>
      </c>
      <c r="Z111" s="31"/>
      <c r="AA111" s="30">
        <v>8.4</v>
      </c>
      <c r="AB111" s="31"/>
      <c r="AC111" s="30">
        <v>14.3</v>
      </c>
      <c r="AD111" s="31"/>
      <c r="AE111" s="30">
        <v>15.4</v>
      </c>
      <c r="AF111" s="31"/>
    </row>
    <row r="112" spans="1:32" x14ac:dyDescent="0.45">
      <c r="A112" s="10" t="s">
        <v>620</v>
      </c>
      <c r="B112" s="10"/>
      <c r="C112" s="30" t="s">
        <v>100</v>
      </c>
      <c r="D112" s="31"/>
      <c r="E112" s="30">
        <v>29.68</v>
      </c>
      <c r="F112" s="31"/>
      <c r="G112" s="30">
        <v>29.68</v>
      </c>
      <c r="H112" s="31"/>
      <c r="I112" s="30">
        <v>24.91</v>
      </c>
      <c r="J112" s="31"/>
      <c r="K112" s="30">
        <v>8.81</v>
      </c>
      <c r="L112" s="31"/>
      <c r="M112" s="30">
        <v>15.6</v>
      </c>
      <c r="N112" s="31"/>
      <c r="O112" s="30">
        <v>5.6</v>
      </c>
      <c r="P112" s="31"/>
      <c r="Q112" s="30">
        <v>10.9</v>
      </c>
      <c r="R112" s="31"/>
      <c r="S112" s="30">
        <v>10.6</v>
      </c>
      <c r="T112" s="31"/>
      <c r="U112" s="30">
        <v>5.0999999999999996</v>
      </c>
      <c r="V112" s="31"/>
      <c r="W112" s="30">
        <v>19.2</v>
      </c>
      <c r="X112" s="31"/>
      <c r="Y112" s="30">
        <v>-9.5</v>
      </c>
      <c r="Z112" s="31"/>
      <c r="AA112" s="30">
        <v>27.7</v>
      </c>
      <c r="AB112" s="31"/>
      <c r="AC112" s="30">
        <v>30.8</v>
      </c>
      <c r="AD112" s="31"/>
      <c r="AE112" s="30">
        <v>-1</v>
      </c>
      <c r="AF112" s="31"/>
    </row>
    <row r="113" spans="1:32" x14ac:dyDescent="0.45">
      <c r="A113" s="7" t="s">
        <v>69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6"/>
  <sheetViews>
    <sheetView workbookViewId="0">
      <pane xSplit="2" topLeftCell="E1" activePane="topRight" state="frozen"/>
      <selection pane="topRight" activeCell="Q8" sqref="Q8"/>
    </sheetView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65" x14ac:dyDescent="0.45">
      <c r="A2" s="8" t="s">
        <v>636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45">
      <c r="A3" s="2"/>
      <c r="B3" s="2">
        <f t="shared" ref="A3:Q3" si="0">B7+B16</f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46"/>
    </row>
    <row r="4" spans="1:17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 x14ac:dyDescent="0.45">
      <c r="A6" s="42" t="s">
        <v>637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</row>
    <row r="7" spans="1:17" x14ac:dyDescent="0.45">
      <c r="A7" s="10" t="s">
        <v>638</v>
      </c>
      <c r="B7" s="10"/>
      <c r="C7" s="13">
        <v>315.63299999999998</v>
      </c>
      <c r="D7" s="13">
        <v>351.03300000000002</v>
      </c>
      <c r="E7" s="13">
        <v>425.88099999999997</v>
      </c>
      <c r="F7" s="13">
        <v>501.87</v>
      </c>
      <c r="G7" s="13">
        <v>528.94399999999996</v>
      </c>
      <c r="H7" s="13">
        <v>564.50199999999995</v>
      </c>
      <c r="I7" s="13">
        <v>555.10500000000002</v>
      </c>
      <c r="J7" s="13">
        <v>568.17399999999998</v>
      </c>
      <c r="K7" s="13">
        <v>624.96400000000006</v>
      </c>
      <c r="L7" s="13">
        <v>576.71699999999998</v>
      </c>
      <c r="M7" s="13">
        <v>699.63</v>
      </c>
      <c r="N7" s="13">
        <v>780.85</v>
      </c>
      <c r="O7" s="13">
        <v>945.79700000000003</v>
      </c>
      <c r="P7" s="13">
        <v>988.97799999999995</v>
      </c>
      <c r="Q7" s="13">
        <v>1088.748</v>
      </c>
    </row>
    <row r="8" spans="1:17" x14ac:dyDescent="0.45">
      <c r="A8" s="10" t="s">
        <v>639</v>
      </c>
      <c r="B8" s="10"/>
      <c r="C8" s="14">
        <v>-0.8</v>
      </c>
      <c r="D8" s="14">
        <v>11.2</v>
      </c>
      <c r="E8" s="14">
        <v>21.3</v>
      </c>
      <c r="F8" s="14">
        <v>17.8</v>
      </c>
      <c r="G8" s="14">
        <v>5.4</v>
      </c>
      <c r="H8" s="14">
        <v>6.7</v>
      </c>
      <c r="I8" s="14">
        <v>-1.7</v>
      </c>
      <c r="J8" s="14">
        <v>2.4</v>
      </c>
      <c r="K8" s="14">
        <v>10</v>
      </c>
      <c r="L8" s="14">
        <v>-7.7</v>
      </c>
      <c r="M8" s="14">
        <v>21.3</v>
      </c>
      <c r="N8" s="14">
        <v>11.6</v>
      </c>
      <c r="O8" s="14">
        <v>21.1</v>
      </c>
      <c r="P8" s="14">
        <v>4.5999999999999996</v>
      </c>
      <c r="Q8" s="14">
        <v>2.7</v>
      </c>
    </row>
    <row r="9" spans="1:17" x14ac:dyDescent="0.45">
      <c r="A9" s="10" t="s">
        <v>640</v>
      </c>
      <c r="B9" s="10"/>
      <c r="C9" s="13">
        <v>10.210000000000001</v>
      </c>
      <c r="D9" s="13">
        <v>10.77</v>
      </c>
      <c r="E9" s="13">
        <v>15.884</v>
      </c>
      <c r="F9" s="13">
        <v>24.512</v>
      </c>
      <c r="G9" s="13">
        <v>28.363</v>
      </c>
      <c r="H9" s="13">
        <v>30.606999999999999</v>
      </c>
      <c r="I9" s="13">
        <v>29.105</v>
      </c>
      <c r="J9" s="13">
        <v>28.86</v>
      </c>
      <c r="K9" s="13">
        <v>34.420999999999999</v>
      </c>
      <c r="L9" s="13">
        <v>18.619</v>
      </c>
      <c r="M9" s="13">
        <v>23.943999999999999</v>
      </c>
      <c r="N9" s="13">
        <v>30.617999999999999</v>
      </c>
      <c r="O9" s="13">
        <v>38.155999999999999</v>
      </c>
      <c r="P9" s="13">
        <v>33.081000000000003</v>
      </c>
      <c r="Q9" s="13">
        <v>40.003999999999998</v>
      </c>
    </row>
    <row r="10" spans="1:17" x14ac:dyDescent="0.45">
      <c r="A10" s="10" t="s">
        <v>641</v>
      </c>
      <c r="B10" s="10"/>
      <c r="C10" s="13" t="s">
        <v>100</v>
      </c>
      <c r="D10" s="13">
        <v>351.03300000000002</v>
      </c>
      <c r="E10" s="13">
        <v>435.3</v>
      </c>
      <c r="F10" s="13">
        <v>508.851</v>
      </c>
      <c r="G10" s="13">
        <v>532.27300000000002</v>
      </c>
      <c r="H10" s="13">
        <v>567.89300000000003</v>
      </c>
      <c r="I10" s="13">
        <v>556.24300000000005</v>
      </c>
      <c r="J10" s="13">
        <v>568.20100000000002</v>
      </c>
      <c r="K10" s="13">
        <v>626.952</v>
      </c>
      <c r="L10" s="13">
        <v>576.75900000000001</v>
      </c>
      <c r="M10" s="13">
        <v>702.101</v>
      </c>
      <c r="N10" s="13">
        <v>781.971</v>
      </c>
      <c r="O10" s="13">
        <v>947.20500000000004</v>
      </c>
      <c r="P10" s="13">
        <v>989.10299999999995</v>
      </c>
      <c r="Q10" s="13">
        <v>1088.748</v>
      </c>
    </row>
    <row r="11" spans="1:17" x14ac:dyDescent="0.45">
      <c r="A11" s="10" t="s">
        <v>642</v>
      </c>
      <c r="B11" s="10"/>
      <c r="C11" s="14">
        <v>4.5</v>
      </c>
      <c r="D11" s="14">
        <v>5.5</v>
      </c>
      <c r="E11" s="14">
        <v>47.5</v>
      </c>
      <c r="F11" s="14">
        <v>54.3</v>
      </c>
      <c r="G11" s="14">
        <v>15.7</v>
      </c>
      <c r="H11" s="14">
        <v>7.9</v>
      </c>
      <c r="I11" s="14">
        <v>-4.9000000000000004</v>
      </c>
      <c r="J11" s="14">
        <v>-0.8</v>
      </c>
      <c r="K11" s="14">
        <v>19.3</v>
      </c>
      <c r="L11" s="14">
        <v>-45.9</v>
      </c>
      <c r="M11" s="14">
        <v>28.6</v>
      </c>
      <c r="N11" s="14">
        <v>27.9</v>
      </c>
      <c r="O11" s="14" t="s">
        <v>100</v>
      </c>
      <c r="P11" s="14">
        <v>-13.3</v>
      </c>
      <c r="Q11" s="14" t="s">
        <v>1234</v>
      </c>
    </row>
    <row r="12" spans="1:17" x14ac:dyDescent="0.45">
      <c r="A12" s="40" t="s">
        <v>643</v>
      </c>
      <c r="B12" s="40"/>
      <c r="C12" s="41" t="s">
        <v>100</v>
      </c>
      <c r="D12" s="41" t="s">
        <v>100</v>
      </c>
      <c r="E12" s="41" t="s">
        <v>100</v>
      </c>
      <c r="F12" s="41" t="s">
        <v>100</v>
      </c>
      <c r="G12" s="41" t="s">
        <v>100</v>
      </c>
      <c r="H12" s="41" t="s">
        <v>100</v>
      </c>
      <c r="I12" s="41" t="s">
        <v>100</v>
      </c>
      <c r="J12" s="41" t="s">
        <v>100</v>
      </c>
      <c r="K12" s="41" t="s">
        <v>100</v>
      </c>
      <c r="L12" s="41" t="s">
        <v>100</v>
      </c>
      <c r="M12" s="41">
        <v>46.2</v>
      </c>
      <c r="N12" s="41">
        <v>46.4</v>
      </c>
      <c r="O12" s="41">
        <v>49.6</v>
      </c>
      <c r="P12" s="41">
        <v>47.9</v>
      </c>
      <c r="Q12" s="41">
        <v>47.9</v>
      </c>
    </row>
    <row r="13" spans="1:17" x14ac:dyDescent="0.45">
      <c r="A13" s="10" t="s">
        <v>644</v>
      </c>
      <c r="B13" s="10"/>
      <c r="C13" s="13">
        <v>0.44400000000000001</v>
      </c>
      <c r="D13" s="13">
        <v>0.56000000000000005</v>
      </c>
      <c r="E13" s="13">
        <v>5.1139999999999999</v>
      </c>
      <c r="F13" s="13">
        <v>8.6280000000000001</v>
      </c>
      <c r="G13" s="13">
        <v>3.851</v>
      </c>
      <c r="H13" s="13">
        <v>2.2440000000000002</v>
      </c>
      <c r="I13" s="13">
        <v>-1.502</v>
      </c>
      <c r="J13" s="13">
        <v>-0.245</v>
      </c>
      <c r="K13" s="13">
        <v>5.5609999999999999</v>
      </c>
      <c r="L13" s="13">
        <v>-15.802</v>
      </c>
      <c r="M13" s="13">
        <v>5.3250000000000002</v>
      </c>
      <c r="N13" s="13">
        <v>6.6740000000000004</v>
      </c>
      <c r="O13" s="13">
        <v>38.155999999999999</v>
      </c>
      <c r="P13" s="13">
        <v>33.081000000000003</v>
      </c>
      <c r="Q13" s="13">
        <v>6.923</v>
      </c>
    </row>
    <row r="14" spans="1:17" x14ac:dyDescent="0.45">
      <c r="A14" s="10" t="s">
        <v>645</v>
      </c>
      <c r="B14" s="10"/>
      <c r="C14" s="14" t="s">
        <v>100</v>
      </c>
      <c r="D14" s="14" t="s">
        <v>100</v>
      </c>
      <c r="E14" s="14" t="s">
        <v>100</v>
      </c>
      <c r="F14" s="14" t="s">
        <v>100</v>
      </c>
      <c r="G14" s="14" t="s">
        <v>100</v>
      </c>
      <c r="H14" s="14" t="s">
        <v>100</v>
      </c>
      <c r="I14" s="14" t="s">
        <v>100</v>
      </c>
      <c r="J14" s="14" t="s">
        <v>100</v>
      </c>
      <c r="K14" s="14" t="s">
        <v>100</v>
      </c>
      <c r="L14" s="14">
        <v>-8.5</v>
      </c>
      <c r="M14" s="14">
        <v>23.1</v>
      </c>
      <c r="N14" s="14">
        <v>10.1</v>
      </c>
      <c r="O14" s="14">
        <v>21.8</v>
      </c>
      <c r="P14" s="14" t="s">
        <v>100</v>
      </c>
      <c r="Q14" s="14" t="s">
        <v>100</v>
      </c>
    </row>
    <row r="15" spans="1:17" x14ac:dyDescent="0.45">
      <c r="A15" s="42" t="s">
        <v>646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</row>
    <row r="16" spans="1:17" x14ac:dyDescent="0.45">
      <c r="A16" s="10" t="s">
        <v>638</v>
      </c>
      <c r="B16" s="10"/>
      <c r="C16" s="13">
        <v>201.25200000000001</v>
      </c>
      <c r="D16" s="13">
        <v>229.203</v>
      </c>
      <c r="E16" s="13">
        <v>265.56799999999998</v>
      </c>
      <c r="F16" s="13">
        <v>296.14800000000002</v>
      </c>
      <c r="G16" s="13">
        <v>332.31599999999997</v>
      </c>
      <c r="H16" s="13">
        <v>371.51900000000001</v>
      </c>
      <c r="I16" s="13">
        <v>387.64800000000002</v>
      </c>
      <c r="J16" s="13">
        <v>420.291</v>
      </c>
      <c r="K16" s="13">
        <v>470.286</v>
      </c>
      <c r="L16" s="13">
        <v>716.91899999999998</v>
      </c>
      <c r="M16" s="13">
        <v>816.26199999999994</v>
      </c>
      <c r="N16" s="13">
        <v>900.447</v>
      </c>
      <c r="O16" s="13">
        <v>960.91800000000001</v>
      </c>
      <c r="P16" s="13">
        <v>1076.575</v>
      </c>
      <c r="Q16" s="13">
        <v>1181.201</v>
      </c>
    </row>
    <row r="17" spans="1:17" x14ac:dyDescent="0.45">
      <c r="A17" s="10" t="s">
        <v>639</v>
      </c>
      <c r="B17" s="10"/>
      <c r="C17" s="14">
        <v>25.6</v>
      </c>
      <c r="D17" s="14">
        <v>13.9</v>
      </c>
      <c r="E17" s="14">
        <v>15.9</v>
      </c>
      <c r="F17" s="14">
        <v>11.5</v>
      </c>
      <c r="G17" s="14">
        <v>12.2</v>
      </c>
      <c r="H17" s="14">
        <v>11.8</v>
      </c>
      <c r="I17" s="14">
        <v>4.3</v>
      </c>
      <c r="J17" s="14">
        <v>8.4</v>
      </c>
      <c r="K17" s="14">
        <v>11.9</v>
      </c>
      <c r="L17" s="14">
        <v>52.4</v>
      </c>
      <c r="M17" s="14">
        <v>13.9</v>
      </c>
      <c r="N17" s="14">
        <v>10.3</v>
      </c>
      <c r="O17" s="14">
        <v>6.7</v>
      </c>
      <c r="P17" s="14">
        <v>12</v>
      </c>
      <c r="Q17" s="14">
        <v>3.5</v>
      </c>
    </row>
    <row r="18" spans="1:17" x14ac:dyDescent="0.45">
      <c r="A18" s="10" t="s">
        <v>640</v>
      </c>
      <c r="B18" s="10"/>
      <c r="C18" s="13">
        <v>50.021000000000001</v>
      </c>
      <c r="D18" s="13">
        <v>57.351999999999997</v>
      </c>
      <c r="E18" s="13">
        <v>69.402000000000001</v>
      </c>
      <c r="F18" s="13">
        <v>74.114999999999995</v>
      </c>
      <c r="G18" s="13">
        <v>80.031000000000006</v>
      </c>
      <c r="H18" s="13">
        <v>85.126000000000005</v>
      </c>
      <c r="I18" s="13">
        <v>79.385999999999996</v>
      </c>
      <c r="J18" s="13">
        <v>79.908000000000001</v>
      </c>
      <c r="K18" s="13">
        <v>78.948999999999998</v>
      </c>
      <c r="L18" s="13">
        <v>110.232</v>
      </c>
      <c r="M18" s="13">
        <v>120.619</v>
      </c>
      <c r="N18" s="13">
        <v>154.00399999999999</v>
      </c>
      <c r="O18" s="13">
        <v>159.066</v>
      </c>
      <c r="P18" s="13">
        <v>148.18799999999999</v>
      </c>
      <c r="Q18" s="13">
        <v>150.304</v>
      </c>
    </row>
    <row r="19" spans="1:17" x14ac:dyDescent="0.45">
      <c r="A19" s="10" t="s">
        <v>641</v>
      </c>
      <c r="B19" s="10"/>
      <c r="C19" s="13" t="s">
        <v>100</v>
      </c>
      <c r="D19" s="13">
        <v>229.203</v>
      </c>
      <c r="E19" s="13">
        <v>265.77</v>
      </c>
      <c r="F19" s="13">
        <v>298.803</v>
      </c>
      <c r="G19" s="13">
        <v>333.61900000000003</v>
      </c>
      <c r="H19" s="13">
        <v>373.54899999999998</v>
      </c>
      <c r="I19" s="13">
        <v>388.23500000000001</v>
      </c>
      <c r="J19" s="13">
        <v>420.36700000000002</v>
      </c>
      <c r="K19" s="13">
        <v>471.154</v>
      </c>
      <c r="L19" s="13">
        <v>726.31899999999996</v>
      </c>
      <c r="M19" s="13">
        <v>826.30499999999995</v>
      </c>
      <c r="N19" s="13">
        <v>913.52700000000004</v>
      </c>
      <c r="O19" s="13">
        <v>984.28200000000004</v>
      </c>
      <c r="P19" s="13">
        <v>1083.7829999999999</v>
      </c>
      <c r="Q19" s="13">
        <v>1181.201</v>
      </c>
    </row>
    <row r="20" spans="1:17" x14ac:dyDescent="0.45">
      <c r="A20" s="10" t="s">
        <v>642</v>
      </c>
      <c r="B20" s="10"/>
      <c r="C20" s="14">
        <v>-7.1</v>
      </c>
      <c r="D20" s="14">
        <v>14.7</v>
      </c>
      <c r="E20" s="14">
        <v>21</v>
      </c>
      <c r="F20" s="14">
        <v>6.8</v>
      </c>
      <c r="G20" s="14">
        <v>8</v>
      </c>
      <c r="H20" s="14">
        <v>6.4</v>
      </c>
      <c r="I20" s="14">
        <v>-6.7</v>
      </c>
      <c r="J20" s="14">
        <v>0.7</v>
      </c>
      <c r="K20" s="14">
        <v>-1.2</v>
      </c>
      <c r="L20" s="14">
        <v>39.6</v>
      </c>
      <c r="M20" s="14">
        <v>9.4</v>
      </c>
      <c r="N20" s="14">
        <v>27.7</v>
      </c>
      <c r="O20" s="14" t="s">
        <v>100</v>
      </c>
      <c r="P20" s="14">
        <v>-6.8</v>
      </c>
      <c r="Q20" s="14">
        <v>1.4</v>
      </c>
    </row>
    <row r="21" spans="1:17" x14ac:dyDescent="0.45">
      <c r="A21" s="40" t="s">
        <v>643</v>
      </c>
      <c r="B21" s="40"/>
      <c r="C21" s="41" t="s">
        <v>100</v>
      </c>
      <c r="D21" s="41" t="s">
        <v>100</v>
      </c>
      <c r="E21" s="41" t="s">
        <v>100</v>
      </c>
      <c r="F21" s="41" t="s">
        <v>100</v>
      </c>
      <c r="G21" s="41" t="s">
        <v>100</v>
      </c>
      <c r="H21" s="41" t="s">
        <v>100</v>
      </c>
      <c r="I21" s="41" t="s">
        <v>100</v>
      </c>
      <c r="J21" s="41" t="s">
        <v>100</v>
      </c>
      <c r="K21" s="41" t="s">
        <v>100</v>
      </c>
      <c r="L21" s="41" t="s">
        <v>100</v>
      </c>
      <c r="M21" s="41">
        <v>53.8</v>
      </c>
      <c r="N21" s="41">
        <v>53.6</v>
      </c>
      <c r="O21" s="41">
        <v>50.4</v>
      </c>
      <c r="P21" s="41">
        <v>52.1</v>
      </c>
      <c r="Q21" s="41">
        <v>52</v>
      </c>
    </row>
    <row r="22" spans="1:17" x14ac:dyDescent="0.45">
      <c r="A22" s="10" t="s">
        <v>644</v>
      </c>
      <c r="B22" s="10"/>
      <c r="C22" s="13">
        <v>-3.8239999999999998</v>
      </c>
      <c r="D22" s="13">
        <v>7.3310000000000004</v>
      </c>
      <c r="E22" s="13">
        <v>12.05</v>
      </c>
      <c r="F22" s="13">
        <v>4.7130000000000001</v>
      </c>
      <c r="G22" s="13">
        <v>5.9160000000000004</v>
      </c>
      <c r="H22" s="13">
        <v>5.0949999999999998</v>
      </c>
      <c r="I22" s="13">
        <v>-5.74</v>
      </c>
      <c r="J22" s="13">
        <v>0.52200000000000002</v>
      </c>
      <c r="K22" s="13">
        <v>-0.95899999999999996</v>
      </c>
      <c r="L22" s="13">
        <v>31.283000000000001</v>
      </c>
      <c r="M22" s="13">
        <v>10.387</v>
      </c>
      <c r="N22" s="13">
        <v>33.384999999999998</v>
      </c>
      <c r="O22" s="13">
        <v>159.066</v>
      </c>
      <c r="P22" s="13">
        <v>148.18799999999999</v>
      </c>
      <c r="Q22" s="13">
        <v>2.1160000000000001</v>
      </c>
    </row>
    <row r="23" spans="1:17" x14ac:dyDescent="0.45">
      <c r="A23" s="10" t="s">
        <v>645</v>
      </c>
      <c r="B23" s="10"/>
      <c r="C23" s="14" t="s">
        <v>100</v>
      </c>
      <c r="D23" s="14" t="s">
        <v>100</v>
      </c>
      <c r="E23" s="14" t="s">
        <v>100</v>
      </c>
      <c r="F23" s="14" t="s">
        <v>100</v>
      </c>
      <c r="G23" s="14" t="s">
        <v>100</v>
      </c>
      <c r="H23" s="14" t="s">
        <v>100</v>
      </c>
      <c r="I23" s="14" t="s">
        <v>100</v>
      </c>
      <c r="J23" s="14" t="s">
        <v>100</v>
      </c>
      <c r="K23" s="14" t="s">
        <v>100</v>
      </c>
      <c r="L23" s="14">
        <v>50.4</v>
      </c>
      <c r="M23" s="14">
        <v>15.8</v>
      </c>
      <c r="N23" s="14">
        <v>9.6</v>
      </c>
      <c r="O23" s="14">
        <v>5.7</v>
      </c>
      <c r="P23" s="14" t="s">
        <v>100</v>
      </c>
      <c r="Q23" s="14" t="s">
        <v>100</v>
      </c>
    </row>
    <row r="24" spans="1:17" x14ac:dyDescent="0.45">
      <c r="A24" s="6" t="s">
        <v>647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x14ac:dyDescent="0.45">
      <c r="A25" s="10" t="s">
        <v>648</v>
      </c>
      <c r="B25" s="10"/>
      <c r="C25" s="13">
        <v>419.649</v>
      </c>
      <c r="D25" s="13">
        <v>479.35700000000003</v>
      </c>
      <c r="E25" s="13">
        <v>572.43499999999995</v>
      </c>
      <c r="F25" s="13">
        <v>658.50199999999995</v>
      </c>
      <c r="G25" s="13">
        <v>714.56799999999998</v>
      </c>
      <c r="H25" s="13">
        <v>782.63499999999999</v>
      </c>
      <c r="I25" s="13">
        <v>795.50699999999995</v>
      </c>
      <c r="J25" s="13">
        <v>841.60500000000002</v>
      </c>
      <c r="K25" s="13">
        <v>945.08600000000001</v>
      </c>
      <c r="L25" s="13">
        <v>1137.751</v>
      </c>
      <c r="M25" s="13">
        <v>1349.6189999999999</v>
      </c>
      <c r="N25" s="13">
        <v>1456.0329999999999</v>
      </c>
      <c r="O25" s="13">
        <v>1648.731</v>
      </c>
      <c r="P25" s="13">
        <v>1814.912</v>
      </c>
      <c r="Q25" s="13">
        <v>1998.6510000000001</v>
      </c>
    </row>
    <row r="26" spans="1:17" x14ac:dyDescent="0.45">
      <c r="A26" s="6" t="s">
        <v>649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x14ac:dyDescent="0.45">
      <c r="A27" s="10" t="s">
        <v>640</v>
      </c>
      <c r="B27" s="10"/>
      <c r="C27" s="13">
        <v>37.005000000000003</v>
      </c>
      <c r="D27" s="13">
        <v>32.756999999999998</v>
      </c>
      <c r="E27" s="13">
        <v>33.728000000000002</v>
      </c>
      <c r="F27" s="13">
        <v>40.889000000000003</v>
      </c>
      <c r="G27" s="13">
        <v>38.298000000000002</v>
      </c>
      <c r="H27" s="13">
        <v>37.652999999999999</v>
      </c>
      <c r="I27" s="13">
        <v>38.755000000000003</v>
      </c>
      <c r="J27" s="13">
        <v>38.091999999999999</v>
      </c>
      <c r="K27" s="13">
        <v>36.793999999999997</v>
      </c>
      <c r="L27" s="13">
        <v>27.033999999999999</v>
      </c>
      <c r="M27" s="13">
        <v>21.71</v>
      </c>
      <c r="N27" s="13">
        <v>40.642000000000003</v>
      </c>
      <c r="O27" s="13">
        <v>60.762</v>
      </c>
      <c r="P27" s="13">
        <v>69.372</v>
      </c>
      <c r="Q27" s="13">
        <v>80.989999999999995</v>
      </c>
    </row>
    <row r="28" spans="1:17" x14ac:dyDescent="0.45">
      <c r="A28" s="6" t="s">
        <v>650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x14ac:dyDescent="0.45">
      <c r="A29" s="10" t="s">
        <v>645</v>
      </c>
      <c r="B29" s="10"/>
      <c r="C29" s="14" t="s">
        <v>100</v>
      </c>
      <c r="D29" s="14" t="s">
        <v>100</v>
      </c>
      <c r="E29" s="14" t="s">
        <v>100</v>
      </c>
      <c r="F29" s="14" t="s">
        <v>100</v>
      </c>
      <c r="G29" s="14" t="s">
        <v>100</v>
      </c>
      <c r="H29" s="14" t="s">
        <v>100</v>
      </c>
      <c r="I29" s="14" t="s">
        <v>100</v>
      </c>
      <c r="J29" s="14" t="s">
        <v>100</v>
      </c>
      <c r="K29" s="14" t="s">
        <v>100</v>
      </c>
      <c r="L29" s="14" t="s">
        <v>100</v>
      </c>
      <c r="M29" s="14" t="s">
        <v>100</v>
      </c>
      <c r="N29" s="14" t="s">
        <v>100</v>
      </c>
      <c r="O29" s="14" t="s">
        <v>100</v>
      </c>
      <c r="P29" s="14">
        <v>18.3</v>
      </c>
      <c r="Q29" s="14">
        <v>10.3</v>
      </c>
    </row>
    <row r="30" spans="1:17" x14ac:dyDescent="0.45">
      <c r="A30" s="10" t="s">
        <v>651</v>
      </c>
      <c r="B30" s="10"/>
      <c r="C30" s="14" t="s">
        <v>100</v>
      </c>
      <c r="D30" s="14" t="s">
        <v>100</v>
      </c>
      <c r="E30" s="14">
        <v>16.489999999999998</v>
      </c>
      <c r="F30" s="14">
        <v>12.45</v>
      </c>
      <c r="G30" s="14">
        <v>11.59</v>
      </c>
      <c r="H30" s="14">
        <v>12.3</v>
      </c>
      <c r="I30" s="14">
        <v>4.8</v>
      </c>
      <c r="J30" s="14">
        <v>8.1</v>
      </c>
      <c r="K30" s="14">
        <v>11.8</v>
      </c>
      <c r="L30" s="14">
        <v>14.7</v>
      </c>
      <c r="M30" s="14">
        <v>12.3</v>
      </c>
      <c r="N30" s="14">
        <v>10.8</v>
      </c>
      <c r="O30" s="14">
        <v>7.7</v>
      </c>
      <c r="P30" s="14">
        <v>10</v>
      </c>
      <c r="Q30" s="14">
        <v>9.1</v>
      </c>
    </row>
    <row r="31" spans="1:17" x14ac:dyDescent="0.45">
      <c r="A31" s="10" t="s">
        <v>652</v>
      </c>
      <c r="B31" s="10"/>
      <c r="C31" s="14" t="s">
        <v>100</v>
      </c>
      <c r="D31" s="14" t="s">
        <v>100</v>
      </c>
      <c r="E31" s="14">
        <v>13.23</v>
      </c>
      <c r="F31" s="14">
        <v>14.82</v>
      </c>
      <c r="G31" s="14">
        <v>13.8</v>
      </c>
      <c r="H31" s="14">
        <v>13</v>
      </c>
      <c r="I31" s="14">
        <v>12.6</v>
      </c>
      <c r="J31" s="14">
        <v>9</v>
      </c>
      <c r="K31" s="14">
        <v>11.2</v>
      </c>
      <c r="L31" s="14">
        <v>12.9</v>
      </c>
      <c r="M31" s="14">
        <v>14.2</v>
      </c>
      <c r="N31" s="14">
        <v>10</v>
      </c>
      <c r="O31" s="14">
        <v>6.7</v>
      </c>
      <c r="P31" s="14">
        <v>16.100000000000001</v>
      </c>
      <c r="Q31" s="14">
        <v>9.5</v>
      </c>
    </row>
    <row r="32" spans="1:17" x14ac:dyDescent="0.45">
      <c r="A32" s="6" t="s">
        <v>653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x14ac:dyDescent="0.45">
      <c r="A33" s="10" t="s">
        <v>645</v>
      </c>
      <c r="B33" s="10"/>
      <c r="C33" s="14" t="s">
        <v>100</v>
      </c>
      <c r="D33" s="14" t="s">
        <v>100</v>
      </c>
      <c r="E33" s="14" t="s">
        <v>100</v>
      </c>
      <c r="F33" s="14" t="s">
        <v>100</v>
      </c>
      <c r="G33" s="14" t="s">
        <v>100</v>
      </c>
      <c r="H33" s="14" t="s">
        <v>100</v>
      </c>
      <c r="I33" s="14" t="s">
        <v>100</v>
      </c>
      <c r="J33" s="14" t="s">
        <v>100</v>
      </c>
      <c r="K33" s="14" t="s">
        <v>100</v>
      </c>
      <c r="L33" s="14" t="s">
        <v>100</v>
      </c>
      <c r="M33" s="14" t="s">
        <v>100</v>
      </c>
      <c r="N33" s="14" t="s">
        <v>100</v>
      </c>
      <c r="O33" s="14" t="s">
        <v>100</v>
      </c>
      <c r="P33" s="14">
        <v>-4.0999999999999996</v>
      </c>
      <c r="Q33" s="14">
        <v>0.7</v>
      </c>
    </row>
    <row r="34" spans="1:17" x14ac:dyDescent="0.45">
      <c r="A34" s="10" t="s">
        <v>651</v>
      </c>
      <c r="B34" s="10"/>
      <c r="C34" s="14" t="s">
        <v>100</v>
      </c>
      <c r="D34" s="14" t="s">
        <v>100</v>
      </c>
      <c r="E34" s="14">
        <v>24.79</v>
      </c>
      <c r="F34" s="14">
        <v>8.5299999999999994</v>
      </c>
      <c r="G34" s="14">
        <v>3.54</v>
      </c>
      <c r="H34" s="14">
        <v>5.9</v>
      </c>
      <c r="I34" s="14">
        <v>-3.5</v>
      </c>
      <c r="J34" s="14">
        <v>-4.7</v>
      </c>
      <c r="K34" s="14">
        <v>8.9</v>
      </c>
      <c r="L34" s="14">
        <v>4.2</v>
      </c>
      <c r="M34" s="14">
        <v>-1.9</v>
      </c>
      <c r="N34" s="14">
        <v>-5</v>
      </c>
      <c r="O34" s="14">
        <v>16.899999999999999</v>
      </c>
      <c r="P34" s="14">
        <v>-8.1999999999999993</v>
      </c>
      <c r="Q34" s="14">
        <v>0.5</v>
      </c>
    </row>
    <row r="35" spans="1:17" x14ac:dyDescent="0.45">
      <c r="A35" s="10" t="s">
        <v>652</v>
      </c>
      <c r="B35" s="10"/>
      <c r="C35" s="14" t="s">
        <v>100</v>
      </c>
      <c r="D35" s="14" t="s">
        <v>100</v>
      </c>
      <c r="E35" s="14">
        <v>22.1</v>
      </c>
      <c r="F35" s="14">
        <v>10.77</v>
      </c>
      <c r="G35" s="14">
        <v>4.96</v>
      </c>
      <c r="H35" s="14">
        <v>6.8</v>
      </c>
      <c r="I35" s="14">
        <v>3.1</v>
      </c>
      <c r="J35" s="14">
        <v>-4.3</v>
      </c>
      <c r="K35" s="14">
        <v>7.6</v>
      </c>
      <c r="L35" s="14">
        <v>3.2</v>
      </c>
      <c r="M35" s="14">
        <v>-0.5</v>
      </c>
      <c r="N35" s="14">
        <v>-6</v>
      </c>
      <c r="O35" s="14">
        <v>16.3</v>
      </c>
      <c r="P35" s="14">
        <v>-4.0999999999999996</v>
      </c>
      <c r="Q35" s="14">
        <v>0.7</v>
      </c>
    </row>
    <row r="36" spans="1:17" x14ac:dyDescent="0.45">
      <c r="A36" s="6" t="s">
        <v>654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x14ac:dyDescent="0.45">
      <c r="A37" s="10" t="s">
        <v>645</v>
      </c>
      <c r="B37" s="10"/>
      <c r="C37" s="14" t="s">
        <v>100</v>
      </c>
      <c r="D37" s="14" t="s">
        <v>100</v>
      </c>
      <c r="E37" s="14" t="s">
        <v>100</v>
      </c>
      <c r="F37" s="14" t="s">
        <v>100</v>
      </c>
      <c r="G37" s="14" t="s">
        <v>100</v>
      </c>
      <c r="H37" s="14" t="s">
        <v>100</v>
      </c>
      <c r="I37" s="14" t="s">
        <v>100</v>
      </c>
      <c r="J37" s="14" t="s">
        <v>100</v>
      </c>
      <c r="K37" s="14" t="s">
        <v>100</v>
      </c>
      <c r="L37" s="14" t="s">
        <v>100</v>
      </c>
      <c r="M37" s="14" t="s">
        <v>100</v>
      </c>
      <c r="N37" s="14" t="s">
        <v>100</v>
      </c>
      <c r="O37" s="14" t="s">
        <v>100</v>
      </c>
      <c r="P37" s="14">
        <v>16.100000000000001</v>
      </c>
      <c r="Q37" s="14">
        <v>7.4</v>
      </c>
    </row>
    <row r="38" spans="1:17" x14ac:dyDescent="0.45">
      <c r="A38" s="10" t="s">
        <v>651</v>
      </c>
      <c r="B38" s="10"/>
      <c r="C38" s="14" t="s">
        <v>100</v>
      </c>
      <c r="D38" s="14" t="s">
        <v>100</v>
      </c>
      <c r="E38" s="14">
        <v>6.37</v>
      </c>
      <c r="F38" s="14">
        <v>7.8</v>
      </c>
      <c r="G38" s="14">
        <v>12.5</v>
      </c>
      <c r="H38" s="14">
        <v>7.5</v>
      </c>
      <c r="I38" s="14">
        <v>-7.5</v>
      </c>
      <c r="J38" s="14">
        <v>10.6</v>
      </c>
      <c r="K38" s="14">
        <v>16.899999999999999</v>
      </c>
      <c r="L38" s="14">
        <v>34.299999999999997</v>
      </c>
      <c r="M38" s="14">
        <v>39.1</v>
      </c>
      <c r="N38" s="14">
        <v>7.5</v>
      </c>
      <c r="O38" s="14">
        <v>8.4</v>
      </c>
      <c r="P38" s="14">
        <v>11.5</v>
      </c>
      <c r="Q38" s="14">
        <v>7.4</v>
      </c>
    </row>
    <row r="39" spans="1:17" x14ac:dyDescent="0.45">
      <c r="A39" s="10" t="s">
        <v>652</v>
      </c>
      <c r="B39" s="10"/>
      <c r="C39" s="14" t="s">
        <v>100</v>
      </c>
      <c r="D39" s="14" t="s">
        <v>100</v>
      </c>
      <c r="E39" s="14">
        <v>3.46</v>
      </c>
      <c r="F39" s="14">
        <v>11.75</v>
      </c>
      <c r="G39" s="14">
        <v>13.7</v>
      </c>
      <c r="H39" s="14">
        <v>8.1999999999999993</v>
      </c>
      <c r="I39" s="14">
        <v>0.2</v>
      </c>
      <c r="J39" s="14">
        <v>11</v>
      </c>
      <c r="K39" s="14">
        <v>16</v>
      </c>
      <c r="L39" s="14">
        <v>33.4</v>
      </c>
      <c r="M39" s="14">
        <v>41.6</v>
      </c>
      <c r="N39" s="14">
        <v>6.8</v>
      </c>
      <c r="O39" s="14">
        <v>7.4</v>
      </c>
      <c r="P39" s="14">
        <v>16.100000000000001</v>
      </c>
      <c r="Q39" s="14">
        <v>7.4</v>
      </c>
    </row>
    <row r="40" spans="1:17" x14ac:dyDescent="0.45">
      <c r="A40" s="6" t="s">
        <v>655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x14ac:dyDescent="0.45">
      <c r="A41" s="10" t="s">
        <v>645</v>
      </c>
      <c r="B41" s="10"/>
      <c r="C41" s="14" t="s">
        <v>100</v>
      </c>
      <c r="D41" s="14" t="s">
        <v>100</v>
      </c>
      <c r="E41" s="14" t="s">
        <v>100</v>
      </c>
      <c r="F41" s="14" t="s">
        <v>100</v>
      </c>
      <c r="G41" s="14" t="s">
        <v>100</v>
      </c>
      <c r="H41" s="14" t="s">
        <v>100</v>
      </c>
      <c r="I41" s="14" t="s">
        <v>100</v>
      </c>
      <c r="J41" s="14" t="s">
        <v>100</v>
      </c>
      <c r="K41" s="14" t="s">
        <v>100</v>
      </c>
      <c r="L41" s="14" t="s">
        <v>100</v>
      </c>
      <c r="M41" s="14" t="s">
        <v>100</v>
      </c>
      <c r="N41" s="14" t="s">
        <v>100</v>
      </c>
      <c r="O41" s="14" t="s">
        <v>100</v>
      </c>
      <c r="P41" s="14">
        <v>17.899999999999999</v>
      </c>
      <c r="Q41" s="14">
        <v>14.4</v>
      </c>
    </row>
    <row r="42" spans="1:17" x14ac:dyDescent="0.45">
      <c r="A42" s="10" t="s">
        <v>651</v>
      </c>
      <c r="B42" s="10"/>
      <c r="C42" s="14" t="s">
        <v>100</v>
      </c>
      <c r="D42" s="14" t="s">
        <v>100</v>
      </c>
      <c r="E42" s="14">
        <v>10.54</v>
      </c>
      <c r="F42" s="14">
        <v>7.53</v>
      </c>
      <c r="G42" s="14">
        <v>5.45</v>
      </c>
      <c r="H42" s="14">
        <v>7.3</v>
      </c>
      <c r="I42" s="14">
        <v>-1</v>
      </c>
      <c r="J42" s="14">
        <v>7.4</v>
      </c>
      <c r="K42" s="14">
        <v>11.3</v>
      </c>
      <c r="L42" s="14">
        <v>12.8</v>
      </c>
      <c r="M42" s="14">
        <v>47.5</v>
      </c>
      <c r="N42" s="14">
        <v>23.3</v>
      </c>
      <c r="O42" s="14">
        <v>23.5</v>
      </c>
      <c r="P42" s="14">
        <v>11.1</v>
      </c>
      <c r="Q42" s="14">
        <v>14.3</v>
      </c>
    </row>
    <row r="43" spans="1:17" x14ac:dyDescent="0.45">
      <c r="A43" s="10" t="s">
        <v>652</v>
      </c>
      <c r="B43" s="10"/>
      <c r="C43" s="14" t="s">
        <v>100</v>
      </c>
      <c r="D43" s="14" t="s">
        <v>100</v>
      </c>
      <c r="E43" s="14">
        <v>19.34</v>
      </c>
      <c r="F43" s="14">
        <v>26.75</v>
      </c>
      <c r="G43" s="14">
        <v>8.25</v>
      </c>
      <c r="H43" s="14">
        <v>8.3000000000000007</v>
      </c>
      <c r="I43" s="14">
        <v>5.4</v>
      </c>
      <c r="J43" s="14">
        <v>6.7</v>
      </c>
      <c r="K43" s="14">
        <v>11.3</v>
      </c>
      <c r="L43" s="14">
        <v>11.7</v>
      </c>
      <c r="M43" s="14">
        <v>49.6</v>
      </c>
      <c r="N43" s="14">
        <v>21.4</v>
      </c>
      <c r="O43" s="14">
        <v>24.9</v>
      </c>
      <c r="P43" s="14">
        <v>17.600000000000001</v>
      </c>
      <c r="Q43" s="14">
        <v>14.4</v>
      </c>
    </row>
    <row r="44" spans="1:17" x14ac:dyDescent="0.45">
      <c r="A44" s="6" t="s">
        <v>656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 x14ac:dyDescent="0.45">
      <c r="A45" s="10" t="s">
        <v>657</v>
      </c>
      <c r="B45" s="10"/>
      <c r="C45" s="14" t="s">
        <v>100</v>
      </c>
      <c r="D45" s="14" t="s">
        <v>100</v>
      </c>
      <c r="E45" s="14" t="s">
        <v>100</v>
      </c>
      <c r="F45" s="14" t="s">
        <v>100</v>
      </c>
      <c r="G45" s="14" t="s">
        <v>100</v>
      </c>
      <c r="H45" s="14" t="s">
        <v>100</v>
      </c>
      <c r="I45" s="14" t="s">
        <v>100</v>
      </c>
      <c r="J45" s="14" t="s">
        <v>100</v>
      </c>
      <c r="K45" s="14" t="s">
        <v>100</v>
      </c>
      <c r="L45" s="14">
        <v>33</v>
      </c>
      <c r="M45" s="14">
        <v>32</v>
      </c>
      <c r="N45" s="14">
        <v>31</v>
      </c>
      <c r="O45" s="14">
        <v>32</v>
      </c>
      <c r="P45" s="14">
        <v>32</v>
      </c>
      <c r="Q45" s="14">
        <v>31</v>
      </c>
    </row>
    <row r="46" spans="1:17" x14ac:dyDescent="0.45">
      <c r="A46" s="6" t="s">
        <v>658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 x14ac:dyDescent="0.45">
      <c r="A47" s="10" t="s">
        <v>657</v>
      </c>
      <c r="B47" s="10"/>
      <c r="C47" s="14" t="s">
        <v>100</v>
      </c>
      <c r="D47" s="14" t="s">
        <v>100</v>
      </c>
      <c r="E47" s="14" t="s">
        <v>100</v>
      </c>
      <c r="F47" s="14" t="s">
        <v>100</v>
      </c>
      <c r="G47" s="14" t="s">
        <v>100</v>
      </c>
      <c r="H47" s="14">
        <v>1</v>
      </c>
      <c r="I47" s="14">
        <v>1</v>
      </c>
      <c r="J47" s="14">
        <v>1</v>
      </c>
      <c r="K47" s="14" t="s">
        <v>100</v>
      </c>
      <c r="L47" s="14">
        <v>1</v>
      </c>
      <c r="M47" s="14">
        <v>2</v>
      </c>
      <c r="N47" s="14">
        <v>2</v>
      </c>
      <c r="O47" s="14">
        <v>1</v>
      </c>
      <c r="P47" s="14">
        <v>1</v>
      </c>
      <c r="Q47" s="14">
        <v>1</v>
      </c>
    </row>
    <row r="48" spans="1:17" x14ac:dyDescent="0.45">
      <c r="A48" s="6" t="s">
        <v>659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x14ac:dyDescent="0.45">
      <c r="A49" s="10" t="s">
        <v>657</v>
      </c>
      <c r="B49" s="10"/>
      <c r="C49" s="14" t="s">
        <v>100</v>
      </c>
      <c r="D49" s="14" t="s">
        <v>100</v>
      </c>
      <c r="E49" s="14" t="s">
        <v>100</v>
      </c>
      <c r="F49" s="14" t="s">
        <v>100</v>
      </c>
      <c r="G49" s="14" t="s">
        <v>100</v>
      </c>
      <c r="H49" s="14">
        <v>7</v>
      </c>
      <c r="I49" s="14">
        <v>6</v>
      </c>
      <c r="J49" s="14">
        <v>4</v>
      </c>
      <c r="K49" s="14" t="s">
        <v>100</v>
      </c>
      <c r="L49" s="14">
        <v>3</v>
      </c>
      <c r="M49" s="14">
        <v>3</v>
      </c>
      <c r="N49" s="14">
        <v>3</v>
      </c>
      <c r="O49" s="14">
        <v>3</v>
      </c>
      <c r="P49" s="14">
        <v>3</v>
      </c>
      <c r="Q49" s="14">
        <v>3</v>
      </c>
    </row>
    <row r="50" spans="1:17" x14ac:dyDescent="0.45">
      <c r="A50" s="6" t="s">
        <v>660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x14ac:dyDescent="0.45">
      <c r="A51" s="10" t="s">
        <v>657</v>
      </c>
      <c r="B51" s="10"/>
      <c r="C51" s="14" t="s">
        <v>100</v>
      </c>
      <c r="D51" s="14" t="s">
        <v>100</v>
      </c>
      <c r="E51" s="14" t="s">
        <v>100</v>
      </c>
      <c r="F51" s="14" t="s">
        <v>100</v>
      </c>
      <c r="G51" s="14" t="s">
        <v>100</v>
      </c>
      <c r="H51" s="14">
        <v>12</v>
      </c>
      <c r="I51" s="14">
        <v>12</v>
      </c>
      <c r="J51" s="14">
        <v>17</v>
      </c>
      <c r="K51" s="14" t="s">
        <v>100</v>
      </c>
      <c r="L51" s="14">
        <v>17</v>
      </c>
      <c r="M51" s="14">
        <v>17</v>
      </c>
      <c r="N51" s="14">
        <v>19</v>
      </c>
      <c r="O51" s="14">
        <v>20</v>
      </c>
      <c r="P51" s="14">
        <v>22</v>
      </c>
      <c r="Q51" s="14">
        <v>22</v>
      </c>
    </row>
    <row r="52" spans="1:17" x14ac:dyDescent="0.45">
      <c r="A52" s="6" t="s">
        <v>661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x14ac:dyDescent="0.45">
      <c r="A53" s="10" t="s">
        <v>657</v>
      </c>
      <c r="B53" s="10"/>
      <c r="C53" s="14" t="s">
        <v>100</v>
      </c>
      <c r="D53" s="14" t="s">
        <v>100</v>
      </c>
      <c r="E53" s="14" t="s">
        <v>100</v>
      </c>
      <c r="F53" s="14" t="s">
        <v>100</v>
      </c>
      <c r="G53" s="14" t="s">
        <v>100</v>
      </c>
      <c r="H53" s="14">
        <v>14</v>
      </c>
      <c r="I53" s="14">
        <v>12</v>
      </c>
      <c r="J53" s="14">
        <v>14</v>
      </c>
      <c r="K53" s="14" t="s">
        <v>100</v>
      </c>
      <c r="L53" s="14">
        <v>17</v>
      </c>
      <c r="M53" s="14">
        <v>18</v>
      </c>
      <c r="N53" s="14">
        <v>19</v>
      </c>
      <c r="O53" s="14">
        <v>17</v>
      </c>
      <c r="P53" s="14">
        <v>16</v>
      </c>
      <c r="Q53" s="14">
        <v>18</v>
      </c>
    </row>
    <row r="54" spans="1:17" x14ac:dyDescent="0.45">
      <c r="A54" s="6" t="s">
        <v>662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x14ac:dyDescent="0.45">
      <c r="A55" s="10" t="s">
        <v>657</v>
      </c>
      <c r="B55" s="10"/>
      <c r="C55" s="14" t="s">
        <v>100</v>
      </c>
      <c r="D55" s="14" t="s">
        <v>100</v>
      </c>
      <c r="E55" s="14" t="s">
        <v>100</v>
      </c>
      <c r="F55" s="14" t="s">
        <v>100</v>
      </c>
      <c r="G55" s="14" t="s">
        <v>100</v>
      </c>
      <c r="H55" s="14">
        <v>2</v>
      </c>
      <c r="I55" s="14">
        <v>2</v>
      </c>
      <c r="J55" s="14">
        <v>1</v>
      </c>
      <c r="K55" s="14" t="s">
        <v>100</v>
      </c>
      <c r="L55" s="14">
        <v>2</v>
      </c>
      <c r="M55" s="14">
        <v>1</v>
      </c>
      <c r="N55" s="14">
        <v>1</v>
      </c>
      <c r="O55" s="14">
        <v>2</v>
      </c>
      <c r="P55" s="14">
        <v>2</v>
      </c>
      <c r="Q55" s="14">
        <v>2</v>
      </c>
    </row>
    <row r="56" spans="1:17" x14ac:dyDescent="0.45">
      <c r="A56" s="6" t="s">
        <v>514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x14ac:dyDescent="0.45">
      <c r="A57" s="10" t="s">
        <v>657</v>
      </c>
      <c r="B57" s="10"/>
      <c r="C57" s="14" t="s">
        <v>100</v>
      </c>
      <c r="D57" s="14" t="s">
        <v>100</v>
      </c>
      <c r="E57" s="14" t="s">
        <v>100</v>
      </c>
      <c r="F57" s="14" t="s">
        <v>100</v>
      </c>
      <c r="G57" s="14" t="s">
        <v>100</v>
      </c>
      <c r="H57" s="14">
        <v>7</v>
      </c>
      <c r="I57" s="14">
        <v>6</v>
      </c>
      <c r="J57" s="14">
        <v>5</v>
      </c>
      <c r="K57" s="14" t="s">
        <v>100</v>
      </c>
      <c r="L57" s="14">
        <v>8</v>
      </c>
      <c r="M57" s="14">
        <v>8</v>
      </c>
      <c r="N57" s="14">
        <v>9</v>
      </c>
      <c r="O57" s="14">
        <v>9</v>
      </c>
      <c r="P57" s="14">
        <v>9</v>
      </c>
      <c r="Q57" s="14">
        <v>7</v>
      </c>
    </row>
    <row r="58" spans="1:17" x14ac:dyDescent="0.45">
      <c r="A58" s="6" t="s">
        <v>663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x14ac:dyDescent="0.45">
      <c r="A59" s="10" t="s">
        <v>657</v>
      </c>
      <c r="B59" s="10"/>
      <c r="C59" s="14" t="s">
        <v>100</v>
      </c>
      <c r="D59" s="14" t="s">
        <v>100</v>
      </c>
      <c r="E59" s="14" t="s">
        <v>100</v>
      </c>
      <c r="F59" s="14" t="s">
        <v>100</v>
      </c>
      <c r="G59" s="14" t="s">
        <v>100</v>
      </c>
      <c r="H59" s="14">
        <v>11</v>
      </c>
      <c r="I59" s="14">
        <v>15</v>
      </c>
      <c r="J59" s="14">
        <v>14</v>
      </c>
      <c r="K59" s="14" t="s">
        <v>100</v>
      </c>
      <c r="L59" s="14">
        <v>11</v>
      </c>
      <c r="M59" s="14">
        <v>10</v>
      </c>
      <c r="N59" s="14">
        <v>8</v>
      </c>
      <c r="O59" s="14">
        <v>8</v>
      </c>
      <c r="P59" s="14">
        <v>8</v>
      </c>
      <c r="Q59" s="14">
        <v>9</v>
      </c>
    </row>
    <row r="60" spans="1:17" x14ac:dyDescent="0.45">
      <c r="A60" s="6" t="s">
        <v>664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x14ac:dyDescent="0.45">
      <c r="A61" s="10" t="s">
        <v>657</v>
      </c>
      <c r="B61" s="10"/>
      <c r="C61" s="14" t="s">
        <v>100</v>
      </c>
      <c r="D61" s="14" t="s">
        <v>100</v>
      </c>
      <c r="E61" s="14" t="s">
        <v>100</v>
      </c>
      <c r="F61" s="14" t="s">
        <v>100</v>
      </c>
      <c r="G61" s="14" t="s">
        <v>100</v>
      </c>
      <c r="H61" s="14">
        <v>9</v>
      </c>
      <c r="I61" s="14">
        <v>9</v>
      </c>
      <c r="J61" s="14">
        <v>8</v>
      </c>
      <c r="K61" s="14" t="s">
        <v>100</v>
      </c>
      <c r="L61" s="14">
        <v>6</v>
      </c>
      <c r="M61" s="14">
        <v>5</v>
      </c>
      <c r="N61" s="14">
        <v>5</v>
      </c>
      <c r="O61" s="14">
        <v>5</v>
      </c>
      <c r="P61" s="14">
        <v>5</v>
      </c>
      <c r="Q61" s="14">
        <v>5</v>
      </c>
    </row>
    <row r="62" spans="1:17" x14ac:dyDescent="0.45">
      <c r="A62" s="6" t="s">
        <v>665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x14ac:dyDescent="0.45">
      <c r="A63" s="10" t="s">
        <v>657</v>
      </c>
      <c r="B63" s="10"/>
      <c r="C63" s="14" t="s">
        <v>100</v>
      </c>
      <c r="D63" s="14" t="s">
        <v>100</v>
      </c>
      <c r="E63" s="14" t="s">
        <v>100</v>
      </c>
      <c r="F63" s="14" t="s">
        <v>100</v>
      </c>
      <c r="G63" s="14" t="s">
        <v>100</v>
      </c>
      <c r="H63" s="14" t="s">
        <v>100</v>
      </c>
      <c r="I63" s="14" t="s">
        <v>100</v>
      </c>
      <c r="J63" s="14" t="s">
        <v>100</v>
      </c>
      <c r="K63" s="14" t="s">
        <v>100</v>
      </c>
      <c r="L63" s="14">
        <v>2</v>
      </c>
      <c r="M63" s="14">
        <v>2</v>
      </c>
      <c r="N63" s="14">
        <v>2</v>
      </c>
      <c r="O63" s="14">
        <v>2</v>
      </c>
      <c r="P63" s="14">
        <v>2</v>
      </c>
      <c r="Q63" s="14">
        <v>31</v>
      </c>
    </row>
    <row r="64" spans="1:17" x14ac:dyDescent="0.45">
      <c r="A64" s="6" t="s">
        <v>666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x14ac:dyDescent="0.45">
      <c r="A65" s="10" t="s">
        <v>667</v>
      </c>
      <c r="B65" s="10"/>
      <c r="C65" s="14" t="s">
        <v>100</v>
      </c>
      <c r="D65" s="14" t="s">
        <v>100</v>
      </c>
      <c r="E65" s="14">
        <v>74</v>
      </c>
      <c r="F65" s="14">
        <v>74</v>
      </c>
      <c r="G65" s="14">
        <v>75</v>
      </c>
      <c r="H65" s="14">
        <v>75</v>
      </c>
      <c r="I65" s="14">
        <v>76</v>
      </c>
      <c r="J65" s="14">
        <v>75</v>
      </c>
      <c r="K65" s="14">
        <v>75</v>
      </c>
      <c r="L65" s="14">
        <v>77</v>
      </c>
      <c r="M65" s="14">
        <v>77.099999999999994</v>
      </c>
      <c r="N65" s="14">
        <v>77.8</v>
      </c>
      <c r="O65" s="14">
        <v>76.3</v>
      </c>
      <c r="P65" s="14">
        <v>76.099999999999994</v>
      </c>
      <c r="Q65" s="14">
        <v>73.900000000000006</v>
      </c>
    </row>
    <row r="66" spans="1:17" x14ac:dyDescent="0.45">
      <c r="A66" s="6" t="s">
        <v>668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x14ac:dyDescent="0.45">
      <c r="A67" s="10" t="s">
        <v>667</v>
      </c>
      <c r="B67" s="10"/>
      <c r="C67" s="14" t="s">
        <v>100</v>
      </c>
      <c r="D67" s="14" t="s">
        <v>100</v>
      </c>
      <c r="E67" s="14">
        <v>26</v>
      </c>
      <c r="F67" s="14">
        <v>26</v>
      </c>
      <c r="G67" s="14">
        <v>25</v>
      </c>
      <c r="H67" s="14">
        <v>25</v>
      </c>
      <c r="I67" s="14">
        <v>24</v>
      </c>
      <c r="J67" s="14">
        <v>25</v>
      </c>
      <c r="K67" s="14">
        <v>25</v>
      </c>
      <c r="L67" s="14">
        <v>23</v>
      </c>
      <c r="M67" s="14">
        <v>22.9</v>
      </c>
      <c r="N67" s="14">
        <v>22.2</v>
      </c>
      <c r="O67" s="14">
        <v>23.7</v>
      </c>
      <c r="P67" s="14">
        <v>23.9</v>
      </c>
      <c r="Q67" s="14">
        <v>26.1</v>
      </c>
    </row>
    <row r="68" spans="1:17" x14ac:dyDescent="0.45">
      <c r="A68" s="6" t="s">
        <v>669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x14ac:dyDescent="0.45">
      <c r="A69" s="10" t="s">
        <v>657</v>
      </c>
      <c r="B69" s="10"/>
      <c r="C69" s="14" t="s">
        <v>100</v>
      </c>
      <c r="D69" s="14" t="s">
        <v>100</v>
      </c>
      <c r="E69" s="14" t="s">
        <v>100</v>
      </c>
      <c r="F69" s="14" t="s">
        <v>100</v>
      </c>
      <c r="G69" s="14" t="s">
        <v>100</v>
      </c>
      <c r="H69" s="14" t="s">
        <v>100</v>
      </c>
      <c r="I69" s="14" t="s">
        <v>100</v>
      </c>
      <c r="J69" s="14" t="s">
        <v>100</v>
      </c>
      <c r="K69" s="14" t="s">
        <v>100</v>
      </c>
      <c r="L69" s="14" t="s">
        <v>100</v>
      </c>
      <c r="M69" s="14">
        <v>2</v>
      </c>
      <c r="N69" s="14">
        <v>1</v>
      </c>
      <c r="O69" s="14">
        <v>1</v>
      </c>
      <c r="P69" s="14" t="s">
        <v>100</v>
      </c>
      <c r="Q69" s="14" t="s">
        <v>100</v>
      </c>
    </row>
    <row r="70" spans="1:17" x14ac:dyDescent="0.45">
      <c r="A70" s="6" t="s">
        <v>670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x14ac:dyDescent="0.45">
      <c r="A71" s="10" t="s">
        <v>657</v>
      </c>
      <c r="B71" s="10"/>
      <c r="C71" s="14" t="s">
        <v>100</v>
      </c>
      <c r="D71" s="14" t="s">
        <v>100</v>
      </c>
      <c r="E71" s="14" t="s">
        <v>100</v>
      </c>
      <c r="F71" s="14" t="s">
        <v>100</v>
      </c>
      <c r="G71" s="14" t="s">
        <v>100</v>
      </c>
      <c r="H71" s="14">
        <v>2</v>
      </c>
      <c r="I71" s="14">
        <v>2</v>
      </c>
      <c r="J71" s="14">
        <v>2</v>
      </c>
      <c r="K71" s="14" t="s">
        <v>100</v>
      </c>
      <c r="L71" s="14" t="s">
        <v>100</v>
      </c>
      <c r="M71" s="14" t="s">
        <v>100</v>
      </c>
      <c r="N71" s="14" t="s">
        <v>100</v>
      </c>
      <c r="O71" s="14" t="s">
        <v>100</v>
      </c>
      <c r="P71" s="14" t="s">
        <v>100</v>
      </c>
      <c r="Q71" s="14" t="s">
        <v>100</v>
      </c>
    </row>
    <row r="72" spans="1:17" x14ac:dyDescent="0.45">
      <c r="A72" s="6" t="s">
        <v>671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x14ac:dyDescent="0.45">
      <c r="A73" s="10" t="s">
        <v>657</v>
      </c>
      <c r="B73" s="10"/>
      <c r="C73" s="14" t="s">
        <v>100</v>
      </c>
      <c r="D73" s="14" t="s">
        <v>100</v>
      </c>
      <c r="E73" s="14" t="s">
        <v>100</v>
      </c>
      <c r="F73" s="14" t="s">
        <v>100</v>
      </c>
      <c r="G73" s="14" t="s">
        <v>100</v>
      </c>
      <c r="H73" s="14">
        <v>19</v>
      </c>
      <c r="I73" s="14">
        <v>20</v>
      </c>
      <c r="J73" s="14">
        <v>20</v>
      </c>
      <c r="K73" s="14" t="s">
        <v>100</v>
      </c>
      <c r="L73" s="14" t="s">
        <v>100</v>
      </c>
      <c r="M73" s="14" t="s">
        <v>100</v>
      </c>
      <c r="N73" s="14" t="s">
        <v>100</v>
      </c>
      <c r="O73" s="14" t="s">
        <v>100</v>
      </c>
      <c r="P73" s="14" t="s">
        <v>100</v>
      </c>
      <c r="Q73" s="14" t="s">
        <v>100</v>
      </c>
    </row>
    <row r="74" spans="1:17" x14ac:dyDescent="0.45">
      <c r="A74" s="6" t="s">
        <v>672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x14ac:dyDescent="0.45">
      <c r="A75" s="10" t="s">
        <v>657</v>
      </c>
      <c r="B75" s="10"/>
      <c r="C75" s="14" t="s">
        <v>100</v>
      </c>
      <c r="D75" s="14" t="s">
        <v>100</v>
      </c>
      <c r="E75" s="14" t="s">
        <v>100</v>
      </c>
      <c r="F75" s="14" t="s">
        <v>100</v>
      </c>
      <c r="G75" s="14" t="s">
        <v>100</v>
      </c>
      <c r="H75" s="14">
        <v>16</v>
      </c>
      <c r="I75" s="14">
        <v>14</v>
      </c>
      <c r="J75" s="14">
        <v>14</v>
      </c>
      <c r="K75" s="14" t="s">
        <v>100</v>
      </c>
      <c r="L75" s="14" t="s">
        <v>100</v>
      </c>
      <c r="M75" s="14" t="s">
        <v>100</v>
      </c>
      <c r="N75" s="14" t="s">
        <v>100</v>
      </c>
      <c r="O75" s="14" t="s">
        <v>100</v>
      </c>
      <c r="P75" s="14" t="s">
        <v>100</v>
      </c>
      <c r="Q75" s="14" t="s">
        <v>100</v>
      </c>
    </row>
    <row r="76" spans="1:17" x14ac:dyDescent="0.45">
      <c r="A76" s="7" t="s">
        <v>69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7"/>
  <sheetViews>
    <sheetView workbookViewId="0"/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65" x14ac:dyDescent="0.45">
      <c r="A2" s="8" t="s">
        <v>673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 x14ac:dyDescent="0.45">
      <c r="A6" s="10" t="s">
        <v>674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45">
      <c r="A7" s="10" t="s">
        <v>675</v>
      </c>
      <c r="B7" s="10" t="s">
        <v>676</v>
      </c>
      <c r="C7" s="14" t="e">
        <f ca="1">_xll.BDH("ANSS US Equity","ENVIRONMENTAL_SCORE","FY 2009","FY 2009","Currency=USD","Period=FY","BEST_FPERIOD_OVERRIDE=FY","FILING_STATUS=MR","Sort=A","Dates=H","DateFormat=P","Fill=—","Direction=H","UseDPDF=Y")</f>
        <v>#NAME?</v>
      </c>
      <c r="D7" s="14" t="e">
        <f ca="1">_xll.BDH("ANSS US Equity","ENVIRONMENTAL_SCORE","FY 2010","FY 2010","Currency=USD","Period=FY","BEST_FPERIOD_OVERRIDE=FY","FILING_STATUS=MR","Sort=A","Dates=H","DateFormat=P","Fill=—","Direction=H","UseDPDF=Y")</f>
        <v>#NAME?</v>
      </c>
      <c r="E7" s="14" t="e">
        <f ca="1">_xll.BDH("ANSS US Equity","ENVIRONMENTAL_SCORE","FY 2011","FY 2011","Currency=USD","Period=FY","BEST_FPERIOD_OVERRIDE=FY","FILING_STATUS=MR","Sort=A","Dates=H","DateFormat=P","Fill=—","Direction=H","UseDPDF=Y")</f>
        <v>#NAME?</v>
      </c>
      <c r="F7" s="14" t="e">
        <f ca="1">_xll.BDH("ANSS US Equity","ENVIRONMENTAL_SCORE","FY 2012","FY 2012","Currency=USD","Period=FY","BEST_FPERIOD_OVERRIDE=FY","FILING_STATUS=MR","Sort=A","Dates=H","DateFormat=P","Fill=—","Direction=H","UseDPDF=Y")</f>
        <v>#NAME?</v>
      </c>
      <c r="G7" s="14" t="e">
        <f ca="1">_xll.BDH("ANSS US Equity","ENVIRONMENTAL_SCORE","FY 2013","FY 2013","Currency=USD","Period=FY","BEST_FPERIOD_OVERRIDE=FY","FILING_STATUS=MR","Sort=A","Dates=H","DateFormat=P","Fill=—","Direction=H","UseDPDF=Y")</f>
        <v>#NAME?</v>
      </c>
      <c r="H7" s="14" t="e">
        <f ca="1">_xll.BDH("ANSS US Equity","ENVIRONMENTAL_SCORE","FY 2014","FY 2014","Currency=USD","Period=FY","BEST_FPERIOD_OVERRIDE=FY","FILING_STATUS=MR","Sort=A","Dates=H","DateFormat=P","Fill=—","Direction=H","UseDPDF=Y")</f>
        <v>#NAME?</v>
      </c>
      <c r="I7" s="14" t="e">
        <f ca="1">_xll.BDH("ANSS US Equity","ENVIRONMENTAL_SCORE","FY 2015","FY 2015","Currency=USD","Period=FY","BEST_FPERIOD_OVERRIDE=FY","FILING_STATUS=MR","Sort=A","Dates=H","DateFormat=P","Fill=—","Direction=H","UseDPDF=Y")</f>
        <v>#NAME?</v>
      </c>
      <c r="J7" s="14" t="e">
        <f ca="1">_xll.BDH("ANSS US Equity","ENVIRONMENTAL_SCORE","FY 2016","FY 2016","Currency=USD","Period=FY","BEST_FPERIOD_OVERRIDE=FY","FILING_STATUS=MR","Sort=A","Dates=H","DateFormat=P","Fill=—","Direction=H","UseDPDF=Y")</f>
        <v>#NAME?</v>
      </c>
      <c r="K7" s="14" t="e">
        <f ca="1">_xll.BDH("ANSS US Equity","ENVIRONMENTAL_SCORE","FY 2017","FY 2017","Currency=USD","Period=FY","BEST_FPERIOD_OVERRIDE=FY","FILING_STATUS=MR","Sort=A","Dates=H","DateFormat=P","Fill=—","Direction=H","UseDPDF=Y")</f>
        <v>#NAME?</v>
      </c>
      <c r="L7" s="14" t="e">
        <f ca="1">_xll.BDH("ANSS US Equity","ENVIRONMENTAL_SCORE","FY 2018","FY 2018","Currency=USD","Period=FY","BEST_FPERIOD_OVERRIDE=FY","FILING_STATUS=MR","Sort=A","Dates=H","DateFormat=P","Fill=—","Direction=H","UseDPDF=Y")</f>
        <v>#NAME?</v>
      </c>
      <c r="M7" s="14" t="e">
        <f ca="1">_xll.BDH("ANSS US Equity","ENVIRONMENTAL_SCORE","FY 2019","FY 2019","Currency=USD","Period=FY","BEST_FPERIOD_OVERRIDE=FY","FILING_STATUS=MR","Sort=A","Dates=H","DateFormat=P","Fill=—","Direction=H","UseDPDF=Y")</f>
        <v>#NAME?</v>
      </c>
      <c r="N7" s="14" t="e">
        <f ca="1">_xll.BDH("ANSS US Equity","ENVIRONMENTAL_SCORE","FY 2020","FY 2020","Currency=USD","Period=FY","BEST_FPERIOD_OVERRIDE=FY","FILING_STATUS=MR","Sort=A","Dates=H","DateFormat=P","Fill=—","Direction=H","UseDPDF=Y")</f>
        <v>#NAME?</v>
      </c>
      <c r="O7" s="14" t="e">
        <f ca="1">_xll.BDH("ANSS US Equity","ENVIRONMENTAL_SCORE","FY 2021","FY 2021","Currency=USD","Period=FY","BEST_FPERIOD_OVERRIDE=FY","FILING_STATUS=MR","Sort=A","Dates=H","DateFormat=P","Fill=—","Direction=H","UseDPDF=Y")</f>
        <v>#NAME?</v>
      </c>
      <c r="P7" s="14" t="e">
        <f ca="1">_xll.BDH("ANSS US Equity","ENVIRONMENTAL_SCORE","FY 2022","FY 2022","Currency=USD","Period=FY","BEST_FPERIOD_OVERRIDE=FY","FILING_STATUS=MR","Sort=A","Dates=H","DateFormat=P","Fill=—","Direction=H","UseDPDF=Y")</f>
        <v>#NAME?</v>
      </c>
      <c r="Q7" s="14" t="e">
        <f ca="1">_xll.BDH("ANSS US Equity","ENVIRONMENTAL_SCORE","FY 2023","FY 2023","Currency=USD","Period=FY","BEST_FPERIOD_OVERRIDE=FY","FILING_STATUS=MR","Sort=A","Dates=H","DateFormat=P","Fill=—","Direction=H","UseDPDF=Y")</f>
        <v>#NAME?</v>
      </c>
    </row>
    <row r="8" spans="1:17" x14ac:dyDescent="0.45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45">
      <c r="A9" s="10" t="s">
        <v>677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45">
      <c r="A10" s="10" t="s">
        <v>482</v>
      </c>
      <c r="B10" s="10" t="s">
        <v>483</v>
      </c>
      <c r="C10" s="14" t="e">
        <f ca="1">_xll.BDH("ANSS US Equity","ENVIRON_DISCLOSURE_SCORE","FY 2009","FY 2009","Currency=USD","Period=FY","BEST_FPERIOD_OVERRIDE=FY","FILING_STATUS=MR","Sort=A","Dates=H","DateFormat=P","Fill=—","Direction=H","UseDPDF=Y")</f>
        <v>#NAME?</v>
      </c>
      <c r="D10" s="14" t="e">
        <f ca="1">_xll.BDH("ANSS US Equity","ENVIRON_DISCLOSURE_SCORE","FY 2010","FY 2010","Currency=USD","Period=FY","BEST_FPERIOD_OVERRIDE=FY","FILING_STATUS=MR","Sort=A","Dates=H","DateFormat=P","Fill=—","Direction=H","UseDPDF=Y")</f>
        <v>#NAME?</v>
      </c>
      <c r="E10" s="14" t="e">
        <f ca="1">_xll.BDH("ANSS US Equity","ENVIRON_DISCLOSURE_SCORE","FY 2011","FY 2011","Currency=USD","Period=FY","BEST_FPERIOD_OVERRIDE=FY","FILING_STATUS=MR","Sort=A","Dates=H","DateFormat=P","Fill=—","Direction=H","UseDPDF=Y")</f>
        <v>#NAME?</v>
      </c>
      <c r="F10" s="14" t="e">
        <f ca="1">_xll.BDH("ANSS US Equity","ENVIRON_DISCLOSURE_SCORE","FY 2012","FY 2012","Currency=USD","Period=FY","BEST_FPERIOD_OVERRIDE=FY","FILING_STATUS=MR","Sort=A","Dates=H","DateFormat=P","Fill=—","Direction=H","UseDPDF=Y")</f>
        <v>#NAME?</v>
      </c>
      <c r="G10" s="14" t="e">
        <f ca="1">_xll.BDH("ANSS US Equity","ENVIRON_DISCLOSURE_SCORE","FY 2013","FY 2013","Currency=USD","Period=FY","BEST_FPERIOD_OVERRIDE=FY","FILING_STATUS=MR","Sort=A","Dates=H","DateFormat=P","Fill=—","Direction=H","UseDPDF=Y")</f>
        <v>#NAME?</v>
      </c>
      <c r="H10" s="14" t="e">
        <f ca="1">_xll.BDH("ANSS US Equity","ENVIRON_DISCLOSURE_SCORE","FY 2014","FY 2014","Currency=USD","Period=FY","BEST_FPERIOD_OVERRIDE=FY","FILING_STATUS=MR","Sort=A","Dates=H","DateFormat=P","Fill=—","Direction=H","UseDPDF=Y")</f>
        <v>#NAME?</v>
      </c>
      <c r="I10" s="14" t="e">
        <f ca="1">_xll.BDH("ANSS US Equity","ENVIRON_DISCLOSURE_SCORE","FY 2015","FY 2015","Currency=USD","Period=FY","BEST_FPERIOD_OVERRIDE=FY","FILING_STATUS=MR","Sort=A","Dates=H","DateFormat=P","Fill=—","Direction=H","UseDPDF=Y")</f>
        <v>#NAME?</v>
      </c>
      <c r="J10" s="14" t="e">
        <f ca="1">_xll.BDH("ANSS US Equity","ENVIRON_DISCLOSURE_SCORE","FY 2016","FY 2016","Currency=USD","Period=FY","BEST_FPERIOD_OVERRIDE=FY","FILING_STATUS=MR","Sort=A","Dates=H","DateFormat=P","Fill=—","Direction=H","UseDPDF=Y")</f>
        <v>#NAME?</v>
      </c>
      <c r="K10" s="14" t="e">
        <f ca="1">_xll.BDH("ANSS US Equity","ENVIRON_DISCLOSURE_SCORE","FY 2017","FY 2017","Currency=USD","Period=FY","BEST_FPERIOD_OVERRIDE=FY","FILING_STATUS=MR","Sort=A","Dates=H","DateFormat=P","Fill=—","Direction=H","UseDPDF=Y")</f>
        <v>#NAME?</v>
      </c>
      <c r="L10" s="14" t="e">
        <f ca="1">_xll.BDH("ANSS US Equity","ENVIRON_DISCLOSURE_SCORE","FY 2018","FY 2018","Currency=USD","Period=FY","BEST_FPERIOD_OVERRIDE=FY","FILING_STATUS=MR","Sort=A","Dates=H","DateFormat=P","Fill=—","Direction=H","UseDPDF=Y")</f>
        <v>#NAME?</v>
      </c>
      <c r="M10" s="14" t="e">
        <f ca="1">_xll.BDH("ANSS US Equity","ENVIRON_DISCLOSURE_SCORE","FY 2019","FY 2019","Currency=USD","Period=FY","BEST_FPERIOD_OVERRIDE=FY","FILING_STATUS=MR","Sort=A","Dates=H","DateFormat=P","Fill=—","Direction=H","UseDPDF=Y")</f>
        <v>#NAME?</v>
      </c>
      <c r="N10" s="14" t="e">
        <f ca="1">_xll.BDH("ANSS US Equity","ENVIRON_DISCLOSURE_SCORE","FY 2020","FY 2020","Currency=USD","Period=FY","BEST_FPERIOD_OVERRIDE=FY","FILING_STATUS=MR","Sort=A","Dates=H","DateFormat=P","Fill=—","Direction=H","UseDPDF=Y")</f>
        <v>#NAME?</v>
      </c>
      <c r="O10" s="14" t="e">
        <f ca="1">_xll.BDH("ANSS US Equity","ENVIRON_DISCLOSURE_SCORE","FY 2021","FY 2021","Currency=USD","Period=FY","BEST_FPERIOD_OVERRIDE=FY","FILING_STATUS=MR","Sort=A","Dates=H","DateFormat=P","Fill=—","Direction=H","UseDPDF=Y")</f>
        <v>#NAME?</v>
      </c>
      <c r="P10" s="14" t="e">
        <f ca="1">_xll.BDH("ANSS US Equity","ENVIRON_DISCLOSURE_SCORE","FY 2022","FY 2022","Currency=USD","Period=FY","BEST_FPERIOD_OVERRIDE=FY","FILING_STATUS=MR","Sort=A","Dates=H","DateFormat=P","Fill=—","Direction=H","UseDPDF=Y")</f>
        <v>#NAME?</v>
      </c>
      <c r="Q10" s="14" t="e">
        <f ca="1">_xll.BDH("ANSS US Equity","ENVIRON_DISCLOSURE_SCORE","FY 2023","FY 2023","Currency=USD","Period=FY","BEST_FPERIOD_OVERRIDE=FY","FILING_STATUS=MR","Sort=A","Dates=H","DateFormat=P","Fill=—","Direction=H","UseDPDF=Y")</f>
        <v>#NAME?</v>
      </c>
    </row>
    <row r="11" spans="1:17" x14ac:dyDescent="0.4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45">
      <c r="A12" s="10" t="s">
        <v>678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45">
      <c r="A13" s="10" t="s">
        <v>679</v>
      </c>
      <c r="B13" s="10" t="s">
        <v>680</v>
      </c>
      <c r="C13" s="14" t="e">
        <f ca="1">_xll.BDH("ANSS US Equity","SCOPE_OF_DISCLOSURE","FY 2009","FY 2009","Currency=USD","Period=FY","BEST_FPERIOD_OVERRIDE=FY","FILING_STATUS=MR","Sort=A","Dates=H","DateFormat=P","Fill=—","Direction=H","UseDPDF=Y")</f>
        <v>#NAME?</v>
      </c>
      <c r="D13" s="14" t="e">
        <f ca="1">_xll.BDH("ANSS US Equity","SCOPE_OF_DISCLOSURE","FY 2010","FY 2010","Currency=USD","Period=FY","BEST_FPERIOD_OVERRIDE=FY","FILING_STATUS=MR","Sort=A","Dates=H","DateFormat=P","Fill=—","Direction=H","UseDPDF=Y")</f>
        <v>#NAME?</v>
      </c>
      <c r="E13" s="14" t="e">
        <f ca="1">_xll.BDH("ANSS US Equity","SCOPE_OF_DISCLOSURE","FY 2011","FY 2011","Currency=USD","Period=FY","BEST_FPERIOD_OVERRIDE=FY","FILING_STATUS=MR","Sort=A","Dates=H","DateFormat=P","Fill=—","Direction=H","UseDPDF=Y")</f>
        <v>#NAME?</v>
      </c>
      <c r="F13" s="14" t="e">
        <f ca="1">_xll.BDH("ANSS US Equity","SCOPE_OF_DISCLOSURE","FY 2012","FY 2012","Currency=USD","Period=FY","BEST_FPERIOD_OVERRIDE=FY","FILING_STATUS=MR","Sort=A","Dates=H","DateFormat=P","Fill=—","Direction=H","UseDPDF=Y")</f>
        <v>#NAME?</v>
      </c>
      <c r="G13" s="14" t="e">
        <f ca="1">_xll.BDH("ANSS US Equity","SCOPE_OF_DISCLOSURE","FY 2013","FY 2013","Currency=USD","Period=FY","BEST_FPERIOD_OVERRIDE=FY","FILING_STATUS=MR","Sort=A","Dates=H","DateFormat=P","Fill=—","Direction=H","UseDPDF=Y")</f>
        <v>#NAME?</v>
      </c>
      <c r="H13" s="14" t="e">
        <f ca="1">_xll.BDH("ANSS US Equity","SCOPE_OF_DISCLOSURE","FY 2014","FY 2014","Currency=USD","Period=FY","BEST_FPERIOD_OVERRIDE=FY","FILING_STATUS=MR","Sort=A","Dates=H","DateFormat=P","Fill=—","Direction=H","UseDPDF=Y")</f>
        <v>#NAME?</v>
      </c>
      <c r="I13" s="14" t="e">
        <f ca="1">_xll.BDH("ANSS US Equity","SCOPE_OF_DISCLOSURE","FY 2015","FY 2015","Currency=USD","Period=FY","BEST_FPERIOD_OVERRIDE=FY","FILING_STATUS=MR","Sort=A","Dates=H","DateFormat=P","Fill=—","Direction=H","UseDPDF=Y")</f>
        <v>#NAME?</v>
      </c>
      <c r="J13" s="14" t="e">
        <f ca="1">_xll.BDH("ANSS US Equity","SCOPE_OF_DISCLOSURE","FY 2016","FY 2016","Currency=USD","Period=FY","BEST_FPERIOD_OVERRIDE=FY","FILING_STATUS=MR","Sort=A","Dates=H","DateFormat=P","Fill=—","Direction=H","UseDPDF=Y")</f>
        <v>#NAME?</v>
      </c>
      <c r="K13" s="14" t="e">
        <f ca="1">_xll.BDH("ANSS US Equity","SCOPE_OF_DISCLOSURE","FY 2017","FY 2017","Currency=USD","Period=FY","BEST_FPERIOD_OVERRIDE=FY","FILING_STATUS=MR","Sort=A","Dates=H","DateFormat=P","Fill=—","Direction=H","UseDPDF=Y")</f>
        <v>#NAME?</v>
      </c>
      <c r="L13" s="14" t="e">
        <f ca="1">_xll.BDH("ANSS US Equity","SCOPE_OF_DISCLOSURE","FY 2018","FY 2018","Currency=USD","Period=FY","BEST_FPERIOD_OVERRIDE=FY","FILING_STATUS=MR","Sort=A","Dates=H","DateFormat=P","Fill=—","Direction=H","UseDPDF=Y")</f>
        <v>#NAME?</v>
      </c>
      <c r="M13" s="14" t="e">
        <f ca="1">_xll.BDH("ANSS US Equity","SCOPE_OF_DISCLOSURE","FY 2019","FY 2019","Currency=USD","Period=FY","BEST_FPERIOD_OVERRIDE=FY","FILING_STATUS=MR","Sort=A","Dates=H","DateFormat=P","Fill=—","Direction=H","UseDPDF=Y")</f>
        <v>#NAME?</v>
      </c>
      <c r="N13" s="14" t="e">
        <f ca="1">_xll.BDH("ANSS US Equity","SCOPE_OF_DISCLOSURE","FY 2020","FY 2020","Currency=USD","Period=FY","BEST_FPERIOD_OVERRIDE=FY","FILING_STATUS=MR","Sort=A","Dates=H","DateFormat=P","Fill=—","Direction=H","UseDPDF=Y")</f>
        <v>#NAME?</v>
      </c>
      <c r="O13" s="14" t="e">
        <f ca="1">_xll.BDH("ANSS US Equity","SCOPE_OF_DISCLOSURE","FY 2021","FY 2021","Currency=USD","Period=FY","BEST_FPERIOD_OVERRIDE=FY","FILING_STATUS=MR","Sort=A","Dates=H","DateFormat=P","Fill=—","Direction=H","UseDPDF=Y")</f>
        <v>#NAME?</v>
      </c>
      <c r="P13" s="14" t="e">
        <f ca="1">_xll.BDH("ANSS US Equity","SCOPE_OF_DISCLOSURE","FY 2022","FY 2022","Currency=USD","Period=FY","BEST_FPERIOD_OVERRIDE=FY","FILING_STATUS=MR","Sort=A","Dates=H","DateFormat=P","Fill=—","Direction=H","UseDPDF=Y")</f>
        <v>#NAME?</v>
      </c>
      <c r="Q13" s="14" t="e">
        <f ca="1">_xll.BDH("ANSS US Equity","SCOPE_OF_DISCLOSURE","FY 2023","FY 2023","Currency=USD","Period=FY","BEST_FPERIOD_OVERRIDE=FY","FILING_STATUS=MR","Sort=A","Dates=H","DateFormat=P","Fill=—","Direction=H","UseDPDF=Y")</f>
        <v>#NAME?</v>
      </c>
    </row>
    <row r="14" spans="1:17" x14ac:dyDescent="0.45">
      <c r="A14" s="10" t="s">
        <v>681</v>
      </c>
      <c r="B14" s="10" t="s">
        <v>682</v>
      </c>
      <c r="C14" s="12" t="s">
        <v>683</v>
      </c>
      <c r="D14" s="12" t="s">
        <v>683</v>
      </c>
      <c r="E14" s="12" t="s">
        <v>683</v>
      </c>
      <c r="F14" s="12" t="s">
        <v>683</v>
      </c>
      <c r="G14" s="12" t="s">
        <v>683</v>
      </c>
      <c r="H14" s="12" t="s">
        <v>683</v>
      </c>
      <c r="I14" s="12" t="s">
        <v>683</v>
      </c>
      <c r="J14" s="12" t="s">
        <v>683</v>
      </c>
      <c r="K14" s="12" t="s">
        <v>683</v>
      </c>
      <c r="L14" s="12" t="s">
        <v>683</v>
      </c>
      <c r="M14" s="12" t="s">
        <v>683</v>
      </c>
      <c r="N14" s="12" t="s">
        <v>683</v>
      </c>
      <c r="O14" s="12" t="s">
        <v>683</v>
      </c>
      <c r="P14" s="12" t="s">
        <v>684</v>
      </c>
      <c r="Q14" s="12" t="s">
        <v>683</v>
      </c>
    </row>
    <row r="15" spans="1:17" x14ac:dyDescent="0.45">
      <c r="A15" s="10" t="s">
        <v>685</v>
      </c>
      <c r="B15" s="10" t="s">
        <v>686</v>
      </c>
      <c r="C15" s="12" t="s">
        <v>687</v>
      </c>
      <c r="D15" s="12" t="s">
        <v>687</v>
      </c>
      <c r="E15" s="12" t="s">
        <v>687</v>
      </c>
      <c r="F15" s="12" t="s">
        <v>687</v>
      </c>
      <c r="G15" s="12" t="s">
        <v>687</v>
      </c>
      <c r="H15" s="12" t="s">
        <v>687</v>
      </c>
      <c r="I15" s="12" t="s">
        <v>687</v>
      </c>
      <c r="J15" s="12" t="s">
        <v>687</v>
      </c>
      <c r="K15" s="12" t="s">
        <v>687</v>
      </c>
      <c r="L15" s="12" t="s">
        <v>687</v>
      </c>
      <c r="M15" s="12" t="s">
        <v>687</v>
      </c>
      <c r="N15" s="12" t="s">
        <v>687</v>
      </c>
      <c r="O15" s="12" t="s">
        <v>687</v>
      </c>
      <c r="P15" s="12" t="s">
        <v>687</v>
      </c>
      <c r="Q15" s="12" t="s">
        <v>687</v>
      </c>
    </row>
    <row r="16" spans="1:17" x14ac:dyDescent="0.45">
      <c r="A16" s="10" t="s">
        <v>688</v>
      </c>
      <c r="B16" s="10" t="s">
        <v>689</v>
      </c>
      <c r="C16" s="12" t="s">
        <v>687</v>
      </c>
      <c r="D16" s="12" t="s">
        <v>687</v>
      </c>
      <c r="E16" s="12" t="s">
        <v>687</v>
      </c>
      <c r="F16" s="12" t="s">
        <v>687</v>
      </c>
      <c r="G16" s="12" t="s">
        <v>687</v>
      </c>
      <c r="H16" s="12" t="s">
        <v>687</v>
      </c>
      <c r="I16" s="12" t="s">
        <v>687</v>
      </c>
      <c r="J16" s="12" t="s">
        <v>687</v>
      </c>
      <c r="K16" s="12" t="s">
        <v>687</v>
      </c>
      <c r="L16" s="12" t="s">
        <v>687</v>
      </c>
      <c r="M16" s="12" t="s">
        <v>687</v>
      </c>
      <c r="N16" s="12" t="s">
        <v>687</v>
      </c>
      <c r="O16" s="12" t="s">
        <v>687</v>
      </c>
      <c r="P16" s="12" t="s">
        <v>687</v>
      </c>
      <c r="Q16" s="12" t="s">
        <v>687</v>
      </c>
    </row>
    <row r="17" spans="1:17" x14ac:dyDescent="0.45">
      <c r="A17" s="10" t="s">
        <v>690</v>
      </c>
      <c r="B17" s="10" t="s">
        <v>691</v>
      </c>
      <c r="C17" s="12" t="s">
        <v>687</v>
      </c>
      <c r="D17" s="12" t="s">
        <v>687</v>
      </c>
      <c r="E17" s="12" t="s">
        <v>687</v>
      </c>
      <c r="F17" s="12" t="s">
        <v>687</v>
      </c>
      <c r="G17" s="12" t="s">
        <v>687</v>
      </c>
      <c r="H17" s="12" t="s">
        <v>687</v>
      </c>
      <c r="I17" s="12" t="s">
        <v>687</v>
      </c>
      <c r="J17" s="12" t="s">
        <v>687</v>
      </c>
      <c r="K17" s="12" t="s">
        <v>687</v>
      </c>
      <c r="L17" s="12" t="s">
        <v>687</v>
      </c>
      <c r="M17" s="12" t="s">
        <v>687</v>
      </c>
      <c r="N17" s="12" t="s">
        <v>687</v>
      </c>
      <c r="O17" s="12" t="s">
        <v>687</v>
      </c>
      <c r="P17" s="12" t="s">
        <v>687</v>
      </c>
      <c r="Q17" s="12" t="s">
        <v>687</v>
      </c>
    </row>
    <row r="18" spans="1:17" x14ac:dyDescent="0.45">
      <c r="A18" s="10" t="s">
        <v>692</v>
      </c>
      <c r="B18" s="10" t="s">
        <v>693</v>
      </c>
      <c r="C18" s="12" t="s">
        <v>683</v>
      </c>
      <c r="D18" s="12" t="s">
        <v>683</v>
      </c>
      <c r="E18" s="12" t="s">
        <v>683</v>
      </c>
      <c r="F18" s="12" t="s">
        <v>683</v>
      </c>
      <c r="G18" s="12" t="s">
        <v>683</v>
      </c>
      <c r="H18" s="12" t="s">
        <v>683</v>
      </c>
      <c r="I18" s="12" t="s">
        <v>687</v>
      </c>
      <c r="J18" s="12" t="s">
        <v>687</v>
      </c>
      <c r="K18" s="12" t="s">
        <v>687</v>
      </c>
      <c r="L18" s="12" t="s">
        <v>687</v>
      </c>
      <c r="M18" s="12" t="s">
        <v>684</v>
      </c>
      <c r="N18" s="12" t="s">
        <v>684</v>
      </c>
      <c r="O18" s="12" t="s">
        <v>684</v>
      </c>
      <c r="P18" s="12" t="s">
        <v>684</v>
      </c>
      <c r="Q18" s="12" t="s">
        <v>684</v>
      </c>
    </row>
    <row r="19" spans="1:17" x14ac:dyDescent="0.45">
      <c r="A19" s="10" t="s">
        <v>694</v>
      </c>
      <c r="B19" s="10" t="s">
        <v>695</v>
      </c>
      <c r="C19" s="12" t="s">
        <v>683</v>
      </c>
      <c r="D19" s="12" t="s">
        <v>683</v>
      </c>
      <c r="E19" s="12" t="s">
        <v>683</v>
      </c>
      <c r="F19" s="12" t="s">
        <v>683</v>
      </c>
      <c r="G19" s="12" t="s">
        <v>683</v>
      </c>
      <c r="H19" s="12" t="s">
        <v>683</v>
      </c>
      <c r="I19" s="12" t="s">
        <v>683</v>
      </c>
      <c r="J19" s="12" t="s">
        <v>683</v>
      </c>
      <c r="K19" s="12" t="s">
        <v>683</v>
      </c>
      <c r="L19" s="12" t="s">
        <v>687</v>
      </c>
      <c r="M19" s="12" t="s">
        <v>687</v>
      </c>
      <c r="N19" s="12" t="s">
        <v>687</v>
      </c>
      <c r="O19" s="12" t="s">
        <v>684</v>
      </c>
      <c r="P19" s="12" t="s">
        <v>684</v>
      </c>
      <c r="Q19" s="12" t="s">
        <v>684</v>
      </c>
    </row>
    <row r="20" spans="1:17" x14ac:dyDescent="0.45">
      <c r="A20" s="10" t="s">
        <v>696</v>
      </c>
      <c r="B20" s="10" t="s">
        <v>697</v>
      </c>
      <c r="C20" s="12" t="s">
        <v>683</v>
      </c>
      <c r="D20" s="12" t="s">
        <v>683</v>
      </c>
      <c r="E20" s="12" t="s">
        <v>683</v>
      </c>
      <c r="F20" s="12" t="s">
        <v>683</v>
      </c>
      <c r="G20" s="12" t="s">
        <v>683</v>
      </c>
      <c r="H20" s="12" t="s">
        <v>683</v>
      </c>
      <c r="I20" s="12" t="s">
        <v>683</v>
      </c>
      <c r="J20" s="12" t="s">
        <v>683</v>
      </c>
      <c r="K20" s="12" t="s">
        <v>683</v>
      </c>
      <c r="L20" s="12" t="s">
        <v>683</v>
      </c>
      <c r="M20" s="12" t="s">
        <v>687</v>
      </c>
      <c r="N20" s="12" t="s">
        <v>683</v>
      </c>
      <c r="O20" s="12" t="s">
        <v>687</v>
      </c>
      <c r="P20" s="12" t="s">
        <v>687</v>
      </c>
      <c r="Q20" s="12" t="s">
        <v>687</v>
      </c>
    </row>
    <row r="21" spans="1:17" x14ac:dyDescent="0.45">
      <c r="A21" s="10" t="s">
        <v>698</v>
      </c>
      <c r="B21" s="10" t="s">
        <v>699</v>
      </c>
      <c r="C21" s="12" t="s">
        <v>683</v>
      </c>
      <c r="D21" s="12" t="s">
        <v>683</v>
      </c>
      <c r="E21" s="12" t="s">
        <v>683</v>
      </c>
      <c r="F21" s="12" t="s">
        <v>683</v>
      </c>
      <c r="G21" s="12" t="s">
        <v>683</v>
      </c>
      <c r="H21" s="12" t="s">
        <v>683</v>
      </c>
      <c r="I21" s="12" t="s">
        <v>683</v>
      </c>
      <c r="J21" s="12" t="s">
        <v>683</v>
      </c>
      <c r="K21" s="12" t="s">
        <v>683</v>
      </c>
      <c r="L21" s="12" t="s">
        <v>683</v>
      </c>
      <c r="M21" s="12" t="s">
        <v>683</v>
      </c>
      <c r="N21" s="12" t="s">
        <v>683</v>
      </c>
      <c r="O21" s="12" t="s">
        <v>683</v>
      </c>
      <c r="P21" s="12" t="s">
        <v>687</v>
      </c>
      <c r="Q21" s="12" t="s">
        <v>687</v>
      </c>
    </row>
    <row r="22" spans="1:17" x14ac:dyDescent="0.4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45">
      <c r="A23" s="10" t="s">
        <v>700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x14ac:dyDescent="0.45">
      <c r="A24" s="6" t="s">
        <v>701</v>
      </c>
      <c r="B24" s="6" t="s">
        <v>702</v>
      </c>
      <c r="C24" s="19" t="e">
        <f ca="1">_xll.BDH("ANSS US Equity","GHG_SCOPE_1_2_LOCATION_BASED","FY 2009","FY 2009","Currency=USD","Period=FY","BEST_FPERIOD_OVERRIDE=FY","FILING_STATUS=MR","Sort=A","Dates=H","DateFormat=P","Fill=—","Direction=H","UseDPDF=Y")</f>
        <v>#NAME?</v>
      </c>
      <c r="D24" s="19" t="e">
        <f ca="1">_xll.BDH("ANSS US Equity","GHG_SCOPE_1_2_LOCATION_BASED","FY 2010","FY 2010","Currency=USD","Period=FY","BEST_FPERIOD_OVERRIDE=FY","FILING_STATUS=MR","Sort=A","Dates=H","DateFormat=P","Fill=—","Direction=H","UseDPDF=Y")</f>
        <v>#NAME?</v>
      </c>
      <c r="E24" s="19" t="e">
        <f ca="1">_xll.BDH("ANSS US Equity","GHG_SCOPE_1_2_LOCATION_BASED","FY 2011","FY 2011","Currency=USD","Period=FY","BEST_FPERIOD_OVERRIDE=FY","FILING_STATUS=MR","Sort=A","Dates=H","DateFormat=P","Fill=—","Direction=H","UseDPDF=Y")</f>
        <v>#NAME?</v>
      </c>
      <c r="F24" s="19" t="e">
        <f ca="1">_xll.BDH("ANSS US Equity","GHG_SCOPE_1_2_LOCATION_BASED","FY 2012","FY 2012","Currency=USD","Period=FY","BEST_FPERIOD_OVERRIDE=FY","FILING_STATUS=MR","Sort=A","Dates=H","DateFormat=P","Fill=—","Direction=H","UseDPDF=Y")</f>
        <v>#NAME?</v>
      </c>
      <c r="G24" s="19" t="e">
        <f ca="1">_xll.BDH("ANSS US Equity","GHG_SCOPE_1_2_LOCATION_BASED","FY 2013","FY 2013","Currency=USD","Period=FY","BEST_FPERIOD_OVERRIDE=FY","FILING_STATUS=MR","Sort=A","Dates=H","DateFormat=P","Fill=—","Direction=H","UseDPDF=Y")</f>
        <v>#NAME?</v>
      </c>
      <c r="H24" s="19" t="e">
        <f ca="1">_xll.BDH("ANSS US Equity","GHG_SCOPE_1_2_LOCATION_BASED","FY 2014","FY 2014","Currency=USD","Period=FY","BEST_FPERIOD_OVERRIDE=FY","FILING_STATUS=MR","Sort=A","Dates=H","DateFormat=P","Fill=—","Direction=H","UseDPDF=Y")</f>
        <v>#NAME?</v>
      </c>
      <c r="I24" s="19" t="e">
        <f ca="1">_xll.BDH("ANSS US Equity","GHG_SCOPE_1_2_LOCATION_BASED","FY 2015","FY 2015","Currency=USD","Period=FY","BEST_FPERIOD_OVERRIDE=FY","FILING_STATUS=MR","Sort=A","Dates=H","DateFormat=P","Fill=—","Direction=H","UseDPDF=Y")</f>
        <v>#NAME?</v>
      </c>
      <c r="J24" s="19" t="e">
        <f ca="1">_xll.BDH("ANSS US Equity","GHG_SCOPE_1_2_LOCATION_BASED","FY 2016","FY 2016","Currency=USD","Period=FY","BEST_FPERIOD_OVERRIDE=FY","FILING_STATUS=MR","Sort=A","Dates=H","DateFormat=P","Fill=—","Direction=H","UseDPDF=Y")</f>
        <v>#NAME?</v>
      </c>
      <c r="K24" s="19" t="e">
        <f ca="1">_xll.BDH("ANSS US Equity","GHG_SCOPE_1_2_LOCATION_BASED","FY 2017","FY 2017","Currency=USD","Period=FY","BEST_FPERIOD_OVERRIDE=FY","FILING_STATUS=MR","Sort=A","Dates=H","DateFormat=P","Fill=—","Direction=H","UseDPDF=Y")</f>
        <v>#NAME?</v>
      </c>
      <c r="L24" s="19" t="e">
        <f ca="1">_xll.BDH("ANSS US Equity","GHG_SCOPE_1_2_LOCATION_BASED","FY 2018","FY 2018","Currency=USD","Period=FY","BEST_FPERIOD_OVERRIDE=FY","FILING_STATUS=MR","Sort=A","Dates=H","DateFormat=P","Fill=—","Direction=H","UseDPDF=Y")</f>
        <v>#NAME?</v>
      </c>
      <c r="M24" s="19" t="e">
        <f ca="1">_xll.BDH("ANSS US Equity","GHG_SCOPE_1_2_LOCATION_BASED","FY 2019","FY 2019","Currency=USD","Period=FY","BEST_FPERIOD_OVERRIDE=FY","FILING_STATUS=MR","Sort=A","Dates=H","DateFormat=P","Fill=—","Direction=H","UseDPDF=Y")</f>
        <v>#NAME?</v>
      </c>
      <c r="N24" s="19" t="e">
        <f ca="1">_xll.BDH("ANSS US Equity","GHG_SCOPE_1_2_LOCATION_BASED","FY 2020","FY 2020","Currency=USD","Period=FY","BEST_FPERIOD_OVERRIDE=FY","FILING_STATUS=MR","Sort=A","Dates=H","DateFormat=P","Fill=—","Direction=H","UseDPDF=Y")</f>
        <v>#NAME?</v>
      </c>
      <c r="O24" s="19" t="e">
        <f ca="1">_xll.BDH("ANSS US Equity","GHG_SCOPE_1_2_LOCATION_BASED","FY 2021","FY 2021","Currency=USD","Period=FY","BEST_FPERIOD_OVERRIDE=FY","FILING_STATUS=MR","Sort=A","Dates=H","DateFormat=P","Fill=—","Direction=H","UseDPDF=Y")</f>
        <v>#NAME?</v>
      </c>
      <c r="P24" s="19" t="e">
        <f ca="1">_xll.BDH("ANSS US Equity","GHG_SCOPE_1_2_LOCATION_BASED","FY 2022","FY 2022","Currency=USD","Period=FY","BEST_FPERIOD_OVERRIDE=FY","FILING_STATUS=MR","Sort=A","Dates=H","DateFormat=P","Fill=—","Direction=H","UseDPDF=Y")</f>
        <v>#NAME?</v>
      </c>
      <c r="Q24" s="19" t="e">
        <f ca="1">_xll.BDH("ANSS US Equity","GHG_SCOPE_1_2_LOCATION_BASED","FY 2023","FY 2023","Currency=USD","Period=FY","BEST_FPERIOD_OVERRIDE=FY","FILING_STATUS=MR","Sort=A","Dates=H","DateFormat=P","Fill=—","Direction=H","UseDPDF=Y")</f>
        <v>#NAME?</v>
      </c>
    </row>
    <row r="25" spans="1:17" x14ac:dyDescent="0.45">
      <c r="A25" s="10" t="s">
        <v>703</v>
      </c>
      <c r="B25" s="10" t="s">
        <v>704</v>
      </c>
      <c r="C25" s="13" t="e">
        <f ca="1">_xll.BDH("ANSS US Equity","GHG_SCOPE_1_2_MARKET_BASED","FY 2009","FY 2009","Currency=USD","Period=FY","BEST_FPERIOD_OVERRIDE=FY","FILING_STATUS=MR","Sort=A","Dates=H","DateFormat=P","Fill=—","Direction=H","UseDPDF=Y")</f>
        <v>#NAME?</v>
      </c>
      <c r="D25" s="13" t="e">
        <f ca="1">_xll.BDH("ANSS US Equity","GHG_SCOPE_1_2_MARKET_BASED","FY 2010","FY 2010","Currency=USD","Period=FY","BEST_FPERIOD_OVERRIDE=FY","FILING_STATUS=MR","Sort=A","Dates=H","DateFormat=P","Fill=—","Direction=H","UseDPDF=Y")</f>
        <v>#NAME?</v>
      </c>
      <c r="E25" s="13" t="e">
        <f ca="1">_xll.BDH("ANSS US Equity","GHG_SCOPE_1_2_MARKET_BASED","FY 2011","FY 2011","Currency=USD","Period=FY","BEST_FPERIOD_OVERRIDE=FY","FILING_STATUS=MR","Sort=A","Dates=H","DateFormat=P","Fill=—","Direction=H","UseDPDF=Y")</f>
        <v>#NAME?</v>
      </c>
      <c r="F25" s="13" t="e">
        <f ca="1">_xll.BDH("ANSS US Equity","GHG_SCOPE_1_2_MARKET_BASED","FY 2012","FY 2012","Currency=USD","Period=FY","BEST_FPERIOD_OVERRIDE=FY","FILING_STATUS=MR","Sort=A","Dates=H","DateFormat=P","Fill=—","Direction=H","UseDPDF=Y")</f>
        <v>#NAME?</v>
      </c>
      <c r="G25" s="13" t="e">
        <f ca="1">_xll.BDH("ANSS US Equity","GHG_SCOPE_1_2_MARKET_BASED","FY 2013","FY 2013","Currency=USD","Period=FY","BEST_FPERIOD_OVERRIDE=FY","FILING_STATUS=MR","Sort=A","Dates=H","DateFormat=P","Fill=—","Direction=H","UseDPDF=Y")</f>
        <v>#NAME?</v>
      </c>
      <c r="H25" s="13" t="e">
        <f ca="1">_xll.BDH("ANSS US Equity","GHG_SCOPE_1_2_MARKET_BASED","FY 2014","FY 2014","Currency=USD","Period=FY","BEST_FPERIOD_OVERRIDE=FY","FILING_STATUS=MR","Sort=A","Dates=H","DateFormat=P","Fill=—","Direction=H","UseDPDF=Y")</f>
        <v>#NAME?</v>
      </c>
      <c r="I25" s="13" t="e">
        <f ca="1">_xll.BDH("ANSS US Equity","GHG_SCOPE_1_2_MARKET_BASED","FY 2015","FY 2015","Currency=USD","Period=FY","BEST_FPERIOD_OVERRIDE=FY","FILING_STATUS=MR","Sort=A","Dates=H","DateFormat=P","Fill=—","Direction=H","UseDPDF=Y")</f>
        <v>#NAME?</v>
      </c>
      <c r="J25" s="13" t="e">
        <f ca="1">_xll.BDH("ANSS US Equity","GHG_SCOPE_1_2_MARKET_BASED","FY 2016","FY 2016","Currency=USD","Period=FY","BEST_FPERIOD_OVERRIDE=FY","FILING_STATUS=MR","Sort=A","Dates=H","DateFormat=P","Fill=—","Direction=H","UseDPDF=Y")</f>
        <v>#NAME?</v>
      </c>
      <c r="K25" s="13" t="e">
        <f ca="1">_xll.BDH("ANSS US Equity","GHG_SCOPE_1_2_MARKET_BASED","FY 2017","FY 2017","Currency=USD","Period=FY","BEST_FPERIOD_OVERRIDE=FY","FILING_STATUS=MR","Sort=A","Dates=H","DateFormat=P","Fill=—","Direction=H","UseDPDF=Y")</f>
        <v>#NAME?</v>
      </c>
      <c r="L25" s="13" t="e">
        <f ca="1">_xll.BDH("ANSS US Equity","GHG_SCOPE_1_2_MARKET_BASED","FY 2018","FY 2018","Currency=USD","Period=FY","BEST_FPERIOD_OVERRIDE=FY","FILING_STATUS=MR","Sort=A","Dates=H","DateFormat=P","Fill=—","Direction=H","UseDPDF=Y")</f>
        <v>#NAME?</v>
      </c>
      <c r="M25" s="13" t="e">
        <f ca="1">_xll.BDH("ANSS US Equity","GHG_SCOPE_1_2_MARKET_BASED","FY 2019","FY 2019","Currency=USD","Period=FY","BEST_FPERIOD_OVERRIDE=FY","FILING_STATUS=MR","Sort=A","Dates=H","DateFormat=P","Fill=—","Direction=H","UseDPDF=Y")</f>
        <v>#NAME?</v>
      </c>
      <c r="N25" s="13" t="e">
        <f ca="1">_xll.BDH("ANSS US Equity","GHG_SCOPE_1_2_MARKET_BASED","FY 2020","FY 2020","Currency=USD","Period=FY","BEST_FPERIOD_OVERRIDE=FY","FILING_STATUS=MR","Sort=A","Dates=H","DateFormat=P","Fill=—","Direction=H","UseDPDF=Y")</f>
        <v>#NAME?</v>
      </c>
      <c r="O25" s="13" t="e">
        <f ca="1">_xll.BDH("ANSS US Equity","GHG_SCOPE_1_2_MARKET_BASED","FY 2021","FY 2021","Currency=USD","Period=FY","BEST_FPERIOD_OVERRIDE=FY","FILING_STATUS=MR","Sort=A","Dates=H","DateFormat=P","Fill=—","Direction=H","UseDPDF=Y")</f>
        <v>#NAME?</v>
      </c>
      <c r="P25" s="13" t="e">
        <f ca="1">_xll.BDH("ANSS US Equity","GHG_SCOPE_1_2_MARKET_BASED","FY 2022","FY 2022","Currency=USD","Period=FY","BEST_FPERIOD_OVERRIDE=FY","FILING_STATUS=MR","Sort=A","Dates=H","DateFormat=P","Fill=—","Direction=H","UseDPDF=Y")</f>
        <v>#NAME?</v>
      </c>
      <c r="Q25" s="13" t="e">
        <f ca="1">_xll.BDH("ANSS US Equity","GHG_SCOPE_1_2_MARKET_BASED","FY 2023","FY 2023","Currency=USD","Period=FY","BEST_FPERIOD_OVERRIDE=FY","FILING_STATUS=MR","Sort=A","Dates=H","DateFormat=P","Fill=—","Direction=H","UseDPDF=Y")</f>
        <v>#NAME?</v>
      </c>
    </row>
    <row r="26" spans="1:17" x14ac:dyDescent="0.45">
      <c r="A26" s="10" t="s">
        <v>705</v>
      </c>
      <c r="B26" s="10" t="s">
        <v>706</v>
      </c>
      <c r="C26" s="13" t="e">
        <f ca="1">_xll.BDH("ANSS US Equity","GHG_SCOPE_1","FY 2009","FY 2009","Currency=USD","Period=FY","BEST_FPERIOD_OVERRIDE=FY","FILING_STATUS=MR","Sort=A","Dates=H","DateFormat=P","Fill=—","Direction=H","UseDPDF=Y")</f>
        <v>#NAME?</v>
      </c>
      <c r="D26" s="13" t="e">
        <f ca="1">_xll.BDH("ANSS US Equity","GHG_SCOPE_1","FY 2010","FY 2010","Currency=USD","Period=FY","BEST_FPERIOD_OVERRIDE=FY","FILING_STATUS=MR","Sort=A","Dates=H","DateFormat=P","Fill=—","Direction=H","UseDPDF=Y")</f>
        <v>#NAME?</v>
      </c>
      <c r="E26" s="13" t="e">
        <f ca="1">_xll.BDH("ANSS US Equity","GHG_SCOPE_1","FY 2011","FY 2011","Currency=USD","Period=FY","BEST_FPERIOD_OVERRIDE=FY","FILING_STATUS=MR","Sort=A","Dates=H","DateFormat=P","Fill=—","Direction=H","UseDPDF=Y")</f>
        <v>#NAME?</v>
      </c>
      <c r="F26" s="13" t="e">
        <f ca="1">_xll.BDH("ANSS US Equity","GHG_SCOPE_1","FY 2012","FY 2012","Currency=USD","Period=FY","BEST_FPERIOD_OVERRIDE=FY","FILING_STATUS=MR","Sort=A","Dates=H","DateFormat=P","Fill=—","Direction=H","UseDPDF=Y")</f>
        <v>#NAME?</v>
      </c>
      <c r="G26" s="13" t="e">
        <f ca="1">_xll.BDH("ANSS US Equity","GHG_SCOPE_1","FY 2013","FY 2013","Currency=USD","Period=FY","BEST_FPERIOD_OVERRIDE=FY","FILING_STATUS=MR","Sort=A","Dates=H","DateFormat=P","Fill=—","Direction=H","UseDPDF=Y")</f>
        <v>#NAME?</v>
      </c>
      <c r="H26" s="13" t="e">
        <f ca="1">_xll.BDH("ANSS US Equity","GHG_SCOPE_1","FY 2014","FY 2014","Currency=USD","Period=FY","BEST_FPERIOD_OVERRIDE=FY","FILING_STATUS=MR","Sort=A","Dates=H","DateFormat=P","Fill=—","Direction=H","UseDPDF=Y")</f>
        <v>#NAME?</v>
      </c>
      <c r="I26" s="13" t="e">
        <f ca="1">_xll.BDH("ANSS US Equity","GHG_SCOPE_1","FY 2015","FY 2015","Currency=USD","Period=FY","BEST_FPERIOD_OVERRIDE=FY","FILING_STATUS=MR","Sort=A","Dates=H","DateFormat=P","Fill=—","Direction=H","UseDPDF=Y")</f>
        <v>#NAME?</v>
      </c>
      <c r="J26" s="13" t="e">
        <f ca="1">_xll.BDH("ANSS US Equity","GHG_SCOPE_1","FY 2016","FY 2016","Currency=USD","Period=FY","BEST_FPERIOD_OVERRIDE=FY","FILING_STATUS=MR","Sort=A","Dates=H","DateFormat=P","Fill=—","Direction=H","UseDPDF=Y")</f>
        <v>#NAME?</v>
      </c>
      <c r="K26" s="13" t="e">
        <f ca="1">_xll.BDH("ANSS US Equity","GHG_SCOPE_1","FY 2017","FY 2017","Currency=USD","Period=FY","BEST_FPERIOD_OVERRIDE=FY","FILING_STATUS=MR","Sort=A","Dates=H","DateFormat=P","Fill=—","Direction=H","UseDPDF=Y")</f>
        <v>#NAME?</v>
      </c>
      <c r="L26" s="13" t="e">
        <f ca="1">_xll.BDH("ANSS US Equity","GHG_SCOPE_1","FY 2018","FY 2018","Currency=USD","Period=FY","BEST_FPERIOD_OVERRIDE=FY","FILING_STATUS=MR","Sort=A","Dates=H","DateFormat=P","Fill=—","Direction=H","UseDPDF=Y")</f>
        <v>#NAME?</v>
      </c>
      <c r="M26" s="13" t="e">
        <f ca="1">_xll.BDH("ANSS US Equity","GHG_SCOPE_1","FY 2019","FY 2019","Currency=USD","Period=FY","BEST_FPERIOD_OVERRIDE=FY","FILING_STATUS=MR","Sort=A","Dates=H","DateFormat=P","Fill=—","Direction=H","UseDPDF=Y")</f>
        <v>#NAME?</v>
      </c>
      <c r="N26" s="13" t="e">
        <f ca="1">_xll.BDH("ANSS US Equity","GHG_SCOPE_1","FY 2020","FY 2020","Currency=USD","Period=FY","BEST_FPERIOD_OVERRIDE=FY","FILING_STATUS=MR","Sort=A","Dates=H","DateFormat=P","Fill=—","Direction=H","UseDPDF=Y")</f>
        <v>#NAME?</v>
      </c>
      <c r="O26" s="13" t="e">
        <f ca="1">_xll.BDH("ANSS US Equity","GHG_SCOPE_1","FY 2021","FY 2021","Currency=USD","Period=FY","BEST_FPERIOD_OVERRIDE=FY","FILING_STATUS=MR","Sort=A","Dates=H","DateFormat=P","Fill=—","Direction=H","UseDPDF=Y")</f>
        <v>#NAME?</v>
      </c>
      <c r="P26" s="13" t="e">
        <f ca="1">_xll.BDH("ANSS US Equity","GHG_SCOPE_1","FY 2022","FY 2022","Currency=USD","Period=FY","BEST_FPERIOD_OVERRIDE=FY","FILING_STATUS=MR","Sort=A","Dates=H","DateFormat=P","Fill=—","Direction=H","UseDPDF=Y")</f>
        <v>#NAME?</v>
      </c>
      <c r="Q26" s="13" t="e">
        <f ca="1">_xll.BDH("ANSS US Equity","GHG_SCOPE_1","FY 2023","FY 2023","Currency=USD","Period=FY","BEST_FPERIOD_OVERRIDE=FY","FILING_STATUS=MR","Sort=A","Dates=H","DateFormat=P","Fill=—","Direction=H","UseDPDF=Y")</f>
        <v>#NAME?</v>
      </c>
    </row>
    <row r="27" spans="1:17" x14ac:dyDescent="0.45">
      <c r="A27" s="10" t="s">
        <v>707</v>
      </c>
      <c r="B27" s="10" t="s">
        <v>708</v>
      </c>
      <c r="C27" s="13" t="e">
        <f ca="1">_xll.BDH("ANSS US Equity","GHG_SCOPE_2_LOCATION_BASED","FY 2009","FY 2009","Currency=USD","Period=FY","BEST_FPERIOD_OVERRIDE=FY","FILING_STATUS=MR","Sort=A","Dates=H","DateFormat=P","Fill=—","Direction=H","UseDPDF=Y")</f>
        <v>#NAME?</v>
      </c>
      <c r="D27" s="13" t="e">
        <f ca="1">_xll.BDH("ANSS US Equity","GHG_SCOPE_2_LOCATION_BASED","FY 2010","FY 2010","Currency=USD","Period=FY","BEST_FPERIOD_OVERRIDE=FY","FILING_STATUS=MR","Sort=A","Dates=H","DateFormat=P","Fill=—","Direction=H","UseDPDF=Y")</f>
        <v>#NAME?</v>
      </c>
      <c r="E27" s="13" t="e">
        <f ca="1">_xll.BDH("ANSS US Equity","GHG_SCOPE_2_LOCATION_BASED","FY 2011","FY 2011","Currency=USD","Period=FY","BEST_FPERIOD_OVERRIDE=FY","FILING_STATUS=MR","Sort=A","Dates=H","DateFormat=P","Fill=—","Direction=H","UseDPDF=Y")</f>
        <v>#NAME?</v>
      </c>
      <c r="F27" s="13" t="e">
        <f ca="1">_xll.BDH("ANSS US Equity","GHG_SCOPE_2_LOCATION_BASED","FY 2012","FY 2012","Currency=USD","Period=FY","BEST_FPERIOD_OVERRIDE=FY","FILING_STATUS=MR","Sort=A","Dates=H","DateFormat=P","Fill=—","Direction=H","UseDPDF=Y")</f>
        <v>#NAME?</v>
      </c>
      <c r="G27" s="13" t="e">
        <f ca="1">_xll.BDH("ANSS US Equity","GHG_SCOPE_2_LOCATION_BASED","FY 2013","FY 2013","Currency=USD","Period=FY","BEST_FPERIOD_OVERRIDE=FY","FILING_STATUS=MR","Sort=A","Dates=H","DateFormat=P","Fill=—","Direction=H","UseDPDF=Y")</f>
        <v>#NAME?</v>
      </c>
      <c r="H27" s="13" t="e">
        <f ca="1">_xll.BDH("ANSS US Equity","GHG_SCOPE_2_LOCATION_BASED","FY 2014","FY 2014","Currency=USD","Period=FY","BEST_FPERIOD_OVERRIDE=FY","FILING_STATUS=MR","Sort=A","Dates=H","DateFormat=P","Fill=—","Direction=H","UseDPDF=Y")</f>
        <v>#NAME?</v>
      </c>
      <c r="I27" s="13" t="e">
        <f ca="1">_xll.BDH("ANSS US Equity","GHG_SCOPE_2_LOCATION_BASED","FY 2015","FY 2015","Currency=USD","Period=FY","BEST_FPERIOD_OVERRIDE=FY","FILING_STATUS=MR","Sort=A","Dates=H","DateFormat=P","Fill=—","Direction=H","UseDPDF=Y")</f>
        <v>#NAME?</v>
      </c>
      <c r="J27" s="13" t="e">
        <f ca="1">_xll.BDH("ANSS US Equity","GHG_SCOPE_2_LOCATION_BASED","FY 2016","FY 2016","Currency=USD","Period=FY","BEST_FPERIOD_OVERRIDE=FY","FILING_STATUS=MR","Sort=A","Dates=H","DateFormat=P","Fill=—","Direction=H","UseDPDF=Y")</f>
        <v>#NAME?</v>
      </c>
      <c r="K27" s="13" t="e">
        <f ca="1">_xll.BDH("ANSS US Equity","GHG_SCOPE_2_LOCATION_BASED","FY 2017","FY 2017","Currency=USD","Period=FY","BEST_FPERIOD_OVERRIDE=FY","FILING_STATUS=MR","Sort=A","Dates=H","DateFormat=P","Fill=—","Direction=H","UseDPDF=Y")</f>
        <v>#NAME?</v>
      </c>
      <c r="L27" s="13" t="e">
        <f ca="1">_xll.BDH("ANSS US Equity","GHG_SCOPE_2_LOCATION_BASED","FY 2018","FY 2018","Currency=USD","Period=FY","BEST_FPERIOD_OVERRIDE=FY","FILING_STATUS=MR","Sort=A","Dates=H","DateFormat=P","Fill=—","Direction=H","UseDPDF=Y")</f>
        <v>#NAME?</v>
      </c>
      <c r="M27" s="13" t="e">
        <f ca="1">_xll.BDH("ANSS US Equity","GHG_SCOPE_2_LOCATION_BASED","FY 2019","FY 2019","Currency=USD","Period=FY","BEST_FPERIOD_OVERRIDE=FY","FILING_STATUS=MR","Sort=A","Dates=H","DateFormat=P","Fill=—","Direction=H","UseDPDF=Y")</f>
        <v>#NAME?</v>
      </c>
      <c r="N27" s="13" t="e">
        <f ca="1">_xll.BDH("ANSS US Equity","GHG_SCOPE_2_LOCATION_BASED","FY 2020","FY 2020","Currency=USD","Period=FY","BEST_FPERIOD_OVERRIDE=FY","FILING_STATUS=MR","Sort=A","Dates=H","DateFormat=P","Fill=—","Direction=H","UseDPDF=Y")</f>
        <v>#NAME?</v>
      </c>
      <c r="O27" s="13" t="e">
        <f ca="1">_xll.BDH("ANSS US Equity","GHG_SCOPE_2_LOCATION_BASED","FY 2021","FY 2021","Currency=USD","Period=FY","BEST_FPERIOD_OVERRIDE=FY","FILING_STATUS=MR","Sort=A","Dates=H","DateFormat=P","Fill=—","Direction=H","UseDPDF=Y")</f>
        <v>#NAME?</v>
      </c>
      <c r="P27" s="13" t="e">
        <f ca="1">_xll.BDH("ANSS US Equity","GHG_SCOPE_2_LOCATION_BASED","FY 2022","FY 2022","Currency=USD","Period=FY","BEST_FPERIOD_OVERRIDE=FY","FILING_STATUS=MR","Sort=A","Dates=H","DateFormat=P","Fill=—","Direction=H","UseDPDF=Y")</f>
        <v>#NAME?</v>
      </c>
      <c r="Q27" s="13" t="e">
        <f ca="1">_xll.BDH("ANSS US Equity","GHG_SCOPE_2_LOCATION_BASED","FY 2023","FY 2023","Currency=USD","Period=FY","BEST_FPERIOD_OVERRIDE=FY","FILING_STATUS=MR","Sort=A","Dates=H","DateFormat=P","Fill=—","Direction=H","UseDPDF=Y")</f>
        <v>#NAME?</v>
      </c>
    </row>
    <row r="28" spans="1:17" x14ac:dyDescent="0.45">
      <c r="A28" s="10" t="s">
        <v>709</v>
      </c>
      <c r="B28" s="10" t="s">
        <v>710</v>
      </c>
      <c r="C28" s="13" t="e">
        <f ca="1">_xll.BDH("ANSS US Equity","GHG_SCOPE_2_MARKET_BASED","FY 2009","FY 2009","Currency=USD","Period=FY","BEST_FPERIOD_OVERRIDE=FY","FILING_STATUS=MR","Sort=A","Dates=H","DateFormat=P","Fill=—","Direction=H","UseDPDF=Y")</f>
        <v>#NAME?</v>
      </c>
      <c r="D28" s="13" t="e">
        <f ca="1">_xll.BDH("ANSS US Equity","GHG_SCOPE_2_MARKET_BASED","FY 2010","FY 2010","Currency=USD","Period=FY","BEST_FPERIOD_OVERRIDE=FY","FILING_STATUS=MR","Sort=A","Dates=H","DateFormat=P","Fill=—","Direction=H","UseDPDF=Y")</f>
        <v>#NAME?</v>
      </c>
      <c r="E28" s="13" t="e">
        <f ca="1">_xll.BDH("ANSS US Equity","GHG_SCOPE_2_MARKET_BASED","FY 2011","FY 2011","Currency=USD","Period=FY","BEST_FPERIOD_OVERRIDE=FY","FILING_STATUS=MR","Sort=A","Dates=H","DateFormat=P","Fill=—","Direction=H","UseDPDF=Y")</f>
        <v>#NAME?</v>
      </c>
      <c r="F28" s="13" t="e">
        <f ca="1">_xll.BDH("ANSS US Equity","GHG_SCOPE_2_MARKET_BASED","FY 2012","FY 2012","Currency=USD","Period=FY","BEST_FPERIOD_OVERRIDE=FY","FILING_STATUS=MR","Sort=A","Dates=H","DateFormat=P","Fill=—","Direction=H","UseDPDF=Y")</f>
        <v>#NAME?</v>
      </c>
      <c r="G28" s="13" t="e">
        <f ca="1">_xll.BDH("ANSS US Equity","GHG_SCOPE_2_MARKET_BASED","FY 2013","FY 2013","Currency=USD","Period=FY","BEST_FPERIOD_OVERRIDE=FY","FILING_STATUS=MR","Sort=A","Dates=H","DateFormat=P","Fill=—","Direction=H","UseDPDF=Y")</f>
        <v>#NAME?</v>
      </c>
      <c r="H28" s="13" t="e">
        <f ca="1">_xll.BDH("ANSS US Equity","GHG_SCOPE_2_MARKET_BASED","FY 2014","FY 2014","Currency=USD","Period=FY","BEST_FPERIOD_OVERRIDE=FY","FILING_STATUS=MR","Sort=A","Dates=H","DateFormat=P","Fill=—","Direction=H","UseDPDF=Y")</f>
        <v>#NAME?</v>
      </c>
      <c r="I28" s="13" t="e">
        <f ca="1">_xll.BDH("ANSS US Equity","GHG_SCOPE_2_MARKET_BASED","FY 2015","FY 2015","Currency=USD","Period=FY","BEST_FPERIOD_OVERRIDE=FY","FILING_STATUS=MR","Sort=A","Dates=H","DateFormat=P","Fill=—","Direction=H","UseDPDF=Y")</f>
        <v>#NAME?</v>
      </c>
      <c r="J28" s="13" t="e">
        <f ca="1">_xll.BDH("ANSS US Equity","GHG_SCOPE_2_MARKET_BASED","FY 2016","FY 2016","Currency=USD","Period=FY","BEST_FPERIOD_OVERRIDE=FY","FILING_STATUS=MR","Sort=A","Dates=H","DateFormat=P","Fill=—","Direction=H","UseDPDF=Y")</f>
        <v>#NAME?</v>
      </c>
      <c r="K28" s="13" t="e">
        <f ca="1">_xll.BDH("ANSS US Equity","GHG_SCOPE_2_MARKET_BASED","FY 2017","FY 2017","Currency=USD","Period=FY","BEST_FPERIOD_OVERRIDE=FY","FILING_STATUS=MR","Sort=A","Dates=H","DateFormat=P","Fill=—","Direction=H","UseDPDF=Y")</f>
        <v>#NAME?</v>
      </c>
      <c r="L28" s="13" t="e">
        <f ca="1">_xll.BDH("ANSS US Equity","GHG_SCOPE_2_MARKET_BASED","FY 2018","FY 2018","Currency=USD","Period=FY","BEST_FPERIOD_OVERRIDE=FY","FILING_STATUS=MR","Sort=A","Dates=H","DateFormat=P","Fill=—","Direction=H","UseDPDF=Y")</f>
        <v>#NAME?</v>
      </c>
      <c r="M28" s="13" t="e">
        <f ca="1">_xll.BDH("ANSS US Equity","GHG_SCOPE_2_MARKET_BASED","FY 2019","FY 2019","Currency=USD","Period=FY","BEST_FPERIOD_OVERRIDE=FY","FILING_STATUS=MR","Sort=A","Dates=H","DateFormat=P","Fill=—","Direction=H","UseDPDF=Y")</f>
        <v>#NAME?</v>
      </c>
      <c r="N28" s="13" t="e">
        <f ca="1">_xll.BDH("ANSS US Equity","GHG_SCOPE_2_MARKET_BASED","FY 2020","FY 2020","Currency=USD","Period=FY","BEST_FPERIOD_OVERRIDE=FY","FILING_STATUS=MR","Sort=A","Dates=H","DateFormat=P","Fill=—","Direction=H","UseDPDF=Y")</f>
        <v>#NAME?</v>
      </c>
      <c r="O28" s="13" t="e">
        <f ca="1">_xll.BDH("ANSS US Equity","GHG_SCOPE_2_MARKET_BASED","FY 2021","FY 2021","Currency=USD","Period=FY","BEST_FPERIOD_OVERRIDE=FY","FILING_STATUS=MR","Sort=A","Dates=H","DateFormat=P","Fill=—","Direction=H","UseDPDF=Y")</f>
        <v>#NAME?</v>
      </c>
      <c r="P28" s="13" t="e">
        <f ca="1">_xll.BDH("ANSS US Equity","GHG_SCOPE_2_MARKET_BASED","FY 2022","FY 2022","Currency=USD","Period=FY","BEST_FPERIOD_OVERRIDE=FY","FILING_STATUS=MR","Sort=A","Dates=H","DateFormat=P","Fill=—","Direction=H","UseDPDF=Y")</f>
        <v>#NAME?</v>
      </c>
      <c r="Q28" s="13" t="e">
        <f ca="1">_xll.BDH("ANSS US Equity","GHG_SCOPE_2_MARKET_BASED","FY 2023","FY 2023","Currency=USD","Period=FY","BEST_FPERIOD_OVERRIDE=FY","FILING_STATUS=MR","Sort=A","Dates=H","DateFormat=P","Fill=—","Direction=H","UseDPDF=Y")</f>
        <v>#NAME?</v>
      </c>
    </row>
    <row r="29" spans="1:17" x14ac:dyDescent="0.45">
      <c r="A29" s="10" t="s">
        <v>711</v>
      </c>
      <c r="B29" s="10" t="s">
        <v>712</v>
      </c>
      <c r="C29" s="13" t="e">
        <f ca="1">_xll.BDH("ANSS US Equity","GHG_SCOPE_3","FY 2009","FY 2009","Currency=USD","Period=FY","BEST_FPERIOD_OVERRIDE=FY","FILING_STATUS=MR","Sort=A","Dates=H","DateFormat=P","Fill=—","Direction=H","UseDPDF=Y")</f>
        <v>#NAME?</v>
      </c>
      <c r="D29" s="13" t="e">
        <f ca="1">_xll.BDH("ANSS US Equity","GHG_SCOPE_3","FY 2010","FY 2010","Currency=USD","Period=FY","BEST_FPERIOD_OVERRIDE=FY","FILING_STATUS=MR","Sort=A","Dates=H","DateFormat=P","Fill=—","Direction=H","UseDPDF=Y")</f>
        <v>#NAME?</v>
      </c>
      <c r="E29" s="13" t="e">
        <f ca="1">_xll.BDH("ANSS US Equity","GHG_SCOPE_3","FY 2011","FY 2011","Currency=USD","Period=FY","BEST_FPERIOD_OVERRIDE=FY","FILING_STATUS=MR","Sort=A","Dates=H","DateFormat=P","Fill=—","Direction=H","UseDPDF=Y")</f>
        <v>#NAME?</v>
      </c>
      <c r="F29" s="13" t="e">
        <f ca="1">_xll.BDH("ANSS US Equity","GHG_SCOPE_3","FY 2012","FY 2012","Currency=USD","Period=FY","BEST_FPERIOD_OVERRIDE=FY","FILING_STATUS=MR","Sort=A","Dates=H","DateFormat=P","Fill=—","Direction=H","UseDPDF=Y")</f>
        <v>#NAME?</v>
      </c>
      <c r="G29" s="13" t="e">
        <f ca="1">_xll.BDH("ANSS US Equity","GHG_SCOPE_3","FY 2013","FY 2013","Currency=USD","Period=FY","BEST_FPERIOD_OVERRIDE=FY","FILING_STATUS=MR","Sort=A","Dates=H","DateFormat=P","Fill=—","Direction=H","UseDPDF=Y")</f>
        <v>#NAME?</v>
      </c>
      <c r="H29" s="13" t="e">
        <f ca="1">_xll.BDH("ANSS US Equity","GHG_SCOPE_3","FY 2014","FY 2014","Currency=USD","Period=FY","BEST_FPERIOD_OVERRIDE=FY","FILING_STATUS=MR","Sort=A","Dates=H","DateFormat=P","Fill=—","Direction=H","UseDPDF=Y")</f>
        <v>#NAME?</v>
      </c>
      <c r="I29" s="13" t="e">
        <f ca="1">_xll.BDH("ANSS US Equity","GHG_SCOPE_3","FY 2015","FY 2015","Currency=USD","Period=FY","BEST_FPERIOD_OVERRIDE=FY","FILING_STATUS=MR","Sort=A","Dates=H","DateFormat=P","Fill=—","Direction=H","UseDPDF=Y")</f>
        <v>#NAME?</v>
      </c>
      <c r="J29" s="13" t="e">
        <f ca="1">_xll.BDH("ANSS US Equity","GHG_SCOPE_3","FY 2016","FY 2016","Currency=USD","Period=FY","BEST_FPERIOD_OVERRIDE=FY","FILING_STATUS=MR","Sort=A","Dates=H","DateFormat=P","Fill=—","Direction=H","UseDPDF=Y")</f>
        <v>#NAME?</v>
      </c>
      <c r="K29" s="13" t="e">
        <f ca="1">_xll.BDH("ANSS US Equity","GHG_SCOPE_3","FY 2017","FY 2017","Currency=USD","Period=FY","BEST_FPERIOD_OVERRIDE=FY","FILING_STATUS=MR","Sort=A","Dates=H","DateFormat=P","Fill=—","Direction=H","UseDPDF=Y")</f>
        <v>#NAME?</v>
      </c>
      <c r="L29" s="13" t="e">
        <f ca="1">_xll.BDH("ANSS US Equity","GHG_SCOPE_3","FY 2018","FY 2018","Currency=USD","Period=FY","BEST_FPERIOD_OVERRIDE=FY","FILING_STATUS=MR","Sort=A","Dates=H","DateFormat=P","Fill=—","Direction=H","UseDPDF=Y")</f>
        <v>#NAME?</v>
      </c>
      <c r="M29" s="13" t="e">
        <f ca="1">_xll.BDH("ANSS US Equity","GHG_SCOPE_3","FY 2019","FY 2019","Currency=USD","Period=FY","BEST_FPERIOD_OVERRIDE=FY","FILING_STATUS=MR","Sort=A","Dates=H","DateFormat=P","Fill=—","Direction=H","UseDPDF=Y")</f>
        <v>#NAME?</v>
      </c>
      <c r="N29" s="13" t="e">
        <f ca="1">_xll.BDH("ANSS US Equity","GHG_SCOPE_3","FY 2020","FY 2020","Currency=USD","Period=FY","BEST_FPERIOD_OVERRIDE=FY","FILING_STATUS=MR","Sort=A","Dates=H","DateFormat=P","Fill=—","Direction=H","UseDPDF=Y")</f>
        <v>#NAME?</v>
      </c>
      <c r="O29" s="13" t="e">
        <f ca="1">_xll.BDH("ANSS US Equity","GHG_SCOPE_3","FY 2021","FY 2021","Currency=USD","Period=FY","BEST_FPERIOD_OVERRIDE=FY","FILING_STATUS=MR","Sort=A","Dates=H","DateFormat=P","Fill=—","Direction=H","UseDPDF=Y")</f>
        <v>#NAME?</v>
      </c>
      <c r="P29" s="13" t="e">
        <f ca="1">_xll.BDH("ANSS US Equity","GHG_SCOPE_3","FY 2022","FY 2022","Currency=USD","Period=FY","BEST_FPERIOD_OVERRIDE=FY","FILING_STATUS=MR","Sort=A","Dates=H","DateFormat=P","Fill=—","Direction=H","UseDPDF=Y")</f>
        <v>#NAME?</v>
      </c>
      <c r="Q29" s="13" t="e">
        <f ca="1">_xll.BDH("ANSS US Equity","GHG_SCOPE_3","FY 2023","FY 2023","Currency=USD","Period=FY","BEST_FPERIOD_OVERRIDE=FY","FILING_STATUS=MR","Sort=A","Dates=H","DateFormat=P","Fill=—","Direction=H","UseDPDF=Y")</f>
        <v>#NAME?</v>
      </c>
    </row>
    <row r="30" spans="1:17" x14ac:dyDescent="0.45">
      <c r="A30" s="10" t="s">
        <v>713</v>
      </c>
      <c r="B30" s="10" t="s">
        <v>714</v>
      </c>
      <c r="C30" s="13" t="e">
        <f ca="1">_xll.BDH("ANSS US Equity","SCOPE_3_CAPITAL_GOODS","FY 2009","FY 2009","Currency=USD","Period=FY","BEST_FPERIOD_OVERRIDE=FY","FILING_STATUS=MR","Sort=A","Dates=H","DateFormat=P","Fill=—","Direction=H","UseDPDF=Y")</f>
        <v>#NAME?</v>
      </c>
      <c r="D30" s="13" t="e">
        <f ca="1">_xll.BDH("ANSS US Equity","SCOPE_3_CAPITAL_GOODS","FY 2010","FY 2010","Currency=USD","Period=FY","BEST_FPERIOD_OVERRIDE=FY","FILING_STATUS=MR","Sort=A","Dates=H","DateFormat=P","Fill=—","Direction=H","UseDPDF=Y")</f>
        <v>#NAME?</v>
      </c>
      <c r="E30" s="13" t="e">
        <f ca="1">_xll.BDH("ANSS US Equity","SCOPE_3_CAPITAL_GOODS","FY 2011","FY 2011","Currency=USD","Period=FY","BEST_FPERIOD_OVERRIDE=FY","FILING_STATUS=MR","Sort=A","Dates=H","DateFormat=P","Fill=—","Direction=H","UseDPDF=Y")</f>
        <v>#NAME?</v>
      </c>
      <c r="F30" s="13" t="e">
        <f ca="1">_xll.BDH("ANSS US Equity","SCOPE_3_CAPITAL_GOODS","FY 2012","FY 2012","Currency=USD","Period=FY","BEST_FPERIOD_OVERRIDE=FY","FILING_STATUS=MR","Sort=A","Dates=H","DateFormat=P","Fill=—","Direction=H","UseDPDF=Y")</f>
        <v>#NAME?</v>
      </c>
      <c r="G30" s="13" t="e">
        <f ca="1">_xll.BDH("ANSS US Equity","SCOPE_3_CAPITAL_GOODS","FY 2013","FY 2013","Currency=USD","Period=FY","BEST_FPERIOD_OVERRIDE=FY","FILING_STATUS=MR","Sort=A","Dates=H","DateFormat=P","Fill=—","Direction=H","UseDPDF=Y")</f>
        <v>#NAME?</v>
      </c>
      <c r="H30" s="13" t="e">
        <f ca="1">_xll.BDH("ANSS US Equity","SCOPE_3_CAPITAL_GOODS","FY 2014","FY 2014","Currency=USD","Period=FY","BEST_FPERIOD_OVERRIDE=FY","FILING_STATUS=MR","Sort=A","Dates=H","DateFormat=P","Fill=—","Direction=H","UseDPDF=Y")</f>
        <v>#NAME?</v>
      </c>
      <c r="I30" s="13" t="e">
        <f ca="1">_xll.BDH("ANSS US Equity","SCOPE_3_CAPITAL_GOODS","FY 2015","FY 2015","Currency=USD","Period=FY","BEST_FPERIOD_OVERRIDE=FY","FILING_STATUS=MR","Sort=A","Dates=H","DateFormat=P","Fill=—","Direction=H","UseDPDF=Y")</f>
        <v>#NAME?</v>
      </c>
      <c r="J30" s="13" t="e">
        <f ca="1">_xll.BDH("ANSS US Equity","SCOPE_3_CAPITAL_GOODS","FY 2016","FY 2016","Currency=USD","Period=FY","BEST_FPERIOD_OVERRIDE=FY","FILING_STATUS=MR","Sort=A","Dates=H","DateFormat=P","Fill=—","Direction=H","UseDPDF=Y")</f>
        <v>#NAME?</v>
      </c>
      <c r="K30" s="13" t="e">
        <f ca="1">_xll.BDH("ANSS US Equity","SCOPE_3_CAPITAL_GOODS","FY 2017","FY 2017","Currency=USD","Period=FY","BEST_FPERIOD_OVERRIDE=FY","FILING_STATUS=MR","Sort=A","Dates=H","DateFormat=P","Fill=—","Direction=H","UseDPDF=Y")</f>
        <v>#NAME?</v>
      </c>
      <c r="L30" s="13" t="e">
        <f ca="1">_xll.BDH("ANSS US Equity","SCOPE_3_CAPITAL_GOODS","FY 2018","FY 2018","Currency=USD","Period=FY","BEST_FPERIOD_OVERRIDE=FY","FILING_STATUS=MR","Sort=A","Dates=H","DateFormat=P","Fill=—","Direction=H","UseDPDF=Y")</f>
        <v>#NAME?</v>
      </c>
      <c r="M30" s="13" t="e">
        <f ca="1">_xll.BDH("ANSS US Equity","SCOPE_3_CAPITAL_GOODS","FY 2019","FY 2019","Currency=USD","Period=FY","BEST_FPERIOD_OVERRIDE=FY","FILING_STATUS=MR","Sort=A","Dates=H","DateFormat=P","Fill=—","Direction=H","UseDPDF=Y")</f>
        <v>#NAME?</v>
      </c>
      <c r="N30" s="13" t="e">
        <f ca="1">_xll.BDH("ANSS US Equity","SCOPE_3_CAPITAL_GOODS","FY 2020","FY 2020","Currency=USD","Period=FY","BEST_FPERIOD_OVERRIDE=FY","FILING_STATUS=MR","Sort=A","Dates=H","DateFormat=P","Fill=—","Direction=H","UseDPDF=Y")</f>
        <v>#NAME?</v>
      </c>
      <c r="O30" s="13" t="e">
        <f ca="1">_xll.BDH("ANSS US Equity","SCOPE_3_CAPITAL_GOODS","FY 2021","FY 2021","Currency=USD","Period=FY","BEST_FPERIOD_OVERRIDE=FY","FILING_STATUS=MR","Sort=A","Dates=H","DateFormat=P","Fill=—","Direction=H","UseDPDF=Y")</f>
        <v>#NAME?</v>
      </c>
      <c r="P30" s="13" t="e">
        <f ca="1">_xll.BDH("ANSS US Equity","SCOPE_3_CAPITAL_GOODS","FY 2022","FY 2022","Currency=USD","Period=FY","BEST_FPERIOD_OVERRIDE=FY","FILING_STATUS=MR","Sort=A","Dates=H","DateFormat=P","Fill=—","Direction=H","UseDPDF=Y")</f>
        <v>#NAME?</v>
      </c>
      <c r="Q30" s="13" t="e">
        <f ca="1">_xll.BDH("ANSS US Equity","SCOPE_3_CAPITAL_GOODS","FY 2023","FY 2023","Currency=USD","Period=FY","BEST_FPERIOD_OVERRIDE=FY","FILING_STATUS=MR","Sort=A","Dates=H","DateFormat=P","Fill=—","Direction=H","UseDPDF=Y")</f>
        <v>#NAME?</v>
      </c>
    </row>
    <row r="31" spans="1:17" x14ac:dyDescent="0.45">
      <c r="A31" s="10" t="s">
        <v>715</v>
      </c>
      <c r="B31" s="10" t="s">
        <v>716</v>
      </c>
      <c r="C31" s="13" t="e">
        <f ca="1">_xll.BDH("ANSS US Equity","SCOPE_3_FUEL_ENRG_RELATD_ACT","FY 2009","FY 2009","Currency=USD","Period=FY","BEST_FPERIOD_OVERRIDE=FY","FILING_STATUS=MR","Sort=A","Dates=H","DateFormat=P","Fill=—","Direction=H","UseDPDF=Y")</f>
        <v>#NAME?</v>
      </c>
      <c r="D31" s="13" t="e">
        <f ca="1">_xll.BDH("ANSS US Equity","SCOPE_3_FUEL_ENRG_RELATD_ACT","FY 2010","FY 2010","Currency=USD","Period=FY","BEST_FPERIOD_OVERRIDE=FY","FILING_STATUS=MR","Sort=A","Dates=H","DateFormat=P","Fill=—","Direction=H","UseDPDF=Y")</f>
        <v>#NAME?</v>
      </c>
      <c r="E31" s="13" t="e">
        <f ca="1">_xll.BDH("ANSS US Equity","SCOPE_3_FUEL_ENRG_RELATD_ACT","FY 2011","FY 2011","Currency=USD","Period=FY","BEST_FPERIOD_OVERRIDE=FY","FILING_STATUS=MR","Sort=A","Dates=H","DateFormat=P","Fill=—","Direction=H","UseDPDF=Y")</f>
        <v>#NAME?</v>
      </c>
      <c r="F31" s="13" t="e">
        <f ca="1">_xll.BDH("ANSS US Equity","SCOPE_3_FUEL_ENRG_RELATD_ACT","FY 2012","FY 2012","Currency=USD","Period=FY","BEST_FPERIOD_OVERRIDE=FY","FILING_STATUS=MR","Sort=A","Dates=H","DateFormat=P","Fill=—","Direction=H","UseDPDF=Y")</f>
        <v>#NAME?</v>
      </c>
      <c r="G31" s="13" t="e">
        <f ca="1">_xll.BDH("ANSS US Equity","SCOPE_3_FUEL_ENRG_RELATD_ACT","FY 2013","FY 2013","Currency=USD","Period=FY","BEST_FPERIOD_OVERRIDE=FY","FILING_STATUS=MR","Sort=A","Dates=H","DateFormat=P","Fill=—","Direction=H","UseDPDF=Y")</f>
        <v>#NAME?</v>
      </c>
      <c r="H31" s="13" t="e">
        <f ca="1">_xll.BDH("ANSS US Equity","SCOPE_3_FUEL_ENRG_RELATD_ACT","FY 2014","FY 2014","Currency=USD","Period=FY","BEST_FPERIOD_OVERRIDE=FY","FILING_STATUS=MR","Sort=A","Dates=H","DateFormat=P","Fill=—","Direction=H","UseDPDF=Y")</f>
        <v>#NAME?</v>
      </c>
      <c r="I31" s="13" t="e">
        <f ca="1">_xll.BDH("ANSS US Equity","SCOPE_3_FUEL_ENRG_RELATD_ACT","FY 2015","FY 2015","Currency=USD","Period=FY","BEST_FPERIOD_OVERRIDE=FY","FILING_STATUS=MR","Sort=A","Dates=H","DateFormat=P","Fill=—","Direction=H","UseDPDF=Y")</f>
        <v>#NAME?</v>
      </c>
      <c r="J31" s="13" t="e">
        <f ca="1">_xll.BDH("ANSS US Equity","SCOPE_3_FUEL_ENRG_RELATD_ACT","FY 2016","FY 2016","Currency=USD","Period=FY","BEST_FPERIOD_OVERRIDE=FY","FILING_STATUS=MR","Sort=A","Dates=H","DateFormat=P","Fill=—","Direction=H","UseDPDF=Y")</f>
        <v>#NAME?</v>
      </c>
      <c r="K31" s="13" t="e">
        <f ca="1">_xll.BDH("ANSS US Equity","SCOPE_3_FUEL_ENRG_RELATD_ACT","FY 2017","FY 2017","Currency=USD","Period=FY","BEST_FPERIOD_OVERRIDE=FY","FILING_STATUS=MR","Sort=A","Dates=H","DateFormat=P","Fill=—","Direction=H","UseDPDF=Y")</f>
        <v>#NAME?</v>
      </c>
      <c r="L31" s="13" t="e">
        <f ca="1">_xll.BDH("ANSS US Equity","SCOPE_3_FUEL_ENRG_RELATD_ACT","FY 2018","FY 2018","Currency=USD","Period=FY","BEST_FPERIOD_OVERRIDE=FY","FILING_STATUS=MR","Sort=A","Dates=H","DateFormat=P","Fill=—","Direction=H","UseDPDF=Y")</f>
        <v>#NAME?</v>
      </c>
      <c r="M31" s="13" t="e">
        <f ca="1">_xll.BDH("ANSS US Equity","SCOPE_3_FUEL_ENRG_RELATD_ACT","FY 2019","FY 2019","Currency=USD","Period=FY","BEST_FPERIOD_OVERRIDE=FY","FILING_STATUS=MR","Sort=A","Dates=H","DateFormat=P","Fill=—","Direction=H","UseDPDF=Y")</f>
        <v>#NAME?</v>
      </c>
      <c r="N31" s="13" t="e">
        <f ca="1">_xll.BDH("ANSS US Equity","SCOPE_3_FUEL_ENRG_RELATD_ACT","FY 2020","FY 2020","Currency=USD","Period=FY","BEST_FPERIOD_OVERRIDE=FY","FILING_STATUS=MR","Sort=A","Dates=H","DateFormat=P","Fill=—","Direction=H","UseDPDF=Y")</f>
        <v>#NAME?</v>
      </c>
      <c r="O31" s="13" t="e">
        <f ca="1">_xll.BDH("ANSS US Equity","SCOPE_3_FUEL_ENRG_RELATD_ACT","FY 2021","FY 2021","Currency=USD","Period=FY","BEST_FPERIOD_OVERRIDE=FY","FILING_STATUS=MR","Sort=A","Dates=H","DateFormat=P","Fill=—","Direction=H","UseDPDF=Y")</f>
        <v>#NAME?</v>
      </c>
      <c r="P31" s="13" t="e">
        <f ca="1">_xll.BDH("ANSS US Equity","SCOPE_3_FUEL_ENRG_RELATD_ACT","FY 2022","FY 2022","Currency=USD","Period=FY","BEST_FPERIOD_OVERRIDE=FY","FILING_STATUS=MR","Sort=A","Dates=H","DateFormat=P","Fill=—","Direction=H","UseDPDF=Y")</f>
        <v>#NAME?</v>
      </c>
      <c r="Q31" s="13" t="e">
        <f ca="1">_xll.BDH("ANSS US Equity","SCOPE_3_FUEL_ENRG_RELATD_ACT","FY 2023","FY 2023","Currency=USD","Period=FY","BEST_FPERIOD_OVERRIDE=FY","FILING_STATUS=MR","Sort=A","Dates=H","DateFormat=P","Fill=—","Direction=H","UseDPDF=Y")</f>
        <v>#NAME?</v>
      </c>
    </row>
    <row r="32" spans="1:17" x14ac:dyDescent="0.45">
      <c r="A32" s="10" t="s">
        <v>717</v>
      </c>
      <c r="B32" s="10" t="s">
        <v>718</v>
      </c>
      <c r="C32" s="13" t="e">
        <f ca="1">_xll.BDH("ANSS US Equity","SCOPE_3_UPSTREAM_TRANS_DIST","FY 2009","FY 2009","Currency=USD","Period=FY","BEST_FPERIOD_OVERRIDE=FY","FILING_STATUS=MR","Sort=A","Dates=H","DateFormat=P","Fill=—","Direction=H","UseDPDF=Y")</f>
        <v>#NAME?</v>
      </c>
      <c r="D32" s="13" t="e">
        <f ca="1">_xll.BDH("ANSS US Equity","SCOPE_3_UPSTREAM_TRANS_DIST","FY 2010","FY 2010","Currency=USD","Period=FY","BEST_FPERIOD_OVERRIDE=FY","FILING_STATUS=MR","Sort=A","Dates=H","DateFormat=P","Fill=—","Direction=H","UseDPDF=Y")</f>
        <v>#NAME?</v>
      </c>
      <c r="E32" s="13" t="e">
        <f ca="1">_xll.BDH("ANSS US Equity","SCOPE_3_UPSTREAM_TRANS_DIST","FY 2011","FY 2011","Currency=USD","Period=FY","BEST_FPERIOD_OVERRIDE=FY","FILING_STATUS=MR","Sort=A","Dates=H","DateFormat=P","Fill=—","Direction=H","UseDPDF=Y")</f>
        <v>#NAME?</v>
      </c>
      <c r="F32" s="13" t="e">
        <f ca="1">_xll.BDH("ANSS US Equity","SCOPE_3_UPSTREAM_TRANS_DIST","FY 2012","FY 2012","Currency=USD","Period=FY","BEST_FPERIOD_OVERRIDE=FY","FILING_STATUS=MR","Sort=A","Dates=H","DateFormat=P","Fill=—","Direction=H","UseDPDF=Y")</f>
        <v>#NAME?</v>
      </c>
      <c r="G32" s="13" t="e">
        <f ca="1">_xll.BDH("ANSS US Equity","SCOPE_3_UPSTREAM_TRANS_DIST","FY 2013","FY 2013","Currency=USD","Period=FY","BEST_FPERIOD_OVERRIDE=FY","FILING_STATUS=MR","Sort=A","Dates=H","DateFormat=P","Fill=—","Direction=H","UseDPDF=Y")</f>
        <v>#NAME?</v>
      </c>
      <c r="H32" s="13" t="e">
        <f ca="1">_xll.BDH("ANSS US Equity","SCOPE_3_UPSTREAM_TRANS_DIST","FY 2014","FY 2014","Currency=USD","Period=FY","BEST_FPERIOD_OVERRIDE=FY","FILING_STATUS=MR","Sort=A","Dates=H","DateFormat=P","Fill=—","Direction=H","UseDPDF=Y")</f>
        <v>#NAME?</v>
      </c>
      <c r="I32" s="13" t="e">
        <f ca="1">_xll.BDH("ANSS US Equity","SCOPE_3_UPSTREAM_TRANS_DIST","FY 2015","FY 2015","Currency=USD","Period=FY","BEST_FPERIOD_OVERRIDE=FY","FILING_STATUS=MR","Sort=A","Dates=H","DateFormat=P","Fill=—","Direction=H","UseDPDF=Y")</f>
        <v>#NAME?</v>
      </c>
      <c r="J32" s="13" t="e">
        <f ca="1">_xll.BDH("ANSS US Equity","SCOPE_3_UPSTREAM_TRANS_DIST","FY 2016","FY 2016","Currency=USD","Period=FY","BEST_FPERIOD_OVERRIDE=FY","FILING_STATUS=MR","Sort=A","Dates=H","DateFormat=P","Fill=—","Direction=H","UseDPDF=Y")</f>
        <v>#NAME?</v>
      </c>
      <c r="K32" s="13" t="e">
        <f ca="1">_xll.BDH("ANSS US Equity","SCOPE_3_UPSTREAM_TRANS_DIST","FY 2017","FY 2017","Currency=USD","Period=FY","BEST_FPERIOD_OVERRIDE=FY","FILING_STATUS=MR","Sort=A","Dates=H","DateFormat=P","Fill=—","Direction=H","UseDPDF=Y")</f>
        <v>#NAME?</v>
      </c>
      <c r="L32" s="13" t="e">
        <f ca="1">_xll.BDH("ANSS US Equity","SCOPE_3_UPSTREAM_TRANS_DIST","FY 2018","FY 2018","Currency=USD","Period=FY","BEST_FPERIOD_OVERRIDE=FY","FILING_STATUS=MR","Sort=A","Dates=H","DateFormat=P","Fill=—","Direction=H","UseDPDF=Y")</f>
        <v>#NAME?</v>
      </c>
      <c r="M32" s="13" t="e">
        <f ca="1">_xll.BDH("ANSS US Equity","SCOPE_3_UPSTREAM_TRANS_DIST","FY 2019","FY 2019","Currency=USD","Period=FY","BEST_FPERIOD_OVERRIDE=FY","FILING_STATUS=MR","Sort=A","Dates=H","DateFormat=P","Fill=—","Direction=H","UseDPDF=Y")</f>
        <v>#NAME?</v>
      </c>
      <c r="N32" s="13" t="e">
        <f ca="1">_xll.BDH("ANSS US Equity","SCOPE_3_UPSTREAM_TRANS_DIST","FY 2020","FY 2020","Currency=USD","Period=FY","BEST_FPERIOD_OVERRIDE=FY","FILING_STATUS=MR","Sort=A","Dates=H","DateFormat=P","Fill=—","Direction=H","UseDPDF=Y")</f>
        <v>#NAME?</v>
      </c>
      <c r="O32" s="13" t="e">
        <f ca="1">_xll.BDH("ANSS US Equity","SCOPE_3_UPSTREAM_TRANS_DIST","FY 2021","FY 2021","Currency=USD","Period=FY","BEST_FPERIOD_OVERRIDE=FY","FILING_STATUS=MR","Sort=A","Dates=H","DateFormat=P","Fill=—","Direction=H","UseDPDF=Y")</f>
        <v>#NAME?</v>
      </c>
      <c r="P32" s="13" t="e">
        <f ca="1">_xll.BDH("ANSS US Equity","SCOPE_3_UPSTREAM_TRANS_DIST","FY 2022","FY 2022","Currency=USD","Period=FY","BEST_FPERIOD_OVERRIDE=FY","FILING_STATUS=MR","Sort=A","Dates=H","DateFormat=P","Fill=—","Direction=H","UseDPDF=Y")</f>
        <v>#NAME?</v>
      </c>
      <c r="Q32" s="13" t="e">
        <f ca="1">_xll.BDH("ANSS US Equity","SCOPE_3_UPSTREAM_TRANS_DIST","FY 2023","FY 2023","Currency=USD","Period=FY","BEST_FPERIOD_OVERRIDE=FY","FILING_STATUS=MR","Sort=A","Dates=H","DateFormat=P","Fill=—","Direction=H","UseDPDF=Y")</f>
        <v>#NAME?</v>
      </c>
    </row>
    <row r="33" spans="1:17" x14ac:dyDescent="0.45">
      <c r="A33" s="10" t="s">
        <v>719</v>
      </c>
      <c r="B33" s="10" t="s">
        <v>720</v>
      </c>
      <c r="C33" s="13" t="e">
        <f ca="1">_xll.BDH("ANSS US Equity","SCOPE_3_WASTE_GENRTD_IN_OP","FY 2009","FY 2009","Currency=USD","Period=FY","BEST_FPERIOD_OVERRIDE=FY","FILING_STATUS=MR","Sort=A","Dates=H","DateFormat=P","Fill=—","Direction=H","UseDPDF=Y")</f>
        <v>#NAME?</v>
      </c>
      <c r="D33" s="13" t="e">
        <f ca="1">_xll.BDH("ANSS US Equity","SCOPE_3_WASTE_GENRTD_IN_OP","FY 2010","FY 2010","Currency=USD","Period=FY","BEST_FPERIOD_OVERRIDE=FY","FILING_STATUS=MR","Sort=A","Dates=H","DateFormat=P","Fill=—","Direction=H","UseDPDF=Y")</f>
        <v>#NAME?</v>
      </c>
      <c r="E33" s="13" t="e">
        <f ca="1">_xll.BDH("ANSS US Equity","SCOPE_3_WASTE_GENRTD_IN_OP","FY 2011","FY 2011","Currency=USD","Period=FY","BEST_FPERIOD_OVERRIDE=FY","FILING_STATUS=MR","Sort=A","Dates=H","DateFormat=P","Fill=—","Direction=H","UseDPDF=Y")</f>
        <v>#NAME?</v>
      </c>
      <c r="F33" s="13" t="e">
        <f ca="1">_xll.BDH("ANSS US Equity","SCOPE_3_WASTE_GENRTD_IN_OP","FY 2012","FY 2012","Currency=USD","Period=FY","BEST_FPERIOD_OVERRIDE=FY","FILING_STATUS=MR","Sort=A","Dates=H","DateFormat=P","Fill=—","Direction=H","UseDPDF=Y")</f>
        <v>#NAME?</v>
      </c>
      <c r="G33" s="13" t="e">
        <f ca="1">_xll.BDH("ANSS US Equity","SCOPE_3_WASTE_GENRTD_IN_OP","FY 2013","FY 2013","Currency=USD","Period=FY","BEST_FPERIOD_OVERRIDE=FY","FILING_STATUS=MR","Sort=A","Dates=H","DateFormat=P","Fill=—","Direction=H","UseDPDF=Y")</f>
        <v>#NAME?</v>
      </c>
      <c r="H33" s="13" t="e">
        <f ca="1">_xll.BDH("ANSS US Equity","SCOPE_3_WASTE_GENRTD_IN_OP","FY 2014","FY 2014","Currency=USD","Period=FY","BEST_FPERIOD_OVERRIDE=FY","FILING_STATUS=MR","Sort=A","Dates=H","DateFormat=P","Fill=—","Direction=H","UseDPDF=Y")</f>
        <v>#NAME?</v>
      </c>
      <c r="I33" s="13" t="e">
        <f ca="1">_xll.BDH("ANSS US Equity","SCOPE_3_WASTE_GENRTD_IN_OP","FY 2015","FY 2015","Currency=USD","Period=FY","BEST_FPERIOD_OVERRIDE=FY","FILING_STATUS=MR","Sort=A","Dates=H","DateFormat=P","Fill=—","Direction=H","UseDPDF=Y")</f>
        <v>#NAME?</v>
      </c>
      <c r="J33" s="13" t="e">
        <f ca="1">_xll.BDH("ANSS US Equity","SCOPE_3_WASTE_GENRTD_IN_OP","FY 2016","FY 2016","Currency=USD","Period=FY","BEST_FPERIOD_OVERRIDE=FY","FILING_STATUS=MR","Sort=A","Dates=H","DateFormat=P","Fill=—","Direction=H","UseDPDF=Y")</f>
        <v>#NAME?</v>
      </c>
      <c r="K33" s="13" t="e">
        <f ca="1">_xll.BDH("ANSS US Equity","SCOPE_3_WASTE_GENRTD_IN_OP","FY 2017","FY 2017","Currency=USD","Period=FY","BEST_FPERIOD_OVERRIDE=FY","FILING_STATUS=MR","Sort=A","Dates=H","DateFormat=P","Fill=—","Direction=H","UseDPDF=Y")</f>
        <v>#NAME?</v>
      </c>
      <c r="L33" s="13" t="e">
        <f ca="1">_xll.BDH("ANSS US Equity","SCOPE_3_WASTE_GENRTD_IN_OP","FY 2018","FY 2018","Currency=USD","Period=FY","BEST_FPERIOD_OVERRIDE=FY","FILING_STATUS=MR","Sort=A","Dates=H","DateFormat=P","Fill=—","Direction=H","UseDPDF=Y")</f>
        <v>#NAME?</v>
      </c>
      <c r="M33" s="13" t="e">
        <f ca="1">_xll.BDH("ANSS US Equity","SCOPE_3_WASTE_GENRTD_IN_OP","FY 2019","FY 2019","Currency=USD","Period=FY","BEST_FPERIOD_OVERRIDE=FY","FILING_STATUS=MR","Sort=A","Dates=H","DateFormat=P","Fill=—","Direction=H","UseDPDF=Y")</f>
        <v>#NAME?</v>
      </c>
      <c r="N33" s="13" t="e">
        <f ca="1">_xll.BDH("ANSS US Equity","SCOPE_3_WASTE_GENRTD_IN_OP","FY 2020","FY 2020","Currency=USD","Period=FY","BEST_FPERIOD_OVERRIDE=FY","FILING_STATUS=MR","Sort=A","Dates=H","DateFormat=P","Fill=—","Direction=H","UseDPDF=Y")</f>
        <v>#NAME?</v>
      </c>
      <c r="O33" s="13" t="e">
        <f ca="1">_xll.BDH("ANSS US Equity","SCOPE_3_WASTE_GENRTD_IN_OP","FY 2021","FY 2021","Currency=USD","Period=FY","BEST_FPERIOD_OVERRIDE=FY","FILING_STATUS=MR","Sort=A","Dates=H","DateFormat=P","Fill=—","Direction=H","UseDPDF=Y")</f>
        <v>#NAME?</v>
      </c>
      <c r="P33" s="13" t="e">
        <f ca="1">_xll.BDH("ANSS US Equity","SCOPE_3_WASTE_GENRTD_IN_OP","FY 2022","FY 2022","Currency=USD","Period=FY","BEST_FPERIOD_OVERRIDE=FY","FILING_STATUS=MR","Sort=A","Dates=H","DateFormat=P","Fill=—","Direction=H","UseDPDF=Y")</f>
        <v>#NAME?</v>
      </c>
      <c r="Q33" s="13" t="e">
        <f ca="1">_xll.BDH("ANSS US Equity","SCOPE_3_WASTE_GENRTD_IN_OP","FY 2023","FY 2023","Currency=USD","Period=FY","BEST_FPERIOD_OVERRIDE=FY","FILING_STATUS=MR","Sort=A","Dates=H","DateFormat=P","Fill=—","Direction=H","UseDPDF=Y")</f>
        <v>#NAME?</v>
      </c>
    </row>
    <row r="34" spans="1:17" x14ac:dyDescent="0.45">
      <c r="A34" s="10" t="s">
        <v>721</v>
      </c>
      <c r="B34" s="10" t="s">
        <v>722</v>
      </c>
      <c r="C34" s="13" t="e">
        <f ca="1">_xll.BDH("ANSS US Equity","SCOPE_3_EMPLOYEE_COMMUTING","FY 2009","FY 2009","Currency=USD","Period=FY","BEST_FPERIOD_OVERRIDE=FY","FILING_STATUS=MR","Sort=A","Dates=H","DateFormat=P","Fill=—","Direction=H","UseDPDF=Y")</f>
        <v>#NAME?</v>
      </c>
      <c r="D34" s="13" t="e">
        <f ca="1">_xll.BDH("ANSS US Equity","SCOPE_3_EMPLOYEE_COMMUTING","FY 2010","FY 2010","Currency=USD","Period=FY","BEST_FPERIOD_OVERRIDE=FY","FILING_STATUS=MR","Sort=A","Dates=H","DateFormat=P","Fill=—","Direction=H","UseDPDF=Y")</f>
        <v>#NAME?</v>
      </c>
      <c r="E34" s="13" t="e">
        <f ca="1">_xll.BDH("ANSS US Equity","SCOPE_3_EMPLOYEE_COMMUTING","FY 2011","FY 2011","Currency=USD","Period=FY","BEST_FPERIOD_OVERRIDE=FY","FILING_STATUS=MR","Sort=A","Dates=H","DateFormat=P","Fill=—","Direction=H","UseDPDF=Y")</f>
        <v>#NAME?</v>
      </c>
      <c r="F34" s="13" t="e">
        <f ca="1">_xll.BDH("ANSS US Equity","SCOPE_3_EMPLOYEE_COMMUTING","FY 2012","FY 2012","Currency=USD","Period=FY","BEST_FPERIOD_OVERRIDE=FY","FILING_STATUS=MR","Sort=A","Dates=H","DateFormat=P","Fill=—","Direction=H","UseDPDF=Y")</f>
        <v>#NAME?</v>
      </c>
      <c r="G34" s="13" t="e">
        <f ca="1">_xll.BDH("ANSS US Equity","SCOPE_3_EMPLOYEE_COMMUTING","FY 2013","FY 2013","Currency=USD","Period=FY","BEST_FPERIOD_OVERRIDE=FY","FILING_STATUS=MR","Sort=A","Dates=H","DateFormat=P","Fill=—","Direction=H","UseDPDF=Y")</f>
        <v>#NAME?</v>
      </c>
      <c r="H34" s="13" t="e">
        <f ca="1">_xll.BDH("ANSS US Equity","SCOPE_3_EMPLOYEE_COMMUTING","FY 2014","FY 2014","Currency=USD","Period=FY","BEST_FPERIOD_OVERRIDE=FY","FILING_STATUS=MR","Sort=A","Dates=H","DateFormat=P","Fill=—","Direction=H","UseDPDF=Y")</f>
        <v>#NAME?</v>
      </c>
      <c r="I34" s="13" t="e">
        <f ca="1">_xll.BDH("ANSS US Equity","SCOPE_3_EMPLOYEE_COMMUTING","FY 2015","FY 2015","Currency=USD","Period=FY","BEST_FPERIOD_OVERRIDE=FY","FILING_STATUS=MR","Sort=A","Dates=H","DateFormat=P","Fill=—","Direction=H","UseDPDF=Y")</f>
        <v>#NAME?</v>
      </c>
      <c r="J34" s="13" t="e">
        <f ca="1">_xll.BDH("ANSS US Equity","SCOPE_3_EMPLOYEE_COMMUTING","FY 2016","FY 2016","Currency=USD","Period=FY","BEST_FPERIOD_OVERRIDE=FY","FILING_STATUS=MR","Sort=A","Dates=H","DateFormat=P","Fill=—","Direction=H","UseDPDF=Y")</f>
        <v>#NAME?</v>
      </c>
      <c r="K34" s="13" t="e">
        <f ca="1">_xll.BDH("ANSS US Equity","SCOPE_3_EMPLOYEE_COMMUTING","FY 2017","FY 2017","Currency=USD","Period=FY","BEST_FPERIOD_OVERRIDE=FY","FILING_STATUS=MR","Sort=A","Dates=H","DateFormat=P","Fill=—","Direction=H","UseDPDF=Y")</f>
        <v>#NAME?</v>
      </c>
      <c r="L34" s="13" t="e">
        <f ca="1">_xll.BDH("ANSS US Equity","SCOPE_3_EMPLOYEE_COMMUTING","FY 2018","FY 2018","Currency=USD","Period=FY","BEST_FPERIOD_OVERRIDE=FY","FILING_STATUS=MR","Sort=A","Dates=H","DateFormat=P","Fill=—","Direction=H","UseDPDF=Y")</f>
        <v>#NAME?</v>
      </c>
      <c r="M34" s="13" t="e">
        <f ca="1">_xll.BDH("ANSS US Equity","SCOPE_3_EMPLOYEE_COMMUTING","FY 2019","FY 2019","Currency=USD","Period=FY","BEST_FPERIOD_OVERRIDE=FY","FILING_STATUS=MR","Sort=A","Dates=H","DateFormat=P","Fill=—","Direction=H","UseDPDF=Y")</f>
        <v>#NAME?</v>
      </c>
      <c r="N34" s="13" t="e">
        <f ca="1">_xll.BDH("ANSS US Equity","SCOPE_3_EMPLOYEE_COMMUTING","FY 2020","FY 2020","Currency=USD","Period=FY","BEST_FPERIOD_OVERRIDE=FY","FILING_STATUS=MR","Sort=A","Dates=H","DateFormat=P","Fill=—","Direction=H","UseDPDF=Y")</f>
        <v>#NAME?</v>
      </c>
      <c r="O34" s="13" t="e">
        <f ca="1">_xll.BDH("ANSS US Equity","SCOPE_3_EMPLOYEE_COMMUTING","FY 2021","FY 2021","Currency=USD","Period=FY","BEST_FPERIOD_OVERRIDE=FY","FILING_STATUS=MR","Sort=A","Dates=H","DateFormat=P","Fill=—","Direction=H","UseDPDF=Y")</f>
        <v>#NAME?</v>
      </c>
      <c r="P34" s="13" t="e">
        <f ca="1">_xll.BDH("ANSS US Equity","SCOPE_3_EMPLOYEE_COMMUTING","FY 2022","FY 2022","Currency=USD","Period=FY","BEST_FPERIOD_OVERRIDE=FY","FILING_STATUS=MR","Sort=A","Dates=H","DateFormat=P","Fill=—","Direction=H","UseDPDF=Y")</f>
        <v>#NAME?</v>
      </c>
      <c r="Q34" s="13" t="e">
        <f ca="1">_xll.BDH("ANSS US Equity","SCOPE_3_EMPLOYEE_COMMUTING","FY 2023","FY 2023","Currency=USD","Period=FY","BEST_FPERIOD_OVERRIDE=FY","FILING_STATUS=MR","Sort=A","Dates=H","DateFormat=P","Fill=—","Direction=H","UseDPDF=Y")</f>
        <v>#NAME?</v>
      </c>
    </row>
    <row r="35" spans="1:17" x14ac:dyDescent="0.45">
      <c r="A35" s="10" t="s">
        <v>723</v>
      </c>
      <c r="B35" s="10" t="s">
        <v>724</v>
      </c>
      <c r="C35" s="13" t="e">
        <f ca="1">_xll.BDH("ANSS US Equity","SCOPE_3_UPSTREAM_LEASED_ASSETS","FY 2009","FY 2009","Currency=USD","Period=FY","BEST_FPERIOD_OVERRIDE=FY","FILING_STATUS=MR","Sort=A","Dates=H","DateFormat=P","Fill=—","Direction=H","UseDPDF=Y")</f>
        <v>#NAME?</v>
      </c>
      <c r="D35" s="13" t="e">
        <f ca="1">_xll.BDH("ANSS US Equity","SCOPE_3_UPSTREAM_LEASED_ASSETS","FY 2010","FY 2010","Currency=USD","Period=FY","BEST_FPERIOD_OVERRIDE=FY","FILING_STATUS=MR","Sort=A","Dates=H","DateFormat=P","Fill=—","Direction=H","UseDPDF=Y")</f>
        <v>#NAME?</v>
      </c>
      <c r="E35" s="13" t="e">
        <f ca="1">_xll.BDH("ANSS US Equity","SCOPE_3_UPSTREAM_LEASED_ASSETS","FY 2011","FY 2011","Currency=USD","Period=FY","BEST_FPERIOD_OVERRIDE=FY","FILING_STATUS=MR","Sort=A","Dates=H","DateFormat=P","Fill=—","Direction=H","UseDPDF=Y")</f>
        <v>#NAME?</v>
      </c>
      <c r="F35" s="13" t="e">
        <f ca="1">_xll.BDH("ANSS US Equity","SCOPE_3_UPSTREAM_LEASED_ASSETS","FY 2012","FY 2012","Currency=USD","Period=FY","BEST_FPERIOD_OVERRIDE=FY","FILING_STATUS=MR","Sort=A","Dates=H","DateFormat=P","Fill=—","Direction=H","UseDPDF=Y")</f>
        <v>#NAME?</v>
      </c>
      <c r="G35" s="13" t="e">
        <f ca="1">_xll.BDH("ANSS US Equity","SCOPE_3_UPSTREAM_LEASED_ASSETS","FY 2013","FY 2013","Currency=USD","Period=FY","BEST_FPERIOD_OVERRIDE=FY","FILING_STATUS=MR","Sort=A","Dates=H","DateFormat=P","Fill=—","Direction=H","UseDPDF=Y")</f>
        <v>#NAME?</v>
      </c>
      <c r="H35" s="13" t="e">
        <f ca="1">_xll.BDH("ANSS US Equity","SCOPE_3_UPSTREAM_LEASED_ASSETS","FY 2014","FY 2014","Currency=USD","Period=FY","BEST_FPERIOD_OVERRIDE=FY","FILING_STATUS=MR","Sort=A","Dates=H","DateFormat=P","Fill=—","Direction=H","UseDPDF=Y")</f>
        <v>#NAME?</v>
      </c>
      <c r="I35" s="13" t="e">
        <f ca="1">_xll.BDH("ANSS US Equity","SCOPE_3_UPSTREAM_LEASED_ASSETS","FY 2015","FY 2015","Currency=USD","Period=FY","BEST_FPERIOD_OVERRIDE=FY","FILING_STATUS=MR","Sort=A","Dates=H","DateFormat=P","Fill=—","Direction=H","UseDPDF=Y")</f>
        <v>#NAME?</v>
      </c>
      <c r="J35" s="13" t="e">
        <f ca="1">_xll.BDH("ANSS US Equity","SCOPE_3_UPSTREAM_LEASED_ASSETS","FY 2016","FY 2016","Currency=USD","Period=FY","BEST_FPERIOD_OVERRIDE=FY","FILING_STATUS=MR","Sort=A","Dates=H","DateFormat=P","Fill=—","Direction=H","UseDPDF=Y")</f>
        <v>#NAME?</v>
      </c>
      <c r="K35" s="13" t="e">
        <f ca="1">_xll.BDH("ANSS US Equity","SCOPE_3_UPSTREAM_LEASED_ASSETS","FY 2017","FY 2017","Currency=USD","Period=FY","BEST_FPERIOD_OVERRIDE=FY","FILING_STATUS=MR","Sort=A","Dates=H","DateFormat=P","Fill=—","Direction=H","UseDPDF=Y")</f>
        <v>#NAME?</v>
      </c>
      <c r="L35" s="13" t="e">
        <f ca="1">_xll.BDH("ANSS US Equity","SCOPE_3_UPSTREAM_LEASED_ASSETS","FY 2018","FY 2018","Currency=USD","Period=FY","BEST_FPERIOD_OVERRIDE=FY","FILING_STATUS=MR","Sort=A","Dates=H","DateFormat=P","Fill=—","Direction=H","UseDPDF=Y")</f>
        <v>#NAME?</v>
      </c>
      <c r="M35" s="13" t="e">
        <f ca="1">_xll.BDH("ANSS US Equity","SCOPE_3_UPSTREAM_LEASED_ASSETS","FY 2019","FY 2019","Currency=USD","Period=FY","BEST_FPERIOD_OVERRIDE=FY","FILING_STATUS=MR","Sort=A","Dates=H","DateFormat=P","Fill=—","Direction=H","UseDPDF=Y")</f>
        <v>#NAME?</v>
      </c>
      <c r="N35" s="13" t="e">
        <f ca="1">_xll.BDH("ANSS US Equity","SCOPE_3_UPSTREAM_LEASED_ASSETS","FY 2020","FY 2020","Currency=USD","Period=FY","BEST_FPERIOD_OVERRIDE=FY","FILING_STATUS=MR","Sort=A","Dates=H","DateFormat=P","Fill=—","Direction=H","UseDPDF=Y")</f>
        <v>#NAME?</v>
      </c>
      <c r="O35" s="13" t="e">
        <f ca="1">_xll.BDH("ANSS US Equity","SCOPE_3_UPSTREAM_LEASED_ASSETS","FY 2021","FY 2021","Currency=USD","Period=FY","BEST_FPERIOD_OVERRIDE=FY","FILING_STATUS=MR","Sort=A","Dates=H","DateFormat=P","Fill=—","Direction=H","UseDPDF=Y")</f>
        <v>#NAME?</v>
      </c>
      <c r="P35" s="13" t="e">
        <f ca="1">_xll.BDH("ANSS US Equity","SCOPE_3_UPSTREAM_LEASED_ASSETS","FY 2022","FY 2022","Currency=USD","Period=FY","BEST_FPERIOD_OVERRIDE=FY","FILING_STATUS=MR","Sort=A","Dates=H","DateFormat=P","Fill=—","Direction=H","UseDPDF=Y")</f>
        <v>#NAME?</v>
      </c>
      <c r="Q35" s="13" t="e">
        <f ca="1">_xll.BDH("ANSS US Equity","SCOPE_3_UPSTREAM_LEASED_ASSETS","FY 2023","FY 2023","Currency=USD","Period=FY","BEST_FPERIOD_OVERRIDE=FY","FILING_STATUS=MR","Sort=A","Dates=H","DateFormat=P","Fill=—","Direction=H","UseDPDF=Y")</f>
        <v>#NAME?</v>
      </c>
    </row>
    <row r="36" spans="1:17" x14ac:dyDescent="0.45">
      <c r="A36" s="10" t="s">
        <v>725</v>
      </c>
      <c r="B36" s="10" t="s">
        <v>726</v>
      </c>
      <c r="C36" s="13" t="e">
        <f ca="1">_xll.BDH("ANSS US Equity","SCOPE_3_BUSINESS_TRVL_EMISSIONS","FY 2009","FY 2009","Currency=USD","Period=FY","BEST_FPERIOD_OVERRIDE=FY","FILING_STATUS=MR","Sort=A","Dates=H","DateFormat=P","Fill=—","Direction=H","UseDPDF=Y")</f>
        <v>#NAME?</v>
      </c>
      <c r="D36" s="13" t="e">
        <f ca="1">_xll.BDH("ANSS US Equity","SCOPE_3_BUSINESS_TRVL_EMISSIONS","FY 2010","FY 2010","Currency=USD","Period=FY","BEST_FPERIOD_OVERRIDE=FY","FILING_STATUS=MR","Sort=A","Dates=H","DateFormat=P","Fill=—","Direction=H","UseDPDF=Y")</f>
        <v>#NAME?</v>
      </c>
      <c r="E36" s="13" t="e">
        <f ca="1">_xll.BDH("ANSS US Equity","SCOPE_3_BUSINESS_TRVL_EMISSIONS","FY 2011","FY 2011","Currency=USD","Period=FY","BEST_FPERIOD_OVERRIDE=FY","FILING_STATUS=MR","Sort=A","Dates=H","DateFormat=P","Fill=—","Direction=H","UseDPDF=Y")</f>
        <v>#NAME?</v>
      </c>
      <c r="F36" s="13" t="e">
        <f ca="1">_xll.BDH("ANSS US Equity","SCOPE_3_BUSINESS_TRVL_EMISSIONS","FY 2012","FY 2012","Currency=USD","Period=FY","BEST_FPERIOD_OVERRIDE=FY","FILING_STATUS=MR","Sort=A","Dates=H","DateFormat=P","Fill=—","Direction=H","UseDPDF=Y")</f>
        <v>#NAME?</v>
      </c>
      <c r="G36" s="13" t="e">
        <f ca="1">_xll.BDH("ANSS US Equity","SCOPE_3_BUSINESS_TRVL_EMISSIONS","FY 2013","FY 2013","Currency=USD","Period=FY","BEST_FPERIOD_OVERRIDE=FY","FILING_STATUS=MR","Sort=A","Dates=H","DateFormat=P","Fill=—","Direction=H","UseDPDF=Y")</f>
        <v>#NAME?</v>
      </c>
      <c r="H36" s="13" t="e">
        <f ca="1">_xll.BDH("ANSS US Equity","SCOPE_3_BUSINESS_TRVL_EMISSIONS","FY 2014","FY 2014","Currency=USD","Period=FY","BEST_FPERIOD_OVERRIDE=FY","FILING_STATUS=MR","Sort=A","Dates=H","DateFormat=P","Fill=—","Direction=H","UseDPDF=Y")</f>
        <v>#NAME?</v>
      </c>
      <c r="I36" s="13" t="e">
        <f ca="1">_xll.BDH("ANSS US Equity","SCOPE_3_BUSINESS_TRVL_EMISSIONS","FY 2015","FY 2015","Currency=USD","Period=FY","BEST_FPERIOD_OVERRIDE=FY","FILING_STATUS=MR","Sort=A","Dates=H","DateFormat=P","Fill=—","Direction=H","UseDPDF=Y")</f>
        <v>#NAME?</v>
      </c>
      <c r="J36" s="13" t="e">
        <f ca="1">_xll.BDH("ANSS US Equity","SCOPE_3_BUSINESS_TRVL_EMISSIONS","FY 2016","FY 2016","Currency=USD","Period=FY","BEST_FPERIOD_OVERRIDE=FY","FILING_STATUS=MR","Sort=A","Dates=H","DateFormat=P","Fill=—","Direction=H","UseDPDF=Y")</f>
        <v>#NAME?</v>
      </c>
      <c r="K36" s="13" t="e">
        <f ca="1">_xll.BDH("ANSS US Equity","SCOPE_3_BUSINESS_TRVL_EMISSIONS","FY 2017","FY 2017","Currency=USD","Period=FY","BEST_FPERIOD_OVERRIDE=FY","FILING_STATUS=MR","Sort=A","Dates=H","DateFormat=P","Fill=—","Direction=H","UseDPDF=Y")</f>
        <v>#NAME?</v>
      </c>
      <c r="L36" s="13" t="e">
        <f ca="1">_xll.BDH("ANSS US Equity","SCOPE_3_BUSINESS_TRVL_EMISSIONS","FY 2018","FY 2018","Currency=USD","Period=FY","BEST_FPERIOD_OVERRIDE=FY","FILING_STATUS=MR","Sort=A","Dates=H","DateFormat=P","Fill=—","Direction=H","UseDPDF=Y")</f>
        <v>#NAME?</v>
      </c>
      <c r="M36" s="13" t="e">
        <f ca="1">_xll.BDH("ANSS US Equity","SCOPE_3_BUSINESS_TRVL_EMISSIONS","FY 2019","FY 2019","Currency=USD","Period=FY","BEST_FPERIOD_OVERRIDE=FY","FILING_STATUS=MR","Sort=A","Dates=H","DateFormat=P","Fill=—","Direction=H","UseDPDF=Y")</f>
        <v>#NAME?</v>
      </c>
      <c r="N36" s="13" t="e">
        <f ca="1">_xll.BDH("ANSS US Equity","SCOPE_3_BUSINESS_TRVL_EMISSIONS","FY 2020","FY 2020","Currency=USD","Period=FY","BEST_FPERIOD_OVERRIDE=FY","FILING_STATUS=MR","Sort=A","Dates=H","DateFormat=P","Fill=—","Direction=H","UseDPDF=Y")</f>
        <v>#NAME?</v>
      </c>
      <c r="O36" s="13" t="e">
        <f ca="1">_xll.BDH("ANSS US Equity","SCOPE_3_BUSINESS_TRVL_EMISSIONS","FY 2021","FY 2021","Currency=USD","Period=FY","BEST_FPERIOD_OVERRIDE=FY","FILING_STATUS=MR","Sort=A","Dates=H","DateFormat=P","Fill=—","Direction=H","UseDPDF=Y")</f>
        <v>#NAME?</v>
      </c>
      <c r="P36" s="13" t="e">
        <f ca="1">_xll.BDH("ANSS US Equity","SCOPE_3_BUSINESS_TRVL_EMISSIONS","FY 2022","FY 2022","Currency=USD","Period=FY","BEST_FPERIOD_OVERRIDE=FY","FILING_STATUS=MR","Sort=A","Dates=H","DateFormat=P","Fill=—","Direction=H","UseDPDF=Y")</f>
        <v>#NAME?</v>
      </c>
      <c r="Q36" s="13" t="e">
        <f ca="1">_xll.BDH("ANSS US Equity","SCOPE_3_BUSINESS_TRVL_EMISSIONS","FY 2023","FY 2023","Currency=USD","Period=FY","BEST_FPERIOD_OVERRIDE=FY","FILING_STATUS=MR","Sort=A","Dates=H","DateFormat=P","Fill=—","Direction=H","UseDPDF=Y")</f>
        <v>#NAME?</v>
      </c>
    </row>
    <row r="37" spans="1:17" x14ac:dyDescent="0.45">
      <c r="A37" s="10" t="s">
        <v>727</v>
      </c>
      <c r="B37" s="10" t="s">
        <v>728</v>
      </c>
      <c r="C37" s="13" t="e">
        <f ca="1">_xll.BDH("ANSS US Equity","SCOPE_3_PURCH_GOODS_SRVCS","FY 2009","FY 2009","Currency=USD","Period=FY","BEST_FPERIOD_OVERRIDE=FY","FILING_STATUS=MR","Sort=A","Dates=H","DateFormat=P","Fill=—","Direction=H","UseDPDF=Y")</f>
        <v>#NAME?</v>
      </c>
      <c r="D37" s="13" t="e">
        <f ca="1">_xll.BDH("ANSS US Equity","SCOPE_3_PURCH_GOODS_SRVCS","FY 2010","FY 2010","Currency=USD","Period=FY","BEST_FPERIOD_OVERRIDE=FY","FILING_STATUS=MR","Sort=A","Dates=H","DateFormat=P","Fill=—","Direction=H","UseDPDF=Y")</f>
        <v>#NAME?</v>
      </c>
      <c r="E37" s="13" t="e">
        <f ca="1">_xll.BDH("ANSS US Equity","SCOPE_3_PURCH_GOODS_SRVCS","FY 2011","FY 2011","Currency=USD","Period=FY","BEST_FPERIOD_OVERRIDE=FY","FILING_STATUS=MR","Sort=A","Dates=H","DateFormat=P","Fill=—","Direction=H","UseDPDF=Y")</f>
        <v>#NAME?</v>
      </c>
      <c r="F37" s="13" t="e">
        <f ca="1">_xll.BDH("ANSS US Equity","SCOPE_3_PURCH_GOODS_SRVCS","FY 2012","FY 2012","Currency=USD","Period=FY","BEST_FPERIOD_OVERRIDE=FY","FILING_STATUS=MR","Sort=A","Dates=H","DateFormat=P","Fill=—","Direction=H","UseDPDF=Y")</f>
        <v>#NAME?</v>
      </c>
      <c r="G37" s="13" t="e">
        <f ca="1">_xll.BDH("ANSS US Equity","SCOPE_3_PURCH_GOODS_SRVCS","FY 2013","FY 2013","Currency=USD","Period=FY","BEST_FPERIOD_OVERRIDE=FY","FILING_STATUS=MR","Sort=A","Dates=H","DateFormat=P","Fill=—","Direction=H","UseDPDF=Y")</f>
        <v>#NAME?</v>
      </c>
      <c r="H37" s="13" t="e">
        <f ca="1">_xll.BDH("ANSS US Equity","SCOPE_3_PURCH_GOODS_SRVCS","FY 2014","FY 2014","Currency=USD","Period=FY","BEST_FPERIOD_OVERRIDE=FY","FILING_STATUS=MR","Sort=A","Dates=H","DateFormat=P","Fill=—","Direction=H","UseDPDF=Y")</f>
        <v>#NAME?</v>
      </c>
      <c r="I37" s="13" t="e">
        <f ca="1">_xll.BDH("ANSS US Equity","SCOPE_3_PURCH_GOODS_SRVCS","FY 2015","FY 2015","Currency=USD","Period=FY","BEST_FPERIOD_OVERRIDE=FY","FILING_STATUS=MR","Sort=A","Dates=H","DateFormat=P","Fill=—","Direction=H","UseDPDF=Y")</f>
        <v>#NAME?</v>
      </c>
      <c r="J37" s="13" t="e">
        <f ca="1">_xll.BDH("ANSS US Equity","SCOPE_3_PURCH_GOODS_SRVCS","FY 2016","FY 2016","Currency=USD","Period=FY","BEST_FPERIOD_OVERRIDE=FY","FILING_STATUS=MR","Sort=A","Dates=H","DateFormat=P","Fill=—","Direction=H","UseDPDF=Y")</f>
        <v>#NAME?</v>
      </c>
      <c r="K37" s="13" t="e">
        <f ca="1">_xll.BDH("ANSS US Equity","SCOPE_3_PURCH_GOODS_SRVCS","FY 2017","FY 2017","Currency=USD","Period=FY","BEST_FPERIOD_OVERRIDE=FY","FILING_STATUS=MR","Sort=A","Dates=H","DateFormat=P","Fill=—","Direction=H","UseDPDF=Y")</f>
        <v>#NAME?</v>
      </c>
      <c r="L37" s="13" t="e">
        <f ca="1">_xll.BDH("ANSS US Equity","SCOPE_3_PURCH_GOODS_SRVCS","FY 2018","FY 2018","Currency=USD","Period=FY","BEST_FPERIOD_OVERRIDE=FY","FILING_STATUS=MR","Sort=A","Dates=H","DateFormat=P","Fill=—","Direction=H","UseDPDF=Y")</f>
        <v>#NAME?</v>
      </c>
      <c r="M37" s="13" t="e">
        <f ca="1">_xll.BDH("ANSS US Equity","SCOPE_3_PURCH_GOODS_SRVCS","FY 2019","FY 2019","Currency=USD","Period=FY","BEST_FPERIOD_OVERRIDE=FY","FILING_STATUS=MR","Sort=A","Dates=H","DateFormat=P","Fill=—","Direction=H","UseDPDF=Y")</f>
        <v>#NAME?</v>
      </c>
      <c r="N37" s="13" t="e">
        <f ca="1">_xll.BDH("ANSS US Equity","SCOPE_3_PURCH_GOODS_SRVCS","FY 2020","FY 2020","Currency=USD","Period=FY","BEST_FPERIOD_OVERRIDE=FY","FILING_STATUS=MR","Sort=A","Dates=H","DateFormat=P","Fill=—","Direction=H","UseDPDF=Y")</f>
        <v>#NAME?</v>
      </c>
      <c r="O37" s="13" t="e">
        <f ca="1">_xll.BDH("ANSS US Equity","SCOPE_3_PURCH_GOODS_SRVCS","FY 2021","FY 2021","Currency=USD","Period=FY","BEST_FPERIOD_OVERRIDE=FY","FILING_STATUS=MR","Sort=A","Dates=H","DateFormat=P","Fill=—","Direction=H","UseDPDF=Y")</f>
        <v>#NAME?</v>
      </c>
      <c r="P37" s="13" t="e">
        <f ca="1">_xll.BDH("ANSS US Equity","SCOPE_3_PURCH_GOODS_SRVCS","FY 2022","FY 2022","Currency=USD","Period=FY","BEST_FPERIOD_OVERRIDE=FY","FILING_STATUS=MR","Sort=A","Dates=H","DateFormat=P","Fill=—","Direction=H","UseDPDF=Y")</f>
        <v>#NAME?</v>
      </c>
      <c r="Q37" s="13" t="e">
        <f ca="1">_xll.BDH("ANSS US Equity","SCOPE_3_PURCH_GOODS_SRVCS","FY 2023","FY 2023","Currency=USD","Period=FY","BEST_FPERIOD_OVERRIDE=FY","FILING_STATUS=MR","Sort=A","Dates=H","DateFormat=P","Fill=—","Direction=H","UseDPDF=Y")</f>
        <v>#NAME?</v>
      </c>
    </row>
    <row r="38" spans="1:17" x14ac:dyDescent="0.4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x14ac:dyDescent="0.4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45">
      <c r="A40" s="10" t="s">
        <v>729</v>
      </c>
      <c r="B40" s="10" t="s">
        <v>730</v>
      </c>
      <c r="C40" s="13" t="e">
        <f ca="1">_xll.BDH("ANSS US Equity","CO2_SCOPE_1","FY 2009","FY 2009","Currency=USD","Period=FY","BEST_FPERIOD_OVERRIDE=FY","FILING_STATUS=MR","Sort=A","Dates=H","DateFormat=P","Fill=—","Direction=H","UseDPDF=Y")</f>
        <v>#NAME?</v>
      </c>
      <c r="D40" s="13" t="e">
        <f ca="1">_xll.BDH("ANSS US Equity","CO2_SCOPE_1","FY 2010","FY 2010","Currency=USD","Period=FY","BEST_FPERIOD_OVERRIDE=FY","FILING_STATUS=MR","Sort=A","Dates=H","DateFormat=P","Fill=—","Direction=H","UseDPDF=Y")</f>
        <v>#NAME?</v>
      </c>
      <c r="E40" s="13" t="e">
        <f ca="1">_xll.BDH("ANSS US Equity","CO2_SCOPE_1","FY 2011","FY 2011","Currency=USD","Period=FY","BEST_FPERIOD_OVERRIDE=FY","FILING_STATUS=MR","Sort=A","Dates=H","DateFormat=P","Fill=—","Direction=H","UseDPDF=Y")</f>
        <v>#NAME?</v>
      </c>
      <c r="F40" s="13" t="e">
        <f ca="1">_xll.BDH("ANSS US Equity","CO2_SCOPE_1","FY 2012","FY 2012","Currency=USD","Period=FY","BEST_FPERIOD_OVERRIDE=FY","FILING_STATUS=MR","Sort=A","Dates=H","DateFormat=P","Fill=—","Direction=H","UseDPDF=Y")</f>
        <v>#NAME?</v>
      </c>
      <c r="G40" s="13" t="e">
        <f ca="1">_xll.BDH("ANSS US Equity","CO2_SCOPE_1","FY 2013","FY 2013","Currency=USD","Period=FY","BEST_FPERIOD_OVERRIDE=FY","FILING_STATUS=MR","Sort=A","Dates=H","DateFormat=P","Fill=—","Direction=H","UseDPDF=Y")</f>
        <v>#NAME?</v>
      </c>
      <c r="H40" s="13" t="e">
        <f ca="1">_xll.BDH("ANSS US Equity","CO2_SCOPE_1","FY 2014","FY 2014","Currency=USD","Period=FY","BEST_FPERIOD_OVERRIDE=FY","FILING_STATUS=MR","Sort=A","Dates=H","DateFormat=P","Fill=—","Direction=H","UseDPDF=Y")</f>
        <v>#NAME?</v>
      </c>
      <c r="I40" s="13" t="e">
        <f ca="1">_xll.BDH("ANSS US Equity","CO2_SCOPE_1","FY 2015","FY 2015","Currency=USD","Period=FY","BEST_FPERIOD_OVERRIDE=FY","FILING_STATUS=MR","Sort=A","Dates=H","DateFormat=P","Fill=—","Direction=H","UseDPDF=Y")</f>
        <v>#NAME?</v>
      </c>
      <c r="J40" s="13" t="e">
        <f ca="1">_xll.BDH("ANSS US Equity","CO2_SCOPE_1","FY 2016","FY 2016","Currency=USD","Period=FY","BEST_FPERIOD_OVERRIDE=FY","FILING_STATUS=MR","Sort=A","Dates=H","DateFormat=P","Fill=—","Direction=H","UseDPDF=Y")</f>
        <v>#NAME?</v>
      </c>
      <c r="K40" s="13" t="e">
        <f ca="1">_xll.BDH("ANSS US Equity","CO2_SCOPE_1","FY 2017","FY 2017","Currency=USD","Period=FY","BEST_FPERIOD_OVERRIDE=FY","FILING_STATUS=MR","Sort=A","Dates=H","DateFormat=P","Fill=—","Direction=H","UseDPDF=Y")</f>
        <v>#NAME?</v>
      </c>
      <c r="L40" s="13" t="e">
        <f ca="1">_xll.BDH("ANSS US Equity","CO2_SCOPE_1","FY 2018","FY 2018","Currency=USD","Period=FY","BEST_FPERIOD_OVERRIDE=FY","FILING_STATUS=MR","Sort=A","Dates=H","DateFormat=P","Fill=—","Direction=H","UseDPDF=Y")</f>
        <v>#NAME?</v>
      </c>
      <c r="M40" s="13" t="e">
        <f ca="1">_xll.BDH("ANSS US Equity","CO2_SCOPE_1","FY 2019","FY 2019","Currency=USD","Period=FY","BEST_FPERIOD_OVERRIDE=FY","FILING_STATUS=MR","Sort=A","Dates=H","DateFormat=P","Fill=—","Direction=H","UseDPDF=Y")</f>
        <v>#NAME?</v>
      </c>
      <c r="N40" s="13" t="e">
        <f ca="1">_xll.BDH("ANSS US Equity","CO2_SCOPE_1","FY 2020","FY 2020","Currency=USD","Period=FY","BEST_FPERIOD_OVERRIDE=FY","FILING_STATUS=MR","Sort=A","Dates=H","DateFormat=P","Fill=—","Direction=H","UseDPDF=Y")</f>
        <v>#NAME?</v>
      </c>
      <c r="O40" s="13" t="e">
        <f ca="1">_xll.BDH("ANSS US Equity","CO2_SCOPE_1","FY 2021","FY 2021","Currency=USD","Period=FY","BEST_FPERIOD_OVERRIDE=FY","FILING_STATUS=MR","Sort=A","Dates=H","DateFormat=P","Fill=—","Direction=H","UseDPDF=Y")</f>
        <v>#NAME?</v>
      </c>
      <c r="P40" s="13" t="e">
        <f ca="1">_xll.BDH("ANSS US Equity","CO2_SCOPE_1","FY 2022","FY 2022","Currency=USD","Period=FY","BEST_FPERIOD_OVERRIDE=FY","FILING_STATUS=MR","Sort=A","Dates=H","DateFormat=P","Fill=—","Direction=H","UseDPDF=Y")</f>
        <v>#NAME?</v>
      </c>
      <c r="Q40" s="13" t="e">
        <f ca="1">_xll.BDH("ANSS US Equity","CO2_SCOPE_1","FY 2023","FY 2023","Currency=USD","Period=FY","BEST_FPERIOD_OVERRIDE=FY","FILING_STATUS=MR","Sort=A","Dates=H","DateFormat=P","Fill=—","Direction=H","UseDPDF=Y")</f>
        <v>#NAME?</v>
      </c>
    </row>
    <row r="41" spans="1:17" x14ac:dyDescent="0.45">
      <c r="A41" s="1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45">
      <c r="A42" s="10" t="s">
        <v>731</v>
      </c>
      <c r="B42" s="10" t="s">
        <v>732</v>
      </c>
      <c r="C42" s="13" t="e">
        <f ca="1">_xll.BDH("ANSS US Equity","METHANE_SCOPE_1","FY 2009","FY 2009","Currency=USD","Period=FY","BEST_FPERIOD_OVERRIDE=FY","FILING_STATUS=MR","Sort=A","Dates=H","DateFormat=P","Fill=—","Direction=H","UseDPDF=Y")</f>
        <v>#NAME?</v>
      </c>
      <c r="D42" s="13" t="e">
        <f ca="1">_xll.BDH("ANSS US Equity","METHANE_SCOPE_1","FY 2010","FY 2010","Currency=USD","Period=FY","BEST_FPERIOD_OVERRIDE=FY","FILING_STATUS=MR","Sort=A","Dates=H","DateFormat=P","Fill=—","Direction=H","UseDPDF=Y")</f>
        <v>#NAME?</v>
      </c>
      <c r="E42" s="13" t="e">
        <f ca="1">_xll.BDH("ANSS US Equity","METHANE_SCOPE_1","FY 2011","FY 2011","Currency=USD","Period=FY","BEST_FPERIOD_OVERRIDE=FY","FILING_STATUS=MR","Sort=A","Dates=H","DateFormat=P","Fill=—","Direction=H","UseDPDF=Y")</f>
        <v>#NAME?</v>
      </c>
      <c r="F42" s="13" t="e">
        <f ca="1">_xll.BDH("ANSS US Equity","METHANE_SCOPE_1","FY 2012","FY 2012","Currency=USD","Period=FY","BEST_FPERIOD_OVERRIDE=FY","FILING_STATUS=MR","Sort=A","Dates=H","DateFormat=P","Fill=—","Direction=H","UseDPDF=Y")</f>
        <v>#NAME?</v>
      </c>
      <c r="G42" s="13" t="e">
        <f ca="1">_xll.BDH("ANSS US Equity","METHANE_SCOPE_1","FY 2013","FY 2013","Currency=USD","Period=FY","BEST_FPERIOD_OVERRIDE=FY","FILING_STATUS=MR","Sort=A","Dates=H","DateFormat=P","Fill=—","Direction=H","UseDPDF=Y")</f>
        <v>#NAME?</v>
      </c>
      <c r="H42" s="13" t="e">
        <f ca="1">_xll.BDH("ANSS US Equity","METHANE_SCOPE_1","FY 2014","FY 2014","Currency=USD","Period=FY","BEST_FPERIOD_OVERRIDE=FY","FILING_STATUS=MR","Sort=A","Dates=H","DateFormat=P","Fill=—","Direction=H","UseDPDF=Y")</f>
        <v>#NAME?</v>
      </c>
      <c r="I42" s="13" t="e">
        <f ca="1">_xll.BDH("ANSS US Equity","METHANE_SCOPE_1","FY 2015","FY 2015","Currency=USD","Period=FY","BEST_FPERIOD_OVERRIDE=FY","FILING_STATUS=MR","Sort=A","Dates=H","DateFormat=P","Fill=—","Direction=H","UseDPDF=Y")</f>
        <v>#NAME?</v>
      </c>
      <c r="J42" s="13" t="e">
        <f ca="1">_xll.BDH("ANSS US Equity","METHANE_SCOPE_1","FY 2016","FY 2016","Currency=USD","Period=FY","BEST_FPERIOD_OVERRIDE=FY","FILING_STATUS=MR","Sort=A","Dates=H","DateFormat=P","Fill=—","Direction=H","UseDPDF=Y")</f>
        <v>#NAME?</v>
      </c>
      <c r="K42" s="13" t="e">
        <f ca="1">_xll.BDH("ANSS US Equity","METHANE_SCOPE_1","FY 2017","FY 2017","Currency=USD","Period=FY","BEST_FPERIOD_OVERRIDE=FY","FILING_STATUS=MR","Sort=A","Dates=H","DateFormat=P","Fill=—","Direction=H","UseDPDF=Y")</f>
        <v>#NAME?</v>
      </c>
      <c r="L42" s="13" t="e">
        <f ca="1">_xll.BDH("ANSS US Equity","METHANE_SCOPE_1","FY 2018","FY 2018","Currency=USD","Period=FY","BEST_FPERIOD_OVERRIDE=FY","FILING_STATUS=MR","Sort=A","Dates=H","DateFormat=P","Fill=—","Direction=H","UseDPDF=Y")</f>
        <v>#NAME?</v>
      </c>
      <c r="M42" s="13" t="e">
        <f ca="1">_xll.BDH("ANSS US Equity","METHANE_SCOPE_1","FY 2019","FY 2019","Currency=USD","Period=FY","BEST_FPERIOD_OVERRIDE=FY","FILING_STATUS=MR","Sort=A","Dates=H","DateFormat=P","Fill=—","Direction=H","UseDPDF=Y")</f>
        <v>#NAME?</v>
      </c>
      <c r="N42" s="13" t="e">
        <f ca="1">_xll.BDH("ANSS US Equity","METHANE_SCOPE_1","FY 2020","FY 2020","Currency=USD","Period=FY","BEST_FPERIOD_OVERRIDE=FY","FILING_STATUS=MR","Sort=A","Dates=H","DateFormat=P","Fill=—","Direction=H","UseDPDF=Y")</f>
        <v>#NAME?</v>
      </c>
      <c r="O42" s="13" t="e">
        <f ca="1">_xll.BDH("ANSS US Equity","METHANE_SCOPE_1","FY 2021","FY 2021","Currency=USD","Period=FY","BEST_FPERIOD_OVERRIDE=FY","FILING_STATUS=MR","Sort=A","Dates=H","DateFormat=P","Fill=—","Direction=H","UseDPDF=Y")</f>
        <v>#NAME?</v>
      </c>
      <c r="P42" s="13" t="e">
        <f ca="1">_xll.BDH("ANSS US Equity","METHANE_SCOPE_1","FY 2022","FY 2022","Currency=USD","Period=FY","BEST_FPERIOD_OVERRIDE=FY","FILING_STATUS=MR","Sort=A","Dates=H","DateFormat=P","Fill=—","Direction=H","UseDPDF=Y")</f>
        <v>#NAME?</v>
      </c>
      <c r="Q42" s="13" t="e">
        <f ca="1">_xll.BDH("ANSS US Equity","METHANE_SCOPE_1","FY 2023","FY 2023","Currency=USD","Period=FY","BEST_FPERIOD_OVERRIDE=FY","FILING_STATUS=MR","Sort=A","Dates=H","DateFormat=P","Fill=—","Direction=H","UseDPDF=Y")</f>
        <v>#NAME?</v>
      </c>
    </row>
    <row r="43" spans="1:17" x14ac:dyDescent="0.45">
      <c r="A43" s="10" t="s">
        <v>733</v>
      </c>
      <c r="B43" s="10" t="s">
        <v>734</v>
      </c>
      <c r="C43" s="13" t="e">
        <f ca="1">_xll.BDH("ANSS US Equity","N20_SCOPE_1","FY 2009","FY 2009","Currency=USD","Period=FY","BEST_FPERIOD_OVERRIDE=FY","FILING_STATUS=MR","Sort=A","Dates=H","DateFormat=P","Fill=—","Direction=H","UseDPDF=Y")</f>
        <v>#NAME?</v>
      </c>
      <c r="D43" s="13" t="e">
        <f ca="1">_xll.BDH("ANSS US Equity","N20_SCOPE_1","FY 2010","FY 2010","Currency=USD","Period=FY","BEST_FPERIOD_OVERRIDE=FY","FILING_STATUS=MR","Sort=A","Dates=H","DateFormat=P","Fill=—","Direction=H","UseDPDF=Y")</f>
        <v>#NAME?</v>
      </c>
      <c r="E43" s="13" t="e">
        <f ca="1">_xll.BDH("ANSS US Equity","N20_SCOPE_1","FY 2011","FY 2011","Currency=USD","Period=FY","BEST_FPERIOD_OVERRIDE=FY","FILING_STATUS=MR","Sort=A","Dates=H","DateFormat=P","Fill=—","Direction=H","UseDPDF=Y")</f>
        <v>#NAME?</v>
      </c>
      <c r="F43" s="13" t="e">
        <f ca="1">_xll.BDH("ANSS US Equity","N20_SCOPE_1","FY 2012","FY 2012","Currency=USD","Period=FY","BEST_FPERIOD_OVERRIDE=FY","FILING_STATUS=MR","Sort=A","Dates=H","DateFormat=P","Fill=—","Direction=H","UseDPDF=Y")</f>
        <v>#NAME?</v>
      </c>
      <c r="G43" s="13" t="e">
        <f ca="1">_xll.BDH("ANSS US Equity","N20_SCOPE_1","FY 2013","FY 2013","Currency=USD","Period=FY","BEST_FPERIOD_OVERRIDE=FY","FILING_STATUS=MR","Sort=A","Dates=H","DateFormat=P","Fill=—","Direction=H","UseDPDF=Y")</f>
        <v>#NAME?</v>
      </c>
      <c r="H43" s="13" t="e">
        <f ca="1">_xll.BDH("ANSS US Equity","N20_SCOPE_1","FY 2014","FY 2014","Currency=USD","Period=FY","BEST_FPERIOD_OVERRIDE=FY","FILING_STATUS=MR","Sort=A","Dates=H","DateFormat=P","Fill=—","Direction=H","UseDPDF=Y")</f>
        <v>#NAME?</v>
      </c>
      <c r="I43" s="13" t="e">
        <f ca="1">_xll.BDH("ANSS US Equity","N20_SCOPE_1","FY 2015","FY 2015","Currency=USD","Period=FY","BEST_FPERIOD_OVERRIDE=FY","FILING_STATUS=MR","Sort=A","Dates=H","DateFormat=P","Fill=—","Direction=H","UseDPDF=Y")</f>
        <v>#NAME?</v>
      </c>
      <c r="J43" s="13" t="e">
        <f ca="1">_xll.BDH("ANSS US Equity","N20_SCOPE_1","FY 2016","FY 2016","Currency=USD","Period=FY","BEST_FPERIOD_OVERRIDE=FY","FILING_STATUS=MR","Sort=A","Dates=H","DateFormat=P","Fill=—","Direction=H","UseDPDF=Y")</f>
        <v>#NAME?</v>
      </c>
      <c r="K43" s="13" t="e">
        <f ca="1">_xll.BDH("ANSS US Equity","N20_SCOPE_1","FY 2017","FY 2017","Currency=USD","Period=FY","BEST_FPERIOD_OVERRIDE=FY","FILING_STATUS=MR","Sort=A","Dates=H","DateFormat=P","Fill=—","Direction=H","UseDPDF=Y")</f>
        <v>#NAME?</v>
      </c>
      <c r="L43" s="13" t="e">
        <f ca="1">_xll.BDH("ANSS US Equity","N20_SCOPE_1","FY 2018","FY 2018","Currency=USD","Period=FY","BEST_FPERIOD_OVERRIDE=FY","FILING_STATUS=MR","Sort=A","Dates=H","DateFormat=P","Fill=—","Direction=H","UseDPDF=Y")</f>
        <v>#NAME?</v>
      </c>
      <c r="M43" s="13" t="e">
        <f ca="1">_xll.BDH("ANSS US Equity","N20_SCOPE_1","FY 2019","FY 2019","Currency=USD","Period=FY","BEST_FPERIOD_OVERRIDE=FY","FILING_STATUS=MR","Sort=A","Dates=H","DateFormat=P","Fill=—","Direction=H","UseDPDF=Y")</f>
        <v>#NAME?</v>
      </c>
      <c r="N43" s="13" t="e">
        <f ca="1">_xll.BDH("ANSS US Equity","N20_SCOPE_1","FY 2020","FY 2020","Currency=USD","Period=FY","BEST_FPERIOD_OVERRIDE=FY","FILING_STATUS=MR","Sort=A","Dates=H","DateFormat=P","Fill=—","Direction=H","UseDPDF=Y")</f>
        <v>#NAME?</v>
      </c>
      <c r="O43" s="13" t="e">
        <f ca="1">_xll.BDH("ANSS US Equity","N20_SCOPE_1","FY 2021","FY 2021","Currency=USD","Period=FY","BEST_FPERIOD_OVERRIDE=FY","FILING_STATUS=MR","Sort=A","Dates=H","DateFormat=P","Fill=—","Direction=H","UseDPDF=Y")</f>
        <v>#NAME?</v>
      </c>
      <c r="P43" s="13" t="e">
        <f ca="1">_xll.BDH("ANSS US Equity","N20_SCOPE_1","FY 2022","FY 2022","Currency=USD","Period=FY","BEST_FPERIOD_OVERRIDE=FY","FILING_STATUS=MR","Sort=A","Dates=H","DateFormat=P","Fill=—","Direction=H","UseDPDF=Y")</f>
        <v>#NAME?</v>
      </c>
      <c r="Q43" s="13" t="e">
        <f ca="1">_xll.BDH("ANSS US Equity","N20_SCOPE_1","FY 2023","FY 2023","Currency=USD","Period=FY","BEST_FPERIOD_OVERRIDE=FY","FILING_STATUS=MR","Sort=A","Dates=H","DateFormat=P","Fill=—","Direction=H","UseDPDF=Y")</f>
        <v>#NAME?</v>
      </c>
    </row>
    <row r="44" spans="1:17" x14ac:dyDescent="0.45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45">
      <c r="A45" s="10" t="s">
        <v>735</v>
      </c>
      <c r="B45" s="10" t="s">
        <v>736</v>
      </c>
      <c r="C45" s="13" t="e">
        <f ca="1">_xll.BDH("ANSS US Equity","METHANE_SCOPE_1_IN_CO2_EQUIV","FY 2009","FY 2009","Currency=USD","Period=FY","BEST_FPERIOD_OVERRIDE=FY","FILING_STATUS=MR","Sort=A","Dates=H","DateFormat=P","Fill=—","Direction=H","UseDPDF=Y")</f>
        <v>#NAME?</v>
      </c>
      <c r="D45" s="13" t="e">
        <f ca="1">_xll.BDH("ANSS US Equity","METHANE_SCOPE_1_IN_CO2_EQUIV","FY 2010","FY 2010","Currency=USD","Period=FY","BEST_FPERIOD_OVERRIDE=FY","FILING_STATUS=MR","Sort=A","Dates=H","DateFormat=P","Fill=—","Direction=H","UseDPDF=Y")</f>
        <v>#NAME?</v>
      </c>
      <c r="E45" s="13" t="e">
        <f ca="1">_xll.BDH("ANSS US Equity","METHANE_SCOPE_1_IN_CO2_EQUIV","FY 2011","FY 2011","Currency=USD","Period=FY","BEST_FPERIOD_OVERRIDE=FY","FILING_STATUS=MR","Sort=A","Dates=H","DateFormat=P","Fill=—","Direction=H","UseDPDF=Y")</f>
        <v>#NAME?</v>
      </c>
      <c r="F45" s="13" t="e">
        <f ca="1">_xll.BDH("ANSS US Equity","METHANE_SCOPE_1_IN_CO2_EQUIV","FY 2012","FY 2012","Currency=USD","Period=FY","BEST_FPERIOD_OVERRIDE=FY","FILING_STATUS=MR","Sort=A","Dates=H","DateFormat=P","Fill=—","Direction=H","UseDPDF=Y")</f>
        <v>#NAME?</v>
      </c>
      <c r="G45" s="13" t="e">
        <f ca="1">_xll.BDH("ANSS US Equity","METHANE_SCOPE_1_IN_CO2_EQUIV","FY 2013","FY 2013","Currency=USD","Period=FY","BEST_FPERIOD_OVERRIDE=FY","FILING_STATUS=MR","Sort=A","Dates=H","DateFormat=P","Fill=—","Direction=H","UseDPDF=Y")</f>
        <v>#NAME?</v>
      </c>
      <c r="H45" s="13" t="e">
        <f ca="1">_xll.BDH("ANSS US Equity","METHANE_SCOPE_1_IN_CO2_EQUIV","FY 2014","FY 2014","Currency=USD","Period=FY","BEST_FPERIOD_OVERRIDE=FY","FILING_STATUS=MR","Sort=A","Dates=H","DateFormat=P","Fill=—","Direction=H","UseDPDF=Y")</f>
        <v>#NAME?</v>
      </c>
      <c r="I45" s="13" t="e">
        <f ca="1">_xll.BDH("ANSS US Equity","METHANE_SCOPE_1_IN_CO2_EQUIV","FY 2015","FY 2015","Currency=USD","Period=FY","BEST_FPERIOD_OVERRIDE=FY","FILING_STATUS=MR","Sort=A","Dates=H","DateFormat=P","Fill=—","Direction=H","UseDPDF=Y")</f>
        <v>#NAME?</v>
      </c>
      <c r="J45" s="13" t="e">
        <f ca="1">_xll.BDH("ANSS US Equity","METHANE_SCOPE_1_IN_CO2_EQUIV","FY 2016","FY 2016","Currency=USD","Period=FY","BEST_FPERIOD_OVERRIDE=FY","FILING_STATUS=MR","Sort=A","Dates=H","DateFormat=P","Fill=—","Direction=H","UseDPDF=Y")</f>
        <v>#NAME?</v>
      </c>
      <c r="K45" s="13" t="e">
        <f ca="1">_xll.BDH("ANSS US Equity","METHANE_SCOPE_1_IN_CO2_EQUIV","FY 2017","FY 2017","Currency=USD","Period=FY","BEST_FPERIOD_OVERRIDE=FY","FILING_STATUS=MR","Sort=A","Dates=H","DateFormat=P","Fill=—","Direction=H","UseDPDF=Y")</f>
        <v>#NAME?</v>
      </c>
      <c r="L45" s="13" t="e">
        <f ca="1">_xll.BDH("ANSS US Equity","METHANE_SCOPE_1_IN_CO2_EQUIV","FY 2018","FY 2018","Currency=USD","Period=FY","BEST_FPERIOD_OVERRIDE=FY","FILING_STATUS=MR","Sort=A","Dates=H","DateFormat=P","Fill=—","Direction=H","UseDPDF=Y")</f>
        <v>#NAME?</v>
      </c>
      <c r="M45" s="13" t="e">
        <f ca="1">_xll.BDH("ANSS US Equity","METHANE_SCOPE_1_IN_CO2_EQUIV","FY 2019","FY 2019","Currency=USD","Period=FY","BEST_FPERIOD_OVERRIDE=FY","FILING_STATUS=MR","Sort=A","Dates=H","DateFormat=P","Fill=—","Direction=H","UseDPDF=Y")</f>
        <v>#NAME?</v>
      </c>
      <c r="N45" s="13" t="e">
        <f ca="1">_xll.BDH("ANSS US Equity","METHANE_SCOPE_1_IN_CO2_EQUIV","FY 2020","FY 2020","Currency=USD","Period=FY","BEST_FPERIOD_OVERRIDE=FY","FILING_STATUS=MR","Sort=A","Dates=H","DateFormat=P","Fill=—","Direction=H","UseDPDF=Y")</f>
        <v>#NAME?</v>
      </c>
      <c r="O45" s="13" t="e">
        <f ca="1">_xll.BDH("ANSS US Equity","METHANE_SCOPE_1_IN_CO2_EQUIV","FY 2021","FY 2021","Currency=USD","Period=FY","BEST_FPERIOD_OVERRIDE=FY","FILING_STATUS=MR","Sort=A","Dates=H","DateFormat=P","Fill=—","Direction=H","UseDPDF=Y")</f>
        <v>#NAME?</v>
      </c>
      <c r="P45" s="13" t="e">
        <f ca="1">_xll.BDH("ANSS US Equity","METHANE_SCOPE_1_IN_CO2_EQUIV","FY 2022","FY 2022","Currency=USD","Period=FY","BEST_FPERIOD_OVERRIDE=FY","FILING_STATUS=MR","Sort=A","Dates=H","DateFormat=P","Fill=—","Direction=H","UseDPDF=Y")</f>
        <v>#NAME?</v>
      </c>
      <c r="Q45" s="13" t="e">
        <f ca="1">_xll.BDH("ANSS US Equity","METHANE_SCOPE_1_IN_CO2_EQUIV","FY 2023","FY 2023","Currency=USD","Period=FY","BEST_FPERIOD_OVERRIDE=FY","FILING_STATUS=MR","Sort=A","Dates=H","DateFormat=P","Fill=—","Direction=H","UseDPDF=Y")</f>
        <v>#NAME?</v>
      </c>
    </row>
    <row r="46" spans="1:17" x14ac:dyDescent="0.45">
      <c r="A46" s="10" t="s">
        <v>737</v>
      </c>
      <c r="B46" s="10" t="s">
        <v>738</v>
      </c>
      <c r="C46" s="13" t="e">
        <f ca="1">_xll.BDH("ANSS US Equity","N2O_SCOPE_1_IN_CO2_EQUIV","FY 2009","FY 2009","Currency=USD","Period=FY","BEST_FPERIOD_OVERRIDE=FY","FILING_STATUS=MR","Sort=A","Dates=H","DateFormat=P","Fill=—","Direction=H","UseDPDF=Y")</f>
        <v>#NAME?</v>
      </c>
      <c r="D46" s="13" t="e">
        <f ca="1">_xll.BDH("ANSS US Equity","N2O_SCOPE_1_IN_CO2_EQUIV","FY 2010","FY 2010","Currency=USD","Period=FY","BEST_FPERIOD_OVERRIDE=FY","FILING_STATUS=MR","Sort=A","Dates=H","DateFormat=P","Fill=—","Direction=H","UseDPDF=Y")</f>
        <v>#NAME?</v>
      </c>
      <c r="E46" s="13" t="e">
        <f ca="1">_xll.BDH("ANSS US Equity","N2O_SCOPE_1_IN_CO2_EQUIV","FY 2011","FY 2011","Currency=USD","Period=FY","BEST_FPERIOD_OVERRIDE=FY","FILING_STATUS=MR","Sort=A","Dates=H","DateFormat=P","Fill=—","Direction=H","UseDPDF=Y")</f>
        <v>#NAME?</v>
      </c>
      <c r="F46" s="13" t="e">
        <f ca="1">_xll.BDH("ANSS US Equity","N2O_SCOPE_1_IN_CO2_EQUIV","FY 2012","FY 2012","Currency=USD","Period=FY","BEST_FPERIOD_OVERRIDE=FY","FILING_STATUS=MR","Sort=A","Dates=H","DateFormat=P","Fill=—","Direction=H","UseDPDF=Y")</f>
        <v>#NAME?</v>
      </c>
      <c r="G46" s="13" t="e">
        <f ca="1">_xll.BDH("ANSS US Equity","N2O_SCOPE_1_IN_CO2_EQUIV","FY 2013","FY 2013","Currency=USD","Period=FY","BEST_FPERIOD_OVERRIDE=FY","FILING_STATUS=MR","Sort=A","Dates=H","DateFormat=P","Fill=—","Direction=H","UseDPDF=Y")</f>
        <v>#NAME?</v>
      </c>
      <c r="H46" s="13" t="e">
        <f ca="1">_xll.BDH("ANSS US Equity","N2O_SCOPE_1_IN_CO2_EQUIV","FY 2014","FY 2014","Currency=USD","Period=FY","BEST_FPERIOD_OVERRIDE=FY","FILING_STATUS=MR","Sort=A","Dates=H","DateFormat=P","Fill=—","Direction=H","UseDPDF=Y")</f>
        <v>#NAME?</v>
      </c>
      <c r="I46" s="13" t="e">
        <f ca="1">_xll.BDH("ANSS US Equity","N2O_SCOPE_1_IN_CO2_EQUIV","FY 2015","FY 2015","Currency=USD","Period=FY","BEST_FPERIOD_OVERRIDE=FY","FILING_STATUS=MR","Sort=A","Dates=H","DateFormat=P","Fill=—","Direction=H","UseDPDF=Y")</f>
        <v>#NAME?</v>
      </c>
      <c r="J46" s="13" t="e">
        <f ca="1">_xll.BDH("ANSS US Equity","N2O_SCOPE_1_IN_CO2_EQUIV","FY 2016","FY 2016","Currency=USD","Period=FY","BEST_FPERIOD_OVERRIDE=FY","FILING_STATUS=MR","Sort=A","Dates=H","DateFormat=P","Fill=—","Direction=H","UseDPDF=Y")</f>
        <v>#NAME?</v>
      </c>
      <c r="K46" s="13" t="e">
        <f ca="1">_xll.BDH("ANSS US Equity","N2O_SCOPE_1_IN_CO2_EQUIV","FY 2017","FY 2017","Currency=USD","Period=FY","BEST_FPERIOD_OVERRIDE=FY","FILING_STATUS=MR","Sort=A","Dates=H","DateFormat=P","Fill=—","Direction=H","UseDPDF=Y")</f>
        <v>#NAME?</v>
      </c>
      <c r="L46" s="13" t="e">
        <f ca="1">_xll.BDH("ANSS US Equity","N2O_SCOPE_1_IN_CO2_EQUIV","FY 2018","FY 2018","Currency=USD","Period=FY","BEST_FPERIOD_OVERRIDE=FY","FILING_STATUS=MR","Sort=A","Dates=H","DateFormat=P","Fill=—","Direction=H","UseDPDF=Y")</f>
        <v>#NAME?</v>
      </c>
      <c r="M46" s="13" t="e">
        <f ca="1">_xll.BDH("ANSS US Equity","N2O_SCOPE_1_IN_CO2_EQUIV","FY 2019","FY 2019","Currency=USD","Period=FY","BEST_FPERIOD_OVERRIDE=FY","FILING_STATUS=MR","Sort=A","Dates=H","DateFormat=P","Fill=—","Direction=H","UseDPDF=Y")</f>
        <v>#NAME?</v>
      </c>
      <c r="N46" s="13" t="e">
        <f ca="1">_xll.BDH("ANSS US Equity","N2O_SCOPE_1_IN_CO2_EQUIV","FY 2020","FY 2020","Currency=USD","Period=FY","BEST_FPERIOD_OVERRIDE=FY","FILING_STATUS=MR","Sort=A","Dates=H","DateFormat=P","Fill=—","Direction=H","UseDPDF=Y")</f>
        <v>#NAME?</v>
      </c>
      <c r="O46" s="13" t="e">
        <f ca="1">_xll.BDH("ANSS US Equity","N2O_SCOPE_1_IN_CO2_EQUIV","FY 2021","FY 2021","Currency=USD","Period=FY","BEST_FPERIOD_OVERRIDE=FY","FILING_STATUS=MR","Sort=A","Dates=H","DateFormat=P","Fill=—","Direction=H","UseDPDF=Y")</f>
        <v>#NAME?</v>
      </c>
      <c r="P46" s="13" t="e">
        <f ca="1">_xll.BDH("ANSS US Equity","N2O_SCOPE_1_IN_CO2_EQUIV","FY 2022","FY 2022","Currency=USD","Period=FY","BEST_FPERIOD_OVERRIDE=FY","FILING_STATUS=MR","Sort=A","Dates=H","DateFormat=P","Fill=—","Direction=H","UseDPDF=Y")</f>
        <v>#NAME?</v>
      </c>
      <c r="Q46" s="13" t="e">
        <f ca="1">_xll.BDH("ANSS US Equity","N2O_SCOPE_1_IN_CO2_EQUIV","FY 2023","FY 2023","Currency=USD","Period=FY","BEST_FPERIOD_OVERRIDE=FY","FILING_STATUS=MR","Sort=A","Dates=H","DateFormat=P","Fill=—","Direction=H","UseDPDF=Y")</f>
        <v>#NAME?</v>
      </c>
    </row>
    <row r="47" spans="1:17" x14ac:dyDescent="0.45">
      <c r="A47" s="10" t="s">
        <v>739</v>
      </c>
      <c r="B47" s="10" t="s">
        <v>740</v>
      </c>
      <c r="C47" s="13" t="e">
        <f ca="1">_xll.BDH("ANSS US Equity","HFC_SCOPE_1_IN_CO2_EQUIV","FY 2009","FY 2009","Currency=USD","Period=FY","BEST_FPERIOD_OVERRIDE=FY","FILING_STATUS=MR","Sort=A","Dates=H","DateFormat=P","Fill=—","Direction=H","UseDPDF=Y")</f>
        <v>#NAME?</v>
      </c>
      <c r="D47" s="13" t="e">
        <f ca="1">_xll.BDH("ANSS US Equity","HFC_SCOPE_1_IN_CO2_EQUIV","FY 2010","FY 2010","Currency=USD","Period=FY","BEST_FPERIOD_OVERRIDE=FY","FILING_STATUS=MR","Sort=A","Dates=H","DateFormat=P","Fill=—","Direction=H","UseDPDF=Y")</f>
        <v>#NAME?</v>
      </c>
      <c r="E47" s="13" t="e">
        <f ca="1">_xll.BDH("ANSS US Equity","HFC_SCOPE_1_IN_CO2_EQUIV","FY 2011","FY 2011","Currency=USD","Period=FY","BEST_FPERIOD_OVERRIDE=FY","FILING_STATUS=MR","Sort=A","Dates=H","DateFormat=P","Fill=—","Direction=H","UseDPDF=Y")</f>
        <v>#NAME?</v>
      </c>
      <c r="F47" s="13" t="e">
        <f ca="1">_xll.BDH("ANSS US Equity","HFC_SCOPE_1_IN_CO2_EQUIV","FY 2012","FY 2012","Currency=USD","Period=FY","BEST_FPERIOD_OVERRIDE=FY","FILING_STATUS=MR","Sort=A","Dates=H","DateFormat=P","Fill=—","Direction=H","UseDPDF=Y")</f>
        <v>#NAME?</v>
      </c>
      <c r="G47" s="13" t="e">
        <f ca="1">_xll.BDH("ANSS US Equity","HFC_SCOPE_1_IN_CO2_EQUIV","FY 2013","FY 2013","Currency=USD","Period=FY","BEST_FPERIOD_OVERRIDE=FY","FILING_STATUS=MR","Sort=A","Dates=H","DateFormat=P","Fill=—","Direction=H","UseDPDF=Y")</f>
        <v>#NAME?</v>
      </c>
      <c r="H47" s="13" t="e">
        <f ca="1">_xll.BDH("ANSS US Equity","HFC_SCOPE_1_IN_CO2_EQUIV","FY 2014","FY 2014","Currency=USD","Period=FY","BEST_FPERIOD_OVERRIDE=FY","FILING_STATUS=MR","Sort=A","Dates=H","DateFormat=P","Fill=—","Direction=H","UseDPDF=Y")</f>
        <v>#NAME?</v>
      </c>
      <c r="I47" s="13" t="e">
        <f ca="1">_xll.BDH("ANSS US Equity","HFC_SCOPE_1_IN_CO2_EQUIV","FY 2015","FY 2015","Currency=USD","Period=FY","BEST_FPERIOD_OVERRIDE=FY","FILING_STATUS=MR","Sort=A","Dates=H","DateFormat=P","Fill=—","Direction=H","UseDPDF=Y")</f>
        <v>#NAME?</v>
      </c>
      <c r="J47" s="13" t="e">
        <f ca="1">_xll.BDH("ANSS US Equity","HFC_SCOPE_1_IN_CO2_EQUIV","FY 2016","FY 2016","Currency=USD","Period=FY","BEST_FPERIOD_OVERRIDE=FY","FILING_STATUS=MR","Sort=A","Dates=H","DateFormat=P","Fill=—","Direction=H","UseDPDF=Y")</f>
        <v>#NAME?</v>
      </c>
      <c r="K47" s="13" t="e">
        <f ca="1">_xll.BDH("ANSS US Equity","HFC_SCOPE_1_IN_CO2_EQUIV","FY 2017","FY 2017","Currency=USD","Period=FY","BEST_FPERIOD_OVERRIDE=FY","FILING_STATUS=MR","Sort=A","Dates=H","DateFormat=P","Fill=—","Direction=H","UseDPDF=Y")</f>
        <v>#NAME?</v>
      </c>
      <c r="L47" s="13" t="e">
        <f ca="1">_xll.BDH("ANSS US Equity","HFC_SCOPE_1_IN_CO2_EQUIV","FY 2018","FY 2018","Currency=USD","Period=FY","BEST_FPERIOD_OVERRIDE=FY","FILING_STATUS=MR","Sort=A","Dates=H","DateFormat=P","Fill=—","Direction=H","UseDPDF=Y")</f>
        <v>#NAME?</v>
      </c>
      <c r="M47" s="13" t="e">
        <f ca="1">_xll.BDH("ANSS US Equity","HFC_SCOPE_1_IN_CO2_EQUIV","FY 2019","FY 2019","Currency=USD","Period=FY","BEST_FPERIOD_OVERRIDE=FY","FILING_STATUS=MR","Sort=A","Dates=H","DateFormat=P","Fill=—","Direction=H","UseDPDF=Y")</f>
        <v>#NAME?</v>
      </c>
      <c r="N47" s="13" t="e">
        <f ca="1">_xll.BDH("ANSS US Equity","HFC_SCOPE_1_IN_CO2_EQUIV","FY 2020","FY 2020","Currency=USD","Period=FY","BEST_FPERIOD_OVERRIDE=FY","FILING_STATUS=MR","Sort=A","Dates=H","DateFormat=P","Fill=—","Direction=H","UseDPDF=Y")</f>
        <v>#NAME?</v>
      </c>
      <c r="O47" s="13" t="e">
        <f ca="1">_xll.BDH("ANSS US Equity","HFC_SCOPE_1_IN_CO2_EQUIV","FY 2021","FY 2021","Currency=USD","Period=FY","BEST_FPERIOD_OVERRIDE=FY","FILING_STATUS=MR","Sort=A","Dates=H","DateFormat=P","Fill=—","Direction=H","UseDPDF=Y")</f>
        <v>#NAME?</v>
      </c>
      <c r="P47" s="13" t="e">
        <f ca="1">_xll.BDH("ANSS US Equity","HFC_SCOPE_1_IN_CO2_EQUIV","FY 2022","FY 2022","Currency=USD","Period=FY","BEST_FPERIOD_OVERRIDE=FY","FILING_STATUS=MR","Sort=A","Dates=H","DateFormat=P","Fill=—","Direction=H","UseDPDF=Y")</f>
        <v>#NAME?</v>
      </c>
      <c r="Q47" s="13" t="e">
        <f ca="1">_xll.BDH("ANSS US Equity","HFC_SCOPE_1_IN_CO2_EQUIV","FY 2023","FY 2023","Currency=USD","Period=FY","BEST_FPERIOD_OVERRIDE=FY","FILING_STATUS=MR","Sort=A","Dates=H","DateFormat=P","Fill=—","Direction=H","UseDPDF=Y")</f>
        <v>#NAME?</v>
      </c>
    </row>
    <row r="48" spans="1:17" x14ac:dyDescent="0.45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4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x14ac:dyDescent="0.45">
      <c r="A50" s="10" t="s">
        <v>514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45">
      <c r="A51" s="6" t="s">
        <v>741</v>
      </c>
      <c r="B51" s="6" t="s">
        <v>742</v>
      </c>
      <c r="C51" s="19" t="e">
        <f ca="1">_xll.BDH("ANSS US Equity","ENERGY_CONSUMPTION","FY 2009","FY 2009","Currency=USD","Period=FY","BEST_FPERIOD_OVERRIDE=FY","FILING_STATUS=MR","Sort=A","Dates=H","DateFormat=P","Fill=—","Direction=H","UseDPDF=Y")</f>
        <v>#NAME?</v>
      </c>
      <c r="D51" s="19" t="e">
        <f ca="1">_xll.BDH("ANSS US Equity","ENERGY_CONSUMPTION","FY 2010","FY 2010","Currency=USD","Period=FY","BEST_FPERIOD_OVERRIDE=FY","FILING_STATUS=MR","Sort=A","Dates=H","DateFormat=P","Fill=—","Direction=H","UseDPDF=Y")</f>
        <v>#NAME?</v>
      </c>
      <c r="E51" s="19" t="e">
        <f ca="1">_xll.BDH("ANSS US Equity","ENERGY_CONSUMPTION","FY 2011","FY 2011","Currency=USD","Period=FY","BEST_FPERIOD_OVERRIDE=FY","FILING_STATUS=MR","Sort=A","Dates=H","DateFormat=P","Fill=—","Direction=H","UseDPDF=Y")</f>
        <v>#NAME?</v>
      </c>
      <c r="F51" s="19" t="e">
        <f ca="1">_xll.BDH("ANSS US Equity","ENERGY_CONSUMPTION","FY 2012","FY 2012","Currency=USD","Period=FY","BEST_FPERIOD_OVERRIDE=FY","FILING_STATUS=MR","Sort=A","Dates=H","DateFormat=P","Fill=—","Direction=H","UseDPDF=Y")</f>
        <v>#NAME?</v>
      </c>
      <c r="G51" s="19" t="e">
        <f ca="1">_xll.BDH("ANSS US Equity","ENERGY_CONSUMPTION","FY 2013","FY 2013","Currency=USD","Period=FY","BEST_FPERIOD_OVERRIDE=FY","FILING_STATUS=MR","Sort=A","Dates=H","DateFormat=P","Fill=—","Direction=H","UseDPDF=Y")</f>
        <v>#NAME?</v>
      </c>
      <c r="H51" s="19" t="e">
        <f ca="1">_xll.BDH("ANSS US Equity","ENERGY_CONSUMPTION","FY 2014","FY 2014","Currency=USD","Period=FY","BEST_FPERIOD_OVERRIDE=FY","FILING_STATUS=MR","Sort=A","Dates=H","DateFormat=P","Fill=—","Direction=H","UseDPDF=Y")</f>
        <v>#NAME?</v>
      </c>
      <c r="I51" s="19" t="e">
        <f ca="1">_xll.BDH("ANSS US Equity","ENERGY_CONSUMPTION","FY 2015","FY 2015","Currency=USD","Period=FY","BEST_FPERIOD_OVERRIDE=FY","FILING_STATUS=MR","Sort=A","Dates=H","DateFormat=P","Fill=—","Direction=H","UseDPDF=Y")</f>
        <v>#NAME?</v>
      </c>
      <c r="J51" s="19" t="e">
        <f ca="1">_xll.BDH("ANSS US Equity","ENERGY_CONSUMPTION","FY 2016","FY 2016","Currency=USD","Period=FY","BEST_FPERIOD_OVERRIDE=FY","FILING_STATUS=MR","Sort=A","Dates=H","DateFormat=P","Fill=—","Direction=H","UseDPDF=Y")</f>
        <v>#NAME?</v>
      </c>
      <c r="K51" s="19" t="e">
        <f ca="1">_xll.BDH("ANSS US Equity","ENERGY_CONSUMPTION","FY 2017","FY 2017","Currency=USD","Period=FY","BEST_FPERIOD_OVERRIDE=FY","FILING_STATUS=MR","Sort=A","Dates=H","DateFormat=P","Fill=—","Direction=H","UseDPDF=Y")</f>
        <v>#NAME?</v>
      </c>
      <c r="L51" s="19" t="e">
        <f ca="1">_xll.BDH("ANSS US Equity","ENERGY_CONSUMPTION","FY 2018","FY 2018","Currency=USD","Period=FY","BEST_FPERIOD_OVERRIDE=FY","FILING_STATUS=MR","Sort=A","Dates=H","DateFormat=P","Fill=—","Direction=H","UseDPDF=Y")</f>
        <v>#NAME?</v>
      </c>
      <c r="M51" s="19" t="e">
        <f ca="1">_xll.BDH("ANSS US Equity","ENERGY_CONSUMPTION","FY 2019","FY 2019","Currency=USD","Period=FY","BEST_FPERIOD_OVERRIDE=FY","FILING_STATUS=MR","Sort=A","Dates=H","DateFormat=P","Fill=—","Direction=H","UseDPDF=Y")</f>
        <v>#NAME?</v>
      </c>
      <c r="N51" s="19" t="e">
        <f ca="1">_xll.BDH("ANSS US Equity","ENERGY_CONSUMPTION","FY 2020","FY 2020","Currency=USD","Period=FY","BEST_FPERIOD_OVERRIDE=FY","FILING_STATUS=MR","Sort=A","Dates=H","DateFormat=P","Fill=—","Direction=H","UseDPDF=Y")</f>
        <v>#NAME?</v>
      </c>
      <c r="O51" s="19" t="e">
        <f ca="1">_xll.BDH("ANSS US Equity","ENERGY_CONSUMPTION","FY 2021","FY 2021","Currency=USD","Period=FY","BEST_FPERIOD_OVERRIDE=FY","FILING_STATUS=MR","Sort=A","Dates=H","DateFormat=P","Fill=—","Direction=H","UseDPDF=Y")</f>
        <v>#NAME?</v>
      </c>
      <c r="P51" s="19" t="e">
        <f ca="1">_xll.BDH("ANSS US Equity","ENERGY_CONSUMPTION","FY 2022","FY 2022","Currency=USD","Period=FY","BEST_FPERIOD_OVERRIDE=FY","FILING_STATUS=MR","Sort=A","Dates=H","DateFormat=P","Fill=—","Direction=H","UseDPDF=Y")</f>
        <v>#NAME?</v>
      </c>
      <c r="Q51" s="19" t="e">
        <f ca="1">_xll.BDH("ANSS US Equity","ENERGY_CONSUMPTION","FY 2023","FY 2023","Currency=USD","Period=FY","BEST_FPERIOD_OVERRIDE=FY","FILING_STATUS=MR","Sort=A","Dates=H","DateFormat=P","Fill=—","Direction=H","UseDPDF=Y")</f>
        <v>#NAME?</v>
      </c>
    </row>
    <row r="52" spans="1:17" x14ac:dyDescent="0.45">
      <c r="A52" s="10" t="s">
        <v>743</v>
      </c>
      <c r="B52" s="10" t="s">
        <v>744</v>
      </c>
      <c r="C52" s="13" t="e">
        <f ca="1">_xll.BDH("ANSS US Equity","ELECTRICITY_USED","FY 2009","FY 2009","Currency=USD","Period=FY","BEST_FPERIOD_OVERRIDE=FY","FILING_STATUS=MR","Sort=A","Dates=H","DateFormat=P","Fill=—","Direction=H","UseDPDF=Y")</f>
        <v>#NAME?</v>
      </c>
      <c r="D52" s="13" t="e">
        <f ca="1">_xll.BDH("ANSS US Equity","ELECTRICITY_USED","FY 2010","FY 2010","Currency=USD","Period=FY","BEST_FPERIOD_OVERRIDE=FY","FILING_STATUS=MR","Sort=A","Dates=H","DateFormat=P","Fill=—","Direction=H","UseDPDF=Y")</f>
        <v>#NAME?</v>
      </c>
      <c r="E52" s="13" t="e">
        <f ca="1">_xll.BDH("ANSS US Equity","ELECTRICITY_USED","FY 2011","FY 2011","Currency=USD","Period=FY","BEST_FPERIOD_OVERRIDE=FY","FILING_STATUS=MR","Sort=A","Dates=H","DateFormat=P","Fill=—","Direction=H","UseDPDF=Y")</f>
        <v>#NAME?</v>
      </c>
      <c r="F52" s="13" t="e">
        <f ca="1">_xll.BDH("ANSS US Equity","ELECTRICITY_USED","FY 2012","FY 2012","Currency=USD","Period=FY","BEST_FPERIOD_OVERRIDE=FY","FILING_STATUS=MR","Sort=A","Dates=H","DateFormat=P","Fill=—","Direction=H","UseDPDF=Y")</f>
        <v>#NAME?</v>
      </c>
      <c r="G52" s="13" t="e">
        <f ca="1">_xll.BDH("ANSS US Equity","ELECTRICITY_USED","FY 2013","FY 2013","Currency=USD","Period=FY","BEST_FPERIOD_OVERRIDE=FY","FILING_STATUS=MR","Sort=A","Dates=H","DateFormat=P","Fill=—","Direction=H","UseDPDF=Y")</f>
        <v>#NAME?</v>
      </c>
      <c r="H52" s="13" t="e">
        <f ca="1">_xll.BDH("ANSS US Equity","ELECTRICITY_USED","FY 2014","FY 2014","Currency=USD","Period=FY","BEST_FPERIOD_OVERRIDE=FY","FILING_STATUS=MR","Sort=A","Dates=H","DateFormat=P","Fill=—","Direction=H","UseDPDF=Y")</f>
        <v>#NAME?</v>
      </c>
      <c r="I52" s="13" t="e">
        <f ca="1">_xll.BDH("ANSS US Equity","ELECTRICITY_USED","FY 2015","FY 2015","Currency=USD","Period=FY","BEST_FPERIOD_OVERRIDE=FY","FILING_STATUS=MR","Sort=A","Dates=H","DateFormat=P","Fill=—","Direction=H","UseDPDF=Y")</f>
        <v>#NAME?</v>
      </c>
      <c r="J52" s="13" t="e">
        <f ca="1">_xll.BDH("ANSS US Equity","ELECTRICITY_USED","FY 2016","FY 2016","Currency=USD","Period=FY","BEST_FPERIOD_OVERRIDE=FY","FILING_STATUS=MR","Sort=A","Dates=H","DateFormat=P","Fill=—","Direction=H","UseDPDF=Y")</f>
        <v>#NAME?</v>
      </c>
      <c r="K52" s="13" t="e">
        <f ca="1">_xll.BDH("ANSS US Equity","ELECTRICITY_USED","FY 2017","FY 2017","Currency=USD","Period=FY","BEST_FPERIOD_OVERRIDE=FY","FILING_STATUS=MR","Sort=A","Dates=H","DateFormat=P","Fill=—","Direction=H","UseDPDF=Y")</f>
        <v>#NAME?</v>
      </c>
      <c r="L52" s="13" t="e">
        <f ca="1">_xll.BDH("ANSS US Equity","ELECTRICITY_USED","FY 2018","FY 2018","Currency=USD","Period=FY","BEST_FPERIOD_OVERRIDE=FY","FILING_STATUS=MR","Sort=A","Dates=H","DateFormat=P","Fill=—","Direction=H","UseDPDF=Y")</f>
        <v>#NAME?</v>
      </c>
      <c r="M52" s="13" t="e">
        <f ca="1">_xll.BDH("ANSS US Equity","ELECTRICITY_USED","FY 2019","FY 2019","Currency=USD","Period=FY","BEST_FPERIOD_OVERRIDE=FY","FILING_STATUS=MR","Sort=A","Dates=H","DateFormat=P","Fill=—","Direction=H","UseDPDF=Y")</f>
        <v>#NAME?</v>
      </c>
      <c r="N52" s="13" t="e">
        <f ca="1">_xll.BDH("ANSS US Equity","ELECTRICITY_USED","FY 2020","FY 2020","Currency=USD","Period=FY","BEST_FPERIOD_OVERRIDE=FY","FILING_STATUS=MR","Sort=A","Dates=H","DateFormat=P","Fill=—","Direction=H","UseDPDF=Y")</f>
        <v>#NAME?</v>
      </c>
      <c r="O52" s="13" t="e">
        <f ca="1">_xll.BDH("ANSS US Equity","ELECTRICITY_USED","FY 2021","FY 2021","Currency=USD","Period=FY","BEST_FPERIOD_OVERRIDE=FY","FILING_STATUS=MR","Sort=A","Dates=H","DateFormat=P","Fill=—","Direction=H","UseDPDF=Y")</f>
        <v>#NAME?</v>
      </c>
      <c r="P52" s="13" t="e">
        <f ca="1">_xll.BDH("ANSS US Equity","ELECTRICITY_USED","FY 2022","FY 2022","Currency=USD","Period=FY","BEST_FPERIOD_OVERRIDE=FY","FILING_STATUS=MR","Sort=A","Dates=H","DateFormat=P","Fill=—","Direction=H","UseDPDF=Y")</f>
        <v>#NAME?</v>
      </c>
      <c r="Q52" s="13" t="e">
        <f ca="1">_xll.BDH("ANSS US Equity","ELECTRICITY_USED","FY 2023","FY 2023","Currency=USD","Period=FY","BEST_FPERIOD_OVERRIDE=FY","FILING_STATUS=MR","Sort=A","Dates=H","DateFormat=P","Fill=—","Direction=H","UseDPDF=Y")</f>
        <v>#NAME?</v>
      </c>
    </row>
    <row r="53" spans="1:17" x14ac:dyDescent="0.45">
      <c r="A53" s="10" t="s">
        <v>745</v>
      </c>
      <c r="B53" s="10" t="s">
        <v>746</v>
      </c>
      <c r="C53" s="13" t="e">
        <f ca="1">_xll.BDH("ANSS US Equity","RENEW_ENERGY_USE","FY 2009","FY 2009","Currency=USD","Period=FY","BEST_FPERIOD_OVERRIDE=FY","FILING_STATUS=MR","Sort=A","Dates=H","DateFormat=P","Fill=—","Direction=H","UseDPDF=Y")</f>
        <v>#NAME?</v>
      </c>
      <c r="D53" s="13" t="e">
        <f ca="1">_xll.BDH("ANSS US Equity","RENEW_ENERGY_USE","FY 2010","FY 2010","Currency=USD","Period=FY","BEST_FPERIOD_OVERRIDE=FY","FILING_STATUS=MR","Sort=A","Dates=H","DateFormat=P","Fill=—","Direction=H","UseDPDF=Y")</f>
        <v>#NAME?</v>
      </c>
      <c r="E53" s="13" t="e">
        <f ca="1">_xll.BDH("ANSS US Equity","RENEW_ENERGY_USE","FY 2011","FY 2011","Currency=USD","Period=FY","BEST_FPERIOD_OVERRIDE=FY","FILING_STATUS=MR","Sort=A","Dates=H","DateFormat=P","Fill=—","Direction=H","UseDPDF=Y")</f>
        <v>#NAME?</v>
      </c>
      <c r="F53" s="13" t="e">
        <f ca="1">_xll.BDH("ANSS US Equity","RENEW_ENERGY_USE","FY 2012","FY 2012","Currency=USD","Period=FY","BEST_FPERIOD_OVERRIDE=FY","FILING_STATUS=MR","Sort=A","Dates=H","DateFormat=P","Fill=—","Direction=H","UseDPDF=Y")</f>
        <v>#NAME?</v>
      </c>
      <c r="G53" s="13" t="e">
        <f ca="1">_xll.BDH("ANSS US Equity","RENEW_ENERGY_USE","FY 2013","FY 2013","Currency=USD","Period=FY","BEST_FPERIOD_OVERRIDE=FY","FILING_STATUS=MR","Sort=A","Dates=H","DateFormat=P","Fill=—","Direction=H","UseDPDF=Y")</f>
        <v>#NAME?</v>
      </c>
      <c r="H53" s="13" t="e">
        <f ca="1">_xll.BDH("ANSS US Equity","RENEW_ENERGY_USE","FY 2014","FY 2014","Currency=USD","Period=FY","BEST_FPERIOD_OVERRIDE=FY","FILING_STATUS=MR","Sort=A","Dates=H","DateFormat=P","Fill=—","Direction=H","UseDPDF=Y")</f>
        <v>#NAME?</v>
      </c>
      <c r="I53" s="13" t="e">
        <f ca="1">_xll.BDH("ANSS US Equity","RENEW_ENERGY_USE","FY 2015","FY 2015","Currency=USD","Period=FY","BEST_FPERIOD_OVERRIDE=FY","FILING_STATUS=MR","Sort=A","Dates=H","DateFormat=P","Fill=—","Direction=H","UseDPDF=Y")</f>
        <v>#NAME?</v>
      </c>
      <c r="J53" s="13" t="e">
        <f ca="1">_xll.BDH("ANSS US Equity","RENEW_ENERGY_USE","FY 2016","FY 2016","Currency=USD","Period=FY","BEST_FPERIOD_OVERRIDE=FY","FILING_STATUS=MR","Sort=A","Dates=H","DateFormat=P","Fill=—","Direction=H","UseDPDF=Y")</f>
        <v>#NAME?</v>
      </c>
      <c r="K53" s="13" t="e">
        <f ca="1">_xll.BDH("ANSS US Equity","RENEW_ENERGY_USE","FY 2017","FY 2017","Currency=USD","Period=FY","BEST_FPERIOD_OVERRIDE=FY","FILING_STATUS=MR","Sort=A","Dates=H","DateFormat=P","Fill=—","Direction=H","UseDPDF=Y")</f>
        <v>#NAME?</v>
      </c>
      <c r="L53" s="13" t="e">
        <f ca="1">_xll.BDH("ANSS US Equity","RENEW_ENERGY_USE","FY 2018","FY 2018","Currency=USD","Period=FY","BEST_FPERIOD_OVERRIDE=FY","FILING_STATUS=MR","Sort=A","Dates=H","DateFormat=P","Fill=—","Direction=H","UseDPDF=Y")</f>
        <v>#NAME?</v>
      </c>
      <c r="M53" s="13" t="e">
        <f ca="1">_xll.BDH("ANSS US Equity","RENEW_ENERGY_USE","FY 2019","FY 2019","Currency=USD","Period=FY","BEST_FPERIOD_OVERRIDE=FY","FILING_STATUS=MR","Sort=A","Dates=H","DateFormat=P","Fill=—","Direction=H","UseDPDF=Y")</f>
        <v>#NAME?</v>
      </c>
      <c r="N53" s="13" t="e">
        <f ca="1">_xll.BDH("ANSS US Equity","RENEW_ENERGY_USE","FY 2020","FY 2020","Currency=USD","Period=FY","BEST_FPERIOD_OVERRIDE=FY","FILING_STATUS=MR","Sort=A","Dates=H","DateFormat=P","Fill=—","Direction=H","UseDPDF=Y")</f>
        <v>#NAME?</v>
      </c>
      <c r="O53" s="13" t="e">
        <f ca="1">_xll.BDH("ANSS US Equity","RENEW_ENERGY_USE","FY 2021","FY 2021","Currency=USD","Period=FY","BEST_FPERIOD_OVERRIDE=FY","FILING_STATUS=MR","Sort=A","Dates=H","DateFormat=P","Fill=—","Direction=H","UseDPDF=Y")</f>
        <v>#NAME?</v>
      </c>
      <c r="P53" s="13" t="e">
        <f ca="1">_xll.BDH("ANSS US Equity","RENEW_ENERGY_USE","FY 2022","FY 2022","Currency=USD","Period=FY","BEST_FPERIOD_OVERRIDE=FY","FILING_STATUS=MR","Sort=A","Dates=H","DateFormat=P","Fill=—","Direction=H","UseDPDF=Y")</f>
        <v>#NAME?</v>
      </c>
      <c r="Q53" s="13" t="e">
        <f ca="1">_xll.BDH("ANSS US Equity","RENEW_ENERGY_USE","FY 2023","FY 2023","Currency=USD","Period=FY","BEST_FPERIOD_OVERRIDE=FY","FILING_STATUS=MR","Sort=A","Dates=H","DateFormat=P","Fill=—","Direction=H","UseDPDF=Y")</f>
        <v>#NAME?</v>
      </c>
    </row>
    <row r="54" spans="1:17" x14ac:dyDescent="0.45">
      <c r="A54" s="10" t="s">
        <v>747</v>
      </c>
      <c r="B54" s="10" t="s">
        <v>748</v>
      </c>
      <c r="C54" s="13" t="e">
        <f ca="1">_xll.BDH("ANSS US Equity","SELF_GEN_RENEWABLE_ELECTRICITY","FY 2009","FY 2009","Currency=USD","Period=FY","BEST_FPERIOD_OVERRIDE=FY","FILING_STATUS=MR","Sort=A","Dates=H","DateFormat=P","Fill=—","Direction=H","UseDPDF=Y")</f>
        <v>#NAME?</v>
      </c>
      <c r="D54" s="13" t="e">
        <f ca="1">_xll.BDH("ANSS US Equity","SELF_GEN_RENEWABLE_ELECTRICITY","FY 2010","FY 2010","Currency=USD","Period=FY","BEST_FPERIOD_OVERRIDE=FY","FILING_STATUS=MR","Sort=A","Dates=H","DateFormat=P","Fill=—","Direction=H","UseDPDF=Y")</f>
        <v>#NAME?</v>
      </c>
      <c r="E54" s="13" t="e">
        <f ca="1">_xll.BDH("ANSS US Equity","SELF_GEN_RENEWABLE_ELECTRICITY","FY 2011","FY 2011","Currency=USD","Period=FY","BEST_FPERIOD_OVERRIDE=FY","FILING_STATUS=MR","Sort=A","Dates=H","DateFormat=P","Fill=—","Direction=H","UseDPDF=Y")</f>
        <v>#NAME?</v>
      </c>
      <c r="F54" s="13" t="e">
        <f ca="1">_xll.BDH("ANSS US Equity","SELF_GEN_RENEWABLE_ELECTRICITY","FY 2012","FY 2012","Currency=USD","Period=FY","BEST_FPERIOD_OVERRIDE=FY","FILING_STATUS=MR","Sort=A","Dates=H","DateFormat=P","Fill=—","Direction=H","UseDPDF=Y")</f>
        <v>#NAME?</v>
      </c>
      <c r="G54" s="13" t="e">
        <f ca="1">_xll.BDH("ANSS US Equity","SELF_GEN_RENEWABLE_ELECTRICITY","FY 2013","FY 2013","Currency=USD","Period=FY","BEST_FPERIOD_OVERRIDE=FY","FILING_STATUS=MR","Sort=A","Dates=H","DateFormat=P","Fill=—","Direction=H","UseDPDF=Y")</f>
        <v>#NAME?</v>
      </c>
      <c r="H54" s="13" t="e">
        <f ca="1">_xll.BDH("ANSS US Equity","SELF_GEN_RENEWABLE_ELECTRICITY","FY 2014","FY 2014","Currency=USD","Period=FY","BEST_FPERIOD_OVERRIDE=FY","FILING_STATUS=MR","Sort=A","Dates=H","DateFormat=P","Fill=—","Direction=H","UseDPDF=Y")</f>
        <v>#NAME?</v>
      </c>
      <c r="I54" s="13" t="e">
        <f ca="1">_xll.BDH("ANSS US Equity","SELF_GEN_RENEWABLE_ELECTRICITY","FY 2015","FY 2015","Currency=USD","Period=FY","BEST_FPERIOD_OVERRIDE=FY","FILING_STATUS=MR","Sort=A","Dates=H","DateFormat=P","Fill=—","Direction=H","UseDPDF=Y")</f>
        <v>#NAME?</v>
      </c>
      <c r="J54" s="13" t="e">
        <f ca="1">_xll.BDH("ANSS US Equity","SELF_GEN_RENEWABLE_ELECTRICITY","FY 2016","FY 2016","Currency=USD","Period=FY","BEST_FPERIOD_OVERRIDE=FY","FILING_STATUS=MR","Sort=A","Dates=H","DateFormat=P","Fill=—","Direction=H","UseDPDF=Y")</f>
        <v>#NAME?</v>
      </c>
      <c r="K54" s="13" t="e">
        <f ca="1">_xll.BDH("ANSS US Equity","SELF_GEN_RENEWABLE_ELECTRICITY","FY 2017","FY 2017","Currency=USD","Period=FY","BEST_FPERIOD_OVERRIDE=FY","FILING_STATUS=MR","Sort=A","Dates=H","DateFormat=P","Fill=—","Direction=H","UseDPDF=Y")</f>
        <v>#NAME?</v>
      </c>
      <c r="L54" s="13" t="e">
        <f ca="1">_xll.BDH("ANSS US Equity","SELF_GEN_RENEWABLE_ELECTRICITY","FY 2018","FY 2018","Currency=USD","Period=FY","BEST_FPERIOD_OVERRIDE=FY","FILING_STATUS=MR","Sort=A","Dates=H","DateFormat=P","Fill=—","Direction=H","UseDPDF=Y")</f>
        <v>#NAME?</v>
      </c>
      <c r="M54" s="13" t="e">
        <f ca="1">_xll.BDH("ANSS US Equity","SELF_GEN_RENEWABLE_ELECTRICITY","FY 2019","FY 2019","Currency=USD","Period=FY","BEST_FPERIOD_OVERRIDE=FY","FILING_STATUS=MR","Sort=A","Dates=H","DateFormat=P","Fill=—","Direction=H","UseDPDF=Y")</f>
        <v>#NAME?</v>
      </c>
      <c r="N54" s="13" t="e">
        <f ca="1">_xll.BDH("ANSS US Equity","SELF_GEN_RENEWABLE_ELECTRICITY","FY 2020","FY 2020","Currency=USD","Period=FY","BEST_FPERIOD_OVERRIDE=FY","FILING_STATUS=MR","Sort=A","Dates=H","DateFormat=P","Fill=—","Direction=H","UseDPDF=Y")</f>
        <v>#NAME?</v>
      </c>
      <c r="O54" s="13" t="e">
        <f ca="1">_xll.BDH("ANSS US Equity","SELF_GEN_RENEWABLE_ELECTRICITY","FY 2021","FY 2021","Currency=USD","Period=FY","BEST_FPERIOD_OVERRIDE=FY","FILING_STATUS=MR","Sort=A","Dates=H","DateFormat=P","Fill=—","Direction=H","UseDPDF=Y")</f>
        <v>#NAME?</v>
      </c>
      <c r="P54" s="13" t="e">
        <f ca="1">_xll.BDH("ANSS US Equity","SELF_GEN_RENEWABLE_ELECTRICITY","FY 2022","FY 2022","Currency=USD","Period=FY","BEST_FPERIOD_OVERRIDE=FY","FILING_STATUS=MR","Sort=A","Dates=H","DateFormat=P","Fill=—","Direction=H","UseDPDF=Y")</f>
        <v>#NAME?</v>
      </c>
      <c r="Q54" s="13" t="e">
        <f ca="1">_xll.BDH("ANSS US Equity","SELF_GEN_RENEWABLE_ELECTRICITY","FY 2023","FY 2023","Currency=USD","Period=FY","BEST_FPERIOD_OVERRIDE=FY","FILING_STATUS=MR","Sort=A","Dates=H","DateFormat=P","Fill=—","Direction=H","UseDPDF=Y")</f>
        <v>#NAME?</v>
      </c>
    </row>
    <row r="55" spans="1:17" x14ac:dyDescent="0.45">
      <c r="A55" s="10" t="s">
        <v>749</v>
      </c>
      <c r="B55" s="10" t="s">
        <v>750</v>
      </c>
      <c r="C55" s="13" t="e">
        <f ca="1">_xll.BDH("ANSS US Equity","NAT_GAS_USED","FY 2009","FY 2009","Currency=USD","Period=FY","BEST_FPERIOD_OVERRIDE=FY","FILING_STATUS=MR","Sort=A","Dates=H","DateFormat=P","Fill=—","Direction=H","UseDPDF=Y")</f>
        <v>#NAME?</v>
      </c>
      <c r="D55" s="13" t="e">
        <f ca="1">_xll.BDH("ANSS US Equity","NAT_GAS_USED","FY 2010","FY 2010","Currency=USD","Period=FY","BEST_FPERIOD_OVERRIDE=FY","FILING_STATUS=MR","Sort=A","Dates=H","DateFormat=P","Fill=—","Direction=H","UseDPDF=Y")</f>
        <v>#NAME?</v>
      </c>
      <c r="E55" s="13" t="e">
        <f ca="1">_xll.BDH("ANSS US Equity","NAT_GAS_USED","FY 2011","FY 2011","Currency=USD","Period=FY","BEST_FPERIOD_OVERRIDE=FY","FILING_STATUS=MR","Sort=A","Dates=H","DateFormat=P","Fill=—","Direction=H","UseDPDF=Y")</f>
        <v>#NAME?</v>
      </c>
      <c r="F55" s="13" t="e">
        <f ca="1">_xll.BDH("ANSS US Equity","NAT_GAS_USED","FY 2012","FY 2012","Currency=USD","Period=FY","BEST_FPERIOD_OVERRIDE=FY","FILING_STATUS=MR","Sort=A","Dates=H","DateFormat=P","Fill=—","Direction=H","UseDPDF=Y")</f>
        <v>#NAME?</v>
      </c>
      <c r="G55" s="13" t="e">
        <f ca="1">_xll.BDH("ANSS US Equity","NAT_GAS_USED","FY 2013","FY 2013","Currency=USD","Period=FY","BEST_FPERIOD_OVERRIDE=FY","FILING_STATUS=MR","Sort=A","Dates=H","DateFormat=P","Fill=—","Direction=H","UseDPDF=Y")</f>
        <v>#NAME?</v>
      </c>
      <c r="H55" s="13" t="e">
        <f ca="1">_xll.BDH("ANSS US Equity","NAT_GAS_USED","FY 2014","FY 2014","Currency=USD","Period=FY","BEST_FPERIOD_OVERRIDE=FY","FILING_STATUS=MR","Sort=A","Dates=H","DateFormat=P","Fill=—","Direction=H","UseDPDF=Y")</f>
        <v>#NAME?</v>
      </c>
      <c r="I55" s="13" t="e">
        <f ca="1">_xll.BDH("ANSS US Equity","NAT_GAS_USED","FY 2015","FY 2015","Currency=USD","Period=FY","BEST_FPERIOD_OVERRIDE=FY","FILING_STATUS=MR","Sort=A","Dates=H","DateFormat=P","Fill=—","Direction=H","UseDPDF=Y")</f>
        <v>#NAME?</v>
      </c>
      <c r="J55" s="13" t="e">
        <f ca="1">_xll.BDH("ANSS US Equity","NAT_GAS_USED","FY 2016","FY 2016","Currency=USD","Period=FY","BEST_FPERIOD_OVERRIDE=FY","FILING_STATUS=MR","Sort=A","Dates=H","DateFormat=P","Fill=—","Direction=H","UseDPDF=Y")</f>
        <v>#NAME?</v>
      </c>
      <c r="K55" s="13" t="e">
        <f ca="1">_xll.BDH("ANSS US Equity","NAT_GAS_USED","FY 2017","FY 2017","Currency=USD","Period=FY","BEST_FPERIOD_OVERRIDE=FY","FILING_STATUS=MR","Sort=A","Dates=H","DateFormat=P","Fill=—","Direction=H","UseDPDF=Y")</f>
        <v>#NAME?</v>
      </c>
      <c r="L55" s="13" t="e">
        <f ca="1">_xll.BDH("ANSS US Equity","NAT_GAS_USED","FY 2018","FY 2018","Currency=USD","Period=FY","BEST_FPERIOD_OVERRIDE=FY","FILING_STATUS=MR","Sort=A","Dates=H","DateFormat=P","Fill=—","Direction=H","UseDPDF=Y")</f>
        <v>#NAME?</v>
      </c>
      <c r="M55" s="13" t="e">
        <f ca="1">_xll.BDH("ANSS US Equity","NAT_GAS_USED","FY 2019","FY 2019","Currency=USD","Period=FY","BEST_FPERIOD_OVERRIDE=FY","FILING_STATUS=MR","Sort=A","Dates=H","DateFormat=P","Fill=—","Direction=H","UseDPDF=Y")</f>
        <v>#NAME?</v>
      </c>
      <c r="N55" s="13" t="e">
        <f ca="1">_xll.BDH("ANSS US Equity","NAT_GAS_USED","FY 2020","FY 2020","Currency=USD","Period=FY","BEST_FPERIOD_OVERRIDE=FY","FILING_STATUS=MR","Sort=A","Dates=H","DateFormat=P","Fill=—","Direction=H","UseDPDF=Y")</f>
        <v>#NAME?</v>
      </c>
      <c r="O55" s="13" t="e">
        <f ca="1">_xll.BDH("ANSS US Equity","NAT_GAS_USED","FY 2021","FY 2021","Currency=USD","Period=FY","BEST_FPERIOD_OVERRIDE=FY","FILING_STATUS=MR","Sort=A","Dates=H","DateFormat=P","Fill=—","Direction=H","UseDPDF=Y")</f>
        <v>#NAME?</v>
      </c>
      <c r="P55" s="13" t="e">
        <f ca="1">_xll.BDH("ANSS US Equity","NAT_GAS_USED","FY 2022","FY 2022","Currency=USD","Period=FY","BEST_FPERIOD_OVERRIDE=FY","FILING_STATUS=MR","Sort=A","Dates=H","DateFormat=P","Fill=—","Direction=H","UseDPDF=Y")</f>
        <v>#NAME?</v>
      </c>
      <c r="Q55" s="13" t="e">
        <f ca="1">_xll.BDH("ANSS US Equity","NAT_GAS_USED","FY 2023","FY 2023","Currency=USD","Period=FY","BEST_FPERIOD_OVERRIDE=FY","FILING_STATUS=MR","Sort=A","Dates=H","DateFormat=P","Fill=—","Direction=H","UseDPDF=Y")</f>
        <v>#NAME?</v>
      </c>
    </row>
    <row r="56" spans="1:17" x14ac:dyDescent="0.45">
      <c r="A56" s="10" t="s">
        <v>751</v>
      </c>
      <c r="B56" s="10" t="s">
        <v>752</v>
      </c>
      <c r="C56" s="13" t="e">
        <f ca="1">_xll.BDH("ANSS US Equity","OIL_DIESEL_USED","FY 2009","FY 2009","Currency=USD","Period=FY","BEST_FPERIOD_OVERRIDE=FY","FILING_STATUS=MR","Sort=A","Dates=H","DateFormat=P","Fill=—","Direction=H","UseDPDF=Y")</f>
        <v>#NAME?</v>
      </c>
      <c r="D56" s="13" t="e">
        <f ca="1">_xll.BDH("ANSS US Equity","OIL_DIESEL_USED","FY 2010","FY 2010","Currency=USD","Period=FY","BEST_FPERIOD_OVERRIDE=FY","FILING_STATUS=MR","Sort=A","Dates=H","DateFormat=P","Fill=—","Direction=H","UseDPDF=Y")</f>
        <v>#NAME?</v>
      </c>
      <c r="E56" s="13" t="e">
        <f ca="1">_xll.BDH("ANSS US Equity","OIL_DIESEL_USED","FY 2011","FY 2011","Currency=USD","Period=FY","BEST_FPERIOD_OVERRIDE=FY","FILING_STATUS=MR","Sort=A","Dates=H","DateFormat=P","Fill=—","Direction=H","UseDPDF=Y")</f>
        <v>#NAME?</v>
      </c>
      <c r="F56" s="13" t="e">
        <f ca="1">_xll.BDH("ANSS US Equity","OIL_DIESEL_USED","FY 2012","FY 2012","Currency=USD","Period=FY","BEST_FPERIOD_OVERRIDE=FY","FILING_STATUS=MR","Sort=A","Dates=H","DateFormat=P","Fill=—","Direction=H","UseDPDF=Y")</f>
        <v>#NAME?</v>
      </c>
      <c r="G56" s="13" t="e">
        <f ca="1">_xll.BDH("ANSS US Equity","OIL_DIESEL_USED","FY 2013","FY 2013","Currency=USD","Period=FY","BEST_FPERIOD_OVERRIDE=FY","FILING_STATUS=MR","Sort=A","Dates=H","DateFormat=P","Fill=—","Direction=H","UseDPDF=Y")</f>
        <v>#NAME?</v>
      </c>
      <c r="H56" s="13" t="e">
        <f ca="1">_xll.BDH("ANSS US Equity","OIL_DIESEL_USED","FY 2014","FY 2014","Currency=USD","Period=FY","BEST_FPERIOD_OVERRIDE=FY","FILING_STATUS=MR","Sort=A","Dates=H","DateFormat=P","Fill=—","Direction=H","UseDPDF=Y")</f>
        <v>#NAME?</v>
      </c>
      <c r="I56" s="13" t="e">
        <f ca="1">_xll.BDH("ANSS US Equity","OIL_DIESEL_USED","FY 2015","FY 2015","Currency=USD","Period=FY","BEST_FPERIOD_OVERRIDE=FY","FILING_STATUS=MR","Sort=A","Dates=H","DateFormat=P","Fill=—","Direction=H","UseDPDF=Y")</f>
        <v>#NAME?</v>
      </c>
      <c r="J56" s="13" t="e">
        <f ca="1">_xll.BDH("ANSS US Equity","OIL_DIESEL_USED","FY 2016","FY 2016","Currency=USD","Period=FY","BEST_FPERIOD_OVERRIDE=FY","FILING_STATUS=MR","Sort=A","Dates=H","DateFormat=P","Fill=—","Direction=H","UseDPDF=Y")</f>
        <v>#NAME?</v>
      </c>
      <c r="K56" s="13" t="e">
        <f ca="1">_xll.BDH("ANSS US Equity","OIL_DIESEL_USED","FY 2017","FY 2017","Currency=USD","Period=FY","BEST_FPERIOD_OVERRIDE=FY","FILING_STATUS=MR","Sort=A","Dates=H","DateFormat=P","Fill=—","Direction=H","UseDPDF=Y")</f>
        <v>#NAME?</v>
      </c>
      <c r="L56" s="13" t="e">
        <f ca="1">_xll.BDH("ANSS US Equity","OIL_DIESEL_USED","FY 2018","FY 2018","Currency=USD","Period=FY","BEST_FPERIOD_OVERRIDE=FY","FILING_STATUS=MR","Sort=A","Dates=H","DateFormat=P","Fill=—","Direction=H","UseDPDF=Y")</f>
        <v>#NAME?</v>
      </c>
      <c r="M56" s="13" t="e">
        <f ca="1">_xll.BDH("ANSS US Equity","OIL_DIESEL_USED","FY 2019","FY 2019","Currency=USD","Period=FY","BEST_FPERIOD_OVERRIDE=FY","FILING_STATUS=MR","Sort=A","Dates=H","DateFormat=P","Fill=—","Direction=H","UseDPDF=Y")</f>
        <v>#NAME?</v>
      </c>
      <c r="N56" s="13" t="e">
        <f ca="1">_xll.BDH("ANSS US Equity","OIL_DIESEL_USED","FY 2020","FY 2020","Currency=USD","Period=FY","BEST_FPERIOD_OVERRIDE=FY","FILING_STATUS=MR","Sort=A","Dates=H","DateFormat=P","Fill=—","Direction=H","UseDPDF=Y")</f>
        <v>#NAME?</v>
      </c>
      <c r="O56" s="13" t="e">
        <f ca="1">_xll.BDH("ANSS US Equity","OIL_DIESEL_USED","FY 2021","FY 2021","Currency=USD","Period=FY","BEST_FPERIOD_OVERRIDE=FY","FILING_STATUS=MR","Sort=A","Dates=H","DateFormat=P","Fill=—","Direction=H","UseDPDF=Y")</f>
        <v>#NAME?</v>
      </c>
      <c r="P56" s="13" t="e">
        <f ca="1">_xll.BDH("ANSS US Equity","OIL_DIESEL_USED","FY 2022","FY 2022","Currency=USD","Period=FY","BEST_FPERIOD_OVERRIDE=FY","FILING_STATUS=MR","Sort=A","Dates=H","DateFormat=P","Fill=—","Direction=H","UseDPDF=Y")</f>
        <v>#NAME?</v>
      </c>
      <c r="Q56" s="13" t="e">
        <f ca="1">_xll.BDH("ANSS US Equity","OIL_DIESEL_USED","FY 2023","FY 2023","Currency=USD","Period=FY","BEST_FPERIOD_OVERRIDE=FY","FILING_STATUS=MR","Sort=A","Dates=H","DateFormat=P","Fill=—","Direction=H","UseDPDF=Y")</f>
        <v>#NAME?</v>
      </c>
    </row>
    <row r="57" spans="1:17" x14ac:dyDescent="0.45">
      <c r="A57" s="10" t="s">
        <v>753</v>
      </c>
      <c r="B57" s="10" t="s">
        <v>754</v>
      </c>
      <c r="C57" s="13" t="e">
        <f ca="1">_xll.BDH("ANSS US Equity","TOT_FUEL_CONSUMED","FY 2009","FY 2009","Currency=USD","Period=FY","BEST_FPERIOD_OVERRIDE=FY","FILING_STATUS=MR","Sort=A","Dates=H","DateFormat=P","Fill=—","Direction=H","UseDPDF=Y")</f>
        <v>#NAME?</v>
      </c>
      <c r="D57" s="13" t="e">
        <f ca="1">_xll.BDH("ANSS US Equity","TOT_FUEL_CONSUMED","FY 2010","FY 2010","Currency=USD","Period=FY","BEST_FPERIOD_OVERRIDE=FY","FILING_STATUS=MR","Sort=A","Dates=H","DateFormat=P","Fill=—","Direction=H","UseDPDF=Y")</f>
        <v>#NAME?</v>
      </c>
      <c r="E57" s="13" t="e">
        <f ca="1">_xll.BDH("ANSS US Equity","TOT_FUEL_CONSUMED","FY 2011","FY 2011","Currency=USD","Period=FY","BEST_FPERIOD_OVERRIDE=FY","FILING_STATUS=MR","Sort=A","Dates=H","DateFormat=P","Fill=—","Direction=H","UseDPDF=Y")</f>
        <v>#NAME?</v>
      </c>
      <c r="F57" s="13" t="e">
        <f ca="1">_xll.BDH("ANSS US Equity","TOT_FUEL_CONSUMED","FY 2012","FY 2012","Currency=USD","Period=FY","BEST_FPERIOD_OVERRIDE=FY","FILING_STATUS=MR","Sort=A","Dates=H","DateFormat=P","Fill=—","Direction=H","UseDPDF=Y")</f>
        <v>#NAME?</v>
      </c>
      <c r="G57" s="13" t="e">
        <f ca="1">_xll.BDH("ANSS US Equity","TOT_FUEL_CONSUMED","FY 2013","FY 2013","Currency=USD","Period=FY","BEST_FPERIOD_OVERRIDE=FY","FILING_STATUS=MR","Sort=A","Dates=H","DateFormat=P","Fill=—","Direction=H","UseDPDF=Y")</f>
        <v>#NAME?</v>
      </c>
      <c r="H57" s="13" t="e">
        <f ca="1">_xll.BDH("ANSS US Equity","TOT_FUEL_CONSUMED","FY 2014","FY 2014","Currency=USD","Period=FY","BEST_FPERIOD_OVERRIDE=FY","FILING_STATUS=MR","Sort=A","Dates=H","DateFormat=P","Fill=—","Direction=H","UseDPDF=Y")</f>
        <v>#NAME?</v>
      </c>
      <c r="I57" s="13" t="e">
        <f ca="1">_xll.BDH("ANSS US Equity","TOT_FUEL_CONSUMED","FY 2015","FY 2015","Currency=USD","Period=FY","BEST_FPERIOD_OVERRIDE=FY","FILING_STATUS=MR","Sort=A","Dates=H","DateFormat=P","Fill=—","Direction=H","UseDPDF=Y")</f>
        <v>#NAME?</v>
      </c>
      <c r="J57" s="13" t="e">
        <f ca="1">_xll.BDH("ANSS US Equity","TOT_FUEL_CONSUMED","FY 2016","FY 2016","Currency=USD","Period=FY","BEST_FPERIOD_OVERRIDE=FY","FILING_STATUS=MR","Sort=A","Dates=H","DateFormat=P","Fill=—","Direction=H","UseDPDF=Y")</f>
        <v>#NAME?</v>
      </c>
      <c r="K57" s="13" t="e">
        <f ca="1">_xll.BDH("ANSS US Equity","TOT_FUEL_CONSUMED","FY 2017","FY 2017","Currency=USD","Period=FY","BEST_FPERIOD_OVERRIDE=FY","FILING_STATUS=MR","Sort=A","Dates=H","DateFormat=P","Fill=—","Direction=H","UseDPDF=Y")</f>
        <v>#NAME?</v>
      </c>
      <c r="L57" s="13" t="e">
        <f ca="1">_xll.BDH("ANSS US Equity","TOT_FUEL_CONSUMED","FY 2018","FY 2018","Currency=USD","Period=FY","BEST_FPERIOD_OVERRIDE=FY","FILING_STATUS=MR","Sort=A","Dates=H","DateFormat=P","Fill=—","Direction=H","UseDPDF=Y")</f>
        <v>#NAME?</v>
      </c>
      <c r="M57" s="13" t="e">
        <f ca="1">_xll.BDH("ANSS US Equity","TOT_FUEL_CONSUMED","FY 2019","FY 2019","Currency=USD","Period=FY","BEST_FPERIOD_OVERRIDE=FY","FILING_STATUS=MR","Sort=A","Dates=H","DateFormat=P","Fill=—","Direction=H","UseDPDF=Y")</f>
        <v>#NAME?</v>
      </c>
      <c r="N57" s="13" t="e">
        <f ca="1">_xll.BDH("ANSS US Equity","TOT_FUEL_CONSUMED","FY 2020","FY 2020","Currency=USD","Period=FY","BEST_FPERIOD_OVERRIDE=FY","FILING_STATUS=MR","Sort=A","Dates=H","DateFormat=P","Fill=—","Direction=H","UseDPDF=Y")</f>
        <v>#NAME?</v>
      </c>
      <c r="O57" s="13" t="e">
        <f ca="1">_xll.BDH("ANSS US Equity","TOT_FUEL_CONSUMED","FY 2021","FY 2021","Currency=USD","Period=FY","BEST_FPERIOD_OVERRIDE=FY","FILING_STATUS=MR","Sort=A","Dates=H","DateFormat=P","Fill=—","Direction=H","UseDPDF=Y")</f>
        <v>#NAME?</v>
      </c>
      <c r="P57" s="13" t="e">
        <f ca="1">_xll.BDH("ANSS US Equity","TOT_FUEL_CONSUMED","FY 2022","FY 2022","Currency=USD","Period=FY","BEST_FPERIOD_OVERRIDE=FY","FILING_STATUS=MR","Sort=A","Dates=H","DateFormat=P","Fill=—","Direction=H","UseDPDF=Y")</f>
        <v>#NAME?</v>
      </c>
      <c r="Q57" s="13" t="e">
        <f ca="1">_xll.BDH("ANSS US Equity","TOT_FUEL_CONSUMED","FY 2023","FY 2023","Currency=USD","Period=FY","BEST_FPERIOD_OVERRIDE=FY","FILING_STATUS=MR","Sort=A","Dates=H","DateFormat=P","Fill=—","Direction=H","UseDPDF=Y")</f>
        <v>#NAME?</v>
      </c>
    </row>
    <row r="58" spans="1:17" x14ac:dyDescent="0.45">
      <c r="A58" s="10" t="s">
        <v>755</v>
      </c>
      <c r="B58" s="10" t="s">
        <v>756</v>
      </c>
      <c r="C58" s="14" t="e">
        <f ca="1">_xll.BDH("ANSS US Equity","PCT_RENEWABLE_ENERGY_CONSMD","FY 2009","FY 2009","Currency=USD","Period=FY","BEST_FPERIOD_OVERRIDE=FY","FILING_STATUS=MR","Sort=A","Dates=H","DateFormat=P","Fill=—","Direction=H","UseDPDF=Y")</f>
        <v>#NAME?</v>
      </c>
      <c r="D58" s="14" t="e">
        <f ca="1">_xll.BDH("ANSS US Equity","PCT_RENEWABLE_ENERGY_CONSMD","FY 2010","FY 2010","Currency=USD","Period=FY","BEST_FPERIOD_OVERRIDE=FY","FILING_STATUS=MR","Sort=A","Dates=H","DateFormat=P","Fill=—","Direction=H","UseDPDF=Y")</f>
        <v>#NAME?</v>
      </c>
      <c r="E58" s="14" t="e">
        <f ca="1">_xll.BDH("ANSS US Equity","PCT_RENEWABLE_ENERGY_CONSMD","FY 2011","FY 2011","Currency=USD","Period=FY","BEST_FPERIOD_OVERRIDE=FY","FILING_STATUS=MR","Sort=A","Dates=H","DateFormat=P","Fill=—","Direction=H","UseDPDF=Y")</f>
        <v>#NAME?</v>
      </c>
      <c r="F58" s="14" t="e">
        <f ca="1">_xll.BDH("ANSS US Equity","PCT_RENEWABLE_ENERGY_CONSMD","FY 2012","FY 2012","Currency=USD","Period=FY","BEST_FPERIOD_OVERRIDE=FY","FILING_STATUS=MR","Sort=A","Dates=H","DateFormat=P","Fill=—","Direction=H","UseDPDF=Y")</f>
        <v>#NAME?</v>
      </c>
      <c r="G58" s="14" t="e">
        <f ca="1">_xll.BDH("ANSS US Equity","PCT_RENEWABLE_ENERGY_CONSMD","FY 2013","FY 2013","Currency=USD","Period=FY","BEST_FPERIOD_OVERRIDE=FY","FILING_STATUS=MR","Sort=A","Dates=H","DateFormat=P","Fill=—","Direction=H","UseDPDF=Y")</f>
        <v>#NAME?</v>
      </c>
      <c r="H58" s="14" t="e">
        <f ca="1">_xll.BDH("ANSS US Equity","PCT_RENEWABLE_ENERGY_CONSMD","FY 2014","FY 2014","Currency=USD","Period=FY","BEST_FPERIOD_OVERRIDE=FY","FILING_STATUS=MR","Sort=A","Dates=H","DateFormat=P","Fill=—","Direction=H","UseDPDF=Y")</f>
        <v>#NAME?</v>
      </c>
      <c r="I58" s="14" t="e">
        <f ca="1">_xll.BDH("ANSS US Equity","PCT_RENEWABLE_ENERGY_CONSMD","FY 2015","FY 2015","Currency=USD","Period=FY","BEST_FPERIOD_OVERRIDE=FY","FILING_STATUS=MR","Sort=A","Dates=H","DateFormat=P","Fill=—","Direction=H","UseDPDF=Y")</f>
        <v>#NAME?</v>
      </c>
      <c r="J58" s="14" t="e">
        <f ca="1">_xll.BDH("ANSS US Equity","PCT_RENEWABLE_ENERGY_CONSMD","FY 2016","FY 2016","Currency=USD","Period=FY","BEST_FPERIOD_OVERRIDE=FY","FILING_STATUS=MR","Sort=A","Dates=H","DateFormat=P","Fill=—","Direction=H","UseDPDF=Y")</f>
        <v>#NAME?</v>
      </c>
      <c r="K58" s="14" t="e">
        <f ca="1">_xll.BDH("ANSS US Equity","PCT_RENEWABLE_ENERGY_CONSMD","FY 2017","FY 2017","Currency=USD","Period=FY","BEST_FPERIOD_OVERRIDE=FY","FILING_STATUS=MR","Sort=A","Dates=H","DateFormat=P","Fill=—","Direction=H","UseDPDF=Y")</f>
        <v>#NAME?</v>
      </c>
      <c r="L58" s="14" t="e">
        <f ca="1">_xll.BDH("ANSS US Equity","PCT_RENEWABLE_ENERGY_CONSMD","FY 2018","FY 2018","Currency=USD","Period=FY","BEST_FPERIOD_OVERRIDE=FY","FILING_STATUS=MR","Sort=A","Dates=H","DateFormat=P","Fill=—","Direction=H","UseDPDF=Y")</f>
        <v>#NAME?</v>
      </c>
      <c r="M58" s="14" t="e">
        <f ca="1">_xll.BDH("ANSS US Equity","PCT_RENEWABLE_ENERGY_CONSMD","FY 2019","FY 2019","Currency=USD","Period=FY","BEST_FPERIOD_OVERRIDE=FY","FILING_STATUS=MR","Sort=A","Dates=H","DateFormat=P","Fill=—","Direction=H","UseDPDF=Y")</f>
        <v>#NAME?</v>
      </c>
      <c r="N58" s="14" t="e">
        <f ca="1">_xll.BDH("ANSS US Equity","PCT_RENEWABLE_ENERGY_CONSMD","FY 2020","FY 2020","Currency=USD","Period=FY","BEST_FPERIOD_OVERRIDE=FY","FILING_STATUS=MR","Sort=A","Dates=H","DateFormat=P","Fill=—","Direction=H","UseDPDF=Y")</f>
        <v>#NAME?</v>
      </c>
      <c r="O58" s="14" t="e">
        <f ca="1">_xll.BDH("ANSS US Equity","PCT_RENEWABLE_ENERGY_CONSMD","FY 2021","FY 2021","Currency=USD","Period=FY","BEST_FPERIOD_OVERRIDE=FY","FILING_STATUS=MR","Sort=A","Dates=H","DateFormat=P","Fill=—","Direction=H","UseDPDF=Y")</f>
        <v>#NAME?</v>
      </c>
      <c r="P58" s="14" t="e">
        <f ca="1">_xll.BDH("ANSS US Equity","PCT_RENEWABLE_ENERGY_CONSMD","FY 2022","FY 2022","Currency=USD","Period=FY","BEST_FPERIOD_OVERRIDE=FY","FILING_STATUS=MR","Sort=A","Dates=H","DateFormat=P","Fill=—","Direction=H","UseDPDF=Y")</f>
        <v>#NAME?</v>
      </c>
      <c r="Q58" s="14" t="e">
        <f ca="1">_xll.BDH("ANSS US Equity","PCT_RENEWABLE_ENERGY_CONSMD","FY 2023","FY 2023","Currency=USD","Period=FY","BEST_FPERIOD_OVERRIDE=FY","FILING_STATUS=MR","Sort=A","Dates=H","DateFormat=P","Fill=—","Direction=H","UseDPDF=Y")</f>
        <v>#NAME?</v>
      </c>
    </row>
    <row r="59" spans="1:17" x14ac:dyDescent="0.45">
      <c r="A59" s="10" t="s">
        <v>757</v>
      </c>
      <c r="B59" s="10" t="s">
        <v>758</v>
      </c>
      <c r="C59" s="13" t="e">
        <f ca="1">_xll.BDH("ANSS US Equity","GRID_ELECTRICITY_USED","FY 2009","FY 2009","Currency=USD","Period=FY","BEST_FPERIOD_OVERRIDE=FY","FILING_STATUS=MR","Sort=A","Dates=H","DateFormat=P","Fill=—","Direction=H","UseDPDF=Y")</f>
        <v>#NAME?</v>
      </c>
      <c r="D59" s="13" t="e">
        <f ca="1">_xll.BDH("ANSS US Equity","GRID_ELECTRICITY_USED","FY 2010","FY 2010","Currency=USD","Period=FY","BEST_FPERIOD_OVERRIDE=FY","FILING_STATUS=MR","Sort=A","Dates=H","DateFormat=P","Fill=—","Direction=H","UseDPDF=Y")</f>
        <v>#NAME?</v>
      </c>
      <c r="E59" s="13" t="e">
        <f ca="1">_xll.BDH("ANSS US Equity","GRID_ELECTRICITY_USED","FY 2011","FY 2011","Currency=USD","Period=FY","BEST_FPERIOD_OVERRIDE=FY","FILING_STATUS=MR","Sort=A","Dates=H","DateFormat=P","Fill=—","Direction=H","UseDPDF=Y")</f>
        <v>#NAME?</v>
      </c>
      <c r="F59" s="13" t="e">
        <f ca="1">_xll.BDH("ANSS US Equity","GRID_ELECTRICITY_USED","FY 2012","FY 2012","Currency=USD","Period=FY","BEST_FPERIOD_OVERRIDE=FY","FILING_STATUS=MR","Sort=A","Dates=H","DateFormat=P","Fill=—","Direction=H","UseDPDF=Y")</f>
        <v>#NAME?</v>
      </c>
      <c r="G59" s="13" t="e">
        <f ca="1">_xll.BDH("ANSS US Equity","GRID_ELECTRICITY_USED","FY 2013","FY 2013","Currency=USD","Period=FY","BEST_FPERIOD_OVERRIDE=FY","FILING_STATUS=MR","Sort=A","Dates=H","DateFormat=P","Fill=—","Direction=H","UseDPDF=Y")</f>
        <v>#NAME?</v>
      </c>
      <c r="H59" s="13" t="e">
        <f ca="1">_xll.BDH("ANSS US Equity","GRID_ELECTRICITY_USED","FY 2014","FY 2014","Currency=USD","Period=FY","BEST_FPERIOD_OVERRIDE=FY","FILING_STATUS=MR","Sort=A","Dates=H","DateFormat=P","Fill=—","Direction=H","UseDPDF=Y")</f>
        <v>#NAME?</v>
      </c>
      <c r="I59" s="13" t="e">
        <f ca="1">_xll.BDH("ANSS US Equity","GRID_ELECTRICITY_USED","FY 2015","FY 2015","Currency=USD","Period=FY","BEST_FPERIOD_OVERRIDE=FY","FILING_STATUS=MR","Sort=A","Dates=H","DateFormat=P","Fill=—","Direction=H","UseDPDF=Y")</f>
        <v>#NAME?</v>
      </c>
      <c r="J59" s="13" t="e">
        <f ca="1">_xll.BDH("ANSS US Equity","GRID_ELECTRICITY_USED","FY 2016","FY 2016","Currency=USD","Period=FY","BEST_FPERIOD_OVERRIDE=FY","FILING_STATUS=MR","Sort=A","Dates=H","DateFormat=P","Fill=—","Direction=H","UseDPDF=Y")</f>
        <v>#NAME?</v>
      </c>
      <c r="K59" s="13" t="e">
        <f ca="1">_xll.BDH("ANSS US Equity","GRID_ELECTRICITY_USED","FY 2017","FY 2017","Currency=USD","Period=FY","BEST_FPERIOD_OVERRIDE=FY","FILING_STATUS=MR","Sort=A","Dates=H","DateFormat=P","Fill=—","Direction=H","UseDPDF=Y")</f>
        <v>#NAME?</v>
      </c>
      <c r="L59" s="13" t="e">
        <f ca="1">_xll.BDH("ANSS US Equity","GRID_ELECTRICITY_USED","FY 2018","FY 2018","Currency=USD","Period=FY","BEST_FPERIOD_OVERRIDE=FY","FILING_STATUS=MR","Sort=A","Dates=H","DateFormat=P","Fill=—","Direction=H","UseDPDF=Y")</f>
        <v>#NAME?</v>
      </c>
      <c r="M59" s="13" t="e">
        <f ca="1">_xll.BDH("ANSS US Equity","GRID_ELECTRICITY_USED","FY 2019","FY 2019","Currency=USD","Period=FY","BEST_FPERIOD_OVERRIDE=FY","FILING_STATUS=MR","Sort=A","Dates=H","DateFormat=P","Fill=—","Direction=H","UseDPDF=Y")</f>
        <v>#NAME?</v>
      </c>
      <c r="N59" s="13" t="e">
        <f ca="1">_xll.BDH("ANSS US Equity","GRID_ELECTRICITY_USED","FY 2020","FY 2020","Currency=USD","Period=FY","BEST_FPERIOD_OVERRIDE=FY","FILING_STATUS=MR","Sort=A","Dates=H","DateFormat=P","Fill=—","Direction=H","UseDPDF=Y")</f>
        <v>#NAME?</v>
      </c>
      <c r="O59" s="13" t="e">
        <f ca="1">_xll.BDH("ANSS US Equity","GRID_ELECTRICITY_USED","FY 2021","FY 2021","Currency=USD","Period=FY","BEST_FPERIOD_OVERRIDE=FY","FILING_STATUS=MR","Sort=A","Dates=H","DateFormat=P","Fill=—","Direction=H","UseDPDF=Y")</f>
        <v>#NAME?</v>
      </c>
      <c r="P59" s="13" t="e">
        <f ca="1">_xll.BDH("ANSS US Equity","GRID_ELECTRICITY_USED","FY 2022","FY 2022","Currency=USD","Period=FY","BEST_FPERIOD_OVERRIDE=FY","FILING_STATUS=MR","Sort=A","Dates=H","DateFormat=P","Fill=—","Direction=H","UseDPDF=Y")</f>
        <v>#NAME?</v>
      </c>
      <c r="Q59" s="13" t="e">
        <f ca="1">_xll.BDH("ANSS US Equity","GRID_ELECTRICITY_USED","FY 2023","FY 2023","Currency=USD","Period=FY","BEST_FPERIOD_OVERRIDE=FY","FILING_STATUS=MR","Sort=A","Dates=H","DateFormat=P","Fill=—","Direction=H","UseDPDF=Y")</f>
        <v>#NAME?</v>
      </c>
    </row>
    <row r="60" spans="1:17" x14ac:dyDescent="0.4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 x14ac:dyDescent="0.45">
      <c r="A61" s="10" t="s">
        <v>523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 x14ac:dyDescent="0.45">
      <c r="A62" s="1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 x14ac:dyDescent="0.45">
      <c r="A63" s="1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x14ac:dyDescent="0.45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x14ac:dyDescent="0.45">
      <c r="A65" s="10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 x14ac:dyDescent="0.45">
      <c r="A66" s="10" t="s">
        <v>759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 x14ac:dyDescent="0.45">
      <c r="A67" s="10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x14ac:dyDescent="0.45">
      <c r="A68" s="10" t="s">
        <v>760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 x14ac:dyDescent="0.45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x14ac:dyDescent="0.45">
      <c r="A70" s="1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x14ac:dyDescent="0.45">
      <c r="A71" s="10" t="s">
        <v>761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x14ac:dyDescent="0.45">
      <c r="A72" s="1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x14ac:dyDescent="0.45">
      <c r="A73" s="10" t="s">
        <v>762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x14ac:dyDescent="0.45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x14ac:dyDescent="0.45">
      <c r="A75" s="10" t="s">
        <v>763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x14ac:dyDescent="0.4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 x14ac:dyDescent="0.45">
      <c r="A77" s="10" t="s">
        <v>764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x14ac:dyDescent="0.45">
      <c r="A78" s="10" t="s">
        <v>765</v>
      </c>
      <c r="B78" s="10" t="s">
        <v>766</v>
      </c>
      <c r="C78" s="14" t="e">
        <f ca="1">_xll.BDH("ANSS US Equity","NUMBER_OF_SITES","FY 2009","FY 2009","Currency=USD","Period=FY","BEST_FPERIOD_OVERRIDE=FY","FILING_STATUS=MR","Sort=A","Dates=H","DateFormat=P","Fill=—","Direction=H","UseDPDF=Y")</f>
        <v>#NAME?</v>
      </c>
      <c r="D78" s="14" t="e">
        <f ca="1">_xll.BDH("ANSS US Equity","NUMBER_OF_SITES","FY 2010","FY 2010","Currency=USD","Period=FY","BEST_FPERIOD_OVERRIDE=FY","FILING_STATUS=MR","Sort=A","Dates=H","DateFormat=P","Fill=—","Direction=H","UseDPDF=Y")</f>
        <v>#NAME?</v>
      </c>
      <c r="E78" s="14" t="e">
        <f ca="1">_xll.BDH("ANSS US Equity","NUMBER_OF_SITES","FY 2011","FY 2011","Currency=USD","Period=FY","BEST_FPERIOD_OVERRIDE=FY","FILING_STATUS=MR","Sort=A","Dates=H","DateFormat=P","Fill=—","Direction=H","UseDPDF=Y")</f>
        <v>#NAME?</v>
      </c>
      <c r="F78" s="14" t="e">
        <f ca="1">_xll.BDH("ANSS US Equity","NUMBER_OF_SITES","FY 2012","FY 2012","Currency=USD","Period=FY","BEST_FPERIOD_OVERRIDE=FY","FILING_STATUS=MR","Sort=A","Dates=H","DateFormat=P","Fill=—","Direction=H","UseDPDF=Y")</f>
        <v>#NAME?</v>
      </c>
      <c r="G78" s="14" t="e">
        <f ca="1">_xll.BDH("ANSS US Equity","NUMBER_OF_SITES","FY 2013","FY 2013","Currency=USD","Period=FY","BEST_FPERIOD_OVERRIDE=FY","FILING_STATUS=MR","Sort=A","Dates=H","DateFormat=P","Fill=—","Direction=H","UseDPDF=Y")</f>
        <v>#NAME?</v>
      </c>
      <c r="H78" s="14" t="e">
        <f ca="1">_xll.BDH("ANSS US Equity","NUMBER_OF_SITES","FY 2014","FY 2014","Currency=USD","Period=FY","BEST_FPERIOD_OVERRIDE=FY","FILING_STATUS=MR","Sort=A","Dates=H","DateFormat=P","Fill=—","Direction=H","UseDPDF=Y")</f>
        <v>#NAME?</v>
      </c>
      <c r="I78" s="14" t="e">
        <f ca="1">_xll.BDH("ANSS US Equity","NUMBER_OF_SITES","FY 2015","FY 2015","Currency=USD","Period=FY","BEST_FPERIOD_OVERRIDE=FY","FILING_STATUS=MR","Sort=A","Dates=H","DateFormat=P","Fill=—","Direction=H","UseDPDF=Y")</f>
        <v>#NAME?</v>
      </c>
      <c r="J78" s="14" t="e">
        <f ca="1">_xll.BDH("ANSS US Equity","NUMBER_OF_SITES","FY 2016","FY 2016","Currency=USD","Period=FY","BEST_FPERIOD_OVERRIDE=FY","FILING_STATUS=MR","Sort=A","Dates=H","DateFormat=P","Fill=—","Direction=H","UseDPDF=Y")</f>
        <v>#NAME?</v>
      </c>
      <c r="K78" s="14" t="e">
        <f ca="1">_xll.BDH("ANSS US Equity","NUMBER_OF_SITES","FY 2017","FY 2017","Currency=USD","Period=FY","BEST_FPERIOD_OVERRIDE=FY","FILING_STATUS=MR","Sort=A","Dates=H","DateFormat=P","Fill=—","Direction=H","UseDPDF=Y")</f>
        <v>#NAME?</v>
      </c>
      <c r="L78" s="14" t="e">
        <f ca="1">_xll.BDH("ANSS US Equity","NUMBER_OF_SITES","FY 2018","FY 2018","Currency=USD","Period=FY","BEST_FPERIOD_OVERRIDE=FY","FILING_STATUS=MR","Sort=A","Dates=H","DateFormat=P","Fill=—","Direction=H","UseDPDF=Y")</f>
        <v>#NAME?</v>
      </c>
      <c r="M78" s="14" t="e">
        <f ca="1">_xll.BDH("ANSS US Equity","NUMBER_OF_SITES","FY 2019","FY 2019","Currency=USD","Period=FY","BEST_FPERIOD_OVERRIDE=FY","FILING_STATUS=MR","Sort=A","Dates=H","DateFormat=P","Fill=—","Direction=H","UseDPDF=Y")</f>
        <v>#NAME?</v>
      </c>
      <c r="N78" s="14" t="e">
        <f ca="1">_xll.BDH("ANSS US Equity","NUMBER_OF_SITES","FY 2020","FY 2020","Currency=USD","Period=FY","BEST_FPERIOD_OVERRIDE=FY","FILING_STATUS=MR","Sort=A","Dates=H","DateFormat=P","Fill=—","Direction=H","UseDPDF=Y")</f>
        <v>#NAME?</v>
      </c>
      <c r="O78" s="14" t="e">
        <f ca="1">_xll.BDH("ANSS US Equity","NUMBER_OF_SITES","FY 2021","FY 2021","Currency=USD","Period=FY","BEST_FPERIOD_OVERRIDE=FY","FILING_STATUS=MR","Sort=A","Dates=H","DateFormat=P","Fill=—","Direction=H","UseDPDF=Y")</f>
        <v>#NAME?</v>
      </c>
      <c r="P78" s="14" t="e">
        <f ca="1">_xll.BDH("ANSS US Equity","NUMBER_OF_SITES","FY 2022","FY 2022","Currency=USD","Period=FY","BEST_FPERIOD_OVERRIDE=FY","FILING_STATUS=MR","Sort=A","Dates=H","DateFormat=P","Fill=—","Direction=H","UseDPDF=Y")</f>
        <v>#NAME?</v>
      </c>
      <c r="Q78" s="14" t="e">
        <f ca="1">_xll.BDH("ANSS US Equity","NUMBER_OF_SITES","FY 2023","FY 2023","Currency=USD","Period=FY","BEST_FPERIOD_OVERRIDE=FY","FILING_STATUS=MR","Sort=A","Dates=H","DateFormat=P","Fill=—","Direction=H","UseDPDF=Y")</f>
        <v>#NAME?</v>
      </c>
    </row>
    <row r="79" spans="1:17" x14ac:dyDescent="0.45">
      <c r="A79" s="10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 x14ac:dyDescent="0.45">
      <c r="A80" s="10" t="s">
        <v>767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 x14ac:dyDescent="0.45">
      <c r="A81" s="10" t="s">
        <v>768</v>
      </c>
      <c r="B81" s="10" t="s">
        <v>769</v>
      </c>
      <c r="C81" s="12" t="s">
        <v>687</v>
      </c>
      <c r="D81" s="12" t="s">
        <v>687</v>
      </c>
      <c r="E81" s="12" t="s">
        <v>687</v>
      </c>
      <c r="F81" s="12" t="s">
        <v>687</v>
      </c>
      <c r="G81" s="12" t="s">
        <v>687</v>
      </c>
      <c r="H81" s="12" t="s">
        <v>687</v>
      </c>
      <c r="I81" s="12" t="s">
        <v>687</v>
      </c>
      <c r="J81" s="12" t="s">
        <v>687</v>
      </c>
      <c r="K81" s="12" t="s">
        <v>687</v>
      </c>
      <c r="L81" s="12" t="s">
        <v>687</v>
      </c>
      <c r="M81" s="12" t="s">
        <v>687</v>
      </c>
      <c r="N81" s="12" t="s">
        <v>687</v>
      </c>
      <c r="O81" s="12" t="s">
        <v>687</v>
      </c>
      <c r="P81" s="12" t="s">
        <v>687</v>
      </c>
      <c r="Q81" s="12" t="s">
        <v>687</v>
      </c>
    </row>
    <row r="82" spans="1:17" x14ac:dyDescent="0.45">
      <c r="A82" s="10" t="s">
        <v>770</v>
      </c>
      <c r="B82" s="10" t="s">
        <v>771</v>
      </c>
      <c r="C82" s="12" t="s">
        <v>687</v>
      </c>
      <c r="D82" s="12" t="s">
        <v>687</v>
      </c>
      <c r="E82" s="12" t="s">
        <v>687</v>
      </c>
      <c r="F82" s="12" t="s">
        <v>687</v>
      </c>
      <c r="G82" s="12" t="s">
        <v>687</v>
      </c>
      <c r="H82" s="12" t="s">
        <v>687</v>
      </c>
      <c r="I82" s="12" t="s">
        <v>687</v>
      </c>
      <c r="J82" s="12" t="s">
        <v>687</v>
      </c>
      <c r="K82" s="12" t="s">
        <v>684</v>
      </c>
      <c r="L82" s="12" t="s">
        <v>684</v>
      </c>
      <c r="M82" s="12" t="s">
        <v>684</v>
      </c>
      <c r="N82" s="12" t="s">
        <v>684</v>
      </c>
      <c r="O82" s="12" t="s">
        <v>684</v>
      </c>
      <c r="P82" s="12" t="s">
        <v>684</v>
      </c>
      <c r="Q82" s="12" t="s">
        <v>684</v>
      </c>
    </row>
    <row r="83" spans="1:17" x14ac:dyDescent="0.45">
      <c r="A83" s="10" t="s">
        <v>772</v>
      </c>
      <c r="B83" s="10" t="s">
        <v>773</v>
      </c>
      <c r="C83" s="12" t="s">
        <v>687</v>
      </c>
      <c r="D83" s="12" t="s">
        <v>687</v>
      </c>
      <c r="E83" s="12" t="s">
        <v>687</v>
      </c>
      <c r="F83" s="12" t="s">
        <v>687</v>
      </c>
      <c r="G83" s="12" t="s">
        <v>687</v>
      </c>
      <c r="H83" s="12" t="s">
        <v>687</v>
      </c>
      <c r="I83" s="12" t="s">
        <v>687</v>
      </c>
      <c r="J83" s="12" t="s">
        <v>687</v>
      </c>
      <c r="K83" s="12" t="s">
        <v>687</v>
      </c>
      <c r="L83" s="12" t="s">
        <v>687</v>
      </c>
      <c r="M83" s="12" t="s">
        <v>687</v>
      </c>
      <c r="N83" s="12" t="s">
        <v>687</v>
      </c>
      <c r="O83" s="12" t="s">
        <v>687</v>
      </c>
      <c r="P83" s="12" t="s">
        <v>687</v>
      </c>
      <c r="Q83" s="12" t="s">
        <v>684</v>
      </c>
    </row>
    <row r="84" spans="1:17" x14ac:dyDescent="0.45">
      <c r="A84" s="10" t="s">
        <v>774</v>
      </c>
      <c r="B84" s="10" t="s">
        <v>775</v>
      </c>
      <c r="C84" s="12" t="s">
        <v>687</v>
      </c>
      <c r="D84" s="12" t="s">
        <v>687</v>
      </c>
      <c r="E84" s="12" t="s">
        <v>687</v>
      </c>
      <c r="F84" s="12" t="s">
        <v>687</v>
      </c>
      <c r="G84" s="12" t="s">
        <v>687</v>
      </c>
      <c r="H84" s="12" t="s">
        <v>687</v>
      </c>
      <c r="I84" s="12" t="s">
        <v>687</v>
      </c>
      <c r="J84" s="12" t="s">
        <v>687</v>
      </c>
      <c r="K84" s="12" t="s">
        <v>687</v>
      </c>
      <c r="L84" s="12" t="s">
        <v>687</v>
      </c>
      <c r="M84" s="12" t="s">
        <v>687</v>
      </c>
      <c r="N84" s="12" t="s">
        <v>687</v>
      </c>
      <c r="O84" s="12" t="s">
        <v>687</v>
      </c>
      <c r="P84" s="12" t="s">
        <v>687</v>
      </c>
      <c r="Q84" s="12" t="s">
        <v>687</v>
      </c>
    </row>
    <row r="85" spans="1:17" x14ac:dyDescent="0.45">
      <c r="A85" s="10" t="s">
        <v>776</v>
      </c>
      <c r="B85" s="10" t="s">
        <v>777</v>
      </c>
      <c r="C85" s="12" t="s">
        <v>687</v>
      </c>
      <c r="D85" s="12" t="s">
        <v>687</v>
      </c>
      <c r="E85" s="12" t="s">
        <v>687</v>
      </c>
      <c r="F85" s="12" t="s">
        <v>687</v>
      </c>
      <c r="G85" s="12" t="s">
        <v>687</v>
      </c>
      <c r="H85" s="12" t="s">
        <v>687</v>
      </c>
      <c r="I85" s="12" t="s">
        <v>687</v>
      </c>
      <c r="J85" s="12" t="s">
        <v>687</v>
      </c>
      <c r="K85" s="12" t="s">
        <v>687</v>
      </c>
      <c r="L85" s="12" t="s">
        <v>687</v>
      </c>
      <c r="M85" s="12" t="s">
        <v>687</v>
      </c>
      <c r="N85" s="12" t="s">
        <v>687</v>
      </c>
      <c r="O85" s="12" t="s">
        <v>687</v>
      </c>
      <c r="P85" s="12" t="s">
        <v>687</v>
      </c>
      <c r="Q85" s="12" t="s">
        <v>687</v>
      </c>
    </row>
    <row r="86" spans="1:17" x14ac:dyDescent="0.45">
      <c r="A86" s="10" t="s">
        <v>778</v>
      </c>
      <c r="B86" s="10" t="s">
        <v>779</v>
      </c>
      <c r="C86" s="12" t="s">
        <v>687</v>
      </c>
      <c r="D86" s="12" t="s">
        <v>687</v>
      </c>
      <c r="E86" s="12" t="s">
        <v>687</v>
      </c>
      <c r="F86" s="12" t="s">
        <v>687</v>
      </c>
      <c r="G86" s="12" t="s">
        <v>687</v>
      </c>
      <c r="H86" s="12" t="s">
        <v>687</v>
      </c>
      <c r="I86" s="12" t="s">
        <v>687</v>
      </c>
      <c r="J86" s="12" t="s">
        <v>687</v>
      </c>
      <c r="K86" s="12" t="s">
        <v>684</v>
      </c>
      <c r="L86" s="12" t="s">
        <v>684</v>
      </c>
      <c r="M86" s="12" t="s">
        <v>684</v>
      </c>
      <c r="N86" s="12" t="s">
        <v>684</v>
      </c>
      <c r="O86" s="12" t="s">
        <v>684</v>
      </c>
      <c r="P86" s="12" t="s">
        <v>684</v>
      </c>
      <c r="Q86" s="12" t="s">
        <v>684</v>
      </c>
    </row>
    <row r="87" spans="1:17" x14ac:dyDescent="0.45">
      <c r="A87" s="10" t="s">
        <v>780</v>
      </c>
      <c r="B87" s="10" t="s">
        <v>781</v>
      </c>
      <c r="C87" s="12" t="s">
        <v>687</v>
      </c>
      <c r="D87" s="12" t="s">
        <v>687</v>
      </c>
      <c r="E87" s="12" t="s">
        <v>687</v>
      </c>
      <c r="F87" s="12" t="s">
        <v>687</v>
      </c>
      <c r="G87" s="12" t="s">
        <v>687</v>
      </c>
      <c r="H87" s="12" t="s">
        <v>687</v>
      </c>
      <c r="I87" s="12" t="s">
        <v>687</v>
      </c>
      <c r="J87" s="12" t="s">
        <v>687</v>
      </c>
      <c r="K87" s="12" t="s">
        <v>687</v>
      </c>
      <c r="L87" s="12" t="s">
        <v>687</v>
      </c>
      <c r="M87" s="12" t="s">
        <v>687</v>
      </c>
      <c r="N87" s="12" t="s">
        <v>687</v>
      </c>
      <c r="O87" s="12" t="s">
        <v>687</v>
      </c>
      <c r="P87" s="12" t="s">
        <v>687</v>
      </c>
      <c r="Q87" s="12" t="s">
        <v>687</v>
      </c>
    </row>
    <row r="88" spans="1:17" x14ac:dyDescent="0.45">
      <c r="A88" s="10" t="s">
        <v>782</v>
      </c>
      <c r="B88" s="10" t="s">
        <v>783</v>
      </c>
      <c r="C88" s="12" t="s">
        <v>687</v>
      </c>
      <c r="D88" s="12" t="s">
        <v>687</v>
      </c>
      <c r="E88" s="12" t="s">
        <v>687</v>
      </c>
      <c r="F88" s="12" t="s">
        <v>687</v>
      </c>
      <c r="G88" s="12" t="s">
        <v>687</v>
      </c>
      <c r="H88" s="12" t="s">
        <v>687</v>
      </c>
      <c r="I88" s="12" t="s">
        <v>687</v>
      </c>
      <c r="J88" s="12" t="s">
        <v>687</v>
      </c>
      <c r="K88" s="12" t="s">
        <v>684</v>
      </c>
      <c r="L88" s="12" t="s">
        <v>684</v>
      </c>
      <c r="M88" s="12" t="s">
        <v>684</v>
      </c>
      <c r="N88" s="12" t="s">
        <v>684</v>
      </c>
      <c r="O88" s="12" t="s">
        <v>684</v>
      </c>
      <c r="P88" s="12" t="s">
        <v>684</v>
      </c>
      <c r="Q88" s="12" t="s">
        <v>684</v>
      </c>
    </row>
    <row r="89" spans="1:17" x14ac:dyDescent="0.45">
      <c r="A89" s="10" t="s">
        <v>784</v>
      </c>
      <c r="B89" s="10" t="s">
        <v>785</v>
      </c>
      <c r="C89" s="12" t="s">
        <v>687</v>
      </c>
      <c r="D89" s="12" t="s">
        <v>687</v>
      </c>
      <c r="E89" s="12" t="s">
        <v>687</v>
      </c>
      <c r="F89" s="12" t="s">
        <v>687</v>
      </c>
      <c r="G89" s="12" t="s">
        <v>687</v>
      </c>
      <c r="H89" s="12" t="s">
        <v>687</v>
      </c>
      <c r="I89" s="12" t="s">
        <v>687</v>
      </c>
      <c r="J89" s="12" t="s">
        <v>687</v>
      </c>
      <c r="K89" s="12" t="s">
        <v>687</v>
      </c>
      <c r="L89" s="12" t="s">
        <v>687</v>
      </c>
      <c r="M89" s="12" t="s">
        <v>684</v>
      </c>
      <c r="N89" s="12" t="s">
        <v>684</v>
      </c>
      <c r="O89" s="12" t="s">
        <v>684</v>
      </c>
      <c r="P89" s="12" t="s">
        <v>684</v>
      </c>
      <c r="Q89" s="12" t="s">
        <v>684</v>
      </c>
    </row>
    <row r="90" spans="1:17" x14ac:dyDescent="0.45">
      <c r="A90" s="10" t="s">
        <v>786</v>
      </c>
      <c r="B90" s="10" t="s">
        <v>787</v>
      </c>
      <c r="C90" s="12" t="s">
        <v>687</v>
      </c>
      <c r="D90" s="12" t="s">
        <v>687</v>
      </c>
      <c r="E90" s="12" t="s">
        <v>687</v>
      </c>
      <c r="F90" s="12" t="s">
        <v>687</v>
      </c>
      <c r="G90" s="12" t="s">
        <v>687</v>
      </c>
      <c r="H90" s="12" t="s">
        <v>687</v>
      </c>
      <c r="I90" s="12" t="s">
        <v>687</v>
      </c>
      <c r="J90" s="12" t="s">
        <v>687</v>
      </c>
      <c r="K90" s="12" t="s">
        <v>687</v>
      </c>
      <c r="L90" s="12" t="s">
        <v>687</v>
      </c>
      <c r="M90" s="12" t="s">
        <v>687</v>
      </c>
      <c r="N90" s="12" t="s">
        <v>687</v>
      </c>
      <c r="O90" s="12" t="s">
        <v>687</v>
      </c>
      <c r="P90" s="12" t="s">
        <v>687</v>
      </c>
      <c r="Q90" s="12" t="s">
        <v>687</v>
      </c>
    </row>
    <row r="91" spans="1:17" x14ac:dyDescent="0.45">
      <c r="A91" s="10" t="s">
        <v>788</v>
      </c>
      <c r="B91" s="10" t="s">
        <v>789</v>
      </c>
      <c r="C91" s="12" t="s">
        <v>687</v>
      </c>
      <c r="D91" s="12" t="s">
        <v>687</v>
      </c>
      <c r="E91" s="12" t="s">
        <v>687</v>
      </c>
      <c r="F91" s="12" t="s">
        <v>687</v>
      </c>
      <c r="G91" s="12" t="s">
        <v>687</v>
      </c>
      <c r="H91" s="12" t="s">
        <v>687</v>
      </c>
      <c r="I91" s="12" t="s">
        <v>687</v>
      </c>
      <c r="J91" s="12" t="s">
        <v>687</v>
      </c>
      <c r="K91" s="12" t="s">
        <v>687</v>
      </c>
      <c r="L91" s="12" t="s">
        <v>687</v>
      </c>
      <c r="M91" s="12" t="s">
        <v>687</v>
      </c>
      <c r="N91" s="12" t="s">
        <v>687</v>
      </c>
      <c r="O91" s="12" t="s">
        <v>687</v>
      </c>
      <c r="P91" s="12" t="s">
        <v>687</v>
      </c>
      <c r="Q91" s="12" t="s">
        <v>687</v>
      </c>
    </row>
    <row r="92" spans="1:17" x14ac:dyDescent="0.45">
      <c r="A92" s="10" t="s">
        <v>790</v>
      </c>
      <c r="B92" s="10" t="s">
        <v>791</v>
      </c>
      <c r="C92" s="12" t="s">
        <v>687</v>
      </c>
      <c r="D92" s="12" t="s">
        <v>687</v>
      </c>
      <c r="E92" s="12" t="s">
        <v>687</v>
      </c>
      <c r="F92" s="12" t="s">
        <v>687</v>
      </c>
      <c r="G92" s="12" t="s">
        <v>687</v>
      </c>
      <c r="H92" s="12" t="s">
        <v>687</v>
      </c>
      <c r="I92" s="12" t="s">
        <v>687</v>
      </c>
      <c r="J92" s="12" t="s">
        <v>687</v>
      </c>
      <c r="K92" s="12" t="s">
        <v>687</v>
      </c>
      <c r="L92" s="12" t="s">
        <v>687</v>
      </c>
      <c r="M92" s="12" t="s">
        <v>687</v>
      </c>
      <c r="N92" s="12" t="s">
        <v>687</v>
      </c>
      <c r="O92" s="12" t="s">
        <v>687</v>
      </c>
      <c r="P92" s="12" t="s">
        <v>687</v>
      </c>
      <c r="Q92" s="12" t="s">
        <v>687</v>
      </c>
    </row>
    <row r="93" spans="1:17" x14ac:dyDescent="0.45">
      <c r="A93" s="10" t="s">
        <v>792</v>
      </c>
      <c r="B93" s="10" t="s">
        <v>793</v>
      </c>
      <c r="C93" s="12" t="s">
        <v>687</v>
      </c>
      <c r="D93" s="12" t="s">
        <v>687</v>
      </c>
      <c r="E93" s="12" t="s">
        <v>687</v>
      </c>
      <c r="F93" s="12" t="s">
        <v>687</v>
      </c>
      <c r="G93" s="12" t="s">
        <v>687</v>
      </c>
      <c r="H93" s="12" t="s">
        <v>687</v>
      </c>
      <c r="I93" s="12" t="s">
        <v>687</v>
      </c>
      <c r="J93" s="12" t="s">
        <v>687</v>
      </c>
      <c r="K93" s="12" t="s">
        <v>687</v>
      </c>
      <c r="L93" s="12" t="s">
        <v>687</v>
      </c>
      <c r="M93" s="12" t="s">
        <v>687</v>
      </c>
      <c r="N93" s="12" t="s">
        <v>687</v>
      </c>
      <c r="O93" s="12" t="s">
        <v>687</v>
      </c>
      <c r="P93" s="12" t="s">
        <v>687</v>
      </c>
      <c r="Q93" s="12" t="s">
        <v>687</v>
      </c>
    </row>
    <row r="94" spans="1:17" x14ac:dyDescent="0.45">
      <c r="A94" s="10" t="s">
        <v>794</v>
      </c>
      <c r="B94" s="10" t="s">
        <v>795</v>
      </c>
      <c r="C94" s="12" t="s">
        <v>687</v>
      </c>
      <c r="D94" s="12" t="s">
        <v>687</v>
      </c>
      <c r="E94" s="12" t="s">
        <v>687</v>
      </c>
      <c r="F94" s="12" t="s">
        <v>687</v>
      </c>
      <c r="G94" s="12" t="s">
        <v>687</v>
      </c>
      <c r="H94" s="12" t="s">
        <v>687</v>
      </c>
      <c r="I94" s="12" t="s">
        <v>687</v>
      </c>
      <c r="J94" s="12" t="s">
        <v>687</v>
      </c>
      <c r="K94" s="12" t="s">
        <v>687</v>
      </c>
      <c r="L94" s="12" t="s">
        <v>687</v>
      </c>
      <c r="M94" s="12" t="s">
        <v>687</v>
      </c>
      <c r="N94" s="12" t="s">
        <v>687</v>
      </c>
      <c r="O94" s="12" t="s">
        <v>684</v>
      </c>
      <c r="P94" s="12" t="s">
        <v>684</v>
      </c>
      <c r="Q94" s="12" t="s">
        <v>684</v>
      </c>
    </row>
    <row r="95" spans="1:17" x14ac:dyDescent="0.45">
      <c r="A95" s="10" t="s">
        <v>796</v>
      </c>
      <c r="B95" s="10" t="s">
        <v>797</v>
      </c>
      <c r="C95" s="12" t="s">
        <v>683</v>
      </c>
      <c r="D95" s="12" t="s">
        <v>683</v>
      </c>
      <c r="E95" s="12" t="s">
        <v>683</v>
      </c>
      <c r="F95" s="12" t="s">
        <v>683</v>
      </c>
      <c r="G95" s="12" t="s">
        <v>683</v>
      </c>
      <c r="H95" s="12" t="s">
        <v>683</v>
      </c>
      <c r="I95" s="12" t="s">
        <v>683</v>
      </c>
      <c r="J95" s="12" t="s">
        <v>683</v>
      </c>
      <c r="K95" s="12" t="s">
        <v>683</v>
      </c>
      <c r="L95" s="12" t="s">
        <v>683</v>
      </c>
      <c r="M95" s="12" t="s">
        <v>687</v>
      </c>
      <c r="N95" s="12" t="s">
        <v>687</v>
      </c>
      <c r="O95" s="12" t="s">
        <v>687</v>
      </c>
      <c r="P95" s="12" t="s">
        <v>687</v>
      </c>
      <c r="Q95" s="12" t="s">
        <v>687</v>
      </c>
    </row>
    <row r="96" spans="1:17" x14ac:dyDescent="0.45">
      <c r="A96" s="10" t="s">
        <v>798</v>
      </c>
      <c r="B96" s="10" t="s">
        <v>799</v>
      </c>
      <c r="C96" s="12" t="s">
        <v>683</v>
      </c>
      <c r="D96" s="12" t="s">
        <v>683</v>
      </c>
      <c r="E96" s="12" t="s">
        <v>683</v>
      </c>
      <c r="F96" s="12" t="s">
        <v>683</v>
      </c>
      <c r="G96" s="12" t="s">
        <v>683</v>
      </c>
      <c r="H96" s="12" t="s">
        <v>683</v>
      </c>
      <c r="I96" s="12" t="s">
        <v>687</v>
      </c>
      <c r="J96" s="12" t="s">
        <v>687</v>
      </c>
      <c r="K96" s="12" t="s">
        <v>687</v>
      </c>
      <c r="L96" s="12" t="s">
        <v>687</v>
      </c>
      <c r="M96" s="12" t="s">
        <v>687</v>
      </c>
      <c r="N96" s="12" t="s">
        <v>687</v>
      </c>
      <c r="O96" s="12" t="s">
        <v>687</v>
      </c>
      <c r="P96" s="12" t="s">
        <v>687</v>
      </c>
      <c r="Q96" s="12" t="s">
        <v>687</v>
      </c>
    </row>
    <row r="97" spans="1:17" x14ac:dyDescent="0.45">
      <c r="A97" s="10" t="s">
        <v>800</v>
      </c>
      <c r="B97" s="10" t="s">
        <v>801</v>
      </c>
      <c r="C97" s="12" t="s">
        <v>683</v>
      </c>
      <c r="D97" s="12" t="s">
        <v>683</v>
      </c>
      <c r="E97" s="12" t="s">
        <v>683</v>
      </c>
      <c r="F97" s="12" t="s">
        <v>683</v>
      </c>
      <c r="G97" s="12" t="s">
        <v>683</v>
      </c>
      <c r="H97" s="12" t="s">
        <v>683</v>
      </c>
      <c r="I97" s="12" t="s">
        <v>683</v>
      </c>
      <c r="J97" s="12" t="s">
        <v>683</v>
      </c>
      <c r="K97" s="12" t="s">
        <v>683</v>
      </c>
      <c r="L97" s="12" t="s">
        <v>683</v>
      </c>
      <c r="M97" s="12" t="s">
        <v>687</v>
      </c>
      <c r="N97" s="12" t="s">
        <v>687</v>
      </c>
      <c r="O97" s="12" t="s">
        <v>687</v>
      </c>
      <c r="P97" s="12" t="s">
        <v>687</v>
      </c>
      <c r="Q97" s="12" t="s">
        <v>687</v>
      </c>
    </row>
    <row r="98" spans="1:17" x14ac:dyDescent="0.45">
      <c r="A98" s="1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1:17" x14ac:dyDescent="0.45">
      <c r="A99" s="10" t="s">
        <v>802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1:17" x14ac:dyDescent="0.45">
      <c r="A100" s="10" t="s">
        <v>786</v>
      </c>
      <c r="B100" s="10" t="s">
        <v>787</v>
      </c>
      <c r="C100" s="12" t="s">
        <v>687</v>
      </c>
      <c r="D100" s="12" t="s">
        <v>687</v>
      </c>
      <c r="E100" s="12" t="s">
        <v>687</v>
      </c>
      <c r="F100" s="12" t="s">
        <v>687</v>
      </c>
      <c r="G100" s="12" t="s">
        <v>687</v>
      </c>
      <c r="H100" s="12" t="s">
        <v>687</v>
      </c>
      <c r="I100" s="12" t="s">
        <v>687</v>
      </c>
      <c r="J100" s="12" t="s">
        <v>687</v>
      </c>
      <c r="K100" s="12" t="s">
        <v>687</v>
      </c>
      <c r="L100" s="12" t="s">
        <v>687</v>
      </c>
      <c r="M100" s="12" t="s">
        <v>687</v>
      </c>
      <c r="N100" s="12" t="s">
        <v>687</v>
      </c>
      <c r="O100" s="12" t="s">
        <v>687</v>
      </c>
      <c r="P100" s="12" t="s">
        <v>687</v>
      </c>
      <c r="Q100" s="12" t="s">
        <v>687</v>
      </c>
    </row>
    <row r="101" spans="1:17" x14ac:dyDescent="0.45">
      <c r="A101" s="10" t="s">
        <v>696</v>
      </c>
      <c r="B101" s="10" t="s">
        <v>697</v>
      </c>
      <c r="C101" s="12" t="s">
        <v>683</v>
      </c>
      <c r="D101" s="12" t="s">
        <v>683</v>
      </c>
      <c r="E101" s="12" t="s">
        <v>683</v>
      </c>
      <c r="F101" s="12" t="s">
        <v>683</v>
      </c>
      <c r="G101" s="12" t="s">
        <v>683</v>
      </c>
      <c r="H101" s="12" t="s">
        <v>683</v>
      </c>
      <c r="I101" s="12" t="s">
        <v>683</v>
      </c>
      <c r="J101" s="12" t="s">
        <v>683</v>
      </c>
      <c r="K101" s="12" t="s">
        <v>683</v>
      </c>
      <c r="L101" s="12" t="s">
        <v>683</v>
      </c>
      <c r="M101" s="12" t="s">
        <v>687</v>
      </c>
      <c r="N101" s="12" t="s">
        <v>683</v>
      </c>
      <c r="O101" s="12" t="s">
        <v>687</v>
      </c>
      <c r="P101" s="12" t="s">
        <v>687</v>
      </c>
      <c r="Q101" s="12" t="s">
        <v>687</v>
      </c>
    </row>
    <row r="102" spans="1:17" x14ac:dyDescent="0.45">
      <c r="A102" s="10" t="s">
        <v>803</v>
      </c>
      <c r="B102" s="10" t="s">
        <v>804</v>
      </c>
      <c r="C102" s="12" t="s">
        <v>683</v>
      </c>
      <c r="D102" s="12" t="s">
        <v>683</v>
      </c>
      <c r="E102" s="12" t="s">
        <v>683</v>
      </c>
      <c r="F102" s="12" t="s">
        <v>683</v>
      </c>
      <c r="G102" s="12" t="s">
        <v>683</v>
      </c>
      <c r="H102" s="12" t="s">
        <v>683</v>
      </c>
      <c r="I102" s="12" t="s">
        <v>683</v>
      </c>
      <c r="J102" s="12" t="s">
        <v>683</v>
      </c>
      <c r="K102" s="12" t="s">
        <v>683</v>
      </c>
      <c r="L102" s="12" t="s">
        <v>683</v>
      </c>
      <c r="M102" s="12" t="s">
        <v>687</v>
      </c>
      <c r="N102" s="12" t="s">
        <v>683</v>
      </c>
      <c r="O102" s="12" t="s">
        <v>687</v>
      </c>
      <c r="P102" s="12" t="s">
        <v>687</v>
      </c>
      <c r="Q102" s="12" t="s">
        <v>683</v>
      </c>
    </row>
    <row r="103" spans="1:17" x14ac:dyDescent="0.45">
      <c r="A103" s="10" t="s">
        <v>805</v>
      </c>
      <c r="B103" s="10" t="s">
        <v>806</v>
      </c>
      <c r="C103" s="12" t="s">
        <v>683</v>
      </c>
      <c r="D103" s="12" t="s">
        <v>683</v>
      </c>
      <c r="E103" s="12" t="s">
        <v>683</v>
      </c>
      <c r="F103" s="12" t="s">
        <v>683</v>
      </c>
      <c r="G103" s="12" t="s">
        <v>683</v>
      </c>
      <c r="H103" s="12" t="s">
        <v>683</v>
      </c>
      <c r="I103" s="12" t="s">
        <v>683</v>
      </c>
      <c r="J103" s="12" t="s">
        <v>683</v>
      </c>
      <c r="K103" s="12" t="s">
        <v>683</v>
      </c>
      <c r="L103" s="12" t="s">
        <v>683</v>
      </c>
      <c r="M103" s="12" t="s">
        <v>687</v>
      </c>
      <c r="N103" s="12" t="s">
        <v>687</v>
      </c>
      <c r="O103" s="12" t="s">
        <v>687</v>
      </c>
      <c r="P103" s="12" t="s">
        <v>687</v>
      </c>
      <c r="Q103" s="12" t="s">
        <v>683</v>
      </c>
    </row>
    <row r="104" spans="1:17" x14ac:dyDescent="0.45">
      <c r="A104" s="10" t="s">
        <v>807</v>
      </c>
      <c r="B104" s="10" t="s">
        <v>808</v>
      </c>
      <c r="C104" s="12" t="s">
        <v>683</v>
      </c>
      <c r="D104" s="12" t="s">
        <v>683</v>
      </c>
      <c r="E104" s="12" t="s">
        <v>683</v>
      </c>
      <c r="F104" s="12" t="s">
        <v>683</v>
      </c>
      <c r="G104" s="12" t="s">
        <v>683</v>
      </c>
      <c r="H104" s="12" t="s">
        <v>683</v>
      </c>
      <c r="I104" s="12" t="s">
        <v>683</v>
      </c>
      <c r="J104" s="12" t="s">
        <v>683</v>
      </c>
      <c r="K104" s="12" t="s">
        <v>683</v>
      </c>
      <c r="L104" s="12" t="s">
        <v>683</v>
      </c>
      <c r="M104" s="12" t="s">
        <v>687</v>
      </c>
      <c r="N104" s="12" t="s">
        <v>683</v>
      </c>
      <c r="O104" s="12" t="s">
        <v>687</v>
      </c>
      <c r="P104" s="12" t="s">
        <v>687</v>
      </c>
      <c r="Q104" s="12" t="s">
        <v>683</v>
      </c>
    </row>
    <row r="105" spans="1:17" x14ac:dyDescent="0.45">
      <c r="A105" s="10" t="s">
        <v>809</v>
      </c>
      <c r="B105" s="10" t="s">
        <v>810</v>
      </c>
      <c r="C105" s="12" t="s">
        <v>683</v>
      </c>
      <c r="D105" s="12" t="s">
        <v>683</v>
      </c>
      <c r="E105" s="12" t="s">
        <v>683</v>
      </c>
      <c r="F105" s="12" t="s">
        <v>683</v>
      </c>
      <c r="G105" s="12" t="s">
        <v>683</v>
      </c>
      <c r="H105" s="12" t="s">
        <v>683</v>
      </c>
      <c r="I105" s="12" t="s">
        <v>683</v>
      </c>
      <c r="J105" s="12" t="s">
        <v>683</v>
      </c>
      <c r="K105" s="12" t="s">
        <v>683</v>
      </c>
      <c r="L105" s="12" t="s">
        <v>683</v>
      </c>
      <c r="M105" s="12" t="s">
        <v>687</v>
      </c>
      <c r="N105" s="12" t="s">
        <v>683</v>
      </c>
      <c r="O105" s="12" t="s">
        <v>687</v>
      </c>
      <c r="P105" s="12" t="s">
        <v>687</v>
      </c>
      <c r="Q105" s="12" t="s">
        <v>683</v>
      </c>
    </row>
    <row r="106" spans="1:17" x14ac:dyDescent="0.45">
      <c r="A106" s="1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1:17" x14ac:dyDescent="0.45">
      <c r="A107" s="7" t="s">
        <v>69</v>
      </c>
      <c r="B107" s="7"/>
      <c r="C107" s="7" t="s">
        <v>70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44"/>
  <sheetViews>
    <sheetView workbookViewId="0"/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65" x14ac:dyDescent="0.45">
      <c r="A2" s="8" t="s">
        <v>811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 x14ac:dyDescent="0.45">
      <c r="A6" s="10" t="s">
        <v>674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45">
      <c r="A7" s="10" t="s">
        <v>812</v>
      </c>
      <c r="B7" s="10" t="s">
        <v>813</v>
      </c>
      <c r="C7" s="14" t="e">
        <f ca="1">_xll.BDH("ANSS US Equity","SOCIAL_SCORE","FY 2009","FY 2009","Currency=USD","Period=FY","BEST_FPERIOD_OVERRIDE=FY","FILING_STATUS=MR","Sort=A","Dates=H","DateFormat=P","Fill=—","Direction=H","UseDPDF=Y")</f>
        <v>#NAME?</v>
      </c>
      <c r="D7" s="14" t="e">
        <f ca="1">_xll.BDH("ANSS US Equity","SOCIAL_SCORE","FY 2010","FY 2010","Currency=USD","Period=FY","BEST_FPERIOD_OVERRIDE=FY","FILING_STATUS=MR","Sort=A","Dates=H","DateFormat=P","Fill=—","Direction=H","UseDPDF=Y")</f>
        <v>#NAME?</v>
      </c>
      <c r="E7" s="14" t="e">
        <f ca="1">_xll.BDH("ANSS US Equity","SOCIAL_SCORE","FY 2011","FY 2011","Currency=USD","Period=FY","BEST_FPERIOD_OVERRIDE=FY","FILING_STATUS=MR","Sort=A","Dates=H","DateFormat=P","Fill=—","Direction=H","UseDPDF=Y")</f>
        <v>#NAME?</v>
      </c>
      <c r="F7" s="14" t="e">
        <f ca="1">_xll.BDH("ANSS US Equity","SOCIAL_SCORE","FY 2012","FY 2012","Currency=USD","Period=FY","BEST_FPERIOD_OVERRIDE=FY","FILING_STATUS=MR","Sort=A","Dates=H","DateFormat=P","Fill=—","Direction=H","UseDPDF=Y")</f>
        <v>#NAME?</v>
      </c>
      <c r="G7" s="14" t="e">
        <f ca="1">_xll.BDH("ANSS US Equity","SOCIAL_SCORE","FY 2013","FY 2013","Currency=USD","Period=FY","BEST_FPERIOD_OVERRIDE=FY","FILING_STATUS=MR","Sort=A","Dates=H","DateFormat=P","Fill=—","Direction=H","UseDPDF=Y")</f>
        <v>#NAME?</v>
      </c>
      <c r="H7" s="14" t="e">
        <f ca="1">_xll.BDH("ANSS US Equity","SOCIAL_SCORE","FY 2014","FY 2014","Currency=USD","Period=FY","BEST_FPERIOD_OVERRIDE=FY","FILING_STATUS=MR","Sort=A","Dates=H","DateFormat=P","Fill=—","Direction=H","UseDPDF=Y")</f>
        <v>#NAME?</v>
      </c>
      <c r="I7" s="14" t="e">
        <f ca="1">_xll.BDH("ANSS US Equity","SOCIAL_SCORE","FY 2015","FY 2015","Currency=USD","Period=FY","BEST_FPERIOD_OVERRIDE=FY","FILING_STATUS=MR","Sort=A","Dates=H","DateFormat=P","Fill=—","Direction=H","UseDPDF=Y")</f>
        <v>#NAME?</v>
      </c>
      <c r="J7" s="14" t="e">
        <f ca="1">_xll.BDH("ANSS US Equity","SOCIAL_SCORE","FY 2016","FY 2016","Currency=USD","Period=FY","BEST_FPERIOD_OVERRIDE=FY","FILING_STATUS=MR","Sort=A","Dates=H","DateFormat=P","Fill=—","Direction=H","UseDPDF=Y")</f>
        <v>#NAME?</v>
      </c>
      <c r="K7" s="14" t="e">
        <f ca="1">_xll.BDH("ANSS US Equity","SOCIAL_SCORE","FY 2017","FY 2017","Currency=USD","Period=FY","BEST_FPERIOD_OVERRIDE=FY","FILING_STATUS=MR","Sort=A","Dates=H","DateFormat=P","Fill=—","Direction=H","UseDPDF=Y")</f>
        <v>#NAME?</v>
      </c>
      <c r="L7" s="14" t="e">
        <f ca="1">_xll.BDH("ANSS US Equity","SOCIAL_SCORE","FY 2018","FY 2018","Currency=USD","Period=FY","BEST_FPERIOD_OVERRIDE=FY","FILING_STATUS=MR","Sort=A","Dates=H","DateFormat=P","Fill=—","Direction=H","UseDPDF=Y")</f>
        <v>#NAME?</v>
      </c>
      <c r="M7" s="14" t="e">
        <f ca="1">_xll.BDH("ANSS US Equity","SOCIAL_SCORE","FY 2019","FY 2019","Currency=USD","Period=FY","BEST_FPERIOD_OVERRIDE=FY","FILING_STATUS=MR","Sort=A","Dates=H","DateFormat=P","Fill=—","Direction=H","UseDPDF=Y")</f>
        <v>#NAME?</v>
      </c>
      <c r="N7" s="14" t="e">
        <f ca="1">_xll.BDH("ANSS US Equity","SOCIAL_SCORE","FY 2020","FY 2020","Currency=USD","Period=FY","BEST_FPERIOD_OVERRIDE=FY","FILING_STATUS=MR","Sort=A","Dates=H","DateFormat=P","Fill=—","Direction=H","UseDPDF=Y")</f>
        <v>#NAME?</v>
      </c>
      <c r="O7" s="14" t="e">
        <f ca="1">_xll.BDH("ANSS US Equity","SOCIAL_SCORE","FY 2021","FY 2021","Currency=USD","Period=FY","BEST_FPERIOD_OVERRIDE=FY","FILING_STATUS=MR","Sort=A","Dates=H","DateFormat=P","Fill=—","Direction=H","UseDPDF=Y")</f>
        <v>#NAME?</v>
      </c>
      <c r="P7" s="14" t="e">
        <f ca="1">_xll.BDH("ANSS US Equity","SOCIAL_SCORE","FY 2022","FY 2022","Currency=USD","Period=FY","BEST_FPERIOD_OVERRIDE=FY","FILING_STATUS=MR","Sort=A","Dates=H","DateFormat=P","Fill=—","Direction=H","UseDPDF=Y")</f>
        <v>#NAME?</v>
      </c>
      <c r="Q7" s="14" t="e">
        <f ca="1">_xll.BDH("ANSS US Equity","SOCIAL_SCORE","FY 2023","FY 2023","Currency=USD","Period=FY","BEST_FPERIOD_OVERRIDE=FY","FILING_STATUS=MR","Sort=A","Dates=H","DateFormat=P","Fill=—","Direction=H","UseDPDF=Y")</f>
        <v>#NAME?</v>
      </c>
    </row>
    <row r="8" spans="1:17" x14ac:dyDescent="0.45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45">
      <c r="A9" s="10" t="s">
        <v>677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45">
      <c r="A10" s="10" t="s">
        <v>484</v>
      </c>
      <c r="B10" s="10" t="s">
        <v>485</v>
      </c>
      <c r="C10" s="14" t="e">
        <f ca="1">_xll.BDH("ANSS US Equity","SOCIAL_DISCLOSURE_SCORE","FY 2009","FY 2009","Currency=USD","Period=FY","BEST_FPERIOD_OVERRIDE=FY","FILING_STATUS=MR","Sort=A","Dates=H","DateFormat=P","Fill=—","Direction=H","UseDPDF=Y")</f>
        <v>#NAME?</v>
      </c>
      <c r="D10" s="14" t="e">
        <f ca="1">_xll.BDH("ANSS US Equity","SOCIAL_DISCLOSURE_SCORE","FY 2010","FY 2010","Currency=USD","Period=FY","BEST_FPERIOD_OVERRIDE=FY","FILING_STATUS=MR","Sort=A","Dates=H","DateFormat=P","Fill=—","Direction=H","UseDPDF=Y")</f>
        <v>#NAME?</v>
      </c>
      <c r="E10" s="14" t="e">
        <f ca="1">_xll.BDH("ANSS US Equity","SOCIAL_DISCLOSURE_SCORE","FY 2011","FY 2011","Currency=USD","Period=FY","BEST_FPERIOD_OVERRIDE=FY","FILING_STATUS=MR","Sort=A","Dates=H","DateFormat=P","Fill=—","Direction=H","UseDPDF=Y")</f>
        <v>#NAME?</v>
      </c>
      <c r="F10" s="14" t="e">
        <f ca="1">_xll.BDH("ANSS US Equity","SOCIAL_DISCLOSURE_SCORE","FY 2012","FY 2012","Currency=USD","Period=FY","BEST_FPERIOD_OVERRIDE=FY","FILING_STATUS=MR","Sort=A","Dates=H","DateFormat=P","Fill=—","Direction=H","UseDPDF=Y")</f>
        <v>#NAME?</v>
      </c>
      <c r="G10" s="14" t="e">
        <f ca="1">_xll.BDH("ANSS US Equity","SOCIAL_DISCLOSURE_SCORE","FY 2013","FY 2013","Currency=USD","Period=FY","BEST_FPERIOD_OVERRIDE=FY","FILING_STATUS=MR","Sort=A","Dates=H","DateFormat=P","Fill=—","Direction=H","UseDPDF=Y")</f>
        <v>#NAME?</v>
      </c>
      <c r="H10" s="14" t="e">
        <f ca="1">_xll.BDH("ANSS US Equity","SOCIAL_DISCLOSURE_SCORE","FY 2014","FY 2014","Currency=USD","Period=FY","BEST_FPERIOD_OVERRIDE=FY","FILING_STATUS=MR","Sort=A","Dates=H","DateFormat=P","Fill=—","Direction=H","UseDPDF=Y")</f>
        <v>#NAME?</v>
      </c>
      <c r="I10" s="14" t="e">
        <f ca="1">_xll.BDH("ANSS US Equity","SOCIAL_DISCLOSURE_SCORE","FY 2015","FY 2015","Currency=USD","Period=FY","BEST_FPERIOD_OVERRIDE=FY","FILING_STATUS=MR","Sort=A","Dates=H","DateFormat=P","Fill=—","Direction=H","UseDPDF=Y")</f>
        <v>#NAME?</v>
      </c>
      <c r="J10" s="14" t="e">
        <f ca="1">_xll.BDH("ANSS US Equity","SOCIAL_DISCLOSURE_SCORE","FY 2016","FY 2016","Currency=USD","Period=FY","BEST_FPERIOD_OVERRIDE=FY","FILING_STATUS=MR","Sort=A","Dates=H","DateFormat=P","Fill=—","Direction=H","UseDPDF=Y")</f>
        <v>#NAME?</v>
      </c>
      <c r="K10" s="14" t="e">
        <f ca="1">_xll.BDH("ANSS US Equity","SOCIAL_DISCLOSURE_SCORE","FY 2017","FY 2017","Currency=USD","Period=FY","BEST_FPERIOD_OVERRIDE=FY","FILING_STATUS=MR","Sort=A","Dates=H","DateFormat=P","Fill=—","Direction=H","UseDPDF=Y")</f>
        <v>#NAME?</v>
      </c>
      <c r="L10" s="14" t="e">
        <f ca="1">_xll.BDH("ANSS US Equity","SOCIAL_DISCLOSURE_SCORE","FY 2018","FY 2018","Currency=USD","Period=FY","BEST_FPERIOD_OVERRIDE=FY","FILING_STATUS=MR","Sort=A","Dates=H","DateFormat=P","Fill=—","Direction=H","UseDPDF=Y")</f>
        <v>#NAME?</v>
      </c>
      <c r="M10" s="14" t="e">
        <f ca="1">_xll.BDH("ANSS US Equity","SOCIAL_DISCLOSURE_SCORE","FY 2019","FY 2019","Currency=USD","Period=FY","BEST_FPERIOD_OVERRIDE=FY","FILING_STATUS=MR","Sort=A","Dates=H","DateFormat=P","Fill=—","Direction=H","UseDPDF=Y")</f>
        <v>#NAME?</v>
      </c>
      <c r="N10" s="14" t="e">
        <f ca="1">_xll.BDH("ANSS US Equity","SOCIAL_DISCLOSURE_SCORE","FY 2020","FY 2020","Currency=USD","Period=FY","BEST_FPERIOD_OVERRIDE=FY","FILING_STATUS=MR","Sort=A","Dates=H","DateFormat=P","Fill=—","Direction=H","UseDPDF=Y")</f>
        <v>#NAME?</v>
      </c>
      <c r="O10" s="14" t="e">
        <f ca="1">_xll.BDH("ANSS US Equity","SOCIAL_DISCLOSURE_SCORE","FY 2021","FY 2021","Currency=USD","Period=FY","BEST_FPERIOD_OVERRIDE=FY","FILING_STATUS=MR","Sort=A","Dates=H","DateFormat=P","Fill=—","Direction=H","UseDPDF=Y")</f>
        <v>#NAME?</v>
      </c>
      <c r="P10" s="14" t="e">
        <f ca="1">_xll.BDH("ANSS US Equity","SOCIAL_DISCLOSURE_SCORE","FY 2022","FY 2022","Currency=USD","Period=FY","BEST_FPERIOD_OVERRIDE=FY","FILING_STATUS=MR","Sort=A","Dates=H","DateFormat=P","Fill=—","Direction=H","UseDPDF=Y")</f>
        <v>#NAME?</v>
      </c>
      <c r="Q10" s="14" t="e">
        <f ca="1">_xll.BDH("ANSS US Equity","SOCIAL_DISCLOSURE_SCORE","FY 2023","FY 2023","Currency=USD","Period=FY","BEST_FPERIOD_OVERRIDE=FY","FILING_STATUS=MR","Sort=A","Dates=H","DateFormat=P","Fill=—","Direction=H","UseDPDF=Y")</f>
        <v>#NAME?</v>
      </c>
    </row>
    <row r="11" spans="1:17" x14ac:dyDescent="0.4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45">
      <c r="A12" s="10" t="s">
        <v>814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45">
      <c r="A13" s="6" t="s">
        <v>346</v>
      </c>
      <c r="B13" s="6" t="s">
        <v>815</v>
      </c>
      <c r="C13" s="20" t="e">
        <f ca="1">_xll.BDH("ANSS US Equity","NUMBER_EMPLOYEES_CSR","FY 2009","FY 2009","Currency=USD","Period=FY","BEST_FPERIOD_OVERRIDE=FY","FILING_STATUS=MR","Sort=A","Dates=H","DateFormat=P","Fill=—","Direction=H","UseDPDF=Y")</f>
        <v>#NAME?</v>
      </c>
      <c r="D13" s="20" t="e">
        <f ca="1">_xll.BDH("ANSS US Equity","NUMBER_EMPLOYEES_CSR","FY 2010","FY 2010","Currency=USD","Period=FY","BEST_FPERIOD_OVERRIDE=FY","FILING_STATUS=MR","Sort=A","Dates=H","DateFormat=P","Fill=—","Direction=H","UseDPDF=Y")</f>
        <v>#NAME?</v>
      </c>
      <c r="E13" s="20" t="e">
        <f ca="1">_xll.BDH("ANSS US Equity","NUMBER_EMPLOYEES_CSR","FY 2011","FY 2011","Currency=USD","Period=FY","BEST_FPERIOD_OVERRIDE=FY","FILING_STATUS=MR","Sort=A","Dates=H","DateFormat=P","Fill=—","Direction=H","UseDPDF=Y")</f>
        <v>#NAME?</v>
      </c>
      <c r="F13" s="20" t="e">
        <f ca="1">_xll.BDH("ANSS US Equity","NUMBER_EMPLOYEES_CSR","FY 2012","FY 2012","Currency=USD","Period=FY","BEST_FPERIOD_OVERRIDE=FY","FILING_STATUS=MR","Sort=A","Dates=H","DateFormat=P","Fill=—","Direction=H","UseDPDF=Y")</f>
        <v>#NAME?</v>
      </c>
      <c r="G13" s="20" t="e">
        <f ca="1">_xll.BDH("ANSS US Equity","NUMBER_EMPLOYEES_CSR","FY 2013","FY 2013","Currency=USD","Period=FY","BEST_FPERIOD_OVERRIDE=FY","FILING_STATUS=MR","Sort=A","Dates=H","DateFormat=P","Fill=—","Direction=H","UseDPDF=Y")</f>
        <v>#NAME?</v>
      </c>
      <c r="H13" s="20" t="e">
        <f ca="1">_xll.BDH("ANSS US Equity","NUMBER_EMPLOYEES_CSR","FY 2014","FY 2014","Currency=USD","Period=FY","BEST_FPERIOD_OVERRIDE=FY","FILING_STATUS=MR","Sort=A","Dates=H","DateFormat=P","Fill=—","Direction=H","UseDPDF=Y")</f>
        <v>#NAME?</v>
      </c>
      <c r="I13" s="20" t="e">
        <f ca="1">_xll.BDH("ANSS US Equity","NUMBER_EMPLOYEES_CSR","FY 2015","FY 2015","Currency=USD","Period=FY","BEST_FPERIOD_OVERRIDE=FY","FILING_STATUS=MR","Sort=A","Dates=H","DateFormat=P","Fill=—","Direction=H","UseDPDF=Y")</f>
        <v>#NAME?</v>
      </c>
      <c r="J13" s="20" t="e">
        <f ca="1">_xll.BDH("ANSS US Equity","NUMBER_EMPLOYEES_CSR","FY 2016","FY 2016","Currency=USD","Period=FY","BEST_FPERIOD_OVERRIDE=FY","FILING_STATUS=MR","Sort=A","Dates=H","DateFormat=P","Fill=—","Direction=H","UseDPDF=Y")</f>
        <v>#NAME?</v>
      </c>
      <c r="K13" s="20" t="e">
        <f ca="1">_xll.BDH("ANSS US Equity","NUMBER_EMPLOYEES_CSR","FY 2017","FY 2017","Currency=USD","Period=FY","BEST_FPERIOD_OVERRIDE=FY","FILING_STATUS=MR","Sort=A","Dates=H","DateFormat=P","Fill=—","Direction=H","UseDPDF=Y")</f>
        <v>#NAME?</v>
      </c>
      <c r="L13" s="20" t="e">
        <f ca="1">_xll.BDH("ANSS US Equity","NUMBER_EMPLOYEES_CSR","FY 2018","FY 2018","Currency=USD","Period=FY","BEST_FPERIOD_OVERRIDE=FY","FILING_STATUS=MR","Sort=A","Dates=H","DateFormat=P","Fill=—","Direction=H","UseDPDF=Y")</f>
        <v>#NAME?</v>
      </c>
      <c r="M13" s="20" t="e">
        <f ca="1">_xll.BDH("ANSS US Equity","NUMBER_EMPLOYEES_CSR","FY 2019","FY 2019","Currency=USD","Period=FY","BEST_FPERIOD_OVERRIDE=FY","FILING_STATUS=MR","Sort=A","Dates=H","DateFormat=P","Fill=—","Direction=H","UseDPDF=Y")</f>
        <v>#NAME?</v>
      </c>
      <c r="N13" s="20" t="e">
        <f ca="1">_xll.BDH("ANSS US Equity","NUMBER_EMPLOYEES_CSR","FY 2020","FY 2020","Currency=USD","Period=FY","BEST_FPERIOD_OVERRIDE=FY","FILING_STATUS=MR","Sort=A","Dates=H","DateFormat=P","Fill=—","Direction=H","UseDPDF=Y")</f>
        <v>#NAME?</v>
      </c>
      <c r="O13" s="20" t="e">
        <f ca="1">_xll.BDH("ANSS US Equity","NUMBER_EMPLOYEES_CSR","FY 2021","FY 2021","Currency=USD","Period=FY","BEST_FPERIOD_OVERRIDE=FY","FILING_STATUS=MR","Sort=A","Dates=H","DateFormat=P","Fill=—","Direction=H","UseDPDF=Y")</f>
        <v>#NAME?</v>
      </c>
      <c r="P13" s="20" t="e">
        <f ca="1">_xll.BDH("ANSS US Equity","NUMBER_EMPLOYEES_CSR","FY 2022","FY 2022","Currency=USD","Period=FY","BEST_FPERIOD_OVERRIDE=FY","FILING_STATUS=MR","Sort=A","Dates=H","DateFormat=P","Fill=—","Direction=H","UseDPDF=Y")</f>
        <v>#NAME?</v>
      </c>
      <c r="Q13" s="20" t="e">
        <f ca="1">_xll.BDH("ANSS US Equity","NUMBER_EMPLOYEES_CSR","FY 2023","FY 2023","Currency=USD","Period=FY","BEST_FPERIOD_OVERRIDE=FY","FILING_STATUS=MR","Sort=A","Dates=H","DateFormat=P","Fill=—","Direction=H","UseDPDF=Y")</f>
        <v>#NAME?</v>
      </c>
    </row>
    <row r="14" spans="1:17" x14ac:dyDescent="0.45">
      <c r="A14" s="10" t="s">
        <v>816</v>
      </c>
      <c r="B14" s="10" t="s">
        <v>817</v>
      </c>
      <c r="C14" s="14" t="e">
        <f ca="1">_xll.BDH("ANSS US Equity","EMPLOYEE_TURNOVER_PCT","FY 2009","FY 2009","Currency=USD","Period=FY","BEST_FPERIOD_OVERRIDE=FY","FILING_STATUS=MR","Sort=A","Dates=H","DateFormat=P","Fill=—","Direction=H","UseDPDF=Y")</f>
        <v>#NAME?</v>
      </c>
      <c r="D14" s="14" t="e">
        <f ca="1">_xll.BDH("ANSS US Equity","EMPLOYEE_TURNOVER_PCT","FY 2010","FY 2010","Currency=USD","Period=FY","BEST_FPERIOD_OVERRIDE=FY","FILING_STATUS=MR","Sort=A","Dates=H","DateFormat=P","Fill=—","Direction=H","UseDPDF=Y")</f>
        <v>#NAME?</v>
      </c>
      <c r="E14" s="14" t="e">
        <f ca="1">_xll.BDH("ANSS US Equity","EMPLOYEE_TURNOVER_PCT","FY 2011","FY 2011","Currency=USD","Period=FY","BEST_FPERIOD_OVERRIDE=FY","FILING_STATUS=MR","Sort=A","Dates=H","DateFormat=P","Fill=—","Direction=H","UseDPDF=Y")</f>
        <v>#NAME?</v>
      </c>
      <c r="F14" s="14" t="e">
        <f ca="1">_xll.BDH("ANSS US Equity","EMPLOYEE_TURNOVER_PCT","FY 2012","FY 2012","Currency=USD","Period=FY","BEST_FPERIOD_OVERRIDE=FY","FILING_STATUS=MR","Sort=A","Dates=H","DateFormat=P","Fill=—","Direction=H","UseDPDF=Y")</f>
        <v>#NAME?</v>
      </c>
      <c r="G14" s="14" t="e">
        <f ca="1">_xll.BDH("ANSS US Equity","EMPLOYEE_TURNOVER_PCT","FY 2013","FY 2013","Currency=USD","Period=FY","BEST_FPERIOD_OVERRIDE=FY","FILING_STATUS=MR","Sort=A","Dates=H","DateFormat=P","Fill=—","Direction=H","UseDPDF=Y")</f>
        <v>#NAME?</v>
      </c>
      <c r="H14" s="14" t="e">
        <f ca="1">_xll.BDH("ANSS US Equity","EMPLOYEE_TURNOVER_PCT","FY 2014","FY 2014","Currency=USD","Period=FY","BEST_FPERIOD_OVERRIDE=FY","FILING_STATUS=MR","Sort=A","Dates=H","DateFormat=P","Fill=—","Direction=H","UseDPDF=Y")</f>
        <v>#NAME?</v>
      </c>
      <c r="I14" s="14" t="e">
        <f ca="1">_xll.BDH("ANSS US Equity","EMPLOYEE_TURNOVER_PCT","FY 2015","FY 2015","Currency=USD","Period=FY","BEST_FPERIOD_OVERRIDE=FY","FILING_STATUS=MR","Sort=A","Dates=H","DateFormat=P","Fill=—","Direction=H","UseDPDF=Y")</f>
        <v>#NAME?</v>
      </c>
      <c r="J14" s="14" t="e">
        <f ca="1">_xll.BDH("ANSS US Equity","EMPLOYEE_TURNOVER_PCT","FY 2016","FY 2016","Currency=USD","Period=FY","BEST_FPERIOD_OVERRIDE=FY","FILING_STATUS=MR","Sort=A","Dates=H","DateFormat=P","Fill=—","Direction=H","UseDPDF=Y")</f>
        <v>#NAME?</v>
      </c>
      <c r="K14" s="14" t="e">
        <f ca="1">_xll.BDH("ANSS US Equity","EMPLOYEE_TURNOVER_PCT","FY 2017","FY 2017","Currency=USD","Period=FY","BEST_FPERIOD_OVERRIDE=FY","FILING_STATUS=MR","Sort=A","Dates=H","DateFormat=P","Fill=—","Direction=H","UseDPDF=Y")</f>
        <v>#NAME?</v>
      </c>
      <c r="L14" s="14" t="e">
        <f ca="1">_xll.BDH("ANSS US Equity","EMPLOYEE_TURNOVER_PCT","FY 2018","FY 2018","Currency=USD","Period=FY","BEST_FPERIOD_OVERRIDE=FY","FILING_STATUS=MR","Sort=A","Dates=H","DateFormat=P","Fill=—","Direction=H","UseDPDF=Y")</f>
        <v>#NAME?</v>
      </c>
      <c r="M14" s="14" t="e">
        <f ca="1">_xll.BDH("ANSS US Equity","EMPLOYEE_TURNOVER_PCT","FY 2019","FY 2019","Currency=USD","Period=FY","BEST_FPERIOD_OVERRIDE=FY","FILING_STATUS=MR","Sort=A","Dates=H","DateFormat=P","Fill=—","Direction=H","UseDPDF=Y")</f>
        <v>#NAME?</v>
      </c>
      <c r="N14" s="14" t="e">
        <f ca="1">_xll.BDH("ANSS US Equity","EMPLOYEE_TURNOVER_PCT","FY 2020","FY 2020","Currency=USD","Period=FY","BEST_FPERIOD_OVERRIDE=FY","FILING_STATUS=MR","Sort=A","Dates=H","DateFormat=P","Fill=—","Direction=H","UseDPDF=Y")</f>
        <v>#NAME?</v>
      </c>
      <c r="O14" s="14" t="e">
        <f ca="1">_xll.BDH("ANSS US Equity","EMPLOYEE_TURNOVER_PCT","FY 2021","FY 2021","Currency=USD","Period=FY","BEST_FPERIOD_OVERRIDE=FY","FILING_STATUS=MR","Sort=A","Dates=H","DateFormat=P","Fill=—","Direction=H","UseDPDF=Y")</f>
        <v>#NAME?</v>
      </c>
      <c r="P14" s="14" t="e">
        <f ca="1">_xll.BDH("ANSS US Equity","EMPLOYEE_TURNOVER_PCT","FY 2022","FY 2022","Currency=USD","Period=FY","BEST_FPERIOD_OVERRIDE=FY","FILING_STATUS=MR","Sort=A","Dates=H","DateFormat=P","Fill=—","Direction=H","UseDPDF=Y")</f>
        <v>#NAME?</v>
      </c>
      <c r="Q14" s="14" t="e">
        <f ca="1">_xll.BDH("ANSS US Equity","EMPLOYEE_TURNOVER_PCT","FY 2023","FY 2023","Currency=USD","Period=FY","BEST_FPERIOD_OVERRIDE=FY","FILING_STATUS=MR","Sort=A","Dates=H","DateFormat=P","Fill=—","Direction=H","UseDPDF=Y")</f>
        <v>#NAME?</v>
      </c>
    </row>
    <row r="15" spans="1:17" x14ac:dyDescent="0.45">
      <c r="A15" s="10" t="s">
        <v>818</v>
      </c>
      <c r="B15" s="10" t="s">
        <v>819</v>
      </c>
      <c r="C15" s="14" t="e">
        <f ca="1">_xll.BDH("ANSS US Equity","VOLUNTARY_TURNOVER_PCT","FY 2009","FY 2009","Currency=USD","Period=FY","BEST_FPERIOD_OVERRIDE=FY","FILING_STATUS=MR","Sort=A","Dates=H","DateFormat=P","Fill=—","Direction=H","UseDPDF=Y")</f>
        <v>#NAME?</v>
      </c>
      <c r="D15" s="14" t="e">
        <f ca="1">_xll.BDH("ANSS US Equity","VOLUNTARY_TURNOVER_PCT","FY 2010","FY 2010","Currency=USD","Period=FY","BEST_FPERIOD_OVERRIDE=FY","FILING_STATUS=MR","Sort=A","Dates=H","DateFormat=P","Fill=—","Direction=H","UseDPDF=Y")</f>
        <v>#NAME?</v>
      </c>
      <c r="E15" s="14" t="e">
        <f ca="1">_xll.BDH("ANSS US Equity","VOLUNTARY_TURNOVER_PCT","FY 2011","FY 2011","Currency=USD","Period=FY","BEST_FPERIOD_OVERRIDE=FY","FILING_STATUS=MR","Sort=A","Dates=H","DateFormat=P","Fill=—","Direction=H","UseDPDF=Y")</f>
        <v>#NAME?</v>
      </c>
      <c r="F15" s="14" t="e">
        <f ca="1">_xll.BDH("ANSS US Equity","VOLUNTARY_TURNOVER_PCT","FY 2012","FY 2012","Currency=USD","Period=FY","BEST_FPERIOD_OVERRIDE=FY","FILING_STATUS=MR","Sort=A","Dates=H","DateFormat=P","Fill=—","Direction=H","UseDPDF=Y")</f>
        <v>#NAME?</v>
      </c>
      <c r="G15" s="14" t="e">
        <f ca="1">_xll.BDH("ANSS US Equity","VOLUNTARY_TURNOVER_PCT","FY 2013","FY 2013","Currency=USD","Period=FY","BEST_FPERIOD_OVERRIDE=FY","FILING_STATUS=MR","Sort=A","Dates=H","DateFormat=P","Fill=—","Direction=H","UseDPDF=Y")</f>
        <v>#NAME?</v>
      </c>
      <c r="H15" s="14" t="e">
        <f ca="1">_xll.BDH("ANSS US Equity","VOLUNTARY_TURNOVER_PCT","FY 2014","FY 2014","Currency=USD","Period=FY","BEST_FPERIOD_OVERRIDE=FY","FILING_STATUS=MR","Sort=A","Dates=H","DateFormat=P","Fill=—","Direction=H","UseDPDF=Y")</f>
        <v>#NAME?</v>
      </c>
      <c r="I15" s="14" t="e">
        <f ca="1">_xll.BDH("ANSS US Equity","VOLUNTARY_TURNOVER_PCT","FY 2015","FY 2015","Currency=USD","Period=FY","BEST_FPERIOD_OVERRIDE=FY","FILING_STATUS=MR","Sort=A","Dates=H","DateFormat=P","Fill=—","Direction=H","UseDPDF=Y")</f>
        <v>#NAME?</v>
      </c>
      <c r="J15" s="14" t="e">
        <f ca="1">_xll.BDH("ANSS US Equity","VOLUNTARY_TURNOVER_PCT","FY 2016","FY 2016","Currency=USD","Period=FY","BEST_FPERIOD_OVERRIDE=FY","FILING_STATUS=MR","Sort=A","Dates=H","DateFormat=P","Fill=—","Direction=H","UseDPDF=Y")</f>
        <v>#NAME?</v>
      </c>
      <c r="K15" s="14" t="e">
        <f ca="1">_xll.BDH("ANSS US Equity","VOLUNTARY_TURNOVER_PCT","FY 2017","FY 2017","Currency=USD","Period=FY","BEST_FPERIOD_OVERRIDE=FY","FILING_STATUS=MR","Sort=A","Dates=H","DateFormat=P","Fill=—","Direction=H","UseDPDF=Y")</f>
        <v>#NAME?</v>
      </c>
      <c r="L15" s="14" t="e">
        <f ca="1">_xll.BDH("ANSS US Equity","VOLUNTARY_TURNOVER_PCT","FY 2018","FY 2018","Currency=USD","Period=FY","BEST_FPERIOD_OVERRIDE=FY","FILING_STATUS=MR","Sort=A","Dates=H","DateFormat=P","Fill=—","Direction=H","UseDPDF=Y")</f>
        <v>#NAME?</v>
      </c>
      <c r="M15" s="14" t="e">
        <f ca="1">_xll.BDH("ANSS US Equity","VOLUNTARY_TURNOVER_PCT","FY 2019","FY 2019","Currency=USD","Period=FY","BEST_FPERIOD_OVERRIDE=FY","FILING_STATUS=MR","Sort=A","Dates=H","DateFormat=P","Fill=—","Direction=H","UseDPDF=Y")</f>
        <v>#NAME?</v>
      </c>
      <c r="N15" s="14" t="e">
        <f ca="1">_xll.BDH("ANSS US Equity","VOLUNTARY_TURNOVER_PCT","FY 2020","FY 2020","Currency=USD","Period=FY","BEST_FPERIOD_OVERRIDE=FY","FILING_STATUS=MR","Sort=A","Dates=H","DateFormat=P","Fill=—","Direction=H","UseDPDF=Y")</f>
        <v>#NAME?</v>
      </c>
      <c r="O15" s="14" t="e">
        <f ca="1">_xll.BDH("ANSS US Equity","VOLUNTARY_TURNOVER_PCT","FY 2021","FY 2021","Currency=USD","Period=FY","BEST_FPERIOD_OVERRIDE=FY","FILING_STATUS=MR","Sort=A","Dates=H","DateFormat=P","Fill=—","Direction=H","UseDPDF=Y")</f>
        <v>#NAME?</v>
      </c>
      <c r="P15" s="14" t="e">
        <f ca="1">_xll.BDH("ANSS US Equity","VOLUNTARY_TURNOVER_PCT","FY 2022","FY 2022","Currency=USD","Period=FY","BEST_FPERIOD_OVERRIDE=FY","FILING_STATUS=MR","Sort=A","Dates=H","DateFormat=P","Fill=—","Direction=H","UseDPDF=Y")</f>
        <v>#NAME?</v>
      </c>
      <c r="Q15" s="14" t="e">
        <f ca="1">_xll.BDH("ANSS US Equity","VOLUNTARY_TURNOVER_PCT","FY 2023","FY 2023","Currency=USD","Period=FY","BEST_FPERIOD_OVERRIDE=FY","FILING_STATUS=MR","Sort=A","Dates=H","DateFormat=P","Fill=—","Direction=H","UseDPDF=Y")</f>
        <v>#NAME?</v>
      </c>
    </row>
    <row r="16" spans="1:17" x14ac:dyDescent="0.45">
      <c r="A16" s="10" t="s">
        <v>820</v>
      </c>
      <c r="B16" s="10" t="s">
        <v>821</v>
      </c>
      <c r="C16" s="14" t="e">
        <f ca="1">_xll.BDH("ANSS US Equity","INVOLUNTARY_TURNOVER_PCT","FY 2009","FY 2009","Currency=USD","Period=FY","BEST_FPERIOD_OVERRIDE=FY","FILING_STATUS=MR","Sort=A","Dates=H","DateFormat=P","Fill=—","Direction=H","UseDPDF=Y")</f>
        <v>#NAME?</v>
      </c>
      <c r="D16" s="14" t="e">
        <f ca="1">_xll.BDH("ANSS US Equity","INVOLUNTARY_TURNOVER_PCT","FY 2010","FY 2010","Currency=USD","Period=FY","BEST_FPERIOD_OVERRIDE=FY","FILING_STATUS=MR","Sort=A","Dates=H","DateFormat=P","Fill=—","Direction=H","UseDPDF=Y")</f>
        <v>#NAME?</v>
      </c>
      <c r="E16" s="14" t="e">
        <f ca="1">_xll.BDH("ANSS US Equity","INVOLUNTARY_TURNOVER_PCT","FY 2011","FY 2011","Currency=USD","Period=FY","BEST_FPERIOD_OVERRIDE=FY","FILING_STATUS=MR","Sort=A","Dates=H","DateFormat=P","Fill=—","Direction=H","UseDPDF=Y")</f>
        <v>#NAME?</v>
      </c>
      <c r="F16" s="14" t="e">
        <f ca="1">_xll.BDH("ANSS US Equity","INVOLUNTARY_TURNOVER_PCT","FY 2012","FY 2012","Currency=USD","Period=FY","BEST_FPERIOD_OVERRIDE=FY","FILING_STATUS=MR","Sort=A","Dates=H","DateFormat=P","Fill=—","Direction=H","UseDPDF=Y")</f>
        <v>#NAME?</v>
      </c>
      <c r="G16" s="14" t="e">
        <f ca="1">_xll.BDH("ANSS US Equity","INVOLUNTARY_TURNOVER_PCT","FY 2013","FY 2013","Currency=USD","Period=FY","BEST_FPERIOD_OVERRIDE=FY","FILING_STATUS=MR","Sort=A","Dates=H","DateFormat=P","Fill=—","Direction=H","UseDPDF=Y")</f>
        <v>#NAME?</v>
      </c>
      <c r="H16" s="14" t="e">
        <f ca="1">_xll.BDH("ANSS US Equity","INVOLUNTARY_TURNOVER_PCT","FY 2014","FY 2014","Currency=USD","Period=FY","BEST_FPERIOD_OVERRIDE=FY","FILING_STATUS=MR","Sort=A","Dates=H","DateFormat=P","Fill=—","Direction=H","UseDPDF=Y")</f>
        <v>#NAME?</v>
      </c>
      <c r="I16" s="14" t="e">
        <f ca="1">_xll.BDH("ANSS US Equity","INVOLUNTARY_TURNOVER_PCT","FY 2015","FY 2015","Currency=USD","Period=FY","BEST_FPERIOD_OVERRIDE=FY","FILING_STATUS=MR","Sort=A","Dates=H","DateFormat=P","Fill=—","Direction=H","UseDPDF=Y")</f>
        <v>#NAME?</v>
      </c>
      <c r="J16" s="14" t="e">
        <f ca="1">_xll.BDH("ANSS US Equity","INVOLUNTARY_TURNOVER_PCT","FY 2016","FY 2016","Currency=USD","Period=FY","BEST_FPERIOD_OVERRIDE=FY","FILING_STATUS=MR","Sort=A","Dates=H","DateFormat=P","Fill=—","Direction=H","UseDPDF=Y")</f>
        <v>#NAME?</v>
      </c>
      <c r="K16" s="14" t="e">
        <f ca="1">_xll.BDH("ANSS US Equity","INVOLUNTARY_TURNOVER_PCT","FY 2017","FY 2017","Currency=USD","Period=FY","BEST_FPERIOD_OVERRIDE=FY","FILING_STATUS=MR","Sort=A","Dates=H","DateFormat=P","Fill=—","Direction=H","UseDPDF=Y")</f>
        <v>#NAME?</v>
      </c>
      <c r="L16" s="14" t="e">
        <f ca="1">_xll.BDH("ANSS US Equity","INVOLUNTARY_TURNOVER_PCT","FY 2018","FY 2018","Currency=USD","Period=FY","BEST_FPERIOD_OVERRIDE=FY","FILING_STATUS=MR","Sort=A","Dates=H","DateFormat=P","Fill=—","Direction=H","UseDPDF=Y")</f>
        <v>#NAME?</v>
      </c>
      <c r="M16" s="14" t="e">
        <f ca="1">_xll.BDH("ANSS US Equity","INVOLUNTARY_TURNOVER_PCT","FY 2019","FY 2019","Currency=USD","Period=FY","BEST_FPERIOD_OVERRIDE=FY","FILING_STATUS=MR","Sort=A","Dates=H","DateFormat=P","Fill=—","Direction=H","UseDPDF=Y")</f>
        <v>#NAME?</v>
      </c>
      <c r="N16" s="14" t="e">
        <f ca="1">_xll.BDH("ANSS US Equity","INVOLUNTARY_TURNOVER_PCT","FY 2020","FY 2020","Currency=USD","Period=FY","BEST_FPERIOD_OVERRIDE=FY","FILING_STATUS=MR","Sort=A","Dates=H","DateFormat=P","Fill=—","Direction=H","UseDPDF=Y")</f>
        <v>#NAME?</v>
      </c>
      <c r="O16" s="14" t="e">
        <f ca="1">_xll.BDH("ANSS US Equity","INVOLUNTARY_TURNOVER_PCT","FY 2021","FY 2021","Currency=USD","Period=FY","BEST_FPERIOD_OVERRIDE=FY","FILING_STATUS=MR","Sort=A","Dates=H","DateFormat=P","Fill=—","Direction=H","UseDPDF=Y")</f>
        <v>#NAME?</v>
      </c>
      <c r="P16" s="14" t="e">
        <f ca="1">_xll.BDH("ANSS US Equity","INVOLUNTARY_TURNOVER_PCT","FY 2022","FY 2022","Currency=USD","Period=FY","BEST_FPERIOD_OVERRIDE=FY","FILING_STATUS=MR","Sort=A","Dates=H","DateFormat=P","Fill=—","Direction=H","UseDPDF=Y")</f>
        <v>#NAME?</v>
      </c>
      <c r="Q16" s="14" t="e">
        <f ca="1">_xll.BDH("ANSS US Equity","INVOLUNTARY_TURNOVER_PCT","FY 2023","FY 2023","Currency=USD","Period=FY","BEST_FPERIOD_OVERRIDE=FY","FILING_STATUS=MR","Sort=A","Dates=H","DateFormat=P","Fill=—","Direction=H","UseDPDF=Y")</f>
        <v>#NAME?</v>
      </c>
    </row>
    <row r="17" spans="1:17" x14ac:dyDescent="0.45">
      <c r="A17" s="10" t="s">
        <v>822</v>
      </c>
      <c r="B17" s="10" t="s">
        <v>823</v>
      </c>
      <c r="C17" s="14" t="e">
        <f ca="1">_xll.BDH("ANSS US Equity","PCT_EMPLOYEES_UNIONIZED","FY 2009","FY 2009","Currency=USD","Period=FY","BEST_FPERIOD_OVERRIDE=FY","FILING_STATUS=MR","Sort=A","Dates=H","DateFormat=P","Fill=—","Direction=H","UseDPDF=Y")</f>
        <v>#NAME?</v>
      </c>
      <c r="D17" s="14" t="e">
        <f ca="1">_xll.BDH("ANSS US Equity","PCT_EMPLOYEES_UNIONIZED","FY 2010","FY 2010","Currency=USD","Period=FY","BEST_FPERIOD_OVERRIDE=FY","FILING_STATUS=MR","Sort=A","Dates=H","DateFormat=P","Fill=—","Direction=H","UseDPDF=Y")</f>
        <v>#NAME?</v>
      </c>
      <c r="E17" s="14" t="e">
        <f ca="1">_xll.BDH("ANSS US Equity","PCT_EMPLOYEES_UNIONIZED","FY 2011","FY 2011","Currency=USD","Period=FY","BEST_FPERIOD_OVERRIDE=FY","FILING_STATUS=MR","Sort=A","Dates=H","DateFormat=P","Fill=—","Direction=H","UseDPDF=Y")</f>
        <v>#NAME?</v>
      </c>
      <c r="F17" s="14" t="e">
        <f ca="1">_xll.BDH("ANSS US Equity","PCT_EMPLOYEES_UNIONIZED","FY 2012","FY 2012","Currency=USD","Period=FY","BEST_FPERIOD_OVERRIDE=FY","FILING_STATUS=MR","Sort=A","Dates=H","DateFormat=P","Fill=—","Direction=H","UseDPDF=Y")</f>
        <v>#NAME?</v>
      </c>
      <c r="G17" s="14" t="e">
        <f ca="1">_xll.BDH("ANSS US Equity","PCT_EMPLOYEES_UNIONIZED","FY 2013","FY 2013","Currency=USD","Period=FY","BEST_FPERIOD_OVERRIDE=FY","FILING_STATUS=MR","Sort=A","Dates=H","DateFormat=P","Fill=—","Direction=H","UseDPDF=Y")</f>
        <v>#NAME?</v>
      </c>
      <c r="H17" s="14" t="e">
        <f ca="1">_xll.BDH("ANSS US Equity","PCT_EMPLOYEES_UNIONIZED","FY 2014","FY 2014","Currency=USD","Period=FY","BEST_FPERIOD_OVERRIDE=FY","FILING_STATUS=MR","Sort=A","Dates=H","DateFormat=P","Fill=—","Direction=H","UseDPDF=Y")</f>
        <v>#NAME?</v>
      </c>
      <c r="I17" s="14" t="e">
        <f ca="1">_xll.BDH("ANSS US Equity","PCT_EMPLOYEES_UNIONIZED","FY 2015","FY 2015","Currency=USD","Period=FY","BEST_FPERIOD_OVERRIDE=FY","FILING_STATUS=MR","Sort=A","Dates=H","DateFormat=P","Fill=—","Direction=H","UseDPDF=Y")</f>
        <v>#NAME?</v>
      </c>
      <c r="J17" s="14" t="e">
        <f ca="1">_xll.BDH("ANSS US Equity","PCT_EMPLOYEES_UNIONIZED","FY 2016","FY 2016","Currency=USD","Period=FY","BEST_FPERIOD_OVERRIDE=FY","FILING_STATUS=MR","Sort=A","Dates=H","DateFormat=P","Fill=—","Direction=H","UseDPDF=Y")</f>
        <v>#NAME?</v>
      </c>
      <c r="K17" s="14" t="e">
        <f ca="1">_xll.BDH("ANSS US Equity","PCT_EMPLOYEES_UNIONIZED","FY 2017","FY 2017","Currency=USD","Period=FY","BEST_FPERIOD_OVERRIDE=FY","FILING_STATUS=MR","Sort=A","Dates=H","DateFormat=P","Fill=—","Direction=H","UseDPDF=Y")</f>
        <v>#NAME?</v>
      </c>
      <c r="L17" s="14" t="e">
        <f ca="1">_xll.BDH("ANSS US Equity","PCT_EMPLOYEES_UNIONIZED","FY 2018","FY 2018","Currency=USD","Period=FY","BEST_FPERIOD_OVERRIDE=FY","FILING_STATUS=MR","Sort=A","Dates=H","DateFormat=P","Fill=—","Direction=H","UseDPDF=Y")</f>
        <v>#NAME?</v>
      </c>
      <c r="M17" s="14" t="e">
        <f ca="1">_xll.BDH("ANSS US Equity","PCT_EMPLOYEES_UNIONIZED","FY 2019","FY 2019","Currency=USD","Period=FY","BEST_FPERIOD_OVERRIDE=FY","FILING_STATUS=MR","Sort=A","Dates=H","DateFormat=P","Fill=—","Direction=H","UseDPDF=Y")</f>
        <v>#NAME?</v>
      </c>
      <c r="N17" s="14" t="e">
        <f ca="1">_xll.BDH("ANSS US Equity","PCT_EMPLOYEES_UNIONIZED","FY 2020","FY 2020","Currency=USD","Period=FY","BEST_FPERIOD_OVERRIDE=FY","FILING_STATUS=MR","Sort=A","Dates=H","DateFormat=P","Fill=—","Direction=H","UseDPDF=Y")</f>
        <v>#NAME?</v>
      </c>
      <c r="O17" s="14" t="e">
        <f ca="1">_xll.BDH("ANSS US Equity","PCT_EMPLOYEES_UNIONIZED","FY 2021","FY 2021","Currency=USD","Period=FY","BEST_FPERIOD_OVERRIDE=FY","FILING_STATUS=MR","Sort=A","Dates=H","DateFormat=P","Fill=—","Direction=H","UseDPDF=Y")</f>
        <v>#NAME?</v>
      </c>
      <c r="P17" s="14" t="e">
        <f ca="1">_xll.BDH("ANSS US Equity","PCT_EMPLOYEES_UNIONIZED","FY 2022","FY 2022","Currency=USD","Period=FY","BEST_FPERIOD_OVERRIDE=FY","FILING_STATUS=MR","Sort=A","Dates=H","DateFormat=P","Fill=—","Direction=H","UseDPDF=Y")</f>
        <v>#NAME?</v>
      </c>
      <c r="Q17" s="14" t="e">
        <f ca="1">_xll.BDH("ANSS US Equity","PCT_EMPLOYEES_UNIONIZED","FY 2023","FY 2023","Currency=USD","Period=FY","BEST_FPERIOD_OVERRIDE=FY","FILING_STATUS=MR","Sort=A","Dates=H","DateFormat=P","Fill=—","Direction=H","UseDPDF=Y")</f>
        <v>#NAME?</v>
      </c>
    </row>
    <row r="18" spans="1:17" x14ac:dyDescent="0.4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45">
      <c r="A19" s="10" t="s">
        <v>824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45">
      <c r="A20" s="10" t="s">
        <v>825</v>
      </c>
      <c r="B20" s="10" t="s">
        <v>826</v>
      </c>
      <c r="C20" s="12" t="s">
        <v>683</v>
      </c>
      <c r="D20" s="12" t="s">
        <v>683</v>
      </c>
      <c r="E20" s="12" t="s">
        <v>683</v>
      </c>
      <c r="F20" s="12" t="s">
        <v>683</v>
      </c>
      <c r="G20" s="12" t="s">
        <v>683</v>
      </c>
      <c r="H20" s="12" t="s">
        <v>683</v>
      </c>
      <c r="I20" s="12" t="s">
        <v>683</v>
      </c>
      <c r="J20" s="12" t="s">
        <v>683</v>
      </c>
      <c r="K20" s="12" t="s">
        <v>683</v>
      </c>
      <c r="L20" s="12" t="s">
        <v>683</v>
      </c>
      <c r="M20" s="12" t="s">
        <v>687</v>
      </c>
      <c r="N20" s="12" t="s">
        <v>687</v>
      </c>
      <c r="O20" s="12" t="s">
        <v>687</v>
      </c>
      <c r="P20" s="12" t="s">
        <v>687</v>
      </c>
      <c r="Q20" s="12" t="s">
        <v>687</v>
      </c>
    </row>
    <row r="21" spans="1:17" x14ac:dyDescent="0.45">
      <c r="A21" s="10" t="s">
        <v>827</v>
      </c>
      <c r="B21" s="10" t="s">
        <v>828</v>
      </c>
      <c r="C21" s="14" t="e">
        <f ca="1">_xll.BDH("ANSS US Equity","PCT_WOMEN_SENIOR_MGT","FY 2009","FY 2009","Currency=USD","Period=FY","BEST_FPERIOD_OVERRIDE=FY","FILING_STATUS=MR","Sort=A","Dates=H","DateFormat=P","Fill=—","Direction=H","UseDPDF=Y")</f>
        <v>#NAME?</v>
      </c>
      <c r="D21" s="14" t="e">
        <f ca="1">_xll.BDH("ANSS US Equity","PCT_WOMEN_SENIOR_MGT","FY 2010","FY 2010","Currency=USD","Period=FY","BEST_FPERIOD_OVERRIDE=FY","FILING_STATUS=MR","Sort=A","Dates=H","DateFormat=P","Fill=—","Direction=H","UseDPDF=Y")</f>
        <v>#NAME?</v>
      </c>
      <c r="E21" s="14" t="e">
        <f ca="1">_xll.BDH("ANSS US Equity","PCT_WOMEN_SENIOR_MGT","FY 2011","FY 2011","Currency=USD","Period=FY","BEST_FPERIOD_OVERRIDE=FY","FILING_STATUS=MR","Sort=A","Dates=H","DateFormat=P","Fill=—","Direction=H","UseDPDF=Y")</f>
        <v>#NAME?</v>
      </c>
      <c r="F21" s="14" t="e">
        <f ca="1">_xll.BDH("ANSS US Equity","PCT_WOMEN_SENIOR_MGT","FY 2012","FY 2012","Currency=USD","Period=FY","BEST_FPERIOD_OVERRIDE=FY","FILING_STATUS=MR","Sort=A","Dates=H","DateFormat=P","Fill=—","Direction=H","UseDPDF=Y")</f>
        <v>#NAME?</v>
      </c>
      <c r="G21" s="14" t="e">
        <f ca="1">_xll.BDH("ANSS US Equity","PCT_WOMEN_SENIOR_MGT","FY 2013","FY 2013","Currency=USD","Period=FY","BEST_FPERIOD_OVERRIDE=FY","FILING_STATUS=MR","Sort=A","Dates=H","DateFormat=P","Fill=—","Direction=H","UseDPDF=Y")</f>
        <v>#NAME?</v>
      </c>
      <c r="H21" s="14" t="e">
        <f ca="1">_xll.BDH("ANSS US Equity","PCT_WOMEN_SENIOR_MGT","FY 2014","FY 2014","Currency=USD","Period=FY","BEST_FPERIOD_OVERRIDE=FY","FILING_STATUS=MR","Sort=A","Dates=H","DateFormat=P","Fill=—","Direction=H","UseDPDF=Y")</f>
        <v>#NAME?</v>
      </c>
      <c r="I21" s="14" t="e">
        <f ca="1">_xll.BDH("ANSS US Equity","PCT_WOMEN_SENIOR_MGT","FY 2015","FY 2015","Currency=USD","Period=FY","BEST_FPERIOD_OVERRIDE=FY","FILING_STATUS=MR","Sort=A","Dates=H","DateFormat=P","Fill=—","Direction=H","UseDPDF=Y")</f>
        <v>#NAME?</v>
      </c>
      <c r="J21" s="14" t="e">
        <f ca="1">_xll.BDH("ANSS US Equity","PCT_WOMEN_SENIOR_MGT","FY 2016","FY 2016","Currency=USD","Period=FY","BEST_FPERIOD_OVERRIDE=FY","FILING_STATUS=MR","Sort=A","Dates=H","DateFormat=P","Fill=—","Direction=H","UseDPDF=Y")</f>
        <v>#NAME?</v>
      </c>
      <c r="K21" s="14" t="e">
        <f ca="1">_xll.BDH("ANSS US Equity","PCT_WOMEN_SENIOR_MGT","FY 2017","FY 2017","Currency=USD","Period=FY","BEST_FPERIOD_OVERRIDE=FY","FILING_STATUS=MR","Sort=A","Dates=H","DateFormat=P","Fill=—","Direction=H","UseDPDF=Y")</f>
        <v>#NAME?</v>
      </c>
      <c r="L21" s="14" t="e">
        <f ca="1">_xll.BDH("ANSS US Equity","PCT_WOMEN_SENIOR_MGT","FY 2018","FY 2018","Currency=USD","Period=FY","BEST_FPERIOD_OVERRIDE=FY","FILING_STATUS=MR","Sort=A","Dates=H","DateFormat=P","Fill=—","Direction=H","UseDPDF=Y")</f>
        <v>#NAME?</v>
      </c>
      <c r="M21" s="14" t="e">
        <f ca="1">_xll.BDH("ANSS US Equity","PCT_WOMEN_SENIOR_MGT","FY 2019","FY 2019","Currency=USD","Period=FY","BEST_FPERIOD_OVERRIDE=FY","FILING_STATUS=MR","Sort=A","Dates=H","DateFormat=P","Fill=—","Direction=H","UseDPDF=Y")</f>
        <v>#NAME?</v>
      </c>
      <c r="N21" s="14" t="e">
        <f ca="1">_xll.BDH("ANSS US Equity","PCT_WOMEN_SENIOR_MGT","FY 2020","FY 2020","Currency=USD","Period=FY","BEST_FPERIOD_OVERRIDE=FY","FILING_STATUS=MR","Sort=A","Dates=H","DateFormat=P","Fill=—","Direction=H","UseDPDF=Y")</f>
        <v>#NAME?</v>
      </c>
      <c r="O21" s="14" t="e">
        <f ca="1">_xll.BDH("ANSS US Equity","PCT_WOMEN_SENIOR_MGT","FY 2021","FY 2021","Currency=USD","Period=FY","BEST_FPERIOD_OVERRIDE=FY","FILING_STATUS=MR","Sort=A","Dates=H","DateFormat=P","Fill=—","Direction=H","UseDPDF=Y")</f>
        <v>#NAME?</v>
      </c>
      <c r="P21" s="14" t="e">
        <f ca="1">_xll.BDH("ANSS US Equity","PCT_WOMEN_SENIOR_MGT","FY 2022","FY 2022","Currency=USD","Period=FY","BEST_FPERIOD_OVERRIDE=FY","FILING_STATUS=MR","Sort=A","Dates=H","DateFormat=P","Fill=—","Direction=H","UseDPDF=Y")</f>
        <v>#NAME?</v>
      </c>
      <c r="Q21" s="14" t="e">
        <f ca="1">_xll.BDH("ANSS US Equity","PCT_WOMEN_SENIOR_MGT","FY 2023","FY 2023","Currency=USD","Period=FY","BEST_FPERIOD_OVERRIDE=FY","FILING_STATUS=MR","Sort=A","Dates=H","DateFormat=P","Fill=—","Direction=H","UseDPDF=Y")</f>
        <v>#NAME?</v>
      </c>
    </row>
    <row r="22" spans="1:17" x14ac:dyDescent="0.45">
      <c r="A22" s="10" t="s">
        <v>829</v>
      </c>
      <c r="B22" s="10" t="s">
        <v>830</v>
      </c>
      <c r="C22" s="14" t="e">
        <f ca="1">_xll.BDH("ANSS US Equity","PCT_WOMEN_EMPLOYEES","FY 2009","FY 2009","Currency=USD","Period=FY","BEST_FPERIOD_OVERRIDE=FY","FILING_STATUS=MR","Sort=A","Dates=H","DateFormat=P","Fill=—","Direction=H","UseDPDF=Y")</f>
        <v>#NAME?</v>
      </c>
      <c r="D22" s="14" t="e">
        <f ca="1">_xll.BDH("ANSS US Equity","PCT_WOMEN_EMPLOYEES","FY 2010","FY 2010","Currency=USD","Period=FY","BEST_FPERIOD_OVERRIDE=FY","FILING_STATUS=MR","Sort=A","Dates=H","DateFormat=P","Fill=—","Direction=H","UseDPDF=Y")</f>
        <v>#NAME?</v>
      </c>
      <c r="E22" s="14" t="e">
        <f ca="1">_xll.BDH("ANSS US Equity","PCT_WOMEN_EMPLOYEES","FY 2011","FY 2011","Currency=USD","Period=FY","BEST_FPERIOD_OVERRIDE=FY","FILING_STATUS=MR","Sort=A","Dates=H","DateFormat=P","Fill=—","Direction=H","UseDPDF=Y")</f>
        <v>#NAME?</v>
      </c>
      <c r="F22" s="14" t="e">
        <f ca="1">_xll.BDH("ANSS US Equity","PCT_WOMEN_EMPLOYEES","FY 2012","FY 2012","Currency=USD","Period=FY","BEST_FPERIOD_OVERRIDE=FY","FILING_STATUS=MR","Sort=A","Dates=H","DateFormat=P","Fill=—","Direction=H","UseDPDF=Y")</f>
        <v>#NAME?</v>
      </c>
      <c r="G22" s="14" t="e">
        <f ca="1">_xll.BDH("ANSS US Equity","PCT_WOMEN_EMPLOYEES","FY 2013","FY 2013","Currency=USD","Period=FY","BEST_FPERIOD_OVERRIDE=FY","FILING_STATUS=MR","Sort=A","Dates=H","DateFormat=P","Fill=—","Direction=H","UseDPDF=Y")</f>
        <v>#NAME?</v>
      </c>
      <c r="H22" s="14" t="e">
        <f ca="1">_xll.BDH("ANSS US Equity","PCT_WOMEN_EMPLOYEES","FY 2014","FY 2014","Currency=USD","Period=FY","BEST_FPERIOD_OVERRIDE=FY","FILING_STATUS=MR","Sort=A","Dates=H","DateFormat=P","Fill=—","Direction=H","UseDPDF=Y")</f>
        <v>#NAME?</v>
      </c>
      <c r="I22" s="14" t="e">
        <f ca="1">_xll.BDH("ANSS US Equity","PCT_WOMEN_EMPLOYEES","FY 2015","FY 2015","Currency=USD","Period=FY","BEST_FPERIOD_OVERRIDE=FY","FILING_STATUS=MR","Sort=A","Dates=H","DateFormat=P","Fill=—","Direction=H","UseDPDF=Y")</f>
        <v>#NAME?</v>
      </c>
      <c r="J22" s="14" t="e">
        <f ca="1">_xll.BDH("ANSS US Equity","PCT_WOMEN_EMPLOYEES","FY 2016","FY 2016","Currency=USD","Period=FY","BEST_FPERIOD_OVERRIDE=FY","FILING_STATUS=MR","Sort=A","Dates=H","DateFormat=P","Fill=—","Direction=H","UseDPDF=Y")</f>
        <v>#NAME?</v>
      </c>
      <c r="K22" s="14" t="e">
        <f ca="1">_xll.BDH("ANSS US Equity","PCT_WOMEN_EMPLOYEES","FY 2017","FY 2017","Currency=USD","Period=FY","BEST_FPERIOD_OVERRIDE=FY","FILING_STATUS=MR","Sort=A","Dates=H","DateFormat=P","Fill=—","Direction=H","UseDPDF=Y")</f>
        <v>#NAME?</v>
      </c>
      <c r="L22" s="14" t="e">
        <f ca="1">_xll.BDH("ANSS US Equity","PCT_WOMEN_EMPLOYEES","FY 2018","FY 2018","Currency=USD","Period=FY","BEST_FPERIOD_OVERRIDE=FY","FILING_STATUS=MR","Sort=A","Dates=H","DateFormat=P","Fill=—","Direction=H","UseDPDF=Y")</f>
        <v>#NAME?</v>
      </c>
      <c r="M22" s="14" t="e">
        <f ca="1">_xll.BDH("ANSS US Equity","PCT_WOMEN_EMPLOYEES","FY 2019","FY 2019","Currency=USD","Period=FY","BEST_FPERIOD_OVERRIDE=FY","FILING_STATUS=MR","Sort=A","Dates=H","DateFormat=P","Fill=—","Direction=H","UseDPDF=Y")</f>
        <v>#NAME?</v>
      </c>
      <c r="N22" s="14" t="e">
        <f ca="1">_xll.BDH("ANSS US Equity","PCT_WOMEN_EMPLOYEES","FY 2020","FY 2020","Currency=USD","Period=FY","BEST_FPERIOD_OVERRIDE=FY","FILING_STATUS=MR","Sort=A","Dates=H","DateFormat=P","Fill=—","Direction=H","UseDPDF=Y")</f>
        <v>#NAME?</v>
      </c>
      <c r="O22" s="14" t="e">
        <f ca="1">_xll.BDH("ANSS US Equity","PCT_WOMEN_EMPLOYEES","FY 2021","FY 2021","Currency=USD","Period=FY","BEST_FPERIOD_OVERRIDE=FY","FILING_STATUS=MR","Sort=A","Dates=H","DateFormat=P","Fill=—","Direction=H","UseDPDF=Y")</f>
        <v>#NAME?</v>
      </c>
      <c r="P22" s="14" t="e">
        <f ca="1">_xll.BDH("ANSS US Equity","PCT_WOMEN_EMPLOYEES","FY 2022","FY 2022","Currency=USD","Period=FY","BEST_FPERIOD_OVERRIDE=FY","FILING_STATUS=MR","Sort=A","Dates=H","DateFormat=P","Fill=—","Direction=H","UseDPDF=Y")</f>
        <v>#NAME?</v>
      </c>
      <c r="Q22" s="14" t="e">
        <f ca="1">_xll.BDH("ANSS US Equity","PCT_WOMEN_EMPLOYEES","FY 2023","FY 2023","Currency=USD","Period=FY","BEST_FPERIOD_OVERRIDE=FY","FILING_STATUS=MR","Sort=A","Dates=H","DateFormat=P","Fill=—","Direction=H","UseDPDF=Y")</f>
        <v>#NAME?</v>
      </c>
    </row>
    <row r="23" spans="1:17" x14ac:dyDescent="0.45">
      <c r="A23" s="10" t="s">
        <v>831</v>
      </c>
      <c r="B23" s="10" t="s">
        <v>832</v>
      </c>
      <c r="C23" s="14" t="e">
        <f ca="1">_xll.BDH("ANSS US Equity","PCT_WOMEN_IT_ENGINEERING","FY 2009","FY 2009","Currency=USD","Period=FY","BEST_FPERIOD_OVERRIDE=FY","FILING_STATUS=MR","Sort=A","Dates=H","DateFormat=P","Fill=—","Direction=H","UseDPDF=Y")</f>
        <v>#NAME?</v>
      </c>
      <c r="D23" s="14" t="e">
        <f ca="1">_xll.BDH("ANSS US Equity","PCT_WOMEN_IT_ENGINEERING","FY 2010","FY 2010","Currency=USD","Period=FY","BEST_FPERIOD_OVERRIDE=FY","FILING_STATUS=MR","Sort=A","Dates=H","DateFormat=P","Fill=—","Direction=H","UseDPDF=Y")</f>
        <v>#NAME?</v>
      </c>
      <c r="E23" s="14" t="e">
        <f ca="1">_xll.BDH("ANSS US Equity","PCT_WOMEN_IT_ENGINEERING","FY 2011","FY 2011","Currency=USD","Period=FY","BEST_FPERIOD_OVERRIDE=FY","FILING_STATUS=MR","Sort=A","Dates=H","DateFormat=P","Fill=—","Direction=H","UseDPDF=Y")</f>
        <v>#NAME?</v>
      </c>
      <c r="F23" s="14" t="e">
        <f ca="1">_xll.BDH("ANSS US Equity","PCT_WOMEN_IT_ENGINEERING","FY 2012","FY 2012","Currency=USD","Period=FY","BEST_FPERIOD_OVERRIDE=FY","FILING_STATUS=MR","Sort=A","Dates=H","DateFormat=P","Fill=—","Direction=H","UseDPDF=Y")</f>
        <v>#NAME?</v>
      </c>
      <c r="G23" s="14" t="e">
        <f ca="1">_xll.BDH("ANSS US Equity","PCT_WOMEN_IT_ENGINEERING","FY 2013","FY 2013","Currency=USD","Period=FY","BEST_FPERIOD_OVERRIDE=FY","FILING_STATUS=MR","Sort=A","Dates=H","DateFormat=P","Fill=—","Direction=H","UseDPDF=Y")</f>
        <v>#NAME?</v>
      </c>
      <c r="H23" s="14" t="e">
        <f ca="1">_xll.BDH("ANSS US Equity","PCT_WOMEN_IT_ENGINEERING","FY 2014","FY 2014","Currency=USD","Period=FY","BEST_FPERIOD_OVERRIDE=FY","FILING_STATUS=MR","Sort=A","Dates=H","DateFormat=P","Fill=—","Direction=H","UseDPDF=Y")</f>
        <v>#NAME?</v>
      </c>
      <c r="I23" s="14" t="e">
        <f ca="1">_xll.BDH("ANSS US Equity","PCT_WOMEN_IT_ENGINEERING","FY 2015","FY 2015","Currency=USD","Period=FY","BEST_FPERIOD_OVERRIDE=FY","FILING_STATUS=MR","Sort=A","Dates=H","DateFormat=P","Fill=—","Direction=H","UseDPDF=Y")</f>
        <v>#NAME?</v>
      </c>
      <c r="J23" s="14" t="e">
        <f ca="1">_xll.BDH("ANSS US Equity","PCT_WOMEN_IT_ENGINEERING","FY 2016","FY 2016","Currency=USD","Period=FY","BEST_FPERIOD_OVERRIDE=FY","FILING_STATUS=MR","Sort=A","Dates=H","DateFormat=P","Fill=—","Direction=H","UseDPDF=Y")</f>
        <v>#NAME?</v>
      </c>
      <c r="K23" s="14" t="e">
        <f ca="1">_xll.BDH("ANSS US Equity","PCT_WOMEN_IT_ENGINEERING","FY 2017","FY 2017","Currency=USD","Period=FY","BEST_FPERIOD_OVERRIDE=FY","FILING_STATUS=MR","Sort=A","Dates=H","DateFormat=P","Fill=—","Direction=H","UseDPDF=Y")</f>
        <v>#NAME?</v>
      </c>
      <c r="L23" s="14" t="e">
        <f ca="1">_xll.BDH("ANSS US Equity","PCT_WOMEN_IT_ENGINEERING","FY 2018","FY 2018","Currency=USD","Period=FY","BEST_FPERIOD_OVERRIDE=FY","FILING_STATUS=MR","Sort=A","Dates=H","DateFormat=P","Fill=—","Direction=H","UseDPDF=Y")</f>
        <v>#NAME?</v>
      </c>
      <c r="M23" s="14" t="e">
        <f ca="1">_xll.BDH("ANSS US Equity","PCT_WOMEN_IT_ENGINEERING","FY 2019","FY 2019","Currency=USD","Period=FY","BEST_FPERIOD_OVERRIDE=FY","FILING_STATUS=MR","Sort=A","Dates=H","DateFormat=P","Fill=—","Direction=H","UseDPDF=Y")</f>
        <v>#NAME?</v>
      </c>
      <c r="N23" s="14" t="e">
        <f ca="1">_xll.BDH("ANSS US Equity","PCT_WOMEN_IT_ENGINEERING","FY 2020","FY 2020","Currency=USD","Period=FY","BEST_FPERIOD_OVERRIDE=FY","FILING_STATUS=MR","Sort=A","Dates=H","DateFormat=P","Fill=—","Direction=H","UseDPDF=Y")</f>
        <v>#NAME?</v>
      </c>
      <c r="O23" s="14" t="e">
        <f ca="1">_xll.BDH("ANSS US Equity","PCT_WOMEN_IT_ENGINEERING","FY 2021","FY 2021","Currency=USD","Period=FY","BEST_FPERIOD_OVERRIDE=FY","FILING_STATUS=MR","Sort=A","Dates=H","DateFormat=P","Fill=—","Direction=H","UseDPDF=Y")</f>
        <v>#NAME?</v>
      </c>
      <c r="P23" s="14" t="e">
        <f ca="1">_xll.BDH("ANSS US Equity","PCT_WOMEN_IT_ENGINEERING","FY 2022","FY 2022","Currency=USD","Period=FY","BEST_FPERIOD_OVERRIDE=FY","FILING_STATUS=MR","Sort=A","Dates=H","DateFormat=P","Fill=—","Direction=H","UseDPDF=Y")</f>
        <v>#NAME?</v>
      </c>
      <c r="Q23" s="14" t="e">
        <f ca="1">_xll.BDH("ANSS US Equity","PCT_WOMEN_IT_ENGINEERING","FY 2023","FY 2023","Currency=USD","Period=FY","BEST_FPERIOD_OVERRIDE=FY","FILING_STATUS=MR","Sort=A","Dates=H","DateFormat=P","Fill=—","Direction=H","UseDPDF=Y")</f>
        <v>#NAME?</v>
      </c>
    </row>
    <row r="24" spans="1:17" x14ac:dyDescent="0.45">
      <c r="A24" s="10" t="s">
        <v>833</v>
      </c>
      <c r="B24" s="10" t="s">
        <v>834</v>
      </c>
      <c r="C24" s="14" t="e">
        <f ca="1">_xll.BDH("ANSS US Equity","PCT_WOMEN_NEW_HIRES","FY 2009","FY 2009","Currency=USD","Period=FY","BEST_FPERIOD_OVERRIDE=FY","FILING_STATUS=MR","Sort=A","Dates=H","DateFormat=P","Fill=—","Direction=H","UseDPDF=Y")</f>
        <v>#NAME?</v>
      </c>
      <c r="D24" s="14" t="e">
        <f ca="1">_xll.BDH("ANSS US Equity","PCT_WOMEN_NEW_HIRES","FY 2010","FY 2010","Currency=USD","Period=FY","BEST_FPERIOD_OVERRIDE=FY","FILING_STATUS=MR","Sort=A","Dates=H","DateFormat=P","Fill=—","Direction=H","UseDPDF=Y")</f>
        <v>#NAME?</v>
      </c>
      <c r="E24" s="14" t="e">
        <f ca="1">_xll.BDH("ANSS US Equity","PCT_WOMEN_NEW_HIRES","FY 2011","FY 2011","Currency=USD","Period=FY","BEST_FPERIOD_OVERRIDE=FY","FILING_STATUS=MR","Sort=A","Dates=H","DateFormat=P","Fill=—","Direction=H","UseDPDF=Y")</f>
        <v>#NAME?</v>
      </c>
      <c r="F24" s="14" t="e">
        <f ca="1">_xll.BDH("ANSS US Equity","PCT_WOMEN_NEW_HIRES","FY 2012","FY 2012","Currency=USD","Period=FY","BEST_FPERIOD_OVERRIDE=FY","FILING_STATUS=MR","Sort=A","Dates=H","DateFormat=P","Fill=—","Direction=H","UseDPDF=Y")</f>
        <v>#NAME?</v>
      </c>
      <c r="G24" s="14" t="e">
        <f ca="1">_xll.BDH("ANSS US Equity","PCT_WOMEN_NEW_HIRES","FY 2013","FY 2013","Currency=USD","Period=FY","BEST_FPERIOD_OVERRIDE=FY","FILING_STATUS=MR","Sort=A","Dates=H","DateFormat=P","Fill=—","Direction=H","UseDPDF=Y")</f>
        <v>#NAME?</v>
      </c>
      <c r="H24" s="14" t="e">
        <f ca="1">_xll.BDH("ANSS US Equity","PCT_WOMEN_NEW_HIRES","FY 2014","FY 2014","Currency=USD","Period=FY","BEST_FPERIOD_OVERRIDE=FY","FILING_STATUS=MR","Sort=A","Dates=H","DateFormat=P","Fill=—","Direction=H","UseDPDF=Y")</f>
        <v>#NAME?</v>
      </c>
      <c r="I24" s="14" t="e">
        <f ca="1">_xll.BDH("ANSS US Equity","PCT_WOMEN_NEW_HIRES","FY 2015","FY 2015","Currency=USD","Period=FY","BEST_FPERIOD_OVERRIDE=FY","FILING_STATUS=MR","Sort=A","Dates=H","DateFormat=P","Fill=—","Direction=H","UseDPDF=Y")</f>
        <v>#NAME?</v>
      </c>
      <c r="J24" s="14" t="e">
        <f ca="1">_xll.BDH("ANSS US Equity","PCT_WOMEN_NEW_HIRES","FY 2016","FY 2016","Currency=USD","Period=FY","BEST_FPERIOD_OVERRIDE=FY","FILING_STATUS=MR","Sort=A","Dates=H","DateFormat=P","Fill=—","Direction=H","UseDPDF=Y")</f>
        <v>#NAME?</v>
      </c>
      <c r="K24" s="14" t="e">
        <f ca="1">_xll.BDH("ANSS US Equity","PCT_WOMEN_NEW_HIRES","FY 2017","FY 2017","Currency=USD","Period=FY","BEST_FPERIOD_OVERRIDE=FY","FILING_STATUS=MR","Sort=A","Dates=H","DateFormat=P","Fill=—","Direction=H","UseDPDF=Y")</f>
        <v>#NAME?</v>
      </c>
      <c r="L24" s="14" t="e">
        <f ca="1">_xll.BDH("ANSS US Equity","PCT_WOMEN_NEW_HIRES","FY 2018","FY 2018","Currency=USD","Period=FY","BEST_FPERIOD_OVERRIDE=FY","FILING_STATUS=MR","Sort=A","Dates=H","DateFormat=P","Fill=—","Direction=H","UseDPDF=Y")</f>
        <v>#NAME?</v>
      </c>
      <c r="M24" s="14" t="e">
        <f ca="1">_xll.BDH("ANSS US Equity","PCT_WOMEN_NEW_HIRES","FY 2019","FY 2019","Currency=USD","Period=FY","BEST_FPERIOD_OVERRIDE=FY","FILING_STATUS=MR","Sort=A","Dates=H","DateFormat=P","Fill=—","Direction=H","UseDPDF=Y")</f>
        <v>#NAME?</v>
      </c>
      <c r="N24" s="14" t="e">
        <f ca="1">_xll.BDH("ANSS US Equity","PCT_WOMEN_NEW_HIRES","FY 2020","FY 2020","Currency=USD","Period=FY","BEST_FPERIOD_OVERRIDE=FY","FILING_STATUS=MR","Sort=A","Dates=H","DateFormat=P","Fill=—","Direction=H","UseDPDF=Y")</f>
        <v>#NAME?</v>
      </c>
      <c r="O24" s="14" t="e">
        <f ca="1">_xll.BDH("ANSS US Equity","PCT_WOMEN_NEW_HIRES","FY 2021","FY 2021","Currency=USD","Period=FY","BEST_FPERIOD_OVERRIDE=FY","FILING_STATUS=MR","Sort=A","Dates=H","DateFormat=P","Fill=—","Direction=H","UseDPDF=Y")</f>
        <v>#NAME?</v>
      </c>
      <c r="P24" s="14" t="e">
        <f ca="1">_xll.BDH("ANSS US Equity","PCT_WOMEN_NEW_HIRES","FY 2022","FY 2022","Currency=USD","Period=FY","BEST_FPERIOD_OVERRIDE=FY","FILING_STATUS=MR","Sort=A","Dates=H","DateFormat=P","Fill=—","Direction=H","UseDPDF=Y")</f>
        <v>#NAME?</v>
      </c>
      <c r="Q24" s="14" t="e">
        <f ca="1">_xll.BDH("ANSS US Equity","PCT_WOMEN_NEW_HIRES","FY 2023","FY 2023","Currency=USD","Period=FY","BEST_FPERIOD_OVERRIDE=FY","FILING_STATUS=MR","Sort=A","Dates=H","DateFormat=P","Fill=—","Direction=H","UseDPDF=Y")</f>
        <v>#NAME?</v>
      </c>
    </row>
    <row r="25" spans="1:17" x14ac:dyDescent="0.45">
      <c r="A25" s="10" t="s">
        <v>835</v>
      </c>
      <c r="B25" s="10" t="s">
        <v>836</v>
      </c>
      <c r="C25" s="14" t="e">
        <f ca="1">_xll.BDH("ANSS US Equity","PCT_WOMEN_ATTRITION","FY 2009","FY 2009","Currency=USD","Period=FY","BEST_FPERIOD_OVERRIDE=FY","FILING_STATUS=MR","Sort=A","Dates=H","DateFormat=P","Fill=—","Direction=H","UseDPDF=Y")</f>
        <v>#NAME?</v>
      </c>
      <c r="D25" s="14" t="e">
        <f ca="1">_xll.BDH("ANSS US Equity","PCT_WOMEN_ATTRITION","FY 2010","FY 2010","Currency=USD","Period=FY","BEST_FPERIOD_OVERRIDE=FY","FILING_STATUS=MR","Sort=A","Dates=H","DateFormat=P","Fill=—","Direction=H","UseDPDF=Y")</f>
        <v>#NAME?</v>
      </c>
      <c r="E25" s="14" t="e">
        <f ca="1">_xll.BDH("ANSS US Equity","PCT_WOMEN_ATTRITION","FY 2011","FY 2011","Currency=USD","Period=FY","BEST_FPERIOD_OVERRIDE=FY","FILING_STATUS=MR","Sort=A","Dates=H","DateFormat=P","Fill=—","Direction=H","UseDPDF=Y")</f>
        <v>#NAME?</v>
      </c>
      <c r="F25" s="14" t="e">
        <f ca="1">_xll.BDH("ANSS US Equity","PCT_WOMEN_ATTRITION","FY 2012","FY 2012","Currency=USD","Period=FY","BEST_FPERIOD_OVERRIDE=FY","FILING_STATUS=MR","Sort=A","Dates=H","DateFormat=P","Fill=—","Direction=H","UseDPDF=Y")</f>
        <v>#NAME?</v>
      </c>
      <c r="G25" s="14" t="e">
        <f ca="1">_xll.BDH("ANSS US Equity","PCT_WOMEN_ATTRITION","FY 2013","FY 2013","Currency=USD","Period=FY","BEST_FPERIOD_OVERRIDE=FY","FILING_STATUS=MR","Sort=A","Dates=H","DateFormat=P","Fill=—","Direction=H","UseDPDF=Y")</f>
        <v>#NAME?</v>
      </c>
      <c r="H25" s="14" t="e">
        <f ca="1">_xll.BDH("ANSS US Equity","PCT_WOMEN_ATTRITION","FY 2014","FY 2014","Currency=USD","Period=FY","BEST_FPERIOD_OVERRIDE=FY","FILING_STATUS=MR","Sort=A","Dates=H","DateFormat=P","Fill=—","Direction=H","UseDPDF=Y")</f>
        <v>#NAME?</v>
      </c>
      <c r="I25" s="14" t="e">
        <f ca="1">_xll.BDH("ANSS US Equity","PCT_WOMEN_ATTRITION","FY 2015","FY 2015","Currency=USD","Period=FY","BEST_FPERIOD_OVERRIDE=FY","FILING_STATUS=MR","Sort=A","Dates=H","DateFormat=P","Fill=—","Direction=H","UseDPDF=Y")</f>
        <v>#NAME?</v>
      </c>
      <c r="J25" s="14" t="e">
        <f ca="1">_xll.BDH("ANSS US Equity","PCT_WOMEN_ATTRITION","FY 2016","FY 2016","Currency=USD","Period=FY","BEST_FPERIOD_OVERRIDE=FY","FILING_STATUS=MR","Sort=A","Dates=H","DateFormat=P","Fill=—","Direction=H","UseDPDF=Y")</f>
        <v>#NAME?</v>
      </c>
      <c r="K25" s="14" t="e">
        <f ca="1">_xll.BDH("ANSS US Equity","PCT_WOMEN_ATTRITION","FY 2017","FY 2017","Currency=USD","Period=FY","BEST_FPERIOD_OVERRIDE=FY","FILING_STATUS=MR","Sort=A","Dates=H","DateFormat=P","Fill=—","Direction=H","UseDPDF=Y")</f>
        <v>#NAME?</v>
      </c>
      <c r="L25" s="14" t="e">
        <f ca="1">_xll.BDH("ANSS US Equity","PCT_WOMEN_ATTRITION","FY 2018","FY 2018","Currency=USD","Period=FY","BEST_FPERIOD_OVERRIDE=FY","FILING_STATUS=MR","Sort=A","Dates=H","DateFormat=P","Fill=—","Direction=H","UseDPDF=Y")</f>
        <v>#NAME?</v>
      </c>
      <c r="M25" s="14" t="e">
        <f ca="1">_xll.BDH("ANSS US Equity","PCT_WOMEN_ATTRITION","FY 2019","FY 2019","Currency=USD","Period=FY","BEST_FPERIOD_OVERRIDE=FY","FILING_STATUS=MR","Sort=A","Dates=H","DateFormat=P","Fill=—","Direction=H","UseDPDF=Y")</f>
        <v>#NAME?</v>
      </c>
      <c r="N25" s="14" t="e">
        <f ca="1">_xll.BDH("ANSS US Equity","PCT_WOMEN_ATTRITION","FY 2020","FY 2020","Currency=USD","Period=FY","BEST_FPERIOD_OVERRIDE=FY","FILING_STATUS=MR","Sort=A","Dates=H","DateFormat=P","Fill=—","Direction=H","UseDPDF=Y")</f>
        <v>#NAME?</v>
      </c>
      <c r="O25" s="14" t="e">
        <f ca="1">_xll.BDH("ANSS US Equity","PCT_WOMEN_ATTRITION","FY 2021","FY 2021","Currency=USD","Period=FY","BEST_FPERIOD_OVERRIDE=FY","FILING_STATUS=MR","Sort=A","Dates=H","DateFormat=P","Fill=—","Direction=H","UseDPDF=Y")</f>
        <v>#NAME?</v>
      </c>
      <c r="P25" s="14" t="e">
        <f ca="1">_xll.BDH("ANSS US Equity","PCT_WOMEN_ATTRITION","FY 2022","FY 2022","Currency=USD","Period=FY","BEST_FPERIOD_OVERRIDE=FY","FILING_STATUS=MR","Sort=A","Dates=H","DateFormat=P","Fill=—","Direction=H","UseDPDF=Y")</f>
        <v>#NAME?</v>
      </c>
      <c r="Q25" s="14" t="e">
        <f ca="1">_xll.BDH("ANSS US Equity","PCT_WOMEN_ATTRITION","FY 2023","FY 2023","Currency=USD","Period=FY","BEST_FPERIOD_OVERRIDE=FY","FILING_STATUS=MR","Sort=A","Dates=H","DateFormat=P","Fill=—","Direction=H","UseDPDF=Y")</f>
        <v>#NAME?</v>
      </c>
    </row>
    <row r="26" spans="1:17" x14ac:dyDescent="0.45">
      <c r="A26" s="10" t="s">
        <v>837</v>
      </c>
      <c r="B26" s="10" t="s">
        <v>838</v>
      </c>
      <c r="C26" s="12" t="s">
        <v>687</v>
      </c>
      <c r="D26" s="12" t="s">
        <v>687</v>
      </c>
      <c r="E26" s="12" t="s">
        <v>687</v>
      </c>
      <c r="F26" s="12" t="s">
        <v>687</v>
      </c>
      <c r="G26" s="12" t="s">
        <v>687</v>
      </c>
      <c r="H26" s="12" t="s">
        <v>687</v>
      </c>
      <c r="I26" s="12" t="s">
        <v>687</v>
      </c>
      <c r="J26" s="12" t="s">
        <v>684</v>
      </c>
      <c r="K26" s="12" t="s">
        <v>684</v>
      </c>
      <c r="L26" s="12" t="s">
        <v>684</v>
      </c>
      <c r="M26" s="12" t="s">
        <v>684</v>
      </c>
      <c r="N26" s="12" t="s">
        <v>684</v>
      </c>
      <c r="O26" s="12" t="s">
        <v>684</v>
      </c>
      <c r="P26" s="12" t="s">
        <v>684</v>
      </c>
      <c r="Q26" s="12" t="s">
        <v>684</v>
      </c>
    </row>
    <row r="27" spans="1:17" x14ac:dyDescent="0.45">
      <c r="A27" s="10" t="s">
        <v>839</v>
      </c>
      <c r="B27" s="10" t="s">
        <v>840</v>
      </c>
      <c r="C27" s="12" t="s">
        <v>683</v>
      </c>
      <c r="D27" s="12" t="s">
        <v>683</v>
      </c>
      <c r="E27" s="12" t="s">
        <v>683</v>
      </c>
      <c r="F27" s="12" t="s">
        <v>683</v>
      </c>
      <c r="G27" s="12" t="s">
        <v>683</v>
      </c>
      <c r="H27" s="12" t="s">
        <v>683</v>
      </c>
      <c r="I27" s="12" t="s">
        <v>683</v>
      </c>
      <c r="J27" s="12" t="s">
        <v>683</v>
      </c>
      <c r="K27" s="12" t="s">
        <v>683</v>
      </c>
      <c r="L27" s="12" t="s">
        <v>683</v>
      </c>
      <c r="M27" s="12" t="s">
        <v>687</v>
      </c>
      <c r="N27" s="12" t="s">
        <v>687</v>
      </c>
      <c r="O27" s="12" t="s">
        <v>687</v>
      </c>
      <c r="P27" s="12" t="s">
        <v>684</v>
      </c>
      <c r="Q27" s="12" t="s">
        <v>683</v>
      </c>
    </row>
    <row r="28" spans="1:17" x14ac:dyDescent="0.4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x14ac:dyDescent="0.45">
      <c r="A29" s="10" t="s">
        <v>841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45">
      <c r="A30" s="10" t="s">
        <v>842</v>
      </c>
      <c r="B30" s="10" t="s">
        <v>843</v>
      </c>
      <c r="C30" s="12" t="s">
        <v>683</v>
      </c>
      <c r="D30" s="12" t="s">
        <v>683</v>
      </c>
      <c r="E30" s="12" t="s">
        <v>683</v>
      </c>
      <c r="F30" s="12" t="s">
        <v>683</v>
      </c>
      <c r="G30" s="12" t="s">
        <v>683</v>
      </c>
      <c r="H30" s="12" t="s">
        <v>683</v>
      </c>
      <c r="I30" s="12" t="s">
        <v>683</v>
      </c>
      <c r="J30" s="12" t="s">
        <v>683</v>
      </c>
      <c r="K30" s="12" t="s">
        <v>683</v>
      </c>
      <c r="L30" s="12" t="s">
        <v>683</v>
      </c>
      <c r="M30" s="12" t="s">
        <v>687</v>
      </c>
      <c r="N30" s="12" t="s">
        <v>687</v>
      </c>
      <c r="O30" s="12" t="s">
        <v>687</v>
      </c>
      <c r="P30" s="12" t="s">
        <v>687</v>
      </c>
      <c r="Q30" s="12" t="s">
        <v>684</v>
      </c>
    </row>
    <row r="31" spans="1:17" x14ac:dyDescent="0.45">
      <c r="A31" s="10" t="s">
        <v>844</v>
      </c>
      <c r="B31" s="10" t="s">
        <v>845</v>
      </c>
      <c r="C31" s="12" t="s">
        <v>683</v>
      </c>
      <c r="D31" s="12" t="s">
        <v>683</v>
      </c>
      <c r="E31" s="12" t="s">
        <v>683</v>
      </c>
      <c r="F31" s="12" t="s">
        <v>683</v>
      </c>
      <c r="G31" s="12" t="s">
        <v>683</v>
      </c>
      <c r="H31" s="12" t="s">
        <v>683</v>
      </c>
      <c r="I31" s="12" t="s">
        <v>683</v>
      </c>
      <c r="J31" s="12" t="s">
        <v>683</v>
      </c>
      <c r="K31" s="12" t="s">
        <v>683</v>
      </c>
      <c r="L31" s="12" t="s">
        <v>683</v>
      </c>
      <c r="M31" s="12" t="s">
        <v>687</v>
      </c>
      <c r="N31" s="12" t="s">
        <v>684</v>
      </c>
      <c r="O31" s="12" t="s">
        <v>684</v>
      </c>
      <c r="P31" s="12" t="s">
        <v>684</v>
      </c>
      <c r="Q31" s="12" t="s">
        <v>684</v>
      </c>
    </row>
    <row r="32" spans="1:17" x14ac:dyDescent="0.45">
      <c r="A32" s="10" t="s">
        <v>846</v>
      </c>
      <c r="B32" s="10" t="s">
        <v>847</v>
      </c>
      <c r="C32" s="12" t="s">
        <v>683</v>
      </c>
      <c r="D32" s="12" t="s">
        <v>683</v>
      </c>
      <c r="E32" s="12" t="s">
        <v>683</v>
      </c>
      <c r="F32" s="12" t="s">
        <v>683</v>
      </c>
      <c r="G32" s="12" t="s">
        <v>683</v>
      </c>
      <c r="H32" s="12" t="s">
        <v>683</v>
      </c>
      <c r="I32" s="12" t="s">
        <v>683</v>
      </c>
      <c r="J32" s="12" t="s">
        <v>683</v>
      </c>
      <c r="K32" s="12" t="s">
        <v>683</v>
      </c>
      <c r="L32" s="12" t="s">
        <v>683</v>
      </c>
      <c r="M32" s="12" t="s">
        <v>687</v>
      </c>
      <c r="N32" s="12" t="s">
        <v>687</v>
      </c>
      <c r="O32" s="12" t="s">
        <v>687</v>
      </c>
      <c r="P32" s="12" t="s">
        <v>687</v>
      </c>
      <c r="Q32" s="12" t="s">
        <v>687</v>
      </c>
    </row>
    <row r="33" spans="1:17" x14ac:dyDescent="0.45">
      <c r="A33" s="10" t="s">
        <v>848</v>
      </c>
      <c r="B33" s="10" t="s">
        <v>849</v>
      </c>
      <c r="C33" s="12" t="s">
        <v>683</v>
      </c>
      <c r="D33" s="12" t="s">
        <v>683</v>
      </c>
      <c r="E33" s="12" t="s">
        <v>683</v>
      </c>
      <c r="F33" s="12" t="s">
        <v>683</v>
      </c>
      <c r="G33" s="12" t="s">
        <v>683</v>
      </c>
      <c r="H33" s="12" t="s">
        <v>683</v>
      </c>
      <c r="I33" s="12" t="s">
        <v>683</v>
      </c>
      <c r="J33" s="12" t="s">
        <v>683</v>
      </c>
      <c r="K33" s="12" t="s">
        <v>683</v>
      </c>
      <c r="L33" s="12" t="s">
        <v>683</v>
      </c>
      <c r="M33" s="12" t="s">
        <v>684</v>
      </c>
      <c r="N33" s="12" t="s">
        <v>684</v>
      </c>
      <c r="O33" s="12" t="s">
        <v>684</v>
      </c>
      <c r="P33" s="12" t="s">
        <v>684</v>
      </c>
      <c r="Q33" s="12" t="s">
        <v>684</v>
      </c>
    </row>
    <row r="34" spans="1:17" x14ac:dyDescent="0.45">
      <c r="A34" s="10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x14ac:dyDescent="0.45">
      <c r="A35" s="10" t="s">
        <v>850</v>
      </c>
      <c r="B35" s="10" t="s">
        <v>851</v>
      </c>
      <c r="C35" s="12" t="s">
        <v>683</v>
      </c>
      <c r="D35" s="12" t="s">
        <v>683</v>
      </c>
      <c r="E35" s="12" t="s">
        <v>683</v>
      </c>
      <c r="F35" s="12" t="s">
        <v>683</v>
      </c>
      <c r="G35" s="12" t="s">
        <v>683</v>
      </c>
      <c r="H35" s="12" t="s">
        <v>683</v>
      </c>
      <c r="I35" s="12" t="s">
        <v>683</v>
      </c>
      <c r="J35" s="12" t="s">
        <v>683</v>
      </c>
      <c r="K35" s="12" t="s">
        <v>683</v>
      </c>
      <c r="L35" s="12" t="s">
        <v>683</v>
      </c>
      <c r="M35" s="12" t="s">
        <v>687</v>
      </c>
      <c r="N35" s="12" t="s">
        <v>687</v>
      </c>
      <c r="O35" s="12" t="s">
        <v>687</v>
      </c>
      <c r="P35" s="12" t="s">
        <v>687</v>
      </c>
      <c r="Q35" s="12" t="s">
        <v>687</v>
      </c>
    </row>
    <row r="36" spans="1:17" x14ac:dyDescent="0.45">
      <c r="A36" s="10" t="s">
        <v>852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45">
      <c r="A37" s="10" t="s">
        <v>853</v>
      </c>
      <c r="B37" s="10" t="s">
        <v>854</v>
      </c>
      <c r="C37" s="14" t="e">
        <f ca="1">_xll.BDH("ANSS US Equity","PARTIAL_MED_GENDER_PAY_GAP","FY 2009","FY 2009","Currency=USD","Period=FY","BEST_FPERIOD_OVERRIDE=FY","FILING_STATUS=MR","Sort=A","Dates=H","DateFormat=P","Fill=—","Direction=H","UseDPDF=Y")</f>
        <v>#NAME?</v>
      </c>
      <c r="D37" s="14" t="e">
        <f ca="1">_xll.BDH("ANSS US Equity","PARTIAL_MED_GENDER_PAY_GAP","FY 2010","FY 2010","Currency=USD","Period=FY","BEST_FPERIOD_OVERRIDE=FY","FILING_STATUS=MR","Sort=A","Dates=H","DateFormat=P","Fill=—","Direction=H","UseDPDF=Y")</f>
        <v>#NAME?</v>
      </c>
      <c r="E37" s="14" t="e">
        <f ca="1">_xll.BDH("ANSS US Equity","PARTIAL_MED_GENDER_PAY_GAP","FY 2011","FY 2011","Currency=USD","Period=FY","BEST_FPERIOD_OVERRIDE=FY","FILING_STATUS=MR","Sort=A","Dates=H","DateFormat=P","Fill=—","Direction=H","UseDPDF=Y")</f>
        <v>#NAME?</v>
      </c>
      <c r="F37" s="14" t="e">
        <f ca="1">_xll.BDH("ANSS US Equity","PARTIAL_MED_GENDER_PAY_GAP","FY 2012","FY 2012","Currency=USD","Period=FY","BEST_FPERIOD_OVERRIDE=FY","FILING_STATUS=MR","Sort=A","Dates=H","DateFormat=P","Fill=—","Direction=H","UseDPDF=Y")</f>
        <v>#NAME?</v>
      </c>
      <c r="G37" s="14" t="e">
        <f ca="1">_xll.BDH("ANSS US Equity","PARTIAL_MED_GENDER_PAY_GAP","FY 2013","FY 2013","Currency=USD","Period=FY","BEST_FPERIOD_OVERRIDE=FY","FILING_STATUS=MR","Sort=A","Dates=H","DateFormat=P","Fill=—","Direction=H","UseDPDF=Y")</f>
        <v>#NAME?</v>
      </c>
      <c r="H37" s="14" t="e">
        <f ca="1">_xll.BDH("ANSS US Equity","PARTIAL_MED_GENDER_PAY_GAP","FY 2014","FY 2014","Currency=USD","Period=FY","BEST_FPERIOD_OVERRIDE=FY","FILING_STATUS=MR","Sort=A","Dates=H","DateFormat=P","Fill=—","Direction=H","UseDPDF=Y")</f>
        <v>#NAME?</v>
      </c>
      <c r="I37" s="14" t="e">
        <f ca="1">_xll.BDH("ANSS US Equity","PARTIAL_MED_GENDER_PAY_GAP","FY 2015","FY 2015","Currency=USD","Period=FY","BEST_FPERIOD_OVERRIDE=FY","FILING_STATUS=MR","Sort=A","Dates=H","DateFormat=P","Fill=—","Direction=H","UseDPDF=Y")</f>
        <v>#NAME?</v>
      </c>
      <c r="J37" s="14" t="e">
        <f ca="1">_xll.BDH("ANSS US Equity","PARTIAL_MED_GENDER_PAY_GAP","FY 2016","FY 2016","Currency=USD","Period=FY","BEST_FPERIOD_OVERRIDE=FY","FILING_STATUS=MR","Sort=A","Dates=H","DateFormat=P","Fill=—","Direction=H","UseDPDF=Y")</f>
        <v>#NAME?</v>
      </c>
      <c r="K37" s="14" t="e">
        <f ca="1">_xll.BDH("ANSS US Equity","PARTIAL_MED_GENDER_PAY_GAP","FY 2017","FY 2017","Currency=USD","Period=FY","BEST_FPERIOD_OVERRIDE=FY","FILING_STATUS=MR","Sort=A","Dates=H","DateFormat=P","Fill=—","Direction=H","UseDPDF=Y")</f>
        <v>#NAME?</v>
      </c>
      <c r="L37" s="14" t="e">
        <f ca="1">_xll.BDH("ANSS US Equity","PARTIAL_MED_GENDER_PAY_GAP","FY 2018","FY 2018","Currency=USD","Period=FY","BEST_FPERIOD_OVERRIDE=FY","FILING_STATUS=MR","Sort=A","Dates=H","DateFormat=P","Fill=—","Direction=H","UseDPDF=Y")</f>
        <v>#NAME?</v>
      </c>
      <c r="M37" s="14" t="e">
        <f ca="1">_xll.BDH("ANSS US Equity","PARTIAL_MED_GENDER_PAY_GAP","FY 2019","FY 2019","Currency=USD","Period=FY","BEST_FPERIOD_OVERRIDE=FY","FILING_STATUS=MR","Sort=A","Dates=H","DateFormat=P","Fill=—","Direction=H","UseDPDF=Y")</f>
        <v>#NAME?</v>
      </c>
      <c r="N37" s="14" t="e">
        <f ca="1">_xll.BDH("ANSS US Equity","PARTIAL_MED_GENDER_PAY_GAP","FY 2020","FY 2020","Currency=USD","Period=FY","BEST_FPERIOD_OVERRIDE=FY","FILING_STATUS=MR","Sort=A","Dates=H","DateFormat=P","Fill=—","Direction=H","UseDPDF=Y")</f>
        <v>#NAME?</v>
      </c>
      <c r="O37" s="14" t="e">
        <f ca="1">_xll.BDH("ANSS US Equity","PARTIAL_MED_GENDER_PAY_GAP","FY 2021","FY 2021","Currency=USD","Period=FY","BEST_FPERIOD_OVERRIDE=FY","FILING_STATUS=MR","Sort=A","Dates=H","DateFormat=P","Fill=—","Direction=H","UseDPDF=Y")</f>
        <v>#NAME?</v>
      </c>
      <c r="P37" s="14" t="e">
        <f ca="1">_xll.BDH("ANSS US Equity","PARTIAL_MED_GENDER_PAY_GAP","FY 2022","FY 2022","Currency=USD","Period=FY","BEST_FPERIOD_OVERRIDE=FY","FILING_STATUS=MR","Sort=A","Dates=H","DateFormat=P","Fill=—","Direction=H","UseDPDF=Y")</f>
        <v>#NAME?</v>
      </c>
      <c r="Q37" s="14" t="e">
        <f ca="1">_xll.BDH("ANSS US Equity","PARTIAL_MED_GENDER_PAY_GAP","FY 2023","FY 2023","Currency=USD","Period=FY","BEST_FPERIOD_OVERRIDE=FY","FILING_STATUS=MR","Sort=A","Dates=H","DateFormat=P","Fill=—","Direction=H","UseDPDF=Y")</f>
        <v>#NAME?</v>
      </c>
    </row>
    <row r="38" spans="1:17" x14ac:dyDescent="0.45">
      <c r="A38" s="10" t="s">
        <v>855</v>
      </c>
      <c r="B38" s="10" t="s">
        <v>856</v>
      </c>
      <c r="C38" s="14" t="e">
        <f ca="1">_xll.BDH("ANSS US Equity","UNADJ_PRTL_MEAN_GNDR_PAY_GAP","FY 2009","FY 2009","Currency=USD","Period=FY","BEST_FPERIOD_OVERRIDE=FY","FILING_STATUS=MR","Sort=A","Dates=H","DateFormat=P","Fill=—","Direction=H","UseDPDF=Y")</f>
        <v>#NAME?</v>
      </c>
      <c r="D38" s="14" t="e">
        <f ca="1">_xll.BDH("ANSS US Equity","UNADJ_PRTL_MEAN_GNDR_PAY_GAP","FY 2010","FY 2010","Currency=USD","Period=FY","BEST_FPERIOD_OVERRIDE=FY","FILING_STATUS=MR","Sort=A","Dates=H","DateFormat=P","Fill=—","Direction=H","UseDPDF=Y")</f>
        <v>#NAME?</v>
      </c>
      <c r="E38" s="14" t="e">
        <f ca="1">_xll.BDH("ANSS US Equity","UNADJ_PRTL_MEAN_GNDR_PAY_GAP","FY 2011","FY 2011","Currency=USD","Period=FY","BEST_FPERIOD_OVERRIDE=FY","FILING_STATUS=MR","Sort=A","Dates=H","DateFormat=P","Fill=—","Direction=H","UseDPDF=Y")</f>
        <v>#NAME?</v>
      </c>
      <c r="F38" s="14" t="e">
        <f ca="1">_xll.BDH("ANSS US Equity","UNADJ_PRTL_MEAN_GNDR_PAY_GAP","FY 2012","FY 2012","Currency=USD","Period=FY","BEST_FPERIOD_OVERRIDE=FY","FILING_STATUS=MR","Sort=A","Dates=H","DateFormat=P","Fill=—","Direction=H","UseDPDF=Y")</f>
        <v>#NAME?</v>
      </c>
      <c r="G38" s="14" t="e">
        <f ca="1">_xll.BDH("ANSS US Equity","UNADJ_PRTL_MEAN_GNDR_PAY_GAP","FY 2013","FY 2013","Currency=USD","Period=FY","BEST_FPERIOD_OVERRIDE=FY","FILING_STATUS=MR","Sort=A","Dates=H","DateFormat=P","Fill=—","Direction=H","UseDPDF=Y")</f>
        <v>#NAME?</v>
      </c>
      <c r="H38" s="14" t="e">
        <f ca="1">_xll.BDH("ANSS US Equity","UNADJ_PRTL_MEAN_GNDR_PAY_GAP","FY 2014","FY 2014","Currency=USD","Period=FY","BEST_FPERIOD_OVERRIDE=FY","FILING_STATUS=MR","Sort=A","Dates=H","DateFormat=P","Fill=—","Direction=H","UseDPDF=Y")</f>
        <v>#NAME?</v>
      </c>
      <c r="I38" s="14" t="e">
        <f ca="1">_xll.BDH("ANSS US Equity","UNADJ_PRTL_MEAN_GNDR_PAY_GAP","FY 2015","FY 2015","Currency=USD","Period=FY","BEST_FPERIOD_OVERRIDE=FY","FILING_STATUS=MR","Sort=A","Dates=H","DateFormat=P","Fill=—","Direction=H","UseDPDF=Y")</f>
        <v>#NAME?</v>
      </c>
      <c r="J38" s="14" t="e">
        <f ca="1">_xll.BDH("ANSS US Equity","UNADJ_PRTL_MEAN_GNDR_PAY_GAP","FY 2016","FY 2016","Currency=USD","Period=FY","BEST_FPERIOD_OVERRIDE=FY","FILING_STATUS=MR","Sort=A","Dates=H","DateFormat=P","Fill=—","Direction=H","UseDPDF=Y")</f>
        <v>#NAME?</v>
      </c>
      <c r="K38" s="14" t="e">
        <f ca="1">_xll.BDH("ANSS US Equity","UNADJ_PRTL_MEAN_GNDR_PAY_GAP","FY 2017","FY 2017","Currency=USD","Period=FY","BEST_FPERIOD_OVERRIDE=FY","FILING_STATUS=MR","Sort=A","Dates=H","DateFormat=P","Fill=—","Direction=H","UseDPDF=Y")</f>
        <v>#NAME?</v>
      </c>
      <c r="L38" s="14" t="e">
        <f ca="1">_xll.BDH("ANSS US Equity","UNADJ_PRTL_MEAN_GNDR_PAY_GAP","FY 2018","FY 2018","Currency=USD","Period=FY","BEST_FPERIOD_OVERRIDE=FY","FILING_STATUS=MR","Sort=A","Dates=H","DateFormat=P","Fill=—","Direction=H","UseDPDF=Y")</f>
        <v>#NAME?</v>
      </c>
      <c r="M38" s="14" t="e">
        <f ca="1">_xll.BDH("ANSS US Equity","UNADJ_PRTL_MEAN_GNDR_PAY_GAP","FY 2019","FY 2019","Currency=USD","Period=FY","BEST_FPERIOD_OVERRIDE=FY","FILING_STATUS=MR","Sort=A","Dates=H","DateFormat=P","Fill=—","Direction=H","UseDPDF=Y")</f>
        <v>#NAME?</v>
      </c>
      <c r="N38" s="14" t="e">
        <f ca="1">_xll.BDH("ANSS US Equity","UNADJ_PRTL_MEAN_GNDR_PAY_GAP","FY 2020","FY 2020","Currency=USD","Period=FY","BEST_FPERIOD_OVERRIDE=FY","FILING_STATUS=MR","Sort=A","Dates=H","DateFormat=P","Fill=—","Direction=H","UseDPDF=Y")</f>
        <v>#NAME?</v>
      </c>
      <c r="O38" s="14" t="e">
        <f ca="1">_xll.BDH("ANSS US Equity","UNADJ_PRTL_MEAN_GNDR_PAY_GAP","FY 2021","FY 2021","Currency=USD","Period=FY","BEST_FPERIOD_OVERRIDE=FY","FILING_STATUS=MR","Sort=A","Dates=H","DateFormat=P","Fill=—","Direction=H","UseDPDF=Y")</f>
        <v>#NAME?</v>
      </c>
      <c r="P38" s="14" t="e">
        <f ca="1">_xll.BDH("ANSS US Equity","UNADJ_PRTL_MEAN_GNDR_PAY_GAP","FY 2022","FY 2022","Currency=USD","Period=FY","BEST_FPERIOD_OVERRIDE=FY","FILING_STATUS=MR","Sort=A","Dates=H","DateFormat=P","Fill=—","Direction=H","UseDPDF=Y")</f>
        <v>#NAME?</v>
      </c>
      <c r="Q38" s="14" t="e">
        <f ca="1">_xll.BDH("ANSS US Equity","UNADJ_PRTL_MEAN_GNDR_PAY_GAP","FY 2023","FY 2023","Currency=USD","Period=FY","BEST_FPERIOD_OVERRIDE=FY","FILING_STATUS=MR","Sort=A","Dates=H","DateFormat=P","Fill=—","Direction=H","UseDPDF=Y")</f>
        <v>#NAME?</v>
      </c>
    </row>
    <row r="39" spans="1:17" x14ac:dyDescent="0.45">
      <c r="A39" s="10" t="s">
        <v>857</v>
      </c>
      <c r="B39" s="10" t="s">
        <v>858</v>
      </c>
      <c r="C39" s="12" t="s">
        <v>683</v>
      </c>
      <c r="D39" s="12" t="s">
        <v>683</v>
      </c>
      <c r="E39" s="12" t="s">
        <v>683</v>
      </c>
      <c r="F39" s="12" t="s">
        <v>683</v>
      </c>
      <c r="G39" s="12" t="s">
        <v>683</v>
      </c>
      <c r="H39" s="12" t="s">
        <v>687</v>
      </c>
      <c r="I39" s="12" t="s">
        <v>687</v>
      </c>
      <c r="J39" s="12" t="s">
        <v>687</v>
      </c>
      <c r="K39" s="12" t="s">
        <v>687</v>
      </c>
      <c r="L39" s="12" t="s">
        <v>687</v>
      </c>
      <c r="M39" s="12" t="s">
        <v>687</v>
      </c>
      <c r="N39" s="12" t="s">
        <v>687</v>
      </c>
      <c r="O39" s="12" t="s">
        <v>684</v>
      </c>
      <c r="P39" s="12" t="s">
        <v>684</v>
      </c>
      <c r="Q39" s="12" t="s">
        <v>684</v>
      </c>
    </row>
    <row r="40" spans="1:17" x14ac:dyDescent="0.45">
      <c r="A40" s="10" t="s">
        <v>859</v>
      </c>
      <c r="B40" s="10" t="s">
        <v>860</v>
      </c>
      <c r="C40" s="12" t="s">
        <v>683</v>
      </c>
      <c r="D40" s="12" t="s">
        <v>683</v>
      </c>
      <c r="E40" s="12" t="s">
        <v>683</v>
      </c>
      <c r="F40" s="12" t="s">
        <v>683</v>
      </c>
      <c r="G40" s="12" t="s">
        <v>683</v>
      </c>
      <c r="H40" s="12" t="s">
        <v>683</v>
      </c>
      <c r="I40" s="12" t="s">
        <v>687</v>
      </c>
      <c r="J40" s="12" t="s">
        <v>687</v>
      </c>
      <c r="K40" s="12" t="s">
        <v>687</v>
      </c>
      <c r="L40" s="12" t="s">
        <v>687</v>
      </c>
      <c r="M40" s="12" t="s">
        <v>687</v>
      </c>
      <c r="N40" s="12" t="s">
        <v>687</v>
      </c>
      <c r="O40" s="12" t="s">
        <v>687</v>
      </c>
      <c r="P40" s="12" t="s">
        <v>687</v>
      </c>
      <c r="Q40" s="12" t="s">
        <v>687</v>
      </c>
    </row>
    <row r="41" spans="1:17" x14ac:dyDescent="0.45">
      <c r="A41" s="1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45">
      <c r="A42" s="10" t="s">
        <v>861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45">
      <c r="A43" s="10" t="s">
        <v>862</v>
      </c>
      <c r="B43" s="10" t="s">
        <v>863</v>
      </c>
      <c r="C43" s="12" t="s">
        <v>687</v>
      </c>
      <c r="D43" s="12" t="s">
        <v>687</v>
      </c>
      <c r="E43" s="12" t="s">
        <v>687</v>
      </c>
      <c r="F43" s="12" t="s">
        <v>687</v>
      </c>
      <c r="G43" s="12" t="s">
        <v>687</v>
      </c>
      <c r="H43" s="12" t="s">
        <v>687</v>
      </c>
      <c r="I43" s="12" t="s">
        <v>687</v>
      </c>
      <c r="J43" s="12" t="s">
        <v>687</v>
      </c>
      <c r="K43" s="12" t="s">
        <v>684</v>
      </c>
      <c r="L43" s="12" t="s">
        <v>684</v>
      </c>
      <c r="M43" s="12" t="s">
        <v>684</v>
      </c>
      <c r="N43" s="12" t="s">
        <v>684</v>
      </c>
      <c r="O43" s="12" t="s">
        <v>684</v>
      </c>
      <c r="P43" s="12" t="s">
        <v>684</v>
      </c>
      <c r="Q43" s="12" t="s">
        <v>684</v>
      </c>
    </row>
    <row r="44" spans="1:17" x14ac:dyDescent="0.45">
      <c r="A44" s="10" t="s">
        <v>864</v>
      </c>
      <c r="B44" s="10" t="s">
        <v>865</v>
      </c>
      <c r="C44" s="12" t="s">
        <v>687</v>
      </c>
      <c r="D44" s="12" t="s">
        <v>687</v>
      </c>
      <c r="E44" s="12" t="s">
        <v>687</v>
      </c>
      <c r="F44" s="12" t="s">
        <v>687</v>
      </c>
      <c r="G44" s="12" t="s">
        <v>687</v>
      </c>
      <c r="H44" s="12" t="s">
        <v>687</v>
      </c>
      <c r="I44" s="12" t="s">
        <v>687</v>
      </c>
      <c r="J44" s="12" t="s">
        <v>687</v>
      </c>
      <c r="K44" s="12" t="s">
        <v>687</v>
      </c>
      <c r="L44" s="12" t="s">
        <v>687</v>
      </c>
      <c r="M44" s="12" t="s">
        <v>687</v>
      </c>
      <c r="N44" s="12" t="s">
        <v>687</v>
      </c>
      <c r="O44" s="12" t="s">
        <v>687</v>
      </c>
      <c r="P44" s="12" t="s">
        <v>687</v>
      </c>
      <c r="Q44" s="12" t="s">
        <v>687</v>
      </c>
    </row>
    <row r="45" spans="1:17" x14ac:dyDescent="0.45">
      <c r="A45" s="10" t="s">
        <v>866</v>
      </c>
      <c r="B45" s="10" t="s">
        <v>867</v>
      </c>
      <c r="C45" s="12" t="s">
        <v>683</v>
      </c>
      <c r="D45" s="12" t="s">
        <v>683</v>
      </c>
      <c r="E45" s="12" t="s">
        <v>683</v>
      </c>
      <c r="F45" s="12" t="s">
        <v>683</v>
      </c>
      <c r="G45" s="12" t="s">
        <v>683</v>
      </c>
      <c r="H45" s="12" t="s">
        <v>683</v>
      </c>
      <c r="I45" s="12" t="s">
        <v>683</v>
      </c>
      <c r="J45" s="12" t="s">
        <v>683</v>
      </c>
      <c r="K45" s="12" t="s">
        <v>683</v>
      </c>
      <c r="L45" s="12" t="s">
        <v>683</v>
      </c>
      <c r="M45" s="12" t="s">
        <v>687</v>
      </c>
      <c r="N45" s="12" t="s">
        <v>687</v>
      </c>
      <c r="O45" s="12" t="s">
        <v>687</v>
      </c>
      <c r="P45" s="12" t="s">
        <v>684</v>
      </c>
      <c r="Q45" s="12" t="s">
        <v>687</v>
      </c>
    </row>
    <row r="46" spans="1:17" x14ac:dyDescent="0.45">
      <c r="A46" s="10" t="s">
        <v>868</v>
      </c>
      <c r="B46" s="10" t="s">
        <v>869</v>
      </c>
      <c r="C46" s="12" t="s">
        <v>683</v>
      </c>
      <c r="D46" s="12" t="s">
        <v>683</v>
      </c>
      <c r="E46" s="12" t="s">
        <v>683</v>
      </c>
      <c r="F46" s="12" t="s">
        <v>683</v>
      </c>
      <c r="G46" s="12" t="s">
        <v>683</v>
      </c>
      <c r="H46" s="12" t="s">
        <v>683</v>
      </c>
      <c r="I46" s="12" t="s">
        <v>683</v>
      </c>
      <c r="J46" s="12" t="s">
        <v>683</v>
      </c>
      <c r="K46" s="12" t="s">
        <v>683</v>
      </c>
      <c r="L46" s="12" t="s">
        <v>683</v>
      </c>
      <c r="M46" s="12" t="s">
        <v>687</v>
      </c>
      <c r="N46" s="12" t="s">
        <v>684</v>
      </c>
      <c r="O46" s="12" t="s">
        <v>684</v>
      </c>
      <c r="P46" s="12" t="s">
        <v>687</v>
      </c>
      <c r="Q46" s="12" t="s">
        <v>687</v>
      </c>
    </row>
    <row r="47" spans="1:17" x14ac:dyDescent="0.4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x14ac:dyDescent="0.45">
      <c r="A48" s="10" t="s">
        <v>870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45">
      <c r="A49" s="10" t="s">
        <v>871</v>
      </c>
      <c r="B49" s="10" t="s">
        <v>872</v>
      </c>
      <c r="C49" s="12" t="s">
        <v>687</v>
      </c>
      <c r="D49" s="12" t="s">
        <v>687</v>
      </c>
      <c r="E49" s="12" t="s">
        <v>687</v>
      </c>
      <c r="F49" s="12" t="s">
        <v>687</v>
      </c>
      <c r="G49" s="12" t="s">
        <v>687</v>
      </c>
      <c r="H49" s="12" t="s">
        <v>687</v>
      </c>
      <c r="I49" s="12" t="s">
        <v>687</v>
      </c>
      <c r="J49" s="12" t="s">
        <v>684</v>
      </c>
      <c r="K49" s="12" t="s">
        <v>684</v>
      </c>
      <c r="L49" s="12" t="s">
        <v>684</v>
      </c>
      <c r="M49" s="12" t="s">
        <v>684</v>
      </c>
      <c r="N49" s="12" t="s">
        <v>684</v>
      </c>
      <c r="O49" s="12" t="s">
        <v>684</v>
      </c>
      <c r="P49" s="12" t="s">
        <v>684</v>
      </c>
      <c r="Q49" s="12" t="s">
        <v>684</v>
      </c>
    </row>
    <row r="50" spans="1:17" x14ac:dyDescent="0.45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45">
      <c r="A51" s="1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45">
      <c r="A52" s="10" t="s">
        <v>873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 x14ac:dyDescent="0.45">
      <c r="A53" s="10" t="s">
        <v>874</v>
      </c>
      <c r="B53" s="10" t="s">
        <v>875</v>
      </c>
      <c r="C53" s="12" t="s">
        <v>687</v>
      </c>
      <c r="D53" s="12" t="s">
        <v>687</v>
      </c>
      <c r="E53" s="12" t="s">
        <v>687</v>
      </c>
      <c r="F53" s="12" t="s">
        <v>687</v>
      </c>
      <c r="G53" s="12" t="s">
        <v>687</v>
      </c>
      <c r="H53" s="12" t="s">
        <v>687</v>
      </c>
      <c r="I53" s="12" t="s">
        <v>687</v>
      </c>
      <c r="J53" s="12" t="s">
        <v>687</v>
      </c>
      <c r="K53" s="12" t="s">
        <v>687</v>
      </c>
      <c r="L53" s="12" t="s">
        <v>687</v>
      </c>
      <c r="M53" s="12" t="s">
        <v>687</v>
      </c>
      <c r="N53" s="12" t="s">
        <v>687</v>
      </c>
      <c r="O53" s="12" t="s">
        <v>687</v>
      </c>
      <c r="P53" s="12" t="s">
        <v>687</v>
      </c>
      <c r="Q53" s="12" t="s">
        <v>687</v>
      </c>
    </row>
    <row r="54" spans="1:17" x14ac:dyDescent="0.45">
      <c r="A54" s="10" t="s">
        <v>876</v>
      </c>
      <c r="B54" s="10" t="s">
        <v>877</v>
      </c>
      <c r="C54" s="12" t="s">
        <v>687</v>
      </c>
      <c r="D54" s="12" t="s">
        <v>687</v>
      </c>
      <c r="E54" s="12" t="s">
        <v>687</v>
      </c>
      <c r="F54" s="12" t="s">
        <v>687</v>
      </c>
      <c r="G54" s="12" t="s">
        <v>687</v>
      </c>
      <c r="H54" s="12" t="s">
        <v>687</v>
      </c>
      <c r="I54" s="12" t="s">
        <v>687</v>
      </c>
      <c r="J54" s="12" t="s">
        <v>687</v>
      </c>
      <c r="K54" s="12" t="s">
        <v>687</v>
      </c>
      <c r="L54" s="12" t="s">
        <v>687</v>
      </c>
      <c r="M54" s="12" t="s">
        <v>687</v>
      </c>
      <c r="N54" s="12" t="s">
        <v>687</v>
      </c>
      <c r="O54" s="12" t="s">
        <v>687</v>
      </c>
      <c r="P54" s="12" t="s">
        <v>687</v>
      </c>
      <c r="Q54" s="12" t="s">
        <v>687</v>
      </c>
    </row>
    <row r="55" spans="1:17" x14ac:dyDescent="0.45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x14ac:dyDescent="0.45">
      <c r="A56" s="10" t="s">
        <v>878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 x14ac:dyDescent="0.45">
      <c r="A57" s="10" t="s">
        <v>879</v>
      </c>
      <c r="B57" s="10" t="s">
        <v>880</v>
      </c>
      <c r="C57" s="12" t="s">
        <v>687</v>
      </c>
      <c r="D57" s="12" t="s">
        <v>687</v>
      </c>
      <c r="E57" s="12" t="s">
        <v>687</v>
      </c>
      <c r="F57" s="12" t="s">
        <v>687</v>
      </c>
      <c r="G57" s="12" t="s">
        <v>687</v>
      </c>
      <c r="H57" s="12" t="s">
        <v>687</v>
      </c>
      <c r="I57" s="12" t="s">
        <v>687</v>
      </c>
      <c r="J57" s="12" t="s">
        <v>687</v>
      </c>
      <c r="K57" s="12" t="s">
        <v>687</v>
      </c>
      <c r="L57" s="12" t="s">
        <v>687</v>
      </c>
      <c r="M57" s="12" t="s">
        <v>684</v>
      </c>
      <c r="N57" s="12" t="s">
        <v>684</v>
      </c>
      <c r="O57" s="12" t="s">
        <v>684</v>
      </c>
      <c r="P57" s="12" t="s">
        <v>684</v>
      </c>
      <c r="Q57" s="12" t="s">
        <v>684</v>
      </c>
    </row>
    <row r="58" spans="1:17" x14ac:dyDescent="0.45">
      <c r="A58" s="10" t="s">
        <v>881</v>
      </c>
      <c r="B58" s="10" t="s">
        <v>882</v>
      </c>
      <c r="C58" s="12" t="s">
        <v>683</v>
      </c>
      <c r="D58" s="12" t="s">
        <v>683</v>
      </c>
      <c r="E58" s="12" t="s">
        <v>683</v>
      </c>
      <c r="F58" s="12" t="s">
        <v>683</v>
      </c>
      <c r="G58" s="12" t="s">
        <v>683</v>
      </c>
      <c r="H58" s="12" t="s">
        <v>683</v>
      </c>
      <c r="I58" s="12" t="s">
        <v>683</v>
      </c>
      <c r="J58" s="12" t="s">
        <v>683</v>
      </c>
      <c r="K58" s="12" t="s">
        <v>683</v>
      </c>
      <c r="L58" s="12" t="s">
        <v>687</v>
      </c>
      <c r="M58" s="12" t="s">
        <v>687</v>
      </c>
      <c r="N58" s="12" t="s">
        <v>687</v>
      </c>
      <c r="O58" s="12" t="s">
        <v>687</v>
      </c>
      <c r="P58" s="12" t="s">
        <v>687</v>
      </c>
      <c r="Q58" s="12" t="s">
        <v>687</v>
      </c>
    </row>
    <row r="59" spans="1:17" x14ac:dyDescent="0.45">
      <c r="A59" s="10" t="s">
        <v>883</v>
      </c>
      <c r="B59" s="10" t="s">
        <v>884</v>
      </c>
      <c r="C59" s="12" t="s">
        <v>683</v>
      </c>
      <c r="D59" s="12" t="s">
        <v>683</v>
      </c>
      <c r="E59" s="12" t="s">
        <v>683</v>
      </c>
      <c r="F59" s="12" t="s">
        <v>683</v>
      </c>
      <c r="G59" s="12" t="s">
        <v>683</v>
      </c>
      <c r="H59" s="12" t="s">
        <v>683</v>
      </c>
      <c r="I59" s="12" t="s">
        <v>683</v>
      </c>
      <c r="J59" s="12" t="s">
        <v>683</v>
      </c>
      <c r="K59" s="12" t="s">
        <v>683</v>
      </c>
      <c r="L59" s="12" t="s">
        <v>687</v>
      </c>
      <c r="M59" s="12" t="s">
        <v>687</v>
      </c>
      <c r="N59" s="12" t="s">
        <v>687</v>
      </c>
      <c r="O59" s="12" t="s">
        <v>687</v>
      </c>
      <c r="P59" s="12" t="s">
        <v>687</v>
      </c>
      <c r="Q59" s="12" t="s">
        <v>687</v>
      </c>
    </row>
    <row r="60" spans="1:17" x14ac:dyDescent="0.45">
      <c r="A60" s="10" t="s">
        <v>885</v>
      </c>
      <c r="B60" s="10" t="s">
        <v>886</v>
      </c>
      <c r="C60" s="12" t="s">
        <v>683</v>
      </c>
      <c r="D60" s="12" t="s">
        <v>683</v>
      </c>
      <c r="E60" s="12" t="s">
        <v>683</v>
      </c>
      <c r="F60" s="12" t="s">
        <v>683</v>
      </c>
      <c r="G60" s="12" t="s">
        <v>683</v>
      </c>
      <c r="H60" s="12" t="s">
        <v>683</v>
      </c>
      <c r="I60" s="12" t="s">
        <v>687</v>
      </c>
      <c r="J60" s="12" t="s">
        <v>687</v>
      </c>
      <c r="K60" s="12" t="s">
        <v>687</v>
      </c>
      <c r="L60" s="12" t="s">
        <v>687</v>
      </c>
      <c r="M60" s="12" t="s">
        <v>687</v>
      </c>
      <c r="N60" s="12" t="s">
        <v>684</v>
      </c>
      <c r="O60" s="12" t="s">
        <v>684</v>
      </c>
      <c r="P60" s="12" t="s">
        <v>684</v>
      </c>
      <c r="Q60" s="12" t="s">
        <v>684</v>
      </c>
    </row>
    <row r="61" spans="1:17" x14ac:dyDescent="0.45">
      <c r="A61" s="10" t="s">
        <v>887</v>
      </c>
      <c r="B61" s="10" t="s">
        <v>888</v>
      </c>
      <c r="C61" s="12" t="s">
        <v>683</v>
      </c>
      <c r="D61" s="12" t="s">
        <v>683</v>
      </c>
      <c r="E61" s="12" t="s">
        <v>683</v>
      </c>
      <c r="F61" s="12" t="s">
        <v>683</v>
      </c>
      <c r="G61" s="12" t="s">
        <v>683</v>
      </c>
      <c r="H61" s="12" t="s">
        <v>683</v>
      </c>
      <c r="I61" s="12" t="s">
        <v>687</v>
      </c>
      <c r="J61" s="12" t="s">
        <v>687</v>
      </c>
      <c r="K61" s="12" t="s">
        <v>687</v>
      </c>
      <c r="L61" s="12" t="s">
        <v>687</v>
      </c>
      <c r="M61" s="12" t="s">
        <v>687</v>
      </c>
      <c r="N61" s="12" t="s">
        <v>684</v>
      </c>
      <c r="O61" s="12" t="s">
        <v>684</v>
      </c>
      <c r="P61" s="12" t="s">
        <v>684</v>
      </c>
      <c r="Q61" s="12" t="s">
        <v>684</v>
      </c>
    </row>
    <row r="62" spans="1:17" x14ac:dyDescent="0.45">
      <c r="A62" s="10" t="s">
        <v>889</v>
      </c>
      <c r="B62" s="10" t="s">
        <v>890</v>
      </c>
      <c r="C62" s="12" t="s">
        <v>687</v>
      </c>
      <c r="D62" s="12" t="s">
        <v>687</v>
      </c>
      <c r="E62" s="12" t="s">
        <v>687</v>
      </c>
      <c r="F62" s="12" t="s">
        <v>687</v>
      </c>
      <c r="G62" s="12" t="s">
        <v>687</v>
      </c>
      <c r="H62" s="12" t="s">
        <v>687</v>
      </c>
      <c r="I62" s="12" t="s">
        <v>687</v>
      </c>
      <c r="J62" s="12" t="s">
        <v>684</v>
      </c>
      <c r="K62" s="12" t="s">
        <v>684</v>
      </c>
      <c r="L62" s="12" t="s">
        <v>684</v>
      </c>
      <c r="M62" s="12" t="s">
        <v>684</v>
      </c>
      <c r="N62" s="12" t="s">
        <v>684</v>
      </c>
      <c r="O62" s="12" t="s">
        <v>684</v>
      </c>
      <c r="P62" s="12" t="s">
        <v>684</v>
      </c>
      <c r="Q62" s="12" t="s">
        <v>684</v>
      </c>
    </row>
    <row r="63" spans="1:17" x14ac:dyDescent="0.45">
      <c r="A63" s="1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x14ac:dyDescent="0.45">
      <c r="A64" s="10" t="s">
        <v>891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x14ac:dyDescent="0.45">
      <c r="A65" s="10" t="s">
        <v>892</v>
      </c>
      <c r="B65" s="10" t="s">
        <v>893</v>
      </c>
      <c r="C65" s="12" t="s">
        <v>683</v>
      </c>
      <c r="D65" s="12" t="s">
        <v>683</v>
      </c>
      <c r="E65" s="12" t="s">
        <v>683</v>
      </c>
      <c r="F65" s="12" t="s">
        <v>683</v>
      </c>
      <c r="G65" s="12" t="s">
        <v>683</v>
      </c>
      <c r="H65" s="12" t="s">
        <v>683</v>
      </c>
      <c r="I65" s="12" t="s">
        <v>684</v>
      </c>
      <c r="J65" s="12" t="s">
        <v>684</v>
      </c>
      <c r="K65" s="12" t="s">
        <v>684</v>
      </c>
      <c r="L65" s="12" t="s">
        <v>684</v>
      </c>
      <c r="M65" s="12" t="s">
        <v>684</v>
      </c>
      <c r="N65" s="12" t="s">
        <v>684</v>
      </c>
      <c r="O65" s="12" t="s">
        <v>684</v>
      </c>
      <c r="P65" s="12" t="s">
        <v>684</v>
      </c>
      <c r="Q65" s="12" t="s">
        <v>684</v>
      </c>
    </row>
    <row r="66" spans="1:17" x14ac:dyDescent="0.45">
      <c r="A66" s="10" t="s">
        <v>894</v>
      </c>
      <c r="B66" s="10" t="s">
        <v>895</v>
      </c>
      <c r="C66" s="14" t="e">
        <f ca="1">_xll.BDH("ANSS US Equity","NUM_CSTM_AFFECTED_BY_BREACH","FY 2009","FY 2009","Currency=USD","Period=FY","BEST_FPERIOD_OVERRIDE=FY","FILING_STATUS=MR","Sort=A","Dates=H","DateFormat=P","Fill=—","Direction=H","UseDPDF=Y")</f>
        <v>#NAME?</v>
      </c>
      <c r="D66" s="14" t="e">
        <f ca="1">_xll.BDH("ANSS US Equity","NUM_CSTM_AFFECTED_BY_BREACH","FY 2010","FY 2010","Currency=USD","Period=FY","BEST_FPERIOD_OVERRIDE=FY","FILING_STATUS=MR","Sort=A","Dates=H","DateFormat=P","Fill=—","Direction=H","UseDPDF=Y")</f>
        <v>#NAME?</v>
      </c>
      <c r="E66" s="14" t="e">
        <f ca="1">_xll.BDH("ANSS US Equity","NUM_CSTM_AFFECTED_BY_BREACH","FY 2011","FY 2011","Currency=USD","Period=FY","BEST_FPERIOD_OVERRIDE=FY","FILING_STATUS=MR","Sort=A","Dates=H","DateFormat=P","Fill=—","Direction=H","UseDPDF=Y")</f>
        <v>#NAME?</v>
      </c>
      <c r="F66" s="14" t="e">
        <f ca="1">_xll.BDH("ANSS US Equity","NUM_CSTM_AFFECTED_BY_BREACH","FY 2012","FY 2012","Currency=USD","Period=FY","BEST_FPERIOD_OVERRIDE=FY","FILING_STATUS=MR","Sort=A","Dates=H","DateFormat=P","Fill=—","Direction=H","UseDPDF=Y")</f>
        <v>#NAME?</v>
      </c>
      <c r="G66" s="14" t="e">
        <f ca="1">_xll.BDH("ANSS US Equity","NUM_CSTM_AFFECTED_BY_BREACH","FY 2013","FY 2013","Currency=USD","Period=FY","BEST_FPERIOD_OVERRIDE=FY","FILING_STATUS=MR","Sort=A","Dates=H","DateFormat=P","Fill=—","Direction=H","UseDPDF=Y")</f>
        <v>#NAME?</v>
      </c>
      <c r="H66" s="14" t="e">
        <f ca="1">_xll.BDH("ANSS US Equity","NUM_CSTM_AFFECTED_BY_BREACH","FY 2014","FY 2014","Currency=USD","Period=FY","BEST_FPERIOD_OVERRIDE=FY","FILING_STATUS=MR","Sort=A","Dates=H","DateFormat=P","Fill=—","Direction=H","UseDPDF=Y")</f>
        <v>#NAME?</v>
      </c>
      <c r="I66" s="14" t="e">
        <f ca="1">_xll.BDH("ANSS US Equity","NUM_CSTM_AFFECTED_BY_BREACH","FY 2015","FY 2015","Currency=USD","Period=FY","BEST_FPERIOD_OVERRIDE=FY","FILING_STATUS=MR","Sort=A","Dates=H","DateFormat=P","Fill=—","Direction=H","UseDPDF=Y")</f>
        <v>#NAME?</v>
      </c>
      <c r="J66" s="14" t="e">
        <f ca="1">_xll.BDH("ANSS US Equity","NUM_CSTM_AFFECTED_BY_BREACH","FY 2016","FY 2016","Currency=USD","Period=FY","BEST_FPERIOD_OVERRIDE=FY","FILING_STATUS=MR","Sort=A","Dates=H","DateFormat=P","Fill=—","Direction=H","UseDPDF=Y")</f>
        <v>#NAME?</v>
      </c>
      <c r="K66" s="14" t="e">
        <f ca="1">_xll.BDH("ANSS US Equity","NUM_CSTM_AFFECTED_BY_BREACH","FY 2017","FY 2017","Currency=USD","Period=FY","BEST_FPERIOD_OVERRIDE=FY","FILING_STATUS=MR","Sort=A","Dates=H","DateFormat=P","Fill=—","Direction=H","UseDPDF=Y")</f>
        <v>#NAME?</v>
      </c>
      <c r="L66" s="14" t="e">
        <f ca="1">_xll.BDH("ANSS US Equity","NUM_CSTM_AFFECTED_BY_BREACH","FY 2018","FY 2018","Currency=USD","Period=FY","BEST_FPERIOD_OVERRIDE=FY","FILING_STATUS=MR","Sort=A","Dates=H","DateFormat=P","Fill=—","Direction=H","UseDPDF=Y")</f>
        <v>#NAME?</v>
      </c>
      <c r="M66" s="14" t="e">
        <f ca="1">_xll.BDH("ANSS US Equity","NUM_CSTM_AFFECTED_BY_BREACH","FY 2019","FY 2019","Currency=USD","Period=FY","BEST_FPERIOD_OVERRIDE=FY","FILING_STATUS=MR","Sort=A","Dates=H","DateFormat=P","Fill=—","Direction=H","UseDPDF=Y")</f>
        <v>#NAME?</v>
      </c>
      <c r="N66" s="14" t="e">
        <f ca="1">_xll.BDH("ANSS US Equity","NUM_CSTM_AFFECTED_BY_BREACH","FY 2020","FY 2020","Currency=USD","Period=FY","BEST_FPERIOD_OVERRIDE=FY","FILING_STATUS=MR","Sort=A","Dates=H","DateFormat=P","Fill=—","Direction=H","UseDPDF=Y")</f>
        <v>#NAME?</v>
      </c>
      <c r="O66" s="14" t="e">
        <f ca="1">_xll.BDH("ANSS US Equity","NUM_CSTM_AFFECTED_BY_BREACH","FY 2021","FY 2021","Currency=USD","Period=FY","BEST_FPERIOD_OVERRIDE=FY","FILING_STATUS=MR","Sort=A","Dates=H","DateFormat=P","Fill=—","Direction=H","UseDPDF=Y")</f>
        <v>#NAME?</v>
      </c>
      <c r="P66" s="14" t="e">
        <f ca="1">_xll.BDH("ANSS US Equity","NUM_CSTM_AFFECTED_BY_BREACH","FY 2022","FY 2022","Currency=USD","Period=FY","BEST_FPERIOD_OVERRIDE=FY","FILING_STATUS=MR","Sort=A","Dates=H","DateFormat=P","Fill=—","Direction=H","UseDPDF=Y")</f>
        <v>#NAME?</v>
      </c>
      <c r="Q66" s="14" t="e">
        <f ca="1">_xll.BDH("ANSS US Equity","NUM_CSTM_AFFECTED_BY_BREACH","FY 2023","FY 2023","Currency=USD","Period=FY","BEST_FPERIOD_OVERRIDE=FY","FILING_STATUS=MR","Sort=A","Dates=H","DateFormat=P","Fill=—","Direction=H","UseDPDF=Y")</f>
        <v>#NAME?</v>
      </c>
    </row>
    <row r="67" spans="1:17" x14ac:dyDescent="0.45">
      <c r="A67" s="10" t="s">
        <v>896</v>
      </c>
      <c r="B67" s="10" t="s">
        <v>897</v>
      </c>
      <c r="C67" s="14" t="e">
        <f ca="1">_xll.BDH("ANSS US Equity","PCT_DATA_BREACH_PERS_ID_INFO","FY 2009","FY 2009","Currency=USD","Period=FY","BEST_FPERIOD_OVERRIDE=FY","FILING_STATUS=MR","Sort=A","Dates=H","DateFormat=P","Fill=—","Direction=H","UseDPDF=Y")</f>
        <v>#NAME?</v>
      </c>
      <c r="D67" s="14" t="e">
        <f ca="1">_xll.BDH("ANSS US Equity","PCT_DATA_BREACH_PERS_ID_INFO","FY 2010","FY 2010","Currency=USD","Period=FY","BEST_FPERIOD_OVERRIDE=FY","FILING_STATUS=MR","Sort=A","Dates=H","DateFormat=P","Fill=—","Direction=H","UseDPDF=Y")</f>
        <v>#NAME?</v>
      </c>
      <c r="E67" s="14" t="e">
        <f ca="1">_xll.BDH("ANSS US Equity","PCT_DATA_BREACH_PERS_ID_INFO","FY 2011","FY 2011","Currency=USD","Period=FY","BEST_FPERIOD_OVERRIDE=FY","FILING_STATUS=MR","Sort=A","Dates=H","DateFormat=P","Fill=—","Direction=H","UseDPDF=Y")</f>
        <v>#NAME?</v>
      </c>
      <c r="F67" s="14" t="e">
        <f ca="1">_xll.BDH("ANSS US Equity","PCT_DATA_BREACH_PERS_ID_INFO","FY 2012","FY 2012","Currency=USD","Period=FY","BEST_FPERIOD_OVERRIDE=FY","FILING_STATUS=MR","Sort=A","Dates=H","DateFormat=P","Fill=—","Direction=H","UseDPDF=Y")</f>
        <v>#NAME?</v>
      </c>
      <c r="G67" s="14" t="e">
        <f ca="1">_xll.BDH("ANSS US Equity","PCT_DATA_BREACH_PERS_ID_INFO","FY 2013","FY 2013","Currency=USD","Period=FY","BEST_FPERIOD_OVERRIDE=FY","FILING_STATUS=MR","Sort=A","Dates=H","DateFormat=P","Fill=—","Direction=H","UseDPDF=Y")</f>
        <v>#NAME?</v>
      </c>
      <c r="H67" s="14" t="e">
        <f ca="1">_xll.BDH("ANSS US Equity","PCT_DATA_BREACH_PERS_ID_INFO","FY 2014","FY 2014","Currency=USD","Period=FY","BEST_FPERIOD_OVERRIDE=FY","FILING_STATUS=MR","Sort=A","Dates=H","DateFormat=P","Fill=—","Direction=H","UseDPDF=Y")</f>
        <v>#NAME?</v>
      </c>
      <c r="I67" s="14" t="e">
        <f ca="1">_xll.BDH("ANSS US Equity","PCT_DATA_BREACH_PERS_ID_INFO","FY 2015","FY 2015","Currency=USD","Period=FY","BEST_FPERIOD_OVERRIDE=FY","FILING_STATUS=MR","Sort=A","Dates=H","DateFormat=P","Fill=—","Direction=H","UseDPDF=Y")</f>
        <v>#NAME?</v>
      </c>
      <c r="J67" s="14" t="e">
        <f ca="1">_xll.BDH("ANSS US Equity","PCT_DATA_BREACH_PERS_ID_INFO","FY 2016","FY 2016","Currency=USD","Period=FY","BEST_FPERIOD_OVERRIDE=FY","FILING_STATUS=MR","Sort=A","Dates=H","DateFormat=P","Fill=—","Direction=H","UseDPDF=Y")</f>
        <v>#NAME?</v>
      </c>
      <c r="K67" s="14" t="e">
        <f ca="1">_xll.BDH("ANSS US Equity","PCT_DATA_BREACH_PERS_ID_INFO","FY 2017","FY 2017","Currency=USD","Period=FY","BEST_FPERIOD_OVERRIDE=FY","FILING_STATUS=MR","Sort=A","Dates=H","DateFormat=P","Fill=—","Direction=H","UseDPDF=Y")</f>
        <v>#NAME?</v>
      </c>
      <c r="L67" s="14" t="e">
        <f ca="1">_xll.BDH("ANSS US Equity","PCT_DATA_BREACH_PERS_ID_INFO","FY 2018","FY 2018","Currency=USD","Period=FY","BEST_FPERIOD_OVERRIDE=FY","FILING_STATUS=MR","Sort=A","Dates=H","DateFormat=P","Fill=—","Direction=H","UseDPDF=Y")</f>
        <v>#NAME?</v>
      </c>
      <c r="M67" s="14" t="e">
        <f ca="1">_xll.BDH("ANSS US Equity","PCT_DATA_BREACH_PERS_ID_INFO","FY 2019","FY 2019","Currency=USD","Period=FY","BEST_FPERIOD_OVERRIDE=FY","FILING_STATUS=MR","Sort=A","Dates=H","DateFormat=P","Fill=—","Direction=H","UseDPDF=Y")</f>
        <v>#NAME?</v>
      </c>
      <c r="N67" s="14" t="e">
        <f ca="1">_xll.BDH("ANSS US Equity","PCT_DATA_BREACH_PERS_ID_INFO","FY 2020","FY 2020","Currency=USD","Period=FY","BEST_FPERIOD_OVERRIDE=FY","FILING_STATUS=MR","Sort=A","Dates=H","DateFormat=P","Fill=—","Direction=H","UseDPDF=Y")</f>
        <v>#NAME?</v>
      </c>
      <c r="O67" s="14" t="e">
        <f ca="1">_xll.BDH("ANSS US Equity","PCT_DATA_BREACH_PERS_ID_INFO","FY 2021","FY 2021","Currency=USD","Period=FY","BEST_FPERIOD_OVERRIDE=FY","FILING_STATUS=MR","Sort=A","Dates=H","DateFormat=P","Fill=—","Direction=H","UseDPDF=Y")</f>
        <v>#NAME?</v>
      </c>
      <c r="P67" s="14" t="e">
        <f ca="1">_xll.BDH("ANSS US Equity","PCT_DATA_BREACH_PERS_ID_INFO","FY 2022","FY 2022","Currency=USD","Period=FY","BEST_FPERIOD_OVERRIDE=FY","FILING_STATUS=MR","Sort=A","Dates=H","DateFormat=P","Fill=—","Direction=H","UseDPDF=Y")</f>
        <v>#NAME?</v>
      </c>
      <c r="Q67" s="14" t="e">
        <f ca="1">_xll.BDH("ANSS US Equity","PCT_DATA_BREACH_PERS_ID_INFO","FY 2023","FY 2023","Currency=USD","Period=FY","BEST_FPERIOD_OVERRIDE=FY","FILING_STATUS=MR","Sort=A","Dates=H","DateFormat=P","Fill=—","Direction=H","UseDPDF=Y")</f>
        <v>#NAME?</v>
      </c>
    </row>
    <row r="68" spans="1:17" x14ac:dyDescent="0.45">
      <c r="A68" s="10" t="s">
        <v>898</v>
      </c>
      <c r="B68" s="10" t="s">
        <v>899</v>
      </c>
      <c r="C68" s="13" t="e">
        <f ca="1">_xll.BDH("ANSS US Equity","POLITICAL_DONATIONS","FY 2009","FY 2009","Currency=USD","Period=FY","BEST_FPERIOD_OVERRIDE=FY","FILING_STATUS=MR","SCALING_FORMAT=MLN","Sort=A","Dates=H","DateFormat=P","Fill=—","Direction=H","UseDPDF=Y")</f>
        <v>#NAME?</v>
      </c>
      <c r="D68" s="13" t="e">
        <f ca="1">_xll.BDH("ANSS US Equity","POLITICAL_DONATIONS","FY 2010","FY 2010","Currency=USD","Period=FY","BEST_FPERIOD_OVERRIDE=FY","FILING_STATUS=MR","SCALING_FORMAT=MLN","Sort=A","Dates=H","DateFormat=P","Fill=—","Direction=H","UseDPDF=Y")</f>
        <v>#NAME?</v>
      </c>
      <c r="E68" s="13" t="e">
        <f ca="1">_xll.BDH("ANSS US Equity","POLITICAL_DONATIONS","FY 2011","FY 2011","Currency=USD","Period=FY","BEST_FPERIOD_OVERRIDE=FY","FILING_STATUS=MR","SCALING_FORMAT=MLN","Sort=A","Dates=H","DateFormat=P","Fill=—","Direction=H","UseDPDF=Y")</f>
        <v>#NAME?</v>
      </c>
      <c r="F68" s="13" t="e">
        <f ca="1">_xll.BDH("ANSS US Equity","POLITICAL_DONATIONS","FY 2012","FY 2012","Currency=USD","Period=FY","BEST_FPERIOD_OVERRIDE=FY","FILING_STATUS=MR","SCALING_FORMAT=MLN","Sort=A","Dates=H","DateFormat=P","Fill=—","Direction=H","UseDPDF=Y")</f>
        <v>#NAME?</v>
      </c>
      <c r="G68" s="13" t="e">
        <f ca="1">_xll.BDH("ANSS US Equity","POLITICAL_DONATIONS","FY 2013","FY 2013","Currency=USD","Period=FY","BEST_FPERIOD_OVERRIDE=FY","FILING_STATUS=MR","SCALING_FORMAT=MLN","Sort=A","Dates=H","DateFormat=P","Fill=—","Direction=H","UseDPDF=Y")</f>
        <v>#NAME?</v>
      </c>
      <c r="H68" s="13" t="e">
        <f ca="1">_xll.BDH("ANSS US Equity","POLITICAL_DONATIONS","FY 2014","FY 2014","Currency=USD","Period=FY","BEST_FPERIOD_OVERRIDE=FY","FILING_STATUS=MR","SCALING_FORMAT=MLN","Sort=A","Dates=H","DateFormat=P","Fill=—","Direction=H","UseDPDF=Y")</f>
        <v>#NAME?</v>
      </c>
      <c r="I68" s="13" t="e">
        <f ca="1">_xll.BDH("ANSS US Equity","POLITICAL_DONATIONS","FY 2015","FY 2015","Currency=USD","Period=FY","BEST_FPERIOD_OVERRIDE=FY","FILING_STATUS=MR","SCALING_FORMAT=MLN","Sort=A","Dates=H","DateFormat=P","Fill=—","Direction=H","UseDPDF=Y")</f>
        <v>#NAME?</v>
      </c>
      <c r="J68" s="13" t="e">
        <f ca="1">_xll.BDH("ANSS US Equity","POLITICAL_DONATIONS","FY 2016","FY 2016","Currency=USD","Period=FY","BEST_FPERIOD_OVERRIDE=FY","FILING_STATUS=MR","SCALING_FORMAT=MLN","Sort=A","Dates=H","DateFormat=P","Fill=—","Direction=H","UseDPDF=Y")</f>
        <v>#NAME?</v>
      </c>
      <c r="K68" s="13" t="e">
        <f ca="1">_xll.BDH("ANSS US Equity","POLITICAL_DONATIONS","FY 2017","FY 2017","Currency=USD","Period=FY","BEST_FPERIOD_OVERRIDE=FY","FILING_STATUS=MR","SCALING_FORMAT=MLN","Sort=A","Dates=H","DateFormat=P","Fill=—","Direction=H","UseDPDF=Y")</f>
        <v>#NAME?</v>
      </c>
      <c r="L68" s="13" t="e">
        <f ca="1">_xll.BDH("ANSS US Equity","POLITICAL_DONATIONS","FY 2018","FY 2018","Currency=USD","Period=FY","BEST_FPERIOD_OVERRIDE=FY","FILING_STATUS=MR","SCALING_FORMAT=MLN","Sort=A","Dates=H","DateFormat=P","Fill=—","Direction=H","UseDPDF=Y")</f>
        <v>#NAME?</v>
      </c>
      <c r="M68" s="13" t="e">
        <f ca="1">_xll.BDH("ANSS US Equity","POLITICAL_DONATIONS","FY 2019","FY 2019","Currency=USD","Period=FY","BEST_FPERIOD_OVERRIDE=FY","FILING_STATUS=MR","SCALING_FORMAT=MLN","Sort=A","Dates=H","DateFormat=P","Fill=—","Direction=H","UseDPDF=Y")</f>
        <v>#NAME?</v>
      </c>
      <c r="N68" s="13" t="e">
        <f ca="1">_xll.BDH("ANSS US Equity","POLITICAL_DONATIONS","FY 2020","FY 2020","Currency=USD","Period=FY","BEST_FPERIOD_OVERRIDE=FY","FILING_STATUS=MR","SCALING_FORMAT=MLN","Sort=A","Dates=H","DateFormat=P","Fill=—","Direction=H","UseDPDF=Y")</f>
        <v>#NAME?</v>
      </c>
      <c r="O68" s="13" t="e">
        <f ca="1">_xll.BDH("ANSS US Equity","POLITICAL_DONATIONS","FY 2021","FY 2021","Currency=USD","Period=FY","BEST_FPERIOD_OVERRIDE=FY","FILING_STATUS=MR","SCALING_FORMAT=MLN","Sort=A","Dates=H","DateFormat=P","Fill=—","Direction=H","UseDPDF=Y")</f>
        <v>#NAME?</v>
      </c>
      <c r="P68" s="13" t="e">
        <f ca="1">_xll.BDH("ANSS US Equity","POLITICAL_DONATIONS","FY 2022","FY 2022","Currency=USD","Period=FY","BEST_FPERIOD_OVERRIDE=FY","FILING_STATUS=MR","SCALING_FORMAT=MLN","Sort=A","Dates=H","DateFormat=P","Fill=—","Direction=H","UseDPDF=Y")</f>
        <v>#NAME?</v>
      </c>
      <c r="Q68" s="13" t="e">
        <f ca="1">_xll.BDH("ANSS US Equity","POLITICAL_DONATIONS","FY 2023","FY 2023","Currency=USD","Period=FY","BEST_FPERIOD_OVERRIDE=FY","FILING_STATUS=MR","SCALING_FORMAT=MLN","Sort=A","Dates=H","DateFormat=P","Fill=—","Direction=H","UseDPDF=Y")</f>
        <v>#NAME?</v>
      </c>
    </row>
    <row r="69" spans="1:17" x14ac:dyDescent="0.45">
      <c r="A69" s="10" t="s">
        <v>900</v>
      </c>
      <c r="B69" s="10" t="s">
        <v>901</v>
      </c>
      <c r="C69" s="12" t="s">
        <v>683</v>
      </c>
      <c r="D69" s="12" t="s">
        <v>683</v>
      </c>
      <c r="E69" s="12" t="s">
        <v>683</v>
      </c>
      <c r="F69" s="12" t="s">
        <v>683</v>
      </c>
      <c r="G69" s="12" t="s">
        <v>683</v>
      </c>
      <c r="H69" s="12" t="s">
        <v>683</v>
      </c>
      <c r="I69" s="12" t="s">
        <v>683</v>
      </c>
      <c r="J69" s="12" t="s">
        <v>683</v>
      </c>
      <c r="K69" s="12" t="s">
        <v>683</v>
      </c>
      <c r="L69" s="12" t="s">
        <v>683</v>
      </c>
      <c r="M69" s="12" t="s">
        <v>687</v>
      </c>
      <c r="N69" s="12" t="s">
        <v>687</v>
      </c>
      <c r="O69" s="12" t="s">
        <v>687</v>
      </c>
      <c r="P69" s="12" t="s">
        <v>687</v>
      </c>
      <c r="Q69" s="12" t="s">
        <v>687</v>
      </c>
    </row>
    <row r="70" spans="1:17" x14ac:dyDescent="0.45">
      <c r="A70" s="1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x14ac:dyDescent="0.45">
      <c r="A71" s="10" t="s">
        <v>902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x14ac:dyDescent="0.45">
      <c r="A72" s="10" t="s">
        <v>903</v>
      </c>
      <c r="B72" s="10" t="s">
        <v>904</v>
      </c>
      <c r="C72" s="12" t="s">
        <v>687</v>
      </c>
      <c r="D72" s="12" t="s">
        <v>687</v>
      </c>
      <c r="E72" s="12" t="s">
        <v>687</v>
      </c>
      <c r="F72" s="12" t="s">
        <v>687</v>
      </c>
      <c r="G72" s="12" t="s">
        <v>687</v>
      </c>
      <c r="H72" s="12" t="s">
        <v>687</v>
      </c>
      <c r="I72" s="12" t="s">
        <v>687</v>
      </c>
      <c r="J72" s="12" t="s">
        <v>684</v>
      </c>
      <c r="K72" s="12" t="s">
        <v>684</v>
      </c>
      <c r="L72" s="12" t="s">
        <v>684</v>
      </c>
      <c r="M72" s="12" t="s">
        <v>684</v>
      </c>
      <c r="N72" s="12" t="s">
        <v>684</v>
      </c>
      <c r="O72" s="12" t="s">
        <v>684</v>
      </c>
      <c r="P72" s="12" t="s">
        <v>684</v>
      </c>
      <c r="Q72" s="12" t="s">
        <v>684</v>
      </c>
    </row>
    <row r="73" spans="1:17" x14ac:dyDescent="0.45">
      <c r="A73" s="10" t="s">
        <v>905</v>
      </c>
      <c r="B73" s="10" t="s">
        <v>906</v>
      </c>
      <c r="C73" s="12" t="s">
        <v>684</v>
      </c>
      <c r="D73" s="12" t="s">
        <v>684</v>
      </c>
      <c r="E73" s="12" t="s">
        <v>684</v>
      </c>
      <c r="F73" s="12" t="s">
        <v>684</v>
      </c>
      <c r="G73" s="12" t="s">
        <v>684</v>
      </c>
      <c r="H73" s="12" t="s">
        <v>684</v>
      </c>
      <c r="I73" s="12" t="s">
        <v>684</v>
      </c>
      <c r="J73" s="12" t="s">
        <v>684</v>
      </c>
      <c r="K73" s="12" t="s">
        <v>684</v>
      </c>
      <c r="L73" s="12" t="s">
        <v>684</v>
      </c>
      <c r="M73" s="12" t="s">
        <v>684</v>
      </c>
      <c r="N73" s="12" t="s">
        <v>684</v>
      </c>
      <c r="O73" s="12" t="s">
        <v>684</v>
      </c>
      <c r="P73" s="12" t="s">
        <v>684</v>
      </c>
      <c r="Q73" s="12" t="s">
        <v>684</v>
      </c>
    </row>
    <row r="74" spans="1:17" x14ac:dyDescent="0.45">
      <c r="A74" s="10" t="s">
        <v>907</v>
      </c>
      <c r="B74" s="10" t="s">
        <v>908</v>
      </c>
      <c r="C74" s="12" t="s">
        <v>687</v>
      </c>
      <c r="D74" s="12" t="s">
        <v>687</v>
      </c>
      <c r="E74" s="12" t="s">
        <v>687</v>
      </c>
      <c r="F74" s="12" t="s">
        <v>687</v>
      </c>
      <c r="G74" s="12" t="s">
        <v>687</v>
      </c>
      <c r="H74" s="12" t="s">
        <v>687</v>
      </c>
      <c r="I74" s="12" t="s">
        <v>684</v>
      </c>
      <c r="J74" s="12" t="s">
        <v>684</v>
      </c>
      <c r="K74" s="12" t="s">
        <v>684</v>
      </c>
      <c r="L74" s="12" t="s">
        <v>684</v>
      </c>
      <c r="M74" s="12" t="s">
        <v>684</v>
      </c>
      <c r="N74" s="12" t="s">
        <v>684</v>
      </c>
      <c r="O74" s="12" t="s">
        <v>684</v>
      </c>
      <c r="P74" s="12" t="s">
        <v>684</v>
      </c>
      <c r="Q74" s="12" t="s">
        <v>684</v>
      </c>
    </row>
    <row r="75" spans="1:17" x14ac:dyDescent="0.45">
      <c r="A75" s="10" t="s">
        <v>909</v>
      </c>
      <c r="B75" s="10" t="s">
        <v>910</v>
      </c>
      <c r="C75" s="12" t="s">
        <v>687</v>
      </c>
      <c r="D75" s="12" t="s">
        <v>687</v>
      </c>
      <c r="E75" s="12" t="s">
        <v>687</v>
      </c>
      <c r="F75" s="12" t="s">
        <v>687</v>
      </c>
      <c r="G75" s="12" t="s">
        <v>687</v>
      </c>
      <c r="H75" s="12" t="s">
        <v>687</v>
      </c>
      <c r="I75" s="12" t="s">
        <v>687</v>
      </c>
      <c r="J75" s="12" t="s">
        <v>687</v>
      </c>
      <c r="K75" s="12" t="s">
        <v>687</v>
      </c>
      <c r="L75" s="12" t="s">
        <v>687</v>
      </c>
      <c r="M75" s="12" t="s">
        <v>687</v>
      </c>
      <c r="N75" s="12" t="s">
        <v>687</v>
      </c>
      <c r="O75" s="12" t="s">
        <v>687</v>
      </c>
      <c r="P75" s="12" t="s">
        <v>687</v>
      </c>
      <c r="Q75" s="12" t="s">
        <v>687</v>
      </c>
    </row>
    <row r="76" spans="1:17" x14ac:dyDescent="0.45">
      <c r="A76" s="10" t="s">
        <v>911</v>
      </c>
      <c r="B76" s="10" t="s">
        <v>912</v>
      </c>
      <c r="C76" s="12" t="s">
        <v>683</v>
      </c>
      <c r="D76" s="12" t="s">
        <v>683</v>
      </c>
      <c r="E76" s="12" t="s">
        <v>683</v>
      </c>
      <c r="F76" s="12" t="s">
        <v>683</v>
      </c>
      <c r="G76" s="12" t="s">
        <v>683</v>
      </c>
      <c r="H76" s="12" t="s">
        <v>683</v>
      </c>
      <c r="I76" s="12" t="s">
        <v>687</v>
      </c>
      <c r="J76" s="12" t="s">
        <v>687</v>
      </c>
      <c r="K76" s="12" t="s">
        <v>687</v>
      </c>
      <c r="L76" s="12" t="s">
        <v>687</v>
      </c>
      <c r="M76" s="12" t="s">
        <v>687</v>
      </c>
      <c r="N76" s="12" t="s">
        <v>687</v>
      </c>
      <c r="O76" s="12" t="s">
        <v>684</v>
      </c>
      <c r="P76" s="12" t="s">
        <v>684</v>
      </c>
      <c r="Q76" s="12" t="s">
        <v>684</v>
      </c>
    </row>
    <row r="77" spans="1:17" x14ac:dyDescent="0.45">
      <c r="A77" s="10" t="s">
        <v>913</v>
      </c>
      <c r="B77" s="10" t="s">
        <v>914</v>
      </c>
      <c r="C77" s="12" t="s">
        <v>683</v>
      </c>
      <c r="D77" s="12" t="s">
        <v>683</v>
      </c>
      <c r="E77" s="12" t="s">
        <v>683</v>
      </c>
      <c r="F77" s="12" t="s">
        <v>683</v>
      </c>
      <c r="G77" s="12" t="s">
        <v>683</v>
      </c>
      <c r="H77" s="12" t="s">
        <v>683</v>
      </c>
      <c r="I77" s="12" t="s">
        <v>684</v>
      </c>
      <c r="J77" s="12" t="s">
        <v>684</v>
      </c>
      <c r="K77" s="12" t="s">
        <v>684</v>
      </c>
      <c r="L77" s="12" t="s">
        <v>684</v>
      </c>
      <c r="M77" s="12" t="s">
        <v>684</v>
      </c>
      <c r="N77" s="12" t="s">
        <v>684</v>
      </c>
      <c r="O77" s="12" t="s">
        <v>684</v>
      </c>
      <c r="P77" s="12" t="s">
        <v>684</v>
      </c>
      <c r="Q77" s="12" t="s">
        <v>684</v>
      </c>
    </row>
    <row r="78" spans="1:17" x14ac:dyDescent="0.45">
      <c r="A78" s="10" t="s">
        <v>915</v>
      </c>
      <c r="B78" s="10" t="s">
        <v>916</v>
      </c>
      <c r="C78" s="12" t="s">
        <v>683</v>
      </c>
      <c r="D78" s="12" t="s">
        <v>683</v>
      </c>
      <c r="E78" s="12" t="s">
        <v>683</v>
      </c>
      <c r="F78" s="12" t="s">
        <v>683</v>
      </c>
      <c r="G78" s="12" t="s">
        <v>683</v>
      </c>
      <c r="H78" s="12" t="s">
        <v>683</v>
      </c>
      <c r="I78" s="12" t="s">
        <v>683</v>
      </c>
      <c r="J78" s="12" t="s">
        <v>683</v>
      </c>
      <c r="K78" s="12" t="s">
        <v>683</v>
      </c>
      <c r="L78" s="12" t="s">
        <v>683</v>
      </c>
      <c r="M78" s="12" t="s">
        <v>687</v>
      </c>
      <c r="N78" s="12" t="s">
        <v>687</v>
      </c>
      <c r="O78" s="12" t="s">
        <v>687</v>
      </c>
      <c r="P78" s="12" t="s">
        <v>687</v>
      </c>
      <c r="Q78" s="12" t="s">
        <v>687</v>
      </c>
    </row>
    <row r="79" spans="1:17" x14ac:dyDescent="0.45">
      <c r="A79" s="10" t="s">
        <v>917</v>
      </c>
      <c r="B79" s="10" t="s">
        <v>918</v>
      </c>
      <c r="C79" s="12" t="s">
        <v>683</v>
      </c>
      <c r="D79" s="12" t="s">
        <v>683</v>
      </c>
      <c r="E79" s="12" t="s">
        <v>683</v>
      </c>
      <c r="F79" s="12" t="s">
        <v>683</v>
      </c>
      <c r="G79" s="12" t="s">
        <v>683</v>
      </c>
      <c r="H79" s="12" t="s">
        <v>683</v>
      </c>
      <c r="I79" s="12" t="s">
        <v>683</v>
      </c>
      <c r="J79" s="12" t="s">
        <v>683</v>
      </c>
      <c r="K79" s="12" t="s">
        <v>683</v>
      </c>
      <c r="L79" s="12" t="s">
        <v>683</v>
      </c>
      <c r="M79" s="12" t="s">
        <v>687</v>
      </c>
      <c r="N79" s="12" t="s">
        <v>687</v>
      </c>
      <c r="O79" s="12" t="s">
        <v>687</v>
      </c>
      <c r="P79" s="12" t="s">
        <v>687</v>
      </c>
      <c r="Q79" s="12" t="s">
        <v>687</v>
      </c>
    </row>
    <row r="80" spans="1:17" x14ac:dyDescent="0.45">
      <c r="A80" s="10" t="s">
        <v>919</v>
      </c>
      <c r="B80" s="10" t="s">
        <v>920</v>
      </c>
      <c r="C80" s="12" t="s">
        <v>683</v>
      </c>
      <c r="D80" s="12" t="s">
        <v>683</v>
      </c>
      <c r="E80" s="12" t="s">
        <v>683</v>
      </c>
      <c r="F80" s="12" t="s">
        <v>683</v>
      </c>
      <c r="G80" s="12" t="s">
        <v>683</v>
      </c>
      <c r="H80" s="12" t="s">
        <v>683</v>
      </c>
      <c r="I80" s="12" t="s">
        <v>683</v>
      </c>
      <c r="J80" s="12" t="s">
        <v>683</v>
      </c>
      <c r="K80" s="12" t="s">
        <v>683</v>
      </c>
      <c r="L80" s="12" t="s">
        <v>683</v>
      </c>
      <c r="M80" s="12" t="s">
        <v>687</v>
      </c>
      <c r="N80" s="12" t="s">
        <v>687</v>
      </c>
      <c r="O80" s="12" t="s">
        <v>687</v>
      </c>
      <c r="P80" s="12" t="s">
        <v>684</v>
      </c>
      <c r="Q80" s="12" t="s">
        <v>684</v>
      </c>
    </row>
    <row r="81" spans="1:17" x14ac:dyDescent="0.45">
      <c r="A81" s="10" t="s">
        <v>921</v>
      </c>
      <c r="B81" s="10" t="s">
        <v>922</v>
      </c>
      <c r="C81" s="12" t="s">
        <v>683</v>
      </c>
      <c r="D81" s="12" t="s">
        <v>683</v>
      </c>
      <c r="E81" s="12" t="s">
        <v>683</v>
      </c>
      <c r="F81" s="12" t="s">
        <v>683</v>
      </c>
      <c r="G81" s="12" t="s">
        <v>683</v>
      </c>
      <c r="H81" s="12" t="s">
        <v>683</v>
      </c>
      <c r="I81" s="12" t="s">
        <v>687</v>
      </c>
      <c r="J81" s="12" t="s">
        <v>687</v>
      </c>
      <c r="K81" s="12" t="s">
        <v>687</v>
      </c>
      <c r="L81" s="12" t="s">
        <v>687</v>
      </c>
      <c r="M81" s="12" t="s">
        <v>687</v>
      </c>
      <c r="N81" s="12" t="s">
        <v>687</v>
      </c>
      <c r="O81" s="12" t="s">
        <v>687</v>
      </c>
      <c r="P81" s="12" t="s">
        <v>687</v>
      </c>
      <c r="Q81" s="12" t="s">
        <v>687</v>
      </c>
    </row>
    <row r="82" spans="1:17" x14ac:dyDescent="0.45">
      <c r="A82" s="10" t="s">
        <v>923</v>
      </c>
      <c r="B82" s="10" t="s">
        <v>924</v>
      </c>
      <c r="C82" s="12" t="s">
        <v>683</v>
      </c>
      <c r="D82" s="12" t="s">
        <v>683</v>
      </c>
      <c r="E82" s="12" t="s">
        <v>683</v>
      </c>
      <c r="F82" s="12" t="s">
        <v>683</v>
      </c>
      <c r="G82" s="12" t="s">
        <v>683</v>
      </c>
      <c r="H82" s="12" t="s">
        <v>683</v>
      </c>
      <c r="I82" s="12" t="s">
        <v>687</v>
      </c>
      <c r="J82" s="12" t="s">
        <v>687</v>
      </c>
      <c r="K82" s="12" t="s">
        <v>687</v>
      </c>
      <c r="L82" s="12" t="s">
        <v>687</v>
      </c>
      <c r="M82" s="12" t="s">
        <v>687</v>
      </c>
      <c r="N82" s="12" t="s">
        <v>687</v>
      </c>
      <c r="O82" s="12" t="s">
        <v>687</v>
      </c>
      <c r="P82" s="12" t="s">
        <v>687</v>
      </c>
      <c r="Q82" s="12" t="s">
        <v>687</v>
      </c>
    </row>
    <row r="83" spans="1:17" x14ac:dyDescent="0.45">
      <c r="A83" s="10" t="s">
        <v>925</v>
      </c>
      <c r="B83" s="10" t="s">
        <v>926</v>
      </c>
      <c r="C83" s="12" t="s">
        <v>683</v>
      </c>
      <c r="D83" s="12" t="s">
        <v>683</v>
      </c>
      <c r="E83" s="12" t="s">
        <v>683</v>
      </c>
      <c r="F83" s="12" t="s">
        <v>683</v>
      </c>
      <c r="G83" s="12" t="s">
        <v>683</v>
      </c>
      <c r="H83" s="12" t="s">
        <v>683</v>
      </c>
      <c r="I83" s="12" t="s">
        <v>687</v>
      </c>
      <c r="J83" s="12" t="s">
        <v>687</v>
      </c>
      <c r="K83" s="12" t="s">
        <v>687</v>
      </c>
      <c r="L83" s="12" t="s">
        <v>687</v>
      </c>
      <c r="M83" s="12" t="s">
        <v>687</v>
      </c>
      <c r="N83" s="12" t="s">
        <v>687</v>
      </c>
      <c r="O83" s="12" t="s">
        <v>687</v>
      </c>
      <c r="P83" s="12" t="s">
        <v>687</v>
      </c>
      <c r="Q83" s="12" t="s">
        <v>687</v>
      </c>
    </row>
    <row r="84" spans="1:17" x14ac:dyDescent="0.45">
      <c r="A84" s="10" t="s">
        <v>879</v>
      </c>
      <c r="B84" s="10" t="s">
        <v>880</v>
      </c>
      <c r="C84" s="12" t="s">
        <v>687</v>
      </c>
      <c r="D84" s="12" t="s">
        <v>687</v>
      </c>
      <c r="E84" s="12" t="s">
        <v>687</v>
      </c>
      <c r="F84" s="12" t="s">
        <v>687</v>
      </c>
      <c r="G84" s="12" t="s">
        <v>687</v>
      </c>
      <c r="H84" s="12" t="s">
        <v>687</v>
      </c>
      <c r="I84" s="12" t="s">
        <v>687</v>
      </c>
      <c r="J84" s="12" t="s">
        <v>687</v>
      </c>
      <c r="K84" s="12" t="s">
        <v>687</v>
      </c>
      <c r="L84" s="12" t="s">
        <v>687</v>
      </c>
      <c r="M84" s="12" t="s">
        <v>684</v>
      </c>
      <c r="N84" s="12" t="s">
        <v>684</v>
      </c>
      <c r="O84" s="12" t="s">
        <v>684</v>
      </c>
      <c r="P84" s="12" t="s">
        <v>684</v>
      </c>
      <c r="Q84" s="12" t="s">
        <v>684</v>
      </c>
    </row>
    <row r="85" spans="1:17" x14ac:dyDescent="0.45">
      <c r="A85" s="10" t="s">
        <v>881</v>
      </c>
      <c r="B85" s="10" t="s">
        <v>882</v>
      </c>
      <c r="C85" s="12" t="s">
        <v>683</v>
      </c>
      <c r="D85" s="12" t="s">
        <v>683</v>
      </c>
      <c r="E85" s="12" t="s">
        <v>683</v>
      </c>
      <c r="F85" s="12" t="s">
        <v>683</v>
      </c>
      <c r="G85" s="12" t="s">
        <v>683</v>
      </c>
      <c r="H85" s="12" t="s">
        <v>683</v>
      </c>
      <c r="I85" s="12" t="s">
        <v>683</v>
      </c>
      <c r="J85" s="12" t="s">
        <v>683</v>
      </c>
      <c r="K85" s="12" t="s">
        <v>683</v>
      </c>
      <c r="L85" s="12" t="s">
        <v>687</v>
      </c>
      <c r="M85" s="12" t="s">
        <v>687</v>
      </c>
      <c r="N85" s="12" t="s">
        <v>687</v>
      </c>
      <c r="O85" s="12" t="s">
        <v>687</v>
      </c>
      <c r="P85" s="12" t="s">
        <v>687</v>
      </c>
      <c r="Q85" s="12" t="s">
        <v>687</v>
      </c>
    </row>
    <row r="86" spans="1:17" x14ac:dyDescent="0.45">
      <c r="A86" s="10" t="s">
        <v>889</v>
      </c>
      <c r="B86" s="10" t="s">
        <v>890</v>
      </c>
      <c r="C86" s="12" t="s">
        <v>687</v>
      </c>
      <c r="D86" s="12" t="s">
        <v>687</v>
      </c>
      <c r="E86" s="12" t="s">
        <v>687</v>
      </c>
      <c r="F86" s="12" t="s">
        <v>687</v>
      </c>
      <c r="G86" s="12" t="s">
        <v>687</v>
      </c>
      <c r="H86" s="12" t="s">
        <v>687</v>
      </c>
      <c r="I86" s="12" t="s">
        <v>687</v>
      </c>
      <c r="J86" s="12" t="s">
        <v>684</v>
      </c>
      <c r="K86" s="12" t="s">
        <v>684</v>
      </c>
      <c r="L86" s="12" t="s">
        <v>684</v>
      </c>
      <c r="M86" s="12" t="s">
        <v>684</v>
      </c>
      <c r="N86" s="12" t="s">
        <v>684</v>
      </c>
      <c r="O86" s="12" t="s">
        <v>684</v>
      </c>
      <c r="P86" s="12" t="s">
        <v>684</v>
      </c>
      <c r="Q86" s="12" t="s">
        <v>684</v>
      </c>
    </row>
    <row r="87" spans="1:17" x14ac:dyDescent="0.45">
      <c r="A87" s="10" t="s">
        <v>885</v>
      </c>
      <c r="B87" s="10" t="s">
        <v>886</v>
      </c>
      <c r="C87" s="12" t="s">
        <v>683</v>
      </c>
      <c r="D87" s="12" t="s">
        <v>683</v>
      </c>
      <c r="E87" s="12" t="s">
        <v>683</v>
      </c>
      <c r="F87" s="12" t="s">
        <v>683</v>
      </c>
      <c r="G87" s="12" t="s">
        <v>683</v>
      </c>
      <c r="H87" s="12" t="s">
        <v>683</v>
      </c>
      <c r="I87" s="12" t="s">
        <v>687</v>
      </c>
      <c r="J87" s="12" t="s">
        <v>687</v>
      </c>
      <c r="K87" s="12" t="s">
        <v>687</v>
      </c>
      <c r="L87" s="12" t="s">
        <v>687</v>
      </c>
      <c r="M87" s="12" t="s">
        <v>687</v>
      </c>
      <c r="N87" s="12" t="s">
        <v>684</v>
      </c>
      <c r="O87" s="12" t="s">
        <v>684</v>
      </c>
      <c r="P87" s="12" t="s">
        <v>684</v>
      </c>
      <c r="Q87" s="12" t="s">
        <v>684</v>
      </c>
    </row>
    <row r="88" spans="1:17" x14ac:dyDescent="0.45">
      <c r="A88" s="10" t="s">
        <v>887</v>
      </c>
      <c r="B88" s="10" t="s">
        <v>888</v>
      </c>
      <c r="C88" s="12" t="s">
        <v>683</v>
      </c>
      <c r="D88" s="12" t="s">
        <v>683</v>
      </c>
      <c r="E88" s="12" t="s">
        <v>683</v>
      </c>
      <c r="F88" s="12" t="s">
        <v>683</v>
      </c>
      <c r="G88" s="12" t="s">
        <v>683</v>
      </c>
      <c r="H88" s="12" t="s">
        <v>683</v>
      </c>
      <c r="I88" s="12" t="s">
        <v>687</v>
      </c>
      <c r="J88" s="12" t="s">
        <v>687</v>
      </c>
      <c r="K88" s="12" t="s">
        <v>687</v>
      </c>
      <c r="L88" s="12" t="s">
        <v>687</v>
      </c>
      <c r="M88" s="12" t="s">
        <v>687</v>
      </c>
      <c r="N88" s="12" t="s">
        <v>684</v>
      </c>
      <c r="O88" s="12" t="s">
        <v>684</v>
      </c>
      <c r="P88" s="12" t="s">
        <v>684</v>
      </c>
      <c r="Q88" s="12" t="s">
        <v>684</v>
      </c>
    </row>
    <row r="89" spans="1:17" x14ac:dyDescent="0.45">
      <c r="A89" s="10" t="s">
        <v>892</v>
      </c>
      <c r="B89" s="10" t="s">
        <v>893</v>
      </c>
      <c r="C89" s="12" t="s">
        <v>683</v>
      </c>
      <c r="D89" s="12" t="s">
        <v>683</v>
      </c>
      <c r="E89" s="12" t="s">
        <v>683</v>
      </c>
      <c r="F89" s="12" t="s">
        <v>683</v>
      </c>
      <c r="G89" s="12" t="s">
        <v>683</v>
      </c>
      <c r="H89" s="12" t="s">
        <v>683</v>
      </c>
      <c r="I89" s="12" t="s">
        <v>684</v>
      </c>
      <c r="J89" s="12" t="s">
        <v>684</v>
      </c>
      <c r="K89" s="12" t="s">
        <v>684</v>
      </c>
      <c r="L89" s="12" t="s">
        <v>684</v>
      </c>
      <c r="M89" s="12" t="s">
        <v>684</v>
      </c>
      <c r="N89" s="12" t="s">
        <v>684</v>
      </c>
      <c r="O89" s="12" t="s">
        <v>684</v>
      </c>
      <c r="P89" s="12" t="s">
        <v>684</v>
      </c>
      <c r="Q89" s="12" t="s">
        <v>684</v>
      </c>
    </row>
    <row r="90" spans="1:17" x14ac:dyDescent="0.4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spans="1:17" x14ac:dyDescent="0.45">
      <c r="A91" s="10" t="s">
        <v>927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1:17" x14ac:dyDescent="0.45">
      <c r="A92" s="10" t="s">
        <v>928</v>
      </c>
      <c r="B92" s="10" t="s">
        <v>929</v>
      </c>
      <c r="C92" s="12" t="s">
        <v>687</v>
      </c>
      <c r="D92" s="12" t="s">
        <v>687</v>
      </c>
      <c r="E92" s="12" t="s">
        <v>687</v>
      </c>
      <c r="F92" s="12" t="s">
        <v>687</v>
      </c>
      <c r="G92" s="12" t="s">
        <v>687</v>
      </c>
      <c r="H92" s="12" t="s">
        <v>687</v>
      </c>
      <c r="I92" s="12" t="s">
        <v>687</v>
      </c>
      <c r="J92" s="12" t="s">
        <v>687</v>
      </c>
      <c r="K92" s="12" t="s">
        <v>687</v>
      </c>
      <c r="L92" s="12" t="s">
        <v>687</v>
      </c>
      <c r="M92" s="12" t="s">
        <v>687</v>
      </c>
      <c r="N92" s="12" t="s">
        <v>687</v>
      </c>
      <c r="O92" s="12" t="s">
        <v>687</v>
      </c>
      <c r="P92" s="12" t="s">
        <v>687</v>
      </c>
      <c r="Q92" s="12" t="s">
        <v>687</v>
      </c>
    </row>
    <row r="93" spans="1:17" x14ac:dyDescent="0.45">
      <c r="A93" s="10" t="s">
        <v>930</v>
      </c>
      <c r="B93" s="10" t="s">
        <v>926</v>
      </c>
      <c r="C93" s="12" t="s">
        <v>683</v>
      </c>
      <c r="D93" s="12" t="s">
        <v>683</v>
      </c>
      <c r="E93" s="12" t="s">
        <v>683</v>
      </c>
      <c r="F93" s="12" t="s">
        <v>683</v>
      </c>
      <c r="G93" s="12" t="s">
        <v>683</v>
      </c>
      <c r="H93" s="12" t="s">
        <v>683</v>
      </c>
      <c r="I93" s="12" t="s">
        <v>687</v>
      </c>
      <c r="J93" s="12" t="s">
        <v>687</v>
      </c>
      <c r="K93" s="12" t="s">
        <v>687</v>
      </c>
      <c r="L93" s="12" t="s">
        <v>687</v>
      </c>
      <c r="M93" s="12" t="s">
        <v>687</v>
      </c>
      <c r="N93" s="12" t="s">
        <v>687</v>
      </c>
      <c r="O93" s="12" t="s">
        <v>687</v>
      </c>
      <c r="P93" s="12" t="s">
        <v>687</v>
      </c>
      <c r="Q93" s="12" t="s">
        <v>687</v>
      </c>
    </row>
    <row r="94" spans="1:17" x14ac:dyDescent="0.45">
      <c r="A94" s="10" t="s">
        <v>931</v>
      </c>
      <c r="B94" s="10" t="s">
        <v>932</v>
      </c>
      <c r="C94" s="12" t="s">
        <v>683</v>
      </c>
      <c r="D94" s="12" t="s">
        <v>683</v>
      </c>
      <c r="E94" s="12" t="s">
        <v>683</v>
      </c>
      <c r="F94" s="12" t="s">
        <v>683</v>
      </c>
      <c r="G94" s="12" t="s">
        <v>683</v>
      </c>
      <c r="H94" s="12" t="s">
        <v>683</v>
      </c>
      <c r="I94" s="12" t="s">
        <v>683</v>
      </c>
      <c r="J94" s="12" t="s">
        <v>683</v>
      </c>
      <c r="K94" s="12" t="s">
        <v>683</v>
      </c>
      <c r="L94" s="12" t="s">
        <v>683</v>
      </c>
      <c r="M94" s="12" t="s">
        <v>687</v>
      </c>
      <c r="N94" s="12" t="s">
        <v>683</v>
      </c>
      <c r="O94" s="12" t="s">
        <v>683</v>
      </c>
      <c r="P94" s="12" t="s">
        <v>683</v>
      </c>
      <c r="Q94" s="12" t="s">
        <v>683</v>
      </c>
    </row>
    <row r="95" spans="1:17" x14ac:dyDescent="0.45">
      <c r="A95" s="1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1:17" x14ac:dyDescent="0.45">
      <c r="A96" s="10" t="s">
        <v>933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1:17" x14ac:dyDescent="0.45">
      <c r="A97" s="1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1:17" x14ac:dyDescent="0.45">
      <c r="A98" s="6" t="s">
        <v>934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x14ac:dyDescent="0.45">
      <c r="A99" s="10" t="s">
        <v>935</v>
      </c>
      <c r="B99" s="10" t="s">
        <v>936</v>
      </c>
      <c r="C99" s="14" t="e">
        <f ca="1">_xll.BDH("ANSS US Equity","BGEI_SCORE","FY 2009","FY 2009","Currency=USD","Period=FY","BEST_FPERIOD_OVERRIDE=FY","FILING_STATUS=MR","Sort=A","Dates=H","DateFormat=P","Fill=—","Direction=H","UseDPDF=Y")</f>
        <v>#NAME?</v>
      </c>
      <c r="D99" s="14" t="e">
        <f ca="1">_xll.BDH("ANSS US Equity","BGEI_SCORE","FY 2010","FY 2010","Currency=USD","Period=FY","BEST_FPERIOD_OVERRIDE=FY","FILING_STATUS=MR","Sort=A","Dates=H","DateFormat=P","Fill=—","Direction=H","UseDPDF=Y")</f>
        <v>#NAME?</v>
      </c>
      <c r="E99" s="14" t="e">
        <f ca="1">_xll.BDH("ANSS US Equity","BGEI_SCORE","FY 2011","FY 2011","Currency=USD","Period=FY","BEST_FPERIOD_OVERRIDE=FY","FILING_STATUS=MR","Sort=A","Dates=H","DateFormat=P","Fill=—","Direction=H","UseDPDF=Y")</f>
        <v>#NAME?</v>
      </c>
      <c r="F99" s="14" t="e">
        <f ca="1">_xll.BDH("ANSS US Equity","BGEI_SCORE","FY 2012","FY 2012","Currency=USD","Period=FY","BEST_FPERIOD_OVERRIDE=FY","FILING_STATUS=MR","Sort=A","Dates=H","DateFormat=P","Fill=—","Direction=H","UseDPDF=Y")</f>
        <v>#NAME?</v>
      </c>
      <c r="G99" s="14" t="e">
        <f ca="1">_xll.BDH("ANSS US Equity","BGEI_SCORE","FY 2013","FY 2013","Currency=USD","Period=FY","BEST_FPERIOD_OVERRIDE=FY","FILING_STATUS=MR","Sort=A","Dates=H","DateFormat=P","Fill=—","Direction=H","UseDPDF=Y")</f>
        <v>#NAME?</v>
      </c>
      <c r="H99" s="14" t="e">
        <f ca="1">_xll.BDH("ANSS US Equity","BGEI_SCORE","FY 2014","FY 2014","Currency=USD","Period=FY","BEST_FPERIOD_OVERRIDE=FY","FILING_STATUS=MR","Sort=A","Dates=H","DateFormat=P","Fill=—","Direction=H","UseDPDF=Y")</f>
        <v>#NAME?</v>
      </c>
      <c r="I99" s="14" t="e">
        <f ca="1">_xll.BDH("ANSS US Equity","BGEI_SCORE","FY 2015","FY 2015","Currency=USD","Period=FY","BEST_FPERIOD_OVERRIDE=FY","FILING_STATUS=MR","Sort=A","Dates=H","DateFormat=P","Fill=—","Direction=H","UseDPDF=Y")</f>
        <v>#NAME?</v>
      </c>
      <c r="J99" s="14" t="e">
        <f ca="1">_xll.BDH("ANSS US Equity","BGEI_SCORE","FY 2016","FY 2016","Currency=USD","Period=FY","BEST_FPERIOD_OVERRIDE=FY","FILING_STATUS=MR","Sort=A","Dates=H","DateFormat=P","Fill=—","Direction=H","UseDPDF=Y")</f>
        <v>#NAME?</v>
      </c>
      <c r="K99" s="14" t="e">
        <f ca="1">_xll.BDH("ANSS US Equity","BGEI_SCORE","FY 2017","FY 2017","Currency=USD","Period=FY","BEST_FPERIOD_OVERRIDE=FY","FILING_STATUS=MR","Sort=A","Dates=H","DateFormat=P","Fill=—","Direction=H","UseDPDF=Y")</f>
        <v>#NAME?</v>
      </c>
      <c r="L99" s="14" t="e">
        <f ca="1">_xll.BDH("ANSS US Equity","BGEI_SCORE","FY 2018","FY 2018","Currency=USD","Period=FY","BEST_FPERIOD_OVERRIDE=FY","FILING_STATUS=MR","Sort=A","Dates=H","DateFormat=P","Fill=—","Direction=H","UseDPDF=Y")</f>
        <v>#NAME?</v>
      </c>
      <c r="M99" s="14" t="e">
        <f ca="1">_xll.BDH("ANSS US Equity","BGEI_SCORE","FY 2019","FY 2019","Currency=USD","Period=FY","BEST_FPERIOD_OVERRIDE=FY","FILING_STATUS=MR","Sort=A","Dates=H","DateFormat=P","Fill=—","Direction=H","UseDPDF=Y")</f>
        <v>#NAME?</v>
      </c>
      <c r="N99" s="14" t="e">
        <f ca="1">_xll.BDH("ANSS US Equity","BGEI_SCORE","FY 2020","FY 2020","Currency=USD","Period=FY","BEST_FPERIOD_OVERRIDE=FY","FILING_STATUS=MR","Sort=A","Dates=H","DateFormat=P","Fill=—","Direction=H","UseDPDF=Y")</f>
        <v>#NAME?</v>
      </c>
      <c r="O99" s="14" t="e">
        <f ca="1">_xll.BDH("ANSS US Equity","BGEI_SCORE","FY 2021","FY 2021","Currency=USD","Period=FY","BEST_FPERIOD_OVERRIDE=FY","FILING_STATUS=MR","Sort=A","Dates=H","DateFormat=P","Fill=—","Direction=H","UseDPDF=Y")</f>
        <v>#NAME?</v>
      </c>
      <c r="P99" s="14" t="e">
        <f ca="1">_xll.BDH("ANSS US Equity","BGEI_SCORE","FY 2022","FY 2022","Currency=USD","Period=FY","BEST_FPERIOD_OVERRIDE=FY","FILING_STATUS=MR","Sort=A","Dates=H","DateFormat=P","Fill=—","Direction=H","UseDPDF=Y")</f>
        <v>#NAME?</v>
      </c>
      <c r="Q99" s="14" t="e">
        <f ca="1">_xll.BDH("ANSS US Equity","BGEI_SCORE","FY 2023","FY 2023","Currency=USD","Period=FY","BEST_FPERIOD_OVERRIDE=FY","FILING_STATUS=MR","Sort=A","Dates=H","DateFormat=P","Fill=—","Direction=H","UseDPDF=Y")</f>
        <v>#NAME?</v>
      </c>
    </row>
    <row r="100" spans="1:17" x14ac:dyDescent="0.45">
      <c r="A100" s="10" t="s">
        <v>937</v>
      </c>
      <c r="B100" s="10" t="s">
        <v>938</v>
      </c>
      <c r="C100" s="14" t="e">
        <f ca="1">_xll.BDH("ANSS US Equity","BGEI_DISCLSRE_SCORE","FY 2009","FY 2009","Currency=USD","Period=FY","BEST_FPERIOD_OVERRIDE=FY","FILING_STATUS=MR","Sort=A","Dates=H","DateFormat=P","Fill=—","Direction=H","UseDPDF=Y")</f>
        <v>#NAME?</v>
      </c>
      <c r="D100" s="14" t="e">
        <f ca="1">_xll.BDH("ANSS US Equity","BGEI_DISCLSRE_SCORE","FY 2010","FY 2010","Currency=USD","Period=FY","BEST_FPERIOD_OVERRIDE=FY","FILING_STATUS=MR","Sort=A","Dates=H","DateFormat=P","Fill=—","Direction=H","UseDPDF=Y")</f>
        <v>#NAME?</v>
      </c>
      <c r="E100" s="14" t="e">
        <f ca="1">_xll.BDH("ANSS US Equity","BGEI_DISCLSRE_SCORE","FY 2011","FY 2011","Currency=USD","Period=FY","BEST_FPERIOD_OVERRIDE=FY","FILING_STATUS=MR","Sort=A","Dates=H","DateFormat=P","Fill=—","Direction=H","UseDPDF=Y")</f>
        <v>#NAME?</v>
      </c>
      <c r="F100" s="14" t="e">
        <f ca="1">_xll.BDH("ANSS US Equity","BGEI_DISCLSRE_SCORE","FY 2012","FY 2012","Currency=USD","Period=FY","BEST_FPERIOD_OVERRIDE=FY","FILING_STATUS=MR","Sort=A","Dates=H","DateFormat=P","Fill=—","Direction=H","UseDPDF=Y")</f>
        <v>#NAME?</v>
      </c>
      <c r="G100" s="14" t="e">
        <f ca="1">_xll.BDH("ANSS US Equity","BGEI_DISCLSRE_SCORE","FY 2013","FY 2013","Currency=USD","Period=FY","BEST_FPERIOD_OVERRIDE=FY","FILING_STATUS=MR","Sort=A","Dates=H","DateFormat=P","Fill=—","Direction=H","UseDPDF=Y")</f>
        <v>#NAME?</v>
      </c>
      <c r="H100" s="14" t="e">
        <f ca="1">_xll.BDH("ANSS US Equity","BGEI_DISCLSRE_SCORE","FY 2014","FY 2014","Currency=USD","Period=FY","BEST_FPERIOD_OVERRIDE=FY","FILING_STATUS=MR","Sort=A","Dates=H","DateFormat=P","Fill=—","Direction=H","UseDPDF=Y")</f>
        <v>#NAME?</v>
      </c>
      <c r="I100" s="14" t="e">
        <f ca="1">_xll.BDH("ANSS US Equity","BGEI_DISCLSRE_SCORE","FY 2015","FY 2015","Currency=USD","Period=FY","BEST_FPERIOD_OVERRIDE=FY","FILING_STATUS=MR","Sort=A","Dates=H","DateFormat=P","Fill=—","Direction=H","UseDPDF=Y")</f>
        <v>#NAME?</v>
      </c>
      <c r="J100" s="14" t="e">
        <f ca="1">_xll.BDH("ANSS US Equity","BGEI_DISCLSRE_SCORE","FY 2016","FY 2016","Currency=USD","Period=FY","BEST_FPERIOD_OVERRIDE=FY","FILING_STATUS=MR","Sort=A","Dates=H","DateFormat=P","Fill=—","Direction=H","UseDPDF=Y")</f>
        <v>#NAME?</v>
      </c>
      <c r="K100" s="14" t="e">
        <f ca="1">_xll.BDH("ANSS US Equity","BGEI_DISCLSRE_SCORE","FY 2017","FY 2017","Currency=USD","Period=FY","BEST_FPERIOD_OVERRIDE=FY","FILING_STATUS=MR","Sort=A","Dates=H","DateFormat=P","Fill=—","Direction=H","UseDPDF=Y")</f>
        <v>#NAME?</v>
      </c>
      <c r="L100" s="14" t="e">
        <f ca="1">_xll.BDH("ANSS US Equity","BGEI_DISCLSRE_SCORE","FY 2018","FY 2018","Currency=USD","Period=FY","BEST_FPERIOD_OVERRIDE=FY","FILING_STATUS=MR","Sort=A","Dates=H","DateFormat=P","Fill=—","Direction=H","UseDPDF=Y")</f>
        <v>#NAME?</v>
      </c>
      <c r="M100" s="14" t="e">
        <f ca="1">_xll.BDH("ANSS US Equity","BGEI_DISCLSRE_SCORE","FY 2019","FY 2019","Currency=USD","Period=FY","BEST_FPERIOD_OVERRIDE=FY","FILING_STATUS=MR","Sort=A","Dates=H","DateFormat=P","Fill=—","Direction=H","UseDPDF=Y")</f>
        <v>#NAME?</v>
      </c>
      <c r="N100" s="14" t="e">
        <f ca="1">_xll.BDH("ANSS US Equity","BGEI_DISCLSRE_SCORE","FY 2020","FY 2020","Currency=USD","Period=FY","BEST_FPERIOD_OVERRIDE=FY","FILING_STATUS=MR","Sort=A","Dates=H","DateFormat=P","Fill=—","Direction=H","UseDPDF=Y")</f>
        <v>#NAME?</v>
      </c>
      <c r="O100" s="14" t="e">
        <f ca="1">_xll.BDH("ANSS US Equity","BGEI_DISCLSRE_SCORE","FY 2021","FY 2021","Currency=USD","Period=FY","BEST_FPERIOD_OVERRIDE=FY","FILING_STATUS=MR","Sort=A","Dates=H","DateFormat=P","Fill=—","Direction=H","UseDPDF=Y")</f>
        <v>#NAME?</v>
      </c>
      <c r="P100" s="14" t="e">
        <f ca="1">_xll.BDH("ANSS US Equity","BGEI_DISCLSRE_SCORE","FY 2022","FY 2022","Currency=USD","Period=FY","BEST_FPERIOD_OVERRIDE=FY","FILING_STATUS=MR","Sort=A","Dates=H","DateFormat=P","Fill=—","Direction=H","UseDPDF=Y")</f>
        <v>#NAME?</v>
      </c>
      <c r="Q100" s="14" t="e">
        <f ca="1">_xll.BDH("ANSS US Equity","BGEI_DISCLSRE_SCORE","FY 2023","FY 2023","Currency=USD","Period=FY","BEST_FPERIOD_OVERRIDE=FY","FILING_STATUS=MR","Sort=A","Dates=H","DateFormat=P","Fill=—","Direction=H","UseDPDF=Y")</f>
        <v>#NAME?</v>
      </c>
    </row>
    <row r="101" spans="1:17" x14ac:dyDescent="0.45">
      <c r="A101" s="10" t="s">
        <v>939</v>
      </c>
      <c r="B101" s="10" t="s">
        <v>940</v>
      </c>
      <c r="C101" s="14" t="e">
        <f ca="1">_xll.BDH("ANSS US Equity","BGEI_DATA_EXCLLNCE_SCORE","FY 2009","FY 2009","Currency=USD","Period=FY","BEST_FPERIOD_OVERRIDE=FY","FILING_STATUS=MR","Sort=A","Dates=H","DateFormat=P","Fill=—","Direction=H","UseDPDF=Y")</f>
        <v>#NAME?</v>
      </c>
      <c r="D101" s="14" t="e">
        <f ca="1">_xll.BDH("ANSS US Equity","BGEI_DATA_EXCLLNCE_SCORE","FY 2010","FY 2010","Currency=USD","Period=FY","BEST_FPERIOD_OVERRIDE=FY","FILING_STATUS=MR","Sort=A","Dates=H","DateFormat=P","Fill=—","Direction=H","UseDPDF=Y")</f>
        <v>#NAME?</v>
      </c>
      <c r="E101" s="14" t="e">
        <f ca="1">_xll.BDH("ANSS US Equity","BGEI_DATA_EXCLLNCE_SCORE","FY 2011","FY 2011","Currency=USD","Period=FY","BEST_FPERIOD_OVERRIDE=FY","FILING_STATUS=MR","Sort=A","Dates=H","DateFormat=P","Fill=—","Direction=H","UseDPDF=Y")</f>
        <v>#NAME?</v>
      </c>
      <c r="F101" s="14" t="e">
        <f ca="1">_xll.BDH("ANSS US Equity","BGEI_DATA_EXCLLNCE_SCORE","FY 2012","FY 2012","Currency=USD","Period=FY","BEST_FPERIOD_OVERRIDE=FY","FILING_STATUS=MR","Sort=A","Dates=H","DateFormat=P","Fill=—","Direction=H","UseDPDF=Y")</f>
        <v>#NAME?</v>
      </c>
      <c r="G101" s="14" t="e">
        <f ca="1">_xll.BDH("ANSS US Equity","BGEI_DATA_EXCLLNCE_SCORE","FY 2013","FY 2013","Currency=USD","Period=FY","BEST_FPERIOD_OVERRIDE=FY","FILING_STATUS=MR","Sort=A","Dates=H","DateFormat=P","Fill=—","Direction=H","UseDPDF=Y")</f>
        <v>#NAME?</v>
      </c>
      <c r="H101" s="14" t="e">
        <f ca="1">_xll.BDH("ANSS US Equity","BGEI_DATA_EXCLLNCE_SCORE","FY 2014","FY 2014","Currency=USD","Period=FY","BEST_FPERIOD_OVERRIDE=FY","FILING_STATUS=MR","Sort=A","Dates=H","DateFormat=P","Fill=—","Direction=H","UseDPDF=Y")</f>
        <v>#NAME?</v>
      </c>
      <c r="I101" s="14" t="e">
        <f ca="1">_xll.BDH("ANSS US Equity","BGEI_DATA_EXCLLNCE_SCORE","FY 2015","FY 2015","Currency=USD","Period=FY","BEST_FPERIOD_OVERRIDE=FY","FILING_STATUS=MR","Sort=A","Dates=H","DateFormat=P","Fill=—","Direction=H","UseDPDF=Y")</f>
        <v>#NAME?</v>
      </c>
      <c r="J101" s="14" t="e">
        <f ca="1">_xll.BDH("ANSS US Equity","BGEI_DATA_EXCLLNCE_SCORE","FY 2016","FY 2016","Currency=USD","Period=FY","BEST_FPERIOD_OVERRIDE=FY","FILING_STATUS=MR","Sort=A","Dates=H","DateFormat=P","Fill=—","Direction=H","UseDPDF=Y")</f>
        <v>#NAME?</v>
      </c>
      <c r="K101" s="14" t="e">
        <f ca="1">_xll.BDH("ANSS US Equity","BGEI_DATA_EXCLLNCE_SCORE","FY 2017","FY 2017","Currency=USD","Period=FY","BEST_FPERIOD_OVERRIDE=FY","FILING_STATUS=MR","Sort=A","Dates=H","DateFormat=P","Fill=—","Direction=H","UseDPDF=Y")</f>
        <v>#NAME?</v>
      </c>
      <c r="L101" s="14" t="e">
        <f ca="1">_xll.BDH("ANSS US Equity","BGEI_DATA_EXCLLNCE_SCORE","FY 2018","FY 2018","Currency=USD","Period=FY","BEST_FPERIOD_OVERRIDE=FY","FILING_STATUS=MR","Sort=A","Dates=H","DateFormat=P","Fill=—","Direction=H","UseDPDF=Y")</f>
        <v>#NAME?</v>
      </c>
      <c r="M101" s="14" t="e">
        <f ca="1">_xll.BDH("ANSS US Equity","BGEI_DATA_EXCLLNCE_SCORE","FY 2019","FY 2019","Currency=USD","Period=FY","BEST_FPERIOD_OVERRIDE=FY","FILING_STATUS=MR","Sort=A","Dates=H","DateFormat=P","Fill=—","Direction=H","UseDPDF=Y")</f>
        <v>#NAME?</v>
      </c>
      <c r="N101" s="14" t="e">
        <f ca="1">_xll.BDH("ANSS US Equity","BGEI_DATA_EXCLLNCE_SCORE","FY 2020","FY 2020","Currency=USD","Period=FY","BEST_FPERIOD_OVERRIDE=FY","FILING_STATUS=MR","Sort=A","Dates=H","DateFormat=P","Fill=—","Direction=H","UseDPDF=Y")</f>
        <v>#NAME?</v>
      </c>
      <c r="O101" s="14" t="e">
        <f ca="1">_xll.BDH("ANSS US Equity","BGEI_DATA_EXCLLNCE_SCORE","FY 2021","FY 2021","Currency=USD","Period=FY","BEST_FPERIOD_OVERRIDE=FY","FILING_STATUS=MR","Sort=A","Dates=H","DateFormat=P","Fill=—","Direction=H","UseDPDF=Y")</f>
        <v>#NAME?</v>
      </c>
      <c r="P101" s="14" t="e">
        <f ca="1">_xll.BDH("ANSS US Equity","BGEI_DATA_EXCLLNCE_SCORE","FY 2022","FY 2022","Currency=USD","Period=FY","BEST_FPERIOD_OVERRIDE=FY","FILING_STATUS=MR","Sort=A","Dates=H","DateFormat=P","Fill=—","Direction=H","UseDPDF=Y")</f>
        <v>#NAME?</v>
      </c>
      <c r="Q101" s="14" t="e">
        <f ca="1">_xll.BDH("ANSS US Equity","BGEI_DATA_EXCLLNCE_SCORE","FY 2023","FY 2023","Currency=USD","Period=FY","BEST_FPERIOD_OVERRIDE=FY","FILING_STATUS=MR","Sort=A","Dates=H","DateFormat=P","Fill=—","Direction=H","UseDPDF=Y")</f>
        <v>#NAME?</v>
      </c>
    </row>
    <row r="102" spans="1:17" x14ac:dyDescent="0.45">
      <c r="A102" s="10" t="s">
        <v>941</v>
      </c>
      <c r="B102" s="10" t="s">
        <v>942</v>
      </c>
      <c r="C102" s="14" t="e">
        <f ca="1">_xll.BDH("ANSS US Equity","BGEI_LEADERSHP_SCORE","FY 2009","FY 2009","Currency=USD","Period=FY","BEST_FPERIOD_OVERRIDE=FY","FILING_STATUS=MR","Sort=A","Dates=H","DateFormat=P","Fill=—","Direction=H","UseDPDF=Y")</f>
        <v>#NAME?</v>
      </c>
      <c r="D102" s="14" t="e">
        <f ca="1">_xll.BDH("ANSS US Equity","BGEI_LEADERSHP_SCORE","FY 2010","FY 2010","Currency=USD","Period=FY","BEST_FPERIOD_OVERRIDE=FY","FILING_STATUS=MR","Sort=A","Dates=H","DateFormat=P","Fill=—","Direction=H","UseDPDF=Y")</f>
        <v>#NAME?</v>
      </c>
      <c r="E102" s="14" t="e">
        <f ca="1">_xll.BDH("ANSS US Equity","BGEI_LEADERSHP_SCORE","FY 2011","FY 2011","Currency=USD","Period=FY","BEST_FPERIOD_OVERRIDE=FY","FILING_STATUS=MR","Sort=A","Dates=H","DateFormat=P","Fill=—","Direction=H","UseDPDF=Y")</f>
        <v>#NAME?</v>
      </c>
      <c r="F102" s="14" t="e">
        <f ca="1">_xll.BDH("ANSS US Equity","BGEI_LEADERSHP_SCORE","FY 2012","FY 2012","Currency=USD","Period=FY","BEST_FPERIOD_OVERRIDE=FY","FILING_STATUS=MR","Sort=A","Dates=H","DateFormat=P","Fill=—","Direction=H","UseDPDF=Y")</f>
        <v>#NAME?</v>
      </c>
      <c r="G102" s="14" t="e">
        <f ca="1">_xll.BDH("ANSS US Equity","BGEI_LEADERSHP_SCORE","FY 2013","FY 2013","Currency=USD","Period=FY","BEST_FPERIOD_OVERRIDE=FY","FILING_STATUS=MR","Sort=A","Dates=H","DateFormat=P","Fill=—","Direction=H","UseDPDF=Y")</f>
        <v>#NAME?</v>
      </c>
      <c r="H102" s="14" t="e">
        <f ca="1">_xll.BDH("ANSS US Equity","BGEI_LEADERSHP_SCORE","FY 2014","FY 2014","Currency=USD","Period=FY","BEST_FPERIOD_OVERRIDE=FY","FILING_STATUS=MR","Sort=A","Dates=H","DateFormat=P","Fill=—","Direction=H","UseDPDF=Y")</f>
        <v>#NAME?</v>
      </c>
      <c r="I102" s="14" t="e">
        <f ca="1">_xll.BDH("ANSS US Equity","BGEI_LEADERSHP_SCORE","FY 2015","FY 2015","Currency=USD","Period=FY","BEST_FPERIOD_OVERRIDE=FY","FILING_STATUS=MR","Sort=A","Dates=H","DateFormat=P","Fill=—","Direction=H","UseDPDF=Y")</f>
        <v>#NAME?</v>
      </c>
      <c r="J102" s="14" t="e">
        <f ca="1">_xll.BDH("ANSS US Equity","BGEI_LEADERSHP_SCORE","FY 2016","FY 2016","Currency=USD","Period=FY","BEST_FPERIOD_OVERRIDE=FY","FILING_STATUS=MR","Sort=A","Dates=H","DateFormat=P","Fill=—","Direction=H","UseDPDF=Y")</f>
        <v>#NAME?</v>
      </c>
      <c r="K102" s="14" t="e">
        <f ca="1">_xll.BDH("ANSS US Equity","BGEI_LEADERSHP_SCORE","FY 2017","FY 2017","Currency=USD","Period=FY","BEST_FPERIOD_OVERRIDE=FY","FILING_STATUS=MR","Sort=A","Dates=H","DateFormat=P","Fill=—","Direction=H","UseDPDF=Y")</f>
        <v>#NAME?</v>
      </c>
      <c r="L102" s="14" t="e">
        <f ca="1">_xll.BDH("ANSS US Equity","BGEI_LEADERSHP_SCORE","FY 2018","FY 2018","Currency=USD","Period=FY","BEST_FPERIOD_OVERRIDE=FY","FILING_STATUS=MR","Sort=A","Dates=H","DateFormat=P","Fill=—","Direction=H","UseDPDF=Y")</f>
        <v>#NAME?</v>
      </c>
      <c r="M102" s="14" t="e">
        <f ca="1">_xll.BDH("ANSS US Equity","BGEI_LEADERSHP_SCORE","FY 2019","FY 2019","Currency=USD","Period=FY","BEST_FPERIOD_OVERRIDE=FY","FILING_STATUS=MR","Sort=A","Dates=H","DateFormat=P","Fill=—","Direction=H","UseDPDF=Y")</f>
        <v>#NAME?</v>
      </c>
      <c r="N102" s="14" t="e">
        <f ca="1">_xll.BDH("ANSS US Equity","BGEI_LEADERSHP_SCORE","FY 2020","FY 2020","Currency=USD","Period=FY","BEST_FPERIOD_OVERRIDE=FY","FILING_STATUS=MR","Sort=A","Dates=H","DateFormat=P","Fill=—","Direction=H","UseDPDF=Y")</f>
        <v>#NAME?</v>
      </c>
      <c r="O102" s="14" t="e">
        <f ca="1">_xll.BDH("ANSS US Equity","BGEI_LEADERSHP_SCORE","FY 2021","FY 2021","Currency=USD","Period=FY","BEST_FPERIOD_OVERRIDE=FY","FILING_STATUS=MR","Sort=A","Dates=H","DateFormat=P","Fill=—","Direction=H","UseDPDF=Y")</f>
        <v>#NAME?</v>
      </c>
      <c r="P102" s="14" t="e">
        <f ca="1">_xll.BDH("ANSS US Equity","BGEI_LEADERSHP_SCORE","FY 2022","FY 2022","Currency=USD","Period=FY","BEST_FPERIOD_OVERRIDE=FY","FILING_STATUS=MR","Sort=A","Dates=H","DateFormat=P","Fill=—","Direction=H","UseDPDF=Y")</f>
        <v>#NAME?</v>
      </c>
      <c r="Q102" s="14" t="e">
        <f ca="1">_xll.BDH("ANSS US Equity","BGEI_LEADERSHP_SCORE","FY 2023","FY 2023","Currency=USD","Period=FY","BEST_FPERIOD_OVERRIDE=FY","FILING_STATUS=MR","Sort=A","Dates=H","DateFormat=P","Fill=—","Direction=H","UseDPDF=Y")</f>
        <v>#NAME?</v>
      </c>
    </row>
    <row r="103" spans="1:17" x14ac:dyDescent="0.45">
      <c r="A103" s="10" t="s">
        <v>943</v>
      </c>
      <c r="B103" s="10" t="s">
        <v>944</v>
      </c>
      <c r="C103" s="14" t="e">
        <f ca="1">_xll.BDH("ANSS US Equity","BGEI_EQUAL_PAY_SCORE","FY 2009","FY 2009","Currency=USD","Period=FY","BEST_FPERIOD_OVERRIDE=FY","FILING_STATUS=MR","Sort=A","Dates=H","DateFormat=P","Fill=—","Direction=H","UseDPDF=Y")</f>
        <v>#NAME?</v>
      </c>
      <c r="D103" s="14" t="e">
        <f ca="1">_xll.BDH("ANSS US Equity","BGEI_EQUAL_PAY_SCORE","FY 2010","FY 2010","Currency=USD","Period=FY","BEST_FPERIOD_OVERRIDE=FY","FILING_STATUS=MR","Sort=A","Dates=H","DateFormat=P","Fill=—","Direction=H","UseDPDF=Y")</f>
        <v>#NAME?</v>
      </c>
      <c r="E103" s="14" t="e">
        <f ca="1">_xll.BDH("ANSS US Equity","BGEI_EQUAL_PAY_SCORE","FY 2011","FY 2011","Currency=USD","Period=FY","BEST_FPERIOD_OVERRIDE=FY","FILING_STATUS=MR","Sort=A","Dates=H","DateFormat=P","Fill=—","Direction=H","UseDPDF=Y")</f>
        <v>#NAME?</v>
      </c>
      <c r="F103" s="14" t="e">
        <f ca="1">_xll.BDH("ANSS US Equity","BGEI_EQUAL_PAY_SCORE","FY 2012","FY 2012","Currency=USD","Period=FY","BEST_FPERIOD_OVERRIDE=FY","FILING_STATUS=MR","Sort=A","Dates=H","DateFormat=P","Fill=—","Direction=H","UseDPDF=Y")</f>
        <v>#NAME?</v>
      </c>
      <c r="G103" s="14" t="e">
        <f ca="1">_xll.BDH("ANSS US Equity","BGEI_EQUAL_PAY_SCORE","FY 2013","FY 2013","Currency=USD","Period=FY","BEST_FPERIOD_OVERRIDE=FY","FILING_STATUS=MR","Sort=A","Dates=H","DateFormat=P","Fill=—","Direction=H","UseDPDF=Y")</f>
        <v>#NAME?</v>
      </c>
      <c r="H103" s="14" t="e">
        <f ca="1">_xll.BDH("ANSS US Equity","BGEI_EQUAL_PAY_SCORE","FY 2014","FY 2014","Currency=USD","Period=FY","BEST_FPERIOD_OVERRIDE=FY","FILING_STATUS=MR","Sort=A","Dates=H","DateFormat=P","Fill=—","Direction=H","UseDPDF=Y")</f>
        <v>#NAME?</v>
      </c>
      <c r="I103" s="14" t="e">
        <f ca="1">_xll.BDH("ANSS US Equity","BGEI_EQUAL_PAY_SCORE","FY 2015","FY 2015","Currency=USD","Period=FY","BEST_FPERIOD_OVERRIDE=FY","FILING_STATUS=MR","Sort=A","Dates=H","DateFormat=P","Fill=—","Direction=H","UseDPDF=Y")</f>
        <v>#NAME?</v>
      </c>
      <c r="J103" s="14" t="e">
        <f ca="1">_xll.BDH("ANSS US Equity","BGEI_EQUAL_PAY_SCORE","FY 2016","FY 2016","Currency=USD","Period=FY","BEST_FPERIOD_OVERRIDE=FY","FILING_STATUS=MR","Sort=A","Dates=H","DateFormat=P","Fill=—","Direction=H","UseDPDF=Y")</f>
        <v>#NAME?</v>
      </c>
      <c r="K103" s="14" t="e">
        <f ca="1">_xll.BDH("ANSS US Equity","BGEI_EQUAL_PAY_SCORE","FY 2017","FY 2017","Currency=USD","Period=FY","BEST_FPERIOD_OVERRIDE=FY","FILING_STATUS=MR","Sort=A","Dates=H","DateFormat=P","Fill=—","Direction=H","UseDPDF=Y")</f>
        <v>#NAME?</v>
      </c>
      <c r="L103" s="14" t="e">
        <f ca="1">_xll.BDH("ANSS US Equity","BGEI_EQUAL_PAY_SCORE","FY 2018","FY 2018","Currency=USD","Period=FY","BEST_FPERIOD_OVERRIDE=FY","FILING_STATUS=MR","Sort=A","Dates=H","DateFormat=P","Fill=—","Direction=H","UseDPDF=Y")</f>
        <v>#NAME?</v>
      </c>
      <c r="M103" s="14" t="e">
        <f ca="1">_xll.BDH("ANSS US Equity","BGEI_EQUAL_PAY_SCORE","FY 2019","FY 2019","Currency=USD","Period=FY","BEST_FPERIOD_OVERRIDE=FY","FILING_STATUS=MR","Sort=A","Dates=H","DateFormat=P","Fill=—","Direction=H","UseDPDF=Y")</f>
        <v>#NAME?</v>
      </c>
      <c r="N103" s="14" t="e">
        <f ca="1">_xll.BDH("ANSS US Equity","BGEI_EQUAL_PAY_SCORE","FY 2020","FY 2020","Currency=USD","Period=FY","BEST_FPERIOD_OVERRIDE=FY","FILING_STATUS=MR","Sort=A","Dates=H","DateFormat=P","Fill=—","Direction=H","UseDPDF=Y")</f>
        <v>#NAME?</v>
      </c>
      <c r="O103" s="14" t="e">
        <f ca="1">_xll.BDH("ANSS US Equity","BGEI_EQUAL_PAY_SCORE","FY 2021","FY 2021","Currency=USD","Period=FY","BEST_FPERIOD_OVERRIDE=FY","FILING_STATUS=MR","Sort=A","Dates=H","DateFormat=P","Fill=—","Direction=H","UseDPDF=Y")</f>
        <v>#NAME?</v>
      </c>
      <c r="P103" s="14" t="e">
        <f ca="1">_xll.BDH("ANSS US Equity","BGEI_EQUAL_PAY_SCORE","FY 2022","FY 2022","Currency=USD","Period=FY","BEST_FPERIOD_OVERRIDE=FY","FILING_STATUS=MR","Sort=A","Dates=H","DateFormat=P","Fill=—","Direction=H","UseDPDF=Y")</f>
        <v>#NAME?</v>
      </c>
      <c r="Q103" s="14" t="e">
        <f ca="1">_xll.BDH("ANSS US Equity","BGEI_EQUAL_PAY_SCORE","FY 2023","FY 2023","Currency=USD","Period=FY","BEST_FPERIOD_OVERRIDE=FY","FILING_STATUS=MR","Sort=A","Dates=H","DateFormat=P","Fill=—","Direction=H","UseDPDF=Y")</f>
        <v>#NAME?</v>
      </c>
    </row>
    <row r="104" spans="1:17" x14ac:dyDescent="0.45">
      <c r="A104" s="10" t="s">
        <v>945</v>
      </c>
      <c r="B104" s="10" t="s">
        <v>946</v>
      </c>
      <c r="C104" s="14" t="e">
        <f ca="1">_xll.BDH("ANSS US Equity","BGEI_INCLSVE_CULTRE_SCORE","FY 2009","FY 2009","Currency=USD","Period=FY","BEST_FPERIOD_OVERRIDE=FY","FILING_STATUS=MR","Sort=A","Dates=H","DateFormat=P","Fill=—","Direction=H","UseDPDF=Y")</f>
        <v>#NAME?</v>
      </c>
      <c r="D104" s="14" t="e">
        <f ca="1">_xll.BDH("ANSS US Equity","BGEI_INCLSVE_CULTRE_SCORE","FY 2010","FY 2010","Currency=USD","Period=FY","BEST_FPERIOD_OVERRIDE=FY","FILING_STATUS=MR","Sort=A","Dates=H","DateFormat=P","Fill=—","Direction=H","UseDPDF=Y")</f>
        <v>#NAME?</v>
      </c>
      <c r="E104" s="14" t="e">
        <f ca="1">_xll.BDH("ANSS US Equity","BGEI_INCLSVE_CULTRE_SCORE","FY 2011","FY 2011","Currency=USD","Period=FY","BEST_FPERIOD_OVERRIDE=FY","FILING_STATUS=MR","Sort=A","Dates=H","DateFormat=P","Fill=—","Direction=H","UseDPDF=Y")</f>
        <v>#NAME?</v>
      </c>
      <c r="F104" s="14" t="e">
        <f ca="1">_xll.BDH("ANSS US Equity","BGEI_INCLSVE_CULTRE_SCORE","FY 2012","FY 2012","Currency=USD","Period=FY","BEST_FPERIOD_OVERRIDE=FY","FILING_STATUS=MR","Sort=A","Dates=H","DateFormat=P","Fill=—","Direction=H","UseDPDF=Y")</f>
        <v>#NAME?</v>
      </c>
      <c r="G104" s="14" t="e">
        <f ca="1">_xll.BDH("ANSS US Equity","BGEI_INCLSVE_CULTRE_SCORE","FY 2013","FY 2013","Currency=USD","Period=FY","BEST_FPERIOD_OVERRIDE=FY","FILING_STATUS=MR","Sort=A","Dates=H","DateFormat=P","Fill=—","Direction=H","UseDPDF=Y")</f>
        <v>#NAME?</v>
      </c>
      <c r="H104" s="14" t="e">
        <f ca="1">_xll.BDH("ANSS US Equity","BGEI_INCLSVE_CULTRE_SCORE","FY 2014","FY 2014","Currency=USD","Period=FY","BEST_FPERIOD_OVERRIDE=FY","FILING_STATUS=MR","Sort=A","Dates=H","DateFormat=P","Fill=—","Direction=H","UseDPDF=Y")</f>
        <v>#NAME?</v>
      </c>
      <c r="I104" s="14" t="e">
        <f ca="1">_xll.BDH("ANSS US Equity","BGEI_INCLSVE_CULTRE_SCORE","FY 2015","FY 2015","Currency=USD","Period=FY","BEST_FPERIOD_OVERRIDE=FY","FILING_STATUS=MR","Sort=A","Dates=H","DateFormat=P","Fill=—","Direction=H","UseDPDF=Y")</f>
        <v>#NAME?</v>
      </c>
      <c r="J104" s="14" t="e">
        <f ca="1">_xll.BDH("ANSS US Equity","BGEI_INCLSVE_CULTRE_SCORE","FY 2016","FY 2016","Currency=USD","Period=FY","BEST_FPERIOD_OVERRIDE=FY","FILING_STATUS=MR","Sort=A","Dates=H","DateFormat=P","Fill=—","Direction=H","UseDPDF=Y")</f>
        <v>#NAME?</v>
      </c>
      <c r="K104" s="14" t="e">
        <f ca="1">_xll.BDH("ANSS US Equity","BGEI_INCLSVE_CULTRE_SCORE","FY 2017","FY 2017","Currency=USD","Period=FY","BEST_FPERIOD_OVERRIDE=FY","FILING_STATUS=MR","Sort=A","Dates=H","DateFormat=P","Fill=—","Direction=H","UseDPDF=Y")</f>
        <v>#NAME?</v>
      </c>
      <c r="L104" s="14" t="e">
        <f ca="1">_xll.BDH("ANSS US Equity","BGEI_INCLSVE_CULTRE_SCORE","FY 2018","FY 2018","Currency=USD","Period=FY","BEST_FPERIOD_OVERRIDE=FY","FILING_STATUS=MR","Sort=A","Dates=H","DateFormat=P","Fill=—","Direction=H","UseDPDF=Y")</f>
        <v>#NAME?</v>
      </c>
      <c r="M104" s="14" t="e">
        <f ca="1">_xll.BDH("ANSS US Equity","BGEI_INCLSVE_CULTRE_SCORE","FY 2019","FY 2019","Currency=USD","Period=FY","BEST_FPERIOD_OVERRIDE=FY","FILING_STATUS=MR","Sort=A","Dates=H","DateFormat=P","Fill=—","Direction=H","UseDPDF=Y")</f>
        <v>#NAME?</v>
      </c>
      <c r="N104" s="14" t="e">
        <f ca="1">_xll.BDH("ANSS US Equity","BGEI_INCLSVE_CULTRE_SCORE","FY 2020","FY 2020","Currency=USD","Period=FY","BEST_FPERIOD_OVERRIDE=FY","FILING_STATUS=MR","Sort=A","Dates=H","DateFormat=P","Fill=—","Direction=H","UseDPDF=Y")</f>
        <v>#NAME?</v>
      </c>
      <c r="O104" s="14" t="e">
        <f ca="1">_xll.BDH("ANSS US Equity","BGEI_INCLSVE_CULTRE_SCORE","FY 2021","FY 2021","Currency=USD","Period=FY","BEST_FPERIOD_OVERRIDE=FY","FILING_STATUS=MR","Sort=A","Dates=H","DateFormat=P","Fill=—","Direction=H","UseDPDF=Y")</f>
        <v>#NAME?</v>
      </c>
      <c r="P104" s="14" t="e">
        <f ca="1">_xll.BDH("ANSS US Equity","BGEI_INCLSVE_CULTRE_SCORE","FY 2022","FY 2022","Currency=USD","Period=FY","BEST_FPERIOD_OVERRIDE=FY","FILING_STATUS=MR","Sort=A","Dates=H","DateFormat=P","Fill=—","Direction=H","UseDPDF=Y")</f>
        <v>#NAME?</v>
      </c>
      <c r="Q104" s="14" t="e">
        <f ca="1">_xll.BDH("ANSS US Equity","BGEI_INCLSVE_CULTRE_SCORE","FY 2023","FY 2023","Currency=USD","Period=FY","BEST_FPERIOD_OVERRIDE=FY","FILING_STATUS=MR","Sort=A","Dates=H","DateFormat=P","Fill=—","Direction=H","UseDPDF=Y")</f>
        <v>#NAME?</v>
      </c>
    </row>
    <row r="105" spans="1:17" x14ac:dyDescent="0.45">
      <c r="A105" s="10" t="s">
        <v>947</v>
      </c>
      <c r="B105" s="10" t="s">
        <v>948</v>
      </c>
      <c r="C105" s="14" t="e">
        <f ca="1">_xll.BDH("ANSS US Equity","BGEI_SEXL_HARSSMNT_PLCY_SCORE","FY 2009","FY 2009","Currency=USD","Period=FY","BEST_FPERIOD_OVERRIDE=FY","FILING_STATUS=MR","Sort=A","Dates=H","DateFormat=P","Fill=—","Direction=H","UseDPDF=Y")</f>
        <v>#NAME?</v>
      </c>
      <c r="D105" s="14" t="e">
        <f ca="1">_xll.BDH("ANSS US Equity","BGEI_SEXL_HARSSMNT_PLCY_SCORE","FY 2010","FY 2010","Currency=USD","Period=FY","BEST_FPERIOD_OVERRIDE=FY","FILING_STATUS=MR","Sort=A","Dates=H","DateFormat=P","Fill=—","Direction=H","UseDPDF=Y")</f>
        <v>#NAME?</v>
      </c>
      <c r="E105" s="14" t="e">
        <f ca="1">_xll.BDH("ANSS US Equity","BGEI_SEXL_HARSSMNT_PLCY_SCORE","FY 2011","FY 2011","Currency=USD","Period=FY","BEST_FPERIOD_OVERRIDE=FY","FILING_STATUS=MR","Sort=A","Dates=H","DateFormat=P","Fill=—","Direction=H","UseDPDF=Y")</f>
        <v>#NAME?</v>
      </c>
      <c r="F105" s="14" t="e">
        <f ca="1">_xll.BDH("ANSS US Equity","BGEI_SEXL_HARSSMNT_PLCY_SCORE","FY 2012","FY 2012","Currency=USD","Period=FY","BEST_FPERIOD_OVERRIDE=FY","FILING_STATUS=MR","Sort=A","Dates=H","DateFormat=P","Fill=—","Direction=H","UseDPDF=Y")</f>
        <v>#NAME?</v>
      </c>
      <c r="G105" s="14" t="e">
        <f ca="1">_xll.BDH("ANSS US Equity","BGEI_SEXL_HARSSMNT_PLCY_SCORE","FY 2013","FY 2013","Currency=USD","Period=FY","BEST_FPERIOD_OVERRIDE=FY","FILING_STATUS=MR","Sort=A","Dates=H","DateFormat=P","Fill=—","Direction=H","UseDPDF=Y")</f>
        <v>#NAME?</v>
      </c>
      <c r="H105" s="14" t="e">
        <f ca="1">_xll.BDH("ANSS US Equity","BGEI_SEXL_HARSSMNT_PLCY_SCORE","FY 2014","FY 2014","Currency=USD","Period=FY","BEST_FPERIOD_OVERRIDE=FY","FILING_STATUS=MR","Sort=A","Dates=H","DateFormat=P","Fill=—","Direction=H","UseDPDF=Y")</f>
        <v>#NAME?</v>
      </c>
      <c r="I105" s="14" t="e">
        <f ca="1">_xll.BDH("ANSS US Equity","BGEI_SEXL_HARSSMNT_PLCY_SCORE","FY 2015","FY 2015","Currency=USD","Period=FY","BEST_FPERIOD_OVERRIDE=FY","FILING_STATUS=MR","Sort=A","Dates=H","DateFormat=P","Fill=—","Direction=H","UseDPDF=Y")</f>
        <v>#NAME?</v>
      </c>
      <c r="J105" s="14" t="e">
        <f ca="1">_xll.BDH("ANSS US Equity","BGEI_SEXL_HARSSMNT_PLCY_SCORE","FY 2016","FY 2016","Currency=USD","Period=FY","BEST_FPERIOD_OVERRIDE=FY","FILING_STATUS=MR","Sort=A","Dates=H","DateFormat=P","Fill=—","Direction=H","UseDPDF=Y")</f>
        <v>#NAME?</v>
      </c>
      <c r="K105" s="14" t="e">
        <f ca="1">_xll.BDH("ANSS US Equity","BGEI_SEXL_HARSSMNT_PLCY_SCORE","FY 2017","FY 2017","Currency=USD","Period=FY","BEST_FPERIOD_OVERRIDE=FY","FILING_STATUS=MR","Sort=A","Dates=H","DateFormat=P","Fill=—","Direction=H","UseDPDF=Y")</f>
        <v>#NAME?</v>
      </c>
      <c r="L105" s="14" t="e">
        <f ca="1">_xll.BDH("ANSS US Equity","BGEI_SEXL_HARSSMNT_PLCY_SCORE","FY 2018","FY 2018","Currency=USD","Period=FY","BEST_FPERIOD_OVERRIDE=FY","FILING_STATUS=MR","Sort=A","Dates=H","DateFormat=P","Fill=—","Direction=H","UseDPDF=Y")</f>
        <v>#NAME?</v>
      </c>
      <c r="M105" s="14" t="e">
        <f ca="1">_xll.BDH("ANSS US Equity","BGEI_SEXL_HARSSMNT_PLCY_SCORE","FY 2019","FY 2019","Currency=USD","Period=FY","BEST_FPERIOD_OVERRIDE=FY","FILING_STATUS=MR","Sort=A","Dates=H","DateFormat=P","Fill=—","Direction=H","UseDPDF=Y")</f>
        <v>#NAME?</v>
      </c>
      <c r="N105" s="14" t="e">
        <f ca="1">_xll.BDH("ANSS US Equity","BGEI_SEXL_HARSSMNT_PLCY_SCORE","FY 2020","FY 2020","Currency=USD","Period=FY","BEST_FPERIOD_OVERRIDE=FY","FILING_STATUS=MR","Sort=A","Dates=H","DateFormat=P","Fill=—","Direction=H","UseDPDF=Y")</f>
        <v>#NAME?</v>
      </c>
      <c r="O105" s="14" t="e">
        <f ca="1">_xll.BDH("ANSS US Equity","BGEI_SEXL_HARSSMNT_PLCY_SCORE","FY 2021","FY 2021","Currency=USD","Period=FY","BEST_FPERIOD_OVERRIDE=FY","FILING_STATUS=MR","Sort=A","Dates=H","DateFormat=P","Fill=—","Direction=H","UseDPDF=Y")</f>
        <v>#NAME?</v>
      </c>
      <c r="P105" s="14" t="e">
        <f ca="1">_xll.BDH("ANSS US Equity","BGEI_SEXL_HARSSMNT_PLCY_SCORE","FY 2022","FY 2022","Currency=USD","Period=FY","BEST_FPERIOD_OVERRIDE=FY","FILING_STATUS=MR","Sort=A","Dates=H","DateFormat=P","Fill=—","Direction=H","UseDPDF=Y")</f>
        <v>#NAME?</v>
      </c>
      <c r="Q105" s="14" t="e">
        <f ca="1">_xll.BDH("ANSS US Equity","BGEI_SEXL_HARSSMNT_PLCY_SCORE","FY 2023","FY 2023","Currency=USD","Period=FY","BEST_FPERIOD_OVERRIDE=FY","FILING_STATUS=MR","Sort=A","Dates=H","DateFormat=P","Fill=—","Direction=H","UseDPDF=Y")</f>
        <v>#NAME?</v>
      </c>
    </row>
    <row r="106" spans="1:17" x14ac:dyDescent="0.45">
      <c r="A106" s="10" t="s">
        <v>949</v>
      </c>
      <c r="B106" s="10" t="s">
        <v>950</v>
      </c>
      <c r="C106" s="14" t="e">
        <f ca="1">_xll.BDH("ANSS US Equity","BGEI_EXTERNAL_BRAND_SCORE","FY 2009","FY 2009","Currency=USD","Period=FY","BEST_FPERIOD_OVERRIDE=FY","FILING_STATUS=MR","Sort=A","Dates=H","DateFormat=P","Fill=—","Direction=H","UseDPDF=Y")</f>
        <v>#NAME?</v>
      </c>
      <c r="D106" s="14" t="e">
        <f ca="1">_xll.BDH("ANSS US Equity","BGEI_EXTERNAL_BRAND_SCORE","FY 2010","FY 2010","Currency=USD","Period=FY","BEST_FPERIOD_OVERRIDE=FY","FILING_STATUS=MR","Sort=A","Dates=H","DateFormat=P","Fill=—","Direction=H","UseDPDF=Y")</f>
        <v>#NAME?</v>
      </c>
      <c r="E106" s="14" t="e">
        <f ca="1">_xll.BDH("ANSS US Equity","BGEI_EXTERNAL_BRAND_SCORE","FY 2011","FY 2011","Currency=USD","Period=FY","BEST_FPERIOD_OVERRIDE=FY","FILING_STATUS=MR","Sort=A","Dates=H","DateFormat=P","Fill=—","Direction=H","UseDPDF=Y")</f>
        <v>#NAME?</v>
      </c>
      <c r="F106" s="14" t="e">
        <f ca="1">_xll.BDH("ANSS US Equity","BGEI_EXTERNAL_BRAND_SCORE","FY 2012","FY 2012","Currency=USD","Period=FY","BEST_FPERIOD_OVERRIDE=FY","FILING_STATUS=MR","Sort=A","Dates=H","DateFormat=P","Fill=—","Direction=H","UseDPDF=Y")</f>
        <v>#NAME?</v>
      </c>
      <c r="G106" s="14" t="e">
        <f ca="1">_xll.BDH("ANSS US Equity","BGEI_EXTERNAL_BRAND_SCORE","FY 2013","FY 2013","Currency=USD","Period=FY","BEST_FPERIOD_OVERRIDE=FY","FILING_STATUS=MR","Sort=A","Dates=H","DateFormat=P","Fill=—","Direction=H","UseDPDF=Y")</f>
        <v>#NAME?</v>
      </c>
      <c r="H106" s="14" t="e">
        <f ca="1">_xll.BDH("ANSS US Equity","BGEI_EXTERNAL_BRAND_SCORE","FY 2014","FY 2014","Currency=USD","Period=FY","BEST_FPERIOD_OVERRIDE=FY","FILING_STATUS=MR","Sort=A","Dates=H","DateFormat=P","Fill=—","Direction=H","UseDPDF=Y")</f>
        <v>#NAME?</v>
      </c>
      <c r="I106" s="14" t="e">
        <f ca="1">_xll.BDH("ANSS US Equity","BGEI_EXTERNAL_BRAND_SCORE","FY 2015","FY 2015","Currency=USD","Period=FY","BEST_FPERIOD_OVERRIDE=FY","FILING_STATUS=MR","Sort=A","Dates=H","DateFormat=P","Fill=—","Direction=H","UseDPDF=Y")</f>
        <v>#NAME?</v>
      </c>
      <c r="J106" s="14" t="e">
        <f ca="1">_xll.BDH("ANSS US Equity","BGEI_EXTERNAL_BRAND_SCORE","FY 2016","FY 2016","Currency=USD","Period=FY","BEST_FPERIOD_OVERRIDE=FY","FILING_STATUS=MR","Sort=A","Dates=H","DateFormat=P","Fill=—","Direction=H","UseDPDF=Y")</f>
        <v>#NAME?</v>
      </c>
      <c r="K106" s="14" t="e">
        <f ca="1">_xll.BDH("ANSS US Equity","BGEI_EXTERNAL_BRAND_SCORE","FY 2017","FY 2017","Currency=USD","Period=FY","BEST_FPERIOD_OVERRIDE=FY","FILING_STATUS=MR","Sort=A","Dates=H","DateFormat=P","Fill=—","Direction=H","UseDPDF=Y")</f>
        <v>#NAME?</v>
      </c>
      <c r="L106" s="14" t="e">
        <f ca="1">_xll.BDH("ANSS US Equity","BGEI_EXTERNAL_BRAND_SCORE","FY 2018","FY 2018","Currency=USD","Period=FY","BEST_FPERIOD_OVERRIDE=FY","FILING_STATUS=MR","Sort=A","Dates=H","DateFormat=P","Fill=—","Direction=H","UseDPDF=Y")</f>
        <v>#NAME?</v>
      </c>
      <c r="M106" s="14" t="e">
        <f ca="1">_xll.BDH("ANSS US Equity","BGEI_EXTERNAL_BRAND_SCORE","FY 2019","FY 2019","Currency=USD","Period=FY","BEST_FPERIOD_OVERRIDE=FY","FILING_STATUS=MR","Sort=A","Dates=H","DateFormat=P","Fill=—","Direction=H","UseDPDF=Y")</f>
        <v>#NAME?</v>
      </c>
      <c r="N106" s="14" t="e">
        <f ca="1">_xll.BDH("ANSS US Equity","BGEI_EXTERNAL_BRAND_SCORE","FY 2020","FY 2020","Currency=USD","Period=FY","BEST_FPERIOD_OVERRIDE=FY","FILING_STATUS=MR","Sort=A","Dates=H","DateFormat=P","Fill=—","Direction=H","UseDPDF=Y")</f>
        <v>#NAME?</v>
      </c>
      <c r="O106" s="14" t="e">
        <f ca="1">_xll.BDH("ANSS US Equity","BGEI_EXTERNAL_BRAND_SCORE","FY 2021","FY 2021","Currency=USD","Period=FY","BEST_FPERIOD_OVERRIDE=FY","FILING_STATUS=MR","Sort=A","Dates=H","DateFormat=P","Fill=—","Direction=H","UseDPDF=Y")</f>
        <v>#NAME?</v>
      </c>
      <c r="P106" s="14" t="e">
        <f ca="1">_xll.BDH("ANSS US Equity","BGEI_EXTERNAL_BRAND_SCORE","FY 2022","FY 2022","Currency=USD","Period=FY","BEST_FPERIOD_OVERRIDE=FY","FILING_STATUS=MR","Sort=A","Dates=H","DateFormat=P","Fill=—","Direction=H","UseDPDF=Y")</f>
        <v>#NAME?</v>
      </c>
      <c r="Q106" s="14" t="e">
        <f ca="1">_xll.BDH("ANSS US Equity","BGEI_EXTERNAL_BRAND_SCORE","FY 2023","FY 2023","Currency=USD","Period=FY","BEST_FPERIOD_OVERRIDE=FY","FILING_STATUS=MR","Sort=A","Dates=H","DateFormat=P","Fill=—","Direction=H","UseDPDF=Y")</f>
        <v>#NAME?</v>
      </c>
    </row>
    <row r="107" spans="1:17" x14ac:dyDescent="0.45">
      <c r="A107" s="1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1:17" x14ac:dyDescent="0.45">
      <c r="A108" s="10" t="s">
        <v>951</v>
      </c>
      <c r="B108" s="10" t="s">
        <v>952</v>
      </c>
      <c r="C108" s="14" t="e">
        <f ca="1">_xll.BDH("ANSS US Equity","PCT_WOMEN_IN_REV_PRODUCING_ROLES","FY 2009","FY 2009","Currency=USD","Period=FY","BEST_FPERIOD_OVERRIDE=FY","FILING_STATUS=MR","Sort=A","Dates=H","DateFormat=P","Fill=—","Direction=H","UseDPDF=Y")</f>
        <v>#NAME?</v>
      </c>
      <c r="D108" s="14" t="e">
        <f ca="1">_xll.BDH("ANSS US Equity","PCT_WOMEN_IN_REV_PRODUCING_ROLES","FY 2010","FY 2010","Currency=USD","Period=FY","BEST_FPERIOD_OVERRIDE=FY","FILING_STATUS=MR","Sort=A","Dates=H","DateFormat=P","Fill=—","Direction=H","UseDPDF=Y")</f>
        <v>#NAME?</v>
      </c>
      <c r="E108" s="14" t="e">
        <f ca="1">_xll.BDH("ANSS US Equity","PCT_WOMEN_IN_REV_PRODUCING_ROLES","FY 2011","FY 2011","Currency=USD","Period=FY","BEST_FPERIOD_OVERRIDE=FY","FILING_STATUS=MR","Sort=A","Dates=H","DateFormat=P","Fill=—","Direction=H","UseDPDF=Y")</f>
        <v>#NAME?</v>
      </c>
      <c r="F108" s="14" t="e">
        <f ca="1">_xll.BDH("ANSS US Equity","PCT_WOMEN_IN_REV_PRODUCING_ROLES","FY 2012","FY 2012","Currency=USD","Period=FY","BEST_FPERIOD_OVERRIDE=FY","FILING_STATUS=MR","Sort=A","Dates=H","DateFormat=P","Fill=—","Direction=H","UseDPDF=Y")</f>
        <v>#NAME?</v>
      </c>
      <c r="G108" s="14" t="e">
        <f ca="1">_xll.BDH("ANSS US Equity","PCT_WOMEN_IN_REV_PRODUCING_ROLES","FY 2013","FY 2013","Currency=USD","Period=FY","BEST_FPERIOD_OVERRIDE=FY","FILING_STATUS=MR","Sort=A","Dates=H","DateFormat=P","Fill=—","Direction=H","UseDPDF=Y")</f>
        <v>#NAME?</v>
      </c>
      <c r="H108" s="14" t="e">
        <f ca="1">_xll.BDH("ANSS US Equity","PCT_WOMEN_IN_REV_PRODUCING_ROLES","FY 2014","FY 2014","Currency=USD","Period=FY","BEST_FPERIOD_OVERRIDE=FY","FILING_STATUS=MR","Sort=A","Dates=H","DateFormat=P","Fill=—","Direction=H","UseDPDF=Y")</f>
        <v>#NAME?</v>
      </c>
      <c r="I108" s="14" t="e">
        <f ca="1">_xll.BDH("ANSS US Equity","PCT_WOMEN_IN_REV_PRODUCING_ROLES","FY 2015","FY 2015","Currency=USD","Period=FY","BEST_FPERIOD_OVERRIDE=FY","FILING_STATUS=MR","Sort=A","Dates=H","DateFormat=P","Fill=—","Direction=H","UseDPDF=Y")</f>
        <v>#NAME?</v>
      </c>
      <c r="J108" s="14" t="e">
        <f ca="1">_xll.BDH("ANSS US Equity","PCT_WOMEN_IN_REV_PRODUCING_ROLES","FY 2016","FY 2016","Currency=USD","Period=FY","BEST_FPERIOD_OVERRIDE=FY","FILING_STATUS=MR","Sort=A","Dates=H","DateFormat=P","Fill=—","Direction=H","UseDPDF=Y")</f>
        <v>#NAME?</v>
      </c>
      <c r="K108" s="14" t="e">
        <f ca="1">_xll.BDH("ANSS US Equity","PCT_WOMEN_IN_REV_PRODUCING_ROLES","FY 2017","FY 2017","Currency=USD","Period=FY","BEST_FPERIOD_OVERRIDE=FY","FILING_STATUS=MR","Sort=A","Dates=H","DateFormat=P","Fill=—","Direction=H","UseDPDF=Y")</f>
        <v>#NAME?</v>
      </c>
      <c r="L108" s="14" t="e">
        <f ca="1">_xll.BDH("ANSS US Equity","PCT_WOMEN_IN_REV_PRODUCING_ROLES","FY 2018","FY 2018","Currency=USD","Period=FY","BEST_FPERIOD_OVERRIDE=FY","FILING_STATUS=MR","Sort=A","Dates=H","DateFormat=P","Fill=—","Direction=H","UseDPDF=Y")</f>
        <v>#NAME?</v>
      </c>
      <c r="M108" s="14" t="e">
        <f ca="1">_xll.BDH("ANSS US Equity","PCT_WOMEN_IN_REV_PRODUCING_ROLES","FY 2019","FY 2019","Currency=USD","Period=FY","BEST_FPERIOD_OVERRIDE=FY","FILING_STATUS=MR","Sort=A","Dates=H","DateFormat=P","Fill=—","Direction=H","UseDPDF=Y")</f>
        <v>#NAME?</v>
      </c>
      <c r="N108" s="14" t="e">
        <f ca="1">_xll.BDH("ANSS US Equity","PCT_WOMEN_IN_REV_PRODUCING_ROLES","FY 2020","FY 2020","Currency=USD","Period=FY","BEST_FPERIOD_OVERRIDE=FY","FILING_STATUS=MR","Sort=A","Dates=H","DateFormat=P","Fill=—","Direction=H","UseDPDF=Y")</f>
        <v>#NAME?</v>
      </c>
      <c r="O108" s="14" t="e">
        <f ca="1">_xll.BDH("ANSS US Equity","PCT_WOMEN_IN_REV_PRODUCING_ROLES","FY 2021","FY 2021","Currency=USD","Period=FY","BEST_FPERIOD_OVERRIDE=FY","FILING_STATUS=MR","Sort=A","Dates=H","DateFormat=P","Fill=—","Direction=H","UseDPDF=Y")</f>
        <v>#NAME?</v>
      </c>
      <c r="P108" s="14" t="e">
        <f ca="1">_xll.BDH("ANSS US Equity","PCT_WOMEN_IN_REV_PRODUCING_ROLES","FY 2022","FY 2022","Currency=USD","Period=FY","BEST_FPERIOD_OVERRIDE=FY","FILING_STATUS=MR","Sort=A","Dates=H","DateFormat=P","Fill=—","Direction=H","UseDPDF=Y")</f>
        <v>#NAME?</v>
      </c>
      <c r="Q108" s="14" t="e">
        <f ca="1">_xll.BDH("ANSS US Equity","PCT_WOMEN_IN_REV_PRODUCING_ROLES","FY 2023","FY 2023","Currency=USD","Period=FY","BEST_FPERIOD_OVERRIDE=FY","FILING_STATUS=MR","Sort=A","Dates=H","DateFormat=P","Fill=—","Direction=H","UseDPDF=Y")</f>
        <v>#NAME?</v>
      </c>
    </row>
    <row r="109" spans="1:17" x14ac:dyDescent="0.45">
      <c r="A109" s="10" t="s">
        <v>953</v>
      </c>
      <c r="B109" s="10" t="s">
        <v>954</v>
      </c>
      <c r="C109" s="12" t="s">
        <v>683</v>
      </c>
      <c r="D109" s="12" t="s">
        <v>683</v>
      </c>
      <c r="E109" s="12" t="s">
        <v>683</v>
      </c>
      <c r="F109" s="12" t="s">
        <v>683</v>
      </c>
      <c r="G109" s="12" t="s">
        <v>683</v>
      </c>
      <c r="H109" s="12" t="s">
        <v>683</v>
      </c>
      <c r="I109" s="12" t="s">
        <v>683</v>
      </c>
      <c r="J109" s="12" t="s">
        <v>683</v>
      </c>
      <c r="K109" s="12" t="s">
        <v>683</v>
      </c>
      <c r="L109" s="12" t="s">
        <v>683</v>
      </c>
      <c r="M109" s="12" t="s">
        <v>687</v>
      </c>
      <c r="N109" s="12" t="s">
        <v>683</v>
      </c>
      <c r="O109" s="12" t="s">
        <v>683</v>
      </c>
      <c r="P109" s="12" t="s">
        <v>683</v>
      </c>
      <c r="Q109" s="12" t="s">
        <v>683</v>
      </c>
    </row>
    <row r="110" spans="1:17" x14ac:dyDescent="0.45">
      <c r="A110" s="10" t="s">
        <v>955</v>
      </c>
      <c r="B110" s="10" t="s">
        <v>956</v>
      </c>
      <c r="C110" s="14" t="e">
        <f ca="1">_xll.BDH("ANSS US Equity","PCT_US_EMPLYEE_BASE_FEMLE","FY 2009","FY 2009","Currency=USD","Period=FY","BEST_FPERIOD_OVERRIDE=FY","FILING_STATUS=MR","Sort=A","Dates=H","DateFormat=P","Fill=—","Direction=H","UseDPDF=Y")</f>
        <v>#NAME?</v>
      </c>
      <c r="D110" s="14" t="e">
        <f ca="1">_xll.BDH("ANSS US Equity","PCT_US_EMPLYEE_BASE_FEMLE","FY 2010","FY 2010","Currency=USD","Period=FY","BEST_FPERIOD_OVERRIDE=FY","FILING_STATUS=MR","Sort=A","Dates=H","DateFormat=P","Fill=—","Direction=H","UseDPDF=Y")</f>
        <v>#NAME?</v>
      </c>
      <c r="E110" s="14" t="e">
        <f ca="1">_xll.BDH("ANSS US Equity","PCT_US_EMPLYEE_BASE_FEMLE","FY 2011","FY 2011","Currency=USD","Period=FY","BEST_FPERIOD_OVERRIDE=FY","FILING_STATUS=MR","Sort=A","Dates=H","DateFormat=P","Fill=—","Direction=H","UseDPDF=Y")</f>
        <v>#NAME?</v>
      </c>
      <c r="F110" s="14" t="e">
        <f ca="1">_xll.BDH("ANSS US Equity","PCT_US_EMPLYEE_BASE_FEMLE","FY 2012","FY 2012","Currency=USD","Period=FY","BEST_FPERIOD_OVERRIDE=FY","FILING_STATUS=MR","Sort=A","Dates=H","DateFormat=P","Fill=—","Direction=H","UseDPDF=Y")</f>
        <v>#NAME?</v>
      </c>
      <c r="G110" s="14" t="e">
        <f ca="1">_xll.BDH("ANSS US Equity","PCT_US_EMPLYEE_BASE_FEMLE","FY 2013","FY 2013","Currency=USD","Period=FY","BEST_FPERIOD_OVERRIDE=FY","FILING_STATUS=MR","Sort=A","Dates=H","DateFormat=P","Fill=—","Direction=H","UseDPDF=Y")</f>
        <v>#NAME?</v>
      </c>
      <c r="H110" s="14" t="e">
        <f ca="1">_xll.BDH("ANSS US Equity","PCT_US_EMPLYEE_BASE_FEMLE","FY 2014","FY 2014","Currency=USD","Period=FY","BEST_FPERIOD_OVERRIDE=FY","FILING_STATUS=MR","Sort=A","Dates=H","DateFormat=P","Fill=—","Direction=H","UseDPDF=Y")</f>
        <v>#NAME?</v>
      </c>
      <c r="I110" s="14" t="e">
        <f ca="1">_xll.BDH("ANSS US Equity","PCT_US_EMPLYEE_BASE_FEMLE","FY 2015","FY 2015","Currency=USD","Period=FY","BEST_FPERIOD_OVERRIDE=FY","FILING_STATUS=MR","Sort=A","Dates=H","DateFormat=P","Fill=—","Direction=H","UseDPDF=Y")</f>
        <v>#NAME?</v>
      </c>
      <c r="J110" s="14" t="e">
        <f ca="1">_xll.BDH("ANSS US Equity","PCT_US_EMPLYEE_BASE_FEMLE","FY 2016","FY 2016","Currency=USD","Period=FY","BEST_FPERIOD_OVERRIDE=FY","FILING_STATUS=MR","Sort=A","Dates=H","DateFormat=P","Fill=—","Direction=H","UseDPDF=Y")</f>
        <v>#NAME?</v>
      </c>
      <c r="K110" s="14" t="e">
        <f ca="1">_xll.BDH("ANSS US Equity","PCT_US_EMPLYEE_BASE_FEMLE","FY 2017","FY 2017","Currency=USD","Period=FY","BEST_FPERIOD_OVERRIDE=FY","FILING_STATUS=MR","Sort=A","Dates=H","DateFormat=P","Fill=—","Direction=H","UseDPDF=Y")</f>
        <v>#NAME?</v>
      </c>
      <c r="L110" s="14" t="e">
        <f ca="1">_xll.BDH("ANSS US Equity","PCT_US_EMPLYEE_BASE_FEMLE","FY 2018","FY 2018","Currency=USD","Period=FY","BEST_FPERIOD_OVERRIDE=FY","FILING_STATUS=MR","Sort=A","Dates=H","DateFormat=P","Fill=—","Direction=H","UseDPDF=Y")</f>
        <v>#NAME?</v>
      </c>
      <c r="M110" s="14" t="e">
        <f ca="1">_xll.BDH("ANSS US Equity","PCT_US_EMPLYEE_BASE_FEMLE","FY 2019","FY 2019","Currency=USD","Period=FY","BEST_FPERIOD_OVERRIDE=FY","FILING_STATUS=MR","Sort=A","Dates=H","DateFormat=P","Fill=—","Direction=H","UseDPDF=Y")</f>
        <v>#NAME?</v>
      </c>
      <c r="N110" s="14" t="e">
        <f ca="1">_xll.BDH("ANSS US Equity","PCT_US_EMPLYEE_BASE_FEMLE","FY 2020","FY 2020","Currency=USD","Period=FY","BEST_FPERIOD_OVERRIDE=FY","FILING_STATUS=MR","Sort=A","Dates=H","DateFormat=P","Fill=—","Direction=H","UseDPDF=Y")</f>
        <v>#NAME?</v>
      </c>
      <c r="O110" s="14" t="e">
        <f ca="1">_xll.BDH("ANSS US Equity","PCT_US_EMPLYEE_BASE_FEMLE","FY 2021","FY 2021","Currency=USD","Period=FY","BEST_FPERIOD_OVERRIDE=FY","FILING_STATUS=MR","Sort=A","Dates=H","DateFormat=P","Fill=—","Direction=H","UseDPDF=Y")</f>
        <v>#NAME?</v>
      </c>
      <c r="P110" s="14" t="e">
        <f ca="1">_xll.BDH("ANSS US Equity","PCT_US_EMPLYEE_BASE_FEMLE","FY 2022","FY 2022","Currency=USD","Period=FY","BEST_FPERIOD_OVERRIDE=FY","FILING_STATUS=MR","Sort=A","Dates=H","DateFormat=P","Fill=—","Direction=H","UseDPDF=Y")</f>
        <v>#NAME?</v>
      </c>
      <c r="Q110" s="14" t="e">
        <f ca="1">_xll.BDH("ANSS US Equity","PCT_US_EMPLYEE_BASE_FEMLE","FY 2023","FY 2023","Currency=USD","Period=FY","BEST_FPERIOD_OVERRIDE=FY","FILING_STATUS=MR","Sort=A","Dates=H","DateFormat=P","Fill=—","Direction=H","UseDPDF=Y")</f>
        <v>#NAME?</v>
      </c>
    </row>
    <row r="111" spans="1:17" x14ac:dyDescent="0.45">
      <c r="A111" s="10" t="s">
        <v>957</v>
      </c>
      <c r="B111" s="10" t="s">
        <v>958</v>
      </c>
      <c r="C111" s="12" t="s">
        <v>683</v>
      </c>
      <c r="D111" s="12" t="s">
        <v>683</v>
      </c>
      <c r="E111" s="12" t="s">
        <v>683</v>
      </c>
      <c r="F111" s="12" t="s">
        <v>683</v>
      </c>
      <c r="G111" s="12" t="s">
        <v>683</v>
      </c>
      <c r="H111" s="12" t="s">
        <v>683</v>
      </c>
      <c r="I111" s="12" t="s">
        <v>683</v>
      </c>
      <c r="J111" s="12" t="s">
        <v>683</v>
      </c>
      <c r="K111" s="12" t="s">
        <v>683</v>
      </c>
      <c r="L111" s="12" t="s">
        <v>683</v>
      </c>
      <c r="M111" s="12" t="s">
        <v>684</v>
      </c>
      <c r="N111" s="12" t="s">
        <v>683</v>
      </c>
      <c r="O111" s="12" t="s">
        <v>683</v>
      </c>
      <c r="P111" s="12" t="s">
        <v>683</v>
      </c>
      <c r="Q111" s="12" t="s">
        <v>683</v>
      </c>
    </row>
    <row r="112" spans="1:17" x14ac:dyDescent="0.45">
      <c r="A112" s="1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1:17" x14ac:dyDescent="0.45">
      <c r="A113" s="1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1:17" x14ac:dyDescent="0.45">
      <c r="A114" s="10" t="s">
        <v>959</v>
      </c>
      <c r="B114" s="10" t="s">
        <v>960</v>
      </c>
      <c r="C114" s="14" t="e">
        <f ca="1">_xll.BDH("ANSS US Equity","NUM_WEEKS_PD_MATERNITY_LEAVE_US","FY 2009","FY 2009","Currency=USD","Period=FY","BEST_FPERIOD_OVERRIDE=FY","FILING_STATUS=MR","Sort=A","Dates=H","DateFormat=P","Fill=—","Direction=H","UseDPDF=Y")</f>
        <v>#NAME?</v>
      </c>
      <c r="D114" s="14" t="e">
        <f ca="1">_xll.BDH("ANSS US Equity","NUM_WEEKS_PD_MATERNITY_LEAVE_US","FY 2010","FY 2010","Currency=USD","Period=FY","BEST_FPERIOD_OVERRIDE=FY","FILING_STATUS=MR","Sort=A","Dates=H","DateFormat=P","Fill=—","Direction=H","UseDPDF=Y")</f>
        <v>#NAME?</v>
      </c>
      <c r="E114" s="14" t="e">
        <f ca="1">_xll.BDH("ANSS US Equity","NUM_WEEKS_PD_MATERNITY_LEAVE_US","FY 2011","FY 2011","Currency=USD","Period=FY","BEST_FPERIOD_OVERRIDE=FY","FILING_STATUS=MR","Sort=A","Dates=H","DateFormat=P","Fill=—","Direction=H","UseDPDF=Y")</f>
        <v>#NAME?</v>
      </c>
      <c r="F114" s="14" t="e">
        <f ca="1">_xll.BDH("ANSS US Equity","NUM_WEEKS_PD_MATERNITY_LEAVE_US","FY 2012","FY 2012","Currency=USD","Period=FY","BEST_FPERIOD_OVERRIDE=FY","FILING_STATUS=MR","Sort=A","Dates=H","DateFormat=P","Fill=—","Direction=H","UseDPDF=Y")</f>
        <v>#NAME?</v>
      </c>
      <c r="G114" s="14" t="e">
        <f ca="1">_xll.BDH("ANSS US Equity","NUM_WEEKS_PD_MATERNITY_LEAVE_US","FY 2013","FY 2013","Currency=USD","Period=FY","BEST_FPERIOD_OVERRIDE=FY","FILING_STATUS=MR","Sort=A","Dates=H","DateFormat=P","Fill=—","Direction=H","UseDPDF=Y")</f>
        <v>#NAME?</v>
      </c>
      <c r="H114" s="14" t="e">
        <f ca="1">_xll.BDH("ANSS US Equity","NUM_WEEKS_PD_MATERNITY_LEAVE_US","FY 2014","FY 2014","Currency=USD","Period=FY","BEST_FPERIOD_OVERRIDE=FY","FILING_STATUS=MR","Sort=A","Dates=H","DateFormat=P","Fill=—","Direction=H","UseDPDF=Y")</f>
        <v>#NAME?</v>
      </c>
      <c r="I114" s="14" t="e">
        <f ca="1">_xll.BDH("ANSS US Equity","NUM_WEEKS_PD_MATERNITY_LEAVE_US","FY 2015","FY 2015","Currency=USD","Period=FY","BEST_FPERIOD_OVERRIDE=FY","FILING_STATUS=MR","Sort=A","Dates=H","DateFormat=P","Fill=—","Direction=H","UseDPDF=Y")</f>
        <v>#NAME?</v>
      </c>
      <c r="J114" s="14" t="e">
        <f ca="1">_xll.BDH("ANSS US Equity","NUM_WEEKS_PD_MATERNITY_LEAVE_US","FY 2016","FY 2016","Currency=USD","Period=FY","BEST_FPERIOD_OVERRIDE=FY","FILING_STATUS=MR","Sort=A","Dates=H","DateFormat=P","Fill=—","Direction=H","UseDPDF=Y")</f>
        <v>#NAME?</v>
      </c>
      <c r="K114" s="14" t="e">
        <f ca="1">_xll.BDH("ANSS US Equity","NUM_WEEKS_PD_MATERNITY_LEAVE_US","FY 2017","FY 2017","Currency=USD","Period=FY","BEST_FPERIOD_OVERRIDE=FY","FILING_STATUS=MR","Sort=A","Dates=H","DateFormat=P","Fill=—","Direction=H","UseDPDF=Y")</f>
        <v>#NAME?</v>
      </c>
      <c r="L114" s="14" t="e">
        <f ca="1">_xll.BDH("ANSS US Equity","NUM_WEEKS_PD_MATERNITY_LEAVE_US","FY 2018","FY 2018","Currency=USD","Period=FY","BEST_FPERIOD_OVERRIDE=FY","FILING_STATUS=MR","Sort=A","Dates=H","DateFormat=P","Fill=—","Direction=H","UseDPDF=Y")</f>
        <v>#NAME?</v>
      </c>
      <c r="M114" s="14" t="e">
        <f ca="1">_xll.BDH("ANSS US Equity","NUM_WEEKS_PD_MATERNITY_LEAVE_US","FY 2019","FY 2019","Currency=USD","Period=FY","BEST_FPERIOD_OVERRIDE=FY","FILING_STATUS=MR","Sort=A","Dates=H","DateFormat=P","Fill=—","Direction=H","UseDPDF=Y")</f>
        <v>#NAME?</v>
      </c>
      <c r="N114" s="14" t="e">
        <f ca="1">_xll.BDH("ANSS US Equity","NUM_WEEKS_PD_MATERNITY_LEAVE_US","FY 2020","FY 2020","Currency=USD","Period=FY","BEST_FPERIOD_OVERRIDE=FY","FILING_STATUS=MR","Sort=A","Dates=H","DateFormat=P","Fill=—","Direction=H","UseDPDF=Y")</f>
        <v>#NAME?</v>
      </c>
      <c r="O114" s="14" t="e">
        <f ca="1">_xll.BDH("ANSS US Equity","NUM_WEEKS_PD_MATERNITY_LEAVE_US","FY 2021","FY 2021","Currency=USD","Period=FY","BEST_FPERIOD_OVERRIDE=FY","FILING_STATUS=MR","Sort=A","Dates=H","DateFormat=P","Fill=—","Direction=H","UseDPDF=Y")</f>
        <v>#NAME?</v>
      </c>
      <c r="P114" s="14" t="e">
        <f ca="1">_xll.BDH("ANSS US Equity","NUM_WEEKS_PD_MATERNITY_LEAVE_US","FY 2022","FY 2022","Currency=USD","Period=FY","BEST_FPERIOD_OVERRIDE=FY","FILING_STATUS=MR","Sort=A","Dates=H","DateFormat=P","Fill=—","Direction=H","UseDPDF=Y")</f>
        <v>#NAME?</v>
      </c>
      <c r="Q114" s="14" t="e">
        <f ca="1">_xll.BDH("ANSS US Equity","NUM_WEEKS_PD_MATERNITY_LEAVE_US","FY 2023","FY 2023","Currency=USD","Period=FY","BEST_FPERIOD_OVERRIDE=FY","FILING_STATUS=MR","Sort=A","Dates=H","DateFormat=P","Fill=—","Direction=H","UseDPDF=Y")</f>
        <v>#NAME?</v>
      </c>
    </row>
    <row r="115" spans="1:17" x14ac:dyDescent="0.45">
      <c r="A115" s="10" t="s">
        <v>961</v>
      </c>
      <c r="B115" s="10" t="s">
        <v>962</v>
      </c>
      <c r="C115" s="14" t="e">
        <f ca="1">_xll.BDH("ANSS US Equity","AVG_WEEKS_PAID_MATERNITY_US","FY 2009","FY 2009","Currency=USD","Period=FY","BEST_FPERIOD_OVERRIDE=FY","FILING_STATUS=MR","Sort=A","Dates=H","DateFormat=P","Fill=—","Direction=H","UseDPDF=Y")</f>
        <v>#NAME?</v>
      </c>
      <c r="D115" s="14" t="e">
        <f ca="1">_xll.BDH("ANSS US Equity","AVG_WEEKS_PAID_MATERNITY_US","FY 2010","FY 2010","Currency=USD","Period=FY","BEST_FPERIOD_OVERRIDE=FY","FILING_STATUS=MR","Sort=A","Dates=H","DateFormat=P","Fill=—","Direction=H","UseDPDF=Y")</f>
        <v>#NAME?</v>
      </c>
      <c r="E115" s="14" t="e">
        <f ca="1">_xll.BDH("ANSS US Equity","AVG_WEEKS_PAID_MATERNITY_US","FY 2011","FY 2011","Currency=USD","Period=FY","BEST_FPERIOD_OVERRIDE=FY","FILING_STATUS=MR","Sort=A","Dates=H","DateFormat=P","Fill=—","Direction=H","UseDPDF=Y")</f>
        <v>#NAME?</v>
      </c>
      <c r="F115" s="14" t="e">
        <f ca="1">_xll.BDH("ANSS US Equity","AVG_WEEKS_PAID_MATERNITY_US","FY 2012","FY 2012","Currency=USD","Period=FY","BEST_FPERIOD_OVERRIDE=FY","FILING_STATUS=MR","Sort=A","Dates=H","DateFormat=P","Fill=—","Direction=H","UseDPDF=Y")</f>
        <v>#NAME?</v>
      </c>
      <c r="G115" s="14" t="e">
        <f ca="1">_xll.BDH("ANSS US Equity","AVG_WEEKS_PAID_MATERNITY_US","FY 2013","FY 2013","Currency=USD","Period=FY","BEST_FPERIOD_OVERRIDE=FY","FILING_STATUS=MR","Sort=A","Dates=H","DateFormat=P","Fill=—","Direction=H","UseDPDF=Y")</f>
        <v>#NAME?</v>
      </c>
      <c r="H115" s="14" t="e">
        <f ca="1">_xll.BDH("ANSS US Equity","AVG_WEEKS_PAID_MATERNITY_US","FY 2014","FY 2014","Currency=USD","Period=FY","BEST_FPERIOD_OVERRIDE=FY","FILING_STATUS=MR","Sort=A","Dates=H","DateFormat=P","Fill=—","Direction=H","UseDPDF=Y")</f>
        <v>#NAME?</v>
      </c>
      <c r="I115" s="14" t="e">
        <f ca="1">_xll.BDH("ANSS US Equity","AVG_WEEKS_PAID_MATERNITY_US","FY 2015","FY 2015","Currency=USD","Period=FY","BEST_FPERIOD_OVERRIDE=FY","FILING_STATUS=MR","Sort=A","Dates=H","DateFormat=P","Fill=—","Direction=H","UseDPDF=Y")</f>
        <v>#NAME?</v>
      </c>
      <c r="J115" s="14" t="e">
        <f ca="1">_xll.BDH("ANSS US Equity","AVG_WEEKS_PAID_MATERNITY_US","FY 2016","FY 2016","Currency=USD","Period=FY","BEST_FPERIOD_OVERRIDE=FY","FILING_STATUS=MR","Sort=A","Dates=H","DateFormat=P","Fill=—","Direction=H","UseDPDF=Y")</f>
        <v>#NAME?</v>
      </c>
      <c r="K115" s="14" t="e">
        <f ca="1">_xll.BDH("ANSS US Equity","AVG_WEEKS_PAID_MATERNITY_US","FY 2017","FY 2017","Currency=USD","Period=FY","BEST_FPERIOD_OVERRIDE=FY","FILING_STATUS=MR","Sort=A","Dates=H","DateFormat=P","Fill=—","Direction=H","UseDPDF=Y")</f>
        <v>#NAME?</v>
      </c>
      <c r="L115" s="14" t="e">
        <f ca="1">_xll.BDH("ANSS US Equity","AVG_WEEKS_PAID_MATERNITY_US","FY 2018","FY 2018","Currency=USD","Period=FY","BEST_FPERIOD_OVERRIDE=FY","FILING_STATUS=MR","Sort=A","Dates=H","DateFormat=P","Fill=—","Direction=H","UseDPDF=Y")</f>
        <v>#NAME?</v>
      </c>
      <c r="M115" s="14" t="e">
        <f ca="1">_xll.BDH("ANSS US Equity","AVG_WEEKS_PAID_MATERNITY_US","FY 2019","FY 2019","Currency=USD","Period=FY","BEST_FPERIOD_OVERRIDE=FY","FILING_STATUS=MR","Sort=A","Dates=H","DateFormat=P","Fill=—","Direction=H","UseDPDF=Y")</f>
        <v>#NAME?</v>
      </c>
      <c r="N115" s="14" t="e">
        <f ca="1">_xll.BDH("ANSS US Equity","AVG_WEEKS_PAID_MATERNITY_US","FY 2020","FY 2020","Currency=USD","Period=FY","BEST_FPERIOD_OVERRIDE=FY","FILING_STATUS=MR","Sort=A","Dates=H","DateFormat=P","Fill=—","Direction=H","UseDPDF=Y")</f>
        <v>#NAME?</v>
      </c>
      <c r="O115" s="14" t="e">
        <f ca="1">_xll.BDH("ANSS US Equity","AVG_WEEKS_PAID_MATERNITY_US","FY 2021","FY 2021","Currency=USD","Period=FY","BEST_FPERIOD_OVERRIDE=FY","FILING_STATUS=MR","Sort=A","Dates=H","DateFormat=P","Fill=—","Direction=H","UseDPDF=Y")</f>
        <v>#NAME?</v>
      </c>
      <c r="P115" s="14" t="e">
        <f ca="1">_xll.BDH("ANSS US Equity","AVG_WEEKS_PAID_MATERNITY_US","FY 2022","FY 2022","Currency=USD","Period=FY","BEST_FPERIOD_OVERRIDE=FY","FILING_STATUS=MR","Sort=A","Dates=H","DateFormat=P","Fill=—","Direction=H","UseDPDF=Y")</f>
        <v>#NAME?</v>
      </c>
      <c r="Q115" s="14" t="e">
        <f ca="1">_xll.BDH("ANSS US Equity","AVG_WEEKS_PAID_MATERNITY_US","FY 2023","FY 2023","Currency=USD","Period=FY","BEST_FPERIOD_OVERRIDE=FY","FILING_STATUS=MR","Sort=A","Dates=H","DateFormat=P","Fill=—","Direction=H","UseDPDF=Y")</f>
        <v>#NAME?</v>
      </c>
    </row>
    <row r="116" spans="1:17" x14ac:dyDescent="0.45">
      <c r="A116" s="10" t="s">
        <v>963</v>
      </c>
      <c r="B116" s="10" t="s">
        <v>964</v>
      </c>
      <c r="C116" s="14" t="e">
        <f ca="1">_xll.BDH("ANSS US Equity","NUM_WEEKS_PD_PATERNITY_LEAVE_US","FY 2009","FY 2009","Currency=USD","Period=FY","BEST_FPERIOD_OVERRIDE=FY","FILING_STATUS=MR","Sort=A","Dates=H","DateFormat=P","Fill=—","Direction=H","UseDPDF=Y")</f>
        <v>#NAME?</v>
      </c>
      <c r="D116" s="14" t="e">
        <f ca="1">_xll.BDH("ANSS US Equity","NUM_WEEKS_PD_PATERNITY_LEAVE_US","FY 2010","FY 2010","Currency=USD","Period=FY","BEST_FPERIOD_OVERRIDE=FY","FILING_STATUS=MR","Sort=A","Dates=H","DateFormat=P","Fill=—","Direction=H","UseDPDF=Y")</f>
        <v>#NAME?</v>
      </c>
      <c r="E116" s="14" t="e">
        <f ca="1">_xll.BDH("ANSS US Equity","NUM_WEEKS_PD_PATERNITY_LEAVE_US","FY 2011","FY 2011","Currency=USD","Period=FY","BEST_FPERIOD_OVERRIDE=FY","FILING_STATUS=MR","Sort=A","Dates=H","DateFormat=P","Fill=—","Direction=H","UseDPDF=Y")</f>
        <v>#NAME?</v>
      </c>
      <c r="F116" s="14" t="e">
        <f ca="1">_xll.BDH("ANSS US Equity","NUM_WEEKS_PD_PATERNITY_LEAVE_US","FY 2012","FY 2012","Currency=USD","Period=FY","BEST_FPERIOD_OVERRIDE=FY","FILING_STATUS=MR","Sort=A","Dates=H","DateFormat=P","Fill=—","Direction=H","UseDPDF=Y")</f>
        <v>#NAME?</v>
      </c>
      <c r="G116" s="14" t="e">
        <f ca="1">_xll.BDH("ANSS US Equity","NUM_WEEKS_PD_PATERNITY_LEAVE_US","FY 2013","FY 2013","Currency=USD","Period=FY","BEST_FPERIOD_OVERRIDE=FY","FILING_STATUS=MR","Sort=A","Dates=H","DateFormat=P","Fill=—","Direction=H","UseDPDF=Y")</f>
        <v>#NAME?</v>
      </c>
      <c r="H116" s="14" t="e">
        <f ca="1">_xll.BDH("ANSS US Equity","NUM_WEEKS_PD_PATERNITY_LEAVE_US","FY 2014","FY 2014","Currency=USD","Period=FY","BEST_FPERIOD_OVERRIDE=FY","FILING_STATUS=MR","Sort=A","Dates=H","DateFormat=P","Fill=—","Direction=H","UseDPDF=Y")</f>
        <v>#NAME?</v>
      </c>
      <c r="I116" s="14" t="e">
        <f ca="1">_xll.BDH("ANSS US Equity","NUM_WEEKS_PD_PATERNITY_LEAVE_US","FY 2015","FY 2015","Currency=USD","Period=FY","BEST_FPERIOD_OVERRIDE=FY","FILING_STATUS=MR","Sort=A","Dates=H","DateFormat=P","Fill=—","Direction=H","UseDPDF=Y")</f>
        <v>#NAME?</v>
      </c>
      <c r="J116" s="14" t="e">
        <f ca="1">_xll.BDH("ANSS US Equity","NUM_WEEKS_PD_PATERNITY_LEAVE_US","FY 2016","FY 2016","Currency=USD","Period=FY","BEST_FPERIOD_OVERRIDE=FY","FILING_STATUS=MR","Sort=A","Dates=H","DateFormat=P","Fill=—","Direction=H","UseDPDF=Y")</f>
        <v>#NAME?</v>
      </c>
      <c r="K116" s="14" t="e">
        <f ca="1">_xll.BDH("ANSS US Equity","NUM_WEEKS_PD_PATERNITY_LEAVE_US","FY 2017","FY 2017","Currency=USD","Period=FY","BEST_FPERIOD_OVERRIDE=FY","FILING_STATUS=MR","Sort=A","Dates=H","DateFormat=P","Fill=—","Direction=H","UseDPDF=Y")</f>
        <v>#NAME?</v>
      </c>
      <c r="L116" s="14" t="e">
        <f ca="1">_xll.BDH("ANSS US Equity","NUM_WEEKS_PD_PATERNITY_LEAVE_US","FY 2018","FY 2018","Currency=USD","Period=FY","BEST_FPERIOD_OVERRIDE=FY","FILING_STATUS=MR","Sort=A","Dates=H","DateFormat=P","Fill=—","Direction=H","UseDPDF=Y")</f>
        <v>#NAME?</v>
      </c>
      <c r="M116" s="14" t="e">
        <f ca="1">_xll.BDH("ANSS US Equity","NUM_WEEKS_PD_PATERNITY_LEAVE_US","FY 2019","FY 2019","Currency=USD","Period=FY","BEST_FPERIOD_OVERRIDE=FY","FILING_STATUS=MR","Sort=A","Dates=H","DateFormat=P","Fill=—","Direction=H","UseDPDF=Y")</f>
        <v>#NAME?</v>
      </c>
      <c r="N116" s="14" t="e">
        <f ca="1">_xll.BDH("ANSS US Equity","NUM_WEEKS_PD_PATERNITY_LEAVE_US","FY 2020","FY 2020","Currency=USD","Period=FY","BEST_FPERIOD_OVERRIDE=FY","FILING_STATUS=MR","Sort=A","Dates=H","DateFormat=P","Fill=—","Direction=H","UseDPDF=Y")</f>
        <v>#NAME?</v>
      </c>
      <c r="O116" s="14" t="e">
        <f ca="1">_xll.BDH("ANSS US Equity","NUM_WEEKS_PD_PATERNITY_LEAVE_US","FY 2021","FY 2021","Currency=USD","Period=FY","BEST_FPERIOD_OVERRIDE=FY","FILING_STATUS=MR","Sort=A","Dates=H","DateFormat=P","Fill=—","Direction=H","UseDPDF=Y")</f>
        <v>#NAME?</v>
      </c>
      <c r="P116" s="14" t="e">
        <f ca="1">_xll.BDH("ANSS US Equity","NUM_WEEKS_PD_PATERNITY_LEAVE_US","FY 2022","FY 2022","Currency=USD","Period=FY","BEST_FPERIOD_OVERRIDE=FY","FILING_STATUS=MR","Sort=A","Dates=H","DateFormat=P","Fill=—","Direction=H","UseDPDF=Y")</f>
        <v>#NAME?</v>
      </c>
      <c r="Q116" s="14" t="e">
        <f ca="1">_xll.BDH("ANSS US Equity","NUM_WEEKS_PD_PATERNITY_LEAVE_US","FY 2023","FY 2023","Currency=USD","Period=FY","BEST_FPERIOD_OVERRIDE=FY","FILING_STATUS=MR","Sort=A","Dates=H","DateFormat=P","Fill=—","Direction=H","UseDPDF=Y")</f>
        <v>#NAME?</v>
      </c>
    </row>
    <row r="117" spans="1:17" x14ac:dyDescent="0.45">
      <c r="A117" s="10" t="s">
        <v>965</v>
      </c>
      <c r="B117" s="10" t="s">
        <v>966</v>
      </c>
      <c r="C117" s="14" t="e">
        <f ca="1">_xll.BDH("ANSS US Equity","AVG_WEEKS_PAID_PATERNITY_US","FY 2009","FY 2009","Currency=USD","Period=FY","BEST_FPERIOD_OVERRIDE=FY","FILING_STATUS=MR","Sort=A","Dates=H","DateFormat=P","Fill=—","Direction=H","UseDPDF=Y")</f>
        <v>#NAME?</v>
      </c>
      <c r="D117" s="14" t="e">
        <f ca="1">_xll.BDH("ANSS US Equity","AVG_WEEKS_PAID_PATERNITY_US","FY 2010","FY 2010","Currency=USD","Period=FY","BEST_FPERIOD_OVERRIDE=FY","FILING_STATUS=MR","Sort=A","Dates=H","DateFormat=P","Fill=—","Direction=H","UseDPDF=Y")</f>
        <v>#NAME?</v>
      </c>
      <c r="E117" s="14" t="e">
        <f ca="1">_xll.BDH("ANSS US Equity","AVG_WEEKS_PAID_PATERNITY_US","FY 2011","FY 2011","Currency=USD","Period=FY","BEST_FPERIOD_OVERRIDE=FY","FILING_STATUS=MR","Sort=A","Dates=H","DateFormat=P","Fill=—","Direction=H","UseDPDF=Y")</f>
        <v>#NAME?</v>
      </c>
      <c r="F117" s="14" t="e">
        <f ca="1">_xll.BDH("ANSS US Equity","AVG_WEEKS_PAID_PATERNITY_US","FY 2012","FY 2012","Currency=USD","Period=FY","BEST_FPERIOD_OVERRIDE=FY","FILING_STATUS=MR","Sort=A","Dates=H","DateFormat=P","Fill=—","Direction=H","UseDPDF=Y")</f>
        <v>#NAME?</v>
      </c>
      <c r="G117" s="14" t="e">
        <f ca="1">_xll.BDH("ANSS US Equity","AVG_WEEKS_PAID_PATERNITY_US","FY 2013","FY 2013","Currency=USD","Period=FY","BEST_FPERIOD_OVERRIDE=FY","FILING_STATUS=MR","Sort=A","Dates=H","DateFormat=P","Fill=—","Direction=H","UseDPDF=Y")</f>
        <v>#NAME?</v>
      </c>
      <c r="H117" s="14" t="e">
        <f ca="1">_xll.BDH("ANSS US Equity","AVG_WEEKS_PAID_PATERNITY_US","FY 2014","FY 2014","Currency=USD","Period=FY","BEST_FPERIOD_OVERRIDE=FY","FILING_STATUS=MR","Sort=A","Dates=H","DateFormat=P","Fill=—","Direction=H","UseDPDF=Y")</f>
        <v>#NAME?</v>
      </c>
      <c r="I117" s="14" t="e">
        <f ca="1">_xll.BDH("ANSS US Equity","AVG_WEEKS_PAID_PATERNITY_US","FY 2015","FY 2015","Currency=USD","Period=FY","BEST_FPERIOD_OVERRIDE=FY","FILING_STATUS=MR","Sort=A","Dates=H","DateFormat=P","Fill=—","Direction=H","UseDPDF=Y")</f>
        <v>#NAME?</v>
      </c>
      <c r="J117" s="14" t="e">
        <f ca="1">_xll.BDH("ANSS US Equity","AVG_WEEKS_PAID_PATERNITY_US","FY 2016","FY 2016","Currency=USD","Period=FY","BEST_FPERIOD_OVERRIDE=FY","FILING_STATUS=MR","Sort=A","Dates=H","DateFormat=P","Fill=—","Direction=H","UseDPDF=Y")</f>
        <v>#NAME?</v>
      </c>
      <c r="K117" s="14" t="e">
        <f ca="1">_xll.BDH("ANSS US Equity","AVG_WEEKS_PAID_PATERNITY_US","FY 2017","FY 2017","Currency=USD","Period=FY","BEST_FPERIOD_OVERRIDE=FY","FILING_STATUS=MR","Sort=A","Dates=H","DateFormat=P","Fill=—","Direction=H","UseDPDF=Y")</f>
        <v>#NAME?</v>
      </c>
      <c r="L117" s="14" t="e">
        <f ca="1">_xll.BDH("ANSS US Equity","AVG_WEEKS_PAID_PATERNITY_US","FY 2018","FY 2018","Currency=USD","Period=FY","BEST_FPERIOD_OVERRIDE=FY","FILING_STATUS=MR","Sort=A","Dates=H","DateFormat=P","Fill=—","Direction=H","UseDPDF=Y")</f>
        <v>#NAME?</v>
      </c>
      <c r="M117" s="14" t="e">
        <f ca="1">_xll.BDH("ANSS US Equity","AVG_WEEKS_PAID_PATERNITY_US","FY 2019","FY 2019","Currency=USD","Period=FY","BEST_FPERIOD_OVERRIDE=FY","FILING_STATUS=MR","Sort=A","Dates=H","DateFormat=P","Fill=—","Direction=H","UseDPDF=Y")</f>
        <v>#NAME?</v>
      </c>
      <c r="N117" s="14" t="e">
        <f ca="1">_xll.BDH("ANSS US Equity","AVG_WEEKS_PAID_PATERNITY_US","FY 2020","FY 2020","Currency=USD","Period=FY","BEST_FPERIOD_OVERRIDE=FY","FILING_STATUS=MR","Sort=A","Dates=H","DateFormat=P","Fill=—","Direction=H","UseDPDF=Y")</f>
        <v>#NAME?</v>
      </c>
      <c r="O117" s="14" t="e">
        <f ca="1">_xll.BDH("ANSS US Equity","AVG_WEEKS_PAID_PATERNITY_US","FY 2021","FY 2021","Currency=USD","Period=FY","BEST_FPERIOD_OVERRIDE=FY","FILING_STATUS=MR","Sort=A","Dates=H","DateFormat=P","Fill=—","Direction=H","UseDPDF=Y")</f>
        <v>#NAME?</v>
      </c>
      <c r="P117" s="14" t="e">
        <f ca="1">_xll.BDH("ANSS US Equity","AVG_WEEKS_PAID_PATERNITY_US","FY 2022","FY 2022","Currency=USD","Period=FY","BEST_FPERIOD_OVERRIDE=FY","FILING_STATUS=MR","Sort=A","Dates=H","DateFormat=P","Fill=—","Direction=H","UseDPDF=Y")</f>
        <v>#NAME?</v>
      </c>
      <c r="Q117" s="14" t="e">
        <f ca="1">_xll.BDH("ANSS US Equity","AVG_WEEKS_PAID_PATERNITY_US","FY 2023","FY 2023","Currency=USD","Period=FY","BEST_FPERIOD_OVERRIDE=FY","FILING_STATUS=MR","Sort=A","Dates=H","DateFormat=P","Fill=—","Direction=H","UseDPDF=Y")</f>
        <v>#NAME?</v>
      </c>
    </row>
    <row r="118" spans="1:17" x14ac:dyDescent="0.45">
      <c r="A118" s="10" t="s">
        <v>967</v>
      </c>
      <c r="B118" s="10" t="s">
        <v>968</v>
      </c>
      <c r="C118" s="12" t="s">
        <v>683</v>
      </c>
      <c r="D118" s="12" t="s">
        <v>683</v>
      </c>
      <c r="E118" s="12" t="s">
        <v>683</v>
      </c>
      <c r="F118" s="12" t="s">
        <v>683</v>
      </c>
      <c r="G118" s="12" t="s">
        <v>683</v>
      </c>
      <c r="H118" s="12" t="s">
        <v>683</v>
      </c>
      <c r="I118" s="12" t="s">
        <v>683</v>
      </c>
      <c r="J118" s="12" t="s">
        <v>683</v>
      </c>
      <c r="K118" s="12" t="s">
        <v>683</v>
      </c>
      <c r="L118" s="12" t="s">
        <v>683</v>
      </c>
      <c r="M118" s="12" t="s">
        <v>687</v>
      </c>
      <c r="N118" s="12" t="s">
        <v>683</v>
      </c>
      <c r="O118" s="12" t="s">
        <v>683</v>
      </c>
      <c r="P118" s="12" t="s">
        <v>683</v>
      </c>
      <c r="Q118" s="12" t="s">
        <v>683</v>
      </c>
    </row>
    <row r="119" spans="1:17" x14ac:dyDescent="0.45">
      <c r="A119" s="10" t="s">
        <v>969</v>
      </c>
      <c r="B119" s="10" t="s">
        <v>970</v>
      </c>
      <c r="C119" s="12" t="s">
        <v>683</v>
      </c>
      <c r="D119" s="12" t="s">
        <v>683</v>
      </c>
      <c r="E119" s="12" t="s">
        <v>683</v>
      </c>
      <c r="F119" s="12" t="s">
        <v>683</v>
      </c>
      <c r="G119" s="12" t="s">
        <v>683</v>
      </c>
      <c r="H119" s="12" t="s">
        <v>683</v>
      </c>
      <c r="I119" s="12" t="s">
        <v>683</v>
      </c>
      <c r="J119" s="12" t="s">
        <v>683</v>
      </c>
      <c r="K119" s="12" t="s">
        <v>683</v>
      </c>
      <c r="L119" s="12" t="s">
        <v>683</v>
      </c>
      <c r="M119" s="12" t="s">
        <v>687</v>
      </c>
      <c r="N119" s="12" t="s">
        <v>683</v>
      </c>
      <c r="O119" s="12" t="s">
        <v>683</v>
      </c>
      <c r="P119" s="12" t="s">
        <v>683</v>
      </c>
      <c r="Q119" s="12" t="s">
        <v>683</v>
      </c>
    </row>
    <row r="120" spans="1:17" x14ac:dyDescent="0.45">
      <c r="A120" s="10" t="s">
        <v>971</v>
      </c>
      <c r="B120" s="10" t="s">
        <v>972</v>
      </c>
      <c r="C120" s="12" t="s">
        <v>683</v>
      </c>
      <c r="D120" s="12" t="s">
        <v>683</v>
      </c>
      <c r="E120" s="12" t="s">
        <v>683</v>
      </c>
      <c r="F120" s="12" t="s">
        <v>683</v>
      </c>
      <c r="G120" s="12" t="s">
        <v>683</v>
      </c>
      <c r="H120" s="12" t="s">
        <v>683</v>
      </c>
      <c r="I120" s="12" t="s">
        <v>683</v>
      </c>
      <c r="J120" s="12" t="s">
        <v>683</v>
      </c>
      <c r="K120" s="12" t="s">
        <v>683</v>
      </c>
      <c r="L120" s="12" t="s">
        <v>683</v>
      </c>
      <c r="M120" s="12" t="s">
        <v>687</v>
      </c>
      <c r="N120" s="12" t="s">
        <v>683</v>
      </c>
      <c r="O120" s="12" t="s">
        <v>683</v>
      </c>
      <c r="P120" s="12" t="s">
        <v>683</v>
      </c>
      <c r="Q120" s="12" t="s">
        <v>683</v>
      </c>
    </row>
    <row r="121" spans="1:17" x14ac:dyDescent="0.45">
      <c r="A121" s="10" t="s">
        <v>973</v>
      </c>
      <c r="B121" s="10" t="s">
        <v>974</v>
      </c>
      <c r="C121" s="12" t="s">
        <v>683</v>
      </c>
      <c r="D121" s="12" t="s">
        <v>683</v>
      </c>
      <c r="E121" s="12" t="s">
        <v>683</v>
      </c>
      <c r="F121" s="12" t="s">
        <v>683</v>
      </c>
      <c r="G121" s="12" t="s">
        <v>683</v>
      </c>
      <c r="H121" s="12" t="s">
        <v>683</v>
      </c>
      <c r="I121" s="12" t="s">
        <v>683</v>
      </c>
      <c r="J121" s="12" t="s">
        <v>683</v>
      </c>
      <c r="K121" s="12" t="s">
        <v>683</v>
      </c>
      <c r="L121" s="12" t="s">
        <v>683</v>
      </c>
      <c r="M121" s="12" t="s">
        <v>687</v>
      </c>
      <c r="N121" s="12" t="s">
        <v>683</v>
      </c>
      <c r="O121" s="12" t="s">
        <v>683</v>
      </c>
      <c r="P121" s="12" t="s">
        <v>683</v>
      </c>
      <c r="Q121" s="12" t="s">
        <v>683</v>
      </c>
    </row>
    <row r="122" spans="1:17" x14ac:dyDescent="0.45">
      <c r="A122" s="10" t="s">
        <v>975</v>
      </c>
      <c r="B122" s="10" t="s">
        <v>976</v>
      </c>
      <c r="C122" s="12" t="s">
        <v>683</v>
      </c>
      <c r="D122" s="12" t="s">
        <v>683</v>
      </c>
      <c r="E122" s="12" t="s">
        <v>683</v>
      </c>
      <c r="F122" s="12" t="s">
        <v>683</v>
      </c>
      <c r="G122" s="12" t="s">
        <v>683</v>
      </c>
      <c r="H122" s="12" t="s">
        <v>683</v>
      </c>
      <c r="I122" s="12" t="s">
        <v>683</v>
      </c>
      <c r="J122" s="12" t="s">
        <v>683</v>
      </c>
      <c r="K122" s="12" t="s">
        <v>683</v>
      </c>
      <c r="L122" s="12" t="s">
        <v>683</v>
      </c>
      <c r="M122" s="12" t="s">
        <v>687</v>
      </c>
      <c r="N122" s="12" t="s">
        <v>683</v>
      </c>
      <c r="O122" s="12" t="s">
        <v>683</v>
      </c>
      <c r="P122" s="12" t="s">
        <v>683</v>
      </c>
      <c r="Q122" s="12" t="s">
        <v>683</v>
      </c>
    </row>
    <row r="123" spans="1:17" x14ac:dyDescent="0.45">
      <c r="A123" s="10" t="s">
        <v>977</v>
      </c>
      <c r="B123" s="10" t="s">
        <v>978</v>
      </c>
      <c r="C123" s="12" t="s">
        <v>683</v>
      </c>
      <c r="D123" s="12" t="s">
        <v>683</v>
      </c>
      <c r="E123" s="12" t="s">
        <v>683</v>
      </c>
      <c r="F123" s="12" t="s">
        <v>683</v>
      </c>
      <c r="G123" s="12" t="s">
        <v>683</v>
      </c>
      <c r="H123" s="12" t="s">
        <v>683</v>
      </c>
      <c r="I123" s="12" t="s">
        <v>687</v>
      </c>
      <c r="J123" s="12" t="s">
        <v>687</v>
      </c>
      <c r="K123" s="12" t="s">
        <v>684</v>
      </c>
      <c r="L123" s="12" t="s">
        <v>687</v>
      </c>
      <c r="M123" s="12" t="s">
        <v>684</v>
      </c>
      <c r="N123" s="12" t="s">
        <v>684</v>
      </c>
      <c r="O123" s="12" t="s">
        <v>684</v>
      </c>
      <c r="P123" s="12" t="s">
        <v>683</v>
      </c>
      <c r="Q123" s="12" t="s">
        <v>683</v>
      </c>
    </row>
    <row r="124" spans="1:17" x14ac:dyDescent="0.45">
      <c r="A124" s="10" t="s">
        <v>979</v>
      </c>
      <c r="B124" s="10" t="s">
        <v>980</v>
      </c>
      <c r="C124" s="12" t="s">
        <v>683</v>
      </c>
      <c r="D124" s="12" t="s">
        <v>683</v>
      </c>
      <c r="E124" s="12" t="s">
        <v>683</v>
      </c>
      <c r="F124" s="12" t="s">
        <v>683</v>
      </c>
      <c r="G124" s="12" t="s">
        <v>683</v>
      </c>
      <c r="H124" s="12" t="s">
        <v>683</v>
      </c>
      <c r="I124" s="12" t="s">
        <v>683</v>
      </c>
      <c r="J124" s="12" t="s">
        <v>683</v>
      </c>
      <c r="K124" s="12" t="s">
        <v>683</v>
      </c>
      <c r="L124" s="12" t="s">
        <v>683</v>
      </c>
      <c r="M124" s="12" t="s">
        <v>684</v>
      </c>
      <c r="N124" s="12" t="s">
        <v>683</v>
      </c>
      <c r="O124" s="12" t="s">
        <v>683</v>
      </c>
      <c r="P124" s="12" t="s">
        <v>683</v>
      </c>
      <c r="Q124" s="12" t="s">
        <v>683</v>
      </c>
    </row>
    <row r="125" spans="1:17" x14ac:dyDescent="0.45">
      <c r="A125" s="10" t="s">
        <v>981</v>
      </c>
      <c r="B125" s="10" t="s">
        <v>982</v>
      </c>
      <c r="C125" s="12" t="s">
        <v>683</v>
      </c>
      <c r="D125" s="12" t="s">
        <v>683</v>
      </c>
      <c r="E125" s="12" t="s">
        <v>683</v>
      </c>
      <c r="F125" s="12" t="s">
        <v>683</v>
      </c>
      <c r="G125" s="12" t="s">
        <v>683</v>
      </c>
      <c r="H125" s="12" t="s">
        <v>683</v>
      </c>
      <c r="I125" s="12" t="s">
        <v>683</v>
      </c>
      <c r="J125" s="12" t="s">
        <v>683</v>
      </c>
      <c r="K125" s="12" t="s">
        <v>683</v>
      </c>
      <c r="L125" s="12" t="s">
        <v>683</v>
      </c>
      <c r="M125" s="12" t="s">
        <v>687</v>
      </c>
      <c r="N125" s="12" t="s">
        <v>683</v>
      </c>
      <c r="O125" s="12" t="s">
        <v>683</v>
      </c>
      <c r="P125" s="12" t="s">
        <v>683</v>
      </c>
      <c r="Q125" s="12" t="s">
        <v>683</v>
      </c>
    </row>
    <row r="126" spans="1:17" x14ac:dyDescent="0.45">
      <c r="A126" s="1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1:17" x14ac:dyDescent="0.45">
      <c r="A127" s="10" t="s">
        <v>983</v>
      </c>
      <c r="B127" s="10" t="s">
        <v>984</v>
      </c>
      <c r="C127" s="12" t="s">
        <v>683</v>
      </c>
      <c r="D127" s="12" t="s">
        <v>683</v>
      </c>
      <c r="E127" s="12" t="s">
        <v>683</v>
      </c>
      <c r="F127" s="12" t="s">
        <v>683</v>
      </c>
      <c r="G127" s="12" t="s">
        <v>683</v>
      </c>
      <c r="H127" s="12" t="s">
        <v>683</v>
      </c>
      <c r="I127" s="12" t="s">
        <v>683</v>
      </c>
      <c r="J127" s="12" t="s">
        <v>683</v>
      </c>
      <c r="K127" s="12" t="s">
        <v>683</v>
      </c>
      <c r="L127" s="12" t="s">
        <v>683</v>
      </c>
      <c r="M127" s="12" t="s">
        <v>684</v>
      </c>
      <c r="N127" s="12" t="s">
        <v>683</v>
      </c>
      <c r="O127" s="12" t="s">
        <v>683</v>
      </c>
      <c r="P127" s="12" t="s">
        <v>683</v>
      </c>
      <c r="Q127" s="12" t="s">
        <v>683</v>
      </c>
    </row>
    <row r="128" spans="1:17" x14ac:dyDescent="0.45">
      <c r="A128" s="10" t="s">
        <v>985</v>
      </c>
      <c r="B128" s="10" t="s">
        <v>986</v>
      </c>
      <c r="C128" s="12" t="s">
        <v>683</v>
      </c>
      <c r="D128" s="12" t="s">
        <v>683</v>
      </c>
      <c r="E128" s="12" t="s">
        <v>683</v>
      </c>
      <c r="F128" s="12" t="s">
        <v>683</v>
      </c>
      <c r="G128" s="12" t="s">
        <v>683</v>
      </c>
      <c r="H128" s="12" t="s">
        <v>683</v>
      </c>
      <c r="I128" s="12" t="s">
        <v>683</v>
      </c>
      <c r="J128" s="12" t="s">
        <v>683</v>
      </c>
      <c r="K128" s="12" t="s">
        <v>683</v>
      </c>
      <c r="L128" s="12" t="s">
        <v>683</v>
      </c>
      <c r="M128" s="12" t="s">
        <v>687</v>
      </c>
      <c r="N128" s="12" t="s">
        <v>683</v>
      </c>
      <c r="O128" s="12" t="s">
        <v>683</v>
      </c>
      <c r="P128" s="12" t="s">
        <v>683</v>
      </c>
      <c r="Q128" s="12" t="s">
        <v>683</v>
      </c>
    </row>
    <row r="129" spans="1:17" x14ac:dyDescent="0.45">
      <c r="A129" s="10" t="s">
        <v>987</v>
      </c>
      <c r="B129" s="10" t="s">
        <v>988</v>
      </c>
      <c r="C129" s="12" t="s">
        <v>683</v>
      </c>
      <c r="D129" s="12" t="s">
        <v>683</v>
      </c>
      <c r="E129" s="12" t="s">
        <v>683</v>
      </c>
      <c r="F129" s="12" t="s">
        <v>683</v>
      </c>
      <c r="G129" s="12" t="s">
        <v>683</v>
      </c>
      <c r="H129" s="12" t="s">
        <v>683</v>
      </c>
      <c r="I129" s="12" t="s">
        <v>683</v>
      </c>
      <c r="J129" s="12" t="s">
        <v>683</v>
      </c>
      <c r="K129" s="12" t="s">
        <v>683</v>
      </c>
      <c r="L129" s="12" t="s">
        <v>683</v>
      </c>
      <c r="M129" s="12" t="s">
        <v>687</v>
      </c>
      <c r="N129" s="12" t="s">
        <v>683</v>
      </c>
      <c r="O129" s="12" t="s">
        <v>683</v>
      </c>
      <c r="P129" s="12" t="s">
        <v>683</v>
      </c>
      <c r="Q129" s="12" t="s">
        <v>683</v>
      </c>
    </row>
    <row r="130" spans="1:17" x14ac:dyDescent="0.45">
      <c r="A130" s="10" t="s">
        <v>989</v>
      </c>
      <c r="B130" s="10" t="s">
        <v>990</v>
      </c>
      <c r="C130" s="12" t="s">
        <v>683</v>
      </c>
      <c r="D130" s="12" t="s">
        <v>683</v>
      </c>
      <c r="E130" s="12" t="s">
        <v>683</v>
      </c>
      <c r="F130" s="12" t="s">
        <v>683</v>
      </c>
      <c r="G130" s="12" t="s">
        <v>683</v>
      </c>
      <c r="H130" s="12" t="s">
        <v>683</v>
      </c>
      <c r="I130" s="12" t="s">
        <v>683</v>
      </c>
      <c r="J130" s="12" t="s">
        <v>683</v>
      </c>
      <c r="K130" s="12" t="s">
        <v>683</v>
      </c>
      <c r="L130" s="12" t="s">
        <v>683</v>
      </c>
      <c r="M130" s="12" t="s">
        <v>687</v>
      </c>
      <c r="N130" s="12" t="s">
        <v>683</v>
      </c>
      <c r="O130" s="12" t="s">
        <v>683</v>
      </c>
      <c r="P130" s="12" t="s">
        <v>683</v>
      </c>
      <c r="Q130" s="12" t="s">
        <v>683</v>
      </c>
    </row>
    <row r="131" spans="1:17" x14ac:dyDescent="0.45">
      <c r="A131" s="1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1:17" x14ac:dyDescent="0.45">
      <c r="A132" s="10" t="s">
        <v>991</v>
      </c>
      <c r="B132" s="10" t="s">
        <v>992</v>
      </c>
      <c r="C132" s="12" t="s">
        <v>683</v>
      </c>
      <c r="D132" s="12" t="s">
        <v>683</v>
      </c>
      <c r="E132" s="12" t="s">
        <v>683</v>
      </c>
      <c r="F132" s="12" t="s">
        <v>683</v>
      </c>
      <c r="G132" s="12" t="s">
        <v>683</v>
      </c>
      <c r="H132" s="12" t="s">
        <v>683</v>
      </c>
      <c r="I132" s="12" t="s">
        <v>683</v>
      </c>
      <c r="J132" s="12" t="s">
        <v>683</v>
      </c>
      <c r="K132" s="12" t="s">
        <v>683</v>
      </c>
      <c r="L132" s="12" t="s">
        <v>683</v>
      </c>
      <c r="M132" s="12" t="s">
        <v>687</v>
      </c>
      <c r="N132" s="12" t="s">
        <v>683</v>
      </c>
      <c r="O132" s="12" t="s">
        <v>683</v>
      </c>
      <c r="P132" s="12" t="s">
        <v>683</v>
      </c>
      <c r="Q132" s="12" t="s">
        <v>683</v>
      </c>
    </row>
    <row r="133" spans="1:17" x14ac:dyDescent="0.45">
      <c r="A133" s="10" t="s">
        <v>993</v>
      </c>
      <c r="B133" s="10" t="s">
        <v>994</v>
      </c>
      <c r="C133" s="12" t="s">
        <v>683</v>
      </c>
      <c r="D133" s="12" t="s">
        <v>683</v>
      </c>
      <c r="E133" s="12" t="s">
        <v>683</v>
      </c>
      <c r="F133" s="12" t="s">
        <v>683</v>
      </c>
      <c r="G133" s="12" t="s">
        <v>683</v>
      </c>
      <c r="H133" s="12" t="s">
        <v>683</v>
      </c>
      <c r="I133" s="12" t="s">
        <v>683</v>
      </c>
      <c r="J133" s="12" t="s">
        <v>683</v>
      </c>
      <c r="K133" s="12" t="s">
        <v>683</v>
      </c>
      <c r="L133" s="12" t="s">
        <v>683</v>
      </c>
      <c r="M133" s="12" t="s">
        <v>687</v>
      </c>
      <c r="N133" s="12" t="s">
        <v>683</v>
      </c>
      <c r="O133" s="12" t="s">
        <v>683</v>
      </c>
      <c r="P133" s="12" t="s">
        <v>683</v>
      </c>
      <c r="Q133" s="12" t="s">
        <v>683</v>
      </c>
    </row>
    <row r="134" spans="1:17" x14ac:dyDescent="0.45">
      <c r="A134" s="10" t="s">
        <v>995</v>
      </c>
      <c r="B134" s="10" t="s">
        <v>996</v>
      </c>
      <c r="C134" s="12" t="s">
        <v>683</v>
      </c>
      <c r="D134" s="12" t="s">
        <v>683</v>
      </c>
      <c r="E134" s="12" t="s">
        <v>683</v>
      </c>
      <c r="F134" s="12" t="s">
        <v>683</v>
      </c>
      <c r="G134" s="12" t="s">
        <v>683</v>
      </c>
      <c r="H134" s="12" t="s">
        <v>683</v>
      </c>
      <c r="I134" s="12" t="s">
        <v>683</v>
      </c>
      <c r="J134" s="12" t="s">
        <v>683</v>
      </c>
      <c r="K134" s="12" t="s">
        <v>683</v>
      </c>
      <c r="L134" s="12" t="s">
        <v>683</v>
      </c>
      <c r="M134" s="12" t="s">
        <v>687</v>
      </c>
      <c r="N134" s="12" t="s">
        <v>683</v>
      </c>
      <c r="O134" s="12" t="s">
        <v>683</v>
      </c>
      <c r="P134" s="12" t="s">
        <v>683</v>
      </c>
      <c r="Q134" s="12" t="s">
        <v>683</v>
      </c>
    </row>
    <row r="135" spans="1:17" x14ac:dyDescent="0.45">
      <c r="A135" s="10" t="s">
        <v>997</v>
      </c>
      <c r="B135" s="10" t="s">
        <v>998</v>
      </c>
      <c r="C135" s="12" t="s">
        <v>683</v>
      </c>
      <c r="D135" s="12" t="s">
        <v>683</v>
      </c>
      <c r="E135" s="12" t="s">
        <v>683</v>
      </c>
      <c r="F135" s="12" t="s">
        <v>683</v>
      </c>
      <c r="G135" s="12" t="s">
        <v>683</v>
      </c>
      <c r="H135" s="12" t="s">
        <v>683</v>
      </c>
      <c r="I135" s="12" t="s">
        <v>683</v>
      </c>
      <c r="J135" s="12" t="s">
        <v>683</v>
      </c>
      <c r="K135" s="12" t="s">
        <v>683</v>
      </c>
      <c r="L135" s="12" t="s">
        <v>683</v>
      </c>
      <c r="M135" s="12" t="s">
        <v>687</v>
      </c>
      <c r="N135" s="12" t="s">
        <v>683</v>
      </c>
      <c r="O135" s="12" t="s">
        <v>683</v>
      </c>
      <c r="P135" s="12" t="s">
        <v>683</v>
      </c>
      <c r="Q135" s="12" t="s">
        <v>683</v>
      </c>
    </row>
    <row r="136" spans="1:17" x14ac:dyDescent="0.45">
      <c r="A136" s="10" t="s">
        <v>999</v>
      </c>
      <c r="B136" s="10" t="s">
        <v>1000</v>
      </c>
      <c r="C136" s="12" t="s">
        <v>683</v>
      </c>
      <c r="D136" s="12" t="s">
        <v>683</v>
      </c>
      <c r="E136" s="12" t="s">
        <v>683</v>
      </c>
      <c r="F136" s="12" t="s">
        <v>683</v>
      </c>
      <c r="G136" s="12" t="s">
        <v>683</v>
      </c>
      <c r="H136" s="12" t="s">
        <v>683</v>
      </c>
      <c r="I136" s="12" t="s">
        <v>683</v>
      </c>
      <c r="J136" s="12" t="s">
        <v>683</v>
      </c>
      <c r="K136" s="12" t="s">
        <v>683</v>
      </c>
      <c r="L136" s="12" t="s">
        <v>683</v>
      </c>
      <c r="M136" s="12" t="s">
        <v>687</v>
      </c>
      <c r="N136" s="12" t="s">
        <v>683</v>
      </c>
      <c r="O136" s="12" t="s">
        <v>683</v>
      </c>
      <c r="P136" s="12" t="s">
        <v>683</v>
      </c>
      <c r="Q136" s="12" t="s">
        <v>683</v>
      </c>
    </row>
    <row r="137" spans="1:17" x14ac:dyDescent="0.45">
      <c r="A137" s="10" t="s">
        <v>1001</v>
      </c>
      <c r="B137" s="10" t="s">
        <v>1002</v>
      </c>
      <c r="C137" s="12" t="s">
        <v>683</v>
      </c>
      <c r="D137" s="12" t="s">
        <v>683</v>
      </c>
      <c r="E137" s="12" t="s">
        <v>683</v>
      </c>
      <c r="F137" s="12" t="s">
        <v>683</v>
      </c>
      <c r="G137" s="12" t="s">
        <v>683</v>
      </c>
      <c r="H137" s="12" t="s">
        <v>683</v>
      </c>
      <c r="I137" s="12" t="s">
        <v>687</v>
      </c>
      <c r="J137" s="12" t="s">
        <v>687</v>
      </c>
      <c r="K137" s="12" t="s">
        <v>687</v>
      </c>
      <c r="L137" s="12" t="s">
        <v>687</v>
      </c>
      <c r="M137" s="12" t="s">
        <v>687</v>
      </c>
      <c r="N137" s="12" t="s">
        <v>687</v>
      </c>
      <c r="O137" s="12" t="s">
        <v>687</v>
      </c>
      <c r="P137" s="12" t="s">
        <v>683</v>
      </c>
      <c r="Q137" s="12" t="s">
        <v>683</v>
      </c>
    </row>
    <row r="138" spans="1:17" x14ac:dyDescent="0.45">
      <c r="A138" s="10" t="s">
        <v>1003</v>
      </c>
      <c r="B138" s="10" t="s">
        <v>1004</v>
      </c>
      <c r="C138" s="12" t="s">
        <v>683</v>
      </c>
      <c r="D138" s="12" t="s">
        <v>683</v>
      </c>
      <c r="E138" s="12" t="s">
        <v>683</v>
      </c>
      <c r="F138" s="12" t="s">
        <v>683</v>
      </c>
      <c r="G138" s="12" t="s">
        <v>683</v>
      </c>
      <c r="H138" s="12" t="s">
        <v>683</v>
      </c>
      <c r="I138" s="12" t="s">
        <v>683</v>
      </c>
      <c r="J138" s="12" t="s">
        <v>683</v>
      </c>
      <c r="K138" s="12" t="s">
        <v>683</v>
      </c>
      <c r="L138" s="12" t="s">
        <v>683</v>
      </c>
      <c r="M138" s="12" t="s">
        <v>687</v>
      </c>
      <c r="N138" s="12" t="s">
        <v>683</v>
      </c>
      <c r="O138" s="12" t="s">
        <v>683</v>
      </c>
      <c r="P138" s="12" t="s">
        <v>683</v>
      </c>
      <c r="Q138" s="12" t="s">
        <v>683</v>
      </c>
    </row>
    <row r="139" spans="1:17" x14ac:dyDescent="0.45">
      <c r="A139" s="10" t="s">
        <v>1005</v>
      </c>
      <c r="B139" s="10" t="s">
        <v>1006</v>
      </c>
      <c r="C139" s="12" t="s">
        <v>683</v>
      </c>
      <c r="D139" s="12" t="s">
        <v>683</v>
      </c>
      <c r="E139" s="12" t="s">
        <v>683</v>
      </c>
      <c r="F139" s="12" t="s">
        <v>683</v>
      </c>
      <c r="G139" s="12" t="s">
        <v>683</v>
      </c>
      <c r="H139" s="12" t="s">
        <v>683</v>
      </c>
      <c r="I139" s="12" t="s">
        <v>683</v>
      </c>
      <c r="J139" s="12" t="s">
        <v>683</v>
      </c>
      <c r="K139" s="12" t="s">
        <v>683</v>
      </c>
      <c r="L139" s="12" t="s">
        <v>683</v>
      </c>
      <c r="M139" s="12" t="s">
        <v>687</v>
      </c>
      <c r="N139" s="12" t="s">
        <v>683</v>
      </c>
      <c r="O139" s="12" t="s">
        <v>683</v>
      </c>
      <c r="P139" s="12" t="s">
        <v>683</v>
      </c>
      <c r="Q139" s="12" t="s">
        <v>683</v>
      </c>
    </row>
    <row r="140" spans="1:17" x14ac:dyDescent="0.45">
      <c r="A140" s="1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spans="1:17" x14ac:dyDescent="0.45">
      <c r="A141" s="10" t="s">
        <v>1007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spans="1:17" x14ac:dyDescent="0.45">
      <c r="A142" s="10" t="s">
        <v>1008</v>
      </c>
      <c r="B142" s="10" t="s">
        <v>1009</v>
      </c>
      <c r="C142" s="14" t="e">
        <f ca="1">_xll.BDH("ANSS US Equity","NUMBER_FINES_DATA_BREACHES","FY 2009","FY 2009","Currency=USD","Period=FY","BEST_FPERIOD_OVERRIDE=FY","FILING_STATUS=MR","Sort=A","Dates=H","DateFormat=P","Fill=—","Direction=H","UseDPDF=Y")</f>
        <v>#NAME?</v>
      </c>
      <c r="D142" s="14" t="e">
        <f ca="1">_xll.BDH("ANSS US Equity","NUMBER_FINES_DATA_BREACHES","FY 2010","FY 2010","Currency=USD","Period=FY","BEST_FPERIOD_OVERRIDE=FY","FILING_STATUS=MR","Sort=A","Dates=H","DateFormat=P","Fill=—","Direction=H","UseDPDF=Y")</f>
        <v>#NAME?</v>
      </c>
      <c r="E142" s="14" t="e">
        <f ca="1">_xll.BDH("ANSS US Equity","NUMBER_FINES_DATA_BREACHES","FY 2011","FY 2011","Currency=USD","Period=FY","BEST_FPERIOD_OVERRIDE=FY","FILING_STATUS=MR","Sort=A","Dates=H","DateFormat=P","Fill=—","Direction=H","UseDPDF=Y")</f>
        <v>#NAME?</v>
      </c>
      <c r="F142" s="14" t="e">
        <f ca="1">_xll.BDH("ANSS US Equity","NUMBER_FINES_DATA_BREACHES","FY 2012","FY 2012","Currency=USD","Period=FY","BEST_FPERIOD_OVERRIDE=FY","FILING_STATUS=MR","Sort=A","Dates=H","DateFormat=P","Fill=—","Direction=H","UseDPDF=Y")</f>
        <v>#NAME?</v>
      </c>
      <c r="G142" s="14" t="e">
        <f ca="1">_xll.BDH("ANSS US Equity","NUMBER_FINES_DATA_BREACHES","FY 2013","FY 2013","Currency=USD","Period=FY","BEST_FPERIOD_OVERRIDE=FY","FILING_STATUS=MR","Sort=A","Dates=H","DateFormat=P","Fill=—","Direction=H","UseDPDF=Y")</f>
        <v>#NAME?</v>
      </c>
      <c r="H142" s="14" t="e">
        <f ca="1">_xll.BDH("ANSS US Equity","NUMBER_FINES_DATA_BREACHES","FY 2014","FY 2014","Currency=USD","Period=FY","BEST_FPERIOD_OVERRIDE=FY","FILING_STATUS=MR","Sort=A","Dates=H","DateFormat=P","Fill=—","Direction=H","UseDPDF=Y")</f>
        <v>#NAME?</v>
      </c>
      <c r="I142" s="14" t="e">
        <f ca="1">_xll.BDH("ANSS US Equity","NUMBER_FINES_DATA_BREACHES","FY 2015","FY 2015","Currency=USD","Period=FY","BEST_FPERIOD_OVERRIDE=FY","FILING_STATUS=MR","Sort=A","Dates=H","DateFormat=P","Fill=—","Direction=H","UseDPDF=Y")</f>
        <v>#NAME?</v>
      </c>
      <c r="J142" s="14" t="e">
        <f ca="1">_xll.BDH("ANSS US Equity","NUMBER_FINES_DATA_BREACHES","FY 2016","FY 2016","Currency=USD","Period=FY","BEST_FPERIOD_OVERRIDE=FY","FILING_STATUS=MR","Sort=A","Dates=H","DateFormat=P","Fill=—","Direction=H","UseDPDF=Y")</f>
        <v>#NAME?</v>
      </c>
      <c r="K142" s="14" t="e">
        <f ca="1">_xll.BDH("ANSS US Equity","NUMBER_FINES_DATA_BREACHES","FY 2017","FY 2017","Currency=USD","Period=FY","BEST_FPERIOD_OVERRIDE=FY","FILING_STATUS=MR","Sort=A","Dates=H","DateFormat=P","Fill=—","Direction=H","UseDPDF=Y")</f>
        <v>#NAME?</v>
      </c>
      <c r="L142" s="14" t="e">
        <f ca="1">_xll.BDH("ANSS US Equity","NUMBER_FINES_DATA_BREACHES","FY 2018","FY 2018","Currency=USD","Period=FY","BEST_FPERIOD_OVERRIDE=FY","FILING_STATUS=MR","Sort=A","Dates=H","DateFormat=P","Fill=—","Direction=H","UseDPDF=Y")</f>
        <v>#NAME?</v>
      </c>
      <c r="M142" s="14" t="e">
        <f ca="1">_xll.BDH("ANSS US Equity","NUMBER_FINES_DATA_BREACHES","FY 2019","FY 2019","Currency=USD","Period=FY","BEST_FPERIOD_OVERRIDE=FY","FILING_STATUS=MR","Sort=A","Dates=H","DateFormat=P","Fill=—","Direction=H","UseDPDF=Y")</f>
        <v>#NAME?</v>
      </c>
      <c r="N142" s="14" t="e">
        <f ca="1">_xll.BDH("ANSS US Equity","NUMBER_FINES_DATA_BREACHES","FY 2020","FY 2020","Currency=USD","Period=FY","BEST_FPERIOD_OVERRIDE=FY","FILING_STATUS=MR","Sort=A","Dates=H","DateFormat=P","Fill=—","Direction=H","UseDPDF=Y")</f>
        <v>#NAME?</v>
      </c>
      <c r="O142" s="14" t="e">
        <f ca="1">_xll.BDH("ANSS US Equity","NUMBER_FINES_DATA_BREACHES","FY 2021","FY 2021","Currency=USD","Period=FY","BEST_FPERIOD_OVERRIDE=FY","FILING_STATUS=MR","Sort=A","Dates=H","DateFormat=P","Fill=—","Direction=H","UseDPDF=Y")</f>
        <v>#NAME?</v>
      </c>
      <c r="P142" s="14" t="e">
        <f ca="1">_xll.BDH("ANSS US Equity","NUMBER_FINES_DATA_BREACHES","FY 2022","FY 2022","Currency=USD","Period=FY","BEST_FPERIOD_OVERRIDE=FY","FILING_STATUS=MR","Sort=A","Dates=H","DateFormat=P","Fill=—","Direction=H","UseDPDF=Y")</f>
        <v>#NAME?</v>
      </c>
      <c r="Q142" s="14" t="e">
        <f ca="1">_xll.BDH("ANSS US Equity","NUMBER_FINES_DATA_BREACHES","FY 2023","FY 2023","Currency=USD","Period=FY","BEST_FPERIOD_OVERRIDE=FY","FILING_STATUS=MR","Sort=A","Dates=H","DateFormat=P","Fill=—","Direction=H","UseDPDF=Y")</f>
        <v>#NAME?</v>
      </c>
    </row>
    <row r="143" spans="1:17" x14ac:dyDescent="0.45">
      <c r="A143" s="10" t="s">
        <v>1010</v>
      </c>
      <c r="B143" s="10" t="s">
        <v>1011</v>
      </c>
      <c r="C143" s="13" t="e">
        <f ca="1">_xll.BDH("ANSS US Equity","AMOUNT_FINES_DATA_BREACHES","FY 2009","FY 2009","Currency=USD","Period=FY","BEST_FPERIOD_OVERRIDE=FY","FILING_STATUS=MR","SCALING_FORMAT=MLN","Sort=A","Dates=H","DateFormat=P","Fill=—","Direction=H","UseDPDF=Y")</f>
        <v>#NAME?</v>
      </c>
      <c r="D143" s="13" t="e">
        <f ca="1">_xll.BDH("ANSS US Equity","AMOUNT_FINES_DATA_BREACHES","FY 2010","FY 2010","Currency=USD","Period=FY","BEST_FPERIOD_OVERRIDE=FY","FILING_STATUS=MR","SCALING_FORMAT=MLN","Sort=A","Dates=H","DateFormat=P","Fill=—","Direction=H","UseDPDF=Y")</f>
        <v>#NAME?</v>
      </c>
      <c r="E143" s="13" t="e">
        <f ca="1">_xll.BDH("ANSS US Equity","AMOUNT_FINES_DATA_BREACHES","FY 2011","FY 2011","Currency=USD","Period=FY","BEST_FPERIOD_OVERRIDE=FY","FILING_STATUS=MR","SCALING_FORMAT=MLN","Sort=A","Dates=H","DateFormat=P","Fill=—","Direction=H","UseDPDF=Y")</f>
        <v>#NAME?</v>
      </c>
      <c r="F143" s="13" t="e">
        <f ca="1">_xll.BDH("ANSS US Equity","AMOUNT_FINES_DATA_BREACHES","FY 2012","FY 2012","Currency=USD","Period=FY","BEST_FPERIOD_OVERRIDE=FY","FILING_STATUS=MR","SCALING_FORMAT=MLN","Sort=A","Dates=H","DateFormat=P","Fill=—","Direction=H","UseDPDF=Y")</f>
        <v>#NAME?</v>
      </c>
      <c r="G143" s="13" t="e">
        <f ca="1">_xll.BDH("ANSS US Equity","AMOUNT_FINES_DATA_BREACHES","FY 2013","FY 2013","Currency=USD","Period=FY","BEST_FPERIOD_OVERRIDE=FY","FILING_STATUS=MR","SCALING_FORMAT=MLN","Sort=A","Dates=H","DateFormat=P","Fill=—","Direction=H","UseDPDF=Y")</f>
        <v>#NAME?</v>
      </c>
      <c r="H143" s="13" t="e">
        <f ca="1">_xll.BDH("ANSS US Equity","AMOUNT_FINES_DATA_BREACHES","FY 2014","FY 2014","Currency=USD","Period=FY","BEST_FPERIOD_OVERRIDE=FY","FILING_STATUS=MR","SCALING_FORMAT=MLN","Sort=A","Dates=H","DateFormat=P","Fill=—","Direction=H","UseDPDF=Y")</f>
        <v>#NAME?</v>
      </c>
      <c r="I143" s="13" t="e">
        <f ca="1">_xll.BDH("ANSS US Equity","AMOUNT_FINES_DATA_BREACHES","FY 2015","FY 2015","Currency=USD","Period=FY","BEST_FPERIOD_OVERRIDE=FY","FILING_STATUS=MR","SCALING_FORMAT=MLN","Sort=A","Dates=H","DateFormat=P","Fill=—","Direction=H","UseDPDF=Y")</f>
        <v>#NAME?</v>
      </c>
      <c r="J143" s="13" t="e">
        <f ca="1">_xll.BDH("ANSS US Equity","AMOUNT_FINES_DATA_BREACHES","FY 2016","FY 2016","Currency=USD","Period=FY","BEST_FPERIOD_OVERRIDE=FY","FILING_STATUS=MR","SCALING_FORMAT=MLN","Sort=A","Dates=H","DateFormat=P","Fill=—","Direction=H","UseDPDF=Y")</f>
        <v>#NAME?</v>
      </c>
      <c r="K143" s="13" t="e">
        <f ca="1">_xll.BDH("ANSS US Equity","AMOUNT_FINES_DATA_BREACHES","FY 2017","FY 2017","Currency=USD","Period=FY","BEST_FPERIOD_OVERRIDE=FY","FILING_STATUS=MR","SCALING_FORMAT=MLN","Sort=A","Dates=H","DateFormat=P","Fill=—","Direction=H","UseDPDF=Y")</f>
        <v>#NAME?</v>
      </c>
      <c r="L143" s="13" t="e">
        <f ca="1">_xll.BDH("ANSS US Equity","AMOUNT_FINES_DATA_BREACHES","FY 2018","FY 2018","Currency=USD","Period=FY","BEST_FPERIOD_OVERRIDE=FY","FILING_STATUS=MR","SCALING_FORMAT=MLN","Sort=A","Dates=H","DateFormat=P","Fill=—","Direction=H","UseDPDF=Y")</f>
        <v>#NAME?</v>
      </c>
      <c r="M143" s="13" t="e">
        <f ca="1">_xll.BDH("ANSS US Equity","AMOUNT_FINES_DATA_BREACHES","FY 2019","FY 2019","Currency=USD","Period=FY","BEST_FPERIOD_OVERRIDE=FY","FILING_STATUS=MR","SCALING_FORMAT=MLN","Sort=A","Dates=H","DateFormat=P","Fill=—","Direction=H","UseDPDF=Y")</f>
        <v>#NAME?</v>
      </c>
      <c r="N143" s="13" t="e">
        <f ca="1">_xll.BDH("ANSS US Equity","AMOUNT_FINES_DATA_BREACHES","FY 2020","FY 2020","Currency=USD","Period=FY","BEST_FPERIOD_OVERRIDE=FY","FILING_STATUS=MR","SCALING_FORMAT=MLN","Sort=A","Dates=H","DateFormat=P","Fill=—","Direction=H","UseDPDF=Y")</f>
        <v>#NAME?</v>
      </c>
      <c r="O143" s="13" t="e">
        <f ca="1">_xll.BDH("ANSS US Equity","AMOUNT_FINES_DATA_BREACHES","FY 2021","FY 2021","Currency=USD","Period=FY","BEST_FPERIOD_OVERRIDE=FY","FILING_STATUS=MR","SCALING_FORMAT=MLN","Sort=A","Dates=H","DateFormat=P","Fill=—","Direction=H","UseDPDF=Y")</f>
        <v>#NAME?</v>
      </c>
      <c r="P143" s="13" t="e">
        <f ca="1">_xll.BDH("ANSS US Equity","AMOUNT_FINES_DATA_BREACHES","FY 2022","FY 2022","Currency=USD","Period=FY","BEST_FPERIOD_OVERRIDE=FY","FILING_STATUS=MR","SCALING_FORMAT=MLN","Sort=A","Dates=H","DateFormat=P","Fill=—","Direction=H","UseDPDF=Y")</f>
        <v>#NAME?</v>
      </c>
      <c r="Q143" s="13" t="e">
        <f ca="1">_xll.BDH("ANSS US Equity","AMOUNT_FINES_DATA_BREACHES","FY 2023","FY 2023","Currency=USD","Period=FY","BEST_FPERIOD_OVERRIDE=FY","FILING_STATUS=MR","SCALING_FORMAT=MLN","Sort=A","Dates=H","DateFormat=P","Fill=—","Direction=H","UseDPDF=Y")</f>
        <v>#NAME?</v>
      </c>
    </row>
    <row r="144" spans="1:17" x14ac:dyDescent="0.45">
      <c r="A144" s="7" t="s">
        <v>69</v>
      </c>
      <c r="B144" s="7"/>
      <c r="C144" s="7" t="s">
        <v>70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51"/>
  <sheetViews>
    <sheetView workbookViewId="0"/>
  </sheetViews>
  <sheetFormatPr defaultRowHeight="14.25" x14ac:dyDescent="0.45"/>
  <cols>
    <col min="1" max="1" width="35.1328125" customWidth="1"/>
    <col min="2" max="2" width="0" hidden="1" customWidth="1"/>
    <col min="3" max="17" width="11.86328125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65" x14ac:dyDescent="0.45">
      <c r="A2" s="8" t="s">
        <v>1012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45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1:17" x14ac:dyDescent="0.4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</row>
    <row r="6" spans="1:17" x14ac:dyDescent="0.45">
      <c r="A6" s="10" t="s">
        <v>674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45">
      <c r="A7" s="10" t="s">
        <v>1013</v>
      </c>
      <c r="B7" s="10" t="s">
        <v>1014</v>
      </c>
      <c r="C7" s="14" t="e">
        <f ca="1">_xll.BDH("ANSS US Equity","GOVERNANCE_SCORE","FY 2009","FY 2009","Currency=USD","Period=FY","BEST_FPERIOD_OVERRIDE=FY","FILING_STATUS=MR","Sort=A","Dates=H","DateFormat=P","Fill=—","Direction=H","UseDPDF=Y")</f>
        <v>#NAME?</v>
      </c>
      <c r="D7" s="14" t="e">
        <f ca="1">_xll.BDH("ANSS US Equity","GOVERNANCE_SCORE","FY 2010","FY 2010","Currency=USD","Period=FY","BEST_FPERIOD_OVERRIDE=FY","FILING_STATUS=MR","Sort=A","Dates=H","DateFormat=P","Fill=—","Direction=H","UseDPDF=Y")</f>
        <v>#NAME?</v>
      </c>
      <c r="E7" s="14" t="e">
        <f ca="1">_xll.BDH("ANSS US Equity","GOVERNANCE_SCORE","FY 2011","FY 2011","Currency=USD","Period=FY","BEST_FPERIOD_OVERRIDE=FY","FILING_STATUS=MR","Sort=A","Dates=H","DateFormat=P","Fill=—","Direction=H","UseDPDF=Y")</f>
        <v>#NAME?</v>
      </c>
      <c r="F7" s="14" t="e">
        <f ca="1">_xll.BDH("ANSS US Equity","GOVERNANCE_SCORE","FY 2012","FY 2012","Currency=USD","Period=FY","BEST_FPERIOD_OVERRIDE=FY","FILING_STATUS=MR","Sort=A","Dates=H","DateFormat=P","Fill=—","Direction=H","UseDPDF=Y")</f>
        <v>#NAME?</v>
      </c>
      <c r="G7" s="14" t="e">
        <f ca="1">_xll.BDH("ANSS US Equity","GOVERNANCE_SCORE","FY 2013","FY 2013","Currency=USD","Period=FY","BEST_FPERIOD_OVERRIDE=FY","FILING_STATUS=MR","Sort=A","Dates=H","DateFormat=P","Fill=—","Direction=H","UseDPDF=Y")</f>
        <v>#NAME?</v>
      </c>
      <c r="H7" s="14" t="e">
        <f ca="1">_xll.BDH("ANSS US Equity","GOVERNANCE_SCORE","FY 2014","FY 2014","Currency=USD","Period=FY","BEST_FPERIOD_OVERRIDE=FY","FILING_STATUS=MR","Sort=A","Dates=H","DateFormat=P","Fill=—","Direction=H","UseDPDF=Y")</f>
        <v>#NAME?</v>
      </c>
      <c r="I7" s="14" t="e">
        <f ca="1">_xll.BDH("ANSS US Equity","GOVERNANCE_SCORE","FY 2015","FY 2015","Currency=USD","Period=FY","BEST_FPERIOD_OVERRIDE=FY","FILING_STATUS=MR","Sort=A","Dates=H","DateFormat=P","Fill=—","Direction=H","UseDPDF=Y")</f>
        <v>#NAME?</v>
      </c>
      <c r="J7" s="14" t="e">
        <f ca="1">_xll.BDH("ANSS US Equity","GOVERNANCE_SCORE","FY 2016","FY 2016","Currency=USD","Period=FY","BEST_FPERIOD_OVERRIDE=FY","FILING_STATUS=MR","Sort=A","Dates=H","DateFormat=P","Fill=—","Direction=H","UseDPDF=Y")</f>
        <v>#NAME?</v>
      </c>
      <c r="K7" s="14" t="e">
        <f ca="1">_xll.BDH("ANSS US Equity","GOVERNANCE_SCORE","FY 2017","FY 2017","Currency=USD","Period=FY","BEST_FPERIOD_OVERRIDE=FY","FILING_STATUS=MR","Sort=A","Dates=H","DateFormat=P","Fill=—","Direction=H","UseDPDF=Y")</f>
        <v>#NAME?</v>
      </c>
      <c r="L7" s="14" t="e">
        <f ca="1">_xll.BDH("ANSS US Equity","GOVERNANCE_SCORE","FY 2018","FY 2018","Currency=USD","Period=FY","BEST_FPERIOD_OVERRIDE=FY","FILING_STATUS=MR","Sort=A","Dates=H","DateFormat=P","Fill=—","Direction=H","UseDPDF=Y")</f>
        <v>#NAME?</v>
      </c>
      <c r="M7" s="14" t="e">
        <f ca="1">_xll.BDH("ANSS US Equity","GOVERNANCE_SCORE","FY 2019","FY 2019","Currency=USD","Period=FY","BEST_FPERIOD_OVERRIDE=FY","FILING_STATUS=MR","Sort=A","Dates=H","DateFormat=P","Fill=—","Direction=H","UseDPDF=Y")</f>
        <v>#NAME?</v>
      </c>
      <c r="N7" s="14" t="e">
        <f ca="1">_xll.BDH("ANSS US Equity","GOVERNANCE_SCORE","FY 2020","FY 2020","Currency=USD","Period=FY","BEST_FPERIOD_OVERRIDE=FY","FILING_STATUS=MR","Sort=A","Dates=H","DateFormat=P","Fill=—","Direction=H","UseDPDF=Y")</f>
        <v>#NAME?</v>
      </c>
      <c r="O7" s="14" t="e">
        <f ca="1">_xll.BDH("ANSS US Equity","GOVERNANCE_SCORE","FY 2021","FY 2021","Currency=USD","Period=FY","BEST_FPERIOD_OVERRIDE=FY","FILING_STATUS=MR","Sort=A","Dates=H","DateFormat=P","Fill=—","Direction=H","UseDPDF=Y")</f>
        <v>#NAME?</v>
      </c>
      <c r="P7" s="14" t="e">
        <f ca="1">_xll.BDH("ANSS US Equity","GOVERNANCE_SCORE","FY 2022","FY 2022","Currency=USD","Period=FY","BEST_FPERIOD_OVERRIDE=FY","FILING_STATUS=MR","Sort=A","Dates=H","DateFormat=P","Fill=—","Direction=H","UseDPDF=Y")</f>
        <v>#NAME?</v>
      </c>
      <c r="Q7" s="14" t="e">
        <f ca="1">_xll.BDH("ANSS US Equity","GOVERNANCE_SCORE","FY 2023","FY 2023","Currency=USD","Period=FY","BEST_FPERIOD_OVERRIDE=FY","FILING_STATUS=MR","Sort=A","Dates=H","DateFormat=P","Fill=—","Direction=H","UseDPDF=Y")</f>
        <v>#NAME?</v>
      </c>
    </row>
    <row r="8" spans="1:17" x14ac:dyDescent="0.45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45">
      <c r="A9" s="10" t="s">
        <v>677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45">
      <c r="A10" s="10" t="s">
        <v>486</v>
      </c>
      <c r="B10" s="10" t="s">
        <v>487</v>
      </c>
      <c r="C10" s="14" t="e">
        <f ca="1">_xll.BDH("ANSS US Equity","GOVNCE_DISCLOSURE_SCORE","FY 2009","FY 2009","Currency=USD","Period=FY","BEST_FPERIOD_OVERRIDE=FY","FILING_STATUS=MR","Sort=A","Dates=H","DateFormat=P","Fill=—","Direction=H","UseDPDF=Y")</f>
        <v>#NAME?</v>
      </c>
      <c r="D10" s="14" t="e">
        <f ca="1">_xll.BDH("ANSS US Equity","GOVNCE_DISCLOSURE_SCORE","FY 2010","FY 2010","Currency=USD","Period=FY","BEST_FPERIOD_OVERRIDE=FY","FILING_STATUS=MR","Sort=A","Dates=H","DateFormat=P","Fill=—","Direction=H","UseDPDF=Y")</f>
        <v>#NAME?</v>
      </c>
      <c r="E10" s="14" t="e">
        <f ca="1">_xll.BDH("ANSS US Equity","GOVNCE_DISCLOSURE_SCORE","FY 2011","FY 2011","Currency=USD","Period=FY","BEST_FPERIOD_OVERRIDE=FY","FILING_STATUS=MR","Sort=A","Dates=H","DateFormat=P","Fill=—","Direction=H","UseDPDF=Y")</f>
        <v>#NAME?</v>
      </c>
      <c r="F10" s="14" t="e">
        <f ca="1">_xll.BDH("ANSS US Equity","GOVNCE_DISCLOSURE_SCORE","FY 2012","FY 2012","Currency=USD","Period=FY","BEST_FPERIOD_OVERRIDE=FY","FILING_STATUS=MR","Sort=A","Dates=H","DateFormat=P","Fill=—","Direction=H","UseDPDF=Y")</f>
        <v>#NAME?</v>
      </c>
      <c r="G10" s="14" t="e">
        <f ca="1">_xll.BDH("ANSS US Equity","GOVNCE_DISCLOSURE_SCORE","FY 2013","FY 2013","Currency=USD","Period=FY","BEST_FPERIOD_OVERRIDE=FY","FILING_STATUS=MR","Sort=A","Dates=H","DateFormat=P","Fill=—","Direction=H","UseDPDF=Y")</f>
        <v>#NAME?</v>
      </c>
      <c r="H10" s="14" t="e">
        <f ca="1">_xll.BDH("ANSS US Equity","GOVNCE_DISCLOSURE_SCORE","FY 2014","FY 2014","Currency=USD","Period=FY","BEST_FPERIOD_OVERRIDE=FY","FILING_STATUS=MR","Sort=A","Dates=H","DateFormat=P","Fill=—","Direction=H","UseDPDF=Y")</f>
        <v>#NAME?</v>
      </c>
      <c r="I10" s="14" t="e">
        <f ca="1">_xll.BDH("ANSS US Equity","GOVNCE_DISCLOSURE_SCORE","FY 2015","FY 2015","Currency=USD","Period=FY","BEST_FPERIOD_OVERRIDE=FY","FILING_STATUS=MR","Sort=A","Dates=H","DateFormat=P","Fill=—","Direction=H","UseDPDF=Y")</f>
        <v>#NAME?</v>
      </c>
      <c r="J10" s="14" t="e">
        <f ca="1">_xll.BDH("ANSS US Equity","GOVNCE_DISCLOSURE_SCORE","FY 2016","FY 2016","Currency=USD","Period=FY","BEST_FPERIOD_OVERRIDE=FY","FILING_STATUS=MR","Sort=A","Dates=H","DateFormat=P","Fill=—","Direction=H","UseDPDF=Y")</f>
        <v>#NAME?</v>
      </c>
      <c r="K10" s="14" t="e">
        <f ca="1">_xll.BDH("ANSS US Equity","GOVNCE_DISCLOSURE_SCORE","FY 2017","FY 2017","Currency=USD","Period=FY","BEST_FPERIOD_OVERRIDE=FY","FILING_STATUS=MR","Sort=A","Dates=H","DateFormat=P","Fill=—","Direction=H","UseDPDF=Y")</f>
        <v>#NAME?</v>
      </c>
      <c r="L10" s="14" t="e">
        <f ca="1">_xll.BDH("ANSS US Equity","GOVNCE_DISCLOSURE_SCORE","FY 2018","FY 2018","Currency=USD","Period=FY","BEST_FPERIOD_OVERRIDE=FY","FILING_STATUS=MR","Sort=A","Dates=H","DateFormat=P","Fill=—","Direction=H","UseDPDF=Y")</f>
        <v>#NAME?</v>
      </c>
      <c r="M10" s="14" t="e">
        <f ca="1">_xll.BDH("ANSS US Equity","GOVNCE_DISCLOSURE_SCORE","FY 2019","FY 2019","Currency=USD","Period=FY","BEST_FPERIOD_OVERRIDE=FY","FILING_STATUS=MR","Sort=A","Dates=H","DateFormat=P","Fill=—","Direction=H","UseDPDF=Y")</f>
        <v>#NAME?</v>
      </c>
      <c r="N10" s="14" t="e">
        <f ca="1">_xll.BDH("ANSS US Equity","GOVNCE_DISCLOSURE_SCORE","FY 2020","FY 2020","Currency=USD","Period=FY","BEST_FPERIOD_OVERRIDE=FY","FILING_STATUS=MR","Sort=A","Dates=H","DateFormat=P","Fill=—","Direction=H","UseDPDF=Y")</f>
        <v>#NAME?</v>
      </c>
      <c r="O10" s="14" t="e">
        <f ca="1">_xll.BDH("ANSS US Equity","GOVNCE_DISCLOSURE_SCORE","FY 2021","FY 2021","Currency=USD","Period=FY","BEST_FPERIOD_OVERRIDE=FY","FILING_STATUS=MR","Sort=A","Dates=H","DateFormat=P","Fill=—","Direction=H","UseDPDF=Y")</f>
        <v>#NAME?</v>
      </c>
      <c r="P10" s="14" t="e">
        <f ca="1">_xll.BDH("ANSS US Equity","GOVNCE_DISCLOSURE_SCORE","FY 2022","FY 2022","Currency=USD","Period=FY","BEST_FPERIOD_OVERRIDE=FY","FILING_STATUS=MR","Sort=A","Dates=H","DateFormat=P","Fill=—","Direction=H","UseDPDF=Y")</f>
        <v>#NAME?</v>
      </c>
      <c r="Q10" s="14" t="e">
        <f ca="1">_xll.BDH("ANSS US Equity","GOVNCE_DISCLOSURE_SCORE","FY 2023","FY 2023","Currency=USD","Period=FY","BEST_FPERIOD_OVERRIDE=FY","FILING_STATUS=MR","Sort=A","Dates=H","DateFormat=P","Fill=—","Direction=H","UseDPDF=Y")</f>
        <v>#NAME?</v>
      </c>
    </row>
    <row r="11" spans="1:17" x14ac:dyDescent="0.4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45">
      <c r="A12" s="10" t="s">
        <v>1015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45">
      <c r="A13" s="10" t="s">
        <v>1016</v>
      </c>
      <c r="B13" s="10" t="s">
        <v>1017</v>
      </c>
      <c r="C13" s="14" t="e">
        <f ca="1">_xll.BDH("ANSS US Equity","BOARD_SIZE","FY 2009","FY 2009","Currency=USD","Period=FY","BEST_FPERIOD_OVERRIDE=FY","FILING_STATUS=MR","Sort=A","Dates=H","DateFormat=P","Fill=—","Direction=H","UseDPDF=Y")</f>
        <v>#NAME?</v>
      </c>
      <c r="D13" s="14" t="e">
        <f ca="1">_xll.BDH("ANSS US Equity","BOARD_SIZE","FY 2010","FY 2010","Currency=USD","Period=FY","BEST_FPERIOD_OVERRIDE=FY","FILING_STATUS=MR","Sort=A","Dates=H","DateFormat=P","Fill=—","Direction=H","UseDPDF=Y")</f>
        <v>#NAME?</v>
      </c>
      <c r="E13" s="14" t="e">
        <f ca="1">_xll.BDH("ANSS US Equity","BOARD_SIZE","FY 2011","FY 2011","Currency=USD","Period=FY","BEST_FPERIOD_OVERRIDE=FY","FILING_STATUS=MR","Sort=A","Dates=H","DateFormat=P","Fill=—","Direction=H","UseDPDF=Y")</f>
        <v>#NAME?</v>
      </c>
      <c r="F13" s="14" t="e">
        <f ca="1">_xll.BDH("ANSS US Equity","BOARD_SIZE","FY 2012","FY 2012","Currency=USD","Period=FY","BEST_FPERIOD_OVERRIDE=FY","FILING_STATUS=MR","Sort=A","Dates=H","DateFormat=P","Fill=—","Direction=H","UseDPDF=Y")</f>
        <v>#NAME?</v>
      </c>
      <c r="G13" s="14" t="e">
        <f ca="1">_xll.BDH("ANSS US Equity","BOARD_SIZE","FY 2013","FY 2013","Currency=USD","Period=FY","BEST_FPERIOD_OVERRIDE=FY","FILING_STATUS=MR","Sort=A","Dates=H","DateFormat=P","Fill=—","Direction=H","UseDPDF=Y")</f>
        <v>#NAME?</v>
      </c>
      <c r="H13" s="14" t="e">
        <f ca="1">_xll.BDH("ANSS US Equity","BOARD_SIZE","FY 2014","FY 2014","Currency=USD","Period=FY","BEST_FPERIOD_OVERRIDE=FY","FILING_STATUS=MR","Sort=A","Dates=H","DateFormat=P","Fill=—","Direction=H","UseDPDF=Y")</f>
        <v>#NAME?</v>
      </c>
      <c r="I13" s="14" t="e">
        <f ca="1">_xll.BDH("ANSS US Equity","BOARD_SIZE","FY 2015","FY 2015","Currency=USD","Period=FY","BEST_FPERIOD_OVERRIDE=FY","FILING_STATUS=MR","Sort=A","Dates=H","DateFormat=P","Fill=—","Direction=H","UseDPDF=Y")</f>
        <v>#NAME?</v>
      </c>
      <c r="J13" s="14" t="e">
        <f ca="1">_xll.BDH("ANSS US Equity","BOARD_SIZE","FY 2016","FY 2016","Currency=USD","Period=FY","BEST_FPERIOD_OVERRIDE=FY","FILING_STATUS=MR","Sort=A","Dates=H","DateFormat=P","Fill=—","Direction=H","UseDPDF=Y")</f>
        <v>#NAME?</v>
      </c>
      <c r="K13" s="14" t="e">
        <f ca="1">_xll.BDH("ANSS US Equity","BOARD_SIZE","FY 2017","FY 2017","Currency=USD","Period=FY","BEST_FPERIOD_OVERRIDE=FY","FILING_STATUS=MR","Sort=A","Dates=H","DateFormat=P","Fill=—","Direction=H","UseDPDF=Y")</f>
        <v>#NAME?</v>
      </c>
      <c r="L13" s="14" t="e">
        <f ca="1">_xll.BDH("ANSS US Equity","BOARD_SIZE","FY 2018","FY 2018","Currency=USD","Period=FY","BEST_FPERIOD_OVERRIDE=FY","FILING_STATUS=MR","Sort=A","Dates=H","DateFormat=P","Fill=—","Direction=H","UseDPDF=Y")</f>
        <v>#NAME?</v>
      </c>
      <c r="M13" s="14" t="e">
        <f ca="1">_xll.BDH("ANSS US Equity","BOARD_SIZE","FY 2019","FY 2019","Currency=USD","Period=FY","BEST_FPERIOD_OVERRIDE=FY","FILING_STATUS=MR","Sort=A","Dates=H","DateFormat=P","Fill=—","Direction=H","UseDPDF=Y")</f>
        <v>#NAME?</v>
      </c>
      <c r="N13" s="14" t="e">
        <f ca="1">_xll.BDH("ANSS US Equity","BOARD_SIZE","FY 2020","FY 2020","Currency=USD","Period=FY","BEST_FPERIOD_OVERRIDE=FY","FILING_STATUS=MR","Sort=A","Dates=H","DateFormat=P","Fill=—","Direction=H","UseDPDF=Y")</f>
        <v>#NAME?</v>
      </c>
      <c r="O13" s="14" t="e">
        <f ca="1">_xll.BDH("ANSS US Equity","BOARD_SIZE","FY 2021","FY 2021","Currency=USD","Period=FY","BEST_FPERIOD_OVERRIDE=FY","FILING_STATUS=MR","Sort=A","Dates=H","DateFormat=P","Fill=—","Direction=H","UseDPDF=Y")</f>
        <v>#NAME?</v>
      </c>
      <c r="P13" s="14" t="e">
        <f ca="1">_xll.BDH("ANSS US Equity","BOARD_SIZE","FY 2022","FY 2022","Currency=USD","Period=FY","BEST_FPERIOD_OVERRIDE=FY","FILING_STATUS=MR","Sort=A","Dates=H","DateFormat=P","Fill=—","Direction=H","UseDPDF=Y")</f>
        <v>#NAME?</v>
      </c>
      <c r="Q13" s="14" t="e">
        <f ca="1">_xll.BDH("ANSS US Equity","BOARD_SIZE","FY 2023","FY 2023","Currency=USD","Period=FY","BEST_FPERIOD_OVERRIDE=FY","FILING_STATUS=MR","Sort=A","Dates=H","DateFormat=P","Fill=—","Direction=H","UseDPDF=Y")</f>
        <v>#NAME?</v>
      </c>
    </row>
    <row r="14" spans="1:17" x14ac:dyDescent="0.45">
      <c r="A14" s="10" t="s">
        <v>1018</v>
      </c>
      <c r="B14" s="10" t="s">
        <v>1019</v>
      </c>
      <c r="C14" s="14" t="e">
        <f ca="1">_xll.BDH("ANSS US Equity","UNITARY_OR_TWO_TIER_BOARD_SYSTEM","FY 2009","FY 2009","Currency=USD","Period=FY","BEST_FPERIOD_OVERRIDE=FY","FILING_STATUS=MR","Sort=A","Dates=H","DateFormat=P","Fill=—","Direction=H","UseDPDF=Y")</f>
        <v>#NAME?</v>
      </c>
      <c r="D14" s="14" t="e">
        <f ca="1">_xll.BDH("ANSS US Equity","UNITARY_OR_TWO_TIER_BOARD_SYSTEM","FY 2010","FY 2010","Currency=USD","Period=FY","BEST_FPERIOD_OVERRIDE=FY","FILING_STATUS=MR","Sort=A","Dates=H","DateFormat=P","Fill=—","Direction=H","UseDPDF=Y")</f>
        <v>#NAME?</v>
      </c>
      <c r="E14" s="14" t="e">
        <f ca="1">_xll.BDH("ANSS US Equity","UNITARY_OR_TWO_TIER_BOARD_SYSTEM","FY 2011","FY 2011","Currency=USD","Period=FY","BEST_FPERIOD_OVERRIDE=FY","FILING_STATUS=MR","Sort=A","Dates=H","DateFormat=P","Fill=—","Direction=H","UseDPDF=Y")</f>
        <v>#NAME?</v>
      </c>
      <c r="F14" s="14" t="e">
        <f ca="1">_xll.BDH("ANSS US Equity","UNITARY_OR_TWO_TIER_BOARD_SYSTEM","FY 2012","FY 2012","Currency=USD","Period=FY","BEST_FPERIOD_OVERRIDE=FY","FILING_STATUS=MR","Sort=A","Dates=H","DateFormat=P","Fill=—","Direction=H","UseDPDF=Y")</f>
        <v>#NAME?</v>
      </c>
      <c r="G14" s="14" t="e">
        <f ca="1">_xll.BDH("ANSS US Equity","UNITARY_OR_TWO_TIER_BOARD_SYSTEM","FY 2013","FY 2013","Currency=USD","Period=FY","BEST_FPERIOD_OVERRIDE=FY","FILING_STATUS=MR","Sort=A","Dates=H","DateFormat=P","Fill=—","Direction=H","UseDPDF=Y")</f>
        <v>#NAME?</v>
      </c>
      <c r="H14" s="14" t="e">
        <f ca="1">_xll.BDH("ANSS US Equity","UNITARY_OR_TWO_TIER_BOARD_SYSTEM","FY 2014","FY 2014","Currency=USD","Period=FY","BEST_FPERIOD_OVERRIDE=FY","FILING_STATUS=MR","Sort=A","Dates=H","DateFormat=P","Fill=—","Direction=H","UseDPDF=Y")</f>
        <v>#NAME?</v>
      </c>
      <c r="I14" s="14" t="e">
        <f ca="1">_xll.BDH("ANSS US Equity","UNITARY_OR_TWO_TIER_BOARD_SYSTEM","FY 2015","FY 2015","Currency=USD","Period=FY","BEST_FPERIOD_OVERRIDE=FY","FILING_STATUS=MR","Sort=A","Dates=H","DateFormat=P","Fill=—","Direction=H","UseDPDF=Y")</f>
        <v>#NAME?</v>
      </c>
      <c r="J14" s="14" t="e">
        <f ca="1">_xll.BDH("ANSS US Equity","UNITARY_OR_TWO_TIER_BOARD_SYSTEM","FY 2016","FY 2016","Currency=USD","Period=FY","BEST_FPERIOD_OVERRIDE=FY","FILING_STATUS=MR","Sort=A","Dates=H","DateFormat=P","Fill=—","Direction=H","UseDPDF=Y")</f>
        <v>#NAME?</v>
      </c>
      <c r="K14" s="14" t="e">
        <f ca="1">_xll.BDH("ANSS US Equity","UNITARY_OR_TWO_TIER_BOARD_SYSTEM","FY 2017","FY 2017","Currency=USD","Period=FY","BEST_FPERIOD_OVERRIDE=FY","FILING_STATUS=MR","Sort=A","Dates=H","DateFormat=P","Fill=—","Direction=H","UseDPDF=Y")</f>
        <v>#NAME?</v>
      </c>
      <c r="L14" s="14" t="e">
        <f ca="1">_xll.BDH("ANSS US Equity","UNITARY_OR_TWO_TIER_BOARD_SYSTEM","FY 2018","FY 2018","Currency=USD","Period=FY","BEST_FPERIOD_OVERRIDE=FY","FILING_STATUS=MR","Sort=A","Dates=H","DateFormat=P","Fill=—","Direction=H","UseDPDF=Y")</f>
        <v>#NAME?</v>
      </c>
      <c r="M14" s="14" t="e">
        <f ca="1">_xll.BDH("ANSS US Equity","UNITARY_OR_TWO_TIER_BOARD_SYSTEM","FY 2019","FY 2019","Currency=USD","Period=FY","BEST_FPERIOD_OVERRIDE=FY","FILING_STATUS=MR","Sort=A","Dates=H","DateFormat=P","Fill=—","Direction=H","UseDPDF=Y")</f>
        <v>#NAME?</v>
      </c>
      <c r="N14" s="14" t="e">
        <f ca="1">_xll.BDH("ANSS US Equity","UNITARY_OR_TWO_TIER_BOARD_SYSTEM","FY 2020","FY 2020","Currency=USD","Period=FY","BEST_FPERIOD_OVERRIDE=FY","FILING_STATUS=MR","Sort=A","Dates=H","DateFormat=P","Fill=—","Direction=H","UseDPDF=Y")</f>
        <v>#NAME?</v>
      </c>
      <c r="O14" s="14" t="e">
        <f ca="1">_xll.BDH("ANSS US Equity","UNITARY_OR_TWO_TIER_BOARD_SYSTEM","FY 2021","FY 2021","Currency=USD","Period=FY","BEST_FPERIOD_OVERRIDE=FY","FILING_STATUS=MR","Sort=A","Dates=H","DateFormat=P","Fill=—","Direction=H","UseDPDF=Y")</f>
        <v>#NAME?</v>
      </c>
      <c r="P14" s="14" t="e">
        <f ca="1">_xll.BDH("ANSS US Equity","UNITARY_OR_TWO_TIER_BOARD_SYSTEM","FY 2022","FY 2022","Currency=USD","Period=FY","BEST_FPERIOD_OVERRIDE=FY","FILING_STATUS=MR","Sort=A","Dates=H","DateFormat=P","Fill=—","Direction=H","UseDPDF=Y")</f>
        <v>#NAME?</v>
      </c>
      <c r="Q14" s="14" t="e">
        <f ca="1">_xll.BDH("ANSS US Equity","UNITARY_OR_TWO_TIER_BOARD_SYSTEM","FY 2023","FY 2023","Currency=USD","Period=FY","BEST_FPERIOD_OVERRIDE=FY","FILING_STATUS=MR","Sort=A","Dates=H","DateFormat=P","Fill=—","Direction=H","UseDPDF=Y")</f>
        <v>#NAME?</v>
      </c>
    </row>
    <row r="15" spans="1:17" x14ac:dyDescent="0.45">
      <c r="A15" s="10" t="s">
        <v>1020</v>
      </c>
      <c r="B15" s="10" t="s">
        <v>1021</v>
      </c>
      <c r="C15" s="14" t="e">
        <f ca="1">_xll.BDH("ANSS US Equity","NUM_EMP_REPRESENTATIVES_BRD","FY 2009","FY 2009","Currency=USD","Period=FY","BEST_FPERIOD_OVERRIDE=FY","FILING_STATUS=MR","Sort=A","Dates=H","DateFormat=P","Fill=—","Direction=H","UseDPDF=Y")</f>
        <v>#NAME?</v>
      </c>
      <c r="D15" s="14" t="e">
        <f ca="1">_xll.BDH("ANSS US Equity","NUM_EMP_REPRESENTATIVES_BRD","FY 2010","FY 2010","Currency=USD","Period=FY","BEST_FPERIOD_OVERRIDE=FY","FILING_STATUS=MR","Sort=A","Dates=H","DateFormat=P","Fill=—","Direction=H","UseDPDF=Y")</f>
        <v>#NAME?</v>
      </c>
      <c r="E15" s="14" t="e">
        <f ca="1">_xll.BDH("ANSS US Equity","NUM_EMP_REPRESENTATIVES_BRD","FY 2011","FY 2011","Currency=USD","Period=FY","BEST_FPERIOD_OVERRIDE=FY","FILING_STATUS=MR","Sort=A","Dates=H","DateFormat=P","Fill=—","Direction=H","UseDPDF=Y")</f>
        <v>#NAME?</v>
      </c>
      <c r="F15" s="14" t="e">
        <f ca="1">_xll.BDH("ANSS US Equity","NUM_EMP_REPRESENTATIVES_BRD","FY 2012","FY 2012","Currency=USD","Period=FY","BEST_FPERIOD_OVERRIDE=FY","FILING_STATUS=MR","Sort=A","Dates=H","DateFormat=P","Fill=—","Direction=H","UseDPDF=Y")</f>
        <v>#NAME?</v>
      </c>
      <c r="G15" s="14" t="e">
        <f ca="1">_xll.BDH("ANSS US Equity","NUM_EMP_REPRESENTATIVES_BRD","FY 2013","FY 2013","Currency=USD","Period=FY","BEST_FPERIOD_OVERRIDE=FY","FILING_STATUS=MR","Sort=A","Dates=H","DateFormat=P","Fill=—","Direction=H","UseDPDF=Y")</f>
        <v>#NAME?</v>
      </c>
      <c r="H15" s="14" t="e">
        <f ca="1">_xll.BDH("ANSS US Equity","NUM_EMP_REPRESENTATIVES_BRD","FY 2014","FY 2014","Currency=USD","Period=FY","BEST_FPERIOD_OVERRIDE=FY","FILING_STATUS=MR","Sort=A","Dates=H","DateFormat=P","Fill=—","Direction=H","UseDPDF=Y")</f>
        <v>#NAME?</v>
      </c>
      <c r="I15" s="14" t="e">
        <f ca="1">_xll.BDH("ANSS US Equity","NUM_EMP_REPRESENTATIVES_BRD","FY 2015","FY 2015","Currency=USD","Period=FY","BEST_FPERIOD_OVERRIDE=FY","FILING_STATUS=MR","Sort=A","Dates=H","DateFormat=P","Fill=—","Direction=H","UseDPDF=Y")</f>
        <v>#NAME?</v>
      </c>
      <c r="J15" s="14" t="e">
        <f ca="1">_xll.BDH("ANSS US Equity","NUM_EMP_REPRESENTATIVES_BRD","FY 2016","FY 2016","Currency=USD","Period=FY","BEST_FPERIOD_OVERRIDE=FY","FILING_STATUS=MR","Sort=A","Dates=H","DateFormat=P","Fill=—","Direction=H","UseDPDF=Y")</f>
        <v>#NAME?</v>
      </c>
      <c r="K15" s="14" t="e">
        <f ca="1">_xll.BDH("ANSS US Equity","NUM_EMP_REPRESENTATIVES_BRD","FY 2017","FY 2017","Currency=USD","Period=FY","BEST_FPERIOD_OVERRIDE=FY","FILING_STATUS=MR","Sort=A","Dates=H","DateFormat=P","Fill=—","Direction=H","UseDPDF=Y")</f>
        <v>#NAME?</v>
      </c>
      <c r="L15" s="14" t="e">
        <f ca="1">_xll.BDH("ANSS US Equity","NUM_EMP_REPRESENTATIVES_BRD","FY 2018","FY 2018","Currency=USD","Period=FY","BEST_FPERIOD_OVERRIDE=FY","FILING_STATUS=MR","Sort=A","Dates=H","DateFormat=P","Fill=—","Direction=H","UseDPDF=Y")</f>
        <v>#NAME?</v>
      </c>
      <c r="M15" s="14" t="e">
        <f ca="1">_xll.BDH("ANSS US Equity","NUM_EMP_REPRESENTATIVES_BRD","FY 2019","FY 2019","Currency=USD","Period=FY","BEST_FPERIOD_OVERRIDE=FY","FILING_STATUS=MR","Sort=A","Dates=H","DateFormat=P","Fill=—","Direction=H","UseDPDF=Y")</f>
        <v>#NAME?</v>
      </c>
      <c r="N15" s="14" t="e">
        <f ca="1">_xll.BDH("ANSS US Equity","NUM_EMP_REPRESENTATIVES_BRD","FY 2020","FY 2020","Currency=USD","Period=FY","BEST_FPERIOD_OVERRIDE=FY","FILING_STATUS=MR","Sort=A","Dates=H","DateFormat=P","Fill=—","Direction=H","UseDPDF=Y")</f>
        <v>#NAME?</v>
      </c>
      <c r="O15" s="14" t="e">
        <f ca="1">_xll.BDH("ANSS US Equity","NUM_EMP_REPRESENTATIVES_BRD","FY 2021","FY 2021","Currency=USD","Period=FY","BEST_FPERIOD_OVERRIDE=FY","FILING_STATUS=MR","Sort=A","Dates=H","DateFormat=P","Fill=—","Direction=H","UseDPDF=Y")</f>
        <v>#NAME?</v>
      </c>
      <c r="P15" s="14" t="e">
        <f ca="1">_xll.BDH("ANSS US Equity","NUM_EMP_REPRESENTATIVES_BRD","FY 2022","FY 2022","Currency=USD","Period=FY","BEST_FPERIOD_OVERRIDE=FY","FILING_STATUS=MR","Sort=A","Dates=H","DateFormat=P","Fill=—","Direction=H","UseDPDF=Y")</f>
        <v>#NAME?</v>
      </c>
      <c r="Q15" s="14" t="e">
        <f ca="1">_xll.BDH("ANSS US Equity","NUM_EMP_REPRESENTATIVES_BRD","FY 2023","FY 2023","Currency=USD","Period=FY","BEST_FPERIOD_OVERRIDE=FY","FILING_STATUS=MR","Sort=A","Dates=H","DateFormat=P","Fill=—","Direction=H","UseDPDF=Y")</f>
        <v>#NAME?</v>
      </c>
    </row>
    <row r="16" spans="1:17" x14ac:dyDescent="0.45">
      <c r="A16" s="10" t="s">
        <v>1022</v>
      </c>
      <c r="B16" s="10" t="s">
        <v>1023</v>
      </c>
      <c r="C16" s="12" t="s">
        <v>684</v>
      </c>
      <c r="D16" s="12" t="s">
        <v>684</v>
      </c>
      <c r="E16" s="12" t="s">
        <v>684</v>
      </c>
      <c r="F16" s="12" t="s">
        <v>684</v>
      </c>
      <c r="G16" s="12" t="s">
        <v>684</v>
      </c>
      <c r="H16" s="12" t="s">
        <v>684</v>
      </c>
      <c r="I16" s="12" t="s">
        <v>684</v>
      </c>
      <c r="J16" s="12" t="s">
        <v>684</v>
      </c>
      <c r="K16" s="12" t="s">
        <v>684</v>
      </c>
      <c r="L16" s="12" t="s">
        <v>684</v>
      </c>
      <c r="M16" s="12" t="s">
        <v>684</v>
      </c>
      <c r="N16" s="12" t="s">
        <v>684</v>
      </c>
      <c r="O16" s="12" t="s">
        <v>684</v>
      </c>
      <c r="P16" s="12" t="s">
        <v>684</v>
      </c>
      <c r="Q16" s="12" t="s">
        <v>684</v>
      </c>
    </row>
    <row r="17" spans="1:17" x14ac:dyDescent="0.4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45">
      <c r="A18" s="10" t="s">
        <v>1024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45">
      <c r="A19" s="10" t="s">
        <v>1025</v>
      </c>
      <c r="B19" s="10" t="s">
        <v>1026</v>
      </c>
      <c r="C19" s="14" t="e">
        <f ca="1">_xll.BDH("ANSS US Equity","NUM_OF_NONEXEC_DIR_ON_BRD","FY 2009","FY 2009","Currency=USD","Period=FY","BEST_FPERIOD_OVERRIDE=FY","FILING_STATUS=MR","Sort=A","Dates=H","DateFormat=P","Fill=—","Direction=H","UseDPDF=Y")</f>
        <v>#NAME?</v>
      </c>
      <c r="D19" s="14" t="e">
        <f ca="1">_xll.BDH("ANSS US Equity","NUM_OF_NONEXEC_DIR_ON_BRD","FY 2010","FY 2010","Currency=USD","Period=FY","BEST_FPERIOD_OVERRIDE=FY","FILING_STATUS=MR","Sort=A","Dates=H","DateFormat=P","Fill=—","Direction=H","UseDPDF=Y")</f>
        <v>#NAME?</v>
      </c>
      <c r="E19" s="14" t="e">
        <f ca="1">_xll.BDH("ANSS US Equity","NUM_OF_NONEXEC_DIR_ON_BRD","FY 2011","FY 2011","Currency=USD","Period=FY","BEST_FPERIOD_OVERRIDE=FY","FILING_STATUS=MR","Sort=A","Dates=H","DateFormat=P","Fill=—","Direction=H","UseDPDF=Y")</f>
        <v>#NAME?</v>
      </c>
      <c r="F19" s="14" t="e">
        <f ca="1">_xll.BDH("ANSS US Equity","NUM_OF_NONEXEC_DIR_ON_BRD","FY 2012","FY 2012","Currency=USD","Period=FY","BEST_FPERIOD_OVERRIDE=FY","FILING_STATUS=MR","Sort=A","Dates=H","DateFormat=P","Fill=—","Direction=H","UseDPDF=Y")</f>
        <v>#NAME?</v>
      </c>
      <c r="G19" s="14" t="e">
        <f ca="1">_xll.BDH("ANSS US Equity","NUM_OF_NONEXEC_DIR_ON_BRD","FY 2013","FY 2013","Currency=USD","Period=FY","BEST_FPERIOD_OVERRIDE=FY","FILING_STATUS=MR","Sort=A","Dates=H","DateFormat=P","Fill=—","Direction=H","UseDPDF=Y")</f>
        <v>#NAME?</v>
      </c>
      <c r="H19" s="14" t="e">
        <f ca="1">_xll.BDH("ANSS US Equity","NUM_OF_NONEXEC_DIR_ON_BRD","FY 2014","FY 2014","Currency=USD","Period=FY","BEST_FPERIOD_OVERRIDE=FY","FILING_STATUS=MR","Sort=A","Dates=H","DateFormat=P","Fill=—","Direction=H","UseDPDF=Y")</f>
        <v>#NAME?</v>
      </c>
      <c r="I19" s="14" t="e">
        <f ca="1">_xll.BDH("ANSS US Equity","NUM_OF_NONEXEC_DIR_ON_BRD","FY 2015","FY 2015","Currency=USD","Period=FY","BEST_FPERIOD_OVERRIDE=FY","FILING_STATUS=MR","Sort=A","Dates=H","DateFormat=P","Fill=—","Direction=H","UseDPDF=Y")</f>
        <v>#NAME?</v>
      </c>
      <c r="J19" s="14" t="e">
        <f ca="1">_xll.BDH("ANSS US Equity","NUM_OF_NONEXEC_DIR_ON_BRD","FY 2016","FY 2016","Currency=USD","Period=FY","BEST_FPERIOD_OVERRIDE=FY","FILING_STATUS=MR","Sort=A","Dates=H","DateFormat=P","Fill=—","Direction=H","UseDPDF=Y")</f>
        <v>#NAME?</v>
      </c>
      <c r="K19" s="14" t="e">
        <f ca="1">_xll.BDH("ANSS US Equity","NUM_OF_NONEXEC_DIR_ON_BRD","FY 2017","FY 2017","Currency=USD","Period=FY","BEST_FPERIOD_OVERRIDE=FY","FILING_STATUS=MR","Sort=A","Dates=H","DateFormat=P","Fill=—","Direction=H","UseDPDF=Y")</f>
        <v>#NAME?</v>
      </c>
      <c r="L19" s="14" t="e">
        <f ca="1">_xll.BDH("ANSS US Equity","NUM_OF_NONEXEC_DIR_ON_BRD","FY 2018","FY 2018","Currency=USD","Period=FY","BEST_FPERIOD_OVERRIDE=FY","FILING_STATUS=MR","Sort=A","Dates=H","DateFormat=P","Fill=—","Direction=H","UseDPDF=Y")</f>
        <v>#NAME?</v>
      </c>
      <c r="M19" s="14" t="e">
        <f ca="1">_xll.BDH("ANSS US Equity","NUM_OF_NONEXEC_DIR_ON_BRD","FY 2019","FY 2019","Currency=USD","Period=FY","BEST_FPERIOD_OVERRIDE=FY","FILING_STATUS=MR","Sort=A","Dates=H","DateFormat=P","Fill=—","Direction=H","UseDPDF=Y")</f>
        <v>#NAME?</v>
      </c>
      <c r="N19" s="14" t="e">
        <f ca="1">_xll.BDH("ANSS US Equity","NUM_OF_NONEXEC_DIR_ON_BRD","FY 2020","FY 2020","Currency=USD","Period=FY","BEST_FPERIOD_OVERRIDE=FY","FILING_STATUS=MR","Sort=A","Dates=H","DateFormat=P","Fill=—","Direction=H","UseDPDF=Y")</f>
        <v>#NAME?</v>
      </c>
      <c r="O19" s="14" t="e">
        <f ca="1">_xll.BDH("ANSS US Equity","NUM_OF_NONEXEC_DIR_ON_BRD","FY 2021","FY 2021","Currency=USD","Period=FY","BEST_FPERIOD_OVERRIDE=FY","FILING_STATUS=MR","Sort=A","Dates=H","DateFormat=P","Fill=—","Direction=H","UseDPDF=Y")</f>
        <v>#NAME?</v>
      </c>
      <c r="P19" s="14" t="e">
        <f ca="1">_xll.BDH("ANSS US Equity","NUM_OF_NONEXEC_DIR_ON_BRD","FY 2022","FY 2022","Currency=USD","Period=FY","BEST_FPERIOD_OVERRIDE=FY","FILING_STATUS=MR","Sort=A","Dates=H","DateFormat=P","Fill=—","Direction=H","UseDPDF=Y")</f>
        <v>#NAME?</v>
      </c>
      <c r="Q19" s="14" t="e">
        <f ca="1">_xll.BDH("ANSS US Equity","NUM_OF_NONEXEC_DIR_ON_BRD","FY 2023","FY 2023","Currency=USD","Period=FY","BEST_FPERIOD_OVERRIDE=FY","FILING_STATUS=MR","Sort=A","Dates=H","DateFormat=P","Fill=—","Direction=H","UseDPDF=Y")</f>
        <v>#NAME?</v>
      </c>
    </row>
    <row r="20" spans="1:17" x14ac:dyDescent="0.45">
      <c r="A20" s="10" t="s">
        <v>1027</v>
      </c>
      <c r="B20" s="10" t="s">
        <v>539</v>
      </c>
      <c r="C20" s="14" t="e">
        <f ca="1">_xll.BDH("ANSS US Equity","PCT_OF_NON_EXEC_DIR_ON_BRD","FY 2009","FY 2009","Currency=USD","Period=FY","BEST_FPERIOD_OVERRIDE=FY","FILING_STATUS=MR","Sort=A","Dates=H","DateFormat=P","Fill=—","Direction=H","UseDPDF=Y")</f>
        <v>#NAME?</v>
      </c>
      <c r="D20" s="14" t="e">
        <f ca="1">_xll.BDH("ANSS US Equity","PCT_OF_NON_EXEC_DIR_ON_BRD","FY 2010","FY 2010","Currency=USD","Period=FY","BEST_FPERIOD_OVERRIDE=FY","FILING_STATUS=MR","Sort=A","Dates=H","DateFormat=P","Fill=—","Direction=H","UseDPDF=Y")</f>
        <v>#NAME?</v>
      </c>
      <c r="E20" s="14" t="e">
        <f ca="1">_xll.BDH("ANSS US Equity","PCT_OF_NON_EXEC_DIR_ON_BRD","FY 2011","FY 2011","Currency=USD","Period=FY","BEST_FPERIOD_OVERRIDE=FY","FILING_STATUS=MR","Sort=A","Dates=H","DateFormat=P","Fill=—","Direction=H","UseDPDF=Y")</f>
        <v>#NAME?</v>
      </c>
      <c r="F20" s="14" t="e">
        <f ca="1">_xll.BDH("ANSS US Equity","PCT_OF_NON_EXEC_DIR_ON_BRD","FY 2012","FY 2012","Currency=USD","Period=FY","BEST_FPERIOD_OVERRIDE=FY","FILING_STATUS=MR","Sort=A","Dates=H","DateFormat=P","Fill=—","Direction=H","UseDPDF=Y")</f>
        <v>#NAME?</v>
      </c>
      <c r="G20" s="14" t="e">
        <f ca="1">_xll.BDH("ANSS US Equity","PCT_OF_NON_EXEC_DIR_ON_BRD","FY 2013","FY 2013","Currency=USD","Period=FY","BEST_FPERIOD_OVERRIDE=FY","FILING_STATUS=MR","Sort=A","Dates=H","DateFormat=P","Fill=—","Direction=H","UseDPDF=Y")</f>
        <v>#NAME?</v>
      </c>
      <c r="H20" s="14" t="e">
        <f ca="1">_xll.BDH("ANSS US Equity","PCT_OF_NON_EXEC_DIR_ON_BRD","FY 2014","FY 2014","Currency=USD","Period=FY","BEST_FPERIOD_OVERRIDE=FY","FILING_STATUS=MR","Sort=A","Dates=H","DateFormat=P","Fill=—","Direction=H","UseDPDF=Y")</f>
        <v>#NAME?</v>
      </c>
      <c r="I20" s="14" t="e">
        <f ca="1">_xll.BDH("ANSS US Equity","PCT_OF_NON_EXEC_DIR_ON_BRD","FY 2015","FY 2015","Currency=USD","Period=FY","BEST_FPERIOD_OVERRIDE=FY","FILING_STATUS=MR","Sort=A","Dates=H","DateFormat=P","Fill=—","Direction=H","UseDPDF=Y")</f>
        <v>#NAME?</v>
      </c>
      <c r="J20" s="14" t="e">
        <f ca="1">_xll.BDH("ANSS US Equity","PCT_OF_NON_EXEC_DIR_ON_BRD","FY 2016","FY 2016","Currency=USD","Period=FY","BEST_FPERIOD_OVERRIDE=FY","FILING_STATUS=MR","Sort=A","Dates=H","DateFormat=P","Fill=—","Direction=H","UseDPDF=Y")</f>
        <v>#NAME?</v>
      </c>
      <c r="K20" s="14" t="e">
        <f ca="1">_xll.BDH("ANSS US Equity","PCT_OF_NON_EXEC_DIR_ON_BRD","FY 2017","FY 2017","Currency=USD","Period=FY","BEST_FPERIOD_OVERRIDE=FY","FILING_STATUS=MR","Sort=A","Dates=H","DateFormat=P","Fill=—","Direction=H","UseDPDF=Y")</f>
        <v>#NAME?</v>
      </c>
      <c r="L20" s="14" t="e">
        <f ca="1">_xll.BDH("ANSS US Equity","PCT_OF_NON_EXEC_DIR_ON_BRD","FY 2018","FY 2018","Currency=USD","Period=FY","BEST_FPERIOD_OVERRIDE=FY","FILING_STATUS=MR","Sort=A","Dates=H","DateFormat=P","Fill=—","Direction=H","UseDPDF=Y")</f>
        <v>#NAME?</v>
      </c>
      <c r="M20" s="14" t="e">
        <f ca="1">_xll.BDH("ANSS US Equity","PCT_OF_NON_EXEC_DIR_ON_BRD","FY 2019","FY 2019","Currency=USD","Period=FY","BEST_FPERIOD_OVERRIDE=FY","FILING_STATUS=MR","Sort=A","Dates=H","DateFormat=P","Fill=—","Direction=H","UseDPDF=Y")</f>
        <v>#NAME?</v>
      </c>
      <c r="N20" s="14" t="e">
        <f ca="1">_xll.BDH("ANSS US Equity","PCT_OF_NON_EXEC_DIR_ON_BRD","FY 2020","FY 2020","Currency=USD","Period=FY","BEST_FPERIOD_OVERRIDE=FY","FILING_STATUS=MR","Sort=A","Dates=H","DateFormat=P","Fill=—","Direction=H","UseDPDF=Y")</f>
        <v>#NAME?</v>
      </c>
      <c r="O20" s="14" t="e">
        <f ca="1">_xll.BDH("ANSS US Equity","PCT_OF_NON_EXEC_DIR_ON_BRD","FY 2021","FY 2021","Currency=USD","Period=FY","BEST_FPERIOD_OVERRIDE=FY","FILING_STATUS=MR","Sort=A","Dates=H","DateFormat=P","Fill=—","Direction=H","UseDPDF=Y")</f>
        <v>#NAME?</v>
      </c>
      <c r="P20" s="14" t="e">
        <f ca="1">_xll.BDH("ANSS US Equity","PCT_OF_NON_EXEC_DIR_ON_BRD","FY 2022","FY 2022","Currency=USD","Period=FY","BEST_FPERIOD_OVERRIDE=FY","FILING_STATUS=MR","Sort=A","Dates=H","DateFormat=P","Fill=—","Direction=H","UseDPDF=Y")</f>
        <v>#NAME?</v>
      </c>
      <c r="Q20" s="14" t="e">
        <f ca="1">_xll.BDH("ANSS US Equity","PCT_OF_NON_EXEC_DIR_ON_BRD","FY 2023","FY 2023","Currency=USD","Period=FY","BEST_FPERIOD_OVERRIDE=FY","FILING_STATUS=MR","Sort=A","Dates=H","DateFormat=P","Fill=—","Direction=H","UseDPDF=Y")</f>
        <v>#NAME?</v>
      </c>
    </row>
    <row r="21" spans="1:17" x14ac:dyDescent="0.45">
      <c r="A21" s="10" t="s">
        <v>1028</v>
      </c>
      <c r="B21" s="10" t="s">
        <v>1029</v>
      </c>
      <c r="C21" s="14" t="e">
        <f ca="1">_xll.BDH("ANSS US Equity","INDEPENDENT_DIRECTORS","FY 2009","FY 2009","Currency=USD","Period=FY","BEST_FPERIOD_OVERRIDE=FY","FILING_STATUS=MR","Sort=A","Dates=H","DateFormat=P","Fill=—","Direction=H","UseDPDF=Y")</f>
        <v>#NAME?</v>
      </c>
      <c r="D21" s="14" t="e">
        <f ca="1">_xll.BDH("ANSS US Equity","INDEPENDENT_DIRECTORS","FY 2010","FY 2010","Currency=USD","Period=FY","BEST_FPERIOD_OVERRIDE=FY","FILING_STATUS=MR","Sort=A","Dates=H","DateFormat=P","Fill=—","Direction=H","UseDPDF=Y")</f>
        <v>#NAME?</v>
      </c>
      <c r="E21" s="14" t="e">
        <f ca="1">_xll.BDH("ANSS US Equity","INDEPENDENT_DIRECTORS","FY 2011","FY 2011","Currency=USD","Period=FY","BEST_FPERIOD_OVERRIDE=FY","FILING_STATUS=MR","Sort=A","Dates=H","DateFormat=P","Fill=—","Direction=H","UseDPDF=Y")</f>
        <v>#NAME?</v>
      </c>
      <c r="F21" s="14" t="e">
        <f ca="1">_xll.BDH("ANSS US Equity","INDEPENDENT_DIRECTORS","FY 2012","FY 2012","Currency=USD","Period=FY","BEST_FPERIOD_OVERRIDE=FY","FILING_STATUS=MR","Sort=A","Dates=H","DateFormat=P","Fill=—","Direction=H","UseDPDF=Y")</f>
        <v>#NAME?</v>
      </c>
      <c r="G21" s="14" t="e">
        <f ca="1">_xll.BDH("ANSS US Equity","INDEPENDENT_DIRECTORS","FY 2013","FY 2013","Currency=USD","Period=FY","BEST_FPERIOD_OVERRIDE=FY","FILING_STATUS=MR","Sort=A","Dates=H","DateFormat=P","Fill=—","Direction=H","UseDPDF=Y")</f>
        <v>#NAME?</v>
      </c>
      <c r="H21" s="14" t="e">
        <f ca="1">_xll.BDH("ANSS US Equity","INDEPENDENT_DIRECTORS","FY 2014","FY 2014","Currency=USD","Period=FY","BEST_FPERIOD_OVERRIDE=FY","FILING_STATUS=MR","Sort=A","Dates=H","DateFormat=P","Fill=—","Direction=H","UseDPDF=Y")</f>
        <v>#NAME?</v>
      </c>
      <c r="I21" s="14" t="e">
        <f ca="1">_xll.BDH("ANSS US Equity","INDEPENDENT_DIRECTORS","FY 2015","FY 2015","Currency=USD","Period=FY","BEST_FPERIOD_OVERRIDE=FY","FILING_STATUS=MR","Sort=A","Dates=H","DateFormat=P","Fill=—","Direction=H","UseDPDF=Y")</f>
        <v>#NAME?</v>
      </c>
      <c r="J21" s="14" t="e">
        <f ca="1">_xll.BDH("ANSS US Equity","INDEPENDENT_DIRECTORS","FY 2016","FY 2016","Currency=USD","Period=FY","BEST_FPERIOD_OVERRIDE=FY","FILING_STATUS=MR","Sort=A","Dates=H","DateFormat=P","Fill=—","Direction=H","UseDPDF=Y")</f>
        <v>#NAME?</v>
      </c>
      <c r="K21" s="14" t="e">
        <f ca="1">_xll.BDH("ANSS US Equity","INDEPENDENT_DIRECTORS","FY 2017","FY 2017","Currency=USD","Period=FY","BEST_FPERIOD_OVERRIDE=FY","FILING_STATUS=MR","Sort=A","Dates=H","DateFormat=P","Fill=—","Direction=H","UseDPDF=Y")</f>
        <v>#NAME?</v>
      </c>
      <c r="L21" s="14" t="e">
        <f ca="1">_xll.BDH("ANSS US Equity","INDEPENDENT_DIRECTORS","FY 2018","FY 2018","Currency=USD","Period=FY","BEST_FPERIOD_OVERRIDE=FY","FILING_STATUS=MR","Sort=A","Dates=H","DateFormat=P","Fill=—","Direction=H","UseDPDF=Y")</f>
        <v>#NAME?</v>
      </c>
      <c r="M21" s="14" t="e">
        <f ca="1">_xll.BDH("ANSS US Equity","INDEPENDENT_DIRECTORS","FY 2019","FY 2019","Currency=USD","Period=FY","BEST_FPERIOD_OVERRIDE=FY","FILING_STATUS=MR","Sort=A","Dates=H","DateFormat=P","Fill=—","Direction=H","UseDPDF=Y")</f>
        <v>#NAME?</v>
      </c>
      <c r="N21" s="14" t="e">
        <f ca="1">_xll.BDH("ANSS US Equity","INDEPENDENT_DIRECTORS","FY 2020","FY 2020","Currency=USD","Period=FY","BEST_FPERIOD_OVERRIDE=FY","FILING_STATUS=MR","Sort=A","Dates=H","DateFormat=P","Fill=—","Direction=H","UseDPDF=Y")</f>
        <v>#NAME?</v>
      </c>
      <c r="O21" s="14" t="e">
        <f ca="1">_xll.BDH("ANSS US Equity","INDEPENDENT_DIRECTORS","FY 2021","FY 2021","Currency=USD","Period=FY","BEST_FPERIOD_OVERRIDE=FY","FILING_STATUS=MR","Sort=A","Dates=H","DateFormat=P","Fill=—","Direction=H","UseDPDF=Y")</f>
        <v>#NAME?</v>
      </c>
      <c r="P21" s="14" t="e">
        <f ca="1">_xll.BDH("ANSS US Equity","INDEPENDENT_DIRECTORS","FY 2022","FY 2022","Currency=USD","Period=FY","BEST_FPERIOD_OVERRIDE=FY","FILING_STATUS=MR","Sort=A","Dates=H","DateFormat=P","Fill=—","Direction=H","UseDPDF=Y")</f>
        <v>#NAME?</v>
      </c>
      <c r="Q21" s="14" t="e">
        <f ca="1">_xll.BDH("ANSS US Equity","INDEPENDENT_DIRECTORS","FY 2023","FY 2023","Currency=USD","Period=FY","BEST_FPERIOD_OVERRIDE=FY","FILING_STATUS=MR","Sort=A","Dates=H","DateFormat=P","Fill=—","Direction=H","UseDPDF=Y")</f>
        <v>#NAME?</v>
      </c>
    </row>
    <row r="22" spans="1:17" x14ac:dyDescent="0.45">
      <c r="A22" s="10" t="s">
        <v>1030</v>
      </c>
      <c r="B22" s="10" t="s">
        <v>541</v>
      </c>
      <c r="C22" s="14" t="e">
        <f ca="1">_xll.BDH("ANSS US Equity","PCT_INDEPENDENT_DIRECTORS","FY 2009","FY 2009","Currency=USD","Period=FY","BEST_FPERIOD_OVERRIDE=FY","FILING_STATUS=MR","Sort=A","Dates=H","DateFormat=P","Fill=—","Direction=H","UseDPDF=Y")</f>
        <v>#NAME?</v>
      </c>
      <c r="D22" s="14" t="e">
        <f ca="1">_xll.BDH("ANSS US Equity","PCT_INDEPENDENT_DIRECTORS","FY 2010","FY 2010","Currency=USD","Period=FY","BEST_FPERIOD_OVERRIDE=FY","FILING_STATUS=MR","Sort=A","Dates=H","DateFormat=P","Fill=—","Direction=H","UseDPDF=Y")</f>
        <v>#NAME?</v>
      </c>
      <c r="E22" s="14" t="e">
        <f ca="1">_xll.BDH("ANSS US Equity","PCT_INDEPENDENT_DIRECTORS","FY 2011","FY 2011","Currency=USD","Period=FY","BEST_FPERIOD_OVERRIDE=FY","FILING_STATUS=MR","Sort=A","Dates=H","DateFormat=P","Fill=—","Direction=H","UseDPDF=Y")</f>
        <v>#NAME?</v>
      </c>
      <c r="F22" s="14" t="e">
        <f ca="1">_xll.BDH("ANSS US Equity","PCT_INDEPENDENT_DIRECTORS","FY 2012","FY 2012","Currency=USD","Period=FY","BEST_FPERIOD_OVERRIDE=FY","FILING_STATUS=MR","Sort=A","Dates=H","DateFormat=P","Fill=—","Direction=H","UseDPDF=Y")</f>
        <v>#NAME?</v>
      </c>
      <c r="G22" s="14" t="e">
        <f ca="1">_xll.BDH("ANSS US Equity","PCT_INDEPENDENT_DIRECTORS","FY 2013","FY 2013","Currency=USD","Period=FY","BEST_FPERIOD_OVERRIDE=FY","FILING_STATUS=MR","Sort=A","Dates=H","DateFormat=P","Fill=—","Direction=H","UseDPDF=Y")</f>
        <v>#NAME?</v>
      </c>
      <c r="H22" s="14" t="e">
        <f ca="1">_xll.BDH("ANSS US Equity","PCT_INDEPENDENT_DIRECTORS","FY 2014","FY 2014","Currency=USD","Period=FY","BEST_FPERIOD_OVERRIDE=FY","FILING_STATUS=MR","Sort=A","Dates=H","DateFormat=P","Fill=—","Direction=H","UseDPDF=Y")</f>
        <v>#NAME?</v>
      </c>
      <c r="I22" s="14" t="e">
        <f ca="1">_xll.BDH("ANSS US Equity","PCT_INDEPENDENT_DIRECTORS","FY 2015","FY 2015","Currency=USD","Period=FY","BEST_FPERIOD_OVERRIDE=FY","FILING_STATUS=MR","Sort=A","Dates=H","DateFormat=P","Fill=—","Direction=H","UseDPDF=Y")</f>
        <v>#NAME?</v>
      </c>
      <c r="J22" s="14" t="e">
        <f ca="1">_xll.BDH("ANSS US Equity","PCT_INDEPENDENT_DIRECTORS","FY 2016","FY 2016","Currency=USD","Period=FY","BEST_FPERIOD_OVERRIDE=FY","FILING_STATUS=MR","Sort=A","Dates=H","DateFormat=P","Fill=—","Direction=H","UseDPDF=Y")</f>
        <v>#NAME?</v>
      </c>
      <c r="K22" s="14" t="e">
        <f ca="1">_xll.BDH("ANSS US Equity","PCT_INDEPENDENT_DIRECTORS","FY 2017","FY 2017","Currency=USD","Period=FY","BEST_FPERIOD_OVERRIDE=FY","FILING_STATUS=MR","Sort=A","Dates=H","DateFormat=P","Fill=—","Direction=H","UseDPDF=Y")</f>
        <v>#NAME?</v>
      </c>
      <c r="L22" s="14" t="e">
        <f ca="1">_xll.BDH("ANSS US Equity","PCT_INDEPENDENT_DIRECTORS","FY 2018","FY 2018","Currency=USD","Period=FY","BEST_FPERIOD_OVERRIDE=FY","FILING_STATUS=MR","Sort=A","Dates=H","DateFormat=P","Fill=—","Direction=H","UseDPDF=Y")</f>
        <v>#NAME?</v>
      </c>
      <c r="M22" s="14" t="e">
        <f ca="1">_xll.BDH("ANSS US Equity","PCT_INDEPENDENT_DIRECTORS","FY 2019","FY 2019","Currency=USD","Period=FY","BEST_FPERIOD_OVERRIDE=FY","FILING_STATUS=MR","Sort=A","Dates=H","DateFormat=P","Fill=—","Direction=H","UseDPDF=Y")</f>
        <v>#NAME?</v>
      </c>
      <c r="N22" s="14" t="e">
        <f ca="1">_xll.BDH("ANSS US Equity","PCT_INDEPENDENT_DIRECTORS","FY 2020","FY 2020","Currency=USD","Period=FY","BEST_FPERIOD_OVERRIDE=FY","FILING_STATUS=MR","Sort=A","Dates=H","DateFormat=P","Fill=—","Direction=H","UseDPDF=Y")</f>
        <v>#NAME?</v>
      </c>
      <c r="O22" s="14" t="e">
        <f ca="1">_xll.BDH("ANSS US Equity","PCT_INDEPENDENT_DIRECTORS","FY 2021","FY 2021","Currency=USD","Period=FY","BEST_FPERIOD_OVERRIDE=FY","FILING_STATUS=MR","Sort=A","Dates=H","DateFormat=P","Fill=—","Direction=H","UseDPDF=Y")</f>
        <v>#NAME?</v>
      </c>
      <c r="P22" s="14" t="e">
        <f ca="1">_xll.BDH("ANSS US Equity","PCT_INDEPENDENT_DIRECTORS","FY 2022","FY 2022","Currency=USD","Period=FY","BEST_FPERIOD_OVERRIDE=FY","FILING_STATUS=MR","Sort=A","Dates=H","DateFormat=P","Fill=—","Direction=H","UseDPDF=Y")</f>
        <v>#NAME?</v>
      </c>
      <c r="Q22" s="14" t="e">
        <f ca="1">_xll.BDH("ANSS US Equity","PCT_INDEPENDENT_DIRECTORS","FY 2023","FY 2023","Currency=USD","Period=FY","BEST_FPERIOD_OVERRIDE=FY","FILING_STATUS=MR","Sort=A","Dates=H","DateFormat=P","Fill=—","Direction=H","UseDPDF=Y")</f>
        <v>#NAME?</v>
      </c>
    </row>
    <row r="23" spans="1:17" x14ac:dyDescent="0.45">
      <c r="A23" s="10" t="s">
        <v>1031</v>
      </c>
      <c r="B23" s="10" t="s">
        <v>1032</v>
      </c>
      <c r="C23" s="12" t="s">
        <v>687</v>
      </c>
      <c r="D23" s="12" t="s">
        <v>687</v>
      </c>
      <c r="E23" s="12" t="s">
        <v>687</v>
      </c>
      <c r="F23" s="12" t="s">
        <v>687</v>
      </c>
      <c r="G23" s="12" t="s">
        <v>687</v>
      </c>
      <c r="H23" s="12" t="s">
        <v>687</v>
      </c>
      <c r="I23" s="12" t="s">
        <v>687</v>
      </c>
      <c r="J23" s="12" t="s">
        <v>687</v>
      </c>
      <c r="K23" s="12" t="s">
        <v>687</v>
      </c>
      <c r="L23" s="12" t="s">
        <v>687</v>
      </c>
      <c r="M23" s="12" t="s">
        <v>687</v>
      </c>
      <c r="N23" s="12" t="s">
        <v>687</v>
      </c>
      <c r="O23" s="12" t="s">
        <v>687</v>
      </c>
      <c r="P23" s="12" t="s">
        <v>687</v>
      </c>
      <c r="Q23" s="12" t="s">
        <v>687</v>
      </c>
    </row>
    <row r="24" spans="1:17" x14ac:dyDescent="0.45">
      <c r="A24" s="10" t="s">
        <v>1033</v>
      </c>
      <c r="B24" s="10" t="s">
        <v>1034</v>
      </c>
      <c r="C24" s="12" t="s">
        <v>687</v>
      </c>
      <c r="D24" s="12" t="s">
        <v>687</v>
      </c>
      <c r="E24" s="12" t="s">
        <v>687</v>
      </c>
      <c r="F24" s="12" t="s">
        <v>687</v>
      </c>
      <c r="G24" s="12" t="s">
        <v>687</v>
      </c>
      <c r="H24" s="12" t="s">
        <v>684</v>
      </c>
      <c r="I24" s="12" t="s">
        <v>684</v>
      </c>
      <c r="J24" s="12" t="s">
        <v>684</v>
      </c>
      <c r="K24" s="12" t="s">
        <v>687</v>
      </c>
      <c r="L24" s="12" t="s">
        <v>687</v>
      </c>
      <c r="M24" s="12" t="s">
        <v>684</v>
      </c>
      <c r="N24" s="12" t="s">
        <v>684</v>
      </c>
      <c r="O24" s="12" t="s">
        <v>684</v>
      </c>
      <c r="P24" s="12" t="s">
        <v>684</v>
      </c>
      <c r="Q24" s="12" t="s">
        <v>684</v>
      </c>
    </row>
    <row r="25" spans="1:17" x14ac:dyDescent="0.45">
      <c r="A25" s="10" t="s">
        <v>1035</v>
      </c>
      <c r="B25" s="10" t="s">
        <v>1036</v>
      </c>
      <c r="C25" s="12" t="s">
        <v>684</v>
      </c>
      <c r="D25" s="12" t="s">
        <v>684</v>
      </c>
      <c r="E25" s="12" t="s">
        <v>684</v>
      </c>
      <c r="F25" s="12" t="s">
        <v>684</v>
      </c>
      <c r="G25" s="12" t="s">
        <v>684</v>
      </c>
      <c r="H25" s="12" t="s">
        <v>687</v>
      </c>
      <c r="I25" s="12" t="s">
        <v>687</v>
      </c>
      <c r="J25" s="12" t="s">
        <v>687</v>
      </c>
      <c r="K25" s="12" t="s">
        <v>684</v>
      </c>
      <c r="L25" s="12" t="s">
        <v>684</v>
      </c>
      <c r="M25" s="12" t="s">
        <v>687</v>
      </c>
      <c r="N25" s="12" t="s">
        <v>687</v>
      </c>
      <c r="O25" s="12" t="s">
        <v>687</v>
      </c>
      <c r="P25" s="12" t="s">
        <v>687</v>
      </c>
      <c r="Q25" s="12" t="s">
        <v>687</v>
      </c>
    </row>
    <row r="26" spans="1:17" x14ac:dyDescent="0.45">
      <c r="A26" s="10" t="s">
        <v>1037</v>
      </c>
      <c r="B26" s="10" t="s">
        <v>1038</v>
      </c>
      <c r="C26" s="12" t="s">
        <v>684</v>
      </c>
      <c r="D26" s="12" t="s">
        <v>684</v>
      </c>
      <c r="E26" s="12" t="s">
        <v>684</v>
      </c>
      <c r="F26" s="12" t="s">
        <v>684</v>
      </c>
      <c r="G26" s="12" t="s">
        <v>684</v>
      </c>
      <c r="H26" s="12" t="s">
        <v>687</v>
      </c>
      <c r="I26" s="12" t="s">
        <v>687</v>
      </c>
      <c r="J26" s="12" t="s">
        <v>687</v>
      </c>
      <c r="K26" s="12" t="s">
        <v>687</v>
      </c>
      <c r="L26" s="12" t="s">
        <v>687</v>
      </c>
      <c r="M26" s="12" t="s">
        <v>687</v>
      </c>
      <c r="N26" s="12" t="s">
        <v>687</v>
      </c>
      <c r="O26" s="12" t="s">
        <v>687</v>
      </c>
      <c r="P26" s="12" t="s">
        <v>687</v>
      </c>
      <c r="Q26" s="12" t="s">
        <v>687</v>
      </c>
    </row>
    <row r="27" spans="1:17" x14ac:dyDescent="0.45">
      <c r="A27" s="10" t="s">
        <v>1039</v>
      </c>
      <c r="B27" s="10" t="s">
        <v>1040</v>
      </c>
      <c r="C27" s="12" t="s">
        <v>684</v>
      </c>
      <c r="D27" s="12" t="s">
        <v>684</v>
      </c>
      <c r="E27" s="12" t="s">
        <v>684</v>
      </c>
      <c r="F27" s="12" t="s">
        <v>684</v>
      </c>
      <c r="G27" s="12" t="s">
        <v>684</v>
      </c>
      <c r="H27" s="12" t="s">
        <v>684</v>
      </c>
      <c r="I27" s="12" t="s">
        <v>687</v>
      </c>
      <c r="J27" s="12" t="s">
        <v>687</v>
      </c>
      <c r="K27" s="12" t="s">
        <v>684</v>
      </c>
      <c r="L27" s="12" t="s">
        <v>684</v>
      </c>
      <c r="M27" s="12" t="s">
        <v>687</v>
      </c>
      <c r="N27" s="12" t="s">
        <v>687</v>
      </c>
      <c r="O27" s="12" t="s">
        <v>687</v>
      </c>
      <c r="P27" s="12" t="s">
        <v>687</v>
      </c>
      <c r="Q27" s="12" t="s">
        <v>687</v>
      </c>
    </row>
    <row r="28" spans="1:17" x14ac:dyDescent="0.4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x14ac:dyDescent="0.45">
      <c r="A29" s="10" t="s">
        <v>1041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45">
      <c r="A30" s="10" t="s">
        <v>1042</v>
      </c>
      <c r="B30" s="10" t="s">
        <v>1043</v>
      </c>
      <c r="C30" s="14" t="e">
        <f ca="1">_xll.BDH("ANSS US Equity","NUMBER_OF_WOMEN_ON_BOARD","FY 2009","FY 2009","Currency=USD","Period=FY","BEST_FPERIOD_OVERRIDE=FY","FILING_STATUS=MR","Sort=A","Dates=H","DateFormat=P","Fill=—","Direction=H","UseDPDF=Y")</f>
        <v>#NAME?</v>
      </c>
      <c r="D30" s="14" t="e">
        <f ca="1">_xll.BDH("ANSS US Equity","NUMBER_OF_WOMEN_ON_BOARD","FY 2010","FY 2010","Currency=USD","Period=FY","BEST_FPERIOD_OVERRIDE=FY","FILING_STATUS=MR","Sort=A","Dates=H","DateFormat=P","Fill=—","Direction=H","UseDPDF=Y")</f>
        <v>#NAME?</v>
      </c>
      <c r="E30" s="14" t="e">
        <f ca="1">_xll.BDH("ANSS US Equity","NUMBER_OF_WOMEN_ON_BOARD","FY 2011","FY 2011","Currency=USD","Period=FY","BEST_FPERIOD_OVERRIDE=FY","FILING_STATUS=MR","Sort=A","Dates=H","DateFormat=P","Fill=—","Direction=H","UseDPDF=Y")</f>
        <v>#NAME?</v>
      </c>
      <c r="F30" s="14" t="e">
        <f ca="1">_xll.BDH("ANSS US Equity","NUMBER_OF_WOMEN_ON_BOARD","FY 2012","FY 2012","Currency=USD","Period=FY","BEST_FPERIOD_OVERRIDE=FY","FILING_STATUS=MR","Sort=A","Dates=H","DateFormat=P","Fill=—","Direction=H","UseDPDF=Y")</f>
        <v>#NAME?</v>
      </c>
      <c r="G30" s="14" t="e">
        <f ca="1">_xll.BDH("ANSS US Equity","NUMBER_OF_WOMEN_ON_BOARD","FY 2013","FY 2013","Currency=USD","Period=FY","BEST_FPERIOD_OVERRIDE=FY","FILING_STATUS=MR","Sort=A","Dates=H","DateFormat=P","Fill=—","Direction=H","UseDPDF=Y")</f>
        <v>#NAME?</v>
      </c>
      <c r="H30" s="14" t="e">
        <f ca="1">_xll.BDH("ANSS US Equity","NUMBER_OF_WOMEN_ON_BOARD","FY 2014","FY 2014","Currency=USD","Period=FY","BEST_FPERIOD_OVERRIDE=FY","FILING_STATUS=MR","Sort=A","Dates=H","DateFormat=P","Fill=—","Direction=H","UseDPDF=Y")</f>
        <v>#NAME?</v>
      </c>
      <c r="I30" s="14" t="e">
        <f ca="1">_xll.BDH("ANSS US Equity","NUMBER_OF_WOMEN_ON_BOARD","FY 2015","FY 2015","Currency=USD","Period=FY","BEST_FPERIOD_OVERRIDE=FY","FILING_STATUS=MR","Sort=A","Dates=H","DateFormat=P","Fill=—","Direction=H","UseDPDF=Y")</f>
        <v>#NAME?</v>
      </c>
      <c r="J30" s="14" t="e">
        <f ca="1">_xll.BDH("ANSS US Equity","NUMBER_OF_WOMEN_ON_BOARD","FY 2016","FY 2016","Currency=USD","Period=FY","BEST_FPERIOD_OVERRIDE=FY","FILING_STATUS=MR","Sort=A","Dates=H","DateFormat=P","Fill=—","Direction=H","UseDPDF=Y")</f>
        <v>#NAME?</v>
      </c>
      <c r="K30" s="14" t="e">
        <f ca="1">_xll.BDH("ANSS US Equity","NUMBER_OF_WOMEN_ON_BOARD","FY 2017","FY 2017","Currency=USD","Period=FY","BEST_FPERIOD_OVERRIDE=FY","FILING_STATUS=MR","Sort=A","Dates=H","DateFormat=P","Fill=—","Direction=H","UseDPDF=Y")</f>
        <v>#NAME?</v>
      </c>
      <c r="L30" s="14" t="e">
        <f ca="1">_xll.BDH("ANSS US Equity","NUMBER_OF_WOMEN_ON_BOARD","FY 2018","FY 2018","Currency=USD","Period=FY","BEST_FPERIOD_OVERRIDE=FY","FILING_STATUS=MR","Sort=A","Dates=H","DateFormat=P","Fill=—","Direction=H","UseDPDF=Y")</f>
        <v>#NAME?</v>
      </c>
      <c r="M30" s="14" t="e">
        <f ca="1">_xll.BDH("ANSS US Equity","NUMBER_OF_WOMEN_ON_BOARD","FY 2019","FY 2019","Currency=USD","Period=FY","BEST_FPERIOD_OVERRIDE=FY","FILING_STATUS=MR","Sort=A","Dates=H","DateFormat=P","Fill=—","Direction=H","UseDPDF=Y")</f>
        <v>#NAME?</v>
      </c>
      <c r="N30" s="14" t="e">
        <f ca="1">_xll.BDH("ANSS US Equity","NUMBER_OF_WOMEN_ON_BOARD","FY 2020","FY 2020","Currency=USD","Period=FY","BEST_FPERIOD_OVERRIDE=FY","FILING_STATUS=MR","Sort=A","Dates=H","DateFormat=P","Fill=—","Direction=H","UseDPDF=Y")</f>
        <v>#NAME?</v>
      </c>
      <c r="O30" s="14" t="e">
        <f ca="1">_xll.BDH("ANSS US Equity","NUMBER_OF_WOMEN_ON_BOARD","FY 2021","FY 2021","Currency=USD","Period=FY","BEST_FPERIOD_OVERRIDE=FY","FILING_STATUS=MR","Sort=A","Dates=H","DateFormat=P","Fill=—","Direction=H","UseDPDF=Y")</f>
        <v>#NAME?</v>
      </c>
      <c r="P30" s="14" t="e">
        <f ca="1">_xll.BDH("ANSS US Equity","NUMBER_OF_WOMEN_ON_BOARD","FY 2022","FY 2022","Currency=USD","Period=FY","BEST_FPERIOD_OVERRIDE=FY","FILING_STATUS=MR","Sort=A","Dates=H","DateFormat=P","Fill=—","Direction=H","UseDPDF=Y")</f>
        <v>#NAME?</v>
      </c>
      <c r="Q30" s="14" t="e">
        <f ca="1">_xll.BDH("ANSS US Equity","NUMBER_OF_WOMEN_ON_BOARD","FY 2023","FY 2023","Currency=USD","Period=FY","BEST_FPERIOD_OVERRIDE=FY","FILING_STATUS=MR","Sort=A","Dates=H","DateFormat=P","Fill=—","Direction=H","UseDPDF=Y")</f>
        <v>#NAME?</v>
      </c>
    </row>
    <row r="31" spans="1:17" x14ac:dyDescent="0.45">
      <c r="A31" s="10" t="s">
        <v>542</v>
      </c>
      <c r="B31" s="10" t="s">
        <v>543</v>
      </c>
      <c r="C31" s="14" t="e">
        <f ca="1">_xll.BDH("ANSS US Equity","PCT_WOMEN_ON_BOARD","FY 2009","FY 2009","Currency=USD","Period=FY","BEST_FPERIOD_OVERRIDE=FY","FILING_STATUS=MR","Sort=A","Dates=H","DateFormat=P","Fill=—","Direction=H","UseDPDF=Y")</f>
        <v>#NAME?</v>
      </c>
      <c r="D31" s="14" t="e">
        <f ca="1">_xll.BDH("ANSS US Equity","PCT_WOMEN_ON_BOARD","FY 2010","FY 2010","Currency=USD","Period=FY","BEST_FPERIOD_OVERRIDE=FY","FILING_STATUS=MR","Sort=A","Dates=H","DateFormat=P","Fill=—","Direction=H","UseDPDF=Y")</f>
        <v>#NAME?</v>
      </c>
      <c r="E31" s="14" t="e">
        <f ca="1">_xll.BDH("ANSS US Equity","PCT_WOMEN_ON_BOARD","FY 2011","FY 2011","Currency=USD","Period=FY","BEST_FPERIOD_OVERRIDE=FY","FILING_STATUS=MR","Sort=A","Dates=H","DateFormat=P","Fill=—","Direction=H","UseDPDF=Y")</f>
        <v>#NAME?</v>
      </c>
      <c r="F31" s="14" t="e">
        <f ca="1">_xll.BDH("ANSS US Equity","PCT_WOMEN_ON_BOARD","FY 2012","FY 2012","Currency=USD","Period=FY","BEST_FPERIOD_OVERRIDE=FY","FILING_STATUS=MR","Sort=A","Dates=H","DateFormat=P","Fill=—","Direction=H","UseDPDF=Y")</f>
        <v>#NAME?</v>
      </c>
      <c r="G31" s="14" t="e">
        <f ca="1">_xll.BDH("ANSS US Equity","PCT_WOMEN_ON_BOARD","FY 2013","FY 2013","Currency=USD","Period=FY","BEST_FPERIOD_OVERRIDE=FY","FILING_STATUS=MR","Sort=A","Dates=H","DateFormat=P","Fill=—","Direction=H","UseDPDF=Y")</f>
        <v>#NAME?</v>
      </c>
      <c r="H31" s="14" t="e">
        <f ca="1">_xll.BDH("ANSS US Equity","PCT_WOMEN_ON_BOARD","FY 2014","FY 2014","Currency=USD","Period=FY","BEST_FPERIOD_OVERRIDE=FY","FILING_STATUS=MR","Sort=A","Dates=H","DateFormat=P","Fill=—","Direction=H","UseDPDF=Y")</f>
        <v>#NAME?</v>
      </c>
      <c r="I31" s="14" t="e">
        <f ca="1">_xll.BDH("ANSS US Equity","PCT_WOMEN_ON_BOARD","FY 2015","FY 2015","Currency=USD","Period=FY","BEST_FPERIOD_OVERRIDE=FY","FILING_STATUS=MR","Sort=A","Dates=H","DateFormat=P","Fill=—","Direction=H","UseDPDF=Y")</f>
        <v>#NAME?</v>
      </c>
      <c r="J31" s="14" t="e">
        <f ca="1">_xll.BDH("ANSS US Equity","PCT_WOMEN_ON_BOARD","FY 2016","FY 2016","Currency=USD","Period=FY","BEST_FPERIOD_OVERRIDE=FY","FILING_STATUS=MR","Sort=A","Dates=H","DateFormat=P","Fill=—","Direction=H","UseDPDF=Y")</f>
        <v>#NAME?</v>
      </c>
      <c r="K31" s="14" t="e">
        <f ca="1">_xll.BDH("ANSS US Equity","PCT_WOMEN_ON_BOARD","FY 2017","FY 2017","Currency=USD","Period=FY","BEST_FPERIOD_OVERRIDE=FY","FILING_STATUS=MR","Sort=A","Dates=H","DateFormat=P","Fill=—","Direction=H","UseDPDF=Y")</f>
        <v>#NAME?</v>
      </c>
      <c r="L31" s="14" t="e">
        <f ca="1">_xll.BDH("ANSS US Equity","PCT_WOMEN_ON_BOARD","FY 2018","FY 2018","Currency=USD","Period=FY","BEST_FPERIOD_OVERRIDE=FY","FILING_STATUS=MR","Sort=A","Dates=H","DateFormat=P","Fill=—","Direction=H","UseDPDF=Y")</f>
        <v>#NAME?</v>
      </c>
      <c r="M31" s="14" t="e">
        <f ca="1">_xll.BDH("ANSS US Equity","PCT_WOMEN_ON_BOARD","FY 2019","FY 2019","Currency=USD","Period=FY","BEST_FPERIOD_OVERRIDE=FY","FILING_STATUS=MR","Sort=A","Dates=H","DateFormat=P","Fill=—","Direction=H","UseDPDF=Y")</f>
        <v>#NAME?</v>
      </c>
      <c r="N31" s="14" t="e">
        <f ca="1">_xll.BDH("ANSS US Equity","PCT_WOMEN_ON_BOARD","FY 2020","FY 2020","Currency=USD","Period=FY","BEST_FPERIOD_OVERRIDE=FY","FILING_STATUS=MR","Sort=A","Dates=H","DateFormat=P","Fill=—","Direction=H","UseDPDF=Y")</f>
        <v>#NAME?</v>
      </c>
      <c r="O31" s="14" t="e">
        <f ca="1">_xll.BDH("ANSS US Equity","PCT_WOMEN_ON_BOARD","FY 2021","FY 2021","Currency=USD","Period=FY","BEST_FPERIOD_OVERRIDE=FY","FILING_STATUS=MR","Sort=A","Dates=H","DateFormat=P","Fill=—","Direction=H","UseDPDF=Y")</f>
        <v>#NAME?</v>
      </c>
      <c r="P31" s="14" t="e">
        <f ca="1">_xll.BDH("ANSS US Equity","PCT_WOMEN_ON_BOARD","FY 2022","FY 2022","Currency=USD","Period=FY","BEST_FPERIOD_OVERRIDE=FY","FILING_STATUS=MR","Sort=A","Dates=H","DateFormat=P","Fill=—","Direction=H","UseDPDF=Y")</f>
        <v>#NAME?</v>
      </c>
      <c r="Q31" s="14" t="e">
        <f ca="1">_xll.BDH("ANSS US Equity","PCT_WOMEN_ON_BOARD","FY 2023","FY 2023","Currency=USD","Period=FY","BEST_FPERIOD_OVERRIDE=FY","FILING_STATUS=MR","Sort=A","Dates=H","DateFormat=P","Fill=—","Direction=H","UseDPDF=Y")</f>
        <v>#NAME?</v>
      </c>
    </row>
    <row r="32" spans="1:17" x14ac:dyDescent="0.45">
      <c r="A32" s="10" t="s">
        <v>1044</v>
      </c>
      <c r="B32" s="10" t="s">
        <v>1045</v>
      </c>
      <c r="C32" s="12" t="s">
        <v>687</v>
      </c>
      <c r="D32" s="12" t="s">
        <v>687</v>
      </c>
      <c r="E32" s="12" t="s">
        <v>687</v>
      </c>
      <c r="F32" s="12" t="s">
        <v>687</v>
      </c>
      <c r="G32" s="12" t="s">
        <v>687</v>
      </c>
      <c r="H32" s="12" t="s">
        <v>687</v>
      </c>
      <c r="I32" s="12" t="s">
        <v>687</v>
      </c>
      <c r="J32" s="12" t="s">
        <v>687</v>
      </c>
      <c r="K32" s="12" t="s">
        <v>687</v>
      </c>
      <c r="L32" s="12" t="s">
        <v>687</v>
      </c>
      <c r="M32" s="12" t="s">
        <v>687</v>
      </c>
      <c r="N32" s="12" t="s">
        <v>687</v>
      </c>
      <c r="O32" s="12" t="s">
        <v>687</v>
      </c>
      <c r="P32" s="12" t="s">
        <v>687</v>
      </c>
      <c r="Q32" s="12" t="s">
        <v>687</v>
      </c>
    </row>
    <row r="33" spans="1:17" x14ac:dyDescent="0.45">
      <c r="A33" s="10" t="s">
        <v>1046</v>
      </c>
      <c r="B33" s="10" t="s">
        <v>1047</v>
      </c>
      <c r="C33" s="12" t="s">
        <v>687</v>
      </c>
      <c r="D33" s="12" t="s">
        <v>687</v>
      </c>
      <c r="E33" s="12" t="s">
        <v>687</v>
      </c>
      <c r="F33" s="12" t="s">
        <v>687</v>
      </c>
      <c r="G33" s="12" t="s">
        <v>687</v>
      </c>
      <c r="H33" s="12" t="s">
        <v>687</v>
      </c>
      <c r="I33" s="12" t="s">
        <v>687</v>
      </c>
      <c r="J33" s="12" t="s">
        <v>687</v>
      </c>
      <c r="K33" s="12" t="s">
        <v>687</v>
      </c>
      <c r="L33" s="12" t="s">
        <v>687</v>
      </c>
      <c r="M33" s="12" t="s">
        <v>687</v>
      </c>
      <c r="N33" s="12" t="s">
        <v>687</v>
      </c>
      <c r="O33" s="12" t="s">
        <v>687</v>
      </c>
      <c r="P33" s="12" t="s">
        <v>687</v>
      </c>
      <c r="Q33" s="12" t="s">
        <v>687</v>
      </c>
    </row>
    <row r="34" spans="1:17" x14ac:dyDescent="0.45">
      <c r="A34" s="10" t="s">
        <v>1048</v>
      </c>
      <c r="B34" s="10" t="s">
        <v>1049</v>
      </c>
      <c r="C34" s="14" t="e">
        <f ca="1">_xll.BDH("ANSS US Equity","NUM_EXECUTIVES_COMP_MANAGERS","FY 2009","FY 2009","Currency=USD","Period=FY","BEST_FPERIOD_OVERRIDE=FY","FILING_STATUS=MR","Sort=A","Dates=H","DateFormat=P","Fill=—","Direction=H","UseDPDF=Y")</f>
        <v>#NAME?</v>
      </c>
      <c r="D34" s="14" t="e">
        <f ca="1">_xll.BDH("ANSS US Equity","NUM_EXECUTIVES_COMP_MANAGERS","FY 2010","FY 2010","Currency=USD","Period=FY","BEST_FPERIOD_OVERRIDE=FY","FILING_STATUS=MR","Sort=A","Dates=H","DateFormat=P","Fill=—","Direction=H","UseDPDF=Y")</f>
        <v>#NAME?</v>
      </c>
      <c r="E34" s="14" t="e">
        <f ca="1">_xll.BDH("ANSS US Equity","NUM_EXECUTIVES_COMP_MANAGERS","FY 2011","FY 2011","Currency=USD","Period=FY","BEST_FPERIOD_OVERRIDE=FY","FILING_STATUS=MR","Sort=A","Dates=H","DateFormat=P","Fill=—","Direction=H","UseDPDF=Y")</f>
        <v>#NAME?</v>
      </c>
      <c r="F34" s="14" t="e">
        <f ca="1">_xll.BDH("ANSS US Equity","NUM_EXECUTIVES_COMP_MANAGERS","FY 2012","FY 2012","Currency=USD","Period=FY","BEST_FPERIOD_OVERRIDE=FY","FILING_STATUS=MR","Sort=A","Dates=H","DateFormat=P","Fill=—","Direction=H","UseDPDF=Y")</f>
        <v>#NAME?</v>
      </c>
      <c r="G34" s="14" t="e">
        <f ca="1">_xll.BDH("ANSS US Equity","NUM_EXECUTIVES_COMP_MANAGERS","FY 2013","FY 2013","Currency=USD","Period=FY","BEST_FPERIOD_OVERRIDE=FY","FILING_STATUS=MR","Sort=A","Dates=H","DateFormat=P","Fill=—","Direction=H","UseDPDF=Y")</f>
        <v>#NAME?</v>
      </c>
      <c r="H34" s="14" t="e">
        <f ca="1">_xll.BDH("ANSS US Equity","NUM_EXECUTIVES_COMP_MANAGERS","FY 2014","FY 2014","Currency=USD","Period=FY","BEST_FPERIOD_OVERRIDE=FY","FILING_STATUS=MR","Sort=A","Dates=H","DateFormat=P","Fill=—","Direction=H","UseDPDF=Y")</f>
        <v>#NAME?</v>
      </c>
      <c r="I34" s="14" t="e">
        <f ca="1">_xll.BDH("ANSS US Equity","NUM_EXECUTIVES_COMP_MANAGERS","FY 2015","FY 2015","Currency=USD","Period=FY","BEST_FPERIOD_OVERRIDE=FY","FILING_STATUS=MR","Sort=A","Dates=H","DateFormat=P","Fill=—","Direction=H","UseDPDF=Y")</f>
        <v>#NAME?</v>
      </c>
      <c r="J34" s="14" t="e">
        <f ca="1">_xll.BDH("ANSS US Equity","NUM_EXECUTIVES_COMP_MANAGERS","FY 2016","FY 2016","Currency=USD","Period=FY","BEST_FPERIOD_OVERRIDE=FY","FILING_STATUS=MR","Sort=A","Dates=H","DateFormat=P","Fill=—","Direction=H","UseDPDF=Y")</f>
        <v>#NAME?</v>
      </c>
      <c r="K34" s="14" t="e">
        <f ca="1">_xll.BDH("ANSS US Equity","NUM_EXECUTIVES_COMP_MANAGERS","FY 2017","FY 2017","Currency=USD","Period=FY","BEST_FPERIOD_OVERRIDE=FY","FILING_STATUS=MR","Sort=A","Dates=H","DateFormat=P","Fill=—","Direction=H","UseDPDF=Y")</f>
        <v>#NAME?</v>
      </c>
      <c r="L34" s="14" t="e">
        <f ca="1">_xll.BDH("ANSS US Equity","NUM_EXECUTIVES_COMP_MANAGERS","FY 2018","FY 2018","Currency=USD","Period=FY","BEST_FPERIOD_OVERRIDE=FY","FILING_STATUS=MR","Sort=A","Dates=H","DateFormat=P","Fill=—","Direction=H","UseDPDF=Y")</f>
        <v>#NAME?</v>
      </c>
      <c r="M34" s="14" t="e">
        <f ca="1">_xll.BDH("ANSS US Equity","NUM_EXECUTIVES_COMP_MANAGERS","FY 2019","FY 2019","Currency=USD","Period=FY","BEST_FPERIOD_OVERRIDE=FY","FILING_STATUS=MR","Sort=A","Dates=H","DateFormat=P","Fill=—","Direction=H","UseDPDF=Y")</f>
        <v>#NAME?</v>
      </c>
      <c r="N34" s="14" t="e">
        <f ca="1">_xll.BDH("ANSS US Equity","NUM_EXECUTIVES_COMP_MANAGERS","FY 2020","FY 2020","Currency=USD","Period=FY","BEST_FPERIOD_OVERRIDE=FY","FILING_STATUS=MR","Sort=A","Dates=H","DateFormat=P","Fill=—","Direction=H","UseDPDF=Y")</f>
        <v>#NAME?</v>
      </c>
      <c r="O34" s="14" t="e">
        <f ca="1">_xll.BDH("ANSS US Equity","NUM_EXECUTIVES_COMP_MANAGERS","FY 2021","FY 2021","Currency=USD","Period=FY","BEST_FPERIOD_OVERRIDE=FY","FILING_STATUS=MR","Sort=A","Dates=H","DateFormat=P","Fill=—","Direction=H","UseDPDF=Y")</f>
        <v>#NAME?</v>
      </c>
      <c r="P34" s="14" t="e">
        <f ca="1">_xll.BDH("ANSS US Equity","NUM_EXECUTIVES_COMP_MANAGERS","FY 2022","FY 2022","Currency=USD","Period=FY","BEST_FPERIOD_OVERRIDE=FY","FILING_STATUS=MR","Sort=A","Dates=H","DateFormat=P","Fill=—","Direction=H","UseDPDF=Y")</f>
        <v>#NAME?</v>
      </c>
      <c r="Q34" s="14" t="e">
        <f ca="1">_xll.BDH("ANSS US Equity","NUM_EXECUTIVES_COMP_MANAGERS","FY 2023","FY 2023","Currency=USD","Period=FY","BEST_FPERIOD_OVERRIDE=FY","FILING_STATUS=MR","Sort=A","Dates=H","DateFormat=P","Fill=—","Direction=H","UseDPDF=Y")</f>
        <v>#NAME?</v>
      </c>
    </row>
    <row r="35" spans="1:17" x14ac:dyDescent="0.45">
      <c r="A35" s="10" t="s">
        <v>1050</v>
      </c>
      <c r="B35" s="10" t="s">
        <v>1051</v>
      </c>
      <c r="C35" s="12" t="s">
        <v>684</v>
      </c>
      <c r="D35" s="12" t="s">
        <v>684</v>
      </c>
      <c r="E35" s="12" t="s">
        <v>684</v>
      </c>
      <c r="F35" s="12" t="s">
        <v>684</v>
      </c>
      <c r="G35" s="12" t="s">
        <v>684</v>
      </c>
      <c r="H35" s="12" t="s">
        <v>684</v>
      </c>
      <c r="I35" s="12" t="s">
        <v>684</v>
      </c>
      <c r="J35" s="12" t="s">
        <v>684</v>
      </c>
      <c r="K35" s="12" t="s">
        <v>684</v>
      </c>
      <c r="L35" s="12" t="s">
        <v>684</v>
      </c>
      <c r="M35" s="12" t="s">
        <v>684</v>
      </c>
      <c r="N35" s="12" t="s">
        <v>684</v>
      </c>
      <c r="O35" s="12" t="s">
        <v>684</v>
      </c>
      <c r="P35" s="12" t="s">
        <v>684</v>
      </c>
      <c r="Q35" s="12" t="s">
        <v>684</v>
      </c>
    </row>
    <row r="36" spans="1:17" x14ac:dyDescent="0.45">
      <c r="A36" s="10" t="s">
        <v>1052</v>
      </c>
      <c r="B36" s="10" t="s">
        <v>1053</v>
      </c>
      <c r="C36" s="14" t="e">
        <f ca="1">_xll.BDH("ANSS US Equity","NUMBER_OF_FEMALE_EXECUTIVES","FY 2009","FY 2009","Currency=USD","Period=FY","BEST_FPERIOD_OVERRIDE=FY","FILING_STATUS=MR","Sort=A","Dates=H","DateFormat=P","Fill=—","Direction=H","UseDPDF=Y")</f>
        <v>#NAME?</v>
      </c>
      <c r="D36" s="14" t="e">
        <f ca="1">_xll.BDH("ANSS US Equity","NUMBER_OF_FEMALE_EXECUTIVES","FY 2010","FY 2010","Currency=USD","Period=FY","BEST_FPERIOD_OVERRIDE=FY","FILING_STATUS=MR","Sort=A","Dates=H","DateFormat=P","Fill=—","Direction=H","UseDPDF=Y")</f>
        <v>#NAME?</v>
      </c>
      <c r="E36" s="14" t="e">
        <f ca="1">_xll.BDH("ANSS US Equity","NUMBER_OF_FEMALE_EXECUTIVES","FY 2011","FY 2011","Currency=USD","Period=FY","BEST_FPERIOD_OVERRIDE=FY","FILING_STATUS=MR","Sort=A","Dates=H","DateFormat=P","Fill=—","Direction=H","UseDPDF=Y")</f>
        <v>#NAME?</v>
      </c>
      <c r="F36" s="14" t="e">
        <f ca="1">_xll.BDH("ANSS US Equity","NUMBER_OF_FEMALE_EXECUTIVES","FY 2012","FY 2012","Currency=USD","Period=FY","BEST_FPERIOD_OVERRIDE=FY","FILING_STATUS=MR","Sort=A","Dates=H","DateFormat=P","Fill=—","Direction=H","UseDPDF=Y")</f>
        <v>#NAME?</v>
      </c>
      <c r="G36" s="14" t="e">
        <f ca="1">_xll.BDH("ANSS US Equity","NUMBER_OF_FEMALE_EXECUTIVES","FY 2013","FY 2013","Currency=USD","Period=FY","BEST_FPERIOD_OVERRIDE=FY","FILING_STATUS=MR","Sort=A","Dates=H","DateFormat=P","Fill=—","Direction=H","UseDPDF=Y")</f>
        <v>#NAME?</v>
      </c>
      <c r="H36" s="14" t="e">
        <f ca="1">_xll.BDH("ANSS US Equity","NUMBER_OF_FEMALE_EXECUTIVES","FY 2014","FY 2014","Currency=USD","Period=FY","BEST_FPERIOD_OVERRIDE=FY","FILING_STATUS=MR","Sort=A","Dates=H","DateFormat=P","Fill=—","Direction=H","UseDPDF=Y")</f>
        <v>#NAME?</v>
      </c>
      <c r="I36" s="14" t="e">
        <f ca="1">_xll.BDH("ANSS US Equity","NUMBER_OF_FEMALE_EXECUTIVES","FY 2015","FY 2015","Currency=USD","Period=FY","BEST_FPERIOD_OVERRIDE=FY","FILING_STATUS=MR","Sort=A","Dates=H","DateFormat=P","Fill=—","Direction=H","UseDPDF=Y")</f>
        <v>#NAME?</v>
      </c>
      <c r="J36" s="14" t="e">
        <f ca="1">_xll.BDH("ANSS US Equity","NUMBER_OF_FEMALE_EXECUTIVES","FY 2016","FY 2016","Currency=USD","Period=FY","BEST_FPERIOD_OVERRIDE=FY","FILING_STATUS=MR","Sort=A","Dates=H","DateFormat=P","Fill=—","Direction=H","UseDPDF=Y")</f>
        <v>#NAME?</v>
      </c>
      <c r="K36" s="14" t="e">
        <f ca="1">_xll.BDH("ANSS US Equity","NUMBER_OF_FEMALE_EXECUTIVES","FY 2017","FY 2017","Currency=USD","Period=FY","BEST_FPERIOD_OVERRIDE=FY","FILING_STATUS=MR","Sort=A","Dates=H","DateFormat=P","Fill=—","Direction=H","UseDPDF=Y")</f>
        <v>#NAME?</v>
      </c>
      <c r="L36" s="14" t="e">
        <f ca="1">_xll.BDH("ANSS US Equity","NUMBER_OF_FEMALE_EXECUTIVES","FY 2018","FY 2018","Currency=USD","Period=FY","BEST_FPERIOD_OVERRIDE=FY","FILING_STATUS=MR","Sort=A","Dates=H","DateFormat=P","Fill=—","Direction=H","UseDPDF=Y")</f>
        <v>#NAME?</v>
      </c>
      <c r="M36" s="14" t="e">
        <f ca="1">_xll.BDH("ANSS US Equity","NUMBER_OF_FEMALE_EXECUTIVES","FY 2019","FY 2019","Currency=USD","Period=FY","BEST_FPERIOD_OVERRIDE=FY","FILING_STATUS=MR","Sort=A","Dates=H","DateFormat=P","Fill=—","Direction=H","UseDPDF=Y")</f>
        <v>#NAME?</v>
      </c>
      <c r="N36" s="14" t="e">
        <f ca="1">_xll.BDH("ANSS US Equity","NUMBER_OF_FEMALE_EXECUTIVES","FY 2020","FY 2020","Currency=USD","Period=FY","BEST_FPERIOD_OVERRIDE=FY","FILING_STATUS=MR","Sort=A","Dates=H","DateFormat=P","Fill=—","Direction=H","UseDPDF=Y")</f>
        <v>#NAME?</v>
      </c>
      <c r="O36" s="14" t="e">
        <f ca="1">_xll.BDH("ANSS US Equity","NUMBER_OF_FEMALE_EXECUTIVES","FY 2021","FY 2021","Currency=USD","Period=FY","BEST_FPERIOD_OVERRIDE=FY","FILING_STATUS=MR","Sort=A","Dates=H","DateFormat=P","Fill=—","Direction=H","UseDPDF=Y")</f>
        <v>#NAME?</v>
      </c>
      <c r="P36" s="14" t="e">
        <f ca="1">_xll.BDH("ANSS US Equity","NUMBER_OF_FEMALE_EXECUTIVES","FY 2022","FY 2022","Currency=USD","Period=FY","BEST_FPERIOD_OVERRIDE=FY","FILING_STATUS=MR","Sort=A","Dates=H","DateFormat=P","Fill=—","Direction=H","UseDPDF=Y")</f>
        <v>#NAME?</v>
      </c>
      <c r="Q36" s="14" t="e">
        <f ca="1">_xll.BDH("ANSS US Equity","NUMBER_OF_FEMALE_EXECUTIVES","FY 2023","FY 2023","Currency=USD","Period=FY","BEST_FPERIOD_OVERRIDE=FY","FILING_STATUS=MR","Sort=A","Dates=H","DateFormat=P","Fill=—","Direction=H","UseDPDF=Y")</f>
        <v>#NAME?</v>
      </c>
    </row>
    <row r="37" spans="1:17" x14ac:dyDescent="0.45">
      <c r="A37" s="10" t="s">
        <v>1054</v>
      </c>
      <c r="B37" s="10" t="s">
        <v>545</v>
      </c>
      <c r="C37" s="14" t="e">
        <f ca="1">_xll.BDH("ANSS US Equity","PERCENTAGE_OF_FEMALE_EXECUTIVES","FY 2009","FY 2009","Currency=USD","Period=FY","BEST_FPERIOD_OVERRIDE=FY","FILING_STATUS=MR","Sort=A","Dates=H","DateFormat=P","Fill=—","Direction=H","UseDPDF=Y")</f>
        <v>#NAME?</v>
      </c>
      <c r="D37" s="14" t="e">
        <f ca="1">_xll.BDH("ANSS US Equity","PERCENTAGE_OF_FEMALE_EXECUTIVES","FY 2010","FY 2010","Currency=USD","Period=FY","BEST_FPERIOD_OVERRIDE=FY","FILING_STATUS=MR","Sort=A","Dates=H","DateFormat=P","Fill=—","Direction=H","UseDPDF=Y")</f>
        <v>#NAME?</v>
      </c>
      <c r="E37" s="14" t="e">
        <f ca="1">_xll.BDH("ANSS US Equity","PERCENTAGE_OF_FEMALE_EXECUTIVES","FY 2011","FY 2011","Currency=USD","Period=FY","BEST_FPERIOD_OVERRIDE=FY","FILING_STATUS=MR","Sort=A","Dates=H","DateFormat=P","Fill=—","Direction=H","UseDPDF=Y")</f>
        <v>#NAME?</v>
      </c>
      <c r="F37" s="14" t="e">
        <f ca="1">_xll.BDH("ANSS US Equity","PERCENTAGE_OF_FEMALE_EXECUTIVES","FY 2012","FY 2012","Currency=USD","Period=FY","BEST_FPERIOD_OVERRIDE=FY","FILING_STATUS=MR","Sort=A","Dates=H","DateFormat=P","Fill=—","Direction=H","UseDPDF=Y")</f>
        <v>#NAME?</v>
      </c>
      <c r="G37" s="14" t="e">
        <f ca="1">_xll.BDH("ANSS US Equity","PERCENTAGE_OF_FEMALE_EXECUTIVES","FY 2013","FY 2013","Currency=USD","Period=FY","BEST_FPERIOD_OVERRIDE=FY","FILING_STATUS=MR","Sort=A","Dates=H","DateFormat=P","Fill=—","Direction=H","UseDPDF=Y")</f>
        <v>#NAME?</v>
      </c>
      <c r="H37" s="14" t="e">
        <f ca="1">_xll.BDH("ANSS US Equity","PERCENTAGE_OF_FEMALE_EXECUTIVES","FY 2014","FY 2014","Currency=USD","Period=FY","BEST_FPERIOD_OVERRIDE=FY","FILING_STATUS=MR","Sort=A","Dates=H","DateFormat=P","Fill=—","Direction=H","UseDPDF=Y")</f>
        <v>#NAME?</v>
      </c>
      <c r="I37" s="14" t="e">
        <f ca="1">_xll.BDH("ANSS US Equity","PERCENTAGE_OF_FEMALE_EXECUTIVES","FY 2015","FY 2015","Currency=USD","Period=FY","BEST_FPERIOD_OVERRIDE=FY","FILING_STATUS=MR","Sort=A","Dates=H","DateFormat=P","Fill=—","Direction=H","UseDPDF=Y")</f>
        <v>#NAME?</v>
      </c>
      <c r="J37" s="14" t="e">
        <f ca="1">_xll.BDH("ANSS US Equity","PERCENTAGE_OF_FEMALE_EXECUTIVES","FY 2016","FY 2016","Currency=USD","Period=FY","BEST_FPERIOD_OVERRIDE=FY","FILING_STATUS=MR","Sort=A","Dates=H","DateFormat=P","Fill=—","Direction=H","UseDPDF=Y")</f>
        <v>#NAME?</v>
      </c>
      <c r="K37" s="14" t="e">
        <f ca="1">_xll.BDH("ANSS US Equity","PERCENTAGE_OF_FEMALE_EXECUTIVES","FY 2017","FY 2017","Currency=USD","Period=FY","BEST_FPERIOD_OVERRIDE=FY","FILING_STATUS=MR","Sort=A","Dates=H","DateFormat=P","Fill=—","Direction=H","UseDPDF=Y")</f>
        <v>#NAME?</v>
      </c>
      <c r="L37" s="14" t="e">
        <f ca="1">_xll.BDH("ANSS US Equity","PERCENTAGE_OF_FEMALE_EXECUTIVES","FY 2018","FY 2018","Currency=USD","Period=FY","BEST_FPERIOD_OVERRIDE=FY","FILING_STATUS=MR","Sort=A","Dates=H","DateFormat=P","Fill=—","Direction=H","UseDPDF=Y")</f>
        <v>#NAME?</v>
      </c>
      <c r="M37" s="14" t="e">
        <f ca="1">_xll.BDH("ANSS US Equity","PERCENTAGE_OF_FEMALE_EXECUTIVES","FY 2019","FY 2019","Currency=USD","Period=FY","BEST_FPERIOD_OVERRIDE=FY","FILING_STATUS=MR","Sort=A","Dates=H","DateFormat=P","Fill=—","Direction=H","UseDPDF=Y")</f>
        <v>#NAME?</v>
      </c>
      <c r="N37" s="14" t="e">
        <f ca="1">_xll.BDH("ANSS US Equity","PERCENTAGE_OF_FEMALE_EXECUTIVES","FY 2020","FY 2020","Currency=USD","Period=FY","BEST_FPERIOD_OVERRIDE=FY","FILING_STATUS=MR","Sort=A","Dates=H","DateFormat=P","Fill=—","Direction=H","UseDPDF=Y")</f>
        <v>#NAME?</v>
      </c>
      <c r="O37" s="14" t="e">
        <f ca="1">_xll.BDH("ANSS US Equity","PERCENTAGE_OF_FEMALE_EXECUTIVES","FY 2021","FY 2021","Currency=USD","Period=FY","BEST_FPERIOD_OVERRIDE=FY","FILING_STATUS=MR","Sort=A","Dates=H","DateFormat=P","Fill=—","Direction=H","UseDPDF=Y")</f>
        <v>#NAME?</v>
      </c>
      <c r="P37" s="14" t="e">
        <f ca="1">_xll.BDH("ANSS US Equity","PERCENTAGE_OF_FEMALE_EXECUTIVES","FY 2022","FY 2022","Currency=USD","Period=FY","BEST_FPERIOD_OVERRIDE=FY","FILING_STATUS=MR","Sort=A","Dates=H","DateFormat=P","Fill=—","Direction=H","UseDPDF=Y")</f>
        <v>#NAME?</v>
      </c>
      <c r="Q37" s="14" t="e">
        <f ca="1">_xll.BDH("ANSS US Equity","PERCENTAGE_OF_FEMALE_EXECUTIVES","FY 2023","FY 2023","Currency=USD","Period=FY","BEST_FPERIOD_OVERRIDE=FY","FILING_STATUS=MR","Sort=A","Dates=H","DateFormat=P","Fill=—","Direction=H","UseDPDF=Y")</f>
        <v>#NAME?</v>
      </c>
    </row>
    <row r="38" spans="1:17" x14ac:dyDescent="0.45">
      <c r="A38" s="10" t="s">
        <v>1055</v>
      </c>
      <c r="B38" s="10" t="s">
        <v>1056</v>
      </c>
      <c r="C38" s="14" t="e">
        <f ca="1">_xll.BDH("ANSS US Equity","AGE_OF_YOUNGEST_DIRECTOR","FY 2009","FY 2009","Currency=USD","Period=FY","BEST_FPERIOD_OVERRIDE=FY","FILING_STATUS=MR","Sort=A","Dates=H","DateFormat=P","Fill=—","Direction=H","UseDPDF=Y")</f>
        <v>#NAME?</v>
      </c>
      <c r="D38" s="14" t="e">
        <f ca="1">_xll.BDH("ANSS US Equity","AGE_OF_YOUNGEST_DIRECTOR","FY 2010","FY 2010","Currency=USD","Period=FY","BEST_FPERIOD_OVERRIDE=FY","FILING_STATUS=MR","Sort=A","Dates=H","DateFormat=P","Fill=—","Direction=H","UseDPDF=Y")</f>
        <v>#NAME?</v>
      </c>
      <c r="E38" s="14" t="e">
        <f ca="1">_xll.BDH("ANSS US Equity","AGE_OF_YOUNGEST_DIRECTOR","FY 2011","FY 2011","Currency=USD","Period=FY","BEST_FPERIOD_OVERRIDE=FY","FILING_STATUS=MR","Sort=A","Dates=H","DateFormat=P","Fill=—","Direction=H","UseDPDF=Y")</f>
        <v>#NAME?</v>
      </c>
      <c r="F38" s="14" t="e">
        <f ca="1">_xll.BDH("ANSS US Equity","AGE_OF_YOUNGEST_DIRECTOR","FY 2012","FY 2012","Currency=USD","Period=FY","BEST_FPERIOD_OVERRIDE=FY","FILING_STATUS=MR","Sort=A","Dates=H","DateFormat=P","Fill=—","Direction=H","UseDPDF=Y")</f>
        <v>#NAME?</v>
      </c>
      <c r="G38" s="14" t="e">
        <f ca="1">_xll.BDH("ANSS US Equity","AGE_OF_YOUNGEST_DIRECTOR","FY 2013","FY 2013","Currency=USD","Period=FY","BEST_FPERIOD_OVERRIDE=FY","FILING_STATUS=MR","Sort=A","Dates=H","DateFormat=P","Fill=—","Direction=H","UseDPDF=Y")</f>
        <v>#NAME?</v>
      </c>
      <c r="H38" s="14" t="e">
        <f ca="1">_xll.BDH("ANSS US Equity","AGE_OF_YOUNGEST_DIRECTOR","FY 2014","FY 2014","Currency=USD","Period=FY","BEST_FPERIOD_OVERRIDE=FY","FILING_STATUS=MR","Sort=A","Dates=H","DateFormat=P","Fill=—","Direction=H","UseDPDF=Y")</f>
        <v>#NAME?</v>
      </c>
      <c r="I38" s="14" t="e">
        <f ca="1">_xll.BDH("ANSS US Equity","AGE_OF_YOUNGEST_DIRECTOR","FY 2015","FY 2015","Currency=USD","Period=FY","BEST_FPERIOD_OVERRIDE=FY","FILING_STATUS=MR","Sort=A","Dates=H","DateFormat=P","Fill=—","Direction=H","UseDPDF=Y")</f>
        <v>#NAME?</v>
      </c>
      <c r="J38" s="14" t="e">
        <f ca="1">_xll.BDH("ANSS US Equity","AGE_OF_YOUNGEST_DIRECTOR","FY 2016","FY 2016","Currency=USD","Period=FY","BEST_FPERIOD_OVERRIDE=FY","FILING_STATUS=MR","Sort=A","Dates=H","DateFormat=P","Fill=—","Direction=H","UseDPDF=Y")</f>
        <v>#NAME?</v>
      </c>
      <c r="K38" s="14" t="e">
        <f ca="1">_xll.BDH("ANSS US Equity","AGE_OF_YOUNGEST_DIRECTOR","FY 2017","FY 2017","Currency=USD","Period=FY","BEST_FPERIOD_OVERRIDE=FY","FILING_STATUS=MR","Sort=A","Dates=H","DateFormat=P","Fill=—","Direction=H","UseDPDF=Y")</f>
        <v>#NAME?</v>
      </c>
      <c r="L38" s="14" t="e">
        <f ca="1">_xll.BDH("ANSS US Equity","AGE_OF_YOUNGEST_DIRECTOR","FY 2018","FY 2018","Currency=USD","Period=FY","BEST_FPERIOD_OVERRIDE=FY","FILING_STATUS=MR","Sort=A","Dates=H","DateFormat=P","Fill=—","Direction=H","UseDPDF=Y")</f>
        <v>#NAME?</v>
      </c>
      <c r="M38" s="14" t="e">
        <f ca="1">_xll.BDH("ANSS US Equity","AGE_OF_YOUNGEST_DIRECTOR","FY 2019","FY 2019","Currency=USD","Period=FY","BEST_FPERIOD_OVERRIDE=FY","FILING_STATUS=MR","Sort=A","Dates=H","DateFormat=P","Fill=—","Direction=H","UseDPDF=Y")</f>
        <v>#NAME?</v>
      </c>
      <c r="N38" s="14" t="e">
        <f ca="1">_xll.BDH("ANSS US Equity","AGE_OF_YOUNGEST_DIRECTOR","FY 2020","FY 2020","Currency=USD","Period=FY","BEST_FPERIOD_OVERRIDE=FY","FILING_STATUS=MR","Sort=A","Dates=H","DateFormat=P","Fill=—","Direction=H","UseDPDF=Y")</f>
        <v>#NAME?</v>
      </c>
      <c r="O38" s="14" t="e">
        <f ca="1">_xll.BDH("ANSS US Equity","AGE_OF_YOUNGEST_DIRECTOR","FY 2021","FY 2021","Currency=USD","Period=FY","BEST_FPERIOD_OVERRIDE=FY","FILING_STATUS=MR","Sort=A","Dates=H","DateFormat=P","Fill=—","Direction=H","UseDPDF=Y")</f>
        <v>#NAME?</v>
      </c>
      <c r="P38" s="14" t="e">
        <f ca="1">_xll.BDH("ANSS US Equity","AGE_OF_YOUNGEST_DIRECTOR","FY 2022","FY 2022","Currency=USD","Period=FY","BEST_FPERIOD_OVERRIDE=FY","FILING_STATUS=MR","Sort=A","Dates=H","DateFormat=P","Fill=—","Direction=H","UseDPDF=Y")</f>
        <v>#NAME?</v>
      </c>
      <c r="Q38" s="14" t="e">
        <f ca="1">_xll.BDH("ANSS US Equity","AGE_OF_YOUNGEST_DIRECTOR","FY 2023","FY 2023","Currency=USD","Period=FY","BEST_FPERIOD_OVERRIDE=FY","FILING_STATUS=MR","Sort=A","Dates=H","DateFormat=P","Fill=—","Direction=H","UseDPDF=Y")</f>
        <v>#NAME?</v>
      </c>
    </row>
    <row r="39" spans="1:17" x14ac:dyDescent="0.45">
      <c r="A39" s="10" t="s">
        <v>1057</v>
      </c>
      <c r="B39" s="10" t="s">
        <v>1058</v>
      </c>
      <c r="C39" s="14" t="e">
        <f ca="1">_xll.BDH("ANSS US Equity","AGE_OF_OLDEST_DIRECTOR","FY 2009","FY 2009","Currency=USD","Period=FY","BEST_FPERIOD_OVERRIDE=FY","FILING_STATUS=MR","Sort=A","Dates=H","DateFormat=P","Fill=—","Direction=H","UseDPDF=Y")</f>
        <v>#NAME?</v>
      </c>
      <c r="D39" s="14" t="e">
        <f ca="1">_xll.BDH("ANSS US Equity","AGE_OF_OLDEST_DIRECTOR","FY 2010","FY 2010","Currency=USD","Period=FY","BEST_FPERIOD_OVERRIDE=FY","FILING_STATUS=MR","Sort=A","Dates=H","DateFormat=P","Fill=—","Direction=H","UseDPDF=Y")</f>
        <v>#NAME?</v>
      </c>
      <c r="E39" s="14" t="e">
        <f ca="1">_xll.BDH("ANSS US Equity","AGE_OF_OLDEST_DIRECTOR","FY 2011","FY 2011","Currency=USD","Period=FY","BEST_FPERIOD_OVERRIDE=FY","FILING_STATUS=MR","Sort=A","Dates=H","DateFormat=P","Fill=—","Direction=H","UseDPDF=Y")</f>
        <v>#NAME?</v>
      </c>
      <c r="F39" s="14" t="e">
        <f ca="1">_xll.BDH("ANSS US Equity","AGE_OF_OLDEST_DIRECTOR","FY 2012","FY 2012","Currency=USD","Period=FY","BEST_FPERIOD_OVERRIDE=FY","FILING_STATUS=MR","Sort=A","Dates=H","DateFormat=P","Fill=—","Direction=H","UseDPDF=Y")</f>
        <v>#NAME?</v>
      </c>
      <c r="G39" s="14" t="e">
        <f ca="1">_xll.BDH("ANSS US Equity","AGE_OF_OLDEST_DIRECTOR","FY 2013","FY 2013","Currency=USD","Period=FY","BEST_FPERIOD_OVERRIDE=FY","FILING_STATUS=MR","Sort=A","Dates=H","DateFormat=P","Fill=—","Direction=H","UseDPDF=Y")</f>
        <v>#NAME?</v>
      </c>
      <c r="H39" s="14" t="e">
        <f ca="1">_xll.BDH("ANSS US Equity","AGE_OF_OLDEST_DIRECTOR","FY 2014","FY 2014","Currency=USD","Period=FY","BEST_FPERIOD_OVERRIDE=FY","FILING_STATUS=MR","Sort=A","Dates=H","DateFormat=P","Fill=—","Direction=H","UseDPDF=Y")</f>
        <v>#NAME?</v>
      </c>
      <c r="I39" s="14" t="e">
        <f ca="1">_xll.BDH("ANSS US Equity","AGE_OF_OLDEST_DIRECTOR","FY 2015","FY 2015","Currency=USD","Period=FY","BEST_FPERIOD_OVERRIDE=FY","FILING_STATUS=MR","Sort=A","Dates=H","DateFormat=P","Fill=—","Direction=H","UseDPDF=Y")</f>
        <v>#NAME?</v>
      </c>
      <c r="J39" s="14" t="e">
        <f ca="1">_xll.BDH("ANSS US Equity","AGE_OF_OLDEST_DIRECTOR","FY 2016","FY 2016","Currency=USD","Period=FY","BEST_FPERIOD_OVERRIDE=FY","FILING_STATUS=MR","Sort=A","Dates=H","DateFormat=P","Fill=—","Direction=H","UseDPDF=Y")</f>
        <v>#NAME?</v>
      </c>
      <c r="K39" s="14" t="e">
        <f ca="1">_xll.BDH("ANSS US Equity","AGE_OF_OLDEST_DIRECTOR","FY 2017","FY 2017","Currency=USD","Period=FY","BEST_FPERIOD_OVERRIDE=FY","FILING_STATUS=MR","Sort=A","Dates=H","DateFormat=P","Fill=—","Direction=H","UseDPDF=Y")</f>
        <v>#NAME?</v>
      </c>
      <c r="L39" s="14" t="e">
        <f ca="1">_xll.BDH("ANSS US Equity","AGE_OF_OLDEST_DIRECTOR","FY 2018","FY 2018","Currency=USD","Period=FY","BEST_FPERIOD_OVERRIDE=FY","FILING_STATUS=MR","Sort=A","Dates=H","DateFormat=P","Fill=—","Direction=H","UseDPDF=Y")</f>
        <v>#NAME?</v>
      </c>
      <c r="M39" s="14" t="e">
        <f ca="1">_xll.BDH("ANSS US Equity","AGE_OF_OLDEST_DIRECTOR","FY 2019","FY 2019","Currency=USD","Period=FY","BEST_FPERIOD_OVERRIDE=FY","FILING_STATUS=MR","Sort=A","Dates=H","DateFormat=P","Fill=—","Direction=H","UseDPDF=Y")</f>
        <v>#NAME?</v>
      </c>
      <c r="N39" s="14" t="e">
        <f ca="1">_xll.BDH("ANSS US Equity","AGE_OF_OLDEST_DIRECTOR","FY 2020","FY 2020","Currency=USD","Period=FY","BEST_FPERIOD_OVERRIDE=FY","FILING_STATUS=MR","Sort=A","Dates=H","DateFormat=P","Fill=—","Direction=H","UseDPDF=Y")</f>
        <v>#NAME?</v>
      </c>
      <c r="O39" s="14" t="e">
        <f ca="1">_xll.BDH("ANSS US Equity","AGE_OF_OLDEST_DIRECTOR","FY 2021","FY 2021","Currency=USD","Period=FY","BEST_FPERIOD_OVERRIDE=FY","FILING_STATUS=MR","Sort=A","Dates=H","DateFormat=P","Fill=—","Direction=H","UseDPDF=Y")</f>
        <v>#NAME?</v>
      </c>
      <c r="P39" s="14" t="e">
        <f ca="1">_xll.BDH("ANSS US Equity","AGE_OF_OLDEST_DIRECTOR","FY 2022","FY 2022","Currency=USD","Period=FY","BEST_FPERIOD_OVERRIDE=FY","FILING_STATUS=MR","Sort=A","Dates=H","DateFormat=P","Fill=—","Direction=H","UseDPDF=Y")</f>
        <v>#NAME?</v>
      </c>
      <c r="Q39" s="14" t="e">
        <f ca="1">_xll.BDH("ANSS US Equity","AGE_OF_OLDEST_DIRECTOR","FY 2023","FY 2023","Currency=USD","Period=FY","BEST_FPERIOD_OVERRIDE=FY","FILING_STATUS=MR","Sort=A","Dates=H","DateFormat=P","Fill=—","Direction=H","UseDPDF=Y")</f>
        <v>#NAME?</v>
      </c>
    </row>
    <row r="40" spans="1:17" x14ac:dyDescent="0.45">
      <c r="A40" s="10" t="s">
        <v>546</v>
      </c>
      <c r="B40" s="10" t="s">
        <v>547</v>
      </c>
      <c r="C40" s="14" t="e">
        <f ca="1">_xll.BDH("ANSS US Equity","BOARD_OF_DIRECTORS_AGE_RANGE","FY 2009","FY 2009","Currency=USD","Period=FY","BEST_FPERIOD_OVERRIDE=FY","FILING_STATUS=MR","Sort=A","Dates=H","DateFormat=P","Fill=—","Direction=H","UseDPDF=Y")</f>
        <v>#NAME?</v>
      </c>
      <c r="D40" s="14" t="e">
        <f ca="1">_xll.BDH("ANSS US Equity","BOARD_OF_DIRECTORS_AGE_RANGE","FY 2010","FY 2010","Currency=USD","Period=FY","BEST_FPERIOD_OVERRIDE=FY","FILING_STATUS=MR","Sort=A","Dates=H","DateFormat=P","Fill=—","Direction=H","UseDPDF=Y")</f>
        <v>#NAME?</v>
      </c>
      <c r="E40" s="14" t="e">
        <f ca="1">_xll.BDH("ANSS US Equity","BOARD_OF_DIRECTORS_AGE_RANGE","FY 2011","FY 2011","Currency=USD","Period=FY","BEST_FPERIOD_OVERRIDE=FY","FILING_STATUS=MR","Sort=A","Dates=H","DateFormat=P","Fill=—","Direction=H","UseDPDF=Y")</f>
        <v>#NAME?</v>
      </c>
      <c r="F40" s="14" t="e">
        <f ca="1">_xll.BDH("ANSS US Equity","BOARD_OF_DIRECTORS_AGE_RANGE","FY 2012","FY 2012","Currency=USD","Period=FY","BEST_FPERIOD_OVERRIDE=FY","FILING_STATUS=MR","Sort=A","Dates=H","DateFormat=P","Fill=—","Direction=H","UseDPDF=Y")</f>
        <v>#NAME?</v>
      </c>
      <c r="G40" s="14" t="e">
        <f ca="1">_xll.BDH("ANSS US Equity","BOARD_OF_DIRECTORS_AGE_RANGE","FY 2013","FY 2013","Currency=USD","Period=FY","BEST_FPERIOD_OVERRIDE=FY","FILING_STATUS=MR","Sort=A","Dates=H","DateFormat=P","Fill=—","Direction=H","UseDPDF=Y")</f>
        <v>#NAME?</v>
      </c>
      <c r="H40" s="14" t="e">
        <f ca="1">_xll.BDH("ANSS US Equity","BOARD_OF_DIRECTORS_AGE_RANGE","FY 2014","FY 2014","Currency=USD","Period=FY","BEST_FPERIOD_OVERRIDE=FY","FILING_STATUS=MR","Sort=A","Dates=H","DateFormat=P","Fill=—","Direction=H","UseDPDF=Y")</f>
        <v>#NAME?</v>
      </c>
      <c r="I40" s="14" t="e">
        <f ca="1">_xll.BDH("ANSS US Equity","BOARD_OF_DIRECTORS_AGE_RANGE","FY 2015","FY 2015","Currency=USD","Period=FY","BEST_FPERIOD_OVERRIDE=FY","FILING_STATUS=MR","Sort=A","Dates=H","DateFormat=P","Fill=—","Direction=H","UseDPDF=Y")</f>
        <v>#NAME?</v>
      </c>
      <c r="J40" s="14" t="e">
        <f ca="1">_xll.BDH("ANSS US Equity","BOARD_OF_DIRECTORS_AGE_RANGE","FY 2016","FY 2016","Currency=USD","Period=FY","BEST_FPERIOD_OVERRIDE=FY","FILING_STATUS=MR","Sort=A","Dates=H","DateFormat=P","Fill=—","Direction=H","UseDPDF=Y")</f>
        <v>#NAME?</v>
      </c>
      <c r="K40" s="14" t="e">
        <f ca="1">_xll.BDH("ANSS US Equity","BOARD_OF_DIRECTORS_AGE_RANGE","FY 2017","FY 2017","Currency=USD","Period=FY","BEST_FPERIOD_OVERRIDE=FY","FILING_STATUS=MR","Sort=A","Dates=H","DateFormat=P","Fill=—","Direction=H","UseDPDF=Y")</f>
        <v>#NAME?</v>
      </c>
      <c r="L40" s="14" t="e">
        <f ca="1">_xll.BDH("ANSS US Equity","BOARD_OF_DIRECTORS_AGE_RANGE","FY 2018","FY 2018","Currency=USD","Period=FY","BEST_FPERIOD_OVERRIDE=FY","FILING_STATUS=MR","Sort=A","Dates=H","DateFormat=P","Fill=—","Direction=H","UseDPDF=Y")</f>
        <v>#NAME?</v>
      </c>
      <c r="M40" s="14" t="e">
        <f ca="1">_xll.BDH("ANSS US Equity","BOARD_OF_DIRECTORS_AGE_RANGE","FY 2019","FY 2019","Currency=USD","Period=FY","BEST_FPERIOD_OVERRIDE=FY","FILING_STATUS=MR","Sort=A","Dates=H","DateFormat=P","Fill=—","Direction=H","UseDPDF=Y")</f>
        <v>#NAME?</v>
      </c>
      <c r="N40" s="14" t="e">
        <f ca="1">_xll.BDH("ANSS US Equity","BOARD_OF_DIRECTORS_AGE_RANGE","FY 2020","FY 2020","Currency=USD","Period=FY","BEST_FPERIOD_OVERRIDE=FY","FILING_STATUS=MR","Sort=A","Dates=H","DateFormat=P","Fill=—","Direction=H","UseDPDF=Y")</f>
        <v>#NAME?</v>
      </c>
      <c r="O40" s="14" t="e">
        <f ca="1">_xll.BDH("ANSS US Equity","BOARD_OF_DIRECTORS_AGE_RANGE","FY 2021","FY 2021","Currency=USD","Period=FY","BEST_FPERIOD_OVERRIDE=FY","FILING_STATUS=MR","Sort=A","Dates=H","DateFormat=P","Fill=—","Direction=H","UseDPDF=Y")</f>
        <v>#NAME?</v>
      </c>
      <c r="P40" s="14" t="e">
        <f ca="1">_xll.BDH("ANSS US Equity","BOARD_OF_DIRECTORS_AGE_RANGE","FY 2022","FY 2022","Currency=USD","Period=FY","BEST_FPERIOD_OVERRIDE=FY","FILING_STATUS=MR","Sort=A","Dates=H","DateFormat=P","Fill=—","Direction=H","UseDPDF=Y")</f>
        <v>#NAME?</v>
      </c>
      <c r="Q40" s="14" t="e">
        <f ca="1">_xll.BDH("ANSS US Equity","BOARD_OF_DIRECTORS_AGE_RANGE","FY 2023","FY 2023","Currency=USD","Period=FY","BEST_FPERIOD_OVERRIDE=FY","FILING_STATUS=MR","Sort=A","Dates=H","DateFormat=P","Fill=—","Direction=H","UseDPDF=Y")</f>
        <v>#NAME?</v>
      </c>
    </row>
    <row r="41" spans="1:17" x14ac:dyDescent="0.45">
      <c r="A41" s="10" t="s">
        <v>548</v>
      </c>
      <c r="B41" s="10" t="s">
        <v>549</v>
      </c>
      <c r="C41" s="14" t="e">
        <f ca="1">_xll.BDH("ANSS US Equity","BOARD_AVERAGE_AGE","FY 2009","FY 2009","Currency=USD","Period=FY","BEST_FPERIOD_OVERRIDE=FY","FILING_STATUS=MR","Sort=A","Dates=H","DateFormat=P","Fill=—","Direction=H","UseDPDF=Y")</f>
        <v>#NAME?</v>
      </c>
      <c r="D41" s="14" t="e">
        <f ca="1">_xll.BDH("ANSS US Equity","BOARD_AVERAGE_AGE","FY 2010","FY 2010","Currency=USD","Period=FY","BEST_FPERIOD_OVERRIDE=FY","FILING_STATUS=MR","Sort=A","Dates=H","DateFormat=P","Fill=—","Direction=H","UseDPDF=Y")</f>
        <v>#NAME?</v>
      </c>
      <c r="E41" s="14" t="e">
        <f ca="1">_xll.BDH("ANSS US Equity","BOARD_AVERAGE_AGE","FY 2011","FY 2011","Currency=USD","Period=FY","BEST_FPERIOD_OVERRIDE=FY","FILING_STATUS=MR","Sort=A","Dates=H","DateFormat=P","Fill=—","Direction=H","UseDPDF=Y")</f>
        <v>#NAME?</v>
      </c>
      <c r="F41" s="14" t="e">
        <f ca="1">_xll.BDH("ANSS US Equity","BOARD_AVERAGE_AGE","FY 2012","FY 2012","Currency=USD","Period=FY","BEST_FPERIOD_OVERRIDE=FY","FILING_STATUS=MR","Sort=A","Dates=H","DateFormat=P","Fill=—","Direction=H","UseDPDF=Y")</f>
        <v>#NAME?</v>
      </c>
      <c r="G41" s="14" t="e">
        <f ca="1">_xll.BDH("ANSS US Equity","BOARD_AVERAGE_AGE","FY 2013","FY 2013","Currency=USD","Period=FY","BEST_FPERIOD_OVERRIDE=FY","FILING_STATUS=MR","Sort=A","Dates=H","DateFormat=P","Fill=—","Direction=H","UseDPDF=Y")</f>
        <v>#NAME?</v>
      </c>
      <c r="H41" s="14" t="e">
        <f ca="1">_xll.BDH("ANSS US Equity","BOARD_AVERAGE_AGE","FY 2014","FY 2014","Currency=USD","Period=FY","BEST_FPERIOD_OVERRIDE=FY","FILING_STATUS=MR","Sort=A","Dates=H","DateFormat=P","Fill=—","Direction=H","UseDPDF=Y")</f>
        <v>#NAME?</v>
      </c>
      <c r="I41" s="14" t="e">
        <f ca="1">_xll.BDH("ANSS US Equity","BOARD_AVERAGE_AGE","FY 2015","FY 2015","Currency=USD","Period=FY","BEST_FPERIOD_OVERRIDE=FY","FILING_STATUS=MR","Sort=A","Dates=H","DateFormat=P","Fill=—","Direction=H","UseDPDF=Y")</f>
        <v>#NAME?</v>
      </c>
      <c r="J41" s="14" t="e">
        <f ca="1">_xll.BDH("ANSS US Equity","BOARD_AVERAGE_AGE","FY 2016","FY 2016","Currency=USD","Period=FY","BEST_FPERIOD_OVERRIDE=FY","FILING_STATUS=MR","Sort=A","Dates=H","DateFormat=P","Fill=—","Direction=H","UseDPDF=Y")</f>
        <v>#NAME?</v>
      </c>
      <c r="K41" s="14" t="e">
        <f ca="1">_xll.BDH("ANSS US Equity","BOARD_AVERAGE_AGE","FY 2017","FY 2017","Currency=USD","Period=FY","BEST_FPERIOD_OVERRIDE=FY","FILING_STATUS=MR","Sort=A","Dates=H","DateFormat=P","Fill=—","Direction=H","UseDPDF=Y")</f>
        <v>#NAME?</v>
      </c>
      <c r="L41" s="14" t="e">
        <f ca="1">_xll.BDH("ANSS US Equity","BOARD_AVERAGE_AGE","FY 2018","FY 2018","Currency=USD","Period=FY","BEST_FPERIOD_OVERRIDE=FY","FILING_STATUS=MR","Sort=A","Dates=H","DateFormat=P","Fill=—","Direction=H","UseDPDF=Y")</f>
        <v>#NAME?</v>
      </c>
      <c r="M41" s="14" t="e">
        <f ca="1">_xll.BDH("ANSS US Equity","BOARD_AVERAGE_AGE","FY 2019","FY 2019","Currency=USD","Period=FY","BEST_FPERIOD_OVERRIDE=FY","FILING_STATUS=MR","Sort=A","Dates=H","DateFormat=P","Fill=—","Direction=H","UseDPDF=Y")</f>
        <v>#NAME?</v>
      </c>
      <c r="N41" s="14" t="e">
        <f ca="1">_xll.BDH("ANSS US Equity","BOARD_AVERAGE_AGE","FY 2020","FY 2020","Currency=USD","Period=FY","BEST_FPERIOD_OVERRIDE=FY","FILING_STATUS=MR","Sort=A","Dates=H","DateFormat=P","Fill=—","Direction=H","UseDPDF=Y")</f>
        <v>#NAME?</v>
      </c>
      <c r="O41" s="14" t="e">
        <f ca="1">_xll.BDH("ANSS US Equity","BOARD_AVERAGE_AGE","FY 2021","FY 2021","Currency=USD","Period=FY","BEST_FPERIOD_OVERRIDE=FY","FILING_STATUS=MR","Sort=A","Dates=H","DateFormat=P","Fill=—","Direction=H","UseDPDF=Y")</f>
        <v>#NAME?</v>
      </c>
      <c r="P41" s="14" t="e">
        <f ca="1">_xll.BDH("ANSS US Equity","BOARD_AVERAGE_AGE","FY 2022","FY 2022","Currency=USD","Period=FY","BEST_FPERIOD_OVERRIDE=FY","FILING_STATUS=MR","Sort=A","Dates=H","DateFormat=P","Fill=—","Direction=H","UseDPDF=Y")</f>
        <v>#NAME?</v>
      </c>
      <c r="Q41" s="14" t="e">
        <f ca="1">_xll.BDH("ANSS US Equity","BOARD_AVERAGE_AGE","FY 2023","FY 2023","Currency=USD","Period=FY","BEST_FPERIOD_OVERRIDE=FY","FILING_STATUS=MR","Sort=A","Dates=H","DateFormat=P","Fill=—","Direction=H","UseDPDF=Y")</f>
        <v>#NAME?</v>
      </c>
    </row>
    <row r="42" spans="1:17" x14ac:dyDescent="0.45">
      <c r="A42" s="10" t="s">
        <v>1059</v>
      </c>
      <c r="B42" s="10" t="s">
        <v>1060</v>
      </c>
      <c r="C42" s="14" t="e">
        <f ca="1">_xll.BDH("ANSS US Equity","BOARD_AGE_LIMIT","FY 2009","FY 2009","Currency=USD","Period=FY","BEST_FPERIOD_OVERRIDE=FY","FILING_STATUS=MR","Sort=A","Dates=H","DateFormat=P","Fill=—","Direction=H","UseDPDF=Y")</f>
        <v>#NAME?</v>
      </c>
      <c r="D42" s="14" t="e">
        <f ca="1">_xll.BDH("ANSS US Equity","BOARD_AGE_LIMIT","FY 2010","FY 2010","Currency=USD","Period=FY","BEST_FPERIOD_OVERRIDE=FY","FILING_STATUS=MR","Sort=A","Dates=H","DateFormat=P","Fill=—","Direction=H","UseDPDF=Y")</f>
        <v>#NAME?</v>
      </c>
      <c r="E42" s="14" t="e">
        <f ca="1">_xll.BDH("ANSS US Equity","BOARD_AGE_LIMIT","FY 2011","FY 2011","Currency=USD","Period=FY","BEST_FPERIOD_OVERRIDE=FY","FILING_STATUS=MR","Sort=A","Dates=H","DateFormat=P","Fill=—","Direction=H","UseDPDF=Y")</f>
        <v>#NAME?</v>
      </c>
      <c r="F42" s="14" t="e">
        <f ca="1">_xll.BDH("ANSS US Equity","BOARD_AGE_LIMIT","FY 2012","FY 2012","Currency=USD","Period=FY","BEST_FPERIOD_OVERRIDE=FY","FILING_STATUS=MR","Sort=A","Dates=H","DateFormat=P","Fill=—","Direction=H","UseDPDF=Y")</f>
        <v>#NAME?</v>
      </c>
      <c r="G42" s="14" t="e">
        <f ca="1">_xll.BDH("ANSS US Equity","BOARD_AGE_LIMIT","FY 2013","FY 2013","Currency=USD","Period=FY","BEST_FPERIOD_OVERRIDE=FY","FILING_STATUS=MR","Sort=A","Dates=H","DateFormat=P","Fill=—","Direction=H","UseDPDF=Y")</f>
        <v>#NAME?</v>
      </c>
      <c r="H42" s="14" t="e">
        <f ca="1">_xll.BDH("ANSS US Equity","BOARD_AGE_LIMIT","FY 2014","FY 2014","Currency=USD","Period=FY","BEST_FPERIOD_OVERRIDE=FY","FILING_STATUS=MR","Sort=A","Dates=H","DateFormat=P","Fill=—","Direction=H","UseDPDF=Y")</f>
        <v>#NAME?</v>
      </c>
      <c r="I42" s="14" t="e">
        <f ca="1">_xll.BDH("ANSS US Equity","BOARD_AGE_LIMIT","FY 2015","FY 2015","Currency=USD","Period=FY","BEST_FPERIOD_OVERRIDE=FY","FILING_STATUS=MR","Sort=A","Dates=H","DateFormat=P","Fill=—","Direction=H","UseDPDF=Y")</f>
        <v>#NAME?</v>
      </c>
      <c r="J42" s="14" t="e">
        <f ca="1">_xll.BDH("ANSS US Equity","BOARD_AGE_LIMIT","FY 2016","FY 2016","Currency=USD","Period=FY","BEST_FPERIOD_OVERRIDE=FY","FILING_STATUS=MR","Sort=A","Dates=H","DateFormat=P","Fill=—","Direction=H","UseDPDF=Y")</f>
        <v>#NAME?</v>
      </c>
      <c r="K42" s="14" t="e">
        <f ca="1">_xll.BDH("ANSS US Equity","BOARD_AGE_LIMIT","FY 2017","FY 2017","Currency=USD","Period=FY","BEST_FPERIOD_OVERRIDE=FY","FILING_STATUS=MR","Sort=A","Dates=H","DateFormat=P","Fill=—","Direction=H","UseDPDF=Y")</f>
        <v>#NAME?</v>
      </c>
      <c r="L42" s="14" t="e">
        <f ca="1">_xll.BDH("ANSS US Equity","BOARD_AGE_LIMIT","FY 2018","FY 2018","Currency=USD","Period=FY","BEST_FPERIOD_OVERRIDE=FY","FILING_STATUS=MR","Sort=A","Dates=H","DateFormat=P","Fill=—","Direction=H","UseDPDF=Y")</f>
        <v>#NAME?</v>
      </c>
      <c r="M42" s="14" t="e">
        <f ca="1">_xll.BDH("ANSS US Equity","BOARD_AGE_LIMIT","FY 2019","FY 2019","Currency=USD","Period=FY","BEST_FPERIOD_OVERRIDE=FY","FILING_STATUS=MR","Sort=A","Dates=H","DateFormat=P","Fill=—","Direction=H","UseDPDF=Y")</f>
        <v>#NAME?</v>
      </c>
      <c r="N42" s="14" t="e">
        <f ca="1">_xll.BDH("ANSS US Equity","BOARD_AGE_LIMIT","FY 2020","FY 2020","Currency=USD","Period=FY","BEST_FPERIOD_OVERRIDE=FY","FILING_STATUS=MR","Sort=A","Dates=H","DateFormat=P","Fill=—","Direction=H","UseDPDF=Y")</f>
        <v>#NAME?</v>
      </c>
      <c r="O42" s="14" t="e">
        <f ca="1">_xll.BDH("ANSS US Equity","BOARD_AGE_LIMIT","FY 2021","FY 2021","Currency=USD","Period=FY","BEST_FPERIOD_OVERRIDE=FY","FILING_STATUS=MR","Sort=A","Dates=H","DateFormat=P","Fill=—","Direction=H","UseDPDF=Y")</f>
        <v>#NAME?</v>
      </c>
      <c r="P42" s="14" t="e">
        <f ca="1">_xll.BDH("ANSS US Equity","BOARD_AGE_LIMIT","FY 2022","FY 2022","Currency=USD","Period=FY","BEST_FPERIOD_OVERRIDE=FY","FILING_STATUS=MR","Sort=A","Dates=H","DateFormat=P","Fill=—","Direction=H","UseDPDF=Y")</f>
        <v>#NAME?</v>
      </c>
      <c r="Q42" s="14" t="e">
        <f ca="1">_xll.BDH("ANSS US Equity","BOARD_AGE_LIMIT","FY 2023","FY 2023","Currency=USD","Period=FY","BEST_FPERIOD_OVERRIDE=FY","FILING_STATUS=MR","Sort=A","Dates=H","DateFormat=P","Fill=—","Direction=H","UseDPDF=Y")</f>
        <v>#NAME?</v>
      </c>
    </row>
    <row r="43" spans="1:17" x14ac:dyDescent="0.45">
      <c r="A43" s="10" t="s">
        <v>1061</v>
      </c>
      <c r="B43" s="10" t="s">
        <v>1062</v>
      </c>
      <c r="C43" s="14" t="e">
        <f ca="1">_xll.BDH("ANSS US Equity","BOARD_DIVERSITY_BREAKOUT_CODE","FY 2009","FY 2009","Currency=USD","Period=FY","BEST_FPERIOD_OVERRIDE=FY","FILING_STATUS=MR","Sort=A","Dates=H","DateFormat=P","Fill=—","Direction=H","UseDPDF=Y")</f>
        <v>#NAME?</v>
      </c>
      <c r="D43" s="14" t="e">
        <f ca="1">_xll.BDH("ANSS US Equity","BOARD_DIVERSITY_BREAKOUT_CODE","FY 2010","FY 2010","Currency=USD","Period=FY","BEST_FPERIOD_OVERRIDE=FY","FILING_STATUS=MR","Sort=A","Dates=H","DateFormat=P","Fill=—","Direction=H","UseDPDF=Y")</f>
        <v>#NAME?</v>
      </c>
      <c r="E43" s="14" t="e">
        <f ca="1">_xll.BDH("ANSS US Equity","BOARD_DIVERSITY_BREAKOUT_CODE","FY 2011","FY 2011","Currency=USD","Period=FY","BEST_FPERIOD_OVERRIDE=FY","FILING_STATUS=MR","Sort=A","Dates=H","DateFormat=P","Fill=—","Direction=H","UseDPDF=Y")</f>
        <v>#NAME?</v>
      </c>
      <c r="F43" s="14" t="e">
        <f ca="1">_xll.BDH("ANSS US Equity","BOARD_DIVERSITY_BREAKOUT_CODE","FY 2012","FY 2012","Currency=USD","Period=FY","BEST_FPERIOD_OVERRIDE=FY","FILING_STATUS=MR","Sort=A","Dates=H","DateFormat=P","Fill=—","Direction=H","UseDPDF=Y")</f>
        <v>#NAME?</v>
      </c>
      <c r="G43" s="14" t="e">
        <f ca="1">_xll.BDH("ANSS US Equity","BOARD_DIVERSITY_BREAKOUT_CODE","FY 2013","FY 2013","Currency=USD","Period=FY","BEST_FPERIOD_OVERRIDE=FY","FILING_STATUS=MR","Sort=A","Dates=H","DateFormat=P","Fill=—","Direction=H","UseDPDF=Y")</f>
        <v>#NAME?</v>
      </c>
      <c r="H43" s="14" t="e">
        <f ca="1">_xll.BDH("ANSS US Equity","BOARD_DIVERSITY_BREAKOUT_CODE","FY 2014","FY 2014","Currency=USD","Period=FY","BEST_FPERIOD_OVERRIDE=FY","FILING_STATUS=MR","Sort=A","Dates=H","DateFormat=P","Fill=—","Direction=H","UseDPDF=Y")</f>
        <v>#NAME?</v>
      </c>
      <c r="I43" s="14" t="e">
        <f ca="1">_xll.BDH("ANSS US Equity","BOARD_DIVERSITY_BREAKOUT_CODE","FY 2015","FY 2015","Currency=USD","Period=FY","BEST_FPERIOD_OVERRIDE=FY","FILING_STATUS=MR","Sort=A","Dates=H","DateFormat=P","Fill=—","Direction=H","UseDPDF=Y")</f>
        <v>#NAME?</v>
      </c>
      <c r="J43" s="14" t="e">
        <f ca="1">_xll.BDH("ANSS US Equity","BOARD_DIVERSITY_BREAKOUT_CODE","FY 2016","FY 2016","Currency=USD","Period=FY","BEST_FPERIOD_OVERRIDE=FY","FILING_STATUS=MR","Sort=A","Dates=H","DateFormat=P","Fill=—","Direction=H","UseDPDF=Y")</f>
        <v>#NAME?</v>
      </c>
      <c r="K43" s="14" t="e">
        <f ca="1">_xll.BDH("ANSS US Equity","BOARD_DIVERSITY_BREAKOUT_CODE","FY 2017","FY 2017","Currency=USD","Period=FY","BEST_FPERIOD_OVERRIDE=FY","FILING_STATUS=MR","Sort=A","Dates=H","DateFormat=P","Fill=—","Direction=H","UseDPDF=Y")</f>
        <v>#NAME?</v>
      </c>
      <c r="L43" s="14" t="e">
        <f ca="1">_xll.BDH("ANSS US Equity","BOARD_DIVERSITY_BREAKOUT_CODE","FY 2018","FY 2018","Currency=USD","Period=FY","BEST_FPERIOD_OVERRIDE=FY","FILING_STATUS=MR","Sort=A","Dates=H","DateFormat=P","Fill=—","Direction=H","UseDPDF=Y")</f>
        <v>#NAME?</v>
      </c>
      <c r="M43" s="14" t="e">
        <f ca="1">_xll.BDH("ANSS US Equity","BOARD_DIVERSITY_BREAKOUT_CODE","FY 2019","FY 2019","Currency=USD","Period=FY","BEST_FPERIOD_OVERRIDE=FY","FILING_STATUS=MR","Sort=A","Dates=H","DateFormat=P","Fill=—","Direction=H","UseDPDF=Y")</f>
        <v>#NAME?</v>
      </c>
      <c r="N43" s="14" t="e">
        <f ca="1">_xll.BDH("ANSS US Equity","BOARD_DIVERSITY_BREAKOUT_CODE","FY 2020","FY 2020","Currency=USD","Period=FY","BEST_FPERIOD_OVERRIDE=FY","FILING_STATUS=MR","Sort=A","Dates=H","DateFormat=P","Fill=—","Direction=H","UseDPDF=Y")</f>
        <v>#NAME?</v>
      </c>
      <c r="O43" s="14" t="e">
        <f ca="1">_xll.BDH("ANSS US Equity","BOARD_DIVERSITY_BREAKOUT_CODE","FY 2021","FY 2021","Currency=USD","Period=FY","BEST_FPERIOD_OVERRIDE=FY","FILING_STATUS=MR","Sort=A","Dates=H","DateFormat=P","Fill=—","Direction=H","UseDPDF=Y")</f>
        <v>#NAME?</v>
      </c>
      <c r="P43" s="14" t="e">
        <f ca="1">_xll.BDH("ANSS US Equity","BOARD_DIVERSITY_BREAKOUT_CODE","FY 2022","FY 2022","Currency=USD","Period=FY","BEST_FPERIOD_OVERRIDE=FY","FILING_STATUS=MR","Sort=A","Dates=H","DateFormat=P","Fill=—","Direction=H","UseDPDF=Y")</f>
        <v>#NAME?</v>
      </c>
      <c r="Q43" s="14" t="e">
        <f ca="1">_xll.BDH("ANSS US Equity","BOARD_DIVERSITY_BREAKOUT_CODE","FY 2023","FY 2023","Currency=USD","Period=FY","BEST_FPERIOD_OVERRIDE=FY","FILING_STATUS=MR","Sort=A","Dates=H","DateFormat=P","Fill=—","Direction=H","UseDPDF=Y")</f>
        <v>#NAME?</v>
      </c>
    </row>
    <row r="44" spans="1:17" x14ac:dyDescent="0.45">
      <c r="A44" s="10" t="s">
        <v>1063</v>
      </c>
      <c r="B44" s="10" t="s">
        <v>1064</v>
      </c>
      <c r="C44" s="14" t="e">
        <f ca="1">_xll.BDH("ANSS US Equity","BOARD_DIVERSITY_COUNT","FY 2009","FY 2009","Currency=USD","Period=FY","BEST_FPERIOD_OVERRIDE=FY","FILING_STATUS=MR","Sort=A","Dates=H","DateFormat=P","Fill=—","Direction=H","UseDPDF=Y")</f>
        <v>#NAME?</v>
      </c>
      <c r="D44" s="14" t="e">
        <f ca="1">_xll.BDH("ANSS US Equity","BOARD_DIVERSITY_COUNT","FY 2010","FY 2010","Currency=USD","Period=FY","BEST_FPERIOD_OVERRIDE=FY","FILING_STATUS=MR","Sort=A","Dates=H","DateFormat=P","Fill=—","Direction=H","UseDPDF=Y")</f>
        <v>#NAME?</v>
      </c>
      <c r="E44" s="14" t="e">
        <f ca="1">_xll.BDH("ANSS US Equity","BOARD_DIVERSITY_COUNT","FY 2011","FY 2011","Currency=USD","Period=FY","BEST_FPERIOD_OVERRIDE=FY","FILING_STATUS=MR","Sort=A","Dates=H","DateFormat=P","Fill=—","Direction=H","UseDPDF=Y")</f>
        <v>#NAME?</v>
      </c>
      <c r="F44" s="14" t="e">
        <f ca="1">_xll.BDH("ANSS US Equity","BOARD_DIVERSITY_COUNT","FY 2012","FY 2012","Currency=USD","Period=FY","BEST_FPERIOD_OVERRIDE=FY","FILING_STATUS=MR","Sort=A","Dates=H","DateFormat=P","Fill=—","Direction=H","UseDPDF=Y")</f>
        <v>#NAME?</v>
      </c>
      <c r="G44" s="14" t="e">
        <f ca="1">_xll.BDH("ANSS US Equity","BOARD_DIVERSITY_COUNT","FY 2013","FY 2013","Currency=USD","Period=FY","BEST_FPERIOD_OVERRIDE=FY","FILING_STATUS=MR","Sort=A","Dates=H","DateFormat=P","Fill=—","Direction=H","UseDPDF=Y")</f>
        <v>#NAME?</v>
      </c>
      <c r="H44" s="14" t="e">
        <f ca="1">_xll.BDH("ANSS US Equity","BOARD_DIVERSITY_COUNT","FY 2014","FY 2014","Currency=USD","Period=FY","BEST_FPERIOD_OVERRIDE=FY","FILING_STATUS=MR","Sort=A","Dates=H","DateFormat=P","Fill=—","Direction=H","UseDPDF=Y")</f>
        <v>#NAME?</v>
      </c>
      <c r="I44" s="14" t="e">
        <f ca="1">_xll.BDH("ANSS US Equity","BOARD_DIVERSITY_COUNT","FY 2015","FY 2015","Currency=USD","Period=FY","BEST_FPERIOD_OVERRIDE=FY","FILING_STATUS=MR","Sort=A","Dates=H","DateFormat=P","Fill=—","Direction=H","UseDPDF=Y")</f>
        <v>#NAME?</v>
      </c>
      <c r="J44" s="14" t="e">
        <f ca="1">_xll.BDH("ANSS US Equity","BOARD_DIVERSITY_COUNT","FY 2016","FY 2016","Currency=USD","Period=FY","BEST_FPERIOD_OVERRIDE=FY","FILING_STATUS=MR","Sort=A","Dates=H","DateFormat=P","Fill=—","Direction=H","UseDPDF=Y")</f>
        <v>#NAME?</v>
      </c>
      <c r="K44" s="14" t="e">
        <f ca="1">_xll.BDH("ANSS US Equity","BOARD_DIVERSITY_COUNT","FY 2017","FY 2017","Currency=USD","Period=FY","BEST_FPERIOD_OVERRIDE=FY","FILING_STATUS=MR","Sort=A","Dates=H","DateFormat=P","Fill=—","Direction=H","UseDPDF=Y")</f>
        <v>#NAME?</v>
      </c>
      <c r="L44" s="14" t="e">
        <f ca="1">_xll.BDH("ANSS US Equity","BOARD_DIVERSITY_COUNT","FY 2018","FY 2018","Currency=USD","Period=FY","BEST_FPERIOD_OVERRIDE=FY","FILING_STATUS=MR","Sort=A","Dates=H","DateFormat=P","Fill=—","Direction=H","UseDPDF=Y")</f>
        <v>#NAME?</v>
      </c>
      <c r="M44" s="14" t="e">
        <f ca="1">_xll.BDH("ANSS US Equity","BOARD_DIVERSITY_COUNT","FY 2019","FY 2019","Currency=USD","Period=FY","BEST_FPERIOD_OVERRIDE=FY","FILING_STATUS=MR","Sort=A","Dates=H","DateFormat=P","Fill=—","Direction=H","UseDPDF=Y")</f>
        <v>#NAME?</v>
      </c>
      <c r="N44" s="14" t="e">
        <f ca="1">_xll.BDH("ANSS US Equity","BOARD_DIVERSITY_COUNT","FY 2020","FY 2020","Currency=USD","Period=FY","BEST_FPERIOD_OVERRIDE=FY","FILING_STATUS=MR","Sort=A","Dates=H","DateFormat=P","Fill=—","Direction=H","UseDPDF=Y")</f>
        <v>#NAME?</v>
      </c>
      <c r="O44" s="14" t="e">
        <f ca="1">_xll.BDH("ANSS US Equity","BOARD_DIVERSITY_COUNT","FY 2021","FY 2021","Currency=USD","Period=FY","BEST_FPERIOD_OVERRIDE=FY","FILING_STATUS=MR","Sort=A","Dates=H","DateFormat=P","Fill=—","Direction=H","UseDPDF=Y")</f>
        <v>#NAME?</v>
      </c>
      <c r="P44" s="14" t="e">
        <f ca="1">_xll.BDH("ANSS US Equity","BOARD_DIVERSITY_COUNT","FY 2022","FY 2022","Currency=USD","Period=FY","BEST_FPERIOD_OVERRIDE=FY","FILING_STATUS=MR","Sort=A","Dates=H","DateFormat=P","Fill=—","Direction=H","UseDPDF=Y")</f>
        <v>#NAME?</v>
      </c>
      <c r="Q44" s="14" t="e">
        <f ca="1">_xll.BDH("ANSS US Equity","BOARD_DIVERSITY_COUNT","FY 2023","FY 2023","Currency=USD","Period=FY","BEST_FPERIOD_OVERRIDE=FY","FILING_STATUS=MR","Sort=A","Dates=H","DateFormat=P","Fill=—","Direction=H","UseDPDF=Y")</f>
        <v>#NAME?</v>
      </c>
    </row>
    <row r="45" spans="1:17" x14ac:dyDescent="0.45">
      <c r="A45" s="10" t="s">
        <v>1065</v>
      </c>
      <c r="B45" s="10" t="s">
        <v>1066</v>
      </c>
      <c r="C45" s="14" t="e">
        <f ca="1">_xll.BDH("ANSS US Equity","BOARD_DIVERSITY_PCT","FY 2009","FY 2009","Currency=USD","Period=FY","BEST_FPERIOD_OVERRIDE=FY","FILING_STATUS=MR","Sort=A","Dates=H","DateFormat=P","Fill=—","Direction=H","UseDPDF=Y")</f>
        <v>#NAME?</v>
      </c>
      <c r="D45" s="14" t="e">
        <f ca="1">_xll.BDH("ANSS US Equity","BOARD_DIVERSITY_PCT","FY 2010","FY 2010","Currency=USD","Period=FY","BEST_FPERIOD_OVERRIDE=FY","FILING_STATUS=MR","Sort=A","Dates=H","DateFormat=P","Fill=—","Direction=H","UseDPDF=Y")</f>
        <v>#NAME?</v>
      </c>
      <c r="E45" s="14" t="e">
        <f ca="1">_xll.BDH("ANSS US Equity","BOARD_DIVERSITY_PCT","FY 2011","FY 2011","Currency=USD","Period=FY","BEST_FPERIOD_OVERRIDE=FY","FILING_STATUS=MR","Sort=A","Dates=H","DateFormat=P","Fill=—","Direction=H","UseDPDF=Y")</f>
        <v>#NAME?</v>
      </c>
      <c r="F45" s="14" t="e">
        <f ca="1">_xll.BDH("ANSS US Equity","BOARD_DIVERSITY_PCT","FY 2012","FY 2012","Currency=USD","Period=FY","BEST_FPERIOD_OVERRIDE=FY","FILING_STATUS=MR","Sort=A","Dates=H","DateFormat=P","Fill=—","Direction=H","UseDPDF=Y")</f>
        <v>#NAME?</v>
      </c>
      <c r="G45" s="14" t="e">
        <f ca="1">_xll.BDH("ANSS US Equity","BOARD_DIVERSITY_PCT","FY 2013","FY 2013","Currency=USD","Period=FY","BEST_FPERIOD_OVERRIDE=FY","FILING_STATUS=MR","Sort=A","Dates=H","DateFormat=P","Fill=—","Direction=H","UseDPDF=Y")</f>
        <v>#NAME?</v>
      </c>
      <c r="H45" s="14" t="e">
        <f ca="1">_xll.BDH("ANSS US Equity","BOARD_DIVERSITY_PCT","FY 2014","FY 2014","Currency=USD","Period=FY","BEST_FPERIOD_OVERRIDE=FY","FILING_STATUS=MR","Sort=A","Dates=H","DateFormat=P","Fill=—","Direction=H","UseDPDF=Y")</f>
        <v>#NAME?</v>
      </c>
      <c r="I45" s="14" t="e">
        <f ca="1">_xll.BDH("ANSS US Equity","BOARD_DIVERSITY_PCT","FY 2015","FY 2015","Currency=USD","Period=FY","BEST_FPERIOD_OVERRIDE=FY","FILING_STATUS=MR","Sort=A","Dates=H","DateFormat=P","Fill=—","Direction=H","UseDPDF=Y")</f>
        <v>#NAME?</v>
      </c>
      <c r="J45" s="14" t="e">
        <f ca="1">_xll.BDH("ANSS US Equity","BOARD_DIVERSITY_PCT","FY 2016","FY 2016","Currency=USD","Period=FY","BEST_FPERIOD_OVERRIDE=FY","FILING_STATUS=MR","Sort=A","Dates=H","DateFormat=P","Fill=—","Direction=H","UseDPDF=Y")</f>
        <v>#NAME?</v>
      </c>
      <c r="K45" s="14" t="e">
        <f ca="1">_xll.BDH("ANSS US Equity","BOARD_DIVERSITY_PCT","FY 2017","FY 2017","Currency=USD","Period=FY","BEST_FPERIOD_OVERRIDE=FY","FILING_STATUS=MR","Sort=A","Dates=H","DateFormat=P","Fill=—","Direction=H","UseDPDF=Y")</f>
        <v>#NAME?</v>
      </c>
      <c r="L45" s="14" t="e">
        <f ca="1">_xll.BDH("ANSS US Equity","BOARD_DIVERSITY_PCT","FY 2018","FY 2018","Currency=USD","Period=FY","BEST_FPERIOD_OVERRIDE=FY","FILING_STATUS=MR","Sort=A","Dates=H","DateFormat=P","Fill=—","Direction=H","UseDPDF=Y")</f>
        <v>#NAME?</v>
      </c>
      <c r="M45" s="14" t="e">
        <f ca="1">_xll.BDH("ANSS US Equity","BOARD_DIVERSITY_PCT","FY 2019","FY 2019","Currency=USD","Period=FY","BEST_FPERIOD_OVERRIDE=FY","FILING_STATUS=MR","Sort=A","Dates=H","DateFormat=P","Fill=—","Direction=H","UseDPDF=Y")</f>
        <v>#NAME?</v>
      </c>
      <c r="N45" s="14" t="e">
        <f ca="1">_xll.BDH("ANSS US Equity","BOARD_DIVERSITY_PCT","FY 2020","FY 2020","Currency=USD","Period=FY","BEST_FPERIOD_OVERRIDE=FY","FILING_STATUS=MR","Sort=A","Dates=H","DateFormat=P","Fill=—","Direction=H","UseDPDF=Y")</f>
        <v>#NAME?</v>
      </c>
      <c r="O45" s="14" t="e">
        <f ca="1">_xll.BDH("ANSS US Equity","BOARD_DIVERSITY_PCT","FY 2021","FY 2021","Currency=USD","Period=FY","BEST_FPERIOD_OVERRIDE=FY","FILING_STATUS=MR","Sort=A","Dates=H","DateFormat=P","Fill=—","Direction=H","UseDPDF=Y")</f>
        <v>#NAME?</v>
      </c>
      <c r="P45" s="14" t="e">
        <f ca="1">_xll.BDH("ANSS US Equity","BOARD_DIVERSITY_PCT","FY 2022","FY 2022","Currency=USD","Period=FY","BEST_FPERIOD_OVERRIDE=FY","FILING_STATUS=MR","Sort=A","Dates=H","DateFormat=P","Fill=—","Direction=H","UseDPDF=Y")</f>
        <v>#NAME?</v>
      </c>
      <c r="Q45" s="14" t="e">
        <f ca="1">_xll.BDH("ANSS US Equity","BOARD_DIVERSITY_PCT","FY 2023","FY 2023","Currency=USD","Period=FY","BEST_FPERIOD_OVERRIDE=FY","FILING_STATUS=MR","Sort=A","Dates=H","DateFormat=P","Fill=—","Direction=H","UseDPDF=Y")</f>
        <v>#NAME?</v>
      </c>
    </row>
    <row r="46" spans="1:17" x14ac:dyDescent="0.45">
      <c r="A46" s="10" t="s">
        <v>1067</v>
      </c>
      <c r="B46" s="10" t="s">
        <v>1068</v>
      </c>
      <c r="C46" s="14" t="e">
        <f ca="1">_xll.BDH("ANSS US Equity","BOARD_WOMEN_ETHNIC_DIV_COUNT","FY 2009","FY 2009","Currency=USD","Period=FY","BEST_FPERIOD_OVERRIDE=FY","FILING_STATUS=MR","Sort=A","Dates=H","DateFormat=P","Fill=—","Direction=H","UseDPDF=Y")</f>
        <v>#NAME?</v>
      </c>
      <c r="D46" s="14" t="e">
        <f ca="1">_xll.BDH("ANSS US Equity","BOARD_WOMEN_ETHNIC_DIV_COUNT","FY 2010","FY 2010","Currency=USD","Period=FY","BEST_FPERIOD_OVERRIDE=FY","FILING_STATUS=MR","Sort=A","Dates=H","DateFormat=P","Fill=—","Direction=H","UseDPDF=Y")</f>
        <v>#NAME?</v>
      </c>
      <c r="E46" s="14" t="e">
        <f ca="1">_xll.BDH("ANSS US Equity","BOARD_WOMEN_ETHNIC_DIV_COUNT","FY 2011","FY 2011","Currency=USD","Period=FY","BEST_FPERIOD_OVERRIDE=FY","FILING_STATUS=MR","Sort=A","Dates=H","DateFormat=P","Fill=—","Direction=H","UseDPDF=Y")</f>
        <v>#NAME?</v>
      </c>
      <c r="F46" s="14" t="e">
        <f ca="1">_xll.BDH("ANSS US Equity","BOARD_WOMEN_ETHNIC_DIV_COUNT","FY 2012","FY 2012","Currency=USD","Period=FY","BEST_FPERIOD_OVERRIDE=FY","FILING_STATUS=MR","Sort=A","Dates=H","DateFormat=P","Fill=—","Direction=H","UseDPDF=Y")</f>
        <v>#NAME?</v>
      </c>
      <c r="G46" s="14" t="e">
        <f ca="1">_xll.BDH("ANSS US Equity","BOARD_WOMEN_ETHNIC_DIV_COUNT","FY 2013","FY 2013","Currency=USD","Period=FY","BEST_FPERIOD_OVERRIDE=FY","FILING_STATUS=MR","Sort=A","Dates=H","DateFormat=P","Fill=—","Direction=H","UseDPDF=Y")</f>
        <v>#NAME?</v>
      </c>
      <c r="H46" s="14" t="e">
        <f ca="1">_xll.BDH("ANSS US Equity","BOARD_WOMEN_ETHNIC_DIV_COUNT","FY 2014","FY 2014","Currency=USD","Period=FY","BEST_FPERIOD_OVERRIDE=FY","FILING_STATUS=MR","Sort=A","Dates=H","DateFormat=P","Fill=—","Direction=H","UseDPDF=Y")</f>
        <v>#NAME?</v>
      </c>
      <c r="I46" s="14" t="e">
        <f ca="1">_xll.BDH("ANSS US Equity","BOARD_WOMEN_ETHNIC_DIV_COUNT","FY 2015","FY 2015","Currency=USD","Period=FY","BEST_FPERIOD_OVERRIDE=FY","FILING_STATUS=MR","Sort=A","Dates=H","DateFormat=P","Fill=—","Direction=H","UseDPDF=Y")</f>
        <v>#NAME?</v>
      </c>
      <c r="J46" s="14" t="e">
        <f ca="1">_xll.BDH("ANSS US Equity","BOARD_WOMEN_ETHNIC_DIV_COUNT","FY 2016","FY 2016","Currency=USD","Period=FY","BEST_FPERIOD_OVERRIDE=FY","FILING_STATUS=MR","Sort=A","Dates=H","DateFormat=P","Fill=—","Direction=H","UseDPDF=Y")</f>
        <v>#NAME?</v>
      </c>
      <c r="K46" s="14" t="e">
        <f ca="1">_xll.BDH("ANSS US Equity","BOARD_WOMEN_ETHNIC_DIV_COUNT","FY 2017","FY 2017","Currency=USD","Period=FY","BEST_FPERIOD_OVERRIDE=FY","FILING_STATUS=MR","Sort=A","Dates=H","DateFormat=P","Fill=—","Direction=H","UseDPDF=Y")</f>
        <v>#NAME?</v>
      </c>
      <c r="L46" s="14" t="e">
        <f ca="1">_xll.BDH("ANSS US Equity","BOARD_WOMEN_ETHNIC_DIV_COUNT","FY 2018","FY 2018","Currency=USD","Period=FY","BEST_FPERIOD_OVERRIDE=FY","FILING_STATUS=MR","Sort=A","Dates=H","DateFormat=P","Fill=—","Direction=H","UseDPDF=Y")</f>
        <v>#NAME?</v>
      </c>
      <c r="M46" s="14" t="e">
        <f ca="1">_xll.BDH("ANSS US Equity","BOARD_WOMEN_ETHNIC_DIV_COUNT","FY 2019","FY 2019","Currency=USD","Period=FY","BEST_FPERIOD_OVERRIDE=FY","FILING_STATUS=MR","Sort=A","Dates=H","DateFormat=P","Fill=—","Direction=H","UseDPDF=Y")</f>
        <v>#NAME?</v>
      </c>
      <c r="N46" s="14" t="e">
        <f ca="1">_xll.BDH("ANSS US Equity","BOARD_WOMEN_ETHNIC_DIV_COUNT","FY 2020","FY 2020","Currency=USD","Period=FY","BEST_FPERIOD_OVERRIDE=FY","FILING_STATUS=MR","Sort=A","Dates=H","DateFormat=P","Fill=—","Direction=H","UseDPDF=Y")</f>
        <v>#NAME?</v>
      </c>
      <c r="O46" s="14" t="e">
        <f ca="1">_xll.BDH("ANSS US Equity","BOARD_WOMEN_ETHNIC_DIV_COUNT","FY 2021","FY 2021","Currency=USD","Period=FY","BEST_FPERIOD_OVERRIDE=FY","FILING_STATUS=MR","Sort=A","Dates=H","DateFormat=P","Fill=—","Direction=H","UseDPDF=Y")</f>
        <v>#NAME?</v>
      </c>
      <c r="P46" s="14" t="e">
        <f ca="1">_xll.BDH("ANSS US Equity","BOARD_WOMEN_ETHNIC_DIV_COUNT","FY 2022","FY 2022","Currency=USD","Period=FY","BEST_FPERIOD_OVERRIDE=FY","FILING_STATUS=MR","Sort=A","Dates=H","DateFormat=P","Fill=—","Direction=H","UseDPDF=Y")</f>
        <v>#NAME?</v>
      </c>
      <c r="Q46" s="14" t="e">
        <f ca="1">_xll.BDH("ANSS US Equity","BOARD_WOMEN_ETHNIC_DIV_COUNT","FY 2023","FY 2023","Currency=USD","Period=FY","BEST_FPERIOD_OVERRIDE=FY","FILING_STATUS=MR","Sort=A","Dates=H","DateFormat=P","Fill=—","Direction=H","UseDPDF=Y")</f>
        <v>#NAME?</v>
      </c>
    </row>
    <row r="47" spans="1:17" x14ac:dyDescent="0.45">
      <c r="A47" s="10" t="s">
        <v>1069</v>
      </c>
      <c r="B47" s="10" t="s">
        <v>1070</v>
      </c>
      <c r="C47" s="14" t="e">
        <f ca="1">_xll.BDH("ANSS US Equity","BOARD_WOMEN_ETHNIC_DIV_PCT","FY 2009","FY 2009","Currency=USD","Period=FY","BEST_FPERIOD_OVERRIDE=FY","FILING_STATUS=MR","Sort=A","Dates=H","DateFormat=P","Fill=—","Direction=H","UseDPDF=Y")</f>
        <v>#NAME?</v>
      </c>
      <c r="D47" s="14" t="e">
        <f ca="1">_xll.BDH("ANSS US Equity","BOARD_WOMEN_ETHNIC_DIV_PCT","FY 2010","FY 2010","Currency=USD","Period=FY","BEST_FPERIOD_OVERRIDE=FY","FILING_STATUS=MR","Sort=A","Dates=H","DateFormat=P","Fill=—","Direction=H","UseDPDF=Y")</f>
        <v>#NAME?</v>
      </c>
      <c r="E47" s="14" t="e">
        <f ca="1">_xll.BDH("ANSS US Equity","BOARD_WOMEN_ETHNIC_DIV_PCT","FY 2011","FY 2011","Currency=USD","Period=FY","BEST_FPERIOD_OVERRIDE=FY","FILING_STATUS=MR","Sort=A","Dates=H","DateFormat=P","Fill=—","Direction=H","UseDPDF=Y")</f>
        <v>#NAME?</v>
      </c>
      <c r="F47" s="14" t="e">
        <f ca="1">_xll.BDH("ANSS US Equity","BOARD_WOMEN_ETHNIC_DIV_PCT","FY 2012","FY 2012","Currency=USD","Period=FY","BEST_FPERIOD_OVERRIDE=FY","FILING_STATUS=MR","Sort=A","Dates=H","DateFormat=P","Fill=—","Direction=H","UseDPDF=Y")</f>
        <v>#NAME?</v>
      </c>
      <c r="G47" s="14" t="e">
        <f ca="1">_xll.BDH("ANSS US Equity","BOARD_WOMEN_ETHNIC_DIV_PCT","FY 2013","FY 2013","Currency=USD","Period=FY","BEST_FPERIOD_OVERRIDE=FY","FILING_STATUS=MR","Sort=A","Dates=H","DateFormat=P","Fill=—","Direction=H","UseDPDF=Y")</f>
        <v>#NAME?</v>
      </c>
      <c r="H47" s="14" t="e">
        <f ca="1">_xll.BDH("ANSS US Equity","BOARD_WOMEN_ETHNIC_DIV_PCT","FY 2014","FY 2014","Currency=USD","Period=FY","BEST_FPERIOD_OVERRIDE=FY","FILING_STATUS=MR","Sort=A","Dates=H","DateFormat=P","Fill=—","Direction=H","UseDPDF=Y")</f>
        <v>#NAME?</v>
      </c>
      <c r="I47" s="14" t="e">
        <f ca="1">_xll.BDH("ANSS US Equity","BOARD_WOMEN_ETHNIC_DIV_PCT","FY 2015","FY 2015","Currency=USD","Period=FY","BEST_FPERIOD_OVERRIDE=FY","FILING_STATUS=MR","Sort=A","Dates=H","DateFormat=P","Fill=—","Direction=H","UseDPDF=Y")</f>
        <v>#NAME?</v>
      </c>
      <c r="J47" s="14" t="e">
        <f ca="1">_xll.BDH("ANSS US Equity","BOARD_WOMEN_ETHNIC_DIV_PCT","FY 2016","FY 2016","Currency=USD","Period=FY","BEST_FPERIOD_OVERRIDE=FY","FILING_STATUS=MR","Sort=A","Dates=H","DateFormat=P","Fill=—","Direction=H","UseDPDF=Y")</f>
        <v>#NAME?</v>
      </c>
      <c r="K47" s="14" t="e">
        <f ca="1">_xll.BDH("ANSS US Equity","BOARD_WOMEN_ETHNIC_DIV_PCT","FY 2017","FY 2017","Currency=USD","Period=FY","BEST_FPERIOD_OVERRIDE=FY","FILING_STATUS=MR","Sort=A","Dates=H","DateFormat=P","Fill=—","Direction=H","UseDPDF=Y")</f>
        <v>#NAME?</v>
      </c>
      <c r="L47" s="14" t="e">
        <f ca="1">_xll.BDH("ANSS US Equity","BOARD_WOMEN_ETHNIC_DIV_PCT","FY 2018","FY 2018","Currency=USD","Period=FY","BEST_FPERIOD_OVERRIDE=FY","FILING_STATUS=MR","Sort=A","Dates=H","DateFormat=P","Fill=—","Direction=H","UseDPDF=Y")</f>
        <v>#NAME?</v>
      </c>
      <c r="M47" s="14" t="e">
        <f ca="1">_xll.BDH("ANSS US Equity","BOARD_WOMEN_ETHNIC_DIV_PCT","FY 2019","FY 2019","Currency=USD","Period=FY","BEST_FPERIOD_OVERRIDE=FY","FILING_STATUS=MR","Sort=A","Dates=H","DateFormat=P","Fill=—","Direction=H","UseDPDF=Y")</f>
        <v>#NAME?</v>
      </c>
      <c r="N47" s="14" t="e">
        <f ca="1">_xll.BDH("ANSS US Equity","BOARD_WOMEN_ETHNIC_DIV_PCT","FY 2020","FY 2020","Currency=USD","Period=FY","BEST_FPERIOD_OVERRIDE=FY","FILING_STATUS=MR","Sort=A","Dates=H","DateFormat=P","Fill=—","Direction=H","UseDPDF=Y")</f>
        <v>#NAME?</v>
      </c>
      <c r="O47" s="14" t="e">
        <f ca="1">_xll.BDH("ANSS US Equity","BOARD_WOMEN_ETHNIC_DIV_PCT","FY 2021","FY 2021","Currency=USD","Period=FY","BEST_FPERIOD_OVERRIDE=FY","FILING_STATUS=MR","Sort=A","Dates=H","DateFormat=P","Fill=—","Direction=H","UseDPDF=Y")</f>
        <v>#NAME?</v>
      </c>
      <c r="P47" s="14" t="e">
        <f ca="1">_xll.BDH("ANSS US Equity","BOARD_WOMEN_ETHNIC_DIV_PCT","FY 2022","FY 2022","Currency=USD","Period=FY","BEST_FPERIOD_OVERRIDE=FY","FILING_STATUS=MR","Sort=A","Dates=H","DateFormat=P","Fill=—","Direction=H","UseDPDF=Y")</f>
        <v>#NAME?</v>
      </c>
      <c r="Q47" s="14" t="e">
        <f ca="1">_xll.BDH("ANSS US Equity","BOARD_WOMEN_ETHNIC_DIV_PCT","FY 2023","FY 2023","Currency=USD","Period=FY","BEST_FPERIOD_OVERRIDE=FY","FILING_STATUS=MR","Sort=A","Dates=H","DateFormat=P","Fill=—","Direction=H","UseDPDF=Y")</f>
        <v>#NAME?</v>
      </c>
    </row>
    <row r="48" spans="1:17" x14ac:dyDescent="0.45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45">
      <c r="A49" s="10" t="s">
        <v>1071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x14ac:dyDescent="0.45">
      <c r="A50" s="10" t="s">
        <v>1072</v>
      </c>
      <c r="B50" s="10" t="s">
        <v>1073</v>
      </c>
      <c r="C50" s="14" t="e">
        <f ca="1">_xll.BDH("ANSS US Equity","BOARD_MEETINGS_PER_YR","FY 2009","FY 2009","Currency=USD","Period=FY","BEST_FPERIOD_OVERRIDE=FY","FILING_STATUS=MR","Sort=A","Dates=H","DateFormat=P","Fill=—","Direction=H","UseDPDF=Y")</f>
        <v>#NAME?</v>
      </c>
      <c r="D50" s="14" t="e">
        <f ca="1">_xll.BDH("ANSS US Equity","BOARD_MEETINGS_PER_YR","FY 2010","FY 2010","Currency=USD","Period=FY","BEST_FPERIOD_OVERRIDE=FY","FILING_STATUS=MR","Sort=A","Dates=H","DateFormat=P","Fill=—","Direction=H","UseDPDF=Y")</f>
        <v>#NAME?</v>
      </c>
      <c r="E50" s="14" t="e">
        <f ca="1">_xll.BDH("ANSS US Equity","BOARD_MEETINGS_PER_YR","FY 2011","FY 2011","Currency=USD","Period=FY","BEST_FPERIOD_OVERRIDE=FY","FILING_STATUS=MR","Sort=A","Dates=H","DateFormat=P","Fill=—","Direction=H","UseDPDF=Y")</f>
        <v>#NAME?</v>
      </c>
      <c r="F50" s="14" t="e">
        <f ca="1">_xll.BDH("ANSS US Equity","BOARD_MEETINGS_PER_YR","FY 2012","FY 2012","Currency=USD","Period=FY","BEST_FPERIOD_OVERRIDE=FY","FILING_STATUS=MR","Sort=A","Dates=H","DateFormat=P","Fill=—","Direction=H","UseDPDF=Y")</f>
        <v>#NAME?</v>
      </c>
      <c r="G50" s="14" t="e">
        <f ca="1">_xll.BDH("ANSS US Equity","BOARD_MEETINGS_PER_YR","FY 2013","FY 2013","Currency=USD","Period=FY","BEST_FPERIOD_OVERRIDE=FY","FILING_STATUS=MR","Sort=A","Dates=H","DateFormat=P","Fill=—","Direction=H","UseDPDF=Y")</f>
        <v>#NAME?</v>
      </c>
      <c r="H50" s="14" t="e">
        <f ca="1">_xll.BDH("ANSS US Equity","BOARD_MEETINGS_PER_YR","FY 2014","FY 2014","Currency=USD","Period=FY","BEST_FPERIOD_OVERRIDE=FY","FILING_STATUS=MR","Sort=A","Dates=H","DateFormat=P","Fill=—","Direction=H","UseDPDF=Y")</f>
        <v>#NAME?</v>
      </c>
      <c r="I50" s="14" t="e">
        <f ca="1">_xll.BDH("ANSS US Equity","BOARD_MEETINGS_PER_YR","FY 2015","FY 2015","Currency=USD","Period=FY","BEST_FPERIOD_OVERRIDE=FY","FILING_STATUS=MR","Sort=A","Dates=H","DateFormat=P","Fill=—","Direction=H","UseDPDF=Y")</f>
        <v>#NAME?</v>
      </c>
      <c r="J50" s="14" t="e">
        <f ca="1">_xll.BDH("ANSS US Equity","BOARD_MEETINGS_PER_YR","FY 2016","FY 2016","Currency=USD","Period=FY","BEST_FPERIOD_OVERRIDE=FY","FILING_STATUS=MR","Sort=A","Dates=H","DateFormat=P","Fill=—","Direction=H","UseDPDF=Y")</f>
        <v>#NAME?</v>
      </c>
      <c r="K50" s="14" t="e">
        <f ca="1">_xll.BDH("ANSS US Equity","BOARD_MEETINGS_PER_YR","FY 2017","FY 2017","Currency=USD","Period=FY","BEST_FPERIOD_OVERRIDE=FY","FILING_STATUS=MR","Sort=A","Dates=H","DateFormat=P","Fill=—","Direction=H","UseDPDF=Y")</f>
        <v>#NAME?</v>
      </c>
      <c r="L50" s="14" t="e">
        <f ca="1">_xll.BDH("ANSS US Equity","BOARD_MEETINGS_PER_YR","FY 2018","FY 2018","Currency=USD","Period=FY","BEST_FPERIOD_OVERRIDE=FY","FILING_STATUS=MR","Sort=A","Dates=H","DateFormat=P","Fill=—","Direction=H","UseDPDF=Y")</f>
        <v>#NAME?</v>
      </c>
      <c r="M50" s="14" t="e">
        <f ca="1">_xll.BDH("ANSS US Equity","BOARD_MEETINGS_PER_YR","FY 2019","FY 2019","Currency=USD","Period=FY","BEST_FPERIOD_OVERRIDE=FY","FILING_STATUS=MR","Sort=A","Dates=H","DateFormat=P","Fill=—","Direction=H","UseDPDF=Y")</f>
        <v>#NAME?</v>
      </c>
      <c r="N50" s="14" t="e">
        <f ca="1">_xll.BDH("ANSS US Equity","BOARD_MEETINGS_PER_YR","FY 2020","FY 2020","Currency=USD","Period=FY","BEST_FPERIOD_OVERRIDE=FY","FILING_STATUS=MR","Sort=A","Dates=H","DateFormat=P","Fill=—","Direction=H","UseDPDF=Y")</f>
        <v>#NAME?</v>
      </c>
      <c r="O50" s="14" t="e">
        <f ca="1">_xll.BDH("ANSS US Equity","BOARD_MEETINGS_PER_YR","FY 2021","FY 2021","Currency=USD","Period=FY","BEST_FPERIOD_OVERRIDE=FY","FILING_STATUS=MR","Sort=A","Dates=H","DateFormat=P","Fill=—","Direction=H","UseDPDF=Y")</f>
        <v>#NAME?</v>
      </c>
      <c r="P50" s="14" t="e">
        <f ca="1">_xll.BDH("ANSS US Equity","BOARD_MEETINGS_PER_YR","FY 2022","FY 2022","Currency=USD","Period=FY","BEST_FPERIOD_OVERRIDE=FY","FILING_STATUS=MR","Sort=A","Dates=H","DateFormat=P","Fill=—","Direction=H","UseDPDF=Y")</f>
        <v>#NAME?</v>
      </c>
      <c r="Q50" s="14" t="e">
        <f ca="1">_xll.BDH("ANSS US Equity","BOARD_MEETINGS_PER_YR","FY 2023","FY 2023","Currency=USD","Period=FY","BEST_FPERIOD_OVERRIDE=FY","FILING_STATUS=MR","Sort=A","Dates=H","DateFormat=P","Fill=—","Direction=H","UseDPDF=Y")</f>
        <v>#NAME?</v>
      </c>
    </row>
    <row r="51" spans="1:17" x14ac:dyDescent="0.45">
      <c r="A51" s="10" t="s">
        <v>1074</v>
      </c>
      <c r="B51" s="10" t="s">
        <v>551</v>
      </c>
      <c r="C51" s="14" t="e">
        <f ca="1">_xll.BDH("ANSS US Equity","BOARD_MEETING_ATTENDANCE_PCT","FY 2009","FY 2009","Currency=USD","Period=FY","BEST_FPERIOD_OVERRIDE=FY","FILING_STATUS=MR","Sort=A","Dates=H","DateFormat=P","Fill=—","Direction=H","UseDPDF=Y")</f>
        <v>#NAME?</v>
      </c>
      <c r="D51" s="14" t="e">
        <f ca="1">_xll.BDH("ANSS US Equity","BOARD_MEETING_ATTENDANCE_PCT","FY 2010","FY 2010","Currency=USD","Period=FY","BEST_FPERIOD_OVERRIDE=FY","FILING_STATUS=MR","Sort=A","Dates=H","DateFormat=P","Fill=—","Direction=H","UseDPDF=Y")</f>
        <v>#NAME?</v>
      </c>
      <c r="E51" s="14" t="e">
        <f ca="1">_xll.BDH("ANSS US Equity","BOARD_MEETING_ATTENDANCE_PCT","FY 2011","FY 2011","Currency=USD","Period=FY","BEST_FPERIOD_OVERRIDE=FY","FILING_STATUS=MR","Sort=A","Dates=H","DateFormat=P","Fill=—","Direction=H","UseDPDF=Y")</f>
        <v>#NAME?</v>
      </c>
      <c r="F51" s="14" t="e">
        <f ca="1">_xll.BDH("ANSS US Equity","BOARD_MEETING_ATTENDANCE_PCT","FY 2012","FY 2012","Currency=USD","Period=FY","BEST_FPERIOD_OVERRIDE=FY","FILING_STATUS=MR","Sort=A","Dates=H","DateFormat=P","Fill=—","Direction=H","UseDPDF=Y")</f>
        <v>#NAME?</v>
      </c>
      <c r="G51" s="14" t="e">
        <f ca="1">_xll.BDH("ANSS US Equity","BOARD_MEETING_ATTENDANCE_PCT","FY 2013","FY 2013","Currency=USD","Period=FY","BEST_FPERIOD_OVERRIDE=FY","FILING_STATUS=MR","Sort=A","Dates=H","DateFormat=P","Fill=—","Direction=H","UseDPDF=Y")</f>
        <v>#NAME?</v>
      </c>
      <c r="H51" s="14" t="e">
        <f ca="1">_xll.BDH("ANSS US Equity","BOARD_MEETING_ATTENDANCE_PCT","FY 2014","FY 2014","Currency=USD","Period=FY","BEST_FPERIOD_OVERRIDE=FY","FILING_STATUS=MR","Sort=A","Dates=H","DateFormat=P","Fill=—","Direction=H","UseDPDF=Y")</f>
        <v>#NAME?</v>
      </c>
      <c r="I51" s="14" t="e">
        <f ca="1">_xll.BDH("ANSS US Equity","BOARD_MEETING_ATTENDANCE_PCT","FY 2015","FY 2015","Currency=USD","Period=FY","BEST_FPERIOD_OVERRIDE=FY","FILING_STATUS=MR","Sort=A","Dates=H","DateFormat=P","Fill=—","Direction=H","UseDPDF=Y")</f>
        <v>#NAME?</v>
      </c>
      <c r="J51" s="14" t="e">
        <f ca="1">_xll.BDH("ANSS US Equity","BOARD_MEETING_ATTENDANCE_PCT","FY 2016","FY 2016","Currency=USD","Period=FY","BEST_FPERIOD_OVERRIDE=FY","FILING_STATUS=MR","Sort=A","Dates=H","DateFormat=P","Fill=—","Direction=H","UseDPDF=Y")</f>
        <v>#NAME?</v>
      </c>
      <c r="K51" s="14" t="e">
        <f ca="1">_xll.BDH("ANSS US Equity","BOARD_MEETING_ATTENDANCE_PCT","FY 2017","FY 2017","Currency=USD","Period=FY","BEST_FPERIOD_OVERRIDE=FY","FILING_STATUS=MR","Sort=A","Dates=H","DateFormat=P","Fill=—","Direction=H","UseDPDF=Y")</f>
        <v>#NAME?</v>
      </c>
      <c r="L51" s="14" t="e">
        <f ca="1">_xll.BDH("ANSS US Equity","BOARD_MEETING_ATTENDANCE_PCT","FY 2018","FY 2018","Currency=USD","Period=FY","BEST_FPERIOD_OVERRIDE=FY","FILING_STATUS=MR","Sort=A","Dates=H","DateFormat=P","Fill=—","Direction=H","UseDPDF=Y")</f>
        <v>#NAME?</v>
      </c>
      <c r="M51" s="14" t="e">
        <f ca="1">_xll.BDH("ANSS US Equity","BOARD_MEETING_ATTENDANCE_PCT","FY 2019","FY 2019","Currency=USD","Period=FY","BEST_FPERIOD_OVERRIDE=FY","FILING_STATUS=MR","Sort=A","Dates=H","DateFormat=P","Fill=—","Direction=H","UseDPDF=Y")</f>
        <v>#NAME?</v>
      </c>
      <c r="N51" s="14" t="e">
        <f ca="1">_xll.BDH("ANSS US Equity","BOARD_MEETING_ATTENDANCE_PCT","FY 2020","FY 2020","Currency=USD","Period=FY","BEST_FPERIOD_OVERRIDE=FY","FILING_STATUS=MR","Sort=A","Dates=H","DateFormat=P","Fill=—","Direction=H","UseDPDF=Y")</f>
        <v>#NAME?</v>
      </c>
      <c r="O51" s="14" t="e">
        <f ca="1">_xll.BDH("ANSS US Equity","BOARD_MEETING_ATTENDANCE_PCT","FY 2021","FY 2021","Currency=USD","Period=FY","BEST_FPERIOD_OVERRIDE=FY","FILING_STATUS=MR","Sort=A","Dates=H","DateFormat=P","Fill=—","Direction=H","UseDPDF=Y")</f>
        <v>#NAME?</v>
      </c>
      <c r="P51" s="14" t="e">
        <f ca="1">_xll.BDH("ANSS US Equity","BOARD_MEETING_ATTENDANCE_PCT","FY 2022","FY 2022","Currency=USD","Period=FY","BEST_FPERIOD_OVERRIDE=FY","FILING_STATUS=MR","Sort=A","Dates=H","DateFormat=P","Fill=—","Direction=H","UseDPDF=Y")</f>
        <v>#NAME?</v>
      </c>
      <c r="Q51" s="14" t="e">
        <f ca="1">_xll.BDH("ANSS US Equity","BOARD_MEETING_ATTENDANCE_PCT","FY 2023","FY 2023","Currency=USD","Period=FY","BEST_FPERIOD_OVERRIDE=FY","FILING_STATUS=MR","Sort=A","Dates=H","DateFormat=P","Fill=—","Direction=H","UseDPDF=Y")</f>
        <v>#NAME?</v>
      </c>
    </row>
    <row r="52" spans="1:17" x14ac:dyDescent="0.45">
      <c r="A52" s="10" t="s">
        <v>552</v>
      </c>
      <c r="B52" s="10" t="s">
        <v>553</v>
      </c>
      <c r="C52" s="14" t="e">
        <f ca="1">_xll.BDH("ANSS US Equity","IND_DIRECTORS_BRD_MTG_ATTEND_PCT","FY 2009","FY 2009","Currency=USD","Period=FY","BEST_FPERIOD_OVERRIDE=FY","FILING_STATUS=MR","Sort=A","Dates=H","DateFormat=P","Fill=—","Direction=H","UseDPDF=Y")</f>
        <v>#NAME?</v>
      </c>
      <c r="D52" s="14" t="e">
        <f ca="1">_xll.BDH("ANSS US Equity","IND_DIRECTORS_BRD_MTG_ATTEND_PCT","FY 2010","FY 2010","Currency=USD","Period=FY","BEST_FPERIOD_OVERRIDE=FY","FILING_STATUS=MR","Sort=A","Dates=H","DateFormat=P","Fill=—","Direction=H","UseDPDF=Y")</f>
        <v>#NAME?</v>
      </c>
      <c r="E52" s="14" t="e">
        <f ca="1">_xll.BDH("ANSS US Equity","IND_DIRECTORS_BRD_MTG_ATTEND_PCT","FY 2011","FY 2011","Currency=USD","Period=FY","BEST_FPERIOD_OVERRIDE=FY","FILING_STATUS=MR","Sort=A","Dates=H","DateFormat=P","Fill=—","Direction=H","UseDPDF=Y")</f>
        <v>#NAME?</v>
      </c>
      <c r="F52" s="14" t="e">
        <f ca="1">_xll.BDH("ANSS US Equity","IND_DIRECTORS_BRD_MTG_ATTEND_PCT","FY 2012","FY 2012","Currency=USD","Period=FY","BEST_FPERIOD_OVERRIDE=FY","FILING_STATUS=MR","Sort=A","Dates=H","DateFormat=P","Fill=—","Direction=H","UseDPDF=Y")</f>
        <v>#NAME?</v>
      </c>
      <c r="G52" s="14" t="e">
        <f ca="1">_xll.BDH("ANSS US Equity","IND_DIRECTORS_BRD_MTG_ATTEND_PCT","FY 2013","FY 2013","Currency=USD","Period=FY","BEST_FPERIOD_OVERRIDE=FY","FILING_STATUS=MR","Sort=A","Dates=H","DateFormat=P","Fill=—","Direction=H","UseDPDF=Y")</f>
        <v>#NAME?</v>
      </c>
      <c r="H52" s="14" t="e">
        <f ca="1">_xll.BDH("ANSS US Equity","IND_DIRECTORS_BRD_MTG_ATTEND_PCT","FY 2014","FY 2014","Currency=USD","Period=FY","BEST_FPERIOD_OVERRIDE=FY","FILING_STATUS=MR","Sort=A","Dates=H","DateFormat=P","Fill=—","Direction=H","UseDPDF=Y")</f>
        <v>#NAME?</v>
      </c>
      <c r="I52" s="14" t="e">
        <f ca="1">_xll.BDH("ANSS US Equity","IND_DIRECTORS_BRD_MTG_ATTEND_PCT","FY 2015","FY 2015","Currency=USD","Period=FY","BEST_FPERIOD_OVERRIDE=FY","FILING_STATUS=MR","Sort=A","Dates=H","DateFormat=P","Fill=—","Direction=H","UseDPDF=Y")</f>
        <v>#NAME?</v>
      </c>
      <c r="J52" s="14" t="e">
        <f ca="1">_xll.BDH("ANSS US Equity","IND_DIRECTORS_BRD_MTG_ATTEND_PCT","FY 2016","FY 2016","Currency=USD","Period=FY","BEST_FPERIOD_OVERRIDE=FY","FILING_STATUS=MR","Sort=A","Dates=H","DateFormat=P","Fill=—","Direction=H","UseDPDF=Y")</f>
        <v>#NAME?</v>
      </c>
      <c r="K52" s="14" t="e">
        <f ca="1">_xll.BDH("ANSS US Equity","IND_DIRECTORS_BRD_MTG_ATTEND_PCT","FY 2017","FY 2017","Currency=USD","Period=FY","BEST_FPERIOD_OVERRIDE=FY","FILING_STATUS=MR","Sort=A","Dates=H","DateFormat=P","Fill=—","Direction=H","UseDPDF=Y")</f>
        <v>#NAME?</v>
      </c>
      <c r="L52" s="14" t="e">
        <f ca="1">_xll.BDH("ANSS US Equity","IND_DIRECTORS_BRD_MTG_ATTEND_PCT","FY 2018","FY 2018","Currency=USD","Period=FY","BEST_FPERIOD_OVERRIDE=FY","FILING_STATUS=MR","Sort=A","Dates=H","DateFormat=P","Fill=—","Direction=H","UseDPDF=Y")</f>
        <v>#NAME?</v>
      </c>
      <c r="M52" s="14" t="e">
        <f ca="1">_xll.BDH("ANSS US Equity","IND_DIRECTORS_BRD_MTG_ATTEND_PCT","FY 2019","FY 2019","Currency=USD","Period=FY","BEST_FPERIOD_OVERRIDE=FY","FILING_STATUS=MR","Sort=A","Dates=H","DateFormat=P","Fill=—","Direction=H","UseDPDF=Y")</f>
        <v>#NAME?</v>
      </c>
      <c r="N52" s="14" t="e">
        <f ca="1">_xll.BDH("ANSS US Equity","IND_DIRECTORS_BRD_MTG_ATTEND_PCT","FY 2020","FY 2020","Currency=USD","Period=FY","BEST_FPERIOD_OVERRIDE=FY","FILING_STATUS=MR","Sort=A","Dates=H","DateFormat=P","Fill=—","Direction=H","UseDPDF=Y")</f>
        <v>#NAME?</v>
      </c>
      <c r="O52" s="14" t="e">
        <f ca="1">_xll.BDH("ANSS US Equity","IND_DIRECTORS_BRD_MTG_ATTEND_PCT","FY 2021","FY 2021","Currency=USD","Period=FY","BEST_FPERIOD_OVERRIDE=FY","FILING_STATUS=MR","Sort=A","Dates=H","DateFormat=P","Fill=—","Direction=H","UseDPDF=Y")</f>
        <v>#NAME?</v>
      </c>
      <c r="P52" s="14" t="e">
        <f ca="1">_xll.BDH("ANSS US Equity","IND_DIRECTORS_BRD_MTG_ATTEND_PCT","FY 2022","FY 2022","Currency=USD","Period=FY","BEST_FPERIOD_OVERRIDE=FY","FILING_STATUS=MR","Sort=A","Dates=H","DateFormat=P","Fill=—","Direction=H","UseDPDF=Y")</f>
        <v>#NAME?</v>
      </c>
      <c r="Q52" s="14" t="e">
        <f ca="1">_xll.BDH("ANSS US Equity","IND_DIRECTORS_BRD_MTG_ATTEND_PCT","FY 2023","FY 2023","Currency=USD","Period=FY","BEST_FPERIOD_OVERRIDE=FY","FILING_STATUS=MR","Sort=A","Dates=H","DateFormat=P","Fill=—","Direction=H","UseDPDF=Y")</f>
        <v>#NAME?</v>
      </c>
    </row>
    <row r="53" spans="1:17" x14ac:dyDescent="0.45">
      <c r="A53" s="10" t="s">
        <v>1075</v>
      </c>
      <c r="B53" s="10" t="s">
        <v>1076</v>
      </c>
      <c r="C53" s="14" t="e">
        <f ca="1">_xll.BDH("ANSS US Equity","NUM_DIR_ATTEND_LT_75_PCT_MTG","FY 2009","FY 2009","Currency=USD","Period=FY","BEST_FPERIOD_OVERRIDE=FY","FILING_STATUS=MR","Sort=A","Dates=H","DateFormat=P","Fill=—","Direction=H","UseDPDF=Y")</f>
        <v>#NAME?</v>
      </c>
      <c r="D53" s="14" t="e">
        <f ca="1">_xll.BDH("ANSS US Equity","NUM_DIR_ATTEND_LT_75_PCT_MTG","FY 2010","FY 2010","Currency=USD","Period=FY","BEST_FPERIOD_OVERRIDE=FY","FILING_STATUS=MR","Sort=A","Dates=H","DateFormat=P","Fill=—","Direction=H","UseDPDF=Y")</f>
        <v>#NAME?</v>
      </c>
      <c r="E53" s="14" t="e">
        <f ca="1">_xll.BDH("ANSS US Equity","NUM_DIR_ATTEND_LT_75_PCT_MTG","FY 2011","FY 2011","Currency=USD","Period=FY","BEST_FPERIOD_OVERRIDE=FY","FILING_STATUS=MR","Sort=A","Dates=H","DateFormat=P","Fill=—","Direction=H","UseDPDF=Y")</f>
        <v>#NAME?</v>
      </c>
      <c r="F53" s="14" t="e">
        <f ca="1">_xll.BDH("ANSS US Equity","NUM_DIR_ATTEND_LT_75_PCT_MTG","FY 2012","FY 2012","Currency=USD","Period=FY","BEST_FPERIOD_OVERRIDE=FY","FILING_STATUS=MR","Sort=A","Dates=H","DateFormat=P","Fill=—","Direction=H","UseDPDF=Y")</f>
        <v>#NAME?</v>
      </c>
      <c r="G53" s="14" t="e">
        <f ca="1">_xll.BDH("ANSS US Equity","NUM_DIR_ATTEND_LT_75_PCT_MTG","FY 2013","FY 2013","Currency=USD","Period=FY","BEST_FPERIOD_OVERRIDE=FY","FILING_STATUS=MR","Sort=A","Dates=H","DateFormat=P","Fill=—","Direction=H","UseDPDF=Y")</f>
        <v>#NAME?</v>
      </c>
      <c r="H53" s="14" t="e">
        <f ca="1">_xll.BDH("ANSS US Equity","NUM_DIR_ATTEND_LT_75_PCT_MTG","FY 2014","FY 2014","Currency=USD","Period=FY","BEST_FPERIOD_OVERRIDE=FY","FILING_STATUS=MR","Sort=A","Dates=H","DateFormat=P","Fill=—","Direction=H","UseDPDF=Y")</f>
        <v>#NAME?</v>
      </c>
      <c r="I53" s="14" t="e">
        <f ca="1">_xll.BDH("ANSS US Equity","NUM_DIR_ATTEND_LT_75_PCT_MTG","FY 2015","FY 2015","Currency=USD","Period=FY","BEST_FPERIOD_OVERRIDE=FY","FILING_STATUS=MR","Sort=A","Dates=H","DateFormat=P","Fill=—","Direction=H","UseDPDF=Y")</f>
        <v>#NAME?</v>
      </c>
      <c r="J53" s="14" t="e">
        <f ca="1">_xll.BDH("ANSS US Equity","NUM_DIR_ATTEND_LT_75_PCT_MTG","FY 2016","FY 2016","Currency=USD","Period=FY","BEST_FPERIOD_OVERRIDE=FY","FILING_STATUS=MR","Sort=A","Dates=H","DateFormat=P","Fill=—","Direction=H","UseDPDF=Y")</f>
        <v>#NAME?</v>
      </c>
      <c r="K53" s="14" t="e">
        <f ca="1">_xll.BDH("ANSS US Equity","NUM_DIR_ATTEND_LT_75_PCT_MTG","FY 2017","FY 2017","Currency=USD","Period=FY","BEST_FPERIOD_OVERRIDE=FY","FILING_STATUS=MR","Sort=A","Dates=H","DateFormat=P","Fill=—","Direction=H","UseDPDF=Y")</f>
        <v>#NAME?</v>
      </c>
      <c r="L53" s="14" t="e">
        <f ca="1">_xll.BDH("ANSS US Equity","NUM_DIR_ATTEND_LT_75_PCT_MTG","FY 2018","FY 2018","Currency=USD","Period=FY","BEST_FPERIOD_OVERRIDE=FY","FILING_STATUS=MR","Sort=A","Dates=H","DateFormat=P","Fill=—","Direction=H","UseDPDF=Y")</f>
        <v>#NAME?</v>
      </c>
      <c r="M53" s="14" t="e">
        <f ca="1">_xll.BDH("ANSS US Equity","NUM_DIR_ATTEND_LT_75_PCT_MTG","FY 2019","FY 2019","Currency=USD","Period=FY","BEST_FPERIOD_OVERRIDE=FY","FILING_STATUS=MR","Sort=A","Dates=H","DateFormat=P","Fill=—","Direction=H","UseDPDF=Y")</f>
        <v>#NAME?</v>
      </c>
      <c r="N53" s="14" t="e">
        <f ca="1">_xll.BDH("ANSS US Equity","NUM_DIR_ATTEND_LT_75_PCT_MTG","FY 2020","FY 2020","Currency=USD","Period=FY","BEST_FPERIOD_OVERRIDE=FY","FILING_STATUS=MR","Sort=A","Dates=H","DateFormat=P","Fill=—","Direction=H","UseDPDF=Y")</f>
        <v>#NAME?</v>
      </c>
      <c r="O53" s="14" t="e">
        <f ca="1">_xll.BDH("ANSS US Equity","NUM_DIR_ATTEND_LT_75_PCT_MTG","FY 2021","FY 2021","Currency=USD","Period=FY","BEST_FPERIOD_OVERRIDE=FY","FILING_STATUS=MR","Sort=A","Dates=H","DateFormat=P","Fill=—","Direction=H","UseDPDF=Y")</f>
        <v>#NAME?</v>
      </c>
      <c r="P53" s="14" t="e">
        <f ca="1">_xll.BDH("ANSS US Equity","NUM_DIR_ATTEND_LT_75_PCT_MTG","FY 2022","FY 2022","Currency=USD","Period=FY","BEST_FPERIOD_OVERRIDE=FY","FILING_STATUS=MR","Sort=A","Dates=H","DateFormat=P","Fill=—","Direction=H","UseDPDF=Y")</f>
        <v>#NAME?</v>
      </c>
      <c r="Q53" s="14" t="e">
        <f ca="1">_xll.BDH("ANSS US Equity","NUM_DIR_ATTEND_LT_75_PCT_MTG","FY 2023","FY 2023","Currency=USD","Period=FY","BEST_FPERIOD_OVERRIDE=FY","FILING_STATUS=MR","Sort=A","Dates=H","DateFormat=P","Fill=—","Direction=H","UseDPDF=Y")</f>
        <v>#NAME?</v>
      </c>
    </row>
    <row r="54" spans="1:17" x14ac:dyDescent="0.45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 x14ac:dyDescent="0.45">
      <c r="A55" s="10" t="s">
        <v>1077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x14ac:dyDescent="0.45">
      <c r="A56" s="10" t="s">
        <v>1078</v>
      </c>
      <c r="B56" s="10" t="s">
        <v>1079</v>
      </c>
      <c r="C56" s="14" t="e">
        <f ca="1">_xll.BDH("ANSS US Equity","SIZE_OF_AUDIT_COMMITTEE","FY 2009","FY 2009","Currency=USD","Period=FY","BEST_FPERIOD_OVERRIDE=FY","FILING_STATUS=MR","Sort=A","Dates=H","DateFormat=P","Fill=—","Direction=H","UseDPDF=Y")</f>
        <v>#NAME?</v>
      </c>
      <c r="D56" s="14" t="e">
        <f ca="1">_xll.BDH("ANSS US Equity","SIZE_OF_AUDIT_COMMITTEE","FY 2010","FY 2010","Currency=USD","Period=FY","BEST_FPERIOD_OVERRIDE=FY","FILING_STATUS=MR","Sort=A","Dates=H","DateFormat=P","Fill=—","Direction=H","UseDPDF=Y")</f>
        <v>#NAME?</v>
      </c>
      <c r="E56" s="14" t="e">
        <f ca="1">_xll.BDH("ANSS US Equity","SIZE_OF_AUDIT_COMMITTEE","FY 2011","FY 2011","Currency=USD","Period=FY","BEST_FPERIOD_OVERRIDE=FY","FILING_STATUS=MR","Sort=A","Dates=H","DateFormat=P","Fill=—","Direction=H","UseDPDF=Y")</f>
        <v>#NAME?</v>
      </c>
      <c r="F56" s="14" t="e">
        <f ca="1">_xll.BDH("ANSS US Equity","SIZE_OF_AUDIT_COMMITTEE","FY 2012","FY 2012","Currency=USD","Period=FY","BEST_FPERIOD_OVERRIDE=FY","FILING_STATUS=MR","Sort=A","Dates=H","DateFormat=P","Fill=—","Direction=H","UseDPDF=Y")</f>
        <v>#NAME?</v>
      </c>
      <c r="G56" s="14" t="e">
        <f ca="1">_xll.BDH("ANSS US Equity","SIZE_OF_AUDIT_COMMITTEE","FY 2013","FY 2013","Currency=USD","Period=FY","BEST_FPERIOD_OVERRIDE=FY","FILING_STATUS=MR","Sort=A","Dates=H","DateFormat=P","Fill=—","Direction=H","UseDPDF=Y")</f>
        <v>#NAME?</v>
      </c>
      <c r="H56" s="14" t="e">
        <f ca="1">_xll.BDH("ANSS US Equity","SIZE_OF_AUDIT_COMMITTEE","FY 2014","FY 2014","Currency=USD","Period=FY","BEST_FPERIOD_OVERRIDE=FY","FILING_STATUS=MR","Sort=A","Dates=H","DateFormat=P","Fill=—","Direction=H","UseDPDF=Y")</f>
        <v>#NAME?</v>
      </c>
      <c r="I56" s="14" t="e">
        <f ca="1">_xll.BDH("ANSS US Equity","SIZE_OF_AUDIT_COMMITTEE","FY 2015","FY 2015","Currency=USD","Period=FY","BEST_FPERIOD_OVERRIDE=FY","FILING_STATUS=MR","Sort=A","Dates=H","DateFormat=P","Fill=—","Direction=H","UseDPDF=Y")</f>
        <v>#NAME?</v>
      </c>
      <c r="J56" s="14" t="e">
        <f ca="1">_xll.BDH("ANSS US Equity","SIZE_OF_AUDIT_COMMITTEE","FY 2016","FY 2016","Currency=USD","Period=FY","BEST_FPERIOD_OVERRIDE=FY","FILING_STATUS=MR","Sort=A","Dates=H","DateFormat=P","Fill=—","Direction=H","UseDPDF=Y")</f>
        <v>#NAME?</v>
      </c>
      <c r="K56" s="14" t="e">
        <f ca="1">_xll.BDH("ANSS US Equity","SIZE_OF_AUDIT_COMMITTEE","FY 2017","FY 2017","Currency=USD","Period=FY","BEST_FPERIOD_OVERRIDE=FY","FILING_STATUS=MR","Sort=A","Dates=H","DateFormat=P","Fill=—","Direction=H","UseDPDF=Y")</f>
        <v>#NAME?</v>
      </c>
      <c r="L56" s="14" t="e">
        <f ca="1">_xll.BDH("ANSS US Equity","SIZE_OF_AUDIT_COMMITTEE","FY 2018","FY 2018","Currency=USD","Period=FY","BEST_FPERIOD_OVERRIDE=FY","FILING_STATUS=MR","Sort=A","Dates=H","DateFormat=P","Fill=—","Direction=H","UseDPDF=Y")</f>
        <v>#NAME?</v>
      </c>
      <c r="M56" s="14" t="e">
        <f ca="1">_xll.BDH("ANSS US Equity","SIZE_OF_AUDIT_COMMITTEE","FY 2019","FY 2019","Currency=USD","Period=FY","BEST_FPERIOD_OVERRIDE=FY","FILING_STATUS=MR","Sort=A","Dates=H","DateFormat=P","Fill=—","Direction=H","UseDPDF=Y")</f>
        <v>#NAME?</v>
      </c>
      <c r="N56" s="14" t="e">
        <f ca="1">_xll.BDH("ANSS US Equity","SIZE_OF_AUDIT_COMMITTEE","FY 2020","FY 2020","Currency=USD","Period=FY","BEST_FPERIOD_OVERRIDE=FY","FILING_STATUS=MR","Sort=A","Dates=H","DateFormat=P","Fill=—","Direction=H","UseDPDF=Y")</f>
        <v>#NAME?</v>
      </c>
      <c r="O56" s="14" t="e">
        <f ca="1">_xll.BDH("ANSS US Equity","SIZE_OF_AUDIT_COMMITTEE","FY 2021","FY 2021","Currency=USD","Period=FY","BEST_FPERIOD_OVERRIDE=FY","FILING_STATUS=MR","Sort=A","Dates=H","DateFormat=P","Fill=—","Direction=H","UseDPDF=Y")</f>
        <v>#NAME?</v>
      </c>
      <c r="P56" s="14" t="e">
        <f ca="1">_xll.BDH("ANSS US Equity","SIZE_OF_AUDIT_COMMITTEE","FY 2022","FY 2022","Currency=USD","Period=FY","BEST_FPERIOD_OVERRIDE=FY","FILING_STATUS=MR","Sort=A","Dates=H","DateFormat=P","Fill=—","Direction=H","UseDPDF=Y")</f>
        <v>#NAME?</v>
      </c>
      <c r="Q56" s="14" t="e">
        <f ca="1">_xll.BDH("ANSS US Equity","SIZE_OF_AUDIT_COMMITTEE","FY 2023","FY 2023","Currency=USD","Period=FY","BEST_FPERIOD_OVERRIDE=FY","FILING_STATUS=MR","Sort=A","Dates=H","DateFormat=P","Fill=—","Direction=H","UseDPDF=Y")</f>
        <v>#NAME?</v>
      </c>
    </row>
    <row r="57" spans="1:17" x14ac:dyDescent="0.45">
      <c r="A57" s="10" t="s">
        <v>1080</v>
      </c>
      <c r="B57" s="10" t="s">
        <v>1081</v>
      </c>
      <c r="C57" s="14" t="e">
        <f ca="1">_xll.BDH("ANSS US Equity","NUM_IND_DIR_ON_AUD_CMTE","FY 2009","FY 2009","Currency=USD","Period=FY","BEST_FPERIOD_OVERRIDE=FY","FILING_STATUS=MR","Sort=A","Dates=H","DateFormat=P","Fill=—","Direction=H","UseDPDF=Y")</f>
        <v>#NAME?</v>
      </c>
      <c r="D57" s="14" t="e">
        <f ca="1">_xll.BDH("ANSS US Equity","NUM_IND_DIR_ON_AUD_CMTE","FY 2010","FY 2010","Currency=USD","Period=FY","BEST_FPERIOD_OVERRIDE=FY","FILING_STATUS=MR","Sort=A","Dates=H","DateFormat=P","Fill=—","Direction=H","UseDPDF=Y")</f>
        <v>#NAME?</v>
      </c>
      <c r="E57" s="14" t="e">
        <f ca="1">_xll.BDH("ANSS US Equity","NUM_IND_DIR_ON_AUD_CMTE","FY 2011","FY 2011","Currency=USD","Period=FY","BEST_FPERIOD_OVERRIDE=FY","FILING_STATUS=MR","Sort=A","Dates=H","DateFormat=P","Fill=—","Direction=H","UseDPDF=Y")</f>
        <v>#NAME?</v>
      </c>
      <c r="F57" s="14" t="e">
        <f ca="1">_xll.BDH("ANSS US Equity","NUM_IND_DIR_ON_AUD_CMTE","FY 2012","FY 2012","Currency=USD","Period=FY","BEST_FPERIOD_OVERRIDE=FY","FILING_STATUS=MR","Sort=A","Dates=H","DateFormat=P","Fill=—","Direction=H","UseDPDF=Y")</f>
        <v>#NAME?</v>
      </c>
      <c r="G57" s="14" t="e">
        <f ca="1">_xll.BDH("ANSS US Equity","NUM_IND_DIR_ON_AUD_CMTE","FY 2013","FY 2013","Currency=USD","Period=FY","BEST_FPERIOD_OVERRIDE=FY","FILING_STATUS=MR","Sort=A","Dates=H","DateFormat=P","Fill=—","Direction=H","UseDPDF=Y")</f>
        <v>#NAME?</v>
      </c>
      <c r="H57" s="14" t="e">
        <f ca="1">_xll.BDH("ANSS US Equity","NUM_IND_DIR_ON_AUD_CMTE","FY 2014","FY 2014","Currency=USD","Period=FY","BEST_FPERIOD_OVERRIDE=FY","FILING_STATUS=MR","Sort=A","Dates=H","DateFormat=P","Fill=—","Direction=H","UseDPDF=Y")</f>
        <v>#NAME?</v>
      </c>
      <c r="I57" s="14" t="e">
        <f ca="1">_xll.BDH("ANSS US Equity","NUM_IND_DIR_ON_AUD_CMTE","FY 2015","FY 2015","Currency=USD","Period=FY","BEST_FPERIOD_OVERRIDE=FY","FILING_STATUS=MR","Sort=A","Dates=H","DateFormat=P","Fill=—","Direction=H","UseDPDF=Y")</f>
        <v>#NAME?</v>
      </c>
      <c r="J57" s="14" t="e">
        <f ca="1">_xll.BDH("ANSS US Equity","NUM_IND_DIR_ON_AUD_CMTE","FY 2016","FY 2016","Currency=USD","Period=FY","BEST_FPERIOD_OVERRIDE=FY","FILING_STATUS=MR","Sort=A","Dates=H","DateFormat=P","Fill=—","Direction=H","UseDPDF=Y")</f>
        <v>#NAME?</v>
      </c>
      <c r="K57" s="14" t="e">
        <f ca="1">_xll.BDH("ANSS US Equity","NUM_IND_DIR_ON_AUD_CMTE","FY 2017","FY 2017","Currency=USD","Period=FY","BEST_FPERIOD_OVERRIDE=FY","FILING_STATUS=MR","Sort=A","Dates=H","DateFormat=P","Fill=—","Direction=H","UseDPDF=Y")</f>
        <v>#NAME?</v>
      </c>
      <c r="L57" s="14" t="e">
        <f ca="1">_xll.BDH("ANSS US Equity","NUM_IND_DIR_ON_AUD_CMTE","FY 2018","FY 2018","Currency=USD","Period=FY","BEST_FPERIOD_OVERRIDE=FY","FILING_STATUS=MR","Sort=A","Dates=H","DateFormat=P","Fill=—","Direction=H","UseDPDF=Y")</f>
        <v>#NAME?</v>
      </c>
      <c r="M57" s="14" t="e">
        <f ca="1">_xll.BDH("ANSS US Equity","NUM_IND_DIR_ON_AUD_CMTE","FY 2019","FY 2019","Currency=USD","Period=FY","BEST_FPERIOD_OVERRIDE=FY","FILING_STATUS=MR","Sort=A","Dates=H","DateFormat=P","Fill=—","Direction=H","UseDPDF=Y")</f>
        <v>#NAME?</v>
      </c>
      <c r="N57" s="14" t="e">
        <f ca="1">_xll.BDH("ANSS US Equity","NUM_IND_DIR_ON_AUD_CMTE","FY 2020","FY 2020","Currency=USD","Period=FY","BEST_FPERIOD_OVERRIDE=FY","FILING_STATUS=MR","Sort=A","Dates=H","DateFormat=P","Fill=—","Direction=H","UseDPDF=Y")</f>
        <v>#NAME?</v>
      </c>
      <c r="O57" s="14" t="e">
        <f ca="1">_xll.BDH("ANSS US Equity","NUM_IND_DIR_ON_AUD_CMTE","FY 2021","FY 2021","Currency=USD","Period=FY","BEST_FPERIOD_OVERRIDE=FY","FILING_STATUS=MR","Sort=A","Dates=H","DateFormat=P","Fill=—","Direction=H","UseDPDF=Y")</f>
        <v>#NAME?</v>
      </c>
      <c r="P57" s="14" t="e">
        <f ca="1">_xll.BDH("ANSS US Equity","NUM_IND_DIR_ON_AUD_CMTE","FY 2022","FY 2022","Currency=USD","Period=FY","BEST_FPERIOD_OVERRIDE=FY","FILING_STATUS=MR","Sort=A","Dates=H","DateFormat=P","Fill=—","Direction=H","UseDPDF=Y")</f>
        <v>#NAME?</v>
      </c>
      <c r="Q57" s="14" t="e">
        <f ca="1">_xll.BDH("ANSS US Equity","NUM_IND_DIR_ON_AUD_CMTE","FY 2023","FY 2023","Currency=USD","Period=FY","BEST_FPERIOD_OVERRIDE=FY","FILING_STATUS=MR","Sort=A","Dates=H","DateFormat=P","Fill=—","Direction=H","UseDPDF=Y")</f>
        <v>#NAME?</v>
      </c>
    </row>
    <row r="58" spans="1:17" x14ac:dyDescent="0.45">
      <c r="A58" s="10" t="s">
        <v>1082</v>
      </c>
      <c r="B58" s="10" t="s">
        <v>555</v>
      </c>
      <c r="C58" s="14" t="e">
        <f ca="1">_xll.BDH("ANSS US Equity","PCT_IND_DIRECTORS_ON_AUDIT_CMTE","FY 2009","FY 2009","Currency=USD","Period=FY","BEST_FPERIOD_OVERRIDE=FY","FILING_STATUS=MR","Sort=A","Dates=H","DateFormat=P","Fill=—","Direction=H","UseDPDF=Y")</f>
        <v>#NAME?</v>
      </c>
      <c r="D58" s="14" t="e">
        <f ca="1">_xll.BDH("ANSS US Equity","PCT_IND_DIRECTORS_ON_AUDIT_CMTE","FY 2010","FY 2010","Currency=USD","Period=FY","BEST_FPERIOD_OVERRIDE=FY","FILING_STATUS=MR","Sort=A","Dates=H","DateFormat=P","Fill=—","Direction=H","UseDPDF=Y")</f>
        <v>#NAME?</v>
      </c>
      <c r="E58" s="14" t="e">
        <f ca="1">_xll.BDH("ANSS US Equity","PCT_IND_DIRECTORS_ON_AUDIT_CMTE","FY 2011","FY 2011","Currency=USD","Period=FY","BEST_FPERIOD_OVERRIDE=FY","FILING_STATUS=MR","Sort=A","Dates=H","DateFormat=P","Fill=—","Direction=H","UseDPDF=Y")</f>
        <v>#NAME?</v>
      </c>
      <c r="F58" s="14" t="e">
        <f ca="1">_xll.BDH("ANSS US Equity","PCT_IND_DIRECTORS_ON_AUDIT_CMTE","FY 2012","FY 2012","Currency=USD","Period=FY","BEST_FPERIOD_OVERRIDE=FY","FILING_STATUS=MR","Sort=A","Dates=H","DateFormat=P","Fill=—","Direction=H","UseDPDF=Y")</f>
        <v>#NAME?</v>
      </c>
      <c r="G58" s="14" t="e">
        <f ca="1">_xll.BDH("ANSS US Equity","PCT_IND_DIRECTORS_ON_AUDIT_CMTE","FY 2013","FY 2013","Currency=USD","Period=FY","BEST_FPERIOD_OVERRIDE=FY","FILING_STATUS=MR","Sort=A","Dates=H","DateFormat=P","Fill=—","Direction=H","UseDPDF=Y")</f>
        <v>#NAME?</v>
      </c>
      <c r="H58" s="14" t="e">
        <f ca="1">_xll.BDH("ANSS US Equity","PCT_IND_DIRECTORS_ON_AUDIT_CMTE","FY 2014","FY 2014","Currency=USD","Period=FY","BEST_FPERIOD_OVERRIDE=FY","FILING_STATUS=MR","Sort=A","Dates=H","DateFormat=P","Fill=—","Direction=H","UseDPDF=Y")</f>
        <v>#NAME?</v>
      </c>
      <c r="I58" s="14" t="e">
        <f ca="1">_xll.BDH("ANSS US Equity","PCT_IND_DIRECTORS_ON_AUDIT_CMTE","FY 2015","FY 2015","Currency=USD","Period=FY","BEST_FPERIOD_OVERRIDE=FY","FILING_STATUS=MR","Sort=A","Dates=H","DateFormat=P","Fill=—","Direction=H","UseDPDF=Y")</f>
        <v>#NAME?</v>
      </c>
      <c r="J58" s="14" t="e">
        <f ca="1">_xll.BDH("ANSS US Equity","PCT_IND_DIRECTORS_ON_AUDIT_CMTE","FY 2016","FY 2016","Currency=USD","Period=FY","BEST_FPERIOD_OVERRIDE=FY","FILING_STATUS=MR","Sort=A","Dates=H","DateFormat=P","Fill=—","Direction=H","UseDPDF=Y")</f>
        <v>#NAME?</v>
      </c>
      <c r="K58" s="14" t="e">
        <f ca="1">_xll.BDH("ANSS US Equity","PCT_IND_DIRECTORS_ON_AUDIT_CMTE","FY 2017","FY 2017","Currency=USD","Period=FY","BEST_FPERIOD_OVERRIDE=FY","FILING_STATUS=MR","Sort=A","Dates=H","DateFormat=P","Fill=—","Direction=H","UseDPDF=Y")</f>
        <v>#NAME?</v>
      </c>
      <c r="L58" s="14" t="e">
        <f ca="1">_xll.BDH("ANSS US Equity","PCT_IND_DIRECTORS_ON_AUDIT_CMTE","FY 2018","FY 2018","Currency=USD","Period=FY","BEST_FPERIOD_OVERRIDE=FY","FILING_STATUS=MR","Sort=A","Dates=H","DateFormat=P","Fill=—","Direction=H","UseDPDF=Y")</f>
        <v>#NAME?</v>
      </c>
      <c r="M58" s="14" t="e">
        <f ca="1">_xll.BDH("ANSS US Equity","PCT_IND_DIRECTORS_ON_AUDIT_CMTE","FY 2019","FY 2019","Currency=USD","Period=FY","BEST_FPERIOD_OVERRIDE=FY","FILING_STATUS=MR","Sort=A","Dates=H","DateFormat=P","Fill=—","Direction=H","UseDPDF=Y")</f>
        <v>#NAME?</v>
      </c>
      <c r="N58" s="14" t="e">
        <f ca="1">_xll.BDH("ANSS US Equity","PCT_IND_DIRECTORS_ON_AUDIT_CMTE","FY 2020","FY 2020","Currency=USD","Period=FY","BEST_FPERIOD_OVERRIDE=FY","FILING_STATUS=MR","Sort=A","Dates=H","DateFormat=P","Fill=—","Direction=H","UseDPDF=Y")</f>
        <v>#NAME?</v>
      </c>
      <c r="O58" s="14" t="e">
        <f ca="1">_xll.BDH("ANSS US Equity","PCT_IND_DIRECTORS_ON_AUDIT_CMTE","FY 2021","FY 2021","Currency=USD","Period=FY","BEST_FPERIOD_OVERRIDE=FY","FILING_STATUS=MR","Sort=A","Dates=H","DateFormat=P","Fill=—","Direction=H","UseDPDF=Y")</f>
        <v>#NAME?</v>
      </c>
      <c r="P58" s="14" t="e">
        <f ca="1">_xll.BDH("ANSS US Equity","PCT_IND_DIRECTORS_ON_AUDIT_CMTE","FY 2022","FY 2022","Currency=USD","Period=FY","BEST_FPERIOD_OVERRIDE=FY","FILING_STATUS=MR","Sort=A","Dates=H","DateFormat=P","Fill=—","Direction=H","UseDPDF=Y")</f>
        <v>#NAME?</v>
      </c>
      <c r="Q58" s="14" t="e">
        <f ca="1">_xll.BDH("ANSS US Equity","PCT_IND_DIRECTORS_ON_AUDIT_CMTE","FY 2023","FY 2023","Currency=USD","Period=FY","BEST_FPERIOD_OVERRIDE=FY","FILING_STATUS=MR","Sort=A","Dates=H","DateFormat=P","Fill=—","Direction=H","UseDPDF=Y")</f>
        <v>#NAME?</v>
      </c>
    </row>
    <row r="59" spans="1:17" x14ac:dyDescent="0.45">
      <c r="A59" s="10" t="s">
        <v>1083</v>
      </c>
      <c r="B59" s="10" t="s">
        <v>1084</v>
      </c>
      <c r="C59" s="12" t="s">
        <v>684</v>
      </c>
      <c r="D59" s="12" t="s">
        <v>684</v>
      </c>
      <c r="E59" s="12" t="s">
        <v>684</v>
      </c>
      <c r="F59" s="12" t="s">
        <v>684</v>
      </c>
      <c r="G59" s="12" t="s">
        <v>684</v>
      </c>
      <c r="H59" s="12" t="s">
        <v>684</v>
      </c>
      <c r="I59" s="12" t="s">
        <v>684</v>
      </c>
      <c r="J59" s="12" t="s">
        <v>684</v>
      </c>
      <c r="K59" s="12" t="s">
        <v>684</v>
      </c>
      <c r="L59" s="12" t="s">
        <v>684</v>
      </c>
      <c r="M59" s="12" t="s">
        <v>684</v>
      </c>
      <c r="N59" s="12" t="s">
        <v>684</v>
      </c>
      <c r="O59" s="12" t="s">
        <v>684</v>
      </c>
      <c r="P59" s="12" t="s">
        <v>684</v>
      </c>
      <c r="Q59" s="12" t="s">
        <v>684</v>
      </c>
    </row>
    <row r="60" spans="1:17" x14ac:dyDescent="0.45">
      <c r="A60" s="10" t="s">
        <v>1085</v>
      </c>
      <c r="B60" s="10" t="s">
        <v>1086</v>
      </c>
      <c r="C60" s="14" t="e">
        <f ca="1">_xll.BDH("ANSS US Equity","NUM_OF_NON_EXEC_DIR_ON_AUD_CMTE","FY 2009","FY 2009","Currency=USD","Period=FY","BEST_FPERIOD_OVERRIDE=FY","FILING_STATUS=MR","Sort=A","Dates=H","DateFormat=P","Fill=—","Direction=H","UseDPDF=Y")</f>
        <v>#NAME?</v>
      </c>
      <c r="D60" s="14" t="e">
        <f ca="1">_xll.BDH("ANSS US Equity","NUM_OF_NON_EXEC_DIR_ON_AUD_CMTE","FY 2010","FY 2010","Currency=USD","Period=FY","BEST_FPERIOD_OVERRIDE=FY","FILING_STATUS=MR","Sort=A","Dates=H","DateFormat=P","Fill=—","Direction=H","UseDPDF=Y")</f>
        <v>#NAME?</v>
      </c>
      <c r="E60" s="14" t="e">
        <f ca="1">_xll.BDH("ANSS US Equity","NUM_OF_NON_EXEC_DIR_ON_AUD_CMTE","FY 2011","FY 2011","Currency=USD","Period=FY","BEST_FPERIOD_OVERRIDE=FY","FILING_STATUS=MR","Sort=A","Dates=H","DateFormat=P","Fill=—","Direction=H","UseDPDF=Y")</f>
        <v>#NAME?</v>
      </c>
      <c r="F60" s="14" t="e">
        <f ca="1">_xll.BDH("ANSS US Equity","NUM_OF_NON_EXEC_DIR_ON_AUD_CMTE","FY 2012","FY 2012","Currency=USD","Period=FY","BEST_FPERIOD_OVERRIDE=FY","FILING_STATUS=MR","Sort=A","Dates=H","DateFormat=P","Fill=—","Direction=H","UseDPDF=Y")</f>
        <v>#NAME?</v>
      </c>
      <c r="G60" s="14" t="e">
        <f ca="1">_xll.BDH("ANSS US Equity","NUM_OF_NON_EXEC_DIR_ON_AUD_CMTE","FY 2013","FY 2013","Currency=USD","Period=FY","BEST_FPERIOD_OVERRIDE=FY","FILING_STATUS=MR","Sort=A","Dates=H","DateFormat=P","Fill=—","Direction=H","UseDPDF=Y")</f>
        <v>#NAME?</v>
      </c>
      <c r="H60" s="14" t="e">
        <f ca="1">_xll.BDH("ANSS US Equity","NUM_OF_NON_EXEC_DIR_ON_AUD_CMTE","FY 2014","FY 2014","Currency=USD","Period=FY","BEST_FPERIOD_OVERRIDE=FY","FILING_STATUS=MR","Sort=A","Dates=H","DateFormat=P","Fill=—","Direction=H","UseDPDF=Y")</f>
        <v>#NAME?</v>
      </c>
      <c r="I60" s="14" t="e">
        <f ca="1">_xll.BDH("ANSS US Equity","NUM_OF_NON_EXEC_DIR_ON_AUD_CMTE","FY 2015","FY 2015","Currency=USD","Period=FY","BEST_FPERIOD_OVERRIDE=FY","FILING_STATUS=MR","Sort=A","Dates=H","DateFormat=P","Fill=—","Direction=H","UseDPDF=Y")</f>
        <v>#NAME?</v>
      </c>
      <c r="J60" s="14" t="e">
        <f ca="1">_xll.BDH("ANSS US Equity","NUM_OF_NON_EXEC_DIR_ON_AUD_CMTE","FY 2016","FY 2016","Currency=USD","Period=FY","BEST_FPERIOD_OVERRIDE=FY","FILING_STATUS=MR","Sort=A","Dates=H","DateFormat=P","Fill=—","Direction=H","UseDPDF=Y")</f>
        <v>#NAME?</v>
      </c>
      <c r="K60" s="14" t="e">
        <f ca="1">_xll.BDH("ANSS US Equity","NUM_OF_NON_EXEC_DIR_ON_AUD_CMTE","FY 2017","FY 2017","Currency=USD","Period=FY","BEST_FPERIOD_OVERRIDE=FY","FILING_STATUS=MR","Sort=A","Dates=H","DateFormat=P","Fill=—","Direction=H","UseDPDF=Y")</f>
        <v>#NAME?</v>
      </c>
      <c r="L60" s="14" t="e">
        <f ca="1">_xll.BDH("ANSS US Equity","NUM_OF_NON_EXEC_DIR_ON_AUD_CMTE","FY 2018","FY 2018","Currency=USD","Period=FY","BEST_FPERIOD_OVERRIDE=FY","FILING_STATUS=MR","Sort=A","Dates=H","DateFormat=P","Fill=—","Direction=H","UseDPDF=Y")</f>
        <v>#NAME?</v>
      </c>
      <c r="M60" s="14" t="e">
        <f ca="1">_xll.BDH("ANSS US Equity","NUM_OF_NON_EXEC_DIR_ON_AUD_CMTE","FY 2019","FY 2019","Currency=USD","Period=FY","BEST_FPERIOD_OVERRIDE=FY","FILING_STATUS=MR","Sort=A","Dates=H","DateFormat=P","Fill=—","Direction=H","UseDPDF=Y")</f>
        <v>#NAME?</v>
      </c>
      <c r="N60" s="14" t="e">
        <f ca="1">_xll.BDH("ANSS US Equity","NUM_OF_NON_EXEC_DIR_ON_AUD_CMTE","FY 2020","FY 2020","Currency=USD","Period=FY","BEST_FPERIOD_OVERRIDE=FY","FILING_STATUS=MR","Sort=A","Dates=H","DateFormat=P","Fill=—","Direction=H","UseDPDF=Y")</f>
        <v>#NAME?</v>
      </c>
      <c r="O60" s="14" t="e">
        <f ca="1">_xll.BDH("ANSS US Equity","NUM_OF_NON_EXEC_DIR_ON_AUD_CMTE","FY 2021","FY 2021","Currency=USD","Period=FY","BEST_FPERIOD_OVERRIDE=FY","FILING_STATUS=MR","Sort=A","Dates=H","DateFormat=P","Fill=—","Direction=H","UseDPDF=Y")</f>
        <v>#NAME?</v>
      </c>
      <c r="P60" s="14" t="e">
        <f ca="1">_xll.BDH("ANSS US Equity","NUM_OF_NON_EXEC_DIR_ON_AUD_CMTE","FY 2022","FY 2022","Currency=USD","Period=FY","BEST_FPERIOD_OVERRIDE=FY","FILING_STATUS=MR","Sort=A","Dates=H","DateFormat=P","Fill=—","Direction=H","UseDPDF=Y")</f>
        <v>#NAME?</v>
      </c>
      <c r="Q60" s="14" t="e">
        <f ca="1">_xll.BDH("ANSS US Equity","NUM_OF_NON_EXEC_DIR_ON_AUD_CMTE","FY 2023","FY 2023","Currency=USD","Period=FY","BEST_FPERIOD_OVERRIDE=FY","FILING_STATUS=MR","Sort=A","Dates=H","DateFormat=P","Fill=—","Direction=H","UseDPDF=Y")</f>
        <v>#NAME?</v>
      </c>
    </row>
    <row r="61" spans="1:17" x14ac:dyDescent="0.45">
      <c r="A61" s="10" t="s">
        <v>1087</v>
      </c>
      <c r="B61" s="10" t="s">
        <v>1088</v>
      </c>
      <c r="C61" s="14" t="e">
        <f ca="1">_xll.BDH("ANSS US Equity","AUDIT_COMMITTEE_MEETINGS","FY 2009","FY 2009","Currency=USD","Period=FY","BEST_FPERIOD_OVERRIDE=FY","FILING_STATUS=MR","Sort=A","Dates=H","DateFormat=P","Fill=—","Direction=H","UseDPDF=Y")</f>
        <v>#NAME?</v>
      </c>
      <c r="D61" s="14" t="e">
        <f ca="1">_xll.BDH("ANSS US Equity","AUDIT_COMMITTEE_MEETINGS","FY 2010","FY 2010","Currency=USD","Period=FY","BEST_FPERIOD_OVERRIDE=FY","FILING_STATUS=MR","Sort=A","Dates=H","DateFormat=P","Fill=—","Direction=H","UseDPDF=Y")</f>
        <v>#NAME?</v>
      </c>
      <c r="E61" s="14" t="e">
        <f ca="1">_xll.BDH("ANSS US Equity","AUDIT_COMMITTEE_MEETINGS","FY 2011","FY 2011","Currency=USD","Period=FY","BEST_FPERIOD_OVERRIDE=FY","FILING_STATUS=MR","Sort=A","Dates=H","DateFormat=P","Fill=—","Direction=H","UseDPDF=Y")</f>
        <v>#NAME?</v>
      </c>
      <c r="F61" s="14" t="e">
        <f ca="1">_xll.BDH("ANSS US Equity","AUDIT_COMMITTEE_MEETINGS","FY 2012","FY 2012","Currency=USD","Period=FY","BEST_FPERIOD_OVERRIDE=FY","FILING_STATUS=MR","Sort=A","Dates=H","DateFormat=P","Fill=—","Direction=H","UseDPDF=Y")</f>
        <v>#NAME?</v>
      </c>
      <c r="G61" s="14" t="e">
        <f ca="1">_xll.BDH("ANSS US Equity","AUDIT_COMMITTEE_MEETINGS","FY 2013","FY 2013","Currency=USD","Period=FY","BEST_FPERIOD_OVERRIDE=FY","FILING_STATUS=MR","Sort=A","Dates=H","DateFormat=P","Fill=—","Direction=H","UseDPDF=Y")</f>
        <v>#NAME?</v>
      </c>
      <c r="H61" s="14" t="e">
        <f ca="1">_xll.BDH("ANSS US Equity","AUDIT_COMMITTEE_MEETINGS","FY 2014","FY 2014","Currency=USD","Period=FY","BEST_FPERIOD_OVERRIDE=FY","FILING_STATUS=MR","Sort=A","Dates=H","DateFormat=P","Fill=—","Direction=H","UseDPDF=Y")</f>
        <v>#NAME?</v>
      </c>
      <c r="I61" s="14" t="e">
        <f ca="1">_xll.BDH("ANSS US Equity","AUDIT_COMMITTEE_MEETINGS","FY 2015","FY 2015","Currency=USD","Period=FY","BEST_FPERIOD_OVERRIDE=FY","FILING_STATUS=MR","Sort=A","Dates=H","DateFormat=P","Fill=—","Direction=H","UseDPDF=Y")</f>
        <v>#NAME?</v>
      </c>
      <c r="J61" s="14" t="e">
        <f ca="1">_xll.BDH("ANSS US Equity","AUDIT_COMMITTEE_MEETINGS","FY 2016","FY 2016","Currency=USD","Period=FY","BEST_FPERIOD_OVERRIDE=FY","FILING_STATUS=MR","Sort=A","Dates=H","DateFormat=P","Fill=—","Direction=H","UseDPDF=Y")</f>
        <v>#NAME?</v>
      </c>
      <c r="K61" s="14" t="e">
        <f ca="1">_xll.BDH("ANSS US Equity","AUDIT_COMMITTEE_MEETINGS","FY 2017","FY 2017","Currency=USD","Period=FY","BEST_FPERIOD_OVERRIDE=FY","FILING_STATUS=MR","Sort=A","Dates=H","DateFormat=P","Fill=—","Direction=H","UseDPDF=Y")</f>
        <v>#NAME?</v>
      </c>
      <c r="L61" s="14" t="e">
        <f ca="1">_xll.BDH("ANSS US Equity","AUDIT_COMMITTEE_MEETINGS","FY 2018","FY 2018","Currency=USD","Period=FY","BEST_FPERIOD_OVERRIDE=FY","FILING_STATUS=MR","Sort=A","Dates=H","DateFormat=P","Fill=—","Direction=H","UseDPDF=Y")</f>
        <v>#NAME?</v>
      </c>
      <c r="M61" s="14" t="e">
        <f ca="1">_xll.BDH("ANSS US Equity","AUDIT_COMMITTEE_MEETINGS","FY 2019","FY 2019","Currency=USD","Period=FY","BEST_FPERIOD_OVERRIDE=FY","FILING_STATUS=MR","Sort=A","Dates=H","DateFormat=P","Fill=—","Direction=H","UseDPDF=Y")</f>
        <v>#NAME?</v>
      </c>
      <c r="N61" s="14" t="e">
        <f ca="1">_xll.BDH("ANSS US Equity","AUDIT_COMMITTEE_MEETINGS","FY 2020","FY 2020","Currency=USD","Period=FY","BEST_FPERIOD_OVERRIDE=FY","FILING_STATUS=MR","Sort=A","Dates=H","DateFormat=P","Fill=—","Direction=H","UseDPDF=Y")</f>
        <v>#NAME?</v>
      </c>
      <c r="O61" s="14" t="e">
        <f ca="1">_xll.BDH("ANSS US Equity","AUDIT_COMMITTEE_MEETINGS","FY 2021","FY 2021","Currency=USD","Period=FY","BEST_FPERIOD_OVERRIDE=FY","FILING_STATUS=MR","Sort=A","Dates=H","DateFormat=P","Fill=—","Direction=H","UseDPDF=Y")</f>
        <v>#NAME?</v>
      </c>
      <c r="P61" s="14" t="e">
        <f ca="1">_xll.BDH("ANSS US Equity","AUDIT_COMMITTEE_MEETINGS","FY 2022","FY 2022","Currency=USD","Period=FY","BEST_FPERIOD_OVERRIDE=FY","FILING_STATUS=MR","Sort=A","Dates=H","DateFormat=P","Fill=—","Direction=H","UseDPDF=Y")</f>
        <v>#NAME?</v>
      </c>
      <c r="Q61" s="14" t="e">
        <f ca="1">_xll.BDH("ANSS US Equity","AUDIT_COMMITTEE_MEETINGS","FY 2023","FY 2023","Currency=USD","Period=FY","BEST_FPERIOD_OVERRIDE=FY","FILING_STATUS=MR","Sort=A","Dates=H","DateFormat=P","Fill=—","Direction=H","UseDPDF=Y")</f>
        <v>#NAME?</v>
      </c>
    </row>
    <row r="62" spans="1:17" x14ac:dyDescent="0.45">
      <c r="A62" s="10" t="s">
        <v>556</v>
      </c>
      <c r="B62" s="10" t="s">
        <v>557</v>
      </c>
      <c r="C62" s="14" t="e">
        <f ca="1">_xll.BDH("ANSS US Equity","AUDIT_COMMITTEE_MTG_ATTEND_PCT","FY 2009","FY 2009","Currency=USD","Period=FY","BEST_FPERIOD_OVERRIDE=FY","FILING_STATUS=MR","Sort=A","Dates=H","DateFormat=P","Fill=—","Direction=H","UseDPDF=Y")</f>
        <v>#NAME?</v>
      </c>
      <c r="D62" s="14" t="e">
        <f ca="1">_xll.BDH("ANSS US Equity","AUDIT_COMMITTEE_MTG_ATTEND_PCT","FY 2010","FY 2010","Currency=USD","Period=FY","BEST_FPERIOD_OVERRIDE=FY","FILING_STATUS=MR","Sort=A","Dates=H","DateFormat=P","Fill=—","Direction=H","UseDPDF=Y")</f>
        <v>#NAME?</v>
      </c>
      <c r="E62" s="14" t="e">
        <f ca="1">_xll.BDH("ANSS US Equity","AUDIT_COMMITTEE_MTG_ATTEND_PCT","FY 2011","FY 2011","Currency=USD","Period=FY","BEST_FPERIOD_OVERRIDE=FY","FILING_STATUS=MR","Sort=A","Dates=H","DateFormat=P","Fill=—","Direction=H","UseDPDF=Y")</f>
        <v>#NAME?</v>
      </c>
      <c r="F62" s="14" t="e">
        <f ca="1">_xll.BDH("ANSS US Equity","AUDIT_COMMITTEE_MTG_ATTEND_PCT","FY 2012","FY 2012","Currency=USD","Period=FY","BEST_FPERIOD_OVERRIDE=FY","FILING_STATUS=MR","Sort=A","Dates=H","DateFormat=P","Fill=—","Direction=H","UseDPDF=Y")</f>
        <v>#NAME?</v>
      </c>
      <c r="G62" s="14" t="e">
        <f ca="1">_xll.BDH("ANSS US Equity","AUDIT_COMMITTEE_MTG_ATTEND_PCT","FY 2013","FY 2013","Currency=USD","Period=FY","BEST_FPERIOD_OVERRIDE=FY","FILING_STATUS=MR","Sort=A","Dates=H","DateFormat=P","Fill=—","Direction=H","UseDPDF=Y")</f>
        <v>#NAME?</v>
      </c>
      <c r="H62" s="14" t="e">
        <f ca="1">_xll.BDH("ANSS US Equity","AUDIT_COMMITTEE_MTG_ATTEND_PCT","FY 2014","FY 2014","Currency=USD","Period=FY","BEST_FPERIOD_OVERRIDE=FY","FILING_STATUS=MR","Sort=A","Dates=H","DateFormat=P","Fill=—","Direction=H","UseDPDF=Y")</f>
        <v>#NAME?</v>
      </c>
      <c r="I62" s="14" t="e">
        <f ca="1">_xll.BDH("ANSS US Equity","AUDIT_COMMITTEE_MTG_ATTEND_PCT","FY 2015","FY 2015","Currency=USD","Period=FY","BEST_FPERIOD_OVERRIDE=FY","FILING_STATUS=MR","Sort=A","Dates=H","DateFormat=P","Fill=—","Direction=H","UseDPDF=Y")</f>
        <v>#NAME?</v>
      </c>
      <c r="J62" s="14" t="e">
        <f ca="1">_xll.BDH("ANSS US Equity","AUDIT_COMMITTEE_MTG_ATTEND_PCT","FY 2016","FY 2016","Currency=USD","Period=FY","BEST_FPERIOD_OVERRIDE=FY","FILING_STATUS=MR","Sort=A","Dates=H","DateFormat=P","Fill=—","Direction=H","UseDPDF=Y")</f>
        <v>#NAME?</v>
      </c>
      <c r="K62" s="14" t="e">
        <f ca="1">_xll.BDH("ANSS US Equity","AUDIT_COMMITTEE_MTG_ATTEND_PCT","FY 2017","FY 2017","Currency=USD","Period=FY","BEST_FPERIOD_OVERRIDE=FY","FILING_STATUS=MR","Sort=A","Dates=H","DateFormat=P","Fill=—","Direction=H","UseDPDF=Y")</f>
        <v>#NAME?</v>
      </c>
      <c r="L62" s="14" t="e">
        <f ca="1">_xll.BDH("ANSS US Equity","AUDIT_COMMITTEE_MTG_ATTEND_PCT","FY 2018","FY 2018","Currency=USD","Period=FY","BEST_FPERIOD_OVERRIDE=FY","FILING_STATUS=MR","Sort=A","Dates=H","DateFormat=P","Fill=—","Direction=H","UseDPDF=Y")</f>
        <v>#NAME?</v>
      </c>
      <c r="M62" s="14" t="e">
        <f ca="1">_xll.BDH("ANSS US Equity","AUDIT_COMMITTEE_MTG_ATTEND_PCT","FY 2019","FY 2019","Currency=USD","Period=FY","BEST_FPERIOD_OVERRIDE=FY","FILING_STATUS=MR","Sort=A","Dates=H","DateFormat=P","Fill=—","Direction=H","UseDPDF=Y")</f>
        <v>#NAME?</v>
      </c>
      <c r="N62" s="14" t="e">
        <f ca="1">_xll.BDH("ANSS US Equity","AUDIT_COMMITTEE_MTG_ATTEND_PCT","FY 2020","FY 2020","Currency=USD","Period=FY","BEST_FPERIOD_OVERRIDE=FY","FILING_STATUS=MR","Sort=A","Dates=H","DateFormat=P","Fill=—","Direction=H","UseDPDF=Y")</f>
        <v>#NAME?</v>
      </c>
      <c r="O62" s="14" t="e">
        <f ca="1">_xll.BDH("ANSS US Equity","AUDIT_COMMITTEE_MTG_ATTEND_PCT","FY 2021","FY 2021","Currency=USD","Period=FY","BEST_FPERIOD_OVERRIDE=FY","FILING_STATUS=MR","Sort=A","Dates=H","DateFormat=P","Fill=—","Direction=H","UseDPDF=Y")</f>
        <v>#NAME?</v>
      </c>
      <c r="P62" s="14" t="e">
        <f ca="1">_xll.BDH("ANSS US Equity","AUDIT_COMMITTEE_MTG_ATTEND_PCT","FY 2022","FY 2022","Currency=USD","Period=FY","BEST_FPERIOD_OVERRIDE=FY","FILING_STATUS=MR","Sort=A","Dates=H","DateFormat=P","Fill=—","Direction=H","UseDPDF=Y")</f>
        <v>#NAME?</v>
      </c>
      <c r="Q62" s="14" t="e">
        <f ca="1">_xll.BDH("ANSS US Equity","AUDIT_COMMITTEE_MTG_ATTEND_PCT","FY 2023","FY 2023","Currency=USD","Period=FY","BEST_FPERIOD_OVERRIDE=FY","FILING_STATUS=MR","Sort=A","Dates=H","DateFormat=P","Fill=—","Direction=H","UseDPDF=Y")</f>
        <v>#NAME?</v>
      </c>
    </row>
    <row r="63" spans="1:17" x14ac:dyDescent="0.45">
      <c r="A63" s="1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x14ac:dyDescent="0.45">
      <c r="A64" s="10" t="s">
        <v>1089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x14ac:dyDescent="0.45">
      <c r="A65" s="10" t="s">
        <v>1090</v>
      </c>
      <c r="B65" s="10" t="s">
        <v>1091</v>
      </c>
      <c r="C65" s="14" t="e">
        <f ca="1">_xll.BDH("ANSS US Equity","SIZE_OF_COMPENSATION_COMMITTEE","FY 2009","FY 2009","Currency=USD","Period=FY","BEST_FPERIOD_OVERRIDE=FY","FILING_STATUS=MR","Sort=A","Dates=H","DateFormat=P","Fill=—","Direction=H","UseDPDF=Y")</f>
        <v>#NAME?</v>
      </c>
      <c r="D65" s="14" t="e">
        <f ca="1">_xll.BDH("ANSS US Equity","SIZE_OF_COMPENSATION_COMMITTEE","FY 2010","FY 2010","Currency=USD","Period=FY","BEST_FPERIOD_OVERRIDE=FY","FILING_STATUS=MR","Sort=A","Dates=H","DateFormat=P","Fill=—","Direction=H","UseDPDF=Y")</f>
        <v>#NAME?</v>
      </c>
      <c r="E65" s="14" t="e">
        <f ca="1">_xll.BDH("ANSS US Equity","SIZE_OF_COMPENSATION_COMMITTEE","FY 2011","FY 2011","Currency=USD","Period=FY","BEST_FPERIOD_OVERRIDE=FY","FILING_STATUS=MR","Sort=A","Dates=H","DateFormat=P","Fill=—","Direction=H","UseDPDF=Y")</f>
        <v>#NAME?</v>
      </c>
      <c r="F65" s="14" t="e">
        <f ca="1">_xll.BDH("ANSS US Equity","SIZE_OF_COMPENSATION_COMMITTEE","FY 2012","FY 2012","Currency=USD","Period=FY","BEST_FPERIOD_OVERRIDE=FY","FILING_STATUS=MR","Sort=A","Dates=H","DateFormat=P","Fill=—","Direction=H","UseDPDF=Y")</f>
        <v>#NAME?</v>
      </c>
      <c r="G65" s="14" t="e">
        <f ca="1">_xll.BDH("ANSS US Equity","SIZE_OF_COMPENSATION_COMMITTEE","FY 2013","FY 2013","Currency=USD","Period=FY","BEST_FPERIOD_OVERRIDE=FY","FILING_STATUS=MR","Sort=A","Dates=H","DateFormat=P","Fill=—","Direction=H","UseDPDF=Y")</f>
        <v>#NAME?</v>
      </c>
      <c r="H65" s="14" t="e">
        <f ca="1">_xll.BDH("ANSS US Equity","SIZE_OF_COMPENSATION_COMMITTEE","FY 2014","FY 2014","Currency=USD","Period=FY","BEST_FPERIOD_OVERRIDE=FY","FILING_STATUS=MR","Sort=A","Dates=H","DateFormat=P","Fill=—","Direction=H","UseDPDF=Y")</f>
        <v>#NAME?</v>
      </c>
      <c r="I65" s="14" t="e">
        <f ca="1">_xll.BDH("ANSS US Equity","SIZE_OF_COMPENSATION_COMMITTEE","FY 2015","FY 2015","Currency=USD","Period=FY","BEST_FPERIOD_OVERRIDE=FY","FILING_STATUS=MR","Sort=A","Dates=H","DateFormat=P","Fill=—","Direction=H","UseDPDF=Y")</f>
        <v>#NAME?</v>
      </c>
      <c r="J65" s="14" t="e">
        <f ca="1">_xll.BDH("ANSS US Equity","SIZE_OF_COMPENSATION_COMMITTEE","FY 2016","FY 2016","Currency=USD","Period=FY","BEST_FPERIOD_OVERRIDE=FY","FILING_STATUS=MR","Sort=A","Dates=H","DateFormat=P","Fill=—","Direction=H","UseDPDF=Y")</f>
        <v>#NAME?</v>
      </c>
      <c r="K65" s="14" t="e">
        <f ca="1">_xll.BDH("ANSS US Equity","SIZE_OF_COMPENSATION_COMMITTEE","FY 2017","FY 2017","Currency=USD","Period=FY","BEST_FPERIOD_OVERRIDE=FY","FILING_STATUS=MR","Sort=A","Dates=H","DateFormat=P","Fill=—","Direction=H","UseDPDF=Y")</f>
        <v>#NAME?</v>
      </c>
      <c r="L65" s="14" t="e">
        <f ca="1">_xll.BDH("ANSS US Equity","SIZE_OF_COMPENSATION_COMMITTEE","FY 2018","FY 2018","Currency=USD","Period=FY","BEST_FPERIOD_OVERRIDE=FY","FILING_STATUS=MR","Sort=A","Dates=H","DateFormat=P","Fill=—","Direction=H","UseDPDF=Y")</f>
        <v>#NAME?</v>
      </c>
      <c r="M65" s="14" t="e">
        <f ca="1">_xll.BDH("ANSS US Equity","SIZE_OF_COMPENSATION_COMMITTEE","FY 2019","FY 2019","Currency=USD","Period=FY","BEST_FPERIOD_OVERRIDE=FY","FILING_STATUS=MR","Sort=A","Dates=H","DateFormat=P","Fill=—","Direction=H","UseDPDF=Y")</f>
        <v>#NAME?</v>
      </c>
      <c r="N65" s="14" t="e">
        <f ca="1">_xll.BDH("ANSS US Equity","SIZE_OF_COMPENSATION_COMMITTEE","FY 2020","FY 2020","Currency=USD","Period=FY","BEST_FPERIOD_OVERRIDE=FY","FILING_STATUS=MR","Sort=A","Dates=H","DateFormat=P","Fill=—","Direction=H","UseDPDF=Y")</f>
        <v>#NAME?</v>
      </c>
      <c r="O65" s="14" t="e">
        <f ca="1">_xll.BDH("ANSS US Equity","SIZE_OF_COMPENSATION_COMMITTEE","FY 2021","FY 2021","Currency=USD","Period=FY","BEST_FPERIOD_OVERRIDE=FY","FILING_STATUS=MR","Sort=A","Dates=H","DateFormat=P","Fill=—","Direction=H","UseDPDF=Y")</f>
        <v>#NAME?</v>
      </c>
      <c r="P65" s="14" t="e">
        <f ca="1">_xll.BDH("ANSS US Equity","SIZE_OF_COMPENSATION_COMMITTEE","FY 2022","FY 2022","Currency=USD","Period=FY","BEST_FPERIOD_OVERRIDE=FY","FILING_STATUS=MR","Sort=A","Dates=H","DateFormat=P","Fill=—","Direction=H","UseDPDF=Y")</f>
        <v>#NAME?</v>
      </c>
      <c r="Q65" s="14" t="e">
        <f ca="1">_xll.BDH("ANSS US Equity","SIZE_OF_COMPENSATION_COMMITTEE","FY 2023","FY 2023","Currency=USD","Period=FY","BEST_FPERIOD_OVERRIDE=FY","FILING_STATUS=MR","Sort=A","Dates=H","DateFormat=P","Fill=—","Direction=H","UseDPDF=Y")</f>
        <v>#NAME?</v>
      </c>
    </row>
    <row r="66" spans="1:17" x14ac:dyDescent="0.45">
      <c r="A66" s="10" t="s">
        <v>1092</v>
      </c>
      <c r="B66" s="10" t="s">
        <v>1093</v>
      </c>
      <c r="C66" s="14" t="e">
        <f ca="1">_xll.BDH("ANSS US Equity","NUM_IND_DIR_ON_CMPNSTN_CMTE","FY 2009","FY 2009","Currency=USD","Period=FY","BEST_FPERIOD_OVERRIDE=FY","FILING_STATUS=MR","Sort=A","Dates=H","DateFormat=P","Fill=—","Direction=H","UseDPDF=Y")</f>
        <v>#NAME?</v>
      </c>
      <c r="D66" s="14" t="e">
        <f ca="1">_xll.BDH("ANSS US Equity","NUM_IND_DIR_ON_CMPNSTN_CMTE","FY 2010","FY 2010","Currency=USD","Period=FY","BEST_FPERIOD_OVERRIDE=FY","FILING_STATUS=MR","Sort=A","Dates=H","DateFormat=P","Fill=—","Direction=H","UseDPDF=Y")</f>
        <v>#NAME?</v>
      </c>
      <c r="E66" s="14" t="e">
        <f ca="1">_xll.BDH("ANSS US Equity","NUM_IND_DIR_ON_CMPNSTN_CMTE","FY 2011","FY 2011","Currency=USD","Period=FY","BEST_FPERIOD_OVERRIDE=FY","FILING_STATUS=MR","Sort=A","Dates=H","DateFormat=P","Fill=—","Direction=H","UseDPDF=Y")</f>
        <v>#NAME?</v>
      </c>
      <c r="F66" s="14" t="e">
        <f ca="1">_xll.BDH("ANSS US Equity","NUM_IND_DIR_ON_CMPNSTN_CMTE","FY 2012","FY 2012","Currency=USD","Period=FY","BEST_FPERIOD_OVERRIDE=FY","FILING_STATUS=MR","Sort=A","Dates=H","DateFormat=P","Fill=—","Direction=H","UseDPDF=Y")</f>
        <v>#NAME?</v>
      </c>
      <c r="G66" s="14" t="e">
        <f ca="1">_xll.BDH("ANSS US Equity","NUM_IND_DIR_ON_CMPNSTN_CMTE","FY 2013","FY 2013","Currency=USD","Period=FY","BEST_FPERIOD_OVERRIDE=FY","FILING_STATUS=MR","Sort=A","Dates=H","DateFormat=P","Fill=—","Direction=H","UseDPDF=Y")</f>
        <v>#NAME?</v>
      </c>
      <c r="H66" s="14" t="e">
        <f ca="1">_xll.BDH("ANSS US Equity","NUM_IND_DIR_ON_CMPNSTN_CMTE","FY 2014","FY 2014","Currency=USD","Period=FY","BEST_FPERIOD_OVERRIDE=FY","FILING_STATUS=MR","Sort=A","Dates=H","DateFormat=P","Fill=—","Direction=H","UseDPDF=Y")</f>
        <v>#NAME?</v>
      </c>
      <c r="I66" s="14" t="e">
        <f ca="1">_xll.BDH("ANSS US Equity","NUM_IND_DIR_ON_CMPNSTN_CMTE","FY 2015","FY 2015","Currency=USD","Period=FY","BEST_FPERIOD_OVERRIDE=FY","FILING_STATUS=MR","Sort=A","Dates=H","DateFormat=P","Fill=—","Direction=H","UseDPDF=Y")</f>
        <v>#NAME?</v>
      </c>
      <c r="J66" s="14" t="e">
        <f ca="1">_xll.BDH("ANSS US Equity","NUM_IND_DIR_ON_CMPNSTN_CMTE","FY 2016","FY 2016","Currency=USD","Period=FY","BEST_FPERIOD_OVERRIDE=FY","FILING_STATUS=MR","Sort=A","Dates=H","DateFormat=P","Fill=—","Direction=H","UseDPDF=Y")</f>
        <v>#NAME?</v>
      </c>
      <c r="K66" s="14" t="e">
        <f ca="1">_xll.BDH("ANSS US Equity","NUM_IND_DIR_ON_CMPNSTN_CMTE","FY 2017","FY 2017","Currency=USD","Period=FY","BEST_FPERIOD_OVERRIDE=FY","FILING_STATUS=MR","Sort=A","Dates=H","DateFormat=P","Fill=—","Direction=H","UseDPDF=Y")</f>
        <v>#NAME?</v>
      </c>
      <c r="L66" s="14" t="e">
        <f ca="1">_xll.BDH("ANSS US Equity","NUM_IND_DIR_ON_CMPNSTN_CMTE","FY 2018","FY 2018","Currency=USD","Period=FY","BEST_FPERIOD_OVERRIDE=FY","FILING_STATUS=MR","Sort=A","Dates=H","DateFormat=P","Fill=—","Direction=H","UseDPDF=Y")</f>
        <v>#NAME?</v>
      </c>
      <c r="M66" s="14" t="e">
        <f ca="1">_xll.BDH("ANSS US Equity","NUM_IND_DIR_ON_CMPNSTN_CMTE","FY 2019","FY 2019","Currency=USD","Period=FY","BEST_FPERIOD_OVERRIDE=FY","FILING_STATUS=MR","Sort=A","Dates=H","DateFormat=P","Fill=—","Direction=H","UseDPDF=Y")</f>
        <v>#NAME?</v>
      </c>
      <c r="N66" s="14" t="e">
        <f ca="1">_xll.BDH("ANSS US Equity","NUM_IND_DIR_ON_CMPNSTN_CMTE","FY 2020","FY 2020","Currency=USD","Period=FY","BEST_FPERIOD_OVERRIDE=FY","FILING_STATUS=MR","Sort=A","Dates=H","DateFormat=P","Fill=—","Direction=H","UseDPDF=Y")</f>
        <v>#NAME?</v>
      </c>
      <c r="O66" s="14" t="e">
        <f ca="1">_xll.BDH("ANSS US Equity","NUM_IND_DIR_ON_CMPNSTN_CMTE","FY 2021","FY 2021","Currency=USD","Period=FY","BEST_FPERIOD_OVERRIDE=FY","FILING_STATUS=MR","Sort=A","Dates=H","DateFormat=P","Fill=—","Direction=H","UseDPDF=Y")</f>
        <v>#NAME?</v>
      </c>
      <c r="P66" s="14" t="e">
        <f ca="1">_xll.BDH("ANSS US Equity","NUM_IND_DIR_ON_CMPNSTN_CMTE","FY 2022","FY 2022","Currency=USD","Period=FY","BEST_FPERIOD_OVERRIDE=FY","FILING_STATUS=MR","Sort=A","Dates=H","DateFormat=P","Fill=—","Direction=H","UseDPDF=Y")</f>
        <v>#NAME?</v>
      </c>
      <c r="Q66" s="14" t="e">
        <f ca="1">_xll.BDH("ANSS US Equity","NUM_IND_DIR_ON_CMPNSTN_CMTE","FY 2023","FY 2023","Currency=USD","Period=FY","BEST_FPERIOD_OVERRIDE=FY","FILING_STATUS=MR","Sort=A","Dates=H","DateFormat=P","Fill=—","Direction=H","UseDPDF=Y")</f>
        <v>#NAME?</v>
      </c>
    </row>
    <row r="67" spans="1:17" x14ac:dyDescent="0.45">
      <c r="A67" s="10" t="s">
        <v>1094</v>
      </c>
      <c r="B67" s="10" t="s">
        <v>559</v>
      </c>
      <c r="C67" s="14" t="e">
        <f ca="1">_xll.BDH("ANSS US Equity","PCT_IND_DIRECTORS_ON_COMP_CMTE","FY 2009","FY 2009","Currency=USD","Period=FY","BEST_FPERIOD_OVERRIDE=FY","FILING_STATUS=MR","Sort=A","Dates=H","DateFormat=P","Fill=—","Direction=H","UseDPDF=Y")</f>
        <v>#NAME?</v>
      </c>
      <c r="D67" s="14" t="e">
        <f ca="1">_xll.BDH("ANSS US Equity","PCT_IND_DIRECTORS_ON_COMP_CMTE","FY 2010","FY 2010","Currency=USD","Period=FY","BEST_FPERIOD_OVERRIDE=FY","FILING_STATUS=MR","Sort=A","Dates=H","DateFormat=P","Fill=—","Direction=H","UseDPDF=Y")</f>
        <v>#NAME?</v>
      </c>
      <c r="E67" s="14" t="e">
        <f ca="1">_xll.BDH("ANSS US Equity","PCT_IND_DIRECTORS_ON_COMP_CMTE","FY 2011","FY 2011","Currency=USD","Period=FY","BEST_FPERIOD_OVERRIDE=FY","FILING_STATUS=MR","Sort=A","Dates=H","DateFormat=P","Fill=—","Direction=H","UseDPDF=Y")</f>
        <v>#NAME?</v>
      </c>
      <c r="F67" s="14" t="e">
        <f ca="1">_xll.BDH("ANSS US Equity","PCT_IND_DIRECTORS_ON_COMP_CMTE","FY 2012","FY 2012","Currency=USD","Period=FY","BEST_FPERIOD_OVERRIDE=FY","FILING_STATUS=MR","Sort=A","Dates=H","DateFormat=P","Fill=—","Direction=H","UseDPDF=Y")</f>
        <v>#NAME?</v>
      </c>
      <c r="G67" s="14" t="e">
        <f ca="1">_xll.BDH("ANSS US Equity","PCT_IND_DIRECTORS_ON_COMP_CMTE","FY 2013","FY 2013","Currency=USD","Period=FY","BEST_FPERIOD_OVERRIDE=FY","FILING_STATUS=MR","Sort=A","Dates=H","DateFormat=P","Fill=—","Direction=H","UseDPDF=Y")</f>
        <v>#NAME?</v>
      </c>
      <c r="H67" s="14" t="e">
        <f ca="1">_xll.BDH("ANSS US Equity","PCT_IND_DIRECTORS_ON_COMP_CMTE","FY 2014","FY 2014","Currency=USD","Period=FY","BEST_FPERIOD_OVERRIDE=FY","FILING_STATUS=MR","Sort=A","Dates=H","DateFormat=P","Fill=—","Direction=H","UseDPDF=Y")</f>
        <v>#NAME?</v>
      </c>
      <c r="I67" s="14" t="e">
        <f ca="1">_xll.BDH("ANSS US Equity","PCT_IND_DIRECTORS_ON_COMP_CMTE","FY 2015","FY 2015","Currency=USD","Period=FY","BEST_FPERIOD_OVERRIDE=FY","FILING_STATUS=MR","Sort=A","Dates=H","DateFormat=P","Fill=—","Direction=H","UseDPDF=Y")</f>
        <v>#NAME?</v>
      </c>
      <c r="J67" s="14" t="e">
        <f ca="1">_xll.BDH("ANSS US Equity","PCT_IND_DIRECTORS_ON_COMP_CMTE","FY 2016","FY 2016","Currency=USD","Period=FY","BEST_FPERIOD_OVERRIDE=FY","FILING_STATUS=MR","Sort=A","Dates=H","DateFormat=P","Fill=—","Direction=H","UseDPDF=Y")</f>
        <v>#NAME?</v>
      </c>
      <c r="K67" s="14" t="e">
        <f ca="1">_xll.BDH("ANSS US Equity","PCT_IND_DIRECTORS_ON_COMP_CMTE","FY 2017","FY 2017","Currency=USD","Period=FY","BEST_FPERIOD_OVERRIDE=FY","FILING_STATUS=MR","Sort=A","Dates=H","DateFormat=P","Fill=—","Direction=H","UseDPDF=Y")</f>
        <v>#NAME?</v>
      </c>
      <c r="L67" s="14" t="e">
        <f ca="1">_xll.BDH("ANSS US Equity","PCT_IND_DIRECTORS_ON_COMP_CMTE","FY 2018","FY 2018","Currency=USD","Period=FY","BEST_FPERIOD_OVERRIDE=FY","FILING_STATUS=MR","Sort=A","Dates=H","DateFormat=P","Fill=—","Direction=H","UseDPDF=Y")</f>
        <v>#NAME?</v>
      </c>
      <c r="M67" s="14" t="e">
        <f ca="1">_xll.BDH("ANSS US Equity","PCT_IND_DIRECTORS_ON_COMP_CMTE","FY 2019","FY 2019","Currency=USD","Period=FY","BEST_FPERIOD_OVERRIDE=FY","FILING_STATUS=MR","Sort=A","Dates=H","DateFormat=P","Fill=—","Direction=H","UseDPDF=Y")</f>
        <v>#NAME?</v>
      </c>
      <c r="N67" s="14" t="e">
        <f ca="1">_xll.BDH("ANSS US Equity","PCT_IND_DIRECTORS_ON_COMP_CMTE","FY 2020","FY 2020","Currency=USD","Period=FY","BEST_FPERIOD_OVERRIDE=FY","FILING_STATUS=MR","Sort=A","Dates=H","DateFormat=P","Fill=—","Direction=H","UseDPDF=Y")</f>
        <v>#NAME?</v>
      </c>
      <c r="O67" s="14" t="e">
        <f ca="1">_xll.BDH("ANSS US Equity","PCT_IND_DIRECTORS_ON_COMP_CMTE","FY 2021","FY 2021","Currency=USD","Period=FY","BEST_FPERIOD_OVERRIDE=FY","FILING_STATUS=MR","Sort=A","Dates=H","DateFormat=P","Fill=—","Direction=H","UseDPDF=Y")</f>
        <v>#NAME?</v>
      </c>
      <c r="P67" s="14" t="e">
        <f ca="1">_xll.BDH("ANSS US Equity","PCT_IND_DIRECTORS_ON_COMP_CMTE","FY 2022","FY 2022","Currency=USD","Period=FY","BEST_FPERIOD_OVERRIDE=FY","FILING_STATUS=MR","Sort=A","Dates=H","DateFormat=P","Fill=—","Direction=H","UseDPDF=Y")</f>
        <v>#NAME?</v>
      </c>
      <c r="Q67" s="14" t="e">
        <f ca="1">_xll.BDH("ANSS US Equity","PCT_IND_DIRECTORS_ON_COMP_CMTE","FY 2023","FY 2023","Currency=USD","Period=FY","BEST_FPERIOD_OVERRIDE=FY","FILING_STATUS=MR","Sort=A","Dates=H","DateFormat=P","Fill=—","Direction=H","UseDPDF=Y")</f>
        <v>#NAME?</v>
      </c>
    </row>
    <row r="68" spans="1:17" x14ac:dyDescent="0.45">
      <c r="A68" s="10" t="s">
        <v>1095</v>
      </c>
      <c r="B68" s="10" t="s">
        <v>1096</v>
      </c>
      <c r="C68" s="12" t="s">
        <v>684</v>
      </c>
      <c r="D68" s="12" t="s">
        <v>684</v>
      </c>
      <c r="E68" s="12" t="s">
        <v>684</v>
      </c>
      <c r="F68" s="12" t="s">
        <v>684</v>
      </c>
      <c r="G68" s="12" t="s">
        <v>684</v>
      </c>
      <c r="H68" s="12" t="s">
        <v>684</v>
      </c>
      <c r="I68" s="12" t="s">
        <v>684</v>
      </c>
      <c r="J68" s="12" t="s">
        <v>684</v>
      </c>
      <c r="K68" s="12" t="s">
        <v>684</v>
      </c>
      <c r="L68" s="12" t="s">
        <v>684</v>
      </c>
      <c r="M68" s="12" t="s">
        <v>684</v>
      </c>
      <c r="N68" s="12" t="s">
        <v>684</v>
      </c>
      <c r="O68" s="12" t="s">
        <v>684</v>
      </c>
      <c r="P68" s="12" t="s">
        <v>684</v>
      </c>
      <c r="Q68" s="12" t="s">
        <v>684</v>
      </c>
    </row>
    <row r="69" spans="1:17" x14ac:dyDescent="0.45">
      <c r="A69" s="10" t="s">
        <v>1097</v>
      </c>
      <c r="B69" s="10" t="s">
        <v>1098</v>
      </c>
      <c r="C69" s="14" t="e">
        <f ca="1">_xll.BDH("ANSS US Equity","NUM_OF_N_EXEC_DIR_ON_COMP_CMTE","FY 2009","FY 2009","Currency=USD","Period=FY","BEST_FPERIOD_OVERRIDE=FY","FILING_STATUS=MR","Sort=A","Dates=H","DateFormat=P","Fill=—","Direction=H","UseDPDF=Y")</f>
        <v>#NAME?</v>
      </c>
      <c r="D69" s="14" t="e">
        <f ca="1">_xll.BDH("ANSS US Equity","NUM_OF_N_EXEC_DIR_ON_COMP_CMTE","FY 2010","FY 2010","Currency=USD","Period=FY","BEST_FPERIOD_OVERRIDE=FY","FILING_STATUS=MR","Sort=A","Dates=H","DateFormat=P","Fill=—","Direction=H","UseDPDF=Y")</f>
        <v>#NAME?</v>
      </c>
      <c r="E69" s="14" t="e">
        <f ca="1">_xll.BDH("ANSS US Equity","NUM_OF_N_EXEC_DIR_ON_COMP_CMTE","FY 2011","FY 2011","Currency=USD","Period=FY","BEST_FPERIOD_OVERRIDE=FY","FILING_STATUS=MR","Sort=A","Dates=H","DateFormat=P","Fill=—","Direction=H","UseDPDF=Y")</f>
        <v>#NAME?</v>
      </c>
      <c r="F69" s="14" t="e">
        <f ca="1">_xll.BDH("ANSS US Equity","NUM_OF_N_EXEC_DIR_ON_COMP_CMTE","FY 2012","FY 2012","Currency=USD","Period=FY","BEST_FPERIOD_OVERRIDE=FY","FILING_STATUS=MR","Sort=A","Dates=H","DateFormat=P","Fill=—","Direction=H","UseDPDF=Y")</f>
        <v>#NAME?</v>
      </c>
      <c r="G69" s="14" t="e">
        <f ca="1">_xll.BDH("ANSS US Equity","NUM_OF_N_EXEC_DIR_ON_COMP_CMTE","FY 2013","FY 2013","Currency=USD","Period=FY","BEST_FPERIOD_OVERRIDE=FY","FILING_STATUS=MR","Sort=A","Dates=H","DateFormat=P","Fill=—","Direction=H","UseDPDF=Y")</f>
        <v>#NAME?</v>
      </c>
      <c r="H69" s="14" t="e">
        <f ca="1">_xll.BDH("ANSS US Equity","NUM_OF_N_EXEC_DIR_ON_COMP_CMTE","FY 2014","FY 2014","Currency=USD","Period=FY","BEST_FPERIOD_OVERRIDE=FY","FILING_STATUS=MR","Sort=A","Dates=H","DateFormat=P","Fill=—","Direction=H","UseDPDF=Y")</f>
        <v>#NAME?</v>
      </c>
      <c r="I69" s="14" t="e">
        <f ca="1">_xll.BDH("ANSS US Equity","NUM_OF_N_EXEC_DIR_ON_COMP_CMTE","FY 2015","FY 2015","Currency=USD","Period=FY","BEST_FPERIOD_OVERRIDE=FY","FILING_STATUS=MR","Sort=A","Dates=H","DateFormat=P","Fill=—","Direction=H","UseDPDF=Y")</f>
        <v>#NAME?</v>
      </c>
      <c r="J69" s="14" t="e">
        <f ca="1">_xll.BDH("ANSS US Equity","NUM_OF_N_EXEC_DIR_ON_COMP_CMTE","FY 2016","FY 2016","Currency=USD","Period=FY","BEST_FPERIOD_OVERRIDE=FY","FILING_STATUS=MR","Sort=A","Dates=H","DateFormat=P","Fill=—","Direction=H","UseDPDF=Y")</f>
        <v>#NAME?</v>
      </c>
      <c r="K69" s="14" t="e">
        <f ca="1">_xll.BDH("ANSS US Equity","NUM_OF_N_EXEC_DIR_ON_COMP_CMTE","FY 2017","FY 2017","Currency=USD","Period=FY","BEST_FPERIOD_OVERRIDE=FY","FILING_STATUS=MR","Sort=A","Dates=H","DateFormat=P","Fill=—","Direction=H","UseDPDF=Y")</f>
        <v>#NAME?</v>
      </c>
      <c r="L69" s="14" t="e">
        <f ca="1">_xll.BDH("ANSS US Equity","NUM_OF_N_EXEC_DIR_ON_COMP_CMTE","FY 2018","FY 2018","Currency=USD","Period=FY","BEST_FPERIOD_OVERRIDE=FY","FILING_STATUS=MR","Sort=A","Dates=H","DateFormat=P","Fill=—","Direction=H","UseDPDF=Y")</f>
        <v>#NAME?</v>
      </c>
      <c r="M69" s="14" t="e">
        <f ca="1">_xll.BDH("ANSS US Equity","NUM_OF_N_EXEC_DIR_ON_COMP_CMTE","FY 2019","FY 2019","Currency=USD","Period=FY","BEST_FPERIOD_OVERRIDE=FY","FILING_STATUS=MR","Sort=A","Dates=H","DateFormat=P","Fill=—","Direction=H","UseDPDF=Y")</f>
        <v>#NAME?</v>
      </c>
      <c r="N69" s="14" t="e">
        <f ca="1">_xll.BDH("ANSS US Equity","NUM_OF_N_EXEC_DIR_ON_COMP_CMTE","FY 2020","FY 2020","Currency=USD","Period=FY","BEST_FPERIOD_OVERRIDE=FY","FILING_STATUS=MR","Sort=A","Dates=H","DateFormat=P","Fill=—","Direction=H","UseDPDF=Y")</f>
        <v>#NAME?</v>
      </c>
      <c r="O69" s="14" t="e">
        <f ca="1">_xll.BDH("ANSS US Equity","NUM_OF_N_EXEC_DIR_ON_COMP_CMTE","FY 2021","FY 2021","Currency=USD","Period=FY","BEST_FPERIOD_OVERRIDE=FY","FILING_STATUS=MR","Sort=A","Dates=H","DateFormat=P","Fill=—","Direction=H","UseDPDF=Y")</f>
        <v>#NAME?</v>
      </c>
      <c r="P69" s="14" t="e">
        <f ca="1">_xll.BDH("ANSS US Equity","NUM_OF_N_EXEC_DIR_ON_COMP_CMTE","FY 2022","FY 2022","Currency=USD","Period=FY","BEST_FPERIOD_OVERRIDE=FY","FILING_STATUS=MR","Sort=A","Dates=H","DateFormat=P","Fill=—","Direction=H","UseDPDF=Y")</f>
        <v>#NAME?</v>
      </c>
      <c r="Q69" s="14" t="e">
        <f ca="1">_xll.BDH("ANSS US Equity","NUM_OF_N_EXEC_DIR_ON_COMP_CMTE","FY 2023","FY 2023","Currency=USD","Period=FY","BEST_FPERIOD_OVERRIDE=FY","FILING_STATUS=MR","Sort=A","Dates=H","DateFormat=P","Fill=—","Direction=H","UseDPDF=Y")</f>
        <v>#NAME?</v>
      </c>
    </row>
    <row r="70" spans="1:17" x14ac:dyDescent="0.45">
      <c r="A70" s="10" t="s">
        <v>1099</v>
      </c>
      <c r="B70" s="10" t="s">
        <v>1100</v>
      </c>
      <c r="C70" s="14" t="e">
        <f ca="1">_xll.BDH("ANSS US Equity","NUM_COMPENSATION_CMTE_MTG","FY 2009","FY 2009","Currency=USD","Period=FY","BEST_FPERIOD_OVERRIDE=FY","FILING_STATUS=MR","Sort=A","Dates=H","DateFormat=P","Fill=—","Direction=H","UseDPDF=Y")</f>
        <v>#NAME?</v>
      </c>
      <c r="D70" s="14" t="e">
        <f ca="1">_xll.BDH("ANSS US Equity","NUM_COMPENSATION_CMTE_MTG","FY 2010","FY 2010","Currency=USD","Period=FY","BEST_FPERIOD_OVERRIDE=FY","FILING_STATUS=MR","Sort=A","Dates=H","DateFormat=P","Fill=—","Direction=H","UseDPDF=Y")</f>
        <v>#NAME?</v>
      </c>
      <c r="E70" s="14" t="e">
        <f ca="1">_xll.BDH("ANSS US Equity","NUM_COMPENSATION_CMTE_MTG","FY 2011","FY 2011","Currency=USD","Period=FY","BEST_FPERIOD_OVERRIDE=FY","FILING_STATUS=MR","Sort=A","Dates=H","DateFormat=P","Fill=—","Direction=H","UseDPDF=Y")</f>
        <v>#NAME?</v>
      </c>
      <c r="F70" s="14" t="e">
        <f ca="1">_xll.BDH("ANSS US Equity","NUM_COMPENSATION_CMTE_MTG","FY 2012","FY 2012","Currency=USD","Period=FY","BEST_FPERIOD_OVERRIDE=FY","FILING_STATUS=MR","Sort=A","Dates=H","DateFormat=P","Fill=—","Direction=H","UseDPDF=Y")</f>
        <v>#NAME?</v>
      </c>
      <c r="G70" s="14" t="e">
        <f ca="1">_xll.BDH("ANSS US Equity","NUM_COMPENSATION_CMTE_MTG","FY 2013","FY 2013","Currency=USD","Period=FY","BEST_FPERIOD_OVERRIDE=FY","FILING_STATUS=MR","Sort=A","Dates=H","DateFormat=P","Fill=—","Direction=H","UseDPDF=Y")</f>
        <v>#NAME?</v>
      </c>
      <c r="H70" s="14" t="e">
        <f ca="1">_xll.BDH("ANSS US Equity","NUM_COMPENSATION_CMTE_MTG","FY 2014","FY 2014","Currency=USD","Period=FY","BEST_FPERIOD_OVERRIDE=FY","FILING_STATUS=MR","Sort=A","Dates=H","DateFormat=P","Fill=—","Direction=H","UseDPDF=Y")</f>
        <v>#NAME?</v>
      </c>
      <c r="I70" s="14" t="e">
        <f ca="1">_xll.BDH("ANSS US Equity","NUM_COMPENSATION_CMTE_MTG","FY 2015","FY 2015","Currency=USD","Period=FY","BEST_FPERIOD_OVERRIDE=FY","FILING_STATUS=MR","Sort=A","Dates=H","DateFormat=P","Fill=—","Direction=H","UseDPDF=Y")</f>
        <v>#NAME?</v>
      </c>
      <c r="J70" s="14" t="e">
        <f ca="1">_xll.BDH("ANSS US Equity","NUM_COMPENSATION_CMTE_MTG","FY 2016","FY 2016","Currency=USD","Period=FY","BEST_FPERIOD_OVERRIDE=FY","FILING_STATUS=MR","Sort=A","Dates=H","DateFormat=P","Fill=—","Direction=H","UseDPDF=Y")</f>
        <v>#NAME?</v>
      </c>
      <c r="K70" s="14" t="e">
        <f ca="1">_xll.BDH("ANSS US Equity","NUM_COMPENSATION_CMTE_MTG","FY 2017","FY 2017","Currency=USD","Period=FY","BEST_FPERIOD_OVERRIDE=FY","FILING_STATUS=MR","Sort=A","Dates=H","DateFormat=P","Fill=—","Direction=H","UseDPDF=Y")</f>
        <v>#NAME?</v>
      </c>
      <c r="L70" s="14" t="e">
        <f ca="1">_xll.BDH("ANSS US Equity","NUM_COMPENSATION_CMTE_MTG","FY 2018","FY 2018","Currency=USD","Period=FY","BEST_FPERIOD_OVERRIDE=FY","FILING_STATUS=MR","Sort=A","Dates=H","DateFormat=P","Fill=—","Direction=H","UseDPDF=Y")</f>
        <v>#NAME?</v>
      </c>
      <c r="M70" s="14" t="e">
        <f ca="1">_xll.BDH("ANSS US Equity","NUM_COMPENSATION_CMTE_MTG","FY 2019","FY 2019","Currency=USD","Period=FY","BEST_FPERIOD_OVERRIDE=FY","FILING_STATUS=MR","Sort=A","Dates=H","DateFormat=P","Fill=—","Direction=H","UseDPDF=Y")</f>
        <v>#NAME?</v>
      </c>
      <c r="N70" s="14" t="e">
        <f ca="1">_xll.BDH("ANSS US Equity","NUM_COMPENSATION_CMTE_MTG","FY 2020","FY 2020","Currency=USD","Period=FY","BEST_FPERIOD_OVERRIDE=FY","FILING_STATUS=MR","Sort=A","Dates=H","DateFormat=P","Fill=—","Direction=H","UseDPDF=Y")</f>
        <v>#NAME?</v>
      </c>
      <c r="O70" s="14" t="e">
        <f ca="1">_xll.BDH("ANSS US Equity","NUM_COMPENSATION_CMTE_MTG","FY 2021","FY 2021","Currency=USD","Period=FY","BEST_FPERIOD_OVERRIDE=FY","FILING_STATUS=MR","Sort=A","Dates=H","DateFormat=P","Fill=—","Direction=H","UseDPDF=Y")</f>
        <v>#NAME?</v>
      </c>
      <c r="P70" s="14" t="e">
        <f ca="1">_xll.BDH("ANSS US Equity","NUM_COMPENSATION_CMTE_MTG","FY 2022","FY 2022","Currency=USD","Period=FY","BEST_FPERIOD_OVERRIDE=FY","FILING_STATUS=MR","Sort=A","Dates=H","DateFormat=P","Fill=—","Direction=H","UseDPDF=Y")</f>
        <v>#NAME?</v>
      </c>
      <c r="Q70" s="14" t="e">
        <f ca="1">_xll.BDH("ANSS US Equity","NUM_COMPENSATION_CMTE_MTG","FY 2023","FY 2023","Currency=USD","Period=FY","BEST_FPERIOD_OVERRIDE=FY","FILING_STATUS=MR","Sort=A","Dates=H","DateFormat=P","Fill=—","Direction=H","UseDPDF=Y")</f>
        <v>#NAME?</v>
      </c>
    </row>
    <row r="71" spans="1:17" x14ac:dyDescent="0.45">
      <c r="A71" s="10" t="s">
        <v>560</v>
      </c>
      <c r="B71" s="10" t="s">
        <v>561</v>
      </c>
      <c r="C71" s="14" t="e">
        <f ca="1">_xll.BDH("ANSS US Equity","COMPENSATION_CMTE_MTG_ATTEND_PCT","FY 2009","FY 2009","Currency=USD","Period=FY","BEST_FPERIOD_OVERRIDE=FY","FILING_STATUS=MR","Sort=A","Dates=H","DateFormat=P","Fill=—","Direction=H","UseDPDF=Y")</f>
        <v>#NAME?</v>
      </c>
      <c r="D71" s="14" t="e">
        <f ca="1">_xll.BDH("ANSS US Equity","COMPENSATION_CMTE_MTG_ATTEND_PCT","FY 2010","FY 2010","Currency=USD","Period=FY","BEST_FPERIOD_OVERRIDE=FY","FILING_STATUS=MR","Sort=A","Dates=H","DateFormat=P","Fill=—","Direction=H","UseDPDF=Y")</f>
        <v>#NAME?</v>
      </c>
      <c r="E71" s="14" t="e">
        <f ca="1">_xll.BDH("ANSS US Equity","COMPENSATION_CMTE_MTG_ATTEND_PCT","FY 2011","FY 2011","Currency=USD","Period=FY","BEST_FPERIOD_OVERRIDE=FY","FILING_STATUS=MR","Sort=A","Dates=H","DateFormat=P","Fill=—","Direction=H","UseDPDF=Y")</f>
        <v>#NAME?</v>
      </c>
      <c r="F71" s="14" t="e">
        <f ca="1">_xll.BDH("ANSS US Equity","COMPENSATION_CMTE_MTG_ATTEND_PCT","FY 2012","FY 2012","Currency=USD","Period=FY","BEST_FPERIOD_OVERRIDE=FY","FILING_STATUS=MR","Sort=A","Dates=H","DateFormat=P","Fill=—","Direction=H","UseDPDF=Y")</f>
        <v>#NAME?</v>
      </c>
      <c r="G71" s="14" t="e">
        <f ca="1">_xll.BDH("ANSS US Equity","COMPENSATION_CMTE_MTG_ATTEND_PCT","FY 2013","FY 2013","Currency=USD","Period=FY","BEST_FPERIOD_OVERRIDE=FY","FILING_STATUS=MR","Sort=A","Dates=H","DateFormat=P","Fill=—","Direction=H","UseDPDF=Y")</f>
        <v>#NAME?</v>
      </c>
      <c r="H71" s="14" t="e">
        <f ca="1">_xll.BDH("ANSS US Equity","COMPENSATION_CMTE_MTG_ATTEND_PCT","FY 2014","FY 2014","Currency=USD","Period=FY","BEST_FPERIOD_OVERRIDE=FY","FILING_STATUS=MR","Sort=A","Dates=H","DateFormat=P","Fill=—","Direction=H","UseDPDF=Y")</f>
        <v>#NAME?</v>
      </c>
      <c r="I71" s="14" t="e">
        <f ca="1">_xll.BDH("ANSS US Equity","COMPENSATION_CMTE_MTG_ATTEND_PCT","FY 2015","FY 2015","Currency=USD","Period=FY","BEST_FPERIOD_OVERRIDE=FY","FILING_STATUS=MR","Sort=A","Dates=H","DateFormat=P","Fill=—","Direction=H","UseDPDF=Y")</f>
        <v>#NAME?</v>
      </c>
      <c r="J71" s="14" t="e">
        <f ca="1">_xll.BDH("ANSS US Equity","COMPENSATION_CMTE_MTG_ATTEND_PCT","FY 2016","FY 2016","Currency=USD","Period=FY","BEST_FPERIOD_OVERRIDE=FY","FILING_STATUS=MR","Sort=A","Dates=H","DateFormat=P","Fill=—","Direction=H","UseDPDF=Y")</f>
        <v>#NAME?</v>
      </c>
      <c r="K71" s="14" t="e">
        <f ca="1">_xll.BDH("ANSS US Equity","COMPENSATION_CMTE_MTG_ATTEND_PCT","FY 2017","FY 2017","Currency=USD","Period=FY","BEST_FPERIOD_OVERRIDE=FY","FILING_STATUS=MR","Sort=A","Dates=H","DateFormat=P","Fill=—","Direction=H","UseDPDF=Y")</f>
        <v>#NAME?</v>
      </c>
      <c r="L71" s="14" t="e">
        <f ca="1">_xll.BDH("ANSS US Equity","COMPENSATION_CMTE_MTG_ATTEND_PCT","FY 2018","FY 2018","Currency=USD","Period=FY","BEST_FPERIOD_OVERRIDE=FY","FILING_STATUS=MR","Sort=A","Dates=H","DateFormat=P","Fill=—","Direction=H","UseDPDF=Y")</f>
        <v>#NAME?</v>
      </c>
      <c r="M71" s="14" t="e">
        <f ca="1">_xll.BDH("ANSS US Equity","COMPENSATION_CMTE_MTG_ATTEND_PCT","FY 2019","FY 2019","Currency=USD","Period=FY","BEST_FPERIOD_OVERRIDE=FY","FILING_STATUS=MR","Sort=A","Dates=H","DateFormat=P","Fill=—","Direction=H","UseDPDF=Y")</f>
        <v>#NAME?</v>
      </c>
      <c r="N71" s="14" t="e">
        <f ca="1">_xll.BDH("ANSS US Equity","COMPENSATION_CMTE_MTG_ATTEND_PCT","FY 2020","FY 2020","Currency=USD","Period=FY","BEST_FPERIOD_OVERRIDE=FY","FILING_STATUS=MR","Sort=A","Dates=H","DateFormat=P","Fill=—","Direction=H","UseDPDF=Y")</f>
        <v>#NAME?</v>
      </c>
      <c r="O71" s="14" t="e">
        <f ca="1">_xll.BDH("ANSS US Equity","COMPENSATION_CMTE_MTG_ATTEND_PCT","FY 2021","FY 2021","Currency=USD","Period=FY","BEST_FPERIOD_OVERRIDE=FY","FILING_STATUS=MR","Sort=A","Dates=H","DateFormat=P","Fill=—","Direction=H","UseDPDF=Y")</f>
        <v>#NAME?</v>
      </c>
      <c r="P71" s="14" t="e">
        <f ca="1">_xll.BDH("ANSS US Equity","COMPENSATION_CMTE_MTG_ATTEND_PCT","FY 2022","FY 2022","Currency=USD","Period=FY","BEST_FPERIOD_OVERRIDE=FY","FILING_STATUS=MR","Sort=A","Dates=H","DateFormat=P","Fill=—","Direction=H","UseDPDF=Y")</f>
        <v>#NAME?</v>
      </c>
      <c r="Q71" s="14" t="e">
        <f ca="1">_xll.BDH("ANSS US Equity","COMPENSATION_CMTE_MTG_ATTEND_PCT","FY 2023","FY 2023","Currency=USD","Period=FY","BEST_FPERIOD_OVERRIDE=FY","FILING_STATUS=MR","Sort=A","Dates=H","DateFormat=P","Fill=—","Direction=H","UseDPDF=Y")</f>
        <v>#NAME?</v>
      </c>
    </row>
    <row r="72" spans="1:17" x14ac:dyDescent="0.45">
      <c r="A72" s="10" t="s">
        <v>1101</v>
      </c>
      <c r="B72" s="10" t="s">
        <v>1102</v>
      </c>
      <c r="C72" s="12" t="s">
        <v>684</v>
      </c>
      <c r="D72" s="12" t="s">
        <v>684</v>
      </c>
      <c r="E72" s="12" t="s">
        <v>684</v>
      </c>
      <c r="F72" s="12" t="s">
        <v>684</v>
      </c>
      <c r="G72" s="12" t="s">
        <v>684</v>
      </c>
      <c r="H72" s="12" t="s">
        <v>684</v>
      </c>
      <c r="I72" s="12" t="s">
        <v>684</v>
      </c>
      <c r="J72" s="12" t="s">
        <v>684</v>
      </c>
      <c r="K72" s="12" t="s">
        <v>684</v>
      </c>
      <c r="L72" s="12" t="s">
        <v>684</v>
      </c>
      <c r="M72" s="12" t="s">
        <v>684</v>
      </c>
      <c r="N72" s="12" t="s">
        <v>684</v>
      </c>
      <c r="O72" s="12" t="s">
        <v>684</v>
      </c>
      <c r="P72" s="12" t="s">
        <v>684</v>
      </c>
      <c r="Q72" s="12" t="s">
        <v>684</v>
      </c>
    </row>
    <row r="73" spans="1:17" x14ac:dyDescent="0.45">
      <c r="A73" s="10" t="s">
        <v>1103</v>
      </c>
      <c r="B73" s="10" t="s">
        <v>1104</v>
      </c>
      <c r="C73" s="14" t="e">
        <f ca="1">_xll.BDH("ANSS US Equity","EXEC_COM_CONSULTANT_SVC_PROVIDED","FY 2009","FY 2009","Currency=USD","Period=FY","BEST_FPERIOD_OVERRIDE=FY","FILING_STATUS=MR","Sort=A","Dates=H","DateFormat=P","Fill=—","Direction=H","UseDPDF=Y")</f>
        <v>#NAME?</v>
      </c>
      <c r="D73" s="14" t="e">
        <f ca="1">_xll.BDH("ANSS US Equity","EXEC_COM_CONSULTANT_SVC_PROVIDED","FY 2010","FY 2010","Currency=USD","Period=FY","BEST_FPERIOD_OVERRIDE=FY","FILING_STATUS=MR","Sort=A","Dates=H","DateFormat=P","Fill=—","Direction=H","UseDPDF=Y")</f>
        <v>#NAME?</v>
      </c>
      <c r="E73" s="14" t="e">
        <f ca="1">_xll.BDH("ANSS US Equity","EXEC_COM_CONSULTANT_SVC_PROVIDED","FY 2011","FY 2011","Currency=USD","Period=FY","BEST_FPERIOD_OVERRIDE=FY","FILING_STATUS=MR","Sort=A","Dates=H","DateFormat=P","Fill=—","Direction=H","UseDPDF=Y")</f>
        <v>#NAME?</v>
      </c>
      <c r="F73" s="14" t="e">
        <f ca="1">_xll.BDH("ANSS US Equity","EXEC_COM_CONSULTANT_SVC_PROVIDED","FY 2012","FY 2012","Currency=USD","Period=FY","BEST_FPERIOD_OVERRIDE=FY","FILING_STATUS=MR","Sort=A","Dates=H","DateFormat=P","Fill=—","Direction=H","UseDPDF=Y")</f>
        <v>#NAME?</v>
      </c>
      <c r="G73" s="14" t="e">
        <f ca="1">_xll.BDH("ANSS US Equity","EXEC_COM_CONSULTANT_SVC_PROVIDED","FY 2013","FY 2013","Currency=USD","Period=FY","BEST_FPERIOD_OVERRIDE=FY","FILING_STATUS=MR","Sort=A","Dates=H","DateFormat=P","Fill=—","Direction=H","UseDPDF=Y")</f>
        <v>#NAME?</v>
      </c>
      <c r="H73" s="14" t="e">
        <f ca="1">_xll.BDH("ANSS US Equity","EXEC_COM_CONSULTANT_SVC_PROVIDED","FY 2014","FY 2014","Currency=USD","Period=FY","BEST_FPERIOD_OVERRIDE=FY","FILING_STATUS=MR","Sort=A","Dates=H","DateFormat=P","Fill=—","Direction=H","UseDPDF=Y")</f>
        <v>#NAME?</v>
      </c>
      <c r="I73" s="14" t="e">
        <f ca="1">_xll.BDH("ANSS US Equity","EXEC_COM_CONSULTANT_SVC_PROVIDED","FY 2015","FY 2015","Currency=USD","Period=FY","BEST_FPERIOD_OVERRIDE=FY","FILING_STATUS=MR","Sort=A","Dates=H","DateFormat=P","Fill=—","Direction=H","UseDPDF=Y")</f>
        <v>#NAME?</v>
      </c>
      <c r="J73" s="14" t="e">
        <f ca="1">_xll.BDH("ANSS US Equity","EXEC_COM_CONSULTANT_SVC_PROVIDED","FY 2016","FY 2016","Currency=USD","Period=FY","BEST_FPERIOD_OVERRIDE=FY","FILING_STATUS=MR","Sort=A","Dates=H","DateFormat=P","Fill=—","Direction=H","UseDPDF=Y")</f>
        <v>#NAME?</v>
      </c>
      <c r="K73" s="14" t="e">
        <f ca="1">_xll.BDH("ANSS US Equity","EXEC_COM_CONSULTANT_SVC_PROVIDED","FY 2017","FY 2017","Currency=USD","Period=FY","BEST_FPERIOD_OVERRIDE=FY","FILING_STATUS=MR","Sort=A","Dates=H","DateFormat=P","Fill=—","Direction=H","UseDPDF=Y")</f>
        <v>#NAME?</v>
      </c>
      <c r="L73" s="14" t="e">
        <f ca="1">_xll.BDH("ANSS US Equity","EXEC_COM_CONSULTANT_SVC_PROVIDED","FY 2018","FY 2018","Currency=USD","Period=FY","BEST_FPERIOD_OVERRIDE=FY","FILING_STATUS=MR","Sort=A","Dates=H","DateFormat=P","Fill=—","Direction=H","UseDPDF=Y")</f>
        <v>#NAME?</v>
      </c>
      <c r="M73" s="14" t="e">
        <f ca="1">_xll.BDH("ANSS US Equity","EXEC_COM_CONSULTANT_SVC_PROVIDED","FY 2019","FY 2019","Currency=USD","Period=FY","BEST_FPERIOD_OVERRIDE=FY","FILING_STATUS=MR","Sort=A","Dates=H","DateFormat=P","Fill=—","Direction=H","UseDPDF=Y")</f>
        <v>#NAME?</v>
      </c>
      <c r="N73" s="14" t="e">
        <f ca="1">_xll.BDH("ANSS US Equity","EXEC_COM_CONSULTANT_SVC_PROVIDED","FY 2020","FY 2020","Currency=USD","Period=FY","BEST_FPERIOD_OVERRIDE=FY","FILING_STATUS=MR","Sort=A","Dates=H","DateFormat=P","Fill=—","Direction=H","UseDPDF=Y")</f>
        <v>#NAME?</v>
      </c>
      <c r="O73" s="14" t="e">
        <f ca="1">_xll.BDH("ANSS US Equity","EXEC_COM_CONSULTANT_SVC_PROVIDED","FY 2021","FY 2021","Currency=USD","Period=FY","BEST_FPERIOD_OVERRIDE=FY","FILING_STATUS=MR","Sort=A","Dates=H","DateFormat=P","Fill=—","Direction=H","UseDPDF=Y")</f>
        <v>#NAME?</v>
      </c>
      <c r="P73" s="14" t="e">
        <f ca="1">_xll.BDH("ANSS US Equity","EXEC_COM_CONSULTANT_SVC_PROVIDED","FY 2022","FY 2022","Currency=USD","Period=FY","BEST_FPERIOD_OVERRIDE=FY","FILING_STATUS=MR","Sort=A","Dates=H","DateFormat=P","Fill=—","Direction=H","UseDPDF=Y")</f>
        <v>#NAME?</v>
      </c>
      <c r="Q73" s="14" t="e">
        <f ca="1">_xll.BDH("ANSS US Equity","EXEC_COM_CONSULTANT_SVC_PROVIDED","FY 2023","FY 2023","Currency=USD","Period=FY","BEST_FPERIOD_OVERRIDE=FY","FILING_STATUS=MR","Sort=A","Dates=H","DateFormat=P","Fill=—","Direction=H","UseDPDF=Y")</f>
        <v>#NAME?</v>
      </c>
    </row>
    <row r="74" spans="1:17" x14ac:dyDescent="0.45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x14ac:dyDescent="0.45">
      <c r="A75" s="10" t="s">
        <v>1105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x14ac:dyDescent="0.45">
      <c r="A76" s="10" t="s">
        <v>1106</v>
      </c>
      <c r="B76" s="10" t="s">
        <v>1107</v>
      </c>
      <c r="C76" s="14" t="e">
        <f ca="1">_xll.BDH("ANSS US Equity","SIZE_OF_NOMINATION_COMMITTEE","FY 2009","FY 2009","Currency=USD","Period=FY","BEST_FPERIOD_OVERRIDE=FY","FILING_STATUS=MR","Sort=A","Dates=H","DateFormat=P","Fill=—","Direction=H","UseDPDF=Y")</f>
        <v>#NAME?</v>
      </c>
      <c r="D76" s="14" t="e">
        <f ca="1">_xll.BDH("ANSS US Equity","SIZE_OF_NOMINATION_COMMITTEE","FY 2010","FY 2010","Currency=USD","Period=FY","BEST_FPERIOD_OVERRIDE=FY","FILING_STATUS=MR","Sort=A","Dates=H","DateFormat=P","Fill=—","Direction=H","UseDPDF=Y")</f>
        <v>#NAME?</v>
      </c>
      <c r="E76" s="14" t="e">
        <f ca="1">_xll.BDH("ANSS US Equity","SIZE_OF_NOMINATION_COMMITTEE","FY 2011","FY 2011","Currency=USD","Period=FY","BEST_FPERIOD_OVERRIDE=FY","FILING_STATUS=MR","Sort=A","Dates=H","DateFormat=P","Fill=—","Direction=H","UseDPDF=Y")</f>
        <v>#NAME?</v>
      </c>
      <c r="F76" s="14" t="e">
        <f ca="1">_xll.BDH("ANSS US Equity","SIZE_OF_NOMINATION_COMMITTEE","FY 2012","FY 2012","Currency=USD","Period=FY","BEST_FPERIOD_OVERRIDE=FY","FILING_STATUS=MR","Sort=A","Dates=H","DateFormat=P","Fill=—","Direction=H","UseDPDF=Y")</f>
        <v>#NAME?</v>
      </c>
      <c r="G76" s="14" t="e">
        <f ca="1">_xll.BDH("ANSS US Equity","SIZE_OF_NOMINATION_COMMITTEE","FY 2013","FY 2013","Currency=USD","Period=FY","BEST_FPERIOD_OVERRIDE=FY","FILING_STATUS=MR","Sort=A","Dates=H","DateFormat=P","Fill=—","Direction=H","UseDPDF=Y")</f>
        <v>#NAME?</v>
      </c>
      <c r="H76" s="14" t="e">
        <f ca="1">_xll.BDH("ANSS US Equity","SIZE_OF_NOMINATION_COMMITTEE","FY 2014","FY 2014","Currency=USD","Period=FY","BEST_FPERIOD_OVERRIDE=FY","FILING_STATUS=MR","Sort=A","Dates=H","DateFormat=P","Fill=—","Direction=H","UseDPDF=Y")</f>
        <v>#NAME?</v>
      </c>
      <c r="I76" s="14" t="e">
        <f ca="1">_xll.BDH("ANSS US Equity","SIZE_OF_NOMINATION_COMMITTEE","FY 2015","FY 2015","Currency=USD","Period=FY","BEST_FPERIOD_OVERRIDE=FY","FILING_STATUS=MR","Sort=A","Dates=H","DateFormat=P","Fill=—","Direction=H","UseDPDF=Y")</f>
        <v>#NAME?</v>
      </c>
      <c r="J76" s="14" t="e">
        <f ca="1">_xll.BDH("ANSS US Equity","SIZE_OF_NOMINATION_COMMITTEE","FY 2016","FY 2016","Currency=USD","Period=FY","BEST_FPERIOD_OVERRIDE=FY","FILING_STATUS=MR","Sort=A","Dates=H","DateFormat=P","Fill=—","Direction=H","UseDPDF=Y")</f>
        <v>#NAME?</v>
      </c>
      <c r="K76" s="14" t="e">
        <f ca="1">_xll.BDH("ANSS US Equity","SIZE_OF_NOMINATION_COMMITTEE","FY 2017","FY 2017","Currency=USD","Period=FY","BEST_FPERIOD_OVERRIDE=FY","FILING_STATUS=MR","Sort=A","Dates=H","DateFormat=P","Fill=—","Direction=H","UseDPDF=Y")</f>
        <v>#NAME?</v>
      </c>
      <c r="L76" s="14" t="e">
        <f ca="1">_xll.BDH("ANSS US Equity","SIZE_OF_NOMINATION_COMMITTEE","FY 2018","FY 2018","Currency=USD","Period=FY","BEST_FPERIOD_OVERRIDE=FY","FILING_STATUS=MR","Sort=A","Dates=H","DateFormat=P","Fill=—","Direction=H","UseDPDF=Y")</f>
        <v>#NAME?</v>
      </c>
      <c r="M76" s="14" t="e">
        <f ca="1">_xll.BDH("ANSS US Equity","SIZE_OF_NOMINATION_COMMITTEE","FY 2019","FY 2019","Currency=USD","Period=FY","BEST_FPERIOD_OVERRIDE=FY","FILING_STATUS=MR","Sort=A","Dates=H","DateFormat=P","Fill=—","Direction=H","UseDPDF=Y")</f>
        <v>#NAME?</v>
      </c>
      <c r="N76" s="14" t="e">
        <f ca="1">_xll.BDH("ANSS US Equity","SIZE_OF_NOMINATION_COMMITTEE","FY 2020","FY 2020","Currency=USD","Period=FY","BEST_FPERIOD_OVERRIDE=FY","FILING_STATUS=MR","Sort=A","Dates=H","DateFormat=P","Fill=—","Direction=H","UseDPDF=Y")</f>
        <v>#NAME?</v>
      </c>
      <c r="O76" s="14" t="e">
        <f ca="1">_xll.BDH("ANSS US Equity","SIZE_OF_NOMINATION_COMMITTEE","FY 2021","FY 2021","Currency=USD","Period=FY","BEST_FPERIOD_OVERRIDE=FY","FILING_STATUS=MR","Sort=A","Dates=H","DateFormat=P","Fill=—","Direction=H","UseDPDF=Y")</f>
        <v>#NAME?</v>
      </c>
      <c r="P76" s="14" t="e">
        <f ca="1">_xll.BDH("ANSS US Equity","SIZE_OF_NOMINATION_COMMITTEE","FY 2022","FY 2022","Currency=USD","Period=FY","BEST_FPERIOD_OVERRIDE=FY","FILING_STATUS=MR","Sort=A","Dates=H","DateFormat=P","Fill=—","Direction=H","UseDPDF=Y")</f>
        <v>#NAME?</v>
      </c>
      <c r="Q76" s="14" t="e">
        <f ca="1">_xll.BDH("ANSS US Equity","SIZE_OF_NOMINATION_COMMITTEE","FY 2023","FY 2023","Currency=USD","Period=FY","BEST_FPERIOD_OVERRIDE=FY","FILING_STATUS=MR","Sort=A","Dates=H","DateFormat=P","Fill=—","Direction=H","UseDPDF=Y")</f>
        <v>#NAME?</v>
      </c>
    </row>
    <row r="77" spans="1:17" x14ac:dyDescent="0.45">
      <c r="A77" s="10" t="s">
        <v>1108</v>
      </c>
      <c r="B77" s="10" t="s">
        <v>1109</v>
      </c>
      <c r="C77" s="14" t="e">
        <f ca="1">_xll.BDH("ANSS US Equity","NUM_IND_DIR_ON_NOM_CMTE","FY 2009","FY 2009","Currency=USD","Period=FY","BEST_FPERIOD_OVERRIDE=FY","FILING_STATUS=MR","Sort=A","Dates=H","DateFormat=P","Fill=—","Direction=H","UseDPDF=Y")</f>
        <v>#NAME?</v>
      </c>
      <c r="D77" s="14" t="e">
        <f ca="1">_xll.BDH("ANSS US Equity","NUM_IND_DIR_ON_NOM_CMTE","FY 2010","FY 2010","Currency=USD","Period=FY","BEST_FPERIOD_OVERRIDE=FY","FILING_STATUS=MR","Sort=A","Dates=H","DateFormat=P","Fill=—","Direction=H","UseDPDF=Y")</f>
        <v>#NAME?</v>
      </c>
      <c r="E77" s="14" t="e">
        <f ca="1">_xll.BDH("ANSS US Equity","NUM_IND_DIR_ON_NOM_CMTE","FY 2011","FY 2011","Currency=USD","Period=FY","BEST_FPERIOD_OVERRIDE=FY","FILING_STATUS=MR","Sort=A","Dates=H","DateFormat=P","Fill=—","Direction=H","UseDPDF=Y")</f>
        <v>#NAME?</v>
      </c>
      <c r="F77" s="14" t="e">
        <f ca="1">_xll.BDH("ANSS US Equity","NUM_IND_DIR_ON_NOM_CMTE","FY 2012","FY 2012","Currency=USD","Period=FY","BEST_FPERIOD_OVERRIDE=FY","FILING_STATUS=MR","Sort=A","Dates=H","DateFormat=P","Fill=—","Direction=H","UseDPDF=Y")</f>
        <v>#NAME?</v>
      </c>
      <c r="G77" s="14" t="e">
        <f ca="1">_xll.BDH("ANSS US Equity","NUM_IND_DIR_ON_NOM_CMTE","FY 2013","FY 2013","Currency=USD","Period=FY","BEST_FPERIOD_OVERRIDE=FY","FILING_STATUS=MR","Sort=A","Dates=H","DateFormat=P","Fill=—","Direction=H","UseDPDF=Y")</f>
        <v>#NAME?</v>
      </c>
      <c r="H77" s="14" t="e">
        <f ca="1">_xll.BDH("ANSS US Equity","NUM_IND_DIR_ON_NOM_CMTE","FY 2014","FY 2014","Currency=USD","Period=FY","BEST_FPERIOD_OVERRIDE=FY","FILING_STATUS=MR","Sort=A","Dates=H","DateFormat=P","Fill=—","Direction=H","UseDPDF=Y")</f>
        <v>#NAME?</v>
      </c>
      <c r="I77" s="14" t="e">
        <f ca="1">_xll.BDH("ANSS US Equity","NUM_IND_DIR_ON_NOM_CMTE","FY 2015","FY 2015","Currency=USD","Period=FY","BEST_FPERIOD_OVERRIDE=FY","FILING_STATUS=MR","Sort=A","Dates=H","DateFormat=P","Fill=—","Direction=H","UseDPDF=Y")</f>
        <v>#NAME?</v>
      </c>
      <c r="J77" s="14" t="e">
        <f ca="1">_xll.BDH("ANSS US Equity","NUM_IND_DIR_ON_NOM_CMTE","FY 2016","FY 2016","Currency=USD","Period=FY","BEST_FPERIOD_OVERRIDE=FY","FILING_STATUS=MR","Sort=A","Dates=H","DateFormat=P","Fill=—","Direction=H","UseDPDF=Y")</f>
        <v>#NAME?</v>
      </c>
      <c r="K77" s="14" t="e">
        <f ca="1">_xll.BDH("ANSS US Equity","NUM_IND_DIR_ON_NOM_CMTE","FY 2017","FY 2017","Currency=USD","Period=FY","BEST_FPERIOD_OVERRIDE=FY","FILING_STATUS=MR","Sort=A","Dates=H","DateFormat=P","Fill=—","Direction=H","UseDPDF=Y")</f>
        <v>#NAME?</v>
      </c>
      <c r="L77" s="14" t="e">
        <f ca="1">_xll.BDH("ANSS US Equity","NUM_IND_DIR_ON_NOM_CMTE","FY 2018","FY 2018","Currency=USD","Period=FY","BEST_FPERIOD_OVERRIDE=FY","FILING_STATUS=MR","Sort=A","Dates=H","DateFormat=P","Fill=—","Direction=H","UseDPDF=Y")</f>
        <v>#NAME?</v>
      </c>
      <c r="M77" s="14" t="e">
        <f ca="1">_xll.BDH("ANSS US Equity","NUM_IND_DIR_ON_NOM_CMTE","FY 2019","FY 2019","Currency=USD","Period=FY","BEST_FPERIOD_OVERRIDE=FY","FILING_STATUS=MR","Sort=A","Dates=H","DateFormat=P","Fill=—","Direction=H","UseDPDF=Y")</f>
        <v>#NAME?</v>
      </c>
      <c r="N77" s="14" t="e">
        <f ca="1">_xll.BDH("ANSS US Equity","NUM_IND_DIR_ON_NOM_CMTE","FY 2020","FY 2020","Currency=USD","Period=FY","BEST_FPERIOD_OVERRIDE=FY","FILING_STATUS=MR","Sort=A","Dates=H","DateFormat=P","Fill=—","Direction=H","UseDPDF=Y")</f>
        <v>#NAME?</v>
      </c>
      <c r="O77" s="14" t="e">
        <f ca="1">_xll.BDH("ANSS US Equity","NUM_IND_DIR_ON_NOM_CMTE","FY 2021","FY 2021","Currency=USD","Period=FY","BEST_FPERIOD_OVERRIDE=FY","FILING_STATUS=MR","Sort=A","Dates=H","DateFormat=P","Fill=—","Direction=H","UseDPDF=Y")</f>
        <v>#NAME?</v>
      </c>
      <c r="P77" s="14" t="e">
        <f ca="1">_xll.BDH("ANSS US Equity","NUM_IND_DIR_ON_NOM_CMTE","FY 2022","FY 2022","Currency=USD","Period=FY","BEST_FPERIOD_OVERRIDE=FY","FILING_STATUS=MR","Sort=A","Dates=H","DateFormat=P","Fill=—","Direction=H","UseDPDF=Y")</f>
        <v>#NAME?</v>
      </c>
      <c r="Q77" s="14" t="e">
        <f ca="1">_xll.BDH("ANSS US Equity","NUM_IND_DIR_ON_NOM_CMTE","FY 2023","FY 2023","Currency=USD","Period=FY","BEST_FPERIOD_OVERRIDE=FY","FILING_STATUS=MR","Sort=A","Dates=H","DateFormat=P","Fill=—","Direction=H","UseDPDF=Y")</f>
        <v>#NAME?</v>
      </c>
    </row>
    <row r="78" spans="1:17" x14ac:dyDescent="0.45">
      <c r="A78" s="10" t="s">
        <v>562</v>
      </c>
      <c r="B78" s="10" t="s">
        <v>563</v>
      </c>
      <c r="C78" s="14" t="e">
        <f ca="1">_xll.BDH("ANSS US Equity","PCT_OF_IND_DIRECTORS_ON_NOM_CMTE","FY 2009","FY 2009","Currency=USD","Period=FY","BEST_FPERIOD_OVERRIDE=FY","FILING_STATUS=MR","Sort=A","Dates=H","DateFormat=P","Fill=—","Direction=H","UseDPDF=Y")</f>
        <v>#NAME?</v>
      </c>
      <c r="D78" s="14" t="e">
        <f ca="1">_xll.BDH("ANSS US Equity","PCT_OF_IND_DIRECTORS_ON_NOM_CMTE","FY 2010","FY 2010","Currency=USD","Period=FY","BEST_FPERIOD_OVERRIDE=FY","FILING_STATUS=MR","Sort=A","Dates=H","DateFormat=P","Fill=—","Direction=H","UseDPDF=Y")</f>
        <v>#NAME?</v>
      </c>
      <c r="E78" s="14" t="e">
        <f ca="1">_xll.BDH("ANSS US Equity","PCT_OF_IND_DIRECTORS_ON_NOM_CMTE","FY 2011","FY 2011","Currency=USD","Period=FY","BEST_FPERIOD_OVERRIDE=FY","FILING_STATUS=MR","Sort=A","Dates=H","DateFormat=P","Fill=—","Direction=H","UseDPDF=Y")</f>
        <v>#NAME?</v>
      </c>
      <c r="F78" s="14" t="e">
        <f ca="1">_xll.BDH("ANSS US Equity","PCT_OF_IND_DIRECTORS_ON_NOM_CMTE","FY 2012","FY 2012","Currency=USD","Period=FY","BEST_FPERIOD_OVERRIDE=FY","FILING_STATUS=MR","Sort=A","Dates=H","DateFormat=P","Fill=—","Direction=H","UseDPDF=Y")</f>
        <v>#NAME?</v>
      </c>
      <c r="G78" s="14" t="e">
        <f ca="1">_xll.BDH("ANSS US Equity","PCT_OF_IND_DIRECTORS_ON_NOM_CMTE","FY 2013","FY 2013","Currency=USD","Period=FY","BEST_FPERIOD_OVERRIDE=FY","FILING_STATUS=MR","Sort=A","Dates=H","DateFormat=P","Fill=—","Direction=H","UseDPDF=Y")</f>
        <v>#NAME?</v>
      </c>
      <c r="H78" s="14" t="e">
        <f ca="1">_xll.BDH("ANSS US Equity","PCT_OF_IND_DIRECTORS_ON_NOM_CMTE","FY 2014","FY 2014","Currency=USD","Period=FY","BEST_FPERIOD_OVERRIDE=FY","FILING_STATUS=MR","Sort=A","Dates=H","DateFormat=P","Fill=—","Direction=H","UseDPDF=Y")</f>
        <v>#NAME?</v>
      </c>
      <c r="I78" s="14" t="e">
        <f ca="1">_xll.BDH("ANSS US Equity","PCT_OF_IND_DIRECTORS_ON_NOM_CMTE","FY 2015","FY 2015","Currency=USD","Period=FY","BEST_FPERIOD_OVERRIDE=FY","FILING_STATUS=MR","Sort=A","Dates=H","DateFormat=P","Fill=—","Direction=H","UseDPDF=Y")</f>
        <v>#NAME?</v>
      </c>
      <c r="J78" s="14" t="e">
        <f ca="1">_xll.BDH("ANSS US Equity","PCT_OF_IND_DIRECTORS_ON_NOM_CMTE","FY 2016","FY 2016","Currency=USD","Period=FY","BEST_FPERIOD_OVERRIDE=FY","FILING_STATUS=MR","Sort=A","Dates=H","DateFormat=P","Fill=—","Direction=H","UseDPDF=Y")</f>
        <v>#NAME?</v>
      </c>
      <c r="K78" s="14" t="e">
        <f ca="1">_xll.BDH("ANSS US Equity","PCT_OF_IND_DIRECTORS_ON_NOM_CMTE","FY 2017","FY 2017","Currency=USD","Period=FY","BEST_FPERIOD_OVERRIDE=FY","FILING_STATUS=MR","Sort=A","Dates=H","DateFormat=P","Fill=—","Direction=H","UseDPDF=Y")</f>
        <v>#NAME?</v>
      </c>
      <c r="L78" s="14" t="e">
        <f ca="1">_xll.BDH("ANSS US Equity","PCT_OF_IND_DIRECTORS_ON_NOM_CMTE","FY 2018","FY 2018","Currency=USD","Period=FY","BEST_FPERIOD_OVERRIDE=FY","FILING_STATUS=MR","Sort=A","Dates=H","DateFormat=P","Fill=—","Direction=H","UseDPDF=Y")</f>
        <v>#NAME?</v>
      </c>
      <c r="M78" s="14" t="e">
        <f ca="1">_xll.BDH("ANSS US Equity","PCT_OF_IND_DIRECTORS_ON_NOM_CMTE","FY 2019","FY 2019","Currency=USD","Period=FY","BEST_FPERIOD_OVERRIDE=FY","FILING_STATUS=MR","Sort=A","Dates=H","DateFormat=P","Fill=—","Direction=H","UseDPDF=Y")</f>
        <v>#NAME?</v>
      </c>
      <c r="N78" s="14" t="e">
        <f ca="1">_xll.BDH("ANSS US Equity","PCT_OF_IND_DIRECTORS_ON_NOM_CMTE","FY 2020","FY 2020","Currency=USD","Period=FY","BEST_FPERIOD_OVERRIDE=FY","FILING_STATUS=MR","Sort=A","Dates=H","DateFormat=P","Fill=—","Direction=H","UseDPDF=Y")</f>
        <v>#NAME?</v>
      </c>
      <c r="O78" s="14" t="e">
        <f ca="1">_xll.BDH("ANSS US Equity","PCT_OF_IND_DIRECTORS_ON_NOM_CMTE","FY 2021","FY 2021","Currency=USD","Period=FY","BEST_FPERIOD_OVERRIDE=FY","FILING_STATUS=MR","Sort=A","Dates=H","DateFormat=P","Fill=—","Direction=H","UseDPDF=Y")</f>
        <v>#NAME?</v>
      </c>
      <c r="P78" s="14" t="e">
        <f ca="1">_xll.BDH("ANSS US Equity","PCT_OF_IND_DIRECTORS_ON_NOM_CMTE","FY 2022","FY 2022","Currency=USD","Period=FY","BEST_FPERIOD_OVERRIDE=FY","FILING_STATUS=MR","Sort=A","Dates=H","DateFormat=P","Fill=—","Direction=H","UseDPDF=Y")</f>
        <v>#NAME?</v>
      </c>
      <c r="Q78" s="14" t="e">
        <f ca="1">_xll.BDH("ANSS US Equity","PCT_OF_IND_DIRECTORS_ON_NOM_CMTE","FY 2023","FY 2023","Currency=USD","Period=FY","BEST_FPERIOD_OVERRIDE=FY","FILING_STATUS=MR","Sort=A","Dates=H","DateFormat=P","Fill=—","Direction=H","UseDPDF=Y")</f>
        <v>#NAME?</v>
      </c>
    </row>
    <row r="79" spans="1:17" x14ac:dyDescent="0.45">
      <c r="A79" s="10" t="s">
        <v>1110</v>
      </c>
      <c r="B79" s="10" t="s">
        <v>1111</v>
      </c>
      <c r="C79" s="12" t="s">
        <v>684</v>
      </c>
      <c r="D79" s="12" t="s">
        <v>684</v>
      </c>
      <c r="E79" s="12" t="s">
        <v>684</v>
      </c>
      <c r="F79" s="12" t="s">
        <v>684</v>
      </c>
      <c r="G79" s="12" t="s">
        <v>684</v>
      </c>
      <c r="H79" s="12" t="s">
        <v>684</v>
      </c>
      <c r="I79" s="12" t="s">
        <v>684</v>
      </c>
      <c r="J79" s="12" t="s">
        <v>684</v>
      </c>
      <c r="K79" s="12" t="s">
        <v>684</v>
      </c>
      <c r="L79" s="12" t="s">
        <v>684</v>
      </c>
      <c r="M79" s="12" t="s">
        <v>684</v>
      </c>
      <c r="N79" s="12" t="s">
        <v>684</v>
      </c>
      <c r="O79" s="12" t="s">
        <v>684</v>
      </c>
      <c r="P79" s="12" t="s">
        <v>684</v>
      </c>
      <c r="Q79" s="12" t="s">
        <v>684</v>
      </c>
    </row>
    <row r="80" spans="1:17" x14ac:dyDescent="0.45">
      <c r="A80" s="10" t="s">
        <v>1112</v>
      </c>
      <c r="B80" s="10" t="s">
        <v>1113</v>
      </c>
      <c r="C80" s="14" t="e">
        <f ca="1">_xll.BDH("ANSS US Equity","NUM_OF_NON_EXEC_DIR_ON_NOM_CMTE","FY 2009","FY 2009","Currency=USD","Period=FY","BEST_FPERIOD_OVERRIDE=FY","FILING_STATUS=MR","Sort=A","Dates=H","DateFormat=P","Fill=—","Direction=H","UseDPDF=Y")</f>
        <v>#NAME?</v>
      </c>
      <c r="D80" s="14" t="e">
        <f ca="1">_xll.BDH("ANSS US Equity","NUM_OF_NON_EXEC_DIR_ON_NOM_CMTE","FY 2010","FY 2010","Currency=USD","Period=FY","BEST_FPERIOD_OVERRIDE=FY","FILING_STATUS=MR","Sort=A","Dates=H","DateFormat=P","Fill=—","Direction=H","UseDPDF=Y")</f>
        <v>#NAME?</v>
      </c>
      <c r="E80" s="14" t="e">
        <f ca="1">_xll.BDH("ANSS US Equity","NUM_OF_NON_EXEC_DIR_ON_NOM_CMTE","FY 2011","FY 2011","Currency=USD","Period=FY","BEST_FPERIOD_OVERRIDE=FY","FILING_STATUS=MR","Sort=A","Dates=H","DateFormat=P","Fill=—","Direction=H","UseDPDF=Y")</f>
        <v>#NAME?</v>
      </c>
      <c r="F80" s="14" t="e">
        <f ca="1">_xll.BDH("ANSS US Equity","NUM_OF_NON_EXEC_DIR_ON_NOM_CMTE","FY 2012","FY 2012","Currency=USD","Period=FY","BEST_FPERIOD_OVERRIDE=FY","FILING_STATUS=MR","Sort=A","Dates=H","DateFormat=P","Fill=—","Direction=H","UseDPDF=Y")</f>
        <v>#NAME?</v>
      </c>
      <c r="G80" s="14" t="e">
        <f ca="1">_xll.BDH("ANSS US Equity","NUM_OF_NON_EXEC_DIR_ON_NOM_CMTE","FY 2013","FY 2013","Currency=USD","Period=FY","BEST_FPERIOD_OVERRIDE=FY","FILING_STATUS=MR","Sort=A","Dates=H","DateFormat=P","Fill=—","Direction=H","UseDPDF=Y")</f>
        <v>#NAME?</v>
      </c>
      <c r="H80" s="14" t="e">
        <f ca="1">_xll.BDH("ANSS US Equity","NUM_OF_NON_EXEC_DIR_ON_NOM_CMTE","FY 2014","FY 2014","Currency=USD","Period=FY","BEST_FPERIOD_OVERRIDE=FY","FILING_STATUS=MR","Sort=A","Dates=H","DateFormat=P","Fill=—","Direction=H","UseDPDF=Y")</f>
        <v>#NAME?</v>
      </c>
      <c r="I80" s="14" t="e">
        <f ca="1">_xll.BDH("ANSS US Equity","NUM_OF_NON_EXEC_DIR_ON_NOM_CMTE","FY 2015","FY 2015","Currency=USD","Period=FY","BEST_FPERIOD_OVERRIDE=FY","FILING_STATUS=MR","Sort=A","Dates=H","DateFormat=P","Fill=—","Direction=H","UseDPDF=Y")</f>
        <v>#NAME?</v>
      </c>
      <c r="J80" s="14" t="e">
        <f ca="1">_xll.BDH("ANSS US Equity","NUM_OF_NON_EXEC_DIR_ON_NOM_CMTE","FY 2016","FY 2016","Currency=USD","Period=FY","BEST_FPERIOD_OVERRIDE=FY","FILING_STATUS=MR","Sort=A","Dates=H","DateFormat=P","Fill=—","Direction=H","UseDPDF=Y")</f>
        <v>#NAME?</v>
      </c>
      <c r="K80" s="14" t="e">
        <f ca="1">_xll.BDH("ANSS US Equity","NUM_OF_NON_EXEC_DIR_ON_NOM_CMTE","FY 2017","FY 2017","Currency=USD","Period=FY","BEST_FPERIOD_OVERRIDE=FY","FILING_STATUS=MR","Sort=A","Dates=H","DateFormat=P","Fill=—","Direction=H","UseDPDF=Y")</f>
        <v>#NAME?</v>
      </c>
      <c r="L80" s="14" t="e">
        <f ca="1">_xll.BDH("ANSS US Equity","NUM_OF_NON_EXEC_DIR_ON_NOM_CMTE","FY 2018","FY 2018","Currency=USD","Period=FY","BEST_FPERIOD_OVERRIDE=FY","FILING_STATUS=MR","Sort=A","Dates=H","DateFormat=P","Fill=—","Direction=H","UseDPDF=Y")</f>
        <v>#NAME?</v>
      </c>
      <c r="M80" s="14" t="e">
        <f ca="1">_xll.BDH("ANSS US Equity","NUM_OF_NON_EXEC_DIR_ON_NOM_CMTE","FY 2019","FY 2019","Currency=USD","Period=FY","BEST_FPERIOD_OVERRIDE=FY","FILING_STATUS=MR","Sort=A","Dates=H","DateFormat=P","Fill=—","Direction=H","UseDPDF=Y")</f>
        <v>#NAME?</v>
      </c>
      <c r="N80" s="14" t="e">
        <f ca="1">_xll.BDH("ANSS US Equity","NUM_OF_NON_EXEC_DIR_ON_NOM_CMTE","FY 2020","FY 2020","Currency=USD","Period=FY","BEST_FPERIOD_OVERRIDE=FY","FILING_STATUS=MR","Sort=A","Dates=H","DateFormat=P","Fill=—","Direction=H","UseDPDF=Y")</f>
        <v>#NAME?</v>
      </c>
      <c r="O80" s="14" t="e">
        <f ca="1">_xll.BDH("ANSS US Equity","NUM_OF_NON_EXEC_DIR_ON_NOM_CMTE","FY 2021","FY 2021","Currency=USD","Period=FY","BEST_FPERIOD_OVERRIDE=FY","FILING_STATUS=MR","Sort=A","Dates=H","DateFormat=P","Fill=—","Direction=H","UseDPDF=Y")</f>
        <v>#NAME?</v>
      </c>
      <c r="P80" s="14" t="e">
        <f ca="1">_xll.BDH("ANSS US Equity","NUM_OF_NON_EXEC_DIR_ON_NOM_CMTE","FY 2022","FY 2022","Currency=USD","Period=FY","BEST_FPERIOD_OVERRIDE=FY","FILING_STATUS=MR","Sort=A","Dates=H","DateFormat=P","Fill=—","Direction=H","UseDPDF=Y")</f>
        <v>#NAME?</v>
      </c>
      <c r="Q80" s="14" t="e">
        <f ca="1">_xll.BDH("ANSS US Equity","NUM_OF_NON_EXEC_DIR_ON_NOM_CMTE","FY 2023","FY 2023","Currency=USD","Period=FY","BEST_FPERIOD_OVERRIDE=FY","FILING_STATUS=MR","Sort=A","Dates=H","DateFormat=P","Fill=—","Direction=H","UseDPDF=Y")</f>
        <v>#NAME?</v>
      </c>
    </row>
    <row r="81" spans="1:17" x14ac:dyDescent="0.45">
      <c r="A81" s="10" t="s">
        <v>1114</v>
      </c>
      <c r="B81" s="10" t="s">
        <v>1115</v>
      </c>
      <c r="C81" s="14" t="e">
        <f ca="1">_xll.BDH("ANSS US Equity","NUM_OF_NOMINATION_CMTE_MTG","FY 2009","FY 2009","Currency=USD","Period=FY","BEST_FPERIOD_OVERRIDE=FY","FILING_STATUS=MR","Sort=A","Dates=H","DateFormat=P","Fill=—","Direction=H","UseDPDF=Y")</f>
        <v>#NAME?</v>
      </c>
      <c r="D81" s="14" t="e">
        <f ca="1">_xll.BDH("ANSS US Equity","NUM_OF_NOMINATION_CMTE_MTG","FY 2010","FY 2010","Currency=USD","Period=FY","BEST_FPERIOD_OVERRIDE=FY","FILING_STATUS=MR","Sort=A","Dates=H","DateFormat=P","Fill=—","Direction=H","UseDPDF=Y")</f>
        <v>#NAME?</v>
      </c>
      <c r="E81" s="14" t="e">
        <f ca="1">_xll.BDH("ANSS US Equity","NUM_OF_NOMINATION_CMTE_MTG","FY 2011","FY 2011","Currency=USD","Period=FY","BEST_FPERIOD_OVERRIDE=FY","FILING_STATUS=MR","Sort=A","Dates=H","DateFormat=P","Fill=—","Direction=H","UseDPDF=Y")</f>
        <v>#NAME?</v>
      </c>
      <c r="F81" s="14" t="e">
        <f ca="1">_xll.BDH("ANSS US Equity","NUM_OF_NOMINATION_CMTE_MTG","FY 2012","FY 2012","Currency=USD","Period=FY","BEST_FPERIOD_OVERRIDE=FY","FILING_STATUS=MR","Sort=A","Dates=H","DateFormat=P","Fill=—","Direction=H","UseDPDF=Y")</f>
        <v>#NAME?</v>
      </c>
      <c r="G81" s="14" t="e">
        <f ca="1">_xll.BDH("ANSS US Equity","NUM_OF_NOMINATION_CMTE_MTG","FY 2013","FY 2013","Currency=USD","Period=FY","BEST_FPERIOD_OVERRIDE=FY","FILING_STATUS=MR","Sort=A","Dates=H","DateFormat=P","Fill=—","Direction=H","UseDPDF=Y")</f>
        <v>#NAME?</v>
      </c>
      <c r="H81" s="14" t="e">
        <f ca="1">_xll.BDH("ANSS US Equity","NUM_OF_NOMINATION_CMTE_MTG","FY 2014","FY 2014","Currency=USD","Period=FY","BEST_FPERIOD_OVERRIDE=FY","FILING_STATUS=MR","Sort=A","Dates=H","DateFormat=P","Fill=—","Direction=H","UseDPDF=Y")</f>
        <v>#NAME?</v>
      </c>
      <c r="I81" s="14" t="e">
        <f ca="1">_xll.BDH("ANSS US Equity","NUM_OF_NOMINATION_CMTE_MTG","FY 2015","FY 2015","Currency=USD","Period=FY","BEST_FPERIOD_OVERRIDE=FY","FILING_STATUS=MR","Sort=A","Dates=H","DateFormat=P","Fill=—","Direction=H","UseDPDF=Y")</f>
        <v>#NAME?</v>
      </c>
      <c r="J81" s="14" t="e">
        <f ca="1">_xll.BDH("ANSS US Equity","NUM_OF_NOMINATION_CMTE_MTG","FY 2016","FY 2016","Currency=USD","Period=FY","BEST_FPERIOD_OVERRIDE=FY","FILING_STATUS=MR","Sort=A","Dates=H","DateFormat=P","Fill=—","Direction=H","UseDPDF=Y")</f>
        <v>#NAME?</v>
      </c>
      <c r="K81" s="14" t="e">
        <f ca="1">_xll.BDH("ANSS US Equity","NUM_OF_NOMINATION_CMTE_MTG","FY 2017","FY 2017","Currency=USD","Period=FY","BEST_FPERIOD_OVERRIDE=FY","FILING_STATUS=MR","Sort=A","Dates=H","DateFormat=P","Fill=—","Direction=H","UseDPDF=Y")</f>
        <v>#NAME?</v>
      </c>
      <c r="L81" s="14" t="e">
        <f ca="1">_xll.BDH("ANSS US Equity","NUM_OF_NOMINATION_CMTE_MTG","FY 2018","FY 2018","Currency=USD","Period=FY","BEST_FPERIOD_OVERRIDE=FY","FILING_STATUS=MR","Sort=A","Dates=H","DateFormat=P","Fill=—","Direction=H","UseDPDF=Y")</f>
        <v>#NAME?</v>
      </c>
      <c r="M81" s="14" t="e">
        <f ca="1">_xll.BDH("ANSS US Equity","NUM_OF_NOMINATION_CMTE_MTG","FY 2019","FY 2019","Currency=USD","Period=FY","BEST_FPERIOD_OVERRIDE=FY","FILING_STATUS=MR","Sort=A","Dates=H","DateFormat=P","Fill=—","Direction=H","UseDPDF=Y")</f>
        <v>#NAME?</v>
      </c>
      <c r="N81" s="14" t="e">
        <f ca="1">_xll.BDH("ANSS US Equity","NUM_OF_NOMINATION_CMTE_MTG","FY 2020","FY 2020","Currency=USD","Period=FY","BEST_FPERIOD_OVERRIDE=FY","FILING_STATUS=MR","Sort=A","Dates=H","DateFormat=P","Fill=—","Direction=H","UseDPDF=Y")</f>
        <v>#NAME?</v>
      </c>
      <c r="O81" s="14" t="e">
        <f ca="1">_xll.BDH("ANSS US Equity","NUM_OF_NOMINATION_CMTE_MTG","FY 2021","FY 2021","Currency=USD","Period=FY","BEST_FPERIOD_OVERRIDE=FY","FILING_STATUS=MR","Sort=A","Dates=H","DateFormat=P","Fill=—","Direction=H","UseDPDF=Y")</f>
        <v>#NAME?</v>
      </c>
      <c r="P81" s="14" t="e">
        <f ca="1">_xll.BDH("ANSS US Equity","NUM_OF_NOMINATION_CMTE_MTG","FY 2022","FY 2022","Currency=USD","Period=FY","BEST_FPERIOD_OVERRIDE=FY","FILING_STATUS=MR","Sort=A","Dates=H","DateFormat=P","Fill=—","Direction=H","UseDPDF=Y")</f>
        <v>#NAME?</v>
      </c>
      <c r="Q81" s="14" t="e">
        <f ca="1">_xll.BDH("ANSS US Equity","NUM_OF_NOMINATION_CMTE_MTG","FY 2023","FY 2023","Currency=USD","Period=FY","BEST_FPERIOD_OVERRIDE=FY","FILING_STATUS=MR","Sort=A","Dates=H","DateFormat=P","Fill=—","Direction=H","UseDPDF=Y")</f>
        <v>#NAME?</v>
      </c>
    </row>
    <row r="82" spans="1:17" x14ac:dyDescent="0.45">
      <c r="A82" s="10" t="s">
        <v>1116</v>
      </c>
      <c r="B82" s="10" t="s">
        <v>1117</v>
      </c>
      <c r="C82" s="14" t="e">
        <f ca="1">_xll.BDH("ANSS US Equity","NOMINATION_CMTE_MTG_ATTEND_PCT","FY 2009","FY 2009","Currency=USD","Period=FY","BEST_FPERIOD_OVERRIDE=FY","FILING_STATUS=MR","Sort=A","Dates=H","DateFormat=P","Fill=—","Direction=H","UseDPDF=Y")</f>
        <v>#NAME?</v>
      </c>
      <c r="D82" s="14" t="e">
        <f ca="1">_xll.BDH("ANSS US Equity","NOMINATION_CMTE_MTG_ATTEND_PCT","FY 2010","FY 2010","Currency=USD","Period=FY","BEST_FPERIOD_OVERRIDE=FY","FILING_STATUS=MR","Sort=A","Dates=H","DateFormat=P","Fill=—","Direction=H","UseDPDF=Y")</f>
        <v>#NAME?</v>
      </c>
      <c r="E82" s="14" t="e">
        <f ca="1">_xll.BDH("ANSS US Equity","NOMINATION_CMTE_MTG_ATTEND_PCT","FY 2011","FY 2011","Currency=USD","Period=FY","BEST_FPERIOD_OVERRIDE=FY","FILING_STATUS=MR","Sort=A","Dates=H","DateFormat=P","Fill=—","Direction=H","UseDPDF=Y")</f>
        <v>#NAME?</v>
      </c>
      <c r="F82" s="14" t="e">
        <f ca="1">_xll.BDH("ANSS US Equity","NOMINATION_CMTE_MTG_ATTEND_PCT","FY 2012","FY 2012","Currency=USD","Period=FY","BEST_FPERIOD_OVERRIDE=FY","FILING_STATUS=MR","Sort=A","Dates=H","DateFormat=P","Fill=—","Direction=H","UseDPDF=Y")</f>
        <v>#NAME?</v>
      </c>
      <c r="G82" s="14" t="e">
        <f ca="1">_xll.BDH("ANSS US Equity","NOMINATION_CMTE_MTG_ATTEND_PCT","FY 2013","FY 2013","Currency=USD","Period=FY","BEST_FPERIOD_OVERRIDE=FY","FILING_STATUS=MR","Sort=A","Dates=H","DateFormat=P","Fill=—","Direction=H","UseDPDF=Y")</f>
        <v>#NAME?</v>
      </c>
      <c r="H82" s="14" t="e">
        <f ca="1">_xll.BDH("ANSS US Equity","NOMINATION_CMTE_MTG_ATTEND_PCT","FY 2014","FY 2014","Currency=USD","Period=FY","BEST_FPERIOD_OVERRIDE=FY","FILING_STATUS=MR","Sort=A","Dates=H","DateFormat=P","Fill=—","Direction=H","UseDPDF=Y")</f>
        <v>#NAME?</v>
      </c>
      <c r="I82" s="14" t="e">
        <f ca="1">_xll.BDH("ANSS US Equity","NOMINATION_CMTE_MTG_ATTEND_PCT","FY 2015","FY 2015","Currency=USD","Period=FY","BEST_FPERIOD_OVERRIDE=FY","FILING_STATUS=MR","Sort=A","Dates=H","DateFormat=P","Fill=—","Direction=H","UseDPDF=Y")</f>
        <v>#NAME?</v>
      </c>
      <c r="J82" s="14" t="e">
        <f ca="1">_xll.BDH("ANSS US Equity","NOMINATION_CMTE_MTG_ATTEND_PCT","FY 2016","FY 2016","Currency=USD","Period=FY","BEST_FPERIOD_OVERRIDE=FY","FILING_STATUS=MR","Sort=A","Dates=H","DateFormat=P","Fill=—","Direction=H","UseDPDF=Y")</f>
        <v>#NAME?</v>
      </c>
      <c r="K82" s="14" t="e">
        <f ca="1">_xll.BDH("ANSS US Equity","NOMINATION_CMTE_MTG_ATTEND_PCT","FY 2017","FY 2017","Currency=USD","Period=FY","BEST_FPERIOD_OVERRIDE=FY","FILING_STATUS=MR","Sort=A","Dates=H","DateFormat=P","Fill=—","Direction=H","UseDPDF=Y")</f>
        <v>#NAME?</v>
      </c>
      <c r="L82" s="14" t="e">
        <f ca="1">_xll.BDH("ANSS US Equity","NOMINATION_CMTE_MTG_ATTEND_PCT","FY 2018","FY 2018","Currency=USD","Period=FY","BEST_FPERIOD_OVERRIDE=FY","FILING_STATUS=MR","Sort=A","Dates=H","DateFormat=P","Fill=—","Direction=H","UseDPDF=Y")</f>
        <v>#NAME?</v>
      </c>
      <c r="M82" s="14" t="e">
        <f ca="1">_xll.BDH("ANSS US Equity","NOMINATION_CMTE_MTG_ATTEND_PCT","FY 2019","FY 2019","Currency=USD","Period=FY","BEST_FPERIOD_OVERRIDE=FY","FILING_STATUS=MR","Sort=A","Dates=H","DateFormat=P","Fill=—","Direction=H","UseDPDF=Y")</f>
        <v>#NAME?</v>
      </c>
      <c r="N82" s="14" t="e">
        <f ca="1">_xll.BDH("ANSS US Equity","NOMINATION_CMTE_MTG_ATTEND_PCT","FY 2020","FY 2020","Currency=USD","Period=FY","BEST_FPERIOD_OVERRIDE=FY","FILING_STATUS=MR","Sort=A","Dates=H","DateFormat=P","Fill=—","Direction=H","UseDPDF=Y")</f>
        <v>#NAME?</v>
      </c>
      <c r="O82" s="14" t="e">
        <f ca="1">_xll.BDH("ANSS US Equity","NOMINATION_CMTE_MTG_ATTEND_PCT","FY 2021","FY 2021","Currency=USD","Period=FY","BEST_FPERIOD_OVERRIDE=FY","FILING_STATUS=MR","Sort=A","Dates=H","DateFormat=P","Fill=—","Direction=H","UseDPDF=Y")</f>
        <v>#NAME?</v>
      </c>
      <c r="P82" s="14" t="e">
        <f ca="1">_xll.BDH("ANSS US Equity","NOMINATION_CMTE_MTG_ATTEND_PCT","FY 2022","FY 2022","Currency=USD","Period=FY","BEST_FPERIOD_OVERRIDE=FY","FILING_STATUS=MR","Sort=A","Dates=H","DateFormat=P","Fill=—","Direction=H","UseDPDF=Y")</f>
        <v>#NAME?</v>
      </c>
      <c r="Q82" s="14" t="e">
        <f ca="1">_xll.BDH("ANSS US Equity","NOMINATION_CMTE_MTG_ATTEND_PCT","FY 2023","FY 2023","Currency=USD","Period=FY","BEST_FPERIOD_OVERRIDE=FY","FILING_STATUS=MR","Sort=A","Dates=H","DateFormat=P","Fill=—","Direction=H","UseDPDF=Y")</f>
        <v>#NAME?</v>
      </c>
    </row>
    <row r="83" spans="1:17" x14ac:dyDescent="0.45">
      <c r="A83" s="1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1:17" x14ac:dyDescent="0.45">
      <c r="A84" s="10" t="s">
        <v>1118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1:17" x14ac:dyDescent="0.45">
      <c r="A85" s="10" t="s">
        <v>1118</v>
      </c>
      <c r="B85" s="10" t="s">
        <v>1119</v>
      </c>
      <c r="C85" s="12" t="s">
        <v>687</v>
      </c>
      <c r="D85" s="12" t="s">
        <v>687</v>
      </c>
      <c r="E85" s="12" t="s">
        <v>687</v>
      </c>
      <c r="F85" s="12" t="s">
        <v>687</v>
      </c>
      <c r="G85" s="12" t="s">
        <v>687</v>
      </c>
      <c r="H85" s="12" t="s">
        <v>687</v>
      </c>
      <c r="I85" s="12" t="s">
        <v>687</v>
      </c>
      <c r="J85" s="12" t="s">
        <v>687</v>
      </c>
      <c r="K85" s="12" t="s">
        <v>687</v>
      </c>
      <c r="L85" s="12" t="s">
        <v>684</v>
      </c>
      <c r="M85" s="12" t="s">
        <v>684</v>
      </c>
      <c r="N85" s="12" t="s">
        <v>684</v>
      </c>
      <c r="O85" s="12" t="s">
        <v>684</v>
      </c>
      <c r="P85" s="12" t="s">
        <v>684</v>
      </c>
      <c r="Q85" s="12" t="s">
        <v>684</v>
      </c>
    </row>
    <row r="86" spans="1:17" x14ac:dyDescent="0.45">
      <c r="A86" s="10" t="s">
        <v>1120</v>
      </c>
      <c r="B86" s="10" t="s">
        <v>1121</v>
      </c>
      <c r="C86" s="14" t="e">
        <f ca="1">_xll.BDH("ANSS US Equity","SIZE_OF_CSR_SUSTAIN_COMMTTEE","FY 2009","FY 2009","Currency=USD","Period=FY","BEST_FPERIOD_OVERRIDE=FY","FILING_STATUS=MR","Sort=A","Dates=H","DateFormat=P","Fill=—","Direction=H","UseDPDF=Y")</f>
        <v>#NAME?</v>
      </c>
      <c r="D86" s="14" t="e">
        <f ca="1">_xll.BDH("ANSS US Equity","SIZE_OF_CSR_SUSTAIN_COMMTTEE","FY 2010","FY 2010","Currency=USD","Period=FY","BEST_FPERIOD_OVERRIDE=FY","FILING_STATUS=MR","Sort=A","Dates=H","DateFormat=P","Fill=—","Direction=H","UseDPDF=Y")</f>
        <v>#NAME?</v>
      </c>
      <c r="E86" s="14" t="e">
        <f ca="1">_xll.BDH("ANSS US Equity","SIZE_OF_CSR_SUSTAIN_COMMTTEE","FY 2011","FY 2011","Currency=USD","Period=FY","BEST_FPERIOD_OVERRIDE=FY","FILING_STATUS=MR","Sort=A","Dates=H","DateFormat=P","Fill=—","Direction=H","UseDPDF=Y")</f>
        <v>#NAME?</v>
      </c>
      <c r="F86" s="14" t="e">
        <f ca="1">_xll.BDH("ANSS US Equity","SIZE_OF_CSR_SUSTAIN_COMMTTEE","FY 2012","FY 2012","Currency=USD","Period=FY","BEST_FPERIOD_OVERRIDE=FY","FILING_STATUS=MR","Sort=A","Dates=H","DateFormat=P","Fill=—","Direction=H","UseDPDF=Y")</f>
        <v>#NAME?</v>
      </c>
      <c r="G86" s="14" t="e">
        <f ca="1">_xll.BDH("ANSS US Equity","SIZE_OF_CSR_SUSTAIN_COMMTTEE","FY 2013","FY 2013","Currency=USD","Period=FY","BEST_FPERIOD_OVERRIDE=FY","FILING_STATUS=MR","Sort=A","Dates=H","DateFormat=P","Fill=—","Direction=H","UseDPDF=Y")</f>
        <v>#NAME?</v>
      </c>
      <c r="H86" s="14" t="e">
        <f ca="1">_xll.BDH("ANSS US Equity","SIZE_OF_CSR_SUSTAIN_COMMTTEE","FY 2014","FY 2014","Currency=USD","Period=FY","BEST_FPERIOD_OVERRIDE=FY","FILING_STATUS=MR","Sort=A","Dates=H","DateFormat=P","Fill=—","Direction=H","UseDPDF=Y")</f>
        <v>#NAME?</v>
      </c>
      <c r="I86" s="14" t="e">
        <f ca="1">_xll.BDH("ANSS US Equity","SIZE_OF_CSR_SUSTAIN_COMMTTEE","FY 2015","FY 2015","Currency=USD","Period=FY","BEST_FPERIOD_OVERRIDE=FY","FILING_STATUS=MR","Sort=A","Dates=H","DateFormat=P","Fill=—","Direction=H","UseDPDF=Y")</f>
        <v>#NAME?</v>
      </c>
      <c r="J86" s="14" t="e">
        <f ca="1">_xll.BDH("ANSS US Equity","SIZE_OF_CSR_SUSTAIN_COMMTTEE","FY 2016","FY 2016","Currency=USD","Period=FY","BEST_FPERIOD_OVERRIDE=FY","FILING_STATUS=MR","Sort=A","Dates=H","DateFormat=P","Fill=—","Direction=H","UseDPDF=Y")</f>
        <v>#NAME?</v>
      </c>
      <c r="K86" s="14" t="e">
        <f ca="1">_xll.BDH("ANSS US Equity","SIZE_OF_CSR_SUSTAIN_COMMTTEE","FY 2017","FY 2017","Currency=USD","Period=FY","BEST_FPERIOD_OVERRIDE=FY","FILING_STATUS=MR","Sort=A","Dates=H","DateFormat=P","Fill=—","Direction=H","UseDPDF=Y")</f>
        <v>#NAME?</v>
      </c>
      <c r="L86" s="14" t="e">
        <f ca="1">_xll.BDH("ANSS US Equity","SIZE_OF_CSR_SUSTAIN_COMMTTEE","FY 2018","FY 2018","Currency=USD","Period=FY","BEST_FPERIOD_OVERRIDE=FY","FILING_STATUS=MR","Sort=A","Dates=H","DateFormat=P","Fill=—","Direction=H","UseDPDF=Y")</f>
        <v>#NAME?</v>
      </c>
      <c r="M86" s="14" t="e">
        <f ca="1">_xll.BDH("ANSS US Equity","SIZE_OF_CSR_SUSTAIN_COMMTTEE","FY 2019","FY 2019","Currency=USD","Period=FY","BEST_FPERIOD_OVERRIDE=FY","FILING_STATUS=MR","Sort=A","Dates=H","DateFormat=P","Fill=—","Direction=H","UseDPDF=Y")</f>
        <v>#NAME?</v>
      </c>
      <c r="N86" s="14" t="e">
        <f ca="1">_xll.BDH("ANSS US Equity","SIZE_OF_CSR_SUSTAIN_COMMTTEE","FY 2020","FY 2020","Currency=USD","Period=FY","BEST_FPERIOD_OVERRIDE=FY","FILING_STATUS=MR","Sort=A","Dates=H","DateFormat=P","Fill=—","Direction=H","UseDPDF=Y")</f>
        <v>#NAME?</v>
      </c>
      <c r="O86" s="14" t="e">
        <f ca="1">_xll.BDH("ANSS US Equity","SIZE_OF_CSR_SUSTAIN_COMMTTEE","FY 2021","FY 2021","Currency=USD","Period=FY","BEST_FPERIOD_OVERRIDE=FY","FILING_STATUS=MR","Sort=A","Dates=H","DateFormat=P","Fill=—","Direction=H","UseDPDF=Y")</f>
        <v>#NAME?</v>
      </c>
      <c r="P86" s="14" t="e">
        <f ca="1">_xll.BDH("ANSS US Equity","SIZE_OF_CSR_SUSTAIN_COMMTTEE","FY 2022","FY 2022","Currency=USD","Period=FY","BEST_FPERIOD_OVERRIDE=FY","FILING_STATUS=MR","Sort=A","Dates=H","DateFormat=P","Fill=—","Direction=H","UseDPDF=Y")</f>
        <v>#NAME?</v>
      </c>
      <c r="Q86" s="14" t="e">
        <f ca="1">_xll.BDH("ANSS US Equity","SIZE_OF_CSR_SUSTAIN_COMMTTEE","FY 2023","FY 2023","Currency=USD","Period=FY","BEST_FPERIOD_OVERRIDE=FY","FILING_STATUS=MR","Sort=A","Dates=H","DateFormat=P","Fill=—","Direction=H","UseDPDF=Y")</f>
        <v>#NAME?</v>
      </c>
    </row>
    <row r="87" spans="1:17" x14ac:dyDescent="0.45">
      <c r="A87" s="10" t="s">
        <v>1122</v>
      </c>
      <c r="B87" s="10" t="s">
        <v>1123</v>
      </c>
      <c r="C87" s="14" t="e">
        <f ca="1">_xll.BDH("ANSS US Equity","NUM_OF_INDEP_DIR_ON_CSR_CMTE","FY 2009","FY 2009","Currency=USD","Period=FY","BEST_FPERIOD_OVERRIDE=FY","FILING_STATUS=MR","Sort=A","Dates=H","DateFormat=P","Fill=—","Direction=H","UseDPDF=Y")</f>
        <v>#NAME?</v>
      </c>
      <c r="D87" s="14" t="e">
        <f ca="1">_xll.BDH("ANSS US Equity","NUM_OF_INDEP_DIR_ON_CSR_CMTE","FY 2010","FY 2010","Currency=USD","Period=FY","BEST_FPERIOD_OVERRIDE=FY","FILING_STATUS=MR","Sort=A","Dates=H","DateFormat=P","Fill=—","Direction=H","UseDPDF=Y")</f>
        <v>#NAME?</v>
      </c>
      <c r="E87" s="14" t="e">
        <f ca="1">_xll.BDH("ANSS US Equity","NUM_OF_INDEP_DIR_ON_CSR_CMTE","FY 2011","FY 2011","Currency=USD","Period=FY","BEST_FPERIOD_OVERRIDE=FY","FILING_STATUS=MR","Sort=A","Dates=H","DateFormat=P","Fill=—","Direction=H","UseDPDF=Y")</f>
        <v>#NAME?</v>
      </c>
      <c r="F87" s="14" t="e">
        <f ca="1">_xll.BDH("ANSS US Equity","NUM_OF_INDEP_DIR_ON_CSR_CMTE","FY 2012","FY 2012","Currency=USD","Period=FY","BEST_FPERIOD_OVERRIDE=FY","FILING_STATUS=MR","Sort=A","Dates=H","DateFormat=P","Fill=—","Direction=H","UseDPDF=Y")</f>
        <v>#NAME?</v>
      </c>
      <c r="G87" s="14" t="e">
        <f ca="1">_xll.BDH("ANSS US Equity","NUM_OF_INDEP_DIR_ON_CSR_CMTE","FY 2013","FY 2013","Currency=USD","Period=FY","BEST_FPERIOD_OVERRIDE=FY","FILING_STATUS=MR","Sort=A","Dates=H","DateFormat=P","Fill=—","Direction=H","UseDPDF=Y")</f>
        <v>#NAME?</v>
      </c>
      <c r="H87" s="14" t="e">
        <f ca="1">_xll.BDH("ANSS US Equity","NUM_OF_INDEP_DIR_ON_CSR_CMTE","FY 2014","FY 2014","Currency=USD","Period=FY","BEST_FPERIOD_OVERRIDE=FY","FILING_STATUS=MR","Sort=A","Dates=H","DateFormat=P","Fill=—","Direction=H","UseDPDF=Y")</f>
        <v>#NAME?</v>
      </c>
      <c r="I87" s="14" t="e">
        <f ca="1">_xll.BDH("ANSS US Equity","NUM_OF_INDEP_DIR_ON_CSR_CMTE","FY 2015","FY 2015","Currency=USD","Period=FY","BEST_FPERIOD_OVERRIDE=FY","FILING_STATUS=MR","Sort=A","Dates=H","DateFormat=P","Fill=—","Direction=H","UseDPDF=Y")</f>
        <v>#NAME?</v>
      </c>
      <c r="J87" s="14" t="e">
        <f ca="1">_xll.BDH("ANSS US Equity","NUM_OF_INDEP_DIR_ON_CSR_CMTE","FY 2016","FY 2016","Currency=USD","Period=FY","BEST_FPERIOD_OVERRIDE=FY","FILING_STATUS=MR","Sort=A","Dates=H","DateFormat=P","Fill=—","Direction=H","UseDPDF=Y")</f>
        <v>#NAME?</v>
      </c>
      <c r="K87" s="14" t="e">
        <f ca="1">_xll.BDH("ANSS US Equity","NUM_OF_INDEP_DIR_ON_CSR_CMTE","FY 2017","FY 2017","Currency=USD","Period=FY","BEST_FPERIOD_OVERRIDE=FY","FILING_STATUS=MR","Sort=A","Dates=H","DateFormat=P","Fill=—","Direction=H","UseDPDF=Y")</f>
        <v>#NAME?</v>
      </c>
      <c r="L87" s="14" t="e">
        <f ca="1">_xll.BDH("ANSS US Equity","NUM_OF_INDEP_DIR_ON_CSR_CMTE","FY 2018","FY 2018","Currency=USD","Period=FY","BEST_FPERIOD_OVERRIDE=FY","FILING_STATUS=MR","Sort=A","Dates=H","DateFormat=P","Fill=—","Direction=H","UseDPDF=Y")</f>
        <v>#NAME?</v>
      </c>
      <c r="M87" s="14" t="e">
        <f ca="1">_xll.BDH("ANSS US Equity","NUM_OF_INDEP_DIR_ON_CSR_CMTE","FY 2019","FY 2019","Currency=USD","Period=FY","BEST_FPERIOD_OVERRIDE=FY","FILING_STATUS=MR","Sort=A","Dates=H","DateFormat=P","Fill=—","Direction=H","UseDPDF=Y")</f>
        <v>#NAME?</v>
      </c>
      <c r="N87" s="14" t="e">
        <f ca="1">_xll.BDH("ANSS US Equity","NUM_OF_INDEP_DIR_ON_CSR_CMTE","FY 2020","FY 2020","Currency=USD","Period=FY","BEST_FPERIOD_OVERRIDE=FY","FILING_STATUS=MR","Sort=A","Dates=H","DateFormat=P","Fill=—","Direction=H","UseDPDF=Y")</f>
        <v>#NAME?</v>
      </c>
      <c r="O87" s="14" t="e">
        <f ca="1">_xll.BDH("ANSS US Equity","NUM_OF_INDEP_DIR_ON_CSR_CMTE","FY 2021","FY 2021","Currency=USD","Period=FY","BEST_FPERIOD_OVERRIDE=FY","FILING_STATUS=MR","Sort=A","Dates=H","DateFormat=P","Fill=—","Direction=H","UseDPDF=Y")</f>
        <v>#NAME?</v>
      </c>
      <c r="P87" s="14" t="e">
        <f ca="1">_xll.BDH("ANSS US Equity","NUM_OF_INDEP_DIR_ON_CSR_CMTE","FY 2022","FY 2022","Currency=USD","Period=FY","BEST_FPERIOD_OVERRIDE=FY","FILING_STATUS=MR","Sort=A","Dates=H","DateFormat=P","Fill=—","Direction=H","UseDPDF=Y")</f>
        <v>#NAME?</v>
      </c>
      <c r="Q87" s="14" t="e">
        <f ca="1">_xll.BDH("ANSS US Equity","NUM_OF_INDEP_DIR_ON_CSR_CMTE","FY 2023","FY 2023","Currency=USD","Period=FY","BEST_FPERIOD_OVERRIDE=FY","FILING_STATUS=MR","Sort=A","Dates=H","DateFormat=P","Fill=—","Direction=H","UseDPDF=Y")</f>
        <v>#NAME?</v>
      </c>
    </row>
    <row r="88" spans="1:17" x14ac:dyDescent="0.45">
      <c r="A88" s="10" t="s">
        <v>1124</v>
      </c>
      <c r="B88" s="10" t="s">
        <v>1125</v>
      </c>
      <c r="C88" s="14" t="e">
        <f ca="1">_xll.BDH("ANSS US Equity","PCT_OF_INDEP_DIR_ON_CSR_CMTE","FY 2009","FY 2009","Currency=USD","Period=FY","BEST_FPERIOD_OVERRIDE=FY","FILING_STATUS=MR","Sort=A","Dates=H","DateFormat=P","Fill=—","Direction=H","UseDPDF=Y")</f>
        <v>#NAME?</v>
      </c>
      <c r="D88" s="14" t="e">
        <f ca="1">_xll.BDH("ANSS US Equity","PCT_OF_INDEP_DIR_ON_CSR_CMTE","FY 2010","FY 2010","Currency=USD","Period=FY","BEST_FPERIOD_OVERRIDE=FY","FILING_STATUS=MR","Sort=A","Dates=H","DateFormat=P","Fill=—","Direction=H","UseDPDF=Y")</f>
        <v>#NAME?</v>
      </c>
      <c r="E88" s="14" t="e">
        <f ca="1">_xll.BDH("ANSS US Equity","PCT_OF_INDEP_DIR_ON_CSR_CMTE","FY 2011","FY 2011","Currency=USD","Period=FY","BEST_FPERIOD_OVERRIDE=FY","FILING_STATUS=MR","Sort=A","Dates=H","DateFormat=P","Fill=—","Direction=H","UseDPDF=Y")</f>
        <v>#NAME?</v>
      </c>
      <c r="F88" s="14" t="e">
        <f ca="1">_xll.BDH("ANSS US Equity","PCT_OF_INDEP_DIR_ON_CSR_CMTE","FY 2012","FY 2012","Currency=USD","Period=FY","BEST_FPERIOD_OVERRIDE=FY","FILING_STATUS=MR","Sort=A","Dates=H","DateFormat=P","Fill=—","Direction=H","UseDPDF=Y")</f>
        <v>#NAME?</v>
      </c>
      <c r="G88" s="14" t="e">
        <f ca="1">_xll.BDH("ANSS US Equity","PCT_OF_INDEP_DIR_ON_CSR_CMTE","FY 2013","FY 2013","Currency=USD","Period=FY","BEST_FPERIOD_OVERRIDE=FY","FILING_STATUS=MR","Sort=A","Dates=H","DateFormat=P","Fill=—","Direction=H","UseDPDF=Y")</f>
        <v>#NAME?</v>
      </c>
      <c r="H88" s="14" t="e">
        <f ca="1">_xll.BDH("ANSS US Equity","PCT_OF_INDEP_DIR_ON_CSR_CMTE","FY 2014","FY 2014","Currency=USD","Period=FY","BEST_FPERIOD_OVERRIDE=FY","FILING_STATUS=MR","Sort=A","Dates=H","DateFormat=P","Fill=—","Direction=H","UseDPDF=Y")</f>
        <v>#NAME?</v>
      </c>
      <c r="I88" s="14" t="e">
        <f ca="1">_xll.BDH("ANSS US Equity","PCT_OF_INDEP_DIR_ON_CSR_CMTE","FY 2015","FY 2015","Currency=USD","Period=FY","BEST_FPERIOD_OVERRIDE=FY","FILING_STATUS=MR","Sort=A","Dates=H","DateFormat=P","Fill=—","Direction=H","UseDPDF=Y")</f>
        <v>#NAME?</v>
      </c>
      <c r="J88" s="14" t="e">
        <f ca="1">_xll.BDH("ANSS US Equity","PCT_OF_INDEP_DIR_ON_CSR_CMTE","FY 2016","FY 2016","Currency=USD","Period=FY","BEST_FPERIOD_OVERRIDE=FY","FILING_STATUS=MR","Sort=A","Dates=H","DateFormat=P","Fill=—","Direction=H","UseDPDF=Y")</f>
        <v>#NAME?</v>
      </c>
      <c r="K88" s="14" t="e">
        <f ca="1">_xll.BDH("ANSS US Equity","PCT_OF_INDEP_DIR_ON_CSR_CMTE","FY 2017","FY 2017","Currency=USD","Period=FY","BEST_FPERIOD_OVERRIDE=FY","FILING_STATUS=MR","Sort=A","Dates=H","DateFormat=P","Fill=—","Direction=H","UseDPDF=Y")</f>
        <v>#NAME?</v>
      </c>
      <c r="L88" s="14" t="e">
        <f ca="1">_xll.BDH("ANSS US Equity","PCT_OF_INDEP_DIR_ON_CSR_CMTE","FY 2018","FY 2018","Currency=USD","Period=FY","BEST_FPERIOD_OVERRIDE=FY","FILING_STATUS=MR","Sort=A","Dates=H","DateFormat=P","Fill=—","Direction=H","UseDPDF=Y")</f>
        <v>#NAME?</v>
      </c>
      <c r="M88" s="14" t="e">
        <f ca="1">_xll.BDH("ANSS US Equity","PCT_OF_INDEP_DIR_ON_CSR_CMTE","FY 2019","FY 2019","Currency=USD","Period=FY","BEST_FPERIOD_OVERRIDE=FY","FILING_STATUS=MR","Sort=A","Dates=H","DateFormat=P","Fill=—","Direction=H","UseDPDF=Y")</f>
        <v>#NAME?</v>
      </c>
      <c r="N88" s="14" t="e">
        <f ca="1">_xll.BDH("ANSS US Equity","PCT_OF_INDEP_DIR_ON_CSR_CMTE","FY 2020","FY 2020","Currency=USD","Period=FY","BEST_FPERIOD_OVERRIDE=FY","FILING_STATUS=MR","Sort=A","Dates=H","DateFormat=P","Fill=—","Direction=H","UseDPDF=Y")</f>
        <v>#NAME?</v>
      </c>
      <c r="O88" s="14" t="e">
        <f ca="1">_xll.BDH("ANSS US Equity","PCT_OF_INDEP_DIR_ON_CSR_CMTE","FY 2021","FY 2021","Currency=USD","Period=FY","BEST_FPERIOD_OVERRIDE=FY","FILING_STATUS=MR","Sort=A","Dates=H","DateFormat=P","Fill=—","Direction=H","UseDPDF=Y")</f>
        <v>#NAME?</v>
      </c>
      <c r="P88" s="14" t="e">
        <f ca="1">_xll.BDH("ANSS US Equity","PCT_OF_INDEP_DIR_ON_CSR_CMTE","FY 2022","FY 2022","Currency=USD","Period=FY","BEST_FPERIOD_OVERRIDE=FY","FILING_STATUS=MR","Sort=A","Dates=H","DateFormat=P","Fill=—","Direction=H","UseDPDF=Y")</f>
        <v>#NAME?</v>
      </c>
      <c r="Q88" s="14" t="e">
        <f ca="1">_xll.BDH("ANSS US Equity","PCT_OF_INDEP_DIR_ON_CSR_CMTE","FY 2023","FY 2023","Currency=USD","Period=FY","BEST_FPERIOD_OVERRIDE=FY","FILING_STATUS=MR","Sort=A","Dates=H","DateFormat=P","Fill=—","Direction=H","UseDPDF=Y")</f>
        <v>#NAME?</v>
      </c>
    </row>
    <row r="89" spans="1:17" x14ac:dyDescent="0.45">
      <c r="A89" s="10" t="s">
        <v>1126</v>
      </c>
      <c r="B89" s="10" t="s">
        <v>1127</v>
      </c>
      <c r="C89" s="12" t="s">
        <v>683</v>
      </c>
      <c r="D89" s="12" t="s">
        <v>683</v>
      </c>
      <c r="E89" s="12" t="s">
        <v>683</v>
      </c>
      <c r="F89" s="12" t="s">
        <v>683</v>
      </c>
      <c r="G89" s="12" t="s">
        <v>683</v>
      </c>
      <c r="H89" s="12" t="s">
        <v>683</v>
      </c>
      <c r="I89" s="12" t="s">
        <v>683</v>
      </c>
      <c r="J89" s="12" t="s">
        <v>683</v>
      </c>
      <c r="K89" s="12" t="s">
        <v>683</v>
      </c>
      <c r="L89" s="12" t="s">
        <v>684</v>
      </c>
      <c r="M89" s="12" t="s">
        <v>684</v>
      </c>
      <c r="N89" s="12" t="s">
        <v>684</v>
      </c>
      <c r="O89" s="12" t="s">
        <v>684</v>
      </c>
      <c r="P89" s="12" t="s">
        <v>684</v>
      </c>
      <c r="Q89" s="12" t="s">
        <v>684</v>
      </c>
    </row>
    <row r="90" spans="1:17" x14ac:dyDescent="0.45">
      <c r="A90" s="10" t="s">
        <v>1128</v>
      </c>
      <c r="B90" s="10" t="s">
        <v>1129</v>
      </c>
      <c r="C90" s="14" t="e">
        <f ca="1">_xll.BDH("ANSS US Equity","NUM_OF_NONEXEC_DIR_CSR_CMTE","FY 2009","FY 2009","Currency=USD","Period=FY","BEST_FPERIOD_OVERRIDE=FY","FILING_STATUS=MR","Sort=A","Dates=H","DateFormat=P","Fill=—","Direction=H","UseDPDF=Y")</f>
        <v>#NAME?</v>
      </c>
      <c r="D90" s="14" t="e">
        <f ca="1">_xll.BDH("ANSS US Equity","NUM_OF_NONEXEC_DIR_CSR_CMTE","FY 2010","FY 2010","Currency=USD","Period=FY","BEST_FPERIOD_OVERRIDE=FY","FILING_STATUS=MR","Sort=A","Dates=H","DateFormat=P","Fill=—","Direction=H","UseDPDF=Y")</f>
        <v>#NAME?</v>
      </c>
      <c r="E90" s="14" t="e">
        <f ca="1">_xll.BDH("ANSS US Equity","NUM_OF_NONEXEC_DIR_CSR_CMTE","FY 2011","FY 2011","Currency=USD","Period=FY","BEST_FPERIOD_OVERRIDE=FY","FILING_STATUS=MR","Sort=A","Dates=H","DateFormat=P","Fill=—","Direction=H","UseDPDF=Y")</f>
        <v>#NAME?</v>
      </c>
      <c r="F90" s="14" t="e">
        <f ca="1">_xll.BDH("ANSS US Equity","NUM_OF_NONEXEC_DIR_CSR_CMTE","FY 2012","FY 2012","Currency=USD","Period=FY","BEST_FPERIOD_OVERRIDE=FY","FILING_STATUS=MR","Sort=A","Dates=H","DateFormat=P","Fill=—","Direction=H","UseDPDF=Y")</f>
        <v>#NAME?</v>
      </c>
      <c r="G90" s="14" t="e">
        <f ca="1">_xll.BDH("ANSS US Equity","NUM_OF_NONEXEC_DIR_CSR_CMTE","FY 2013","FY 2013","Currency=USD","Period=FY","BEST_FPERIOD_OVERRIDE=FY","FILING_STATUS=MR","Sort=A","Dates=H","DateFormat=P","Fill=—","Direction=H","UseDPDF=Y")</f>
        <v>#NAME?</v>
      </c>
      <c r="H90" s="14" t="e">
        <f ca="1">_xll.BDH("ANSS US Equity","NUM_OF_NONEXEC_DIR_CSR_CMTE","FY 2014","FY 2014","Currency=USD","Period=FY","BEST_FPERIOD_OVERRIDE=FY","FILING_STATUS=MR","Sort=A","Dates=H","DateFormat=P","Fill=—","Direction=H","UseDPDF=Y")</f>
        <v>#NAME?</v>
      </c>
      <c r="I90" s="14" t="e">
        <f ca="1">_xll.BDH("ANSS US Equity","NUM_OF_NONEXEC_DIR_CSR_CMTE","FY 2015","FY 2015","Currency=USD","Period=FY","BEST_FPERIOD_OVERRIDE=FY","FILING_STATUS=MR","Sort=A","Dates=H","DateFormat=P","Fill=—","Direction=H","UseDPDF=Y")</f>
        <v>#NAME?</v>
      </c>
      <c r="J90" s="14" t="e">
        <f ca="1">_xll.BDH("ANSS US Equity","NUM_OF_NONEXEC_DIR_CSR_CMTE","FY 2016","FY 2016","Currency=USD","Period=FY","BEST_FPERIOD_OVERRIDE=FY","FILING_STATUS=MR","Sort=A","Dates=H","DateFormat=P","Fill=—","Direction=H","UseDPDF=Y")</f>
        <v>#NAME?</v>
      </c>
      <c r="K90" s="14" t="e">
        <f ca="1">_xll.BDH("ANSS US Equity","NUM_OF_NONEXEC_DIR_CSR_CMTE","FY 2017","FY 2017","Currency=USD","Period=FY","BEST_FPERIOD_OVERRIDE=FY","FILING_STATUS=MR","Sort=A","Dates=H","DateFormat=P","Fill=—","Direction=H","UseDPDF=Y")</f>
        <v>#NAME?</v>
      </c>
      <c r="L90" s="14" t="e">
        <f ca="1">_xll.BDH("ANSS US Equity","NUM_OF_NONEXEC_DIR_CSR_CMTE","FY 2018","FY 2018","Currency=USD","Period=FY","BEST_FPERIOD_OVERRIDE=FY","FILING_STATUS=MR","Sort=A","Dates=H","DateFormat=P","Fill=—","Direction=H","UseDPDF=Y")</f>
        <v>#NAME?</v>
      </c>
      <c r="M90" s="14" t="e">
        <f ca="1">_xll.BDH("ANSS US Equity","NUM_OF_NONEXEC_DIR_CSR_CMTE","FY 2019","FY 2019","Currency=USD","Period=FY","BEST_FPERIOD_OVERRIDE=FY","FILING_STATUS=MR","Sort=A","Dates=H","DateFormat=P","Fill=—","Direction=H","UseDPDF=Y")</f>
        <v>#NAME?</v>
      </c>
      <c r="N90" s="14" t="e">
        <f ca="1">_xll.BDH("ANSS US Equity","NUM_OF_NONEXEC_DIR_CSR_CMTE","FY 2020","FY 2020","Currency=USD","Period=FY","BEST_FPERIOD_OVERRIDE=FY","FILING_STATUS=MR","Sort=A","Dates=H","DateFormat=P","Fill=—","Direction=H","UseDPDF=Y")</f>
        <v>#NAME?</v>
      </c>
      <c r="O90" s="14" t="e">
        <f ca="1">_xll.BDH("ANSS US Equity","NUM_OF_NONEXEC_DIR_CSR_CMTE","FY 2021","FY 2021","Currency=USD","Period=FY","BEST_FPERIOD_OVERRIDE=FY","FILING_STATUS=MR","Sort=A","Dates=H","DateFormat=P","Fill=—","Direction=H","UseDPDF=Y")</f>
        <v>#NAME?</v>
      </c>
      <c r="P90" s="14" t="e">
        <f ca="1">_xll.BDH("ANSS US Equity","NUM_OF_NONEXEC_DIR_CSR_CMTE","FY 2022","FY 2022","Currency=USD","Period=FY","BEST_FPERIOD_OVERRIDE=FY","FILING_STATUS=MR","Sort=A","Dates=H","DateFormat=P","Fill=—","Direction=H","UseDPDF=Y")</f>
        <v>#NAME?</v>
      </c>
      <c r="Q90" s="14" t="e">
        <f ca="1">_xll.BDH("ANSS US Equity","NUM_OF_NONEXEC_DIR_CSR_CMTE","FY 2023","FY 2023","Currency=USD","Period=FY","BEST_FPERIOD_OVERRIDE=FY","FILING_STATUS=MR","Sort=A","Dates=H","DateFormat=P","Fill=—","Direction=H","UseDPDF=Y")</f>
        <v>#NAME?</v>
      </c>
    </row>
    <row r="91" spans="1:17" x14ac:dyDescent="0.45">
      <c r="A91" s="10" t="s">
        <v>1130</v>
      </c>
      <c r="B91" s="10" t="s">
        <v>1131</v>
      </c>
      <c r="C91" s="14" t="e">
        <f ca="1">_xll.BDH("ANSS US Equity","NUM_OF_CSR_SUSTAIN_CMTE_MTGS","FY 2009","FY 2009","Currency=USD","Period=FY","BEST_FPERIOD_OVERRIDE=FY","FILING_STATUS=MR","Sort=A","Dates=H","DateFormat=P","Fill=—","Direction=H","UseDPDF=Y")</f>
        <v>#NAME?</v>
      </c>
      <c r="D91" s="14" t="e">
        <f ca="1">_xll.BDH("ANSS US Equity","NUM_OF_CSR_SUSTAIN_CMTE_MTGS","FY 2010","FY 2010","Currency=USD","Period=FY","BEST_FPERIOD_OVERRIDE=FY","FILING_STATUS=MR","Sort=A","Dates=H","DateFormat=P","Fill=—","Direction=H","UseDPDF=Y")</f>
        <v>#NAME?</v>
      </c>
      <c r="E91" s="14" t="e">
        <f ca="1">_xll.BDH("ANSS US Equity","NUM_OF_CSR_SUSTAIN_CMTE_MTGS","FY 2011","FY 2011","Currency=USD","Period=FY","BEST_FPERIOD_OVERRIDE=FY","FILING_STATUS=MR","Sort=A","Dates=H","DateFormat=P","Fill=—","Direction=H","UseDPDF=Y")</f>
        <v>#NAME?</v>
      </c>
      <c r="F91" s="14" t="e">
        <f ca="1">_xll.BDH("ANSS US Equity","NUM_OF_CSR_SUSTAIN_CMTE_MTGS","FY 2012","FY 2012","Currency=USD","Period=FY","BEST_FPERIOD_OVERRIDE=FY","FILING_STATUS=MR","Sort=A","Dates=H","DateFormat=P","Fill=—","Direction=H","UseDPDF=Y")</f>
        <v>#NAME?</v>
      </c>
      <c r="G91" s="14" t="e">
        <f ca="1">_xll.BDH("ANSS US Equity","NUM_OF_CSR_SUSTAIN_CMTE_MTGS","FY 2013","FY 2013","Currency=USD","Period=FY","BEST_FPERIOD_OVERRIDE=FY","FILING_STATUS=MR","Sort=A","Dates=H","DateFormat=P","Fill=—","Direction=H","UseDPDF=Y")</f>
        <v>#NAME?</v>
      </c>
      <c r="H91" s="14" t="e">
        <f ca="1">_xll.BDH("ANSS US Equity","NUM_OF_CSR_SUSTAIN_CMTE_MTGS","FY 2014","FY 2014","Currency=USD","Period=FY","BEST_FPERIOD_OVERRIDE=FY","FILING_STATUS=MR","Sort=A","Dates=H","DateFormat=P","Fill=—","Direction=H","UseDPDF=Y")</f>
        <v>#NAME?</v>
      </c>
      <c r="I91" s="14" t="e">
        <f ca="1">_xll.BDH("ANSS US Equity","NUM_OF_CSR_SUSTAIN_CMTE_MTGS","FY 2015","FY 2015","Currency=USD","Period=FY","BEST_FPERIOD_OVERRIDE=FY","FILING_STATUS=MR","Sort=A","Dates=H","DateFormat=P","Fill=—","Direction=H","UseDPDF=Y")</f>
        <v>#NAME?</v>
      </c>
      <c r="J91" s="14" t="e">
        <f ca="1">_xll.BDH("ANSS US Equity","NUM_OF_CSR_SUSTAIN_CMTE_MTGS","FY 2016","FY 2016","Currency=USD","Period=FY","BEST_FPERIOD_OVERRIDE=FY","FILING_STATUS=MR","Sort=A","Dates=H","DateFormat=P","Fill=—","Direction=H","UseDPDF=Y")</f>
        <v>#NAME?</v>
      </c>
      <c r="K91" s="14" t="e">
        <f ca="1">_xll.BDH("ANSS US Equity","NUM_OF_CSR_SUSTAIN_CMTE_MTGS","FY 2017","FY 2017","Currency=USD","Period=FY","BEST_FPERIOD_OVERRIDE=FY","FILING_STATUS=MR","Sort=A","Dates=H","DateFormat=P","Fill=—","Direction=H","UseDPDF=Y")</f>
        <v>#NAME?</v>
      </c>
      <c r="L91" s="14" t="e">
        <f ca="1">_xll.BDH("ANSS US Equity","NUM_OF_CSR_SUSTAIN_CMTE_MTGS","FY 2018","FY 2018","Currency=USD","Period=FY","BEST_FPERIOD_OVERRIDE=FY","FILING_STATUS=MR","Sort=A","Dates=H","DateFormat=P","Fill=—","Direction=H","UseDPDF=Y")</f>
        <v>#NAME?</v>
      </c>
      <c r="M91" s="14" t="e">
        <f ca="1">_xll.BDH("ANSS US Equity","NUM_OF_CSR_SUSTAIN_CMTE_MTGS","FY 2019","FY 2019","Currency=USD","Period=FY","BEST_FPERIOD_OVERRIDE=FY","FILING_STATUS=MR","Sort=A","Dates=H","DateFormat=P","Fill=—","Direction=H","UseDPDF=Y")</f>
        <v>#NAME?</v>
      </c>
      <c r="N91" s="14" t="e">
        <f ca="1">_xll.BDH("ANSS US Equity","NUM_OF_CSR_SUSTAIN_CMTE_MTGS","FY 2020","FY 2020","Currency=USD","Period=FY","BEST_FPERIOD_OVERRIDE=FY","FILING_STATUS=MR","Sort=A","Dates=H","DateFormat=P","Fill=—","Direction=H","UseDPDF=Y")</f>
        <v>#NAME?</v>
      </c>
      <c r="O91" s="14" t="e">
        <f ca="1">_xll.BDH("ANSS US Equity","NUM_OF_CSR_SUSTAIN_CMTE_MTGS","FY 2021","FY 2021","Currency=USD","Period=FY","BEST_FPERIOD_OVERRIDE=FY","FILING_STATUS=MR","Sort=A","Dates=H","DateFormat=P","Fill=—","Direction=H","UseDPDF=Y")</f>
        <v>#NAME?</v>
      </c>
      <c r="P91" s="14" t="e">
        <f ca="1">_xll.BDH("ANSS US Equity","NUM_OF_CSR_SUSTAIN_CMTE_MTGS","FY 2022","FY 2022","Currency=USD","Period=FY","BEST_FPERIOD_OVERRIDE=FY","FILING_STATUS=MR","Sort=A","Dates=H","DateFormat=P","Fill=—","Direction=H","UseDPDF=Y")</f>
        <v>#NAME?</v>
      </c>
      <c r="Q91" s="14" t="e">
        <f ca="1">_xll.BDH("ANSS US Equity","NUM_OF_CSR_SUSTAIN_CMTE_MTGS","FY 2023","FY 2023","Currency=USD","Period=FY","BEST_FPERIOD_OVERRIDE=FY","FILING_STATUS=MR","Sort=A","Dates=H","DateFormat=P","Fill=—","Direction=H","UseDPDF=Y")</f>
        <v>#NAME?</v>
      </c>
    </row>
    <row r="92" spans="1:17" x14ac:dyDescent="0.45">
      <c r="A92" s="10" t="s">
        <v>1132</v>
      </c>
      <c r="B92" s="10" t="s">
        <v>1133</v>
      </c>
      <c r="C92" s="14" t="e">
        <f ca="1">_xll.BDH("ANSS US Equity","PCT_CSR_SUSTAIN_CMTE_ATTEND","FY 2009","FY 2009","Currency=USD","Period=FY","BEST_FPERIOD_OVERRIDE=FY","FILING_STATUS=MR","Sort=A","Dates=H","DateFormat=P","Fill=—","Direction=H","UseDPDF=Y")</f>
        <v>#NAME?</v>
      </c>
      <c r="D92" s="14" t="e">
        <f ca="1">_xll.BDH("ANSS US Equity","PCT_CSR_SUSTAIN_CMTE_ATTEND","FY 2010","FY 2010","Currency=USD","Period=FY","BEST_FPERIOD_OVERRIDE=FY","FILING_STATUS=MR","Sort=A","Dates=H","DateFormat=P","Fill=—","Direction=H","UseDPDF=Y")</f>
        <v>#NAME?</v>
      </c>
      <c r="E92" s="14" t="e">
        <f ca="1">_xll.BDH("ANSS US Equity","PCT_CSR_SUSTAIN_CMTE_ATTEND","FY 2011","FY 2011","Currency=USD","Period=FY","BEST_FPERIOD_OVERRIDE=FY","FILING_STATUS=MR","Sort=A","Dates=H","DateFormat=P","Fill=—","Direction=H","UseDPDF=Y")</f>
        <v>#NAME?</v>
      </c>
      <c r="F92" s="14" t="e">
        <f ca="1">_xll.BDH("ANSS US Equity","PCT_CSR_SUSTAIN_CMTE_ATTEND","FY 2012","FY 2012","Currency=USD","Period=FY","BEST_FPERIOD_OVERRIDE=FY","FILING_STATUS=MR","Sort=A","Dates=H","DateFormat=P","Fill=—","Direction=H","UseDPDF=Y")</f>
        <v>#NAME?</v>
      </c>
      <c r="G92" s="14" t="e">
        <f ca="1">_xll.BDH("ANSS US Equity","PCT_CSR_SUSTAIN_CMTE_ATTEND","FY 2013","FY 2013","Currency=USD","Period=FY","BEST_FPERIOD_OVERRIDE=FY","FILING_STATUS=MR","Sort=A","Dates=H","DateFormat=P","Fill=—","Direction=H","UseDPDF=Y")</f>
        <v>#NAME?</v>
      </c>
      <c r="H92" s="14" t="e">
        <f ca="1">_xll.BDH("ANSS US Equity","PCT_CSR_SUSTAIN_CMTE_ATTEND","FY 2014","FY 2014","Currency=USD","Period=FY","BEST_FPERIOD_OVERRIDE=FY","FILING_STATUS=MR","Sort=A","Dates=H","DateFormat=P","Fill=—","Direction=H","UseDPDF=Y")</f>
        <v>#NAME?</v>
      </c>
      <c r="I92" s="14" t="e">
        <f ca="1">_xll.BDH("ANSS US Equity","PCT_CSR_SUSTAIN_CMTE_ATTEND","FY 2015","FY 2015","Currency=USD","Period=FY","BEST_FPERIOD_OVERRIDE=FY","FILING_STATUS=MR","Sort=A","Dates=H","DateFormat=P","Fill=—","Direction=H","UseDPDF=Y")</f>
        <v>#NAME?</v>
      </c>
      <c r="J92" s="14" t="e">
        <f ca="1">_xll.BDH("ANSS US Equity","PCT_CSR_SUSTAIN_CMTE_ATTEND","FY 2016","FY 2016","Currency=USD","Period=FY","BEST_FPERIOD_OVERRIDE=FY","FILING_STATUS=MR","Sort=A","Dates=H","DateFormat=P","Fill=—","Direction=H","UseDPDF=Y")</f>
        <v>#NAME?</v>
      </c>
      <c r="K92" s="14" t="e">
        <f ca="1">_xll.BDH("ANSS US Equity","PCT_CSR_SUSTAIN_CMTE_ATTEND","FY 2017","FY 2017","Currency=USD","Period=FY","BEST_FPERIOD_OVERRIDE=FY","FILING_STATUS=MR","Sort=A","Dates=H","DateFormat=P","Fill=—","Direction=H","UseDPDF=Y")</f>
        <v>#NAME?</v>
      </c>
      <c r="L92" s="14" t="e">
        <f ca="1">_xll.BDH("ANSS US Equity","PCT_CSR_SUSTAIN_CMTE_ATTEND","FY 2018","FY 2018","Currency=USD","Period=FY","BEST_FPERIOD_OVERRIDE=FY","FILING_STATUS=MR","Sort=A","Dates=H","DateFormat=P","Fill=—","Direction=H","UseDPDF=Y")</f>
        <v>#NAME?</v>
      </c>
      <c r="M92" s="14" t="e">
        <f ca="1">_xll.BDH("ANSS US Equity","PCT_CSR_SUSTAIN_CMTE_ATTEND","FY 2019","FY 2019","Currency=USD","Period=FY","BEST_FPERIOD_OVERRIDE=FY","FILING_STATUS=MR","Sort=A","Dates=H","DateFormat=P","Fill=—","Direction=H","UseDPDF=Y")</f>
        <v>#NAME?</v>
      </c>
      <c r="N92" s="14" t="e">
        <f ca="1">_xll.BDH("ANSS US Equity","PCT_CSR_SUSTAIN_CMTE_ATTEND","FY 2020","FY 2020","Currency=USD","Period=FY","BEST_FPERIOD_OVERRIDE=FY","FILING_STATUS=MR","Sort=A","Dates=H","DateFormat=P","Fill=—","Direction=H","UseDPDF=Y")</f>
        <v>#NAME?</v>
      </c>
      <c r="O92" s="14" t="e">
        <f ca="1">_xll.BDH("ANSS US Equity","PCT_CSR_SUSTAIN_CMTE_ATTEND","FY 2021","FY 2021","Currency=USD","Period=FY","BEST_FPERIOD_OVERRIDE=FY","FILING_STATUS=MR","Sort=A","Dates=H","DateFormat=P","Fill=—","Direction=H","UseDPDF=Y")</f>
        <v>#NAME?</v>
      </c>
      <c r="P92" s="14" t="e">
        <f ca="1">_xll.BDH("ANSS US Equity","PCT_CSR_SUSTAIN_CMTE_ATTEND","FY 2022","FY 2022","Currency=USD","Period=FY","BEST_FPERIOD_OVERRIDE=FY","FILING_STATUS=MR","Sort=A","Dates=H","DateFormat=P","Fill=—","Direction=H","UseDPDF=Y")</f>
        <v>#NAME?</v>
      </c>
      <c r="Q92" s="14" t="e">
        <f ca="1">_xll.BDH("ANSS US Equity","PCT_CSR_SUSTAIN_CMTE_ATTEND","FY 2023","FY 2023","Currency=USD","Period=FY","BEST_FPERIOD_OVERRIDE=FY","FILING_STATUS=MR","Sort=A","Dates=H","DateFormat=P","Fill=—","Direction=H","UseDPDF=Y")</f>
        <v>#NAME?</v>
      </c>
    </row>
    <row r="93" spans="1:17" x14ac:dyDescent="0.45">
      <c r="A93" s="1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1:17" x14ac:dyDescent="0.45">
      <c r="A94" s="10" t="s">
        <v>1134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1:17" x14ac:dyDescent="0.45">
      <c r="A95" s="10" t="s">
        <v>1135</v>
      </c>
      <c r="B95" s="10" t="s">
        <v>1136</v>
      </c>
      <c r="C95" s="12" t="s">
        <v>687</v>
      </c>
      <c r="D95" s="12" t="s">
        <v>687</v>
      </c>
      <c r="E95" s="12" t="s">
        <v>687</v>
      </c>
      <c r="F95" s="12" t="s">
        <v>687</v>
      </c>
      <c r="G95" s="12" t="s">
        <v>687</v>
      </c>
      <c r="H95" s="12" t="s">
        <v>687</v>
      </c>
      <c r="I95" s="12" t="s">
        <v>687</v>
      </c>
      <c r="J95" s="12" t="s">
        <v>687</v>
      </c>
      <c r="K95" s="12" t="s">
        <v>687</v>
      </c>
      <c r="L95" s="12" t="s">
        <v>687</v>
      </c>
      <c r="M95" s="12" t="s">
        <v>687</v>
      </c>
      <c r="N95" s="12" t="s">
        <v>687</v>
      </c>
      <c r="O95" s="12" t="s">
        <v>687</v>
      </c>
      <c r="P95" s="12" t="s">
        <v>687</v>
      </c>
      <c r="Q95" s="12" t="s">
        <v>687</v>
      </c>
    </row>
    <row r="96" spans="1:17" x14ac:dyDescent="0.45">
      <c r="A96" s="10" t="s">
        <v>1137</v>
      </c>
      <c r="B96" s="10" t="s">
        <v>1138</v>
      </c>
      <c r="C96" s="12" t="s">
        <v>687</v>
      </c>
      <c r="D96" s="12" t="s">
        <v>687</v>
      </c>
      <c r="E96" s="12" t="s">
        <v>687</v>
      </c>
      <c r="F96" s="12" t="s">
        <v>687</v>
      </c>
      <c r="G96" s="12" t="s">
        <v>687</v>
      </c>
      <c r="H96" s="12" t="s">
        <v>687</v>
      </c>
      <c r="I96" s="12" t="s">
        <v>687</v>
      </c>
      <c r="J96" s="12" t="s">
        <v>687</v>
      </c>
      <c r="K96" s="12" t="s">
        <v>687</v>
      </c>
      <c r="L96" s="12" t="s">
        <v>687</v>
      </c>
      <c r="M96" s="12" t="s">
        <v>687</v>
      </c>
      <c r="N96" s="12" t="s">
        <v>687</v>
      </c>
      <c r="O96" s="12" t="s">
        <v>687</v>
      </c>
      <c r="P96" s="12" t="s">
        <v>687</v>
      </c>
      <c r="Q96" s="12" t="s">
        <v>687</v>
      </c>
    </row>
    <row r="97" spans="1:17" x14ac:dyDescent="0.45">
      <c r="A97" s="10" t="s">
        <v>1139</v>
      </c>
      <c r="B97" s="10" t="s">
        <v>1140</v>
      </c>
      <c r="C97" s="12" t="s">
        <v>687</v>
      </c>
      <c r="D97" s="12" t="s">
        <v>687</v>
      </c>
      <c r="E97" s="12" t="s">
        <v>687</v>
      </c>
      <c r="F97" s="12" t="s">
        <v>687</v>
      </c>
      <c r="G97" s="12" t="s">
        <v>687</v>
      </c>
      <c r="H97" s="12" t="s">
        <v>687</v>
      </c>
      <c r="I97" s="12" t="s">
        <v>687</v>
      </c>
      <c r="J97" s="12" t="s">
        <v>687</v>
      </c>
      <c r="K97" s="12" t="s">
        <v>687</v>
      </c>
      <c r="L97" s="12" t="s">
        <v>687</v>
      </c>
      <c r="M97" s="12" t="s">
        <v>687</v>
      </c>
      <c r="N97" s="12" t="s">
        <v>687</v>
      </c>
      <c r="O97" s="12" t="s">
        <v>687</v>
      </c>
      <c r="P97" s="12" t="s">
        <v>687</v>
      </c>
      <c r="Q97" s="12" t="s">
        <v>687</v>
      </c>
    </row>
    <row r="98" spans="1:17" x14ac:dyDescent="0.45">
      <c r="A98" s="10" t="s">
        <v>1141</v>
      </c>
      <c r="B98" s="10" t="s">
        <v>1142</v>
      </c>
      <c r="C98" s="12" t="s">
        <v>683</v>
      </c>
      <c r="D98" s="12" t="s">
        <v>683</v>
      </c>
      <c r="E98" s="12" t="s">
        <v>683</v>
      </c>
      <c r="F98" s="12" t="s">
        <v>683</v>
      </c>
      <c r="G98" s="12" t="s">
        <v>683</v>
      </c>
      <c r="H98" s="12" t="s">
        <v>683</v>
      </c>
      <c r="I98" s="12" t="s">
        <v>683</v>
      </c>
      <c r="J98" s="12" t="s">
        <v>683</v>
      </c>
      <c r="K98" s="12" t="s">
        <v>683</v>
      </c>
      <c r="L98" s="12" t="s">
        <v>687</v>
      </c>
      <c r="M98" s="12" t="s">
        <v>687</v>
      </c>
      <c r="N98" s="12" t="s">
        <v>687</v>
      </c>
      <c r="O98" s="12" t="s">
        <v>687</v>
      </c>
      <c r="P98" s="12" t="s">
        <v>687</v>
      </c>
      <c r="Q98" s="12" t="s">
        <v>687</v>
      </c>
    </row>
    <row r="99" spans="1:17" x14ac:dyDescent="0.45">
      <c r="A99" s="10" t="s">
        <v>1143</v>
      </c>
      <c r="B99" s="10" t="s">
        <v>1144</v>
      </c>
      <c r="C99" s="12" t="s">
        <v>687</v>
      </c>
      <c r="D99" s="12" t="s">
        <v>687</v>
      </c>
      <c r="E99" s="12" t="s">
        <v>687</v>
      </c>
      <c r="F99" s="12" t="s">
        <v>687</v>
      </c>
      <c r="G99" s="12" t="s">
        <v>687</v>
      </c>
      <c r="H99" s="12" t="s">
        <v>687</v>
      </c>
      <c r="I99" s="12" t="s">
        <v>687</v>
      </c>
      <c r="J99" s="12" t="s">
        <v>687</v>
      </c>
      <c r="K99" s="12" t="s">
        <v>687</v>
      </c>
      <c r="L99" s="12" t="s">
        <v>687</v>
      </c>
      <c r="M99" s="12" t="s">
        <v>687</v>
      </c>
      <c r="N99" s="12" t="s">
        <v>687</v>
      </c>
      <c r="O99" s="12" t="s">
        <v>687</v>
      </c>
      <c r="P99" s="12" t="s">
        <v>687</v>
      </c>
      <c r="Q99" s="12" t="s">
        <v>687</v>
      </c>
    </row>
    <row r="100" spans="1:17" x14ac:dyDescent="0.45">
      <c r="A100" s="10" t="s">
        <v>1145</v>
      </c>
      <c r="B100" s="10" t="s">
        <v>1146</v>
      </c>
      <c r="C100" s="12" t="s">
        <v>687</v>
      </c>
      <c r="D100" s="12" t="s">
        <v>684</v>
      </c>
      <c r="E100" s="12" t="s">
        <v>684</v>
      </c>
      <c r="F100" s="12" t="s">
        <v>684</v>
      </c>
      <c r="G100" s="12" t="s">
        <v>684</v>
      </c>
      <c r="H100" s="12" t="s">
        <v>684</v>
      </c>
      <c r="I100" s="12" t="s">
        <v>684</v>
      </c>
      <c r="J100" s="12" t="s">
        <v>684</v>
      </c>
      <c r="K100" s="12" t="s">
        <v>684</v>
      </c>
      <c r="L100" s="12" t="s">
        <v>684</v>
      </c>
      <c r="M100" s="12" t="s">
        <v>684</v>
      </c>
      <c r="N100" s="12" t="s">
        <v>684</v>
      </c>
      <c r="O100" s="12" t="s">
        <v>684</v>
      </c>
      <c r="P100" s="12" t="s">
        <v>684</v>
      </c>
      <c r="Q100" s="12" t="s">
        <v>684</v>
      </c>
    </row>
    <row r="101" spans="1:17" x14ac:dyDescent="0.45">
      <c r="A101" s="10" t="s">
        <v>1147</v>
      </c>
      <c r="B101" s="10" t="s">
        <v>1148</v>
      </c>
      <c r="C101" s="12" t="s">
        <v>684</v>
      </c>
      <c r="D101" s="12" t="s">
        <v>684</v>
      </c>
      <c r="E101" s="12" t="s">
        <v>684</v>
      </c>
      <c r="F101" s="12" t="s">
        <v>684</v>
      </c>
      <c r="G101" s="12" t="s">
        <v>684</v>
      </c>
      <c r="H101" s="12" t="s">
        <v>684</v>
      </c>
      <c r="I101" s="12" t="s">
        <v>684</v>
      </c>
      <c r="J101" s="12" t="s">
        <v>684</v>
      </c>
      <c r="K101" s="12" t="s">
        <v>684</v>
      </c>
      <c r="L101" s="12" t="s">
        <v>684</v>
      </c>
      <c r="M101" s="12" t="s">
        <v>684</v>
      </c>
      <c r="N101" s="12" t="s">
        <v>684</v>
      </c>
      <c r="O101" s="12" t="s">
        <v>684</v>
      </c>
      <c r="P101" s="12" t="s">
        <v>684</v>
      </c>
      <c r="Q101" s="12" t="s">
        <v>684</v>
      </c>
    </row>
    <row r="102" spans="1:17" x14ac:dyDescent="0.45">
      <c r="A102" s="10" t="s">
        <v>1149</v>
      </c>
      <c r="B102" s="10" t="s">
        <v>1150</v>
      </c>
      <c r="C102" s="12" t="s">
        <v>683</v>
      </c>
      <c r="D102" s="12" t="s">
        <v>683</v>
      </c>
      <c r="E102" s="12" t="s">
        <v>683</v>
      </c>
      <c r="F102" s="12" t="s">
        <v>683</v>
      </c>
      <c r="G102" s="12" t="s">
        <v>683</v>
      </c>
      <c r="H102" s="12" t="s">
        <v>683</v>
      </c>
      <c r="I102" s="12" t="s">
        <v>683</v>
      </c>
      <c r="J102" s="12" t="s">
        <v>683</v>
      </c>
      <c r="K102" s="12" t="s">
        <v>683</v>
      </c>
      <c r="L102" s="12" t="s">
        <v>683</v>
      </c>
      <c r="M102" s="12" t="s">
        <v>683</v>
      </c>
      <c r="N102" s="12" t="s">
        <v>683</v>
      </c>
      <c r="O102" s="12" t="s">
        <v>684</v>
      </c>
      <c r="P102" s="12" t="s">
        <v>684</v>
      </c>
      <c r="Q102" s="12" t="s">
        <v>684</v>
      </c>
    </row>
    <row r="103" spans="1:17" x14ac:dyDescent="0.45">
      <c r="A103" s="10" t="s">
        <v>1151</v>
      </c>
      <c r="B103" s="10" t="s">
        <v>1152</v>
      </c>
      <c r="C103" s="14" t="e">
        <f ca="1">_xll.BDH("ANSS US Equity","CEO_PAY_RATIO_MEDIAN","FY 2009","FY 2009","Currency=USD","Period=FY","BEST_FPERIOD_OVERRIDE=FY","FILING_STATUS=MR","Sort=A","Dates=H","DateFormat=P","Fill=—","Direction=H","UseDPDF=Y")</f>
        <v>#NAME?</v>
      </c>
      <c r="D103" s="14" t="e">
        <f ca="1">_xll.BDH("ANSS US Equity","CEO_PAY_RATIO_MEDIAN","FY 2010","FY 2010","Currency=USD","Period=FY","BEST_FPERIOD_OVERRIDE=FY","FILING_STATUS=MR","Sort=A","Dates=H","DateFormat=P","Fill=—","Direction=H","UseDPDF=Y")</f>
        <v>#NAME?</v>
      </c>
      <c r="E103" s="14" t="e">
        <f ca="1">_xll.BDH("ANSS US Equity","CEO_PAY_RATIO_MEDIAN","FY 2011","FY 2011","Currency=USD","Period=FY","BEST_FPERIOD_OVERRIDE=FY","FILING_STATUS=MR","Sort=A","Dates=H","DateFormat=P","Fill=—","Direction=H","UseDPDF=Y")</f>
        <v>#NAME?</v>
      </c>
      <c r="F103" s="14" t="e">
        <f ca="1">_xll.BDH("ANSS US Equity","CEO_PAY_RATIO_MEDIAN","FY 2012","FY 2012","Currency=USD","Period=FY","BEST_FPERIOD_OVERRIDE=FY","FILING_STATUS=MR","Sort=A","Dates=H","DateFormat=P","Fill=—","Direction=H","UseDPDF=Y")</f>
        <v>#NAME?</v>
      </c>
      <c r="G103" s="14" t="e">
        <f ca="1">_xll.BDH("ANSS US Equity","CEO_PAY_RATIO_MEDIAN","FY 2013","FY 2013","Currency=USD","Period=FY","BEST_FPERIOD_OVERRIDE=FY","FILING_STATUS=MR","Sort=A","Dates=H","DateFormat=P","Fill=—","Direction=H","UseDPDF=Y")</f>
        <v>#NAME?</v>
      </c>
      <c r="H103" s="14" t="e">
        <f ca="1">_xll.BDH("ANSS US Equity","CEO_PAY_RATIO_MEDIAN","FY 2014","FY 2014","Currency=USD","Period=FY","BEST_FPERIOD_OVERRIDE=FY","FILING_STATUS=MR","Sort=A","Dates=H","DateFormat=P","Fill=—","Direction=H","UseDPDF=Y")</f>
        <v>#NAME?</v>
      </c>
      <c r="I103" s="14" t="e">
        <f ca="1">_xll.BDH("ANSS US Equity","CEO_PAY_RATIO_MEDIAN","FY 2015","FY 2015","Currency=USD","Period=FY","BEST_FPERIOD_OVERRIDE=FY","FILING_STATUS=MR","Sort=A","Dates=H","DateFormat=P","Fill=—","Direction=H","UseDPDF=Y")</f>
        <v>#NAME?</v>
      </c>
      <c r="J103" s="14" t="e">
        <f ca="1">_xll.BDH("ANSS US Equity","CEO_PAY_RATIO_MEDIAN","FY 2016","FY 2016","Currency=USD","Period=FY","BEST_FPERIOD_OVERRIDE=FY","FILING_STATUS=MR","Sort=A","Dates=H","DateFormat=P","Fill=—","Direction=H","UseDPDF=Y")</f>
        <v>#NAME?</v>
      </c>
      <c r="K103" s="14" t="e">
        <f ca="1">_xll.BDH("ANSS US Equity","CEO_PAY_RATIO_MEDIAN","FY 2017","FY 2017","Currency=USD","Period=FY","BEST_FPERIOD_OVERRIDE=FY","FILING_STATUS=MR","Sort=A","Dates=H","DateFormat=P","Fill=—","Direction=H","UseDPDF=Y")</f>
        <v>#NAME?</v>
      </c>
      <c r="L103" s="14" t="e">
        <f ca="1">_xll.BDH("ANSS US Equity","CEO_PAY_RATIO_MEDIAN","FY 2018","FY 2018","Currency=USD","Period=FY","BEST_FPERIOD_OVERRIDE=FY","FILING_STATUS=MR","Sort=A","Dates=H","DateFormat=P","Fill=—","Direction=H","UseDPDF=Y")</f>
        <v>#NAME?</v>
      </c>
      <c r="M103" s="14" t="e">
        <f ca="1">_xll.BDH("ANSS US Equity","CEO_PAY_RATIO_MEDIAN","FY 2019","FY 2019","Currency=USD","Period=FY","BEST_FPERIOD_OVERRIDE=FY","FILING_STATUS=MR","Sort=A","Dates=H","DateFormat=P","Fill=—","Direction=H","UseDPDF=Y")</f>
        <v>#NAME?</v>
      </c>
      <c r="N103" s="14" t="e">
        <f ca="1">_xll.BDH("ANSS US Equity","CEO_PAY_RATIO_MEDIAN","FY 2020","FY 2020","Currency=USD","Period=FY","BEST_FPERIOD_OVERRIDE=FY","FILING_STATUS=MR","Sort=A","Dates=H","DateFormat=P","Fill=—","Direction=H","UseDPDF=Y")</f>
        <v>#NAME?</v>
      </c>
      <c r="O103" s="14" t="e">
        <f ca="1">_xll.BDH("ANSS US Equity","CEO_PAY_RATIO_MEDIAN","FY 2021","FY 2021","Currency=USD","Period=FY","BEST_FPERIOD_OVERRIDE=FY","FILING_STATUS=MR","Sort=A","Dates=H","DateFormat=P","Fill=—","Direction=H","UseDPDF=Y")</f>
        <v>#NAME?</v>
      </c>
      <c r="P103" s="14" t="e">
        <f ca="1">_xll.BDH("ANSS US Equity","CEO_PAY_RATIO_MEDIAN","FY 2022","FY 2022","Currency=USD","Period=FY","BEST_FPERIOD_OVERRIDE=FY","FILING_STATUS=MR","Sort=A","Dates=H","DateFormat=P","Fill=—","Direction=H","UseDPDF=Y")</f>
        <v>#NAME?</v>
      </c>
      <c r="Q103" s="14" t="e">
        <f ca="1">_xll.BDH("ANSS US Equity","CEO_PAY_RATIO_MEDIAN","FY 2023","FY 2023","Currency=USD","Period=FY","BEST_FPERIOD_OVERRIDE=FY","FILING_STATUS=MR","Sort=A","Dates=H","DateFormat=P","Fill=—","Direction=H","UseDPDF=Y")</f>
        <v>#NAME?</v>
      </c>
    </row>
    <row r="104" spans="1:17" x14ac:dyDescent="0.45">
      <c r="A104" s="10" t="s">
        <v>1153</v>
      </c>
      <c r="B104" s="10" t="s">
        <v>1154</v>
      </c>
      <c r="C104" s="14" t="e">
        <f ca="1">_xll.BDH("ANSS US Equity","CEO_PAY_RATIO_MED_EMPL_COMP","FY 2009","FY 2009","Currency=USD","Period=FY","BEST_FPERIOD_OVERRIDE=FY","FILING_STATUS=MR","Sort=A","Dates=H","DateFormat=P","Fill=—","Direction=H","UseDPDF=Y")</f>
        <v>#NAME?</v>
      </c>
      <c r="D104" s="14" t="e">
        <f ca="1">_xll.BDH("ANSS US Equity","CEO_PAY_RATIO_MED_EMPL_COMP","FY 2010","FY 2010","Currency=USD","Period=FY","BEST_FPERIOD_OVERRIDE=FY","FILING_STATUS=MR","Sort=A","Dates=H","DateFormat=P","Fill=—","Direction=H","UseDPDF=Y")</f>
        <v>#NAME?</v>
      </c>
      <c r="E104" s="14" t="e">
        <f ca="1">_xll.BDH("ANSS US Equity","CEO_PAY_RATIO_MED_EMPL_COMP","FY 2011","FY 2011","Currency=USD","Period=FY","BEST_FPERIOD_OVERRIDE=FY","FILING_STATUS=MR","Sort=A","Dates=H","DateFormat=P","Fill=—","Direction=H","UseDPDF=Y")</f>
        <v>#NAME?</v>
      </c>
      <c r="F104" s="14" t="e">
        <f ca="1">_xll.BDH("ANSS US Equity","CEO_PAY_RATIO_MED_EMPL_COMP","FY 2012","FY 2012","Currency=USD","Period=FY","BEST_FPERIOD_OVERRIDE=FY","FILING_STATUS=MR","Sort=A","Dates=H","DateFormat=P","Fill=—","Direction=H","UseDPDF=Y")</f>
        <v>#NAME?</v>
      </c>
      <c r="G104" s="14" t="e">
        <f ca="1">_xll.BDH("ANSS US Equity","CEO_PAY_RATIO_MED_EMPL_COMP","FY 2013","FY 2013","Currency=USD","Period=FY","BEST_FPERIOD_OVERRIDE=FY","FILING_STATUS=MR","Sort=A","Dates=H","DateFormat=P","Fill=—","Direction=H","UseDPDF=Y")</f>
        <v>#NAME?</v>
      </c>
      <c r="H104" s="14" t="e">
        <f ca="1">_xll.BDH("ANSS US Equity","CEO_PAY_RATIO_MED_EMPL_COMP","FY 2014","FY 2014","Currency=USD","Period=FY","BEST_FPERIOD_OVERRIDE=FY","FILING_STATUS=MR","Sort=A","Dates=H","DateFormat=P","Fill=—","Direction=H","UseDPDF=Y")</f>
        <v>#NAME?</v>
      </c>
      <c r="I104" s="14" t="e">
        <f ca="1">_xll.BDH("ANSS US Equity","CEO_PAY_RATIO_MED_EMPL_COMP","FY 2015","FY 2015","Currency=USD","Period=FY","BEST_FPERIOD_OVERRIDE=FY","FILING_STATUS=MR","Sort=A","Dates=H","DateFormat=P","Fill=—","Direction=H","UseDPDF=Y")</f>
        <v>#NAME?</v>
      </c>
      <c r="J104" s="14" t="e">
        <f ca="1">_xll.BDH("ANSS US Equity","CEO_PAY_RATIO_MED_EMPL_COMP","FY 2016","FY 2016","Currency=USD","Period=FY","BEST_FPERIOD_OVERRIDE=FY","FILING_STATUS=MR","Sort=A","Dates=H","DateFormat=P","Fill=—","Direction=H","UseDPDF=Y")</f>
        <v>#NAME?</v>
      </c>
      <c r="K104" s="14" t="e">
        <f ca="1">_xll.BDH("ANSS US Equity","CEO_PAY_RATIO_MED_EMPL_COMP","FY 2017","FY 2017","Currency=USD","Period=FY","BEST_FPERIOD_OVERRIDE=FY","FILING_STATUS=MR","Sort=A","Dates=H","DateFormat=P","Fill=—","Direction=H","UseDPDF=Y")</f>
        <v>#NAME?</v>
      </c>
      <c r="L104" s="14" t="e">
        <f ca="1">_xll.BDH("ANSS US Equity","CEO_PAY_RATIO_MED_EMPL_COMP","FY 2018","FY 2018","Currency=USD","Period=FY","BEST_FPERIOD_OVERRIDE=FY","FILING_STATUS=MR","Sort=A","Dates=H","DateFormat=P","Fill=—","Direction=H","UseDPDF=Y")</f>
        <v>#NAME?</v>
      </c>
      <c r="M104" s="14" t="e">
        <f ca="1">_xll.BDH("ANSS US Equity","CEO_PAY_RATIO_MED_EMPL_COMP","FY 2019","FY 2019","Currency=USD","Period=FY","BEST_FPERIOD_OVERRIDE=FY","FILING_STATUS=MR","Sort=A","Dates=H","DateFormat=P","Fill=—","Direction=H","UseDPDF=Y")</f>
        <v>#NAME?</v>
      </c>
      <c r="N104" s="14" t="e">
        <f ca="1">_xll.BDH("ANSS US Equity","CEO_PAY_RATIO_MED_EMPL_COMP","FY 2020","FY 2020","Currency=USD","Period=FY","BEST_FPERIOD_OVERRIDE=FY","FILING_STATUS=MR","Sort=A","Dates=H","DateFormat=P","Fill=—","Direction=H","UseDPDF=Y")</f>
        <v>#NAME?</v>
      </c>
      <c r="O104" s="14" t="e">
        <f ca="1">_xll.BDH("ANSS US Equity","CEO_PAY_RATIO_MED_EMPL_COMP","FY 2021","FY 2021","Currency=USD","Period=FY","BEST_FPERIOD_OVERRIDE=FY","FILING_STATUS=MR","Sort=A","Dates=H","DateFormat=P","Fill=—","Direction=H","UseDPDF=Y")</f>
        <v>#NAME?</v>
      </c>
      <c r="P104" s="14" t="e">
        <f ca="1">_xll.BDH("ANSS US Equity","CEO_PAY_RATIO_MED_EMPL_COMP","FY 2022","FY 2022","Currency=USD","Period=FY","BEST_FPERIOD_OVERRIDE=FY","FILING_STATUS=MR","Sort=A","Dates=H","DateFormat=P","Fill=—","Direction=H","UseDPDF=Y")</f>
        <v>#NAME?</v>
      </c>
      <c r="Q104" s="14" t="e">
        <f ca="1">_xll.BDH("ANSS US Equity","CEO_PAY_RATIO_MED_EMPL_COMP","FY 2023","FY 2023","Currency=USD","Period=FY","BEST_FPERIOD_OVERRIDE=FY","FILING_STATUS=MR","Sort=A","Dates=H","DateFormat=P","Fill=—","Direction=H","UseDPDF=Y")</f>
        <v>#NAME?</v>
      </c>
    </row>
    <row r="105" spans="1:17" x14ac:dyDescent="0.45">
      <c r="A105" s="10" t="s">
        <v>1155</v>
      </c>
      <c r="B105" s="10" t="s">
        <v>1156</v>
      </c>
      <c r="C105" s="14" t="e">
        <f ca="1">_xll.BDH("ANSS US Equity","CEO_PAY_RATIO_CEO_COMP","FY 2009","FY 2009","Currency=USD","Period=FY","BEST_FPERIOD_OVERRIDE=FY","FILING_STATUS=MR","Sort=A","Dates=H","DateFormat=P","Fill=—","Direction=H","UseDPDF=Y")</f>
        <v>#NAME?</v>
      </c>
      <c r="D105" s="14" t="e">
        <f ca="1">_xll.BDH("ANSS US Equity","CEO_PAY_RATIO_CEO_COMP","FY 2010","FY 2010","Currency=USD","Period=FY","BEST_FPERIOD_OVERRIDE=FY","FILING_STATUS=MR","Sort=A","Dates=H","DateFormat=P","Fill=—","Direction=H","UseDPDF=Y")</f>
        <v>#NAME?</v>
      </c>
      <c r="E105" s="14" t="e">
        <f ca="1">_xll.BDH("ANSS US Equity","CEO_PAY_RATIO_CEO_COMP","FY 2011","FY 2011","Currency=USD","Period=FY","BEST_FPERIOD_OVERRIDE=FY","FILING_STATUS=MR","Sort=A","Dates=H","DateFormat=P","Fill=—","Direction=H","UseDPDF=Y")</f>
        <v>#NAME?</v>
      </c>
      <c r="F105" s="14" t="e">
        <f ca="1">_xll.BDH("ANSS US Equity","CEO_PAY_RATIO_CEO_COMP","FY 2012","FY 2012","Currency=USD","Period=FY","BEST_FPERIOD_OVERRIDE=FY","FILING_STATUS=MR","Sort=A","Dates=H","DateFormat=P","Fill=—","Direction=H","UseDPDF=Y")</f>
        <v>#NAME?</v>
      </c>
      <c r="G105" s="14" t="e">
        <f ca="1">_xll.BDH("ANSS US Equity","CEO_PAY_RATIO_CEO_COMP","FY 2013","FY 2013","Currency=USD","Period=FY","BEST_FPERIOD_OVERRIDE=FY","FILING_STATUS=MR","Sort=A","Dates=H","DateFormat=P","Fill=—","Direction=H","UseDPDF=Y")</f>
        <v>#NAME?</v>
      </c>
      <c r="H105" s="14" t="e">
        <f ca="1">_xll.BDH("ANSS US Equity","CEO_PAY_RATIO_CEO_COMP","FY 2014","FY 2014","Currency=USD","Period=FY","BEST_FPERIOD_OVERRIDE=FY","FILING_STATUS=MR","Sort=A","Dates=H","DateFormat=P","Fill=—","Direction=H","UseDPDF=Y")</f>
        <v>#NAME?</v>
      </c>
      <c r="I105" s="14" t="e">
        <f ca="1">_xll.BDH("ANSS US Equity","CEO_PAY_RATIO_CEO_COMP","FY 2015","FY 2015","Currency=USD","Period=FY","BEST_FPERIOD_OVERRIDE=FY","FILING_STATUS=MR","Sort=A","Dates=H","DateFormat=P","Fill=—","Direction=H","UseDPDF=Y")</f>
        <v>#NAME?</v>
      </c>
      <c r="J105" s="14" t="e">
        <f ca="1">_xll.BDH("ANSS US Equity","CEO_PAY_RATIO_CEO_COMP","FY 2016","FY 2016","Currency=USD","Period=FY","BEST_FPERIOD_OVERRIDE=FY","FILING_STATUS=MR","Sort=A","Dates=H","DateFormat=P","Fill=—","Direction=H","UseDPDF=Y")</f>
        <v>#NAME?</v>
      </c>
      <c r="K105" s="14" t="e">
        <f ca="1">_xll.BDH("ANSS US Equity","CEO_PAY_RATIO_CEO_COMP","FY 2017","FY 2017","Currency=USD","Period=FY","BEST_FPERIOD_OVERRIDE=FY","FILING_STATUS=MR","Sort=A","Dates=H","DateFormat=P","Fill=—","Direction=H","UseDPDF=Y")</f>
        <v>#NAME?</v>
      </c>
      <c r="L105" s="14" t="e">
        <f ca="1">_xll.BDH("ANSS US Equity","CEO_PAY_RATIO_CEO_COMP","FY 2018","FY 2018","Currency=USD","Period=FY","BEST_FPERIOD_OVERRIDE=FY","FILING_STATUS=MR","Sort=A","Dates=H","DateFormat=P","Fill=—","Direction=H","UseDPDF=Y")</f>
        <v>#NAME?</v>
      </c>
      <c r="M105" s="14" t="e">
        <f ca="1">_xll.BDH("ANSS US Equity","CEO_PAY_RATIO_CEO_COMP","FY 2019","FY 2019","Currency=USD","Period=FY","BEST_FPERIOD_OVERRIDE=FY","FILING_STATUS=MR","Sort=A","Dates=H","DateFormat=P","Fill=—","Direction=H","UseDPDF=Y")</f>
        <v>#NAME?</v>
      </c>
      <c r="N105" s="14" t="e">
        <f ca="1">_xll.BDH("ANSS US Equity","CEO_PAY_RATIO_CEO_COMP","FY 2020","FY 2020","Currency=USD","Period=FY","BEST_FPERIOD_OVERRIDE=FY","FILING_STATUS=MR","Sort=A","Dates=H","DateFormat=P","Fill=—","Direction=H","UseDPDF=Y")</f>
        <v>#NAME?</v>
      </c>
      <c r="O105" s="14" t="e">
        <f ca="1">_xll.BDH("ANSS US Equity","CEO_PAY_RATIO_CEO_COMP","FY 2021","FY 2021","Currency=USD","Period=FY","BEST_FPERIOD_OVERRIDE=FY","FILING_STATUS=MR","Sort=A","Dates=H","DateFormat=P","Fill=—","Direction=H","UseDPDF=Y")</f>
        <v>#NAME?</v>
      </c>
      <c r="P105" s="14" t="e">
        <f ca="1">_xll.BDH("ANSS US Equity","CEO_PAY_RATIO_CEO_COMP","FY 2022","FY 2022","Currency=USD","Period=FY","BEST_FPERIOD_OVERRIDE=FY","FILING_STATUS=MR","Sort=A","Dates=H","DateFormat=P","Fill=—","Direction=H","UseDPDF=Y")</f>
        <v>#NAME?</v>
      </c>
      <c r="Q105" s="14" t="e">
        <f ca="1">_xll.BDH("ANSS US Equity","CEO_PAY_RATIO_CEO_COMP","FY 2023","FY 2023","Currency=USD","Period=FY","BEST_FPERIOD_OVERRIDE=FY","FILING_STATUS=MR","Sort=A","Dates=H","DateFormat=P","Fill=—","Direction=H","UseDPDF=Y")</f>
        <v>#NAME?</v>
      </c>
    </row>
    <row r="106" spans="1:17" x14ac:dyDescent="0.45">
      <c r="A106" s="10" t="s">
        <v>1157</v>
      </c>
      <c r="B106" s="10" t="s">
        <v>899</v>
      </c>
      <c r="C106" s="13" t="e">
        <f ca="1">_xll.BDH("ANSS US Equity","POLITICAL_DONATIONS","FY 2009","FY 2009","Currency=USD","Period=FY","BEST_FPERIOD_OVERRIDE=FY","FILING_STATUS=MR","SCALING_FORMAT=MLN","Sort=A","Dates=H","DateFormat=P","Fill=—","Direction=H","UseDPDF=Y")</f>
        <v>#NAME?</v>
      </c>
      <c r="D106" s="13" t="e">
        <f ca="1">_xll.BDH("ANSS US Equity","POLITICAL_DONATIONS","FY 2010","FY 2010","Currency=USD","Period=FY","BEST_FPERIOD_OVERRIDE=FY","FILING_STATUS=MR","SCALING_FORMAT=MLN","Sort=A","Dates=H","DateFormat=P","Fill=—","Direction=H","UseDPDF=Y")</f>
        <v>#NAME?</v>
      </c>
      <c r="E106" s="13" t="e">
        <f ca="1">_xll.BDH("ANSS US Equity","POLITICAL_DONATIONS","FY 2011","FY 2011","Currency=USD","Period=FY","BEST_FPERIOD_OVERRIDE=FY","FILING_STATUS=MR","SCALING_FORMAT=MLN","Sort=A","Dates=H","DateFormat=P","Fill=—","Direction=H","UseDPDF=Y")</f>
        <v>#NAME?</v>
      </c>
      <c r="F106" s="13" t="e">
        <f ca="1">_xll.BDH("ANSS US Equity","POLITICAL_DONATIONS","FY 2012","FY 2012","Currency=USD","Period=FY","BEST_FPERIOD_OVERRIDE=FY","FILING_STATUS=MR","SCALING_FORMAT=MLN","Sort=A","Dates=H","DateFormat=P","Fill=—","Direction=H","UseDPDF=Y")</f>
        <v>#NAME?</v>
      </c>
      <c r="G106" s="13" t="e">
        <f ca="1">_xll.BDH("ANSS US Equity","POLITICAL_DONATIONS","FY 2013","FY 2013","Currency=USD","Period=FY","BEST_FPERIOD_OVERRIDE=FY","FILING_STATUS=MR","SCALING_FORMAT=MLN","Sort=A","Dates=H","DateFormat=P","Fill=—","Direction=H","UseDPDF=Y")</f>
        <v>#NAME?</v>
      </c>
      <c r="H106" s="13" t="e">
        <f ca="1">_xll.BDH("ANSS US Equity","POLITICAL_DONATIONS","FY 2014","FY 2014","Currency=USD","Period=FY","BEST_FPERIOD_OVERRIDE=FY","FILING_STATUS=MR","SCALING_FORMAT=MLN","Sort=A","Dates=H","DateFormat=P","Fill=—","Direction=H","UseDPDF=Y")</f>
        <v>#NAME?</v>
      </c>
      <c r="I106" s="13" t="e">
        <f ca="1">_xll.BDH("ANSS US Equity","POLITICAL_DONATIONS","FY 2015","FY 2015","Currency=USD","Period=FY","BEST_FPERIOD_OVERRIDE=FY","FILING_STATUS=MR","SCALING_FORMAT=MLN","Sort=A","Dates=H","DateFormat=P","Fill=—","Direction=H","UseDPDF=Y")</f>
        <v>#NAME?</v>
      </c>
      <c r="J106" s="13" t="e">
        <f ca="1">_xll.BDH("ANSS US Equity","POLITICAL_DONATIONS","FY 2016","FY 2016","Currency=USD","Period=FY","BEST_FPERIOD_OVERRIDE=FY","FILING_STATUS=MR","SCALING_FORMAT=MLN","Sort=A","Dates=H","DateFormat=P","Fill=—","Direction=H","UseDPDF=Y")</f>
        <v>#NAME?</v>
      </c>
      <c r="K106" s="13" t="e">
        <f ca="1">_xll.BDH("ANSS US Equity","POLITICAL_DONATIONS","FY 2017","FY 2017","Currency=USD","Period=FY","BEST_FPERIOD_OVERRIDE=FY","FILING_STATUS=MR","SCALING_FORMAT=MLN","Sort=A","Dates=H","DateFormat=P","Fill=—","Direction=H","UseDPDF=Y")</f>
        <v>#NAME?</v>
      </c>
      <c r="L106" s="13" t="e">
        <f ca="1">_xll.BDH("ANSS US Equity","POLITICAL_DONATIONS","FY 2018","FY 2018","Currency=USD","Period=FY","BEST_FPERIOD_OVERRIDE=FY","FILING_STATUS=MR","SCALING_FORMAT=MLN","Sort=A","Dates=H","DateFormat=P","Fill=—","Direction=H","UseDPDF=Y")</f>
        <v>#NAME?</v>
      </c>
      <c r="M106" s="13" t="e">
        <f ca="1">_xll.BDH("ANSS US Equity","POLITICAL_DONATIONS","FY 2019","FY 2019","Currency=USD","Period=FY","BEST_FPERIOD_OVERRIDE=FY","FILING_STATUS=MR","SCALING_FORMAT=MLN","Sort=A","Dates=H","DateFormat=P","Fill=—","Direction=H","UseDPDF=Y")</f>
        <v>#NAME?</v>
      </c>
      <c r="N106" s="13" t="e">
        <f ca="1">_xll.BDH("ANSS US Equity","POLITICAL_DONATIONS","FY 2020","FY 2020","Currency=USD","Period=FY","BEST_FPERIOD_OVERRIDE=FY","FILING_STATUS=MR","SCALING_FORMAT=MLN","Sort=A","Dates=H","DateFormat=P","Fill=—","Direction=H","UseDPDF=Y")</f>
        <v>#NAME?</v>
      </c>
      <c r="O106" s="13" t="e">
        <f ca="1">_xll.BDH("ANSS US Equity","POLITICAL_DONATIONS","FY 2021","FY 2021","Currency=USD","Period=FY","BEST_FPERIOD_OVERRIDE=FY","FILING_STATUS=MR","SCALING_FORMAT=MLN","Sort=A","Dates=H","DateFormat=P","Fill=—","Direction=H","UseDPDF=Y")</f>
        <v>#NAME?</v>
      </c>
      <c r="P106" s="13" t="e">
        <f ca="1">_xll.BDH("ANSS US Equity","POLITICAL_DONATIONS","FY 2022","FY 2022","Currency=USD","Period=FY","BEST_FPERIOD_OVERRIDE=FY","FILING_STATUS=MR","SCALING_FORMAT=MLN","Sort=A","Dates=H","DateFormat=P","Fill=—","Direction=H","UseDPDF=Y")</f>
        <v>#NAME?</v>
      </c>
      <c r="Q106" s="13" t="e">
        <f ca="1">_xll.BDH("ANSS US Equity","POLITICAL_DONATIONS","FY 2023","FY 2023","Currency=USD","Period=FY","BEST_FPERIOD_OVERRIDE=FY","FILING_STATUS=MR","SCALING_FORMAT=MLN","Sort=A","Dates=H","DateFormat=P","Fill=—","Direction=H","UseDPDF=Y")</f>
        <v>#NAME?</v>
      </c>
    </row>
    <row r="107" spans="1:17" x14ac:dyDescent="0.45">
      <c r="A107" s="10" t="s">
        <v>1158</v>
      </c>
      <c r="B107" s="10" t="s">
        <v>1159</v>
      </c>
      <c r="C107" s="12" t="s">
        <v>683</v>
      </c>
      <c r="D107" s="12" t="s">
        <v>683</v>
      </c>
      <c r="E107" s="12" t="s">
        <v>683</v>
      </c>
      <c r="F107" s="12" t="s">
        <v>683</v>
      </c>
      <c r="G107" s="12" t="s">
        <v>683</v>
      </c>
      <c r="H107" s="12" t="s">
        <v>683</v>
      </c>
      <c r="I107" s="12" t="s">
        <v>683</v>
      </c>
      <c r="J107" s="12" t="s">
        <v>683</v>
      </c>
      <c r="K107" s="12" t="s">
        <v>683</v>
      </c>
      <c r="L107" s="12" t="s">
        <v>683</v>
      </c>
      <c r="M107" s="12" t="s">
        <v>687</v>
      </c>
      <c r="N107" s="12" t="s">
        <v>683</v>
      </c>
      <c r="O107" s="12" t="s">
        <v>687</v>
      </c>
      <c r="P107" s="12" t="s">
        <v>687</v>
      </c>
      <c r="Q107" s="12" t="s">
        <v>683</v>
      </c>
    </row>
    <row r="108" spans="1:17" x14ac:dyDescent="0.45">
      <c r="A108" s="10" t="s">
        <v>1160</v>
      </c>
      <c r="B108" s="10" t="s">
        <v>1161</v>
      </c>
      <c r="C108" s="12" t="s">
        <v>683</v>
      </c>
      <c r="D108" s="12" t="s">
        <v>683</v>
      </c>
      <c r="E108" s="12" t="s">
        <v>683</v>
      </c>
      <c r="F108" s="12" t="s">
        <v>683</v>
      </c>
      <c r="G108" s="12" t="s">
        <v>683</v>
      </c>
      <c r="H108" s="12" t="s">
        <v>683</v>
      </c>
      <c r="I108" s="12" t="s">
        <v>683</v>
      </c>
      <c r="J108" s="12" t="s">
        <v>683</v>
      </c>
      <c r="K108" s="12" t="s">
        <v>683</v>
      </c>
      <c r="L108" s="12" t="s">
        <v>683</v>
      </c>
      <c r="M108" s="12" t="s">
        <v>687</v>
      </c>
      <c r="N108" s="12" t="s">
        <v>683</v>
      </c>
      <c r="O108" s="12" t="s">
        <v>687</v>
      </c>
      <c r="P108" s="12" t="s">
        <v>687</v>
      </c>
      <c r="Q108" s="12" t="s">
        <v>683</v>
      </c>
    </row>
    <row r="109" spans="1:17" x14ac:dyDescent="0.45">
      <c r="A109" s="1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1:17" x14ac:dyDescent="0.45">
      <c r="A110" s="10" t="s">
        <v>1162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1:17" x14ac:dyDescent="0.45">
      <c r="A111" s="10" t="s">
        <v>1163</v>
      </c>
      <c r="B111" s="10" t="s">
        <v>1164</v>
      </c>
      <c r="C111" s="12" t="s">
        <v>683</v>
      </c>
      <c r="D111" s="12" t="s">
        <v>683</v>
      </c>
      <c r="E111" s="12" t="s">
        <v>683</v>
      </c>
      <c r="F111" s="12" t="s">
        <v>683</v>
      </c>
      <c r="G111" s="12" t="s">
        <v>683</v>
      </c>
      <c r="H111" s="12" t="s">
        <v>683</v>
      </c>
      <c r="I111" s="12" t="s">
        <v>683</v>
      </c>
      <c r="J111" s="12" t="s">
        <v>683</v>
      </c>
      <c r="K111" s="12" t="s">
        <v>683</v>
      </c>
      <c r="L111" s="12" t="s">
        <v>683</v>
      </c>
      <c r="M111" s="12" t="s">
        <v>687</v>
      </c>
      <c r="N111" s="12" t="s">
        <v>687</v>
      </c>
      <c r="O111" s="12" t="s">
        <v>687</v>
      </c>
      <c r="P111" s="12" t="s">
        <v>687</v>
      </c>
      <c r="Q111" s="12" t="s">
        <v>687</v>
      </c>
    </row>
    <row r="112" spans="1:17" x14ac:dyDescent="0.45">
      <c r="A112" s="10" t="s">
        <v>1165</v>
      </c>
      <c r="B112" s="10" t="s">
        <v>1166</v>
      </c>
      <c r="C112" s="12" t="s">
        <v>683</v>
      </c>
      <c r="D112" s="12" t="s">
        <v>683</v>
      </c>
      <c r="E112" s="12" t="s">
        <v>683</v>
      </c>
      <c r="F112" s="12" t="s">
        <v>683</v>
      </c>
      <c r="G112" s="12" t="s">
        <v>683</v>
      </c>
      <c r="H112" s="12" t="s">
        <v>683</v>
      </c>
      <c r="I112" s="12" t="s">
        <v>683</v>
      </c>
      <c r="J112" s="12" t="s">
        <v>683</v>
      </c>
      <c r="K112" s="12" t="s">
        <v>683</v>
      </c>
      <c r="L112" s="12" t="s">
        <v>683</v>
      </c>
      <c r="M112" s="12" t="s">
        <v>687</v>
      </c>
      <c r="N112" s="12" t="s">
        <v>687</v>
      </c>
      <c r="O112" s="12" t="s">
        <v>687</v>
      </c>
      <c r="P112" s="12" t="s">
        <v>687</v>
      </c>
      <c r="Q112" s="12" t="s">
        <v>687</v>
      </c>
    </row>
    <row r="113" spans="1:17" x14ac:dyDescent="0.45">
      <c r="A113" s="10" t="s">
        <v>1167</v>
      </c>
      <c r="B113" s="10" t="s">
        <v>1168</v>
      </c>
      <c r="C113" s="12" t="s">
        <v>683</v>
      </c>
      <c r="D113" s="12" t="s">
        <v>683</v>
      </c>
      <c r="E113" s="12" t="s">
        <v>683</v>
      </c>
      <c r="F113" s="12" t="s">
        <v>683</v>
      </c>
      <c r="G113" s="12" t="s">
        <v>683</v>
      </c>
      <c r="H113" s="12" t="s">
        <v>683</v>
      </c>
      <c r="I113" s="12" t="s">
        <v>683</v>
      </c>
      <c r="J113" s="12" t="s">
        <v>683</v>
      </c>
      <c r="K113" s="12" t="s">
        <v>683</v>
      </c>
      <c r="L113" s="12" t="s">
        <v>683</v>
      </c>
      <c r="M113" s="12" t="s">
        <v>684</v>
      </c>
      <c r="N113" s="12" t="s">
        <v>684</v>
      </c>
      <c r="O113" s="12" t="s">
        <v>684</v>
      </c>
      <c r="P113" s="12" t="s">
        <v>684</v>
      </c>
      <c r="Q113" s="12" t="s">
        <v>684</v>
      </c>
    </row>
    <row r="114" spans="1:17" x14ac:dyDescent="0.45">
      <c r="A114" s="10" t="s">
        <v>1169</v>
      </c>
      <c r="B114" s="10" t="s">
        <v>1170</v>
      </c>
      <c r="C114" s="12" t="s">
        <v>683</v>
      </c>
      <c r="D114" s="12" t="s">
        <v>683</v>
      </c>
      <c r="E114" s="12" t="s">
        <v>683</v>
      </c>
      <c r="F114" s="12" t="s">
        <v>683</v>
      </c>
      <c r="G114" s="12" t="s">
        <v>683</v>
      </c>
      <c r="H114" s="12" t="s">
        <v>683</v>
      </c>
      <c r="I114" s="12" t="s">
        <v>683</v>
      </c>
      <c r="J114" s="12" t="s">
        <v>683</v>
      </c>
      <c r="K114" s="12" t="s">
        <v>683</v>
      </c>
      <c r="L114" s="12" t="s">
        <v>683</v>
      </c>
      <c r="M114" s="12" t="s">
        <v>687</v>
      </c>
      <c r="N114" s="12" t="s">
        <v>687</v>
      </c>
      <c r="O114" s="12" t="s">
        <v>687</v>
      </c>
      <c r="P114" s="12" t="s">
        <v>687</v>
      </c>
      <c r="Q114" s="12" t="s">
        <v>687</v>
      </c>
    </row>
    <row r="115" spans="1:17" x14ac:dyDescent="0.45">
      <c r="A115" s="10" t="s">
        <v>1171</v>
      </c>
      <c r="B115" s="10" t="s">
        <v>1172</v>
      </c>
      <c r="C115" s="12" t="s">
        <v>683</v>
      </c>
      <c r="D115" s="12" t="s">
        <v>683</v>
      </c>
      <c r="E115" s="12" t="s">
        <v>683</v>
      </c>
      <c r="F115" s="12" t="s">
        <v>683</v>
      </c>
      <c r="G115" s="12" t="s">
        <v>683</v>
      </c>
      <c r="H115" s="12" t="s">
        <v>683</v>
      </c>
      <c r="I115" s="12" t="s">
        <v>683</v>
      </c>
      <c r="J115" s="12" t="s">
        <v>683</v>
      </c>
      <c r="K115" s="12" t="s">
        <v>683</v>
      </c>
      <c r="L115" s="12" t="s">
        <v>683</v>
      </c>
      <c r="M115" s="12" t="s">
        <v>687</v>
      </c>
      <c r="N115" s="12" t="s">
        <v>687</v>
      </c>
      <c r="O115" s="12" t="s">
        <v>687</v>
      </c>
      <c r="P115" s="12" t="s">
        <v>687</v>
      </c>
      <c r="Q115" s="12" t="s">
        <v>687</v>
      </c>
    </row>
    <row r="116" spans="1:17" x14ac:dyDescent="0.45">
      <c r="A116" s="1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 x14ac:dyDescent="0.45">
      <c r="A117" s="10" t="s">
        <v>1173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 x14ac:dyDescent="0.45">
      <c r="A118" s="10" t="s">
        <v>1174</v>
      </c>
      <c r="B118" s="10" t="s">
        <v>1175</v>
      </c>
      <c r="C118" s="12" t="s">
        <v>683</v>
      </c>
      <c r="D118" s="12" t="s">
        <v>683</v>
      </c>
      <c r="E118" s="12" t="s">
        <v>683</v>
      </c>
      <c r="F118" s="12" t="s">
        <v>683</v>
      </c>
      <c r="G118" s="12" t="s">
        <v>683</v>
      </c>
      <c r="H118" s="12" t="s">
        <v>683</v>
      </c>
      <c r="I118" s="12" t="s">
        <v>687</v>
      </c>
      <c r="J118" s="12" t="s">
        <v>687</v>
      </c>
      <c r="K118" s="12" t="s">
        <v>687</v>
      </c>
      <c r="L118" s="12" t="s">
        <v>687</v>
      </c>
      <c r="M118" s="12" t="s">
        <v>687</v>
      </c>
      <c r="N118" s="12" t="s">
        <v>687</v>
      </c>
      <c r="O118" s="12" t="s">
        <v>687</v>
      </c>
      <c r="P118" s="12" t="s">
        <v>687</v>
      </c>
      <c r="Q118" s="12" t="s">
        <v>687</v>
      </c>
    </row>
    <row r="119" spans="1:17" x14ac:dyDescent="0.45">
      <c r="A119" s="10" t="s">
        <v>1176</v>
      </c>
      <c r="B119" s="10" t="s">
        <v>1177</v>
      </c>
      <c r="C119" s="14" t="e">
        <f ca="1">_xll.BDH("ANSS US Equity","ACTION_BY_WRITTEN_CONSENT","FY 2009","FY 2009","Currency=USD","Period=FY","BEST_FPERIOD_OVERRIDE=FY","FILING_STATUS=MR","Sort=A","Dates=H","DateFormat=P","Fill=—","Direction=H","UseDPDF=Y")</f>
        <v>#NAME?</v>
      </c>
      <c r="D119" s="14" t="e">
        <f ca="1">_xll.BDH("ANSS US Equity","ACTION_BY_WRITTEN_CONSENT","FY 2010","FY 2010","Currency=USD","Period=FY","BEST_FPERIOD_OVERRIDE=FY","FILING_STATUS=MR","Sort=A","Dates=H","DateFormat=P","Fill=—","Direction=H","UseDPDF=Y")</f>
        <v>#NAME?</v>
      </c>
      <c r="E119" s="14" t="e">
        <f ca="1">_xll.BDH("ANSS US Equity","ACTION_BY_WRITTEN_CONSENT","FY 2011","FY 2011","Currency=USD","Period=FY","BEST_FPERIOD_OVERRIDE=FY","FILING_STATUS=MR","Sort=A","Dates=H","DateFormat=P","Fill=—","Direction=H","UseDPDF=Y")</f>
        <v>#NAME?</v>
      </c>
      <c r="F119" s="14" t="e">
        <f ca="1">_xll.BDH("ANSS US Equity","ACTION_BY_WRITTEN_CONSENT","FY 2012","FY 2012","Currency=USD","Period=FY","BEST_FPERIOD_OVERRIDE=FY","FILING_STATUS=MR","Sort=A","Dates=H","DateFormat=P","Fill=—","Direction=H","UseDPDF=Y")</f>
        <v>#NAME?</v>
      </c>
      <c r="G119" s="14" t="e">
        <f ca="1">_xll.BDH("ANSS US Equity","ACTION_BY_WRITTEN_CONSENT","FY 2013","FY 2013","Currency=USD","Period=FY","BEST_FPERIOD_OVERRIDE=FY","FILING_STATUS=MR","Sort=A","Dates=H","DateFormat=P","Fill=—","Direction=H","UseDPDF=Y")</f>
        <v>#NAME?</v>
      </c>
      <c r="H119" s="14" t="e">
        <f ca="1">_xll.BDH("ANSS US Equity","ACTION_BY_WRITTEN_CONSENT","FY 2014","FY 2014","Currency=USD","Period=FY","BEST_FPERIOD_OVERRIDE=FY","FILING_STATUS=MR","Sort=A","Dates=H","DateFormat=P","Fill=—","Direction=H","UseDPDF=Y")</f>
        <v>#NAME?</v>
      </c>
      <c r="I119" s="14" t="e">
        <f ca="1">_xll.BDH("ANSS US Equity","ACTION_BY_WRITTEN_CONSENT","FY 2015","FY 2015","Currency=USD","Period=FY","BEST_FPERIOD_OVERRIDE=FY","FILING_STATUS=MR","Sort=A","Dates=H","DateFormat=P","Fill=—","Direction=H","UseDPDF=Y")</f>
        <v>#NAME?</v>
      </c>
      <c r="J119" s="14" t="e">
        <f ca="1">_xll.BDH("ANSS US Equity","ACTION_BY_WRITTEN_CONSENT","FY 2016","FY 2016","Currency=USD","Period=FY","BEST_FPERIOD_OVERRIDE=FY","FILING_STATUS=MR","Sort=A","Dates=H","DateFormat=P","Fill=—","Direction=H","UseDPDF=Y")</f>
        <v>#NAME?</v>
      </c>
      <c r="K119" s="14" t="e">
        <f ca="1">_xll.BDH("ANSS US Equity","ACTION_BY_WRITTEN_CONSENT","FY 2017","FY 2017","Currency=USD","Period=FY","BEST_FPERIOD_OVERRIDE=FY","FILING_STATUS=MR","Sort=A","Dates=H","DateFormat=P","Fill=—","Direction=H","UseDPDF=Y")</f>
        <v>#NAME?</v>
      </c>
      <c r="L119" s="14" t="e">
        <f ca="1">_xll.BDH("ANSS US Equity","ACTION_BY_WRITTEN_CONSENT","FY 2018","FY 2018","Currency=USD","Period=FY","BEST_FPERIOD_OVERRIDE=FY","FILING_STATUS=MR","Sort=A","Dates=H","DateFormat=P","Fill=—","Direction=H","UseDPDF=Y")</f>
        <v>#NAME?</v>
      </c>
      <c r="M119" s="14" t="e">
        <f ca="1">_xll.BDH("ANSS US Equity","ACTION_BY_WRITTEN_CONSENT","FY 2019","FY 2019","Currency=USD","Period=FY","BEST_FPERIOD_OVERRIDE=FY","FILING_STATUS=MR","Sort=A","Dates=H","DateFormat=P","Fill=—","Direction=H","UseDPDF=Y")</f>
        <v>#NAME?</v>
      </c>
      <c r="N119" s="14" t="e">
        <f ca="1">_xll.BDH("ANSS US Equity","ACTION_BY_WRITTEN_CONSENT","FY 2020","FY 2020","Currency=USD","Period=FY","BEST_FPERIOD_OVERRIDE=FY","FILING_STATUS=MR","Sort=A","Dates=H","DateFormat=P","Fill=—","Direction=H","UseDPDF=Y")</f>
        <v>#NAME?</v>
      </c>
      <c r="O119" s="14" t="e">
        <f ca="1">_xll.BDH("ANSS US Equity","ACTION_BY_WRITTEN_CONSENT","FY 2021","FY 2021","Currency=USD","Period=FY","BEST_FPERIOD_OVERRIDE=FY","FILING_STATUS=MR","Sort=A","Dates=H","DateFormat=P","Fill=—","Direction=H","UseDPDF=Y")</f>
        <v>#NAME?</v>
      </c>
      <c r="P119" s="14" t="e">
        <f ca="1">_xll.BDH("ANSS US Equity","ACTION_BY_WRITTEN_CONSENT","FY 2022","FY 2022","Currency=USD","Period=FY","BEST_FPERIOD_OVERRIDE=FY","FILING_STATUS=MR","Sort=A","Dates=H","DateFormat=P","Fill=—","Direction=H","UseDPDF=Y")</f>
        <v>#NAME?</v>
      </c>
      <c r="Q119" s="14" t="e">
        <f ca="1">_xll.BDH("ANSS US Equity","ACTION_BY_WRITTEN_CONSENT","FY 2023","FY 2023","Currency=USD","Period=FY","BEST_FPERIOD_OVERRIDE=FY","FILING_STATUS=MR","Sort=A","Dates=H","DateFormat=P","Fill=—","Direction=H","UseDPDF=Y")</f>
        <v>#NAME?</v>
      </c>
    </row>
    <row r="120" spans="1:17" x14ac:dyDescent="0.45">
      <c r="A120" s="10" t="s">
        <v>1178</v>
      </c>
      <c r="B120" s="10" t="s">
        <v>1179</v>
      </c>
      <c r="C120" s="12" t="s">
        <v>683</v>
      </c>
      <c r="D120" s="12" t="s">
        <v>683</v>
      </c>
      <c r="E120" s="12" t="s">
        <v>683</v>
      </c>
      <c r="F120" s="12" t="s">
        <v>683</v>
      </c>
      <c r="G120" s="12" t="s">
        <v>683</v>
      </c>
      <c r="H120" s="12" t="s">
        <v>683</v>
      </c>
      <c r="I120" s="12" t="s">
        <v>687</v>
      </c>
      <c r="J120" s="12" t="s">
        <v>687</v>
      </c>
      <c r="K120" s="12" t="s">
        <v>687</v>
      </c>
      <c r="L120" s="12" t="s">
        <v>687</v>
      </c>
      <c r="M120" s="12" t="s">
        <v>687</v>
      </c>
      <c r="N120" s="12" t="s">
        <v>687</v>
      </c>
      <c r="O120" s="12" t="s">
        <v>687</v>
      </c>
      <c r="P120" s="12" t="s">
        <v>687</v>
      </c>
      <c r="Q120" s="12" t="s">
        <v>687</v>
      </c>
    </row>
    <row r="121" spans="1:17" x14ac:dyDescent="0.45">
      <c r="A121" s="10" t="s">
        <v>1180</v>
      </c>
      <c r="B121" s="10" t="s">
        <v>1181</v>
      </c>
      <c r="C121" s="12" t="s">
        <v>683</v>
      </c>
      <c r="D121" s="12" t="s">
        <v>683</v>
      </c>
      <c r="E121" s="12" t="s">
        <v>683</v>
      </c>
      <c r="F121" s="12" t="s">
        <v>683</v>
      </c>
      <c r="G121" s="12" t="s">
        <v>683</v>
      </c>
      <c r="H121" s="12" t="s">
        <v>683</v>
      </c>
      <c r="I121" s="12" t="s">
        <v>687</v>
      </c>
      <c r="J121" s="12" t="s">
        <v>687</v>
      </c>
      <c r="K121" s="12" t="s">
        <v>687</v>
      </c>
      <c r="L121" s="12" t="s">
        <v>687</v>
      </c>
      <c r="M121" s="12" t="s">
        <v>687</v>
      </c>
      <c r="N121" s="12" t="s">
        <v>687</v>
      </c>
      <c r="O121" s="12" t="s">
        <v>687</v>
      </c>
      <c r="P121" s="12" t="s">
        <v>687</v>
      </c>
      <c r="Q121" s="12" t="s">
        <v>687</v>
      </c>
    </row>
    <row r="122" spans="1:17" x14ac:dyDescent="0.45">
      <c r="A122" s="10" t="s">
        <v>1182</v>
      </c>
      <c r="B122" s="10" t="s">
        <v>1183</v>
      </c>
      <c r="C122" s="12" t="s">
        <v>683</v>
      </c>
      <c r="D122" s="12" t="s">
        <v>683</v>
      </c>
      <c r="E122" s="12" t="s">
        <v>683</v>
      </c>
      <c r="F122" s="12" t="s">
        <v>683</v>
      </c>
      <c r="G122" s="12" t="s">
        <v>683</v>
      </c>
      <c r="H122" s="12" t="s">
        <v>683</v>
      </c>
      <c r="I122" s="12" t="s">
        <v>687</v>
      </c>
      <c r="J122" s="12" t="s">
        <v>687</v>
      </c>
      <c r="K122" s="12" t="s">
        <v>687</v>
      </c>
      <c r="L122" s="12" t="s">
        <v>687</v>
      </c>
      <c r="M122" s="12" t="s">
        <v>687</v>
      </c>
      <c r="N122" s="12" t="s">
        <v>687</v>
      </c>
      <c r="O122" s="12" t="s">
        <v>687</v>
      </c>
      <c r="P122" s="12" t="s">
        <v>687</v>
      </c>
      <c r="Q122" s="12" t="s">
        <v>687</v>
      </c>
    </row>
    <row r="123" spans="1:17" x14ac:dyDescent="0.45">
      <c r="A123" s="10" t="s">
        <v>1184</v>
      </c>
      <c r="B123" s="10" t="s">
        <v>1185</v>
      </c>
      <c r="C123" s="12" t="s">
        <v>683</v>
      </c>
      <c r="D123" s="12" t="s">
        <v>683</v>
      </c>
      <c r="E123" s="12" t="s">
        <v>683</v>
      </c>
      <c r="F123" s="12" t="s">
        <v>683</v>
      </c>
      <c r="G123" s="12" t="s">
        <v>683</v>
      </c>
      <c r="H123" s="12" t="s">
        <v>683</v>
      </c>
      <c r="I123" s="12" t="s">
        <v>687</v>
      </c>
      <c r="J123" s="12" t="s">
        <v>687</v>
      </c>
      <c r="K123" s="12" t="s">
        <v>687</v>
      </c>
      <c r="L123" s="12" t="s">
        <v>687</v>
      </c>
      <c r="M123" s="12" t="s">
        <v>687</v>
      </c>
      <c r="N123" s="12" t="s">
        <v>687</v>
      </c>
      <c r="O123" s="12" t="s">
        <v>687</v>
      </c>
      <c r="P123" s="12" t="s">
        <v>687</v>
      </c>
      <c r="Q123" s="12" t="s">
        <v>687</v>
      </c>
    </row>
    <row r="124" spans="1:17" x14ac:dyDescent="0.45">
      <c r="A124" s="10" t="s">
        <v>1186</v>
      </c>
      <c r="B124" s="10" t="s">
        <v>1187</v>
      </c>
      <c r="C124" s="12" t="s">
        <v>683</v>
      </c>
      <c r="D124" s="12" t="s">
        <v>683</v>
      </c>
      <c r="E124" s="12" t="s">
        <v>683</v>
      </c>
      <c r="F124" s="12" t="s">
        <v>683</v>
      </c>
      <c r="G124" s="12" t="s">
        <v>683</v>
      </c>
      <c r="H124" s="12" t="s">
        <v>683</v>
      </c>
      <c r="I124" s="12" t="s">
        <v>687</v>
      </c>
      <c r="J124" s="12" t="s">
        <v>687</v>
      </c>
      <c r="K124" s="12" t="s">
        <v>687</v>
      </c>
      <c r="L124" s="12" t="s">
        <v>687</v>
      </c>
      <c r="M124" s="12" t="s">
        <v>687</v>
      </c>
      <c r="N124" s="12" t="s">
        <v>687</v>
      </c>
      <c r="O124" s="12" t="s">
        <v>687</v>
      </c>
      <c r="P124" s="12" t="s">
        <v>687</v>
      </c>
      <c r="Q124" s="12" t="s">
        <v>687</v>
      </c>
    </row>
    <row r="125" spans="1:17" x14ac:dyDescent="0.45">
      <c r="A125" s="10" t="s">
        <v>1188</v>
      </c>
      <c r="B125" s="10" t="s">
        <v>1189</v>
      </c>
      <c r="C125" s="12" t="s">
        <v>687</v>
      </c>
      <c r="D125" s="12" t="s">
        <v>683</v>
      </c>
      <c r="E125" s="12" t="s">
        <v>683</v>
      </c>
      <c r="F125" s="12" t="s">
        <v>683</v>
      </c>
      <c r="G125" s="12" t="s">
        <v>683</v>
      </c>
      <c r="H125" s="12" t="s">
        <v>683</v>
      </c>
      <c r="I125" s="12" t="s">
        <v>687</v>
      </c>
      <c r="J125" s="12" t="s">
        <v>687</v>
      </c>
      <c r="K125" s="12" t="s">
        <v>687</v>
      </c>
      <c r="L125" s="12" t="s">
        <v>687</v>
      </c>
      <c r="M125" s="12" t="s">
        <v>687</v>
      </c>
      <c r="N125" s="12" t="s">
        <v>687</v>
      </c>
      <c r="O125" s="12" t="s">
        <v>687</v>
      </c>
      <c r="P125" s="12" t="s">
        <v>687</v>
      </c>
      <c r="Q125" s="12" t="s">
        <v>687</v>
      </c>
    </row>
    <row r="126" spans="1:17" x14ac:dyDescent="0.45">
      <c r="A126" s="10" t="s">
        <v>1190</v>
      </c>
      <c r="B126" s="10" t="s">
        <v>1191</v>
      </c>
      <c r="C126" s="12" t="s">
        <v>683</v>
      </c>
      <c r="D126" s="12" t="s">
        <v>683</v>
      </c>
      <c r="E126" s="12" t="s">
        <v>683</v>
      </c>
      <c r="F126" s="12" t="s">
        <v>683</v>
      </c>
      <c r="G126" s="12" t="s">
        <v>683</v>
      </c>
      <c r="H126" s="12" t="s">
        <v>683</v>
      </c>
      <c r="I126" s="12" t="s">
        <v>684</v>
      </c>
      <c r="J126" s="12" t="s">
        <v>684</v>
      </c>
      <c r="K126" s="12" t="s">
        <v>684</v>
      </c>
      <c r="L126" s="12" t="s">
        <v>684</v>
      </c>
      <c r="M126" s="12" t="s">
        <v>684</v>
      </c>
      <c r="N126" s="12" t="s">
        <v>684</v>
      </c>
      <c r="O126" s="12" t="s">
        <v>684</v>
      </c>
      <c r="P126" s="12" t="s">
        <v>687</v>
      </c>
      <c r="Q126" s="12" t="s">
        <v>687</v>
      </c>
    </row>
    <row r="127" spans="1:17" x14ac:dyDescent="0.45">
      <c r="A127" s="10" t="s">
        <v>1192</v>
      </c>
      <c r="B127" s="10" t="s">
        <v>1193</v>
      </c>
      <c r="C127" s="12" t="s">
        <v>683</v>
      </c>
      <c r="D127" s="12" t="s">
        <v>683</v>
      </c>
      <c r="E127" s="12" t="s">
        <v>683</v>
      </c>
      <c r="F127" s="12" t="s">
        <v>683</v>
      </c>
      <c r="G127" s="12" t="s">
        <v>683</v>
      </c>
      <c r="H127" s="12" t="s">
        <v>683</v>
      </c>
      <c r="I127" s="12" t="s">
        <v>683</v>
      </c>
      <c r="J127" s="12" t="s">
        <v>683</v>
      </c>
      <c r="K127" s="12" t="s">
        <v>683</v>
      </c>
      <c r="L127" s="12" t="s">
        <v>683</v>
      </c>
      <c r="M127" s="12" t="s">
        <v>684</v>
      </c>
      <c r="N127" s="12" t="s">
        <v>684</v>
      </c>
      <c r="O127" s="12" t="s">
        <v>684</v>
      </c>
      <c r="P127" s="12" t="s">
        <v>684</v>
      </c>
      <c r="Q127" s="12" t="s">
        <v>684</v>
      </c>
    </row>
    <row r="128" spans="1:17" x14ac:dyDescent="0.45">
      <c r="A128" s="10" t="s">
        <v>1194</v>
      </c>
      <c r="B128" s="10" t="s">
        <v>1195</v>
      </c>
      <c r="C128" s="12" t="s">
        <v>687</v>
      </c>
      <c r="D128" s="12" t="s">
        <v>687</v>
      </c>
      <c r="E128" s="12" t="s">
        <v>687</v>
      </c>
      <c r="F128" s="12" t="s">
        <v>687</v>
      </c>
      <c r="G128" s="12" t="s">
        <v>687</v>
      </c>
      <c r="H128" s="12" t="s">
        <v>687</v>
      </c>
      <c r="I128" s="12" t="s">
        <v>687</v>
      </c>
      <c r="J128" s="12" t="s">
        <v>687</v>
      </c>
      <c r="K128" s="12" t="s">
        <v>687</v>
      </c>
      <c r="L128" s="12" t="s">
        <v>687</v>
      </c>
      <c r="M128" s="12" t="s">
        <v>687</v>
      </c>
      <c r="N128" s="12" t="s">
        <v>687</v>
      </c>
      <c r="O128" s="12" t="s">
        <v>687</v>
      </c>
      <c r="P128" s="12" t="s">
        <v>687</v>
      </c>
      <c r="Q128" s="12" t="s">
        <v>687</v>
      </c>
    </row>
    <row r="129" spans="1:17" x14ac:dyDescent="0.45">
      <c r="A129" s="10" t="s">
        <v>1196</v>
      </c>
      <c r="B129" s="10" t="s">
        <v>1197</v>
      </c>
      <c r="C129" s="14" t="e">
        <f ca="1">_xll.BDH("ANSS US Equity","DIRECTOR_ELECTION_VOTE_POLICY","FY 2009","FY 2009","Currency=USD","Period=FY","BEST_FPERIOD_OVERRIDE=FY","FILING_STATUS=MR","Sort=A","Dates=H","DateFormat=P","Fill=—","Direction=H","UseDPDF=Y")</f>
        <v>#NAME?</v>
      </c>
      <c r="D129" s="14" t="e">
        <f ca="1">_xll.BDH("ANSS US Equity","DIRECTOR_ELECTION_VOTE_POLICY","FY 2010","FY 2010","Currency=USD","Period=FY","BEST_FPERIOD_OVERRIDE=FY","FILING_STATUS=MR","Sort=A","Dates=H","DateFormat=P","Fill=—","Direction=H","UseDPDF=Y")</f>
        <v>#NAME?</v>
      </c>
      <c r="E129" s="14" t="e">
        <f ca="1">_xll.BDH("ANSS US Equity","DIRECTOR_ELECTION_VOTE_POLICY","FY 2011","FY 2011","Currency=USD","Period=FY","BEST_FPERIOD_OVERRIDE=FY","FILING_STATUS=MR","Sort=A","Dates=H","DateFormat=P","Fill=—","Direction=H","UseDPDF=Y")</f>
        <v>#NAME?</v>
      </c>
      <c r="F129" s="14" t="e">
        <f ca="1">_xll.BDH("ANSS US Equity","DIRECTOR_ELECTION_VOTE_POLICY","FY 2012","FY 2012","Currency=USD","Period=FY","BEST_FPERIOD_OVERRIDE=FY","FILING_STATUS=MR","Sort=A","Dates=H","DateFormat=P","Fill=—","Direction=H","UseDPDF=Y")</f>
        <v>#NAME?</v>
      </c>
      <c r="G129" s="14" t="e">
        <f ca="1">_xll.BDH("ANSS US Equity","DIRECTOR_ELECTION_VOTE_POLICY","FY 2013","FY 2013","Currency=USD","Period=FY","BEST_FPERIOD_OVERRIDE=FY","FILING_STATUS=MR","Sort=A","Dates=H","DateFormat=P","Fill=—","Direction=H","UseDPDF=Y")</f>
        <v>#NAME?</v>
      </c>
      <c r="H129" s="14" t="e">
        <f ca="1">_xll.BDH("ANSS US Equity","DIRECTOR_ELECTION_VOTE_POLICY","FY 2014","FY 2014","Currency=USD","Period=FY","BEST_FPERIOD_OVERRIDE=FY","FILING_STATUS=MR","Sort=A","Dates=H","DateFormat=P","Fill=—","Direction=H","UseDPDF=Y")</f>
        <v>#NAME?</v>
      </c>
      <c r="I129" s="14" t="e">
        <f ca="1">_xll.BDH("ANSS US Equity","DIRECTOR_ELECTION_VOTE_POLICY","FY 2015","FY 2015","Currency=USD","Period=FY","BEST_FPERIOD_OVERRIDE=FY","FILING_STATUS=MR","Sort=A","Dates=H","DateFormat=P","Fill=—","Direction=H","UseDPDF=Y")</f>
        <v>#NAME?</v>
      </c>
      <c r="J129" s="14" t="e">
        <f ca="1">_xll.BDH("ANSS US Equity","DIRECTOR_ELECTION_VOTE_POLICY","FY 2016","FY 2016","Currency=USD","Period=FY","BEST_FPERIOD_OVERRIDE=FY","FILING_STATUS=MR","Sort=A","Dates=H","DateFormat=P","Fill=—","Direction=H","UseDPDF=Y")</f>
        <v>#NAME?</v>
      </c>
      <c r="K129" s="14" t="e">
        <f ca="1">_xll.BDH("ANSS US Equity","DIRECTOR_ELECTION_VOTE_POLICY","FY 2017","FY 2017","Currency=USD","Period=FY","BEST_FPERIOD_OVERRIDE=FY","FILING_STATUS=MR","Sort=A","Dates=H","DateFormat=P","Fill=—","Direction=H","UseDPDF=Y")</f>
        <v>#NAME?</v>
      </c>
      <c r="L129" s="14" t="e">
        <f ca="1">_xll.BDH("ANSS US Equity","DIRECTOR_ELECTION_VOTE_POLICY","FY 2018","FY 2018","Currency=USD","Period=FY","BEST_FPERIOD_OVERRIDE=FY","FILING_STATUS=MR","Sort=A","Dates=H","DateFormat=P","Fill=—","Direction=H","UseDPDF=Y")</f>
        <v>#NAME?</v>
      </c>
      <c r="M129" s="14" t="e">
        <f ca="1">_xll.BDH("ANSS US Equity","DIRECTOR_ELECTION_VOTE_POLICY","FY 2019","FY 2019","Currency=USD","Period=FY","BEST_FPERIOD_OVERRIDE=FY","FILING_STATUS=MR","Sort=A","Dates=H","DateFormat=P","Fill=—","Direction=H","UseDPDF=Y")</f>
        <v>#NAME?</v>
      </c>
      <c r="N129" s="14" t="e">
        <f ca="1">_xll.BDH("ANSS US Equity","DIRECTOR_ELECTION_VOTE_POLICY","FY 2020","FY 2020","Currency=USD","Period=FY","BEST_FPERIOD_OVERRIDE=FY","FILING_STATUS=MR","Sort=A","Dates=H","DateFormat=P","Fill=—","Direction=H","UseDPDF=Y")</f>
        <v>#NAME?</v>
      </c>
      <c r="O129" s="14" t="e">
        <f ca="1">_xll.BDH("ANSS US Equity","DIRECTOR_ELECTION_VOTE_POLICY","FY 2021","FY 2021","Currency=USD","Period=FY","BEST_FPERIOD_OVERRIDE=FY","FILING_STATUS=MR","Sort=A","Dates=H","DateFormat=P","Fill=—","Direction=H","UseDPDF=Y")</f>
        <v>#NAME?</v>
      </c>
      <c r="P129" s="14" t="e">
        <f ca="1">_xll.BDH("ANSS US Equity","DIRECTOR_ELECTION_VOTE_POLICY","FY 2022","FY 2022","Currency=USD","Period=FY","BEST_FPERIOD_OVERRIDE=FY","FILING_STATUS=MR","Sort=A","Dates=H","DateFormat=P","Fill=—","Direction=H","UseDPDF=Y")</f>
        <v>#NAME?</v>
      </c>
      <c r="Q129" s="14" t="e">
        <f ca="1">_xll.BDH("ANSS US Equity","DIRECTOR_ELECTION_VOTE_POLICY","FY 2023","FY 2023","Currency=USD","Period=FY","BEST_FPERIOD_OVERRIDE=FY","FILING_STATUS=MR","Sort=A","Dates=H","DateFormat=P","Fill=—","Direction=H","UseDPDF=Y")</f>
        <v>#NAME?</v>
      </c>
    </row>
    <row r="130" spans="1:17" x14ac:dyDescent="0.45">
      <c r="A130" s="10" t="s">
        <v>1198</v>
      </c>
      <c r="B130" s="10" t="s">
        <v>1199</v>
      </c>
      <c r="C130" s="12" t="s">
        <v>683</v>
      </c>
      <c r="D130" s="12" t="s">
        <v>683</v>
      </c>
      <c r="E130" s="12" t="s">
        <v>683</v>
      </c>
      <c r="F130" s="12" t="s">
        <v>683</v>
      </c>
      <c r="G130" s="12" t="s">
        <v>683</v>
      </c>
      <c r="H130" s="12" t="s">
        <v>683</v>
      </c>
      <c r="I130" s="12" t="s">
        <v>687</v>
      </c>
      <c r="J130" s="12" t="s">
        <v>687</v>
      </c>
      <c r="K130" s="12" t="s">
        <v>684</v>
      </c>
      <c r="L130" s="12" t="s">
        <v>684</v>
      </c>
      <c r="M130" s="12" t="s">
        <v>684</v>
      </c>
      <c r="N130" s="12" t="s">
        <v>684</v>
      </c>
      <c r="O130" s="12" t="s">
        <v>684</v>
      </c>
      <c r="P130" s="12" t="s">
        <v>684</v>
      </c>
      <c r="Q130" s="12" t="s">
        <v>684</v>
      </c>
    </row>
    <row r="131" spans="1:17" x14ac:dyDescent="0.45">
      <c r="A131" s="10" t="s">
        <v>1200</v>
      </c>
      <c r="B131" s="10" t="s">
        <v>1201</v>
      </c>
      <c r="C131" s="14" t="e">
        <f ca="1">_xll.BDH("ANSS US Equity","BOARD_DURATION","FY 2009","FY 2009","Currency=USD","Period=FY","BEST_FPERIOD_OVERRIDE=FY","FILING_STATUS=MR","Sort=A","Dates=H","DateFormat=P","Fill=—","Direction=H","UseDPDF=Y")</f>
        <v>#NAME?</v>
      </c>
      <c r="D131" s="14" t="e">
        <f ca="1">_xll.BDH("ANSS US Equity","BOARD_DURATION","FY 2010","FY 2010","Currency=USD","Period=FY","BEST_FPERIOD_OVERRIDE=FY","FILING_STATUS=MR","Sort=A","Dates=H","DateFormat=P","Fill=—","Direction=H","UseDPDF=Y")</f>
        <v>#NAME?</v>
      </c>
      <c r="E131" s="14" t="e">
        <f ca="1">_xll.BDH("ANSS US Equity","BOARD_DURATION","FY 2011","FY 2011","Currency=USD","Period=FY","BEST_FPERIOD_OVERRIDE=FY","FILING_STATUS=MR","Sort=A","Dates=H","DateFormat=P","Fill=—","Direction=H","UseDPDF=Y")</f>
        <v>#NAME?</v>
      </c>
      <c r="F131" s="14" t="e">
        <f ca="1">_xll.BDH("ANSS US Equity","BOARD_DURATION","FY 2012","FY 2012","Currency=USD","Period=FY","BEST_FPERIOD_OVERRIDE=FY","FILING_STATUS=MR","Sort=A","Dates=H","DateFormat=P","Fill=—","Direction=H","UseDPDF=Y")</f>
        <v>#NAME?</v>
      </c>
      <c r="G131" s="14" t="e">
        <f ca="1">_xll.BDH("ANSS US Equity","BOARD_DURATION","FY 2013","FY 2013","Currency=USD","Period=FY","BEST_FPERIOD_OVERRIDE=FY","FILING_STATUS=MR","Sort=A","Dates=H","DateFormat=P","Fill=—","Direction=H","UseDPDF=Y")</f>
        <v>#NAME?</v>
      </c>
      <c r="H131" s="14" t="e">
        <f ca="1">_xll.BDH("ANSS US Equity","BOARD_DURATION","FY 2014","FY 2014","Currency=USD","Period=FY","BEST_FPERIOD_OVERRIDE=FY","FILING_STATUS=MR","Sort=A","Dates=H","DateFormat=P","Fill=—","Direction=H","UseDPDF=Y")</f>
        <v>#NAME?</v>
      </c>
      <c r="I131" s="14" t="e">
        <f ca="1">_xll.BDH("ANSS US Equity","BOARD_DURATION","FY 2015","FY 2015","Currency=USD","Period=FY","BEST_FPERIOD_OVERRIDE=FY","FILING_STATUS=MR","Sort=A","Dates=H","DateFormat=P","Fill=—","Direction=H","UseDPDF=Y")</f>
        <v>#NAME?</v>
      </c>
      <c r="J131" s="14" t="e">
        <f ca="1">_xll.BDH("ANSS US Equity","BOARD_DURATION","FY 2016","FY 2016","Currency=USD","Period=FY","BEST_FPERIOD_OVERRIDE=FY","FILING_STATUS=MR","Sort=A","Dates=H","DateFormat=P","Fill=—","Direction=H","UseDPDF=Y")</f>
        <v>#NAME?</v>
      </c>
      <c r="K131" s="14" t="e">
        <f ca="1">_xll.BDH("ANSS US Equity","BOARD_DURATION","FY 2017","FY 2017","Currency=USD","Period=FY","BEST_FPERIOD_OVERRIDE=FY","FILING_STATUS=MR","Sort=A","Dates=H","DateFormat=P","Fill=—","Direction=H","UseDPDF=Y")</f>
        <v>#NAME?</v>
      </c>
      <c r="L131" s="14" t="e">
        <f ca="1">_xll.BDH("ANSS US Equity","BOARD_DURATION","FY 2018","FY 2018","Currency=USD","Period=FY","BEST_FPERIOD_OVERRIDE=FY","FILING_STATUS=MR","Sort=A","Dates=H","DateFormat=P","Fill=—","Direction=H","UseDPDF=Y")</f>
        <v>#NAME?</v>
      </c>
      <c r="M131" s="14" t="e">
        <f ca="1">_xll.BDH("ANSS US Equity","BOARD_DURATION","FY 2019","FY 2019","Currency=USD","Period=FY","BEST_FPERIOD_OVERRIDE=FY","FILING_STATUS=MR","Sort=A","Dates=H","DateFormat=P","Fill=—","Direction=H","UseDPDF=Y")</f>
        <v>#NAME?</v>
      </c>
      <c r="N131" s="14" t="e">
        <f ca="1">_xll.BDH("ANSS US Equity","BOARD_DURATION","FY 2020","FY 2020","Currency=USD","Period=FY","BEST_FPERIOD_OVERRIDE=FY","FILING_STATUS=MR","Sort=A","Dates=H","DateFormat=P","Fill=—","Direction=H","UseDPDF=Y")</f>
        <v>#NAME?</v>
      </c>
      <c r="O131" s="14" t="e">
        <f ca="1">_xll.BDH("ANSS US Equity","BOARD_DURATION","FY 2021","FY 2021","Currency=USD","Period=FY","BEST_FPERIOD_OVERRIDE=FY","FILING_STATUS=MR","Sort=A","Dates=H","DateFormat=P","Fill=—","Direction=H","UseDPDF=Y")</f>
        <v>#NAME?</v>
      </c>
      <c r="P131" s="14" t="e">
        <f ca="1">_xll.BDH("ANSS US Equity","BOARD_DURATION","FY 2022","FY 2022","Currency=USD","Period=FY","BEST_FPERIOD_OVERRIDE=FY","FILING_STATUS=MR","Sort=A","Dates=H","DateFormat=P","Fill=—","Direction=H","UseDPDF=Y")</f>
        <v>#NAME?</v>
      </c>
      <c r="Q131" s="14" t="e">
        <f ca="1">_xll.BDH("ANSS US Equity","BOARD_DURATION","FY 2023","FY 2023","Currency=USD","Period=FY","BEST_FPERIOD_OVERRIDE=FY","FILING_STATUS=MR","Sort=A","Dates=H","DateFormat=P","Fill=—","Direction=H","UseDPDF=Y")</f>
        <v>#NAME?</v>
      </c>
    </row>
    <row r="132" spans="1:17" x14ac:dyDescent="0.45">
      <c r="A132" s="10" t="s">
        <v>1202</v>
      </c>
      <c r="B132" s="10" t="s">
        <v>1203</v>
      </c>
      <c r="C132" s="14" t="e">
        <f ca="1">_xll.BDH("ANSS US Equity","EXECUTIVE_DIRECTOR_BOARD_DUR","FY 2009","FY 2009","Currency=USD","Period=FY","BEST_FPERIOD_OVERRIDE=FY","FILING_STATUS=MR","Sort=A","Dates=H","DateFormat=P","Fill=—","Direction=H","UseDPDF=Y")</f>
        <v>#NAME?</v>
      </c>
      <c r="D132" s="14" t="e">
        <f ca="1">_xll.BDH("ANSS US Equity","EXECUTIVE_DIRECTOR_BOARD_DUR","FY 2010","FY 2010","Currency=USD","Period=FY","BEST_FPERIOD_OVERRIDE=FY","FILING_STATUS=MR","Sort=A","Dates=H","DateFormat=P","Fill=—","Direction=H","UseDPDF=Y")</f>
        <v>#NAME?</v>
      </c>
      <c r="E132" s="14" t="e">
        <f ca="1">_xll.BDH("ANSS US Equity","EXECUTIVE_DIRECTOR_BOARD_DUR","FY 2011","FY 2011","Currency=USD","Period=FY","BEST_FPERIOD_OVERRIDE=FY","FILING_STATUS=MR","Sort=A","Dates=H","DateFormat=P","Fill=—","Direction=H","UseDPDF=Y")</f>
        <v>#NAME?</v>
      </c>
      <c r="F132" s="14" t="e">
        <f ca="1">_xll.BDH("ANSS US Equity","EXECUTIVE_DIRECTOR_BOARD_DUR","FY 2012","FY 2012","Currency=USD","Period=FY","BEST_FPERIOD_OVERRIDE=FY","FILING_STATUS=MR","Sort=A","Dates=H","DateFormat=P","Fill=—","Direction=H","UseDPDF=Y")</f>
        <v>#NAME?</v>
      </c>
      <c r="G132" s="14" t="e">
        <f ca="1">_xll.BDH("ANSS US Equity","EXECUTIVE_DIRECTOR_BOARD_DUR","FY 2013","FY 2013","Currency=USD","Period=FY","BEST_FPERIOD_OVERRIDE=FY","FILING_STATUS=MR","Sort=A","Dates=H","DateFormat=P","Fill=—","Direction=H","UseDPDF=Y")</f>
        <v>#NAME?</v>
      </c>
      <c r="H132" s="14" t="e">
        <f ca="1">_xll.BDH("ANSS US Equity","EXECUTIVE_DIRECTOR_BOARD_DUR","FY 2014","FY 2014","Currency=USD","Period=FY","BEST_FPERIOD_OVERRIDE=FY","FILING_STATUS=MR","Sort=A","Dates=H","DateFormat=P","Fill=—","Direction=H","UseDPDF=Y")</f>
        <v>#NAME?</v>
      </c>
      <c r="I132" s="14" t="e">
        <f ca="1">_xll.BDH("ANSS US Equity","EXECUTIVE_DIRECTOR_BOARD_DUR","FY 2015","FY 2015","Currency=USD","Period=FY","BEST_FPERIOD_OVERRIDE=FY","FILING_STATUS=MR","Sort=A","Dates=H","DateFormat=P","Fill=—","Direction=H","UseDPDF=Y")</f>
        <v>#NAME?</v>
      </c>
      <c r="J132" s="14" t="e">
        <f ca="1">_xll.BDH("ANSS US Equity","EXECUTIVE_DIRECTOR_BOARD_DUR","FY 2016","FY 2016","Currency=USD","Period=FY","BEST_FPERIOD_OVERRIDE=FY","FILING_STATUS=MR","Sort=A","Dates=H","DateFormat=P","Fill=—","Direction=H","UseDPDF=Y")</f>
        <v>#NAME?</v>
      </c>
      <c r="K132" s="14" t="e">
        <f ca="1">_xll.BDH("ANSS US Equity","EXECUTIVE_DIRECTOR_BOARD_DUR","FY 2017","FY 2017","Currency=USD","Period=FY","BEST_FPERIOD_OVERRIDE=FY","FILING_STATUS=MR","Sort=A","Dates=H","DateFormat=P","Fill=—","Direction=H","UseDPDF=Y")</f>
        <v>#NAME?</v>
      </c>
      <c r="L132" s="14" t="e">
        <f ca="1">_xll.BDH("ANSS US Equity","EXECUTIVE_DIRECTOR_BOARD_DUR","FY 2018","FY 2018","Currency=USD","Period=FY","BEST_FPERIOD_OVERRIDE=FY","FILING_STATUS=MR","Sort=A","Dates=H","DateFormat=P","Fill=—","Direction=H","UseDPDF=Y")</f>
        <v>#NAME?</v>
      </c>
      <c r="M132" s="14" t="e">
        <f ca="1">_xll.BDH("ANSS US Equity","EXECUTIVE_DIRECTOR_BOARD_DUR","FY 2019","FY 2019","Currency=USD","Period=FY","BEST_FPERIOD_OVERRIDE=FY","FILING_STATUS=MR","Sort=A","Dates=H","DateFormat=P","Fill=—","Direction=H","UseDPDF=Y")</f>
        <v>#NAME?</v>
      </c>
      <c r="N132" s="14" t="e">
        <f ca="1">_xll.BDH("ANSS US Equity","EXECUTIVE_DIRECTOR_BOARD_DUR","FY 2020","FY 2020","Currency=USD","Period=FY","BEST_FPERIOD_OVERRIDE=FY","FILING_STATUS=MR","Sort=A","Dates=H","DateFormat=P","Fill=—","Direction=H","UseDPDF=Y")</f>
        <v>#NAME?</v>
      </c>
      <c r="O132" s="14" t="e">
        <f ca="1">_xll.BDH("ANSS US Equity","EXECUTIVE_DIRECTOR_BOARD_DUR","FY 2021","FY 2021","Currency=USD","Period=FY","BEST_FPERIOD_OVERRIDE=FY","FILING_STATUS=MR","Sort=A","Dates=H","DateFormat=P","Fill=—","Direction=H","UseDPDF=Y")</f>
        <v>#NAME?</v>
      </c>
      <c r="P132" s="14" t="e">
        <f ca="1">_xll.BDH("ANSS US Equity","EXECUTIVE_DIRECTOR_BOARD_DUR","FY 2022","FY 2022","Currency=USD","Period=FY","BEST_FPERIOD_OVERRIDE=FY","FILING_STATUS=MR","Sort=A","Dates=H","DateFormat=P","Fill=—","Direction=H","UseDPDF=Y")</f>
        <v>#NAME?</v>
      </c>
      <c r="Q132" s="14" t="e">
        <f ca="1">_xll.BDH("ANSS US Equity","EXECUTIVE_DIRECTOR_BOARD_DUR","FY 2023","FY 2023","Currency=USD","Period=FY","BEST_FPERIOD_OVERRIDE=FY","FILING_STATUS=MR","Sort=A","Dates=H","DateFormat=P","Fill=—","Direction=H","UseDPDF=Y")</f>
        <v>#NAME?</v>
      </c>
    </row>
    <row r="133" spans="1:17" x14ac:dyDescent="0.45">
      <c r="A133" s="1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1:17" x14ac:dyDescent="0.45">
      <c r="A134" s="10" t="s">
        <v>1204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spans="1:17" x14ac:dyDescent="0.45">
      <c r="A135" s="10" t="s">
        <v>1205</v>
      </c>
      <c r="B135" s="10" t="s">
        <v>1206</v>
      </c>
      <c r="C135" s="12" t="s">
        <v>683</v>
      </c>
      <c r="D135" s="12" t="s">
        <v>684</v>
      </c>
      <c r="E135" s="12" t="s">
        <v>684</v>
      </c>
      <c r="F135" s="12" t="s">
        <v>684</v>
      </c>
      <c r="G135" s="12" t="s">
        <v>684</v>
      </c>
      <c r="H135" s="12" t="s">
        <v>684</v>
      </c>
      <c r="I135" s="12" t="s">
        <v>684</v>
      </c>
      <c r="J135" s="12" t="s">
        <v>684</v>
      </c>
      <c r="K135" s="12" t="s">
        <v>684</v>
      </c>
      <c r="L135" s="12" t="s">
        <v>684</v>
      </c>
      <c r="M135" s="12" t="s">
        <v>684</v>
      </c>
      <c r="N135" s="12" t="s">
        <v>684</v>
      </c>
      <c r="O135" s="12" t="s">
        <v>684</v>
      </c>
      <c r="P135" s="12" t="s">
        <v>684</v>
      </c>
      <c r="Q135" s="12" t="s">
        <v>684</v>
      </c>
    </row>
    <row r="136" spans="1:17" x14ac:dyDescent="0.45">
      <c r="A136" s="10" t="s">
        <v>1207</v>
      </c>
      <c r="B136" s="10" t="s">
        <v>1208</v>
      </c>
      <c r="C136" s="14" t="e">
        <f ca="1">_xll.BDH("ANSS US Equity","FREQUENCY_OF_SAY_ON_PAY_VOTES","FY 2009","FY 2009","Currency=USD","Period=FY","BEST_FPERIOD_OVERRIDE=FY","FILING_STATUS=MR","Sort=A","Dates=H","DateFormat=P","Fill=—","Direction=H","UseDPDF=Y")</f>
        <v>#NAME?</v>
      </c>
      <c r="D136" s="14" t="e">
        <f ca="1">_xll.BDH("ANSS US Equity","FREQUENCY_OF_SAY_ON_PAY_VOTES","FY 2010","FY 2010","Currency=USD","Period=FY","BEST_FPERIOD_OVERRIDE=FY","FILING_STATUS=MR","Sort=A","Dates=H","DateFormat=P","Fill=—","Direction=H","UseDPDF=Y")</f>
        <v>#NAME?</v>
      </c>
      <c r="E136" s="14" t="e">
        <f ca="1">_xll.BDH("ANSS US Equity","FREQUENCY_OF_SAY_ON_PAY_VOTES","FY 2011","FY 2011","Currency=USD","Period=FY","BEST_FPERIOD_OVERRIDE=FY","FILING_STATUS=MR","Sort=A","Dates=H","DateFormat=P","Fill=—","Direction=H","UseDPDF=Y")</f>
        <v>#NAME?</v>
      </c>
      <c r="F136" s="14" t="e">
        <f ca="1">_xll.BDH("ANSS US Equity","FREQUENCY_OF_SAY_ON_PAY_VOTES","FY 2012","FY 2012","Currency=USD","Period=FY","BEST_FPERIOD_OVERRIDE=FY","FILING_STATUS=MR","Sort=A","Dates=H","DateFormat=P","Fill=—","Direction=H","UseDPDF=Y")</f>
        <v>#NAME?</v>
      </c>
      <c r="G136" s="14" t="e">
        <f ca="1">_xll.BDH("ANSS US Equity","FREQUENCY_OF_SAY_ON_PAY_VOTES","FY 2013","FY 2013","Currency=USD","Period=FY","BEST_FPERIOD_OVERRIDE=FY","FILING_STATUS=MR","Sort=A","Dates=H","DateFormat=P","Fill=—","Direction=H","UseDPDF=Y")</f>
        <v>#NAME?</v>
      </c>
      <c r="H136" s="14" t="e">
        <f ca="1">_xll.BDH("ANSS US Equity","FREQUENCY_OF_SAY_ON_PAY_VOTES","FY 2014","FY 2014","Currency=USD","Period=FY","BEST_FPERIOD_OVERRIDE=FY","FILING_STATUS=MR","Sort=A","Dates=H","DateFormat=P","Fill=—","Direction=H","UseDPDF=Y")</f>
        <v>#NAME?</v>
      </c>
      <c r="I136" s="14" t="e">
        <f ca="1">_xll.BDH("ANSS US Equity","FREQUENCY_OF_SAY_ON_PAY_VOTES","FY 2015","FY 2015","Currency=USD","Period=FY","BEST_FPERIOD_OVERRIDE=FY","FILING_STATUS=MR","Sort=A","Dates=H","DateFormat=P","Fill=—","Direction=H","UseDPDF=Y")</f>
        <v>#NAME?</v>
      </c>
      <c r="J136" s="14" t="e">
        <f ca="1">_xll.BDH("ANSS US Equity","FREQUENCY_OF_SAY_ON_PAY_VOTES","FY 2016","FY 2016","Currency=USD","Period=FY","BEST_FPERIOD_OVERRIDE=FY","FILING_STATUS=MR","Sort=A","Dates=H","DateFormat=P","Fill=—","Direction=H","UseDPDF=Y")</f>
        <v>#NAME?</v>
      </c>
      <c r="K136" s="14" t="e">
        <f ca="1">_xll.BDH("ANSS US Equity","FREQUENCY_OF_SAY_ON_PAY_VOTES","FY 2017","FY 2017","Currency=USD","Period=FY","BEST_FPERIOD_OVERRIDE=FY","FILING_STATUS=MR","Sort=A","Dates=H","DateFormat=P","Fill=—","Direction=H","UseDPDF=Y")</f>
        <v>#NAME?</v>
      </c>
      <c r="L136" s="14" t="e">
        <f ca="1">_xll.BDH("ANSS US Equity","FREQUENCY_OF_SAY_ON_PAY_VOTES","FY 2018","FY 2018","Currency=USD","Period=FY","BEST_FPERIOD_OVERRIDE=FY","FILING_STATUS=MR","Sort=A","Dates=H","DateFormat=P","Fill=—","Direction=H","UseDPDF=Y")</f>
        <v>#NAME?</v>
      </c>
      <c r="M136" s="14" t="e">
        <f ca="1">_xll.BDH("ANSS US Equity","FREQUENCY_OF_SAY_ON_PAY_VOTES","FY 2019","FY 2019","Currency=USD","Period=FY","BEST_FPERIOD_OVERRIDE=FY","FILING_STATUS=MR","Sort=A","Dates=H","DateFormat=P","Fill=—","Direction=H","UseDPDF=Y")</f>
        <v>#NAME?</v>
      </c>
      <c r="N136" s="14" t="e">
        <f ca="1">_xll.BDH("ANSS US Equity","FREQUENCY_OF_SAY_ON_PAY_VOTES","FY 2020","FY 2020","Currency=USD","Period=FY","BEST_FPERIOD_OVERRIDE=FY","FILING_STATUS=MR","Sort=A","Dates=H","DateFormat=P","Fill=—","Direction=H","UseDPDF=Y")</f>
        <v>#NAME?</v>
      </c>
      <c r="O136" s="14" t="e">
        <f ca="1">_xll.BDH("ANSS US Equity","FREQUENCY_OF_SAY_ON_PAY_VOTES","FY 2021","FY 2021","Currency=USD","Period=FY","BEST_FPERIOD_OVERRIDE=FY","FILING_STATUS=MR","Sort=A","Dates=H","DateFormat=P","Fill=—","Direction=H","UseDPDF=Y")</f>
        <v>#NAME?</v>
      </c>
      <c r="P136" s="14" t="e">
        <f ca="1">_xll.BDH("ANSS US Equity","FREQUENCY_OF_SAY_ON_PAY_VOTES","FY 2022","FY 2022","Currency=USD","Period=FY","BEST_FPERIOD_OVERRIDE=FY","FILING_STATUS=MR","Sort=A","Dates=H","DateFormat=P","Fill=—","Direction=H","UseDPDF=Y")</f>
        <v>#NAME?</v>
      </c>
      <c r="Q136" s="14" t="e">
        <f ca="1">_xll.BDH("ANSS US Equity","FREQUENCY_OF_SAY_ON_PAY_VOTES","FY 2023","FY 2023","Currency=USD","Period=FY","BEST_FPERIOD_OVERRIDE=FY","FILING_STATUS=MR","Sort=A","Dates=H","DateFormat=P","Fill=—","Direction=H","UseDPDF=Y")</f>
        <v>#NAME?</v>
      </c>
    </row>
    <row r="137" spans="1:17" x14ac:dyDescent="0.45">
      <c r="A137" s="10" t="s">
        <v>1209</v>
      </c>
      <c r="B137" s="10" t="s">
        <v>1210</v>
      </c>
      <c r="C137" s="14" t="e">
        <f ca="1">_xll.BDH("ANSS US Equity","SAY_PAY_SUPPORT_LEVEL","FY 2009","FY 2009","Currency=USD","Period=FY","BEST_FPERIOD_OVERRIDE=FY","FILING_STATUS=MR","Sort=A","Dates=H","DateFormat=P","Fill=—","Direction=H","UseDPDF=Y")</f>
        <v>#NAME?</v>
      </c>
      <c r="D137" s="14" t="e">
        <f ca="1">_xll.BDH("ANSS US Equity","SAY_PAY_SUPPORT_LEVEL","FY 2010","FY 2010","Currency=USD","Period=FY","BEST_FPERIOD_OVERRIDE=FY","FILING_STATUS=MR","Sort=A","Dates=H","DateFormat=P","Fill=—","Direction=H","UseDPDF=Y")</f>
        <v>#NAME?</v>
      </c>
      <c r="E137" s="14" t="e">
        <f ca="1">_xll.BDH("ANSS US Equity","SAY_PAY_SUPPORT_LEVEL","FY 2011","FY 2011","Currency=USD","Period=FY","BEST_FPERIOD_OVERRIDE=FY","FILING_STATUS=MR","Sort=A","Dates=H","DateFormat=P","Fill=—","Direction=H","UseDPDF=Y")</f>
        <v>#NAME?</v>
      </c>
      <c r="F137" s="14" t="e">
        <f ca="1">_xll.BDH("ANSS US Equity","SAY_PAY_SUPPORT_LEVEL","FY 2012","FY 2012","Currency=USD","Period=FY","BEST_FPERIOD_OVERRIDE=FY","FILING_STATUS=MR","Sort=A","Dates=H","DateFormat=P","Fill=—","Direction=H","UseDPDF=Y")</f>
        <v>#NAME?</v>
      </c>
      <c r="G137" s="14" t="e">
        <f ca="1">_xll.BDH("ANSS US Equity","SAY_PAY_SUPPORT_LEVEL","FY 2013","FY 2013","Currency=USD","Period=FY","BEST_FPERIOD_OVERRIDE=FY","FILING_STATUS=MR","Sort=A","Dates=H","DateFormat=P","Fill=—","Direction=H","UseDPDF=Y")</f>
        <v>#NAME?</v>
      </c>
      <c r="H137" s="14" t="e">
        <f ca="1">_xll.BDH("ANSS US Equity","SAY_PAY_SUPPORT_LEVEL","FY 2014","FY 2014","Currency=USD","Period=FY","BEST_FPERIOD_OVERRIDE=FY","FILING_STATUS=MR","Sort=A","Dates=H","DateFormat=P","Fill=—","Direction=H","UseDPDF=Y")</f>
        <v>#NAME?</v>
      </c>
      <c r="I137" s="14" t="e">
        <f ca="1">_xll.BDH("ANSS US Equity","SAY_PAY_SUPPORT_LEVEL","FY 2015","FY 2015","Currency=USD","Period=FY","BEST_FPERIOD_OVERRIDE=FY","FILING_STATUS=MR","Sort=A","Dates=H","DateFormat=P","Fill=—","Direction=H","UseDPDF=Y")</f>
        <v>#NAME?</v>
      </c>
      <c r="J137" s="14" t="e">
        <f ca="1">_xll.BDH("ANSS US Equity","SAY_PAY_SUPPORT_LEVEL","FY 2016","FY 2016","Currency=USD","Period=FY","BEST_FPERIOD_OVERRIDE=FY","FILING_STATUS=MR","Sort=A","Dates=H","DateFormat=P","Fill=—","Direction=H","UseDPDF=Y")</f>
        <v>#NAME?</v>
      </c>
      <c r="K137" s="14" t="e">
        <f ca="1">_xll.BDH("ANSS US Equity","SAY_PAY_SUPPORT_LEVEL","FY 2017","FY 2017","Currency=USD","Period=FY","BEST_FPERIOD_OVERRIDE=FY","FILING_STATUS=MR","Sort=A","Dates=H","DateFormat=P","Fill=—","Direction=H","UseDPDF=Y")</f>
        <v>#NAME?</v>
      </c>
      <c r="L137" s="14" t="e">
        <f ca="1">_xll.BDH("ANSS US Equity","SAY_PAY_SUPPORT_LEVEL","FY 2018","FY 2018","Currency=USD","Period=FY","BEST_FPERIOD_OVERRIDE=FY","FILING_STATUS=MR","Sort=A","Dates=H","DateFormat=P","Fill=—","Direction=H","UseDPDF=Y")</f>
        <v>#NAME?</v>
      </c>
      <c r="M137" s="14" t="e">
        <f ca="1">_xll.BDH("ANSS US Equity","SAY_PAY_SUPPORT_LEVEL","FY 2019","FY 2019","Currency=USD","Period=FY","BEST_FPERIOD_OVERRIDE=FY","FILING_STATUS=MR","Sort=A","Dates=H","DateFormat=P","Fill=—","Direction=H","UseDPDF=Y")</f>
        <v>#NAME?</v>
      </c>
      <c r="N137" s="14" t="e">
        <f ca="1">_xll.BDH("ANSS US Equity","SAY_PAY_SUPPORT_LEVEL","FY 2020","FY 2020","Currency=USD","Period=FY","BEST_FPERIOD_OVERRIDE=FY","FILING_STATUS=MR","Sort=A","Dates=H","DateFormat=P","Fill=—","Direction=H","UseDPDF=Y")</f>
        <v>#NAME?</v>
      </c>
      <c r="O137" s="14" t="e">
        <f ca="1">_xll.BDH("ANSS US Equity","SAY_PAY_SUPPORT_LEVEL","FY 2021","FY 2021","Currency=USD","Period=FY","BEST_FPERIOD_OVERRIDE=FY","FILING_STATUS=MR","Sort=A","Dates=H","DateFormat=P","Fill=—","Direction=H","UseDPDF=Y")</f>
        <v>#NAME?</v>
      </c>
      <c r="P137" s="14" t="e">
        <f ca="1">_xll.BDH("ANSS US Equity","SAY_PAY_SUPPORT_LEVEL","FY 2022","FY 2022","Currency=USD","Period=FY","BEST_FPERIOD_OVERRIDE=FY","FILING_STATUS=MR","Sort=A","Dates=H","DateFormat=P","Fill=—","Direction=H","UseDPDF=Y")</f>
        <v>#NAME?</v>
      </c>
      <c r="Q137" s="14" t="e">
        <f ca="1">_xll.BDH("ANSS US Equity","SAY_PAY_SUPPORT_LEVEL","FY 2023","FY 2023","Currency=USD","Period=FY","BEST_FPERIOD_OVERRIDE=FY","FILING_STATUS=MR","Sort=A","Dates=H","DateFormat=P","Fill=—","Direction=H","UseDPDF=Y")</f>
        <v>#NAME?</v>
      </c>
    </row>
    <row r="138" spans="1:17" x14ac:dyDescent="0.45">
      <c r="A138" s="10" t="s">
        <v>1211</v>
      </c>
      <c r="B138" s="10" t="s">
        <v>1212</v>
      </c>
      <c r="C138" s="13" t="e">
        <f ca="1">_xll.BDH("ANSS US Equity","SAY_PAY_NUMBER_OF_VOTES_FOR","FY 2009","FY 2009","Currency=USD","Period=FY","BEST_FPERIOD_OVERRIDE=FY","FILING_STATUS=MR","Sort=A","Dates=H","DateFormat=P","Fill=—","Direction=H","UseDPDF=Y")</f>
        <v>#NAME?</v>
      </c>
      <c r="D138" s="13" t="e">
        <f ca="1">_xll.BDH("ANSS US Equity","SAY_PAY_NUMBER_OF_VOTES_FOR","FY 2010","FY 2010","Currency=USD","Period=FY","BEST_FPERIOD_OVERRIDE=FY","FILING_STATUS=MR","Sort=A","Dates=H","DateFormat=P","Fill=—","Direction=H","UseDPDF=Y")</f>
        <v>#NAME?</v>
      </c>
      <c r="E138" s="13" t="e">
        <f ca="1">_xll.BDH("ANSS US Equity","SAY_PAY_NUMBER_OF_VOTES_FOR","FY 2011","FY 2011","Currency=USD","Period=FY","BEST_FPERIOD_OVERRIDE=FY","FILING_STATUS=MR","Sort=A","Dates=H","DateFormat=P","Fill=—","Direction=H","UseDPDF=Y")</f>
        <v>#NAME?</v>
      </c>
      <c r="F138" s="13" t="e">
        <f ca="1">_xll.BDH("ANSS US Equity","SAY_PAY_NUMBER_OF_VOTES_FOR","FY 2012","FY 2012","Currency=USD","Period=FY","BEST_FPERIOD_OVERRIDE=FY","FILING_STATUS=MR","Sort=A","Dates=H","DateFormat=P","Fill=—","Direction=H","UseDPDF=Y")</f>
        <v>#NAME?</v>
      </c>
      <c r="G138" s="13" t="e">
        <f ca="1">_xll.BDH("ANSS US Equity","SAY_PAY_NUMBER_OF_VOTES_FOR","FY 2013","FY 2013","Currency=USD","Period=FY","BEST_FPERIOD_OVERRIDE=FY","FILING_STATUS=MR","Sort=A","Dates=H","DateFormat=P","Fill=—","Direction=H","UseDPDF=Y")</f>
        <v>#NAME?</v>
      </c>
      <c r="H138" s="13" t="e">
        <f ca="1">_xll.BDH("ANSS US Equity","SAY_PAY_NUMBER_OF_VOTES_FOR","FY 2014","FY 2014","Currency=USD","Period=FY","BEST_FPERIOD_OVERRIDE=FY","FILING_STATUS=MR","Sort=A","Dates=H","DateFormat=P","Fill=—","Direction=H","UseDPDF=Y")</f>
        <v>#NAME?</v>
      </c>
      <c r="I138" s="13" t="e">
        <f ca="1">_xll.BDH("ANSS US Equity","SAY_PAY_NUMBER_OF_VOTES_FOR","FY 2015","FY 2015","Currency=USD","Period=FY","BEST_FPERIOD_OVERRIDE=FY","FILING_STATUS=MR","Sort=A","Dates=H","DateFormat=P","Fill=—","Direction=H","UseDPDF=Y")</f>
        <v>#NAME?</v>
      </c>
      <c r="J138" s="13" t="e">
        <f ca="1">_xll.BDH("ANSS US Equity","SAY_PAY_NUMBER_OF_VOTES_FOR","FY 2016","FY 2016","Currency=USD","Period=FY","BEST_FPERIOD_OVERRIDE=FY","FILING_STATUS=MR","Sort=A","Dates=H","DateFormat=P","Fill=—","Direction=H","UseDPDF=Y")</f>
        <v>#NAME?</v>
      </c>
      <c r="K138" s="13" t="e">
        <f ca="1">_xll.BDH("ANSS US Equity","SAY_PAY_NUMBER_OF_VOTES_FOR","FY 2017","FY 2017","Currency=USD","Period=FY","BEST_FPERIOD_OVERRIDE=FY","FILING_STATUS=MR","Sort=A","Dates=H","DateFormat=P","Fill=—","Direction=H","UseDPDF=Y")</f>
        <v>#NAME?</v>
      </c>
      <c r="L138" s="13" t="e">
        <f ca="1">_xll.BDH("ANSS US Equity","SAY_PAY_NUMBER_OF_VOTES_FOR","FY 2018","FY 2018","Currency=USD","Period=FY","BEST_FPERIOD_OVERRIDE=FY","FILING_STATUS=MR","Sort=A","Dates=H","DateFormat=P","Fill=—","Direction=H","UseDPDF=Y")</f>
        <v>#NAME?</v>
      </c>
      <c r="M138" s="13" t="e">
        <f ca="1">_xll.BDH("ANSS US Equity","SAY_PAY_NUMBER_OF_VOTES_FOR","FY 2019","FY 2019","Currency=USD","Period=FY","BEST_FPERIOD_OVERRIDE=FY","FILING_STATUS=MR","Sort=A","Dates=H","DateFormat=P","Fill=—","Direction=H","UseDPDF=Y")</f>
        <v>#NAME?</v>
      </c>
      <c r="N138" s="13" t="e">
        <f ca="1">_xll.BDH("ANSS US Equity","SAY_PAY_NUMBER_OF_VOTES_FOR","FY 2020","FY 2020","Currency=USD","Period=FY","BEST_FPERIOD_OVERRIDE=FY","FILING_STATUS=MR","Sort=A","Dates=H","DateFormat=P","Fill=—","Direction=H","UseDPDF=Y")</f>
        <v>#NAME?</v>
      </c>
      <c r="O138" s="13" t="e">
        <f ca="1">_xll.BDH("ANSS US Equity","SAY_PAY_NUMBER_OF_VOTES_FOR","FY 2021","FY 2021","Currency=USD","Period=FY","BEST_FPERIOD_OVERRIDE=FY","FILING_STATUS=MR","Sort=A","Dates=H","DateFormat=P","Fill=—","Direction=H","UseDPDF=Y")</f>
        <v>#NAME?</v>
      </c>
      <c r="P138" s="13" t="e">
        <f ca="1">_xll.BDH("ANSS US Equity","SAY_PAY_NUMBER_OF_VOTES_FOR","FY 2022","FY 2022","Currency=USD","Period=FY","BEST_FPERIOD_OVERRIDE=FY","FILING_STATUS=MR","Sort=A","Dates=H","DateFormat=P","Fill=—","Direction=H","UseDPDF=Y")</f>
        <v>#NAME?</v>
      </c>
      <c r="Q138" s="13" t="e">
        <f ca="1">_xll.BDH("ANSS US Equity","SAY_PAY_NUMBER_OF_VOTES_FOR","FY 2023","FY 2023","Currency=USD","Period=FY","BEST_FPERIOD_OVERRIDE=FY","FILING_STATUS=MR","Sort=A","Dates=H","DateFormat=P","Fill=—","Direction=H","UseDPDF=Y")</f>
        <v>#NAME?</v>
      </c>
    </row>
    <row r="139" spans="1:17" x14ac:dyDescent="0.45">
      <c r="A139" s="10" t="s">
        <v>1213</v>
      </c>
      <c r="B139" s="10" t="s">
        <v>1214</v>
      </c>
      <c r="C139" s="13" t="e">
        <f ca="1">_xll.BDH("ANSS US Equity","SAY_PAY_NUMBER_OF_VOTES_AGAINST","FY 2009","FY 2009","Currency=USD","Period=FY","BEST_FPERIOD_OVERRIDE=FY","FILING_STATUS=MR","Sort=A","Dates=H","DateFormat=P","Fill=—","Direction=H","UseDPDF=Y")</f>
        <v>#NAME?</v>
      </c>
      <c r="D139" s="13" t="e">
        <f ca="1">_xll.BDH("ANSS US Equity","SAY_PAY_NUMBER_OF_VOTES_AGAINST","FY 2010","FY 2010","Currency=USD","Period=FY","BEST_FPERIOD_OVERRIDE=FY","FILING_STATUS=MR","Sort=A","Dates=H","DateFormat=P","Fill=—","Direction=H","UseDPDF=Y")</f>
        <v>#NAME?</v>
      </c>
      <c r="E139" s="13" t="e">
        <f ca="1">_xll.BDH("ANSS US Equity","SAY_PAY_NUMBER_OF_VOTES_AGAINST","FY 2011","FY 2011","Currency=USD","Period=FY","BEST_FPERIOD_OVERRIDE=FY","FILING_STATUS=MR","Sort=A","Dates=H","DateFormat=P","Fill=—","Direction=H","UseDPDF=Y")</f>
        <v>#NAME?</v>
      </c>
      <c r="F139" s="13" t="e">
        <f ca="1">_xll.BDH("ANSS US Equity","SAY_PAY_NUMBER_OF_VOTES_AGAINST","FY 2012","FY 2012","Currency=USD","Period=FY","BEST_FPERIOD_OVERRIDE=FY","FILING_STATUS=MR","Sort=A","Dates=H","DateFormat=P","Fill=—","Direction=H","UseDPDF=Y")</f>
        <v>#NAME?</v>
      </c>
      <c r="G139" s="13" t="e">
        <f ca="1">_xll.BDH("ANSS US Equity","SAY_PAY_NUMBER_OF_VOTES_AGAINST","FY 2013","FY 2013","Currency=USD","Period=FY","BEST_FPERIOD_OVERRIDE=FY","FILING_STATUS=MR","Sort=A","Dates=H","DateFormat=P","Fill=—","Direction=H","UseDPDF=Y")</f>
        <v>#NAME?</v>
      </c>
      <c r="H139" s="13" t="e">
        <f ca="1">_xll.BDH("ANSS US Equity","SAY_PAY_NUMBER_OF_VOTES_AGAINST","FY 2014","FY 2014","Currency=USD","Period=FY","BEST_FPERIOD_OVERRIDE=FY","FILING_STATUS=MR","Sort=A","Dates=H","DateFormat=P","Fill=—","Direction=H","UseDPDF=Y")</f>
        <v>#NAME?</v>
      </c>
      <c r="I139" s="13" t="e">
        <f ca="1">_xll.BDH("ANSS US Equity","SAY_PAY_NUMBER_OF_VOTES_AGAINST","FY 2015","FY 2015","Currency=USD","Period=FY","BEST_FPERIOD_OVERRIDE=FY","FILING_STATUS=MR","Sort=A","Dates=H","DateFormat=P","Fill=—","Direction=H","UseDPDF=Y")</f>
        <v>#NAME?</v>
      </c>
      <c r="J139" s="13" t="e">
        <f ca="1">_xll.BDH("ANSS US Equity","SAY_PAY_NUMBER_OF_VOTES_AGAINST","FY 2016","FY 2016","Currency=USD","Period=FY","BEST_FPERIOD_OVERRIDE=FY","FILING_STATUS=MR","Sort=A","Dates=H","DateFormat=P","Fill=—","Direction=H","UseDPDF=Y")</f>
        <v>#NAME?</v>
      </c>
      <c r="K139" s="13" t="e">
        <f ca="1">_xll.BDH("ANSS US Equity","SAY_PAY_NUMBER_OF_VOTES_AGAINST","FY 2017","FY 2017","Currency=USD","Period=FY","BEST_FPERIOD_OVERRIDE=FY","FILING_STATUS=MR","Sort=A","Dates=H","DateFormat=P","Fill=—","Direction=H","UseDPDF=Y")</f>
        <v>#NAME?</v>
      </c>
      <c r="L139" s="13" t="e">
        <f ca="1">_xll.BDH("ANSS US Equity","SAY_PAY_NUMBER_OF_VOTES_AGAINST","FY 2018","FY 2018","Currency=USD","Period=FY","BEST_FPERIOD_OVERRIDE=FY","FILING_STATUS=MR","Sort=A","Dates=H","DateFormat=P","Fill=—","Direction=H","UseDPDF=Y")</f>
        <v>#NAME?</v>
      </c>
      <c r="M139" s="13" t="e">
        <f ca="1">_xll.BDH("ANSS US Equity","SAY_PAY_NUMBER_OF_VOTES_AGAINST","FY 2019","FY 2019","Currency=USD","Period=FY","BEST_FPERIOD_OVERRIDE=FY","FILING_STATUS=MR","Sort=A","Dates=H","DateFormat=P","Fill=—","Direction=H","UseDPDF=Y")</f>
        <v>#NAME?</v>
      </c>
      <c r="N139" s="13" t="e">
        <f ca="1">_xll.BDH("ANSS US Equity","SAY_PAY_NUMBER_OF_VOTES_AGAINST","FY 2020","FY 2020","Currency=USD","Period=FY","BEST_FPERIOD_OVERRIDE=FY","FILING_STATUS=MR","Sort=A","Dates=H","DateFormat=P","Fill=—","Direction=H","UseDPDF=Y")</f>
        <v>#NAME?</v>
      </c>
      <c r="O139" s="13" t="e">
        <f ca="1">_xll.BDH("ANSS US Equity","SAY_PAY_NUMBER_OF_VOTES_AGAINST","FY 2021","FY 2021","Currency=USD","Period=FY","BEST_FPERIOD_OVERRIDE=FY","FILING_STATUS=MR","Sort=A","Dates=H","DateFormat=P","Fill=—","Direction=H","UseDPDF=Y")</f>
        <v>#NAME?</v>
      </c>
      <c r="P139" s="13" t="e">
        <f ca="1">_xll.BDH("ANSS US Equity","SAY_PAY_NUMBER_OF_VOTES_AGAINST","FY 2022","FY 2022","Currency=USD","Period=FY","BEST_FPERIOD_OVERRIDE=FY","FILING_STATUS=MR","Sort=A","Dates=H","DateFormat=P","Fill=—","Direction=H","UseDPDF=Y")</f>
        <v>#NAME?</v>
      </c>
      <c r="Q139" s="13" t="e">
        <f ca="1">_xll.BDH("ANSS US Equity","SAY_PAY_NUMBER_OF_VOTES_AGAINST","FY 2023","FY 2023","Currency=USD","Period=FY","BEST_FPERIOD_OVERRIDE=FY","FILING_STATUS=MR","Sort=A","Dates=H","DateFormat=P","Fill=—","Direction=H","UseDPDF=Y")</f>
        <v>#NAME?</v>
      </c>
    </row>
    <row r="140" spans="1:17" x14ac:dyDescent="0.45">
      <c r="A140" s="10" t="s">
        <v>1215</v>
      </c>
      <c r="B140" s="10" t="s">
        <v>1216</v>
      </c>
      <c r="C140" s="13" t="e">
        <f ca="1">_xll.BDH("ANSS US Equity","SAY_ON_PAY_NUMBER_VOTES_ABSTAIN","FY 2009","FY 2009","Currency=USD","Period=FY","BEST_FPERIOD_OVERRIDE=FY","FILING_STATUS=MR","Sort=A","Dates=H","DateFormat=P","Fill=—","Direction=H","UseDPDF=Y")</f>
        <v>#NAME?</v>
      </c>
      <c r="D140" s="13" t="e">
        <f ca="1">_xll.BDH("ANSS US Equity","SAY_ON_PAY_NUMBER_VOTES_ABSTAIN","FY 2010","FY 2010","Currency=USD","Period=FY","BEST_FPERIOD_OVERRIDE=FY","FILING_STATUS=MR","Sort=A","Dates=H","DateFormat=P","Fill=—","Direction=H","UseDPDF=Y")</f>
        <v>#NAME?</v>
      </c>
      <c r="E140" s="13" t="e">
        <f ca="1">_xll.BDH("ANSS US Equity","SAY_ON_PAY_NUMBER_VOTES_ABSTAIN","FY 2011","FY 2011","Currency=USD","Period=FY","BEST_FPERIOD_OVERRIDE=FY","FILING_STATUS=MR","Sort=A","Dates=H","DateFormat=P","Fill=—","Direction=H","UseDPDF=Y")</f>
        <v>#NAME?</v>
      </c>
      <c r="F140" s="13" t="e">
        <f ca="1">_xll.BDH("ANSS US Equity","SAY_ON_PAY_NUMBER_VOTES_ABSTAIN","FY 2012","FY 2012","Currency=USD","Period=FY","BEST_FPERIOD_OVERRIDE=FY","FILING_STATUS=MR","Sort=A","Dates=H","DateFormat=P","Fill=—","Direction=H","UseDPDF=Y")</f>
        <v>#NAME?</v>
      </c>
      <c r="G140" s="13" t="e">
        <f ca="1">_xll.BDH("ANSS US Equity","SAY_ON_PAY_NUMBER_VOTES_ABSTAIN","FY 2013","FY 2013","Currency=USD","Period=FY","BEST_FPERIOD_OVERRIDE=FY","FILING_STATUS=MR","Sort=A","Dates=H","DateFormat=P","Fill=—","Direction=H","UseDPDF=Y")</f>
        <v>#NAME?</v>
      </c>
      <c r="H140" s="13" t="e">
        <f ca="1">_xll.BDH("ANSS US Equity","SAY_ON_PAY_NUMBER_VOTES_ABSTAIN","FY 2014","FY 2014","Currency=USD","Period=FY","BEST_FPERIOD_OVERRIDE=FY","FILING_STATUS=MR","Sort=A","Dates=H","DateFormat=P","Fill=—","Direction=H","UseDPDF=Y")</f>
        <v>#NAME?</v>
      </c>
      <c r="I140" s="13" t="e">
        <f ca="1">_xll.BDH("ANSS US Equity","SAY_ON_PAY_NUMBER_VOTES_ABSTAIN","FY 2015","FY 2015","Currency=USD","Period=FY","BEST_FPERIOD_OVERRIDE=FY","FILING_STATUS=MR","Sort=A","Dates=H","DateFormat=P","Fill=—","Direction=H","UseDPDF=Y")</f>
        <v>#NAME?</v>
      </c>
      <c r="J140" s="13" t="e">
        <f ca="1">_xll.BDH("ANSS US Equity","SAY_ON_PAY_NUMBER_VOTES_ABSTAIN","FY 2016","FY 2016","Currency=USD","Period=FY","BEST_FPERIOD_OVERRIDE=FY","FILING_STATUS=MR","Sort=A","Dates=H","DateFormat=P","Fill=—","Direction=H","UseDPDF=Y")</f>
        <v>#NAME?</v>
      </c>
      <c r="K140" s="13" t="e">
        <f ca="1">_xll.BDH("ANSS US Equity","SAY_ON_PAY_NUMBER_VOTES_ABSTAIN","FY 2017","FY 2017","Currency=USD","Period=FY","BEST_FPERIOD_OVERRIDE=FY","FILING_STATUS=MR","Sort=A","Dates=H","DateFormat=P","Fill=—","Direction=H","UseDPDF=Y")</f>
        <v>#NAME?</v>
      </c>
      <c r="L140" s="13" t="e">
        <f ca="1">_xll.BDH("ANSS US Equity","SAY_ON_PAY_NUMBER_VOTES_ABSTAIN","FY 2018","FY 2018","Currency=USD","Period=FY","BEST_FPERIOD_OVERRIDE=FY","FILING_STATUS=MR","Sort=A","Dates=H","DateFormat=P","Fill=—","Direction=H","UseDPDF=Y")</f>
        <v>#NAME?</v>
      </c>
      <c r="M140" s="13" t="e">
        <f ca="1">_xll.BDH("ANSS US Equity","SAY_ON_PAY_NUMBER_VOTES_ABSTAIN","FY 2019","FY 2019","Currency=USD","Period=FY","BEST_FPERIOD_OVERRIDE=FY","FILING_STATUS=MR","Sort=A","Dates=H","DateFormat=P","Fill=—","Direction=H","UseDPDF=Y")</f>
        <v>#NAME?</v>
      </c>
      <c r="N140" s="13" t="e">
        <f ca="1">_xll.BDH("ANSS US Equity","SAY_ON_PAY_NUMBER_VOTES_ABSTAIN","FY 2020","FY 2020","Currency=USD","Period=FY","BEST_FPERIOD_OVERRIDE=FY","FILING_STATUS=MR","Sort=A","Dates=H","DateFormat=P","Fill=—","Direction=H","UseDPDF=Y")</f>
        <v>#NAME?</v>
      </c>
      <c r="O140" s="13" t="e">
        <f ca="1">_xll.BDH("ANSS US Equity","SAY_ON_PAY_NUMBER_VOTES_ABSTAIN","FY 2021","FY 2021","Currency=USD","Period=FY","BEST_FPERIOD_OVERRIDE=FY","FILING_STATUS=MR","Sort=A","Dates=H","DateFormat=P","Fill=—","Direction=H","UseDPDF=Y")</f>
        <v>#NAME?</v>
      </c>
      <c r="P140" s="13" t="e">
        <f ca="1">_xll.BDH("ANSS US Equity","SAY_ON_PAY_NUMBER_VOTES_ABSTAIN","FY 2022","FY 2022","Currency=USD","Period=FY","BEST_FPERIOD_OVERRIDE=FY","FILING_STATUS=MR","Sort=A","Dates=H","DateFormat=P","Fill=—","Direction=H","UseDPDF=Y")</f>
        <v>#NAME?</v>
      </c>
      <c r="Q140" s="13" t="e">
        <f ca="1">_xll.BDH("ANSS US Equity","SAY_ON_PAY_NUMBER_VOTES_ABSTAIN","FY 2023","FY 2023","Currency=USD","Period=FY","BEST_FPERIOD_OVERRIDE=FY","FILING_STATUS=MR","Sort=A","Dates=H","DateFormat=P","Fill=—","Direction=H","UseDPDF=Y")</f>
        <v>#NAME?</v>
      </c>
    </row>
    <row r="141" spans="1:17" x14ac:dyDescent="0.45">
      <c r="A141" s="10" t="s">
        <v>1217</v>
      </c>
      <c r="B141" s="10" t="s">
        <v>1218</v>
      </c>
      <c r="C141" s="13" t="e">
        <f ca="1">_xll.BDH("ANSS US Equity","SAY_PAY_NUM_VOTES_BRK_NON_VOTE","FY 2009","FY 2009","Currency=USD","Period=FY","BEST_FPERIOD_OVERRIDE=FY","FILING_STATUS=MR","Sort=A","Dates=H","DateFormat=P","Fill=—","Direction=H","UseDPDF=Y")</f>
        <v>#NAME?</v>
      </c>
      <c r="D141" s="13" t="e">
        <f ca="1">_xll.BDH("ANSS US Equity","SAY_PAY_NUM_VOTES_BRK_NON_VOTE","FY 2010","FY 2010","Currency=USD","Period=FY","BEST_FPERIOD_OVERRIDE=FY","FILING_STATUS=MR","Sort=A","Dates=H","DateFormat=P","Fill=—","Direction=H","UseDPDF=Y")</f>
        <v>#NAME?</v>
      </c>
      <c r="E141" s="13" t="e">
        <f ca="1">_xll.BDH("ANSS US Equity","SAY_PAY_NUM_VOTES_BRK_NON_VOTE","FY 2011","FY 2011","Currency=USD","Period=FY","BEST_FPERIOD_OVERRIDE=FY","FILING_STATUS=MR","Sort=A","Dates=H","DateFormat=P","Fill=—","Direction=H","UseDPDF=Y")</f>
        <v>#NAME?</v>
      </c>
      <c r="F141" s="13" t="e">
        <f ca="1">_xll.BDH("ANSS US Equity","SAY_PAY_NUM_VOTES_BRK_NON_VOTE","FY 2012","FY 2012","Currency=USD","Period=FY","BEST_FPERIOD_OVERRIDE=FY","FILING_STATUS=MR","Sort=A","Dates=H","DateFormat=P","Fill=—","Direction=H","UseDPDF=Y")</f>
        <v>#NAME?</v>
      </c>
      <c r="G141" s="13" t="e">
        <f ca="1">_xll.BDH("ANSS US Equity","SAY_PAY_NUM_VOTES_BRK_NON_VOTE","FY 2013","FY 2013","Currency=USD","Period=FY","BEST_FPERIOD_OVERRIDE=FY","FILING_STATUS=MR","Sort=A","Dates=H","DateFormat=P","Fill=—","Direction=H","UseDPDF=Y")</f>
        <v>#NAME?</v>
      </c>
      <c r="H141" s="13" t="e">
        <f ca="1">_xll.BDH("ANSS US Equity","SAY_PAY_NUM_VOTES_BRK_NON_VOTE","FY 2014","FY 2014","Currency=USD","Period=FY","BEST_FPERIOD_OVERRIDE=FY","FILING_STATUS=MR","Sort=A","Dates=H","DateFormat=P","Fill=—","Direction=H","UseDPDF=Y")</f>
        <v>#NAME?</v>
      </c>
      <c r="I141" s="13" t="e">
        <f ca="1">_xll.BDH("ANSS US Equity","SAY_PAY_NUM_VOTES_BRK_NON_VOTE","FY 2015","FY 2015","Currency=USD","Period=FY","BEST_FPERIOD_OVERRIDE=FY","FILING_STATUS=MR","Sort=A","Dates=H","DateFormat=P","Fill=—","Direction=H","UseDPDF=Y")</f>
        <v>#NAME?</v>
      </c>
      <c r="J141" s="13" t="e">
        <f ca="1">_xll.BDH("ANSS US Equity","SAY_PAY_NUM_VOTES_BRK_NON_VOTE","FY 2016","FY 2016","Currency=USD","Period=FY","BEST_FPERIOD_OVERRIDE=FY","FILING_STATUS=MR","Sort=A","Dates=H","DateFormat=P","Fill=—","Direction=H","UseDPDF=Y")</f>
        <v>#NAME?</v>
      </c>
      <c r="K141" s="13" t="e">
        <f ca="1">_xll.BDH("ANSS US Equity","SAY_PAY_NUM_VOTES_BRK_NON_VOTE","FY 2017","FY 2017","Currency=USD","Period=FY","BEST_FPERIOD_OVERRIDE=FY","FILING_STATUS=MR","Sort=A","Dates=H","DateFormat=P","Fill=—","Direction=H","UseDPDF=Y")</f>
        <v>#NAME?</v>
      </c>
      <c r="L141" s="13" t="e">
        <f ca="1">_xll.BDH("ANSS US Equity","SAY_PAY_NUM_VOTES_BRK_NON_VOTE","FY 2018","FY 2018","Currency=USD","Period=FY","BEST_FPERIOD_OVERRIDE=FY","FILING_STATUS=MR","Sort=A","Dates=H","DateFormat=P","Fill=—","Direction=H","UseDPDF=Y")</f>
        <v>#NAME?</v>
      </c>
      <c r="M141" s="13" t="e">
        <f ca="1">_xll.BDH("ANSS US Equity","SAY_PAY_NUM_VOTES_BRK_NON_VOTE","FY 2019","FY 2019","Currency=USD","Period=FY","BEST_FPERIOD_OVERRIDE=FY","FILING_STATUS=MR","Sort=A","Dates=H","DateFormat=P","Fill=—","Direction=H","UseDPDF=Y")</f>
        <v>#NAME?</v>
      </c>
      <c r="N141" s="13" t="e">
        <f ca="1">_xll.BDH("ANSS US Equity","SAY_PAY_NUM_VOTES_BRK_NON_VOTE","FY 2020","FY 2020","Currency=USD","Period=FY","BEST_FPERIOD_OVERRIDE=FY","FILING_STATUS=MR","Sort=A","Dates=H","DateFormat=P","Fill=—","Direction=H","UseDPDF=Y")</f>
        <v>#NAME?</v>
      </c>
      <c r="O141" s="13" t="e">
        <f ca="1">_xll.BDH("ANSS US Equity","SAY_PAY_NUM_VOTES_BRK_NON_VOTE","FY 2021","FY 2021","Currency=USD","Period=FY","BEST_FPERIOD_OVERRIDE=FY","FILING_STATUS=MR","Sort=A","Dates=H","DateFormat=P","Fill=—","Direction=H","UseDPDF=Y")</f>
        <v>#NAME?</v>
      </c>
      <c r="P141" s="13" t="e">
        <f ca="1">_xll.BDH("ANSS US Equity","SAY_PAY_NUM_VOTES_BRK_NON_VOTE","FY 2022","FY 2022","Currency=USD","Period=FY","BEST_FPERIOD_OVERRIDE=FY","FILING_STATUS=MR","Sort=A","Dates=H","DateFormat=P","Fill=—","Direction=H","UseDPDF=Y")</f>
        <v>#NAME?</v>
      </c>
      <c r="Q141" s="13" t="e">
        <f ca="1">_xll.BDH("ANSS US Equity","SAY_PAY_NUM_VOTES_BRK_NON_VOTE","FY 2023","FY 2023","Currency=USD","Period=FY","BEST_FPERIOD_OVERRIDE=FY","FILING_STATUS=MR","Sort=A","Dates=H","DateFormat=P","Fill=—","Direction=H","UseDPDF=Y")</f>
        <v>#NAME?</v>
      </c>
    </row>
    <row r="142" spans="1:17" x14ac:dyDescent="0.45">
      <c r="A142" s="10" t="s">
        <v>1219</v>
      </c>
      <c r="B142" s="10" t="s">
        <v>1220</v>
      </c>
      <c r="C142" s="12" t="s">
        <v>684</v>
      </c>
      <c r="D142" s="12" t="s">
        <v>684</v>
      </c>
      <c r="E142" s="12" t="s">
        <v>684</v>
      </c>
      <c r="F142" s="12" t="s">
        <v>684</v>
      </c>
      <c r="G142" s="12" t="s">
        <v>684</v>
      </c>
      <c r="H142" s="12" t="s">
        <v>684</v>
      </c>
      <c r="I142" s="12" t="s">
        <v>684</v>
      </c>
      <c r="J142" s="12" t="s">
        <v>684</v>
      </c>
      <c r="K142" s="12" t="s">
        <v>684</v>
      </c>
      <c r="L142" s="12" t="s">
        <v>684</v>
      </c>
      <c r="M142" s="12" t="s">
        <v>684</v>
      </c>
      <c r="N142" s="12" t="s">
        <v>684</v>
      </c>
      <c r="O142" s="12" t="s">
        <v>684</v>
      </c>
      <c r="P142" s="12" t="s">
        <v>684</v>
      </c>
      <c r="Q142" s="12" t="s">
        <v>684</v>
      </c>
    </row>
    <row r="143" spans="1:17" x14ac:dyDescent="0.45">
      <c r="A143" s="10" t="s">
        <v>1221</v>
      </c>
      <c r="B143" s="10" t="s">
        <v>1222</v>
      </c>
      <c r="C143" s="14" t="e">
        <f ca="1">_xll.BDH("ANSS US Equity","AUDITOR_RATIFICATION_SUP_LEVL","FY 2009","FY 2009","Currency=USD","Period=FY","BEST_FPERIOD_OVERRIDE=FY","FILING_STATUS=MR","Sort=A","Dates=H","DateFormat=P","Fill=—","Direction=H","UseDPDF=Y")</f>
        <v>#NAME?</v>
      </c>
      <c r="D143" s="14" t="e">
        <f ca="1">_xll.BDH("ANSS US Equity","AUDITOR_RATIFICATION_SUP_LEVL","FY 2010","FY 2010","Currency=USD","Period=FY","BEST_FPERIOD_OVERRIDE=FY","FILING_STATUS=MR","Sort=A","Dates=H","DateFormat=P","Fill=—","Direction=H","UseDPDF=Y")</f>
        <v>#NAME?</v>
      </c>
      <c r="E143" s="14" t="e">
        <f ca="1">_xll.BDH("ANSS US Equity","AUDITOR_RATIFICATION_SUP_LEVL","FY 2011","FY 2011","Currency=USD","Period=FY","BEST_FPERIOD_OVERRIDE=FY","FILING_STATUS=MR","Sort=A","Dates=H","DateFormat=P","Fill=—","Direction=H","UseDPDF=Y")</f>
        <v>#NAME?</v>
      </c>
      <c r="F143" s="14" t="e">
        <f ca="1">_xll.BDH("ANSS US Equity","AUDITOR_RATIFICATION_SUP_LEVL","FY 2012","FY 2012","Currency=USD","Period=FY","BEST_FPERIOD_OVERRIDE=FY","FILING_STATUS=MR","Sort=A","Dates=H","DateFormat=P","Fill=—","Direction=H","UseDPDF=Y")</f>
        <v>#NAME?</v>
      </c>
      <c r="G143" s="14" t="e">
        <f ca="1">_xll.BDH("ANSS US Equity","AUDITOR_RATIFICATION_SUP_LEVL","FY 2013","FY 2013","Currency=USD","Period=FY","BEST_FPERIOD_OVERRIDE=FY","FILING_STATUS=MR","Sort=A","Dates=H","DateFormat=P","Fill=—","Direction=H","UseDPDF=Y")</f>
        <v>#NAME?</v>
      </c>
      <c r="H143" s="14" t="e">
        <f ca="1">_xll.BDH("ANSS US Equity","AUDITOR_RATIFICATION_SUP_LEVL","FY 2014","FY 2014","Currency=USD","Period=FY","BEST_FPERIOD_OVERRIDE=FY","FILING_STATUS=MR","Sort=A","Dates=H","DateFormat=P","Fill=—","Direction=H","UseDPDF=Y")</f>
        <v>#NAME?</v>
      </c>
      <c r="I143" s="14" t="e">
        <f ca="1">_xll.BDH("ANSS US Equity","AUDITOR_RATIFICATION_SUP_LEVL","FY 2015","FY 2015","Currency=USD","Period=FY","BEST_FPERIOD_OVERRIDE=FY","FILING_STATUS=MR","Sort=A","Dates=H","DateFormat=P","Fill=—","Direction=H","UseDPDF=Y")</f>
        <v>#NAME?</v>
      </c>
      <c r="J143" s="14" t="e">
        <f ca="1">_xll.BDH("ANSS US Equity","AUDITOR_RATIFICATION_SUP_LEVL","FY 2016","FY 2016","Currency=USD","Period=FY","BEST_FPERIOD_OVERRIDE=FY","FILING_STATUS=MR","Sort=A","Dates=H","DateFormat=P","Fill=—","Direction=H","UseDPDF=Y")</f>
        <v>#NAME?</v>
      </c>
      <c r="K143" s="14" t="e">
        <f ca="1">_xll.BDH("ANSS US Equity","AUDITOR_RATIFICATION_SUP_LEVL","FY 2017","FY 2017","Currency=USD","Period=FY","BEST_FPERIOD_OVERRIDE=FY","FILING_STATUS=MR","Sort=A","Dates=H","DateFormat=P","Fill=—","Direction=H","UseDPDF=Y")</f>
        <v>#NAME?</v>
      </c>
      <c r="L143" s="14" t="e">
        <f ca="1">_xll.BDH("ANSS US Equity","AUDITOR_RATIFICATION_SUP_LEVL","FY 2018","FY 2018","Currency=USD","Period=FY","BEST_FPERIOD_OVERRIDE=FY","FILING_STATUS=MR","Sort=A","Dates=H","DateFormat=P","Fill=—","Direction=H","UseDPDF=Y")</f>
        <v>#NAME?</v>
      </c>
      <c r="M143" s="14" t="e">
        <f ca="1">_xll.BDH("ANSS US Equity","AUDITOR_RATIFICATION_SUP_LEVL","FY 2019","FY 2019","Currency=USD","Period=FY","BEST_FPERIOD_OVERRIDE=FY","FILING_STATUS=MR","Sort=A","Dates=H","DateFormat=P","Fill=—","Direction=H","UseDPDF=Y")</f>
        <v>#NAME?</v>
      </c>
      <c r="N143" s="14" t="e">
        <f ca="1">_xll.BDH("ANSS US Equity","AUDITOR_RATIFICATION_SUP_LEVL","FY 2020","FY 2020","Currency=USD","Period=FY","BEST_FPERIOD_OVERRIDE=FY","FILING_STATUS=MR","Sort=A","Dates=H","DateFormat=P","Fill=—","Direction=H","UseDPDF=Y")</f>
        <v>#NAME?</v>
      </c>
      <c r="O143" s="14" t="e">
        <f ca="1">_xll.BDH("ANSS US Equity","AUDITOR_RATIFICATION_SUP_LEVL","FY 2021","FY 2021","Currency=USD","Period=FY","BEST_FPERIOD_OVERRIDE=FY","FILING_STATUS=MR","Sort=A","Dates=H","DateFormat=P","Fill=—","Direction=H","UseDPDF=Y")</f>
        <v>#NAME?</v>
      </c>
      <c r="P143" s="14" t="e">
        <f ca="1">_xll.BDH("ANSS US Equity","AUDITOR_RATIFICATION_SUP_LEVL","FY 2022","FY 2022","Currency=USD","Period=FY","BEST_FPERIOD_OVERRIDE=FY","FILING_STATUS=MR","Sort=A","Dates=H","DateFormat=P","Fill=—","Direction=H","UseDPDF=Y")</f>
        <v>#NAME?</v>
      </c>
      <c r="Q143" s="14" t="e">
        <f ca="1">_xll.BDH("ANSS US Equity","AUDITOR_RATIFICATION_SUP_LEVL","FY 2023","FY 2023","Currency=USD","Period=FY","BEST_FPERIOD_OVERRIDE=FY","FILING_STATUS=MR","Sort=A","Dates=H","DateFormat=P","Fill=—","Direction=H","UseDPDF=Y")</f>
        <v>#NAME?</v>
      </c>
    </row>
    <row r="144" spans="1:17" x14ac:dyDescent="0.45">
      <c r="A144" s="10" t="s">
        <v>1223</v>
      </c>
      <c r="B144" s="10" t="s">
        <v>1224</v>
      </c>
      <c r="C144" s="13" t="e">
        <f ca="1">_xll.BDH("ANSS US Equity","AUDITOR_RATIFICATION_NUM_VOTES","FY 2009","FY 2009","Currency=USD","Period=FY","BEST_FPERIOD_OVERRIDE=FY","FILING_STATUS=MR","Sort=A","Dates=H","DateFormat=P","Fill=—","Direction=H","UseDPDF=Y")</f>
        <v>#NAME?</v>
      </c>
      <c r="D144" s="13" t="e">
        <f ca="1">_xll.BDH("ANSS US Equity","AUDITOR_RATIFICATION_NUM_VOTES","FY 2010","FY 2010","Currency=USD","Period=FY","BEST_FPERIOD_OVERRIDE=FY","FILING_STATUS=MR","Sort=A","Dates=H","DateFormat=P","Fill=—","Direction=H","UseDPDF=Y")</f>
        <v>#NAME?</v>
      </c>
      <c r="E144" s="13" t="e">
        <f ca="1">_xll.BDH("ANSS US Equity","AUDITOR_RATIFICATION_NUM_VOTES","FY 2011","FY 2011","Currency=USD","Period=FY","BEST_FPERIOD_OVERRIDE=FY","FILING_STATUS=MR","Sort=A","Dates=H","DateFormat=P","Fill=—","Direction=H","UseDPDF=Y")</f>
        <v>#NAME?</v>
      </c>
      <c r="F144" s="13" t="e">
        <f ca="1">_xll.BDH("ANSS US Equity","AUDITOR_RATIFICATION_NUM_VOTES","FY 2012","FY 2012","Currency=USD","Period=FY","BEST_FPERIOD_OVERRIDE=FY","FILING_STATUS=MR","Sort=A","Dates=H","DateFormat=P","Fill=—","Direction=H","UseDPDF=Y")</f>
        <v>#NAME?</v>
      </c>
      <c r="G144" s="13" t="e">
        <f ca="1">_xll.BDH("ANSS US Equity","AUDITOR_RATIFICATION_NUM_VOTES","FY 2013","FY 2013","Currency=USD","Period=FY","BEST_FPERIOD_OVERRIDE=FY","FILING_STATUS=MR","Sort=A","Dates=H","DateFormat=P","Fill=—","Direction=H","UseDPDF=Y")</f>
        <v>#NAME?</v>
      </c>
      <c r="H144" s="13" t="e">
        <f ca="1">_xll.BDH("ANSS US Equity","AUDITOR_RATIFICATION_NUM_VOTES","FY 2014","FY 2014","Currency=USD","Period=FY","BEST_FPERIOD_OVERRIDE=FY","FILING_STATUS=MR","Sort=A","Dates=H","DateFormat=P","Fill=—","Direction=H","UseDPDF=Y")</f>
        <v>#NAME?</v>
      </c>
      <c r="I144" s="13" t="e">
        <f ca="1">_xll.BDH("ANSS US Equity","AUDITOR_RATIFICATION_NUM_VOTES","FY 2015","FY 2015","Currency=USD","Period=FY","BEST_FPERIOD_OVERRIDE=FY","FILING_STATUS=MR","Sort=A","Dates=H","DateFormat=P","Fill=—","Direction=H","UseDPDF=Y")</f>
        <v>#NAME?</v>
      </c>
      <c r="J144" s="13" t="e">
        <f ca="1">_xll.BDH("ANSS US Equity","AUDITOR_RATIFICATION_NUM_VOTES","FY 2016","FY 2016","Currency=USD","Period=FY","BEST_FPERIOD_OVERRIDE=FY","FILING_STATUS=MR","Sort=A","Dates=H","DateFormat=P","Fill=—","Direction=H","UseDPDF=Y")</f>
        <v>#NAME?</v>
      </c>
      <c r="K144" s="13" t="e">
        <f ca="1">_xll.BDH("ANSS US Equity","AUDITOR_RATIFICATION_NUM_VOTES","FY 2017","FY 2017","Currency=USD","Period=FY","BEST_FPERIOD_OVERRIDE=FY","FILING_STATUS=MR","Sort=A","Dates=H","DateFormat=P","Fill=—","Direction=H","UseDPDF=Y")</f>
        <v>#NAME?</v>
      </c>
      <c r="L144" s="13" t="e">
        <f ca="1">_xll.BDH("ANSS US Equity","AUDITOR_RATIFICATION_NUM_VOTES","FY 2018","FY 2018","Currency=USD","Period=FY","BEST_FPERIOD_OVERRIDE=FY","FILING_STATUS=MR","Sort=A","Dates=H","DateFormat=P","Fill=—","Direction=H","UseDPDF=Y")</f>
        <v>#NAME?</v>
      </c>
      <c r="M144" s="13" t="e">
        <f ca="1">_xll.BDH("ANSS US Equity","AUDITOR_RATIFICATION_NUM_VOTES","FY 2019","FY 2019","Currency=USD","Period=FY","BEST_FPERIOD_OVERRIDE=FY","FILING_STATUS=MR","Sort=A","Dates=H","DateFormat=P","Fill=—","Direction=H","UseDPDF=Y")</f>
        <v>#NAME?</v>
      </c>
      <c r="N144" s="13" t="e">
        <f ca="1">_xll.BDH("ANSS US Equity","AUDITOR_RATIFICATION_NUM_VOTES","FY 2020","FY 2020","Currency=USD","Period=FY","BEST_FPERIOD_OVERRIDE=FY","FILING_STATUS=MR","Sort=A","Dates=H","DateFormat=P","Fill=—","Direction=H","UseDPDF=Y")</f>
        <v>#NAME?</v>
      </c>
      <c r="O144" s="13" t="e">
        <f ca="1">_xll.BDH("ANSS US Equity","AUDITOR_RATIFICATION_NUM_VOTES","FY 2021","FY 2021","Currency=USD","Period=FY","BEST_FPERIOD_OVERRIDE=FY","FILING_STATUS=MR","Sort=A","Dates=H","DateFormat=P","Fill=—","Direction=H","UseDPDF=Y")</f>
        <v>#NAME?</v>
      </c>
      <c r="P144" s="13" t="e">
        <f ca="1">_xll.BDH("ANSS US Equity","AUDITOR_RATIFICATION_NUM_VOTES","FY 2022","FY 2022","Currency=USD","Period=FY","BEST_FPERIOD_OVERRIDE=FY","FILING_STATUS=MR","Sort=A","Dates=H","DateFormat=P","Fill=—","Direction=H","UseDPDF=Y")</f>
        <v>#NAME?</v>
      </c>
      <c r="Q144" s="13" t="e">
        <f ca="1">_xll.BDH("ANSS US Equity","AUDITOR_RATIFICATION_NUM_VOTES","FY 2023","FY 2023","Currency=USD","Period=FY","BEST_FPERIOD_OVERRIDE=FY","FILING_STATUS=MR","Sort=A","Dates=H","DateFormat=P","Fill=—","Direction=H","UseDPDF=Y")</f>
        <v>#NAME?</v>
      </c>
    </row>
    <row r="145" spans="1:17" x14ac:dyDescent="0.45">
      <c r="A145" s="10" t="s">
        <v>1225</v>
      </c>
      <c r="B145" s="10" t="s">
        <v>1226</v>
      </c>
      <c r="C145" s="13" t="e">
        <f ca="1">_xll.BDH("ANSS US Equity","AUDITOR_RATIF_NUM_VOTES_AGA","FY 2009","FY 2009","Currency=USD","Period=FY","BEST_FPERIOD_OVERRIDE=FY","FILING_STATUS=MR","Sort=A","Dates=H","DateFormat=P","Fill=—","Direction=H","UseDPDF=Y")</f>
        <v>#NAME?</v>
      </c>
      <c r="D145" s="13" t="e">
        <f ca="1">_xll.BDH("ANSS US Equity","AUDITOR_RATIF_NUM_VOTES_AGA","FY 2010","FY 2010","Currency=USD","Period=FY","BEST_FPERIOD_OVERRIDE=FY","FILING_STATUS=MR","Sort=A","Dates=H","DateFormat=P","Fill=—","Direction=H","UseDPDF=Y")</f>
        <v>#NAME?</v>
      </c>
      <c r="E145" s="13" t="e">
        <f ca="1">_xll.BDH("ANSS US Equity","AUDITOR_RATIF_NUM_VOTES_AGA","FY 2011","FY 2011","Currency=USD","Period=FY","BEST_FPERIOD_OVERRIDE=FY","FILING_STATUS=MR","Sort=A","Dates=H","DateFormat=P","Fill=—","Direction=H","UseDPDF=Y")</f>
        <v>#NAME?</v>
      </c>
      <c r="F145" s="13" t="e">
        <f ca="1">_xll.BDH("ANSS US Equity","AUDITOR_RATIF_NUM_VOTES_AGA","FY 2012","FY 2012","Currency=USD","Period=FY","BEST_FPERIOD_OVERRIDE=FY","FILING_STATUS=MR","Sort=A","Dates=H","DateFormat=P","Fill=—","Direction=H","UseDPDF=Y")</f>
        <v>#NAME?</v>
      </c>
      <c r="G145" s="13" t="e">
        <f ca="1">_xll.BDH("ANSS US Equity","AUDITOR_RATIF_NUM_VOTES_AGA","FY 2013","FY 2013","Currency=USD","Period=FY","BEST_FPERIOD_OVERRIDE=FY","FILING_STATUS=MR","Sort=A","Dates=H","DateFormat=P","Fill=—","Direction=H","UseDPDF=Y")</f>
        <v>#NAME?</v>
      </c>
      <c r="H145" s="13" t="e">
        <f ca="1">_xll.BDH("ANSS US Equity","AUDITOR_RATIF_NUM_VOTES_AGA","FY 2014","FY 2014","Currency=USD","Period=FY","BEST_FPERIOD_OVERRIDE=FY","FILING_STATUS=MR","Sort=A","Dates=H","DateFormat=P","Fill=—","Direction=H","UseDPDF=Y")</f>
        <v>#NAME?</v>
      </c>
      <c r="I145" s="13" t="e">
        <f ca="1">_xll.BDH("ANSS US Equity","AUDITOR_RATIF_NUM_VOTES_AGA","FY 2015","FY 2015","Currency=USD","Period=FY","BEST_FPERIOD_OVERRIDE=FY","FILING_STATUS=MR","Sort=A","Dates=H","DateFormat=P","Fill=—","Direction=H","UseDPDF=Y")</f>
        <v>#NAME?</v>
      </c>
      <c r="J145" s="13" t="e">
        <f ca="1">_xll.BDH("ANSS US Equity","AUDITOR_RATIF_NUM_VOTES_AGA","FY 2016","FY 2016","Currency=USD","Period=FY","BEST_FPERIOD_OVERRIDE=FY","FILING_STATUS=MR","Sort=A","Dates=H","DateFormat=P","Fill=—","Direction=H","UseDPDF=Y")</f>
        <v>#NAME?</v>
      </c>
      <c r="K145" s="13" t="e">
        <f ca="1">_xll.BDH("ANSS US Equity","AUDITOR_RATIF_NUM_VOTES_AGA","FY 2017","FY 2017","Currency=USD","Period=FY","BEST_FPERIOD_OVERRIDE=FY","FILING_STATUS=MR","Sort=A","Dates=H","DateFormat=P","Fill=—","Direction=H","UseDPDF=Y")</f>
        <v>#NAME?</v>
      </c>
      <c r="L145" s="13" t="e">
        <f ca="1">_xll.BDH("ANSS US Equity","AUDITOR_RATIF_NUM_VOTES_AGA","FY 2018","FY 2018","Currency=USD","Period=FY","BEST_FPERIOD_OVERRIDE=FY","FILING_STATUS=MR","Sort=A","Dates=H","DateFormat=P","Fill=—","Direction=H","UseDPDF=Y")</f>
        <v>#NAME?</v>
      </c>
      <c r="M145" s="13" t="e">
        <f ca="1">_xll.BDH("ANSS US Equity","AUDITOR_RATIF_NUM_VOTES_AGA","FY 2019","FY 2019","Currency=USD","Period=FY","BEST_FPERIOD_OVERRIDE=FY","FILING_STATUS=MR","Sort=A","Dates=H","DateFormat=P","Fill=—","Direction=H","UseDPDF=Y")</f>
        <v>#NAME?</v>
      </c>
      <c r="N145" s="13" t="e">
        <f ca="1">_xll.BDH("ANSS US Equity","AUDITOR_RATIF_NUM_VOTES_AGA","FY 2020","FY 2020","Currency=USD","Period=FY","BEST_FPERIOD_OVERRIDE=FY","FILING_STATUS=MR","Sort=A","Dates=H","DateFormat=P","Fill=—","Direction=H","UseDPDF=Y")</f>
        <v>#NAME?</v>
      </c>
      <c r="O145" s="13" t="e">
        <f ca="1">_xll.BDH("ANSS US Equity","AUDITOR_RATIF_NUM_VOTES_AGA","FY 2021","FY 2021","Currency=USD","Period=FY","BEST_FPERIOD_OVERRIDE=FY","FILING_STATUS=MR","Sort=A","Dates=H","DateFormat=P","Fill=—","Direction=H","UseDPDF=Y")</f>
        <v>#NAME?</v>
      </c>
      <c r="P145" s="13" t="e">
        <f ca="1">_xll.BDH("ANSS US Equity","AUDITOR_RATIF_NUM_VOTES_AGA","FY 2022","FY 2022","Currency=USD","Period=FY","BEST_FPERIOD_OVERRIDE=FY","FILING_STATUS=MR","Sort=A","Dates=H","DateFormat=P","Fill=—","Direction=H","UseDPDF=Y")</f>
        <v>#NAME?</v>
      </c>
      <c r="Q145" s="13" t="e">
        <f ca="1">_xll.BDH("ANSS US Equity","AUDITOR_RATIF_NUM_VOTES_AGA","FY 2023","FY 2023","Currency=USD","Period=FY","BEST_FPERIOD_OVERRIDE=FY","FILING_STATUS=MR","Sort=A","Dates=H","DateFormat=P","Fill=—","Direction=H","UseDPDF=Y")</f>
        <v>#NAME?</v>
      </c>
    </row>
    <row r="146" spans="1:17" x14ac:dyDescent="0.45">
      <c r="A146" s="10" t="s">
        <v>1227</v>
      </c>
      <c r="B146" s="10" t="s">
        <v>1228</v>
      </c>
      <c r="C146" s="13" t="e">
        <f ca="1">_xll.BDH("ANSS US Equity","AUDIT_RATIF_NUM_VOTES_ABSTAIN","FY 2009","FY 2009","Currency=USD","Period=FY","BEST_FPERIOD_OVERRIDE=FY","FILING_STATUS=MR","Sort=A","Dates=H","DateFormat=P","Fill=—","Direction=H","UseDPDF=Y")</f>
        <v>#NAME?</v>
      </c>
      <c r="D146" s="13" t="e">
        <f ca="1">_xll.BDH("ANSS US Equity","AUDIT_RATIF_NUM_VOTES_ABSTAIN","FY 2010","FY 2010","Currency=USD","Period=FY","BEST_FPERIOD_OVERRIDE=FY","FILING_STATUS=MR","Sort=A","Dates=H","DateFormat=P","Fill=—","Direction=H","UseDPDF=Y")</f>
        <v>#NAME?</v>
      </c>
      <c r="E146" s="13" t="e">
        <f ca="1">_xll.BDH("ANSS US Equity","AUDIT_RATIF_NUM_VOTES_ABSTAIN","FY 2011","FY 2011","Currency=USD","Period=FY","BEST_FPERIOD_OVERRIDE=FY","FILING_STATUS=MR","Sort=A","Dates=H","DateFormat=P","Fill=—","Direction=H","UseDPDF=Y")</f>
        <v>#NAME?</v>
      </c>
      <c r="F146" s="13" t="e">
        <f ca="1">_xll.BDH("ANSS US Equity","AUDIT_RATIF_NUM_VOTES_ABSTAIN","FY 2012","FY 2012","Currency=USD","Period=FY","BEST_FPERIOD_OVERRIDE=FY","FILING_STATUS=MR","Sort=A","Dates=H","DateFormat=P","Fill=—","Direction=H","UseDPDF=Y")</f>
        <v>#NAME?</v>
      </c>
      <c r="G146" s="13" t="e">
        <f ca="1">_xll.BDH("ANSS US Equity","AUDIT_RATIF_NUM_VOTES_ABSTAIN","FY 2013","FY 2013","Currency=USD","Period=FY","BEST_FPERIOD_OVERRIDE=FY","FILING_STATUS=MR","Sort=A","Dates=H","DateFormat=P","Fill=—","Direction=H","UseDPDF=Y")</f>
        <v>#NAME?</v>
      </c>
      <c r="H146" s="13" t="e">
        <f ca="1">_xll.BDH("ANSS US Equity","AUDIT_RATIF_NUM_VOTES_ABSTAIN","FY 2014","FY 2014","Currency=USD","Period=FY","BEST_FPERIOD_OVERRIDE=FY","FILING_STATUS=MR","Sort=A","Dates=H","DateFormat=P","Fill=—","Direction=H","UseDPDF=Y")</f>
        <v>#NAME?</v>
      </c>
      <c r="I146" s="13" t="e">
        <f ca="1">_xll.BDH("ANSS US Equity","AUDIT_RATIF_NUM_VOTES_ABSTAIN","FY 2015","FY 2015","Currency=USD","Period=FY","BEST_FPERIOD_OVERRIDE=FY","FILING_STATUS=MR","Sort=A","Dates=H","DateFormat=P","Fill=—","Direction=H","UseDPDF=Y")</f>
        <v>#NAME?</v>
      </c>
      <c r="J146" s="13" t="e">
        <f ca="1">_xll.BDH("ANSS US Equity","AUDIT_RATIF_NUM_VOTES_ABSTAIN","FY 2016","FY 2016","Currency=USD","Period=FY","BEST_FPERIOD_OVERRIDE=FY","FILING_STATUS=MR","Sort=A","Dates=H","DateFormat=P","Fill=—","Direction=H","UseDPDF=Y")</f>
        <v>#NAME?</v>
      </c>
      <c r="K146" s="13" t="e">
        <f ca="1">_xll.BDH("ANSS US Equity","AUDIT_RATIF_NUM_VOTES_ABSTAIN","FY 2017","FY 2017","Currency=USD","Period=FY","BEST_FPERIOD_OVERRIDE=FY","FILING_STATUS=MR","Sort=A","Dates=H","DateFormat=P","Fill=—","Direction=H","UseDPDF=Y")</f>
        <v>#NAME?</v>
      </c>
      <c r="L146" s="13" t="e">
        <f ca="1">_xll.BDH("ANSS US Equity","AUDIT_RATIF_NUM_VOTES_ABSTAIN","FY 2018","FY 2018","Currency=USD","Period=FY","BEST_FPERIOD_OVERRIDE=FY","FILING_STATUS=MR","Sort=A","Dates=H","DateFormat=P","Fill=—","Direction=H","UseDPDF=Y")</f>
        <v>#NAME?</v>
      </c>
      <c r="M146" s="13" t="e">
        <f ca="1">_xll.BDH("ANSS US Equity","AUDIT_RATIF_NUM_VOTES_ABSTAIN","FY 2019","FY 2019","Currency=USD","Period=FY","BEST_FPERIOD_OVERRIDE=FY","FILING_STATUS=MR","Sort=A","Dates=H","DateFormat=P","Fill=—","Direction=H","UseDPDF=Y")</f>
        <v>#NAME?</v>
      </c>
      <c r="N146" s="13" t="e">
        <f ca="1">_xll.BDH("ANSS US Equity","AUDIT_RATIF_NUM_VOTES_ABSTAIN","FY 2020","FY 2020","Currency=USD","Period=FY","BEST_FPERIOD_OVERRIDE=FY","FILING_STATUS=MR","Sort=A","Dates=H","DateFormat=P","Fill=—","Direction=H","UseDPDF=Y")</f>
        <v>#NAME?</v>
      </c>
      <c r="O146" s="13" t="e">
        <f ca="1">_xll.BDH("ANSS US Equity","AUDIT_RATIF_NUM_VOTES_ABSTAIN","FY 2021","FY 2021","Currency=USD","Period=FY","BEST_FPERIOD_OVERRIDE=FY","FILING_STATUS=MR","Sort=A","Dates=H","DateFormat=P","Fill=—","Direction=H","UseDPDF=Y")</f>
        <v>#NAME?</v>
      </c>
      <c r="P146" s="13" t="e">
        <f ca="1">_xll.BDH("ANSS US Equity","AUDIT_RATIF_NUM_VOTES_ABSTAIN","FY 2022","FY 2022","Currency=USD","Period=FY","BEST_FPERIOD_OVERRIDE=FY","FILING_STATUS=MR","Sort=A","Dates=H","DateFormat=P","Fill=—","Direction=H","UseDPDF=Y")</f>
        <v>#NAME?</v>
      </c>
      <c r="Q146" s="13" t="e">
        <f ca="1">_xll.BDH("ANSS US Equity","AUDIT_RATIF_NUM_VOTES_ABSTAIN","FY 2023","FY 2023","Currency=USD","Period=FY","BEST_FPERIOD_OVERRIDE=FY","FILING_STATUS=MR","Sort=A","Dates=H","DateFormat=P","Fill=—","Direction=H","UseDPDF=Y")</f>
        <v>#NAME?</v>
      </c>
    </row>
    <row r="147" spans="1:17" x14ac:dyDescent="0.45">
      <c r="A147" s="10" t="s">
        <v>1229</v>
      </c>
      <c r="B147" s="10" t="s">
        <v>1230</v>
      </c>
      <c r="C147" s="13" t="e">
        <f ca="1">_xll.BDH("ANSS US Equity","AUD_RATIF_NUM_VOTES_BRK_N_VOTE","FY 2009","FY 2009","Currency=USD","Period=FY","BEST_FPERIOD_OVERRIDE=FY","FILING_STATUS=MR","Sort=A","Dates=H","DateFormat=P","Fill=—","Direction=H","UseDPDF=Y")</f>
        <v>#NAME?</v>
      </c>
      <c r="D147" s="13" t="e">
        <f ca="1">_xll.BDH("ANSS US Equity","AUD_RATIF_NUM_VOTES_BRK_N_VOTE","FY 2010","FY 2010","Currency=USD","Period=FY","BEST_FPERIOD_OVERRIDE=FY","FILING_STATUS=MR","Sort=A","Dates=H","DateFormat=P","Fill=—","Direction=H","UseDPDF=Y")</f>
        <v>#NAME?</v>
      </c>
      <c r="E147" s="13" t="e">
        <f ca="1">_xll.BDH("ANSS US Equity","AUD_RATIF_NUM_VOTES_BRK_N_VOTE","FY 2011","FY 2011","Currency=USD","Period=FY","BEST_FPERIOD_OVERRIDE=FY","FILING_STATUS=MR","Sort=A","Dates=H","DateFormat=P","Fill=—","Direction=H","UseDPDF=Y")</f>
        <v>#NAME?</v>
      </c>
      <c r="F147" s="13" t="e">
        <f ca="1">_xll.BDH("ANSS US Equity","AUD_RATIF_NUM_VOTES_BRK_N_VOTE","FY 2012","FY 2012","Currency=USD","Period=FY","BEST_FPERIOD_OVERRIDE=FY","FILING_STATUS=MR","Sort=A","Dates=H","DateFormat=P","Fill=—","Direction=H","UseDPDF=Y")</f>
        <v>#NAME?</v>
      </c>
      <c r="G147" s="13" t="e">
        <f ca="1">_xll.BDH("ANSS US Equity","AUD_RATIF_NUM_VOTES_BRK_N_VOTE","FY 2013","FY 2013","Currency=USD","Period=FY","BEST_FPERIOD_OVERRIDE=FY","FILING_STATUS=MR","Sort=A","Dates=H","DateFormat=P","Fill=—","Direction=H","UseDPDF=Y")</f>
        <v>#NAME?</v>
      </c>
      <c r="H147" s="13" t="e">
        <f ca="1">_xll.BDH("ANSS US Equity","AUD_RATIF_NUM_VOTES_BRK_N_VOTE","FY 2014","FY 2014","Currency=USD","Period=FY","BEST_FPERIOD_OVERRIDE=FY","FILING_STATUS=MR","Sort=A","Dates=H","DateFormat=P","Fill=—","Direction=H","UseDPDF=Y")</f>
        <v>#NAME?</v>
      </c>
      <c r="I147" s="13" t="e">
        <f ca="1">_xll.BDH("ANSS US Equity","AUD_RATIF_NUM_VOTES_BRK_N_VOTE","FY 2015","FY 2015","Currency=USD","Period=FY","BEST_FPERIOD_OVERRIDE=FY","FILING_STATUS=MR","Sort=A","Dates=H","DateFormat=P","Fill=—","Direction=H","UseDPDF=Y")</f>
        <v>#NAME?</v>
      </c>
      <c r="J147" s="13" t="e">
        <f ca="1">_xll.BDH("ANSS US Equity","AUD_RATIF_NUM_VOTES_BRK_N_VOTE","FY 2016","FY 2016","Currency=USD","Period=FY","BEST_FPERIOD_OVERRIDE=FY","FILING_STATUS=MR","Sort=A","Dates=H","DateFormat=P","Fill=—","Direction=H","UseDPDF=Y")</f>
        <v>#NAME?</v>
      </c>
      <c r="K147" s="13" t="e">
        <f ca="1">_xll.BDH("ANSS US Equity","AUD_RATIF_NUM_VOTES_BRK_N_VOTE","FY 2017","FY 2017","Currency=USD","Period=FY","BEST_FPERIOD_OVERRIDE=FY","FILING_STATUS=MR","Sort=A","Dates=H","DateFormat=P","Fill=—","Direction=H","UseDPDF=Y")</f>
        <v>#NAME?</v>
      </c>
      <c r="L147" s="13" t="e">
        <f ca="1">_xll.BDH("ANSS US Equity","AUD_RATIF_NUM_VOTES_BRK_N_VOTE","FY 2018","FY 2018","Currency=USD","Period=FY","BEST_FPERIOD_OVERRIDE=FY","FILING_STATUS=MR","Sort=A","Dates=H","DateFormat=P","Fill=—","Direction=H","UseDPDF=Y")</f>
        <v>#NAME?</v>
      </c>
      <c r="M147" s="13" t="e">
        <f ca="1">_xll.BDH("ANSS US Equity","AUD_RATIF_NUM_VOTES_BRK_N_VOTE","FY 2019","FY 2019","Currency=USD","Period=FY","BEST_FPERIOD_OVERRIDE=FY","FILING_STATUS=MR","Sort=A","Dates=H","DateFormat=P","Fill=—","Direction=H","UseDPDF=Y")</f>
        <v>#NAME?</v>
      </c>
      <c r="N147" s="13" t="e">
        <f ca="1">_xll.BDH("ANSS US Equity","AUD_RATIF_NUM_VOTES_BRK_N_VOTE","FY 2020","FY 2020","Currency=USD","Period=FY","BEST_FPERIOD_OVERRIDE=FY","FILING_STATUS=MR","Sort=A","Dates=H","DateFormat=P","Fill=—","Direction=H","UseDPDF=Y")</f>
        <v>#NAME?</v>
      </c>
      <c r="O147" s="13" t="e">
        <f ca="1">_xll.BDH("ANSS US Equity","AUD_RATIF_NUM_VOTES_BRK_N_VOTE","FY 2021","FY 2021","Currency=USD","Period=FY","BEST_FPERIOD_OVERRIDE=FY","FILING_STATUS=MR","Sort=A","Dates=H","DateFormat=P","Fill=—","Direction=H","UseDPDF=Y")</f>
        <v>#NAME?</v>
      </c>
      <c r="P147" s="13" t="e">
        <f ca="1">_xll.BDH("ANSS US Equity","AUD_RATIF_NUM_VOTES_BRK_N_VOTE","FY 2022","FY 2022","Currency=USD","Period=FY","BEST_FPERIOD_OVERRIDE=FY","FILING_STATUS=MR","Sort=A","Dates=H","DateFormat=P","Fill=—","Direction=H","UseDPDF=Y")</f>
        <v>#NAME?</v>
      </c>
      <c r="Q147" s="13" t="e">
        <f ca="1">_xll.BDH("ANSS US Equity","AUD_RATIF_NUM_VOTES_BRK_N_VOTE","FY 2023","FY 2023","Currency=USD","Period=FY","BEST_FPERIOD_OVERRIDE=FY","FILING_STATUS=MR","Sort=A","Dates=H","DateFormat=P","Fill=—","Direction=H","UseDPDF=Y")</f>
        <v>#NAME?</v>
      </c>
    </row>
    <row r="148" spans="1:17" x14ac:dyDescent="0.45">
      <c r="A148" s="10" t="s">
        <v>1231</v>
      </c>
      <c r="B148" s="10" t="s">
        <v>1232</v>
      </c>
      <c r="C148" s="14" t="e">
        <f ca="1">_xll.BDH("ANSS US Equity","YEARS_AUDITOR_EMPLOYED","FY 2009","FY 2009","Currency=USD","Period=FY","BEST_FPERIOD_OVERRIDE=FY","FILING_STATUS=MR","Sort=A","Dates=H","DateFormat=P","Fill=—","Direction=H","UseDPDF=Y")</f>
        <v>#NAME?</v>
      </c>
      <c r="D148" s="14" t="e">
        <f ca="1">_xll.BDH("ANSS US Equity","YEARS_AUDITOR_EMPLOYED","FY 2010","FY 2010","Currency=USD","Period=FY","BEST_FPERIOD_OVERRIDE=FY","FILING_STATUS=MR","Sort=A","Dates=H","DateFormat=P","Fill=—","Direction=H","UseDPDF=Y")</f>
        <v>#NAME?</v>
      </c>
      <c r="E148" s="14" t="e">
        <f ca="1">_xll.BDH("ANSS US Equity","YEARS_AUDITOR_EMPLOYED","FY 2011","FY 2011","Currency=USD","Period=FY","BEST_FPERIOD_OVERRIDE=FY","FILING_STATUS=MR","Sort=A","Dates=H","DateFormat=P","Fill=—","Direction=H","UseDPDF=Y")</f>
        <v>#NAME?</v>
      </c>
      <c r="F148" s="14" t="e">
        <f ca="1">_xll.BDH("ANSS US Equity","YEARS_AUDITOR_EMPLOYED","FY 2012","FY 2012","Currency=USD","Period=FY","BEST_FPERIOD_OVERRIDE=FY","FILING_STATUS=MR","Sort=A","Dates=H","DateFormat=P","Fill=—","Direction=H","UseDPDF=Y")</f>
        <v>#NAME?</v>
      </c>
      <c r="G148" s="14" t="e">
        <f ca="1">_xll.BDH("ANSS US Equity","YEARS_AUDITOR_EMPLOYED","FY 2013","FY 2013","Currency=USD","Period=FY","BEST_FPERIOD_OVERRIDE=FY","FILING_STATUS=MR","Sort=A","Dates=H","DateFormat=P","Fill=—","Direction=H","UseDPDF=Y")</f>
        <v>#NAME?</v>
      </c>
      <c r="H148" s="14" t="e">
        <f ca="1">_xll.BDH("ANSS US Equity","YEARS_AUDITOR_EMPLOYED","FY 2014","FY 2014","Currency=USD","Period=FY","BEST_FPERIOD_OVERRIDE=FY","FILING_STATUS=MR","Sort=A","Dates=H","DateFormat=P","Fill=—","Direction=H","UseDPDF=Y")</f>
        <v>#NAME?</v>
      </c>
      <c r="I148" s="14" t="e">
        <f ca="1">_xll.BDH("ANSS US Equity","YEARS_AUDITOR_EMPLOYED","FY 2015","FY 2015","Currency=USD","Period=FY","BEST_FPERIOD_OVERRIDE=FY","FILING_STATUS=MR","Sort=A","Dates=H","DateFormat=P","Fill=—","Direction=H","UseDPDF=Y")</f>
        <v>#NAME?</v>
      </c>
      <c r="J148" s="14" t="e">
        <f ca="1">_xll.BDH("ANSS US Equity","YEARS_AUDITOR_EMPLOYED","FY 2016","FY 2016","Currency=USD","Period=FY","BEST_FPERIOD_OVERRIDE=FY","FILING_STATUS=MR","Sort=A","Dates=H","DateFormat=P","Fill=—","Direction=H","UseDPDF=Y")</f>
        <v>#NAME?</v>
      </c>
      <c r="K148" s="14" t="e">
        <f ca="1">_xll.BDH("ANSS US Equity","YEARS_AUDITOR_EMPLOYED","FY 2017","FY 2017","Currency=USD","Period=FY","BEST_FPERIOD_OVERRIDE=FY","FILING_STATUS=MR","Sort=A","Dates=H","DateFormat=P","Fill=—","Direction=H","UseDPDF=Y")</f>
        <v>#NAME?</v>
      </c>
      <c r="L148" s="14" t="e">
        <f ca="1">_xll.BDH("ANSS US Equity","YEARS_AUDITOR_EMPLOYED","FY 2018","FY 2018","Currency=USD","Period=FY","BEST_FPERIOD_OVERRIDE=FY","FILING_STATUS=MR","Sort=A","Dates=H","DateFormat=P","Fill=—","Direction=H","UseDPDF=Y")</f>
        <v>#NAME?</v>
      </c>
      <c r="M148" s="14" t="e">
        <f ca="1">_xll.BDH("ANSS US Equity","YEARS_AUDITOR_EMPLOYED","FY 2019","FY 2019","Currency=USD","Period=FY","BEST_FPERIOD_OVERRIDE=FY","FILING_STATUS=MR","Sort=A","Dates=H","DateFormat=P","Fill=—","Direction=H","UseDPDF=Y")</f>
        <v>#NAME?</v>
      </c>
      <c r="N148" s="14" t="e">
        <f ca="1">_xll.BDH("ANSS US Equity","YEARS_AUDITOR_EMPLOYED","FY 2020","FY 2020","Currency=USD","Period=FY","BEST_FPERIOD_OVERRIDE=FY","FILING_STATUS=MR","Sort=A","Dates=H","DateFormat=P","Fill=—","Direction=H","UseDPDF=Y")</f>
        <v>#NAME?</v>
      </c>
      <c r="O148" s="14" t="e">
        <f ca="1">_xll.BDH("ANSS US Equity","YEARS_AUDITOR_EMPLOYED","FY 2021","FY 2021","Currency=USD","Period=FY","BEST_FPERIOD_OVERRIDE=FY","FILING_STATUS=MR","Sort=A","Dates=H","DateFormat=P","Fill=—","Direction=H","UseDPDF=Y")</f>
        <v>#NAME?</v>
      </c>
      <c r="P148" s="14" t="e">
        <f ca="1">_xll.BDH("ANSS US Equity","YEARS_AUDITOR_EMPLOYED","FY 2022","FY 2022","Currency=USD","Period=FY","BEST_FPERIOD_OVERRIDE=FY","FILING_STATUS=MR","Sort=A","Dates=H","DateFormat=P","Fill=—","Direction=H","UseDPDF=Y")</f>
        <v>#NAME?</v>
      </c>
      <c r="Q148" s="14" t="e">
        <f ca="1">_xll.BDH("ANSS US Equity","YEARS_AUDITOR_EMPLOYED","FY 2023","FY 2023","Currency=USD","Period=FY","BEST_FPERIOD_OVERRIDE=FY","FILING_STATUS=MR","Sort=A","Dates=H","DateFormat=P","Fill=—","Direction=H","UseDPDF=Y")</f>
        <v>#NAME?</v>
      </c>
    </row>
    <row r="149" spans="1:17" x14ac:dyDescent="0.45">
      <c r="A149" s="1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17" x14ac:dyDescent="0.45">
      <c r="A150" s="10" t="s">
        <v>1233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1:17" x14ac:dyDescent="0.45">
      <c r="A151" s="7" t="s">
        <v>69</v>
      </c>
      <c r="B151" s="7"/>
      <c r="C151" s="7" t="s">
        <v>70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235e0e40c567e6394453f2090fab65a6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e2affa39fb2f3cdc665ba7b2e6a6e47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7AD9E-EF81-4858-A538-9C12ED34F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a73c8a-1af7-4183-b158-1cd1291da2b6"/>
    <ds:schemaRef ds:uri="8c89d0e4-a8d9-42ba-a773-c59a56f77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2DF538-29B1-440A-B73D-432AC02AF91C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8c89d0e4-a8d9-42ba-a773-c59a56f7723e"/>
    <ds:schemaRef ds:uri="6ba73c8a-1af7-4183-b158-1cd1291da2b6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DB90418-EB0A-437B-A85A-7359A7935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GAAP Highlights</vt:lpstr>
      <vt:lpstr>Income - GAAP</vt:lpstr>
      <vt:lpstr>Bal Sheet - Standardized</vt:lpstr>
      <vt:lpstr>Cash Flow - Standardized</vt:lpstr>
      <vt:lpstr>Profitability</vt:lpstr>
      <vt:lpstr>ESG Ratios</vt:lpstr>
      <vt:lpstr>By Measure</vt:lpstr>
      <vt:lpstr>By Geography</vt:lpstr>
      <vt:lpstr>By Segment</vt:lpstr>
      <vt:lpstr>Environmental</vt:lpstr>
      <vt:lpstr>Social</vt:lpstr>
      <vt:lpstr>Governance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Rosario la Spina</cp:lastModifiedBy>
  <cp:revision/>
  <dcterms:created xsi:type="dcterms:W3CDTF">2013-04-03T15:49:21Z</dcterms:created>
  <dcterms:modified xsi:type="dcterms:W3CDTF">2025-02-23T16:19:39Z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