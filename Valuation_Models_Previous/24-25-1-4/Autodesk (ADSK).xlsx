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7"/>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24-25/Team 7 (José Honório)/"/>
    </mc:Choice>
  </mc:AlternateContent>
  <xr:revisionPtr revIDLastSave="236" documentId="11_714EEB8CBE08DB3A1E2A13BDFA79B1572EA66608" xr6:coauthVersionLast="47" xr6:coauthVersionMax="47" xr10:uidLastSave="{F7589A84-AF99-452D-9152-604E71A412EB}"/>
  <bookViews>
    <workbookView xWindow="7880" yWindow="880" windowWidth="29400" windowHeight="18400" tabRatio="644" firstSheet="2" activeTab="2" xr2:uid="{00000000-000D-0000-FFFF-FFFF00000000}"/>
  </bookViews>
  <sheets>
    <sheet name="COVID-19 impact" sheetId="12" state="hidden" r:id="rId1"/>
    <sheet name="Acuerdo" sheetId="11" state="hidden" r:id="rId2"/>
    <sheet name="ESG" sheetId="7" r:id="rId3"/>
    <sheet name="DCF" sheetId="4" state="hidden" r:id="rId4"/>
  </sheets>
  <externalReferences>
    <externalReference r:id="rId5"/>
  </externalReferences>
  <definedNames>
    <definedName name="Benchmark">[1]ControlsH!$B$3</definedName>
    <definedName name="BestConsOv">#REF!</definedName>
    <definedName name="Broker_Name">OFFSET(#REF!,0,0,[1]ControlsH!$E$5, 1)</definedName>
    <definedName name="calCODE">[1]ControlsH!$C$4</definedName>
    <definedName name="Chart_Benchmark_100_Size">OFFSET(#REF!, 0, 0, [1]ControlsH!$E$3, 1)</definedName>
    <definedName name="Chart_Date_Size">OFFSET(#REF!, 0, 0, [1]ControlsH!$E$3, 1)</definedName>
    <definedName name="Chart_Date_VAL1_Size">OFFSET(#REF!, 0, 0, [1]ControlsH!$I$3, 1)</definedName>
    <definedName name="Chart_Date_VAL2_Size">OFFSET(#REF!, 0, 0, [1]ControlsH!$I$5, 1)</definedName>
    <definedName name="Chart_Peer_100_Size">OFFSET(#REF!, 0, 0, [1]ControlsH!$E$3, 1)</definedName>
    <definedName name="Chart_Price_100_Size">OFFSET(#REF!, 0, 0, [1]ControlsH!$E$3, 1)</definedName>
    <definedName name="Chart_Price_Size">OFFSET(#REF!, 0, 0, [1]ControlsH!$E$3, 1)</definedName>
    <definedName name="Chart_VAL1_FY1_Size">OFFSET(#REF!, 0, 0, [1]ControlsH!$F$3, 1)</definedName>
    <definedName name="Chart_VAL1_FY2_Size">OFFSET(#REF!, 0, 0, [1]ControlsH!$G$3, 1)</definedName>
    <definedName name="Chart_VAL1_FY3_Size">OFFSET(#REF!, 0, 0, [1]ControlsH!$H$3, 1)</definedName>
    <definedName name="Chart_VAL2_FY1_Size">OFFSET(#REF!, 0, 0, [1]ControlsH!$F$5, 1)</definedName>
    <definedName name="Chart_VAL2_FY2_Size">OFFSET(#REF!, 0, 0, [1]ControlsH!$G$5, 1)</definedName>
    <definedName name="Chart_VAL2_FY3_Size">OFFSET(#REF!, 0, 0, [1]ControlsH!$H$5, 1)</definedName>
    <definedName name="Chart_Volume_Size">OFFSET(#REF!, 0, 0, [1]ControlsH!$E$3, 1)</definedName>
    <definedName name="compNAME">[1]ControlsH!$B$6</definedName>
    <definedName name="CURRENCY">[1]ControlsH!$B$9</definedName>
    <definedName name="currPRICE">[1]Overview!$E$19</definedName>
    <definedName name="custBenchmark">[1]Overview!$C$9</definedName>
    <definedName name="custED">#REF!</definedName>
    <definedName name="custSD">#REF!</definedName>
    <definedName name="dayCODE">[1]ControlsH!$C$5</definedName>
    <definedName name="ED">[1]ControlsH!$B$5</definedName>
    <definedName name="ESTBrokersItem">#REF!</definedName>
    <definedName name="ESTBrokersPeriod">#REF!</definedName>
    <definedName name="ESTDetailBroker">#REF!</definedName>
    <definedName name="ESTDetailBroker2">#REF!</definedName>
    <definedName name="ESTDetailPeriod">#REF!</definedName>
    <definedName name="EstDetPerO">#REF!</definedName>
    <definedName name="EstDetPerT">#REF!</definedName>
    <definedName name="FinancialsPeriod">#REF!</definedName>
    <definedName name="fundTICKER">[1]ControlsH!$B$15</definedName>
    <definedName name="GraphValRatio1">#REF!</definedName>
    <definedName name="GraphValRatio2">#REF!</definedName>
    <definedName name="Index1">#REF!</definedName>
    <definedName name="Lang">[1]Overview!$D$11</definedName>
    <definedName name="newCrncy">[1]ControlsH!$B$21:$B$199</definedName>
    <definedName name="newEstBrokerPeriod">#REF!</definedName>
    <definedName name="newEstBrokersItem">#REF!</definedName>
    <definedName name="newEstDetailBroker">#REF!</definedName>
    <definedName name="newEstDetailBroker2">#REF!</definedName>
    <definedName name="newEstDetailPeriod">#REF!</definedName>
    <definedName name="newFinancialsPeriod">#REF!</definedName>
    <definedName name="newOverviewCon">#REF!</definedName>
    <definedName name="newOverviewYear">#REF!</definedName>
    <definedName name="newOwners">#REF!</definedName>
    <definedName name="newPeersRatio">#REF!</definedName>
    <definedName name="newPeriod">#REF!</definedName>
    <definedName name="newValRatio1">#REF!</definedName>
    <definedName name="newValRatio2">#REF!</definedName>
    <definedName name="OverviewValRatioPeriod">[1]Overview!$D$30</definedName>
    <definedName name="PeerDate1">[1]Peers!$S$11</definedName>
    <definedName name="peerHist1">#REF!</definedName>
    <definedName name="PeerIndex">[1]ControlsH!$F$35:$F$36</definedName>
    <definedName name="Peers">OFFSET([1]Peers!$C$18,0,0,MAX(COUNTA([1]Peers!$C$18:$C$47),1),1)</definedName>
    <definedName name="peersWEIGHT">[1]ControlsH!$B$13</definedName>
    <definedName name="PERIODICITY">[1]ControlsH!$C$3</definedName>
    <definedName name="salesGEOG">OFFSET([1]Overview!$W$16, 0, 0,#REF!, 1)</definedName>
    <definedName name="salesPROD">OFFSET([1]Overview!$Q$16, 0, 0,#REF!, 1)</definedName>
    <definedName name="SD">[1]ControlsH!$B$4</definedName>
    <definedName name="shBroker1">#REF!</definedName>
    <definedName name="shBrokerRange">#REF!</definedName>
    <definedName name="shOverviewYear">#REF!</definedName>
    <definedName name="shPeer1">#REF!</definedName>
    <definedName name="shPeerRange">#REF!</definedName>
    <definedName name="shPeersDate1">#REF!</definedName>
    <definedName name="startingDate">#REF!</definedName>
    <definedName name="Target_Price">OFFSET(#REF!,0,0,[1]ControlsH!$E$5, 1)</definedName>
    <definedName name="TICKER">[1]Overview!$D$8</definedName>
    <definedName name="Top20OwnerType">[1]Owners!$E$24</definedName>
    <definedName name="ViewConsolidatedOrParent">[1]Overview!$O$13</definedName>
    <definedName name="ViewYear">[1]Overview!$U$13</definedName>
    <definedName name="YTDdt">[1]ControlsH!$G$34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9" i="4" l="1"/>
  <c r="E61" i="4"/>
  <c r="D61" i="4"/>
  <c r="B43" i="4" l="1"/>
  <c r="C43" i="4"/>
  <c r="D42" i="4"/>
  <c r="E38" i="4" l="1"/>
  <c r="D38" i="4"/>
  <c r="C50" i="4" l="1"/>
  <c r="B50" i="4"/>
  <c r="C47" i="4"/>
  <c r="C40" i="4" l="1"/>
  <c r="B40" i="4"/>
  <c r="C38" i="4"/>
  <c r="B38" i="4"/>
  <c r="C37" i="4"/>
  <c r="B37" i="4"/>
  <c r="C36" i="4" l="1"/>
  <c r="D43" i="4" l="1"/>
  <c r="E43" i="4" s="1"/>
  <c r="F43" i="4" s="1"/>
  <c r="G43" i="4" s="1"/>
  <c r="H43" i="4" s="1"/>
  <c r="I43" i="4" s="1"/>
  <c r="J43" i="4" s="1"/>
  <c r="K43" i="4" s="1"/>
  <c r="L43" i="4" s="1"/>
  <c r="M43" i="4" s="1"/>
  <c r="N43" i="4" s="1"/>
  <c r="O43" i="4" s="1"/>
  <c r="P43" i="4" s="1"/>
  <c r="Q43" i="4" s="1"/>
  <c r="R43" i="4" s="1"/>
  <c r="S43" i="4" s="1"/>
  <c r="T43" i="4" s="1"/>
  <c r="U43" i="4" s="1"/>
  <c r="V43" i="4" s="1"/>
  <c r="W43" i="4" s="1"/>
  <c r="X43" i="4" s="1"/>
  <c r="Y43" i="4" s="1"/>
  <c r="Z43" i="4" s="1"/>
  <c r="AA43" i="4" s="1"/>
  <c r="AB43" i="4" s="1"/>
  <c r="AC43" i="4" s="1"/>
  <c r="B47" i="4" l="1"/>
  <c r="D48" i="4" l="1"/>
  <c r="E42" i="4" s="1"/>
  <c r="E48" i="4" l="1"/>
  <c r="F42" i="4" s="1"/>
  <c r="F48" i="4" l="1"/>
  <c r="G42" i="4" s="1"/>
  <c r="G48" i="4" l="1"/>
  <c r="H42" i="4" s="1"/>
  <c r="H48" i="4" l="1"/>
  <c r="I42" i="4" s="1"/>
  <c r="B44" i="4"/>
  <c r="C44" i="4"/>
  <c r="I48" i="4" l="1"/>
  <c r="J42" i="4" s="1"/>
  <c r="E47" i="4"/>
  <c r="J48" i="4" l="1"/>
  <c r="K42" i="4" s="1"/>
  <c r="K48" i="4" l="1"/>
  <c r="L42" i="4" s="1"/>
  <c r="F47" i="4"/>
  <c r="L48" i="4" l="1"/>
  <c r="M42" i="4" s="1"/>
  <c r="G47" i="4"/>
  <c r="M48" i="4" l="1"/>
  <c r="N42" i="4" s="1"/>
  <c r="N48" i="4" l="1"/>
  <c r="O42" i="4" s="1"/>
  <c r="O48" i="4" l="1"/>
  <c r="P42" i="4" s="1"/>
  <c r="B41" i="4"/>
  <c r="P48" i="4" l="1"/>
  <c r="Q42" i="4" s="1"/>
  <c r="E40" i="4"/>
  <c r="F40" i="4" s="1"/>
  <c r="G40" i="4" s="1"/>
  <c r="H40" i="4" s="1"/>
  <c r="I40" i="4" s="1"/>
  <c r="J40" i="4" s="1"/>
  <c r="K40" i="4" s="1"/>
  <c r="L40" i="4" s="1"/>
  <c r="M40" i="4" s="1"/>
  <c r="N40" i="4" s="1"/>
  <c r="O40" i="4" s="1"/>
  <c r="P40" i="4" s="1"/>
  <c r="Q40" i="4" s="1"/>
  <c r="R40" i="4" s="1"/>
  <c r="S40" i="4" s="1"/>
  <c r="T40" i="4" s="1"/>
  <c r="U40" i="4" s="1"/>
  <c r="V40" i="4" s="1"/>
  <c r="W40" i="4" s="1"/>
  <c r="X40" i="4" s="1"/>
  <c r="Y40" i="4" s="1"/>
  <c r="Z40" i="4" s="1"/>
  <c r="AA40" i="4" s="1"/>
  <c r="AB40" i="4" s="1"/>
  <c r="AC40" i="4" s="1"/>
  <c r="C41" i="4"/>
  <c r="Q48" i="4" l="1"/>
  <c r="R42" i="4" s="1"/>
  <c r="R48" i="4" l="1"/>
  <c r="S42" i="4" s="1"/>
  <c r="S48" i="4" l="1"/>
  <c r="T42" i="4" s="1"/>
  <c r="T48" i="4" l="1"/>
  <c r="U42" i="4" s="1"/>
  <c r="C49" i="4"/>
  <c r="U48" i="4" l="1"/>
  <c r="V42" i="4" s="1"/>
  <c r="V48" i="4" l="1"/>
  <c r="W42" i="4" s="1"/>
  <c r="W48" i="4" l="1"/>
  <c r="X42" i="4" s="1"/>
  <c r="B49" i="4"/>
  <c r="X48" i="4" l="1"/>
  <c r="Y42" i="4" s="1"/>
  <c r="H47" i="4"/>
  <c r="E35" i="4"/>
  <c r="F35" i="4" s="1"/>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B46" i="4"/>
  <c r="C46" i="4"/>
  <c r="C53" i="4" s="1"/>
  <c r="D37" i="4"/>
  <c r="B36" i="4"/>
  <c r="Y33" i="4" l="1"/>
  <c r="Q33" i="4"/>
  <c r="I33" i="4"/>
  <c r="Z32" i="4"/>
  <c r="R32" i="4"/>
  <c r="J32" i="4"/>
  <c r="AA31" i="4"/>
  <c r="S31" i="4"/>
  <c r="K31" i="4"/>
  <c r="X33" i="4"/>
  <c r="P33" i="4"/>
  <c r="H33" i="4"/>
  <c r="Y32" i="4"/>
  <c r="Q32" i="4"/>
  <c r="I32" i="4"/>
  <c r="Z31" i="4"/>
  <c r="R31" i="4"/>
  <c r="J31" i="4"/>
  <c r="Z33" i="4"/>
  <c r="AB31" i="4"/>
  <c r="W33" i="4"/>
  <c r="O33" i="4"/>
  <c r="G33" i="4"/>
  <c r="X32" i="4"/>
  <c r="P32" i="4"/>
  <c r="H32" i="4"/>
  <c r="Y31" i="4"/>
  <c r="Q31" i="4"/>
  <c r="I31" i="4"/>
  <c r="D69" i="4"/>
  <c r="V33" i="4"/>
  <c r="N33" i="4"/>
  <c r="F33" i="4"/>
  <c r="W32" i="4"/>
  <c r="O32" i="4"/>
  <c r="G32" i="4"/>
  <c r="X31" i="4"/>
  <c r="P31" i="4"/>
  <c r="H31" i="4"/>
  <c r="AC33" i="4"/>
  <c r="U33" i="4"/>
  <c r="M33" i="4"/>
  <c r="E33" i="4"/>
  <c r="V32" i="4"/>
  <c r="N32" i="4"/>
  <c r="F32" i="4"/>
  <c r="W31" i="4"/>
  <c r="O31" i="4"/>
  <c r="G31" i="4"/>
  <c r="R33" i="4"/>
  <c r="AB33" i="4"/>
  <c r="T33" i="4"/>
  <c r="L33" i="4"/>
  <c r="AC32" i="4"/>
  <c r="U32" i="4"/>
  <c r="M32" i="4"/>
  <c r="E32" i="4"/>
  <c r="V31" i="4"/>
  <c r="N31" i="4"/>
  <c r="F31" i="4"/>
  <c r="AA32" i="4"/>
  <c r="K32" i="4"/>
  <c r="L31" i="4"/>
  <c r="AA33" i="4"/>
  <c r="S33" i="4"/>
  <c r="K33" i="4"/>
  <c r="AB32" i="4"/>
  <c r="T32" i="4"/>
  <c r="L32" i="4"/>
  <c r="AC31" i="4"/>
  <c r="U31" i="4"/>
  <c r="M31" i="4"/>
  <c r="E31" i="4"/>
  <c r="J33" i="4"/>
  <c r="S32" i="4"/>
  <c r="T31" i="4"/>
  <c r="Y48" i="4"/>
  <c r="Z42" i="4" s="1"/>
  <c r="I47" i="4"/>
  <c r="J47" i="4" s="1"/>
  <c r="K47" i="4" s="1"/>
  <c r="L47" i="4" s="1"/>
  <c r="M47" i="4" s="1"/>
  <c r="N47" i="4" s="1"/>
  <c r="O47" i="4" s="1"/>
  <c r="P47" i="4" s="1"/>
  <c r="Q47" i="4" s="1"/>
  <c r="R47" i="4" s="1"/>
  <c r="S47" i="4" s="1"/>
  <c r="T47" i="4" s="1"/>
  <c r="U47" i="4" s="1"/>
  <c r="V47" i="4" s="1"/>
  <c r="W47" i="4" s="1"/>
  <c r="X47" i="4" s="1"/>
  <c r="Y47" i="4" s="1"/>
  <c r="Z47" i="4" s="1"/>
  <c r="AA47" i="4" s="1"/>
  <c r="AB47" i="4" s="1"/>
  <c r="AC47" i="4" s="1"/>
  <c r="D39" i="4"/>
  <c r="D44" i="4" s="1"/>
  <c r="E37" i="4"/>
  <c r="Z48" i="4" l="1"/>
  <c r="AA42" i="4" s="1"/>
  <c r="H64" i="4"/>
  <c r="H65" i="4"/>
  <c r="D45" i="4"/>
  <c r="D41" i="4"/>
  <c r="F37" i="4"/>
  <c r="E39" i="4"/>
  <c r="E44" i="4" s="1"/>
  <c r="AA48" i="4" l="1"/>
  <c r="AB42" i="4" s="1"/>
  <c r="D50" i="4"/>
  <c r="D49" i="4"/>
  <c r="D46" i="4"/>
  <c r="D53" i="4" s="1"/>
  <c r="G37" i="4"/>
  <c r="F39" i="4"/>
  <c r="F44" i="4" s="1"/>
  <c r="E41" i="4"/>
  <c r="AB48" i="4" l="1"/>
  <c r="AC42" i="4" s="1"/>
  <c r="E49" i="4"/>
  <c r="E45" i="4"/>
  <c r="E46" i="4" s="1"/>
  <c r="E53" i="4" s="1"/>
  <c r="G39" i="4"/>
  <c r="G44" i="4" s="1"/>
  <c r="H37" i="4"/>
  <c r="F41" i="4"/>
  <c r="H63" i="4"/>
  <c r="AC48" i="4" l="1"/>
  <c r="E50" i="4"/>
  <c r="F45" i="4"/>
  <c r="F46" i="4" s="1"/>
  <c r="F53" i="4" s="1"/>
  <c r="G41" i="4"/>
  <c r="I37" i="4"/>
  <c r="H39" i="4"/>
  <c r="H44" i="4" s="1"/>
  <c r="E68" i="4" l="1"/>
  <c r="F50" i="4"/>
  <c r="F68" i="4" s="1"/>
  <c r="G45" i="4"/>
  <c r="G46" i="4" s="1"/>
  <c r="H45" i="4"/>
  <c r="I39" i="4"/>
  <c r="I44" i="4" s="1"/>
  <c r="H41" i="4"/>
  <c r="J37" i="4"/>
  <c r="H50" i="4" l="1"/>
  <c r="H68" i="4" s="1"/>
  <c r="G50" i="4"/>
  <c r="G68" i="4" s="1"/>
  <c r="H46" i="4"/>
  <c r="I45" i="4"/>
  <c r="I41" i="4"/>
  <c r="K37" i="4"/>
  <c r="J39" i="4"/>
  <c r="J44" i="4" s="1"/>
  <c r="I50" i="4" l="1"/>
  <c r="I68" i="4" s="1"/>
  <c r="I46" i="4"/>
  <c r="J41" i="4"/>
  <c r="K39" i="4"/>
  <c r="K44" i="4" s="1"/>
  <c r="L37" i="4"/>
  <c r="J45" i="4" l="1"/>
  <c r="J46" i="4" s="1"/>
  <c r="K41" i="4"/>
  <c r="M37" i="4"/>
  <c r="L39" i="4"/>
  <c r="L44" i="4" s="1"/>
  <c r="J50" i="4" l="1"/>
  <c r="K45" i="4"/>
  <c r="K46" i="4" s="1"/>
  <c r="N37" i="4"/>
  <c r="L41" i="4"/>
  <c r="M39" i="4"/>
  <c r="M44" i="4" s="1"/>
  <c r="J68" i="4" l="1"/>
  <c r="K50" i="4"/>
  <c r="K68" i="4" s="1"/>
  <c r="L45" i="4"/>
  <c r="L46" i="4" s="1"/>
  <c r="O37" i="4"/>
  <c r="N39" i="4"/>
  <c r="N44" i="4" s="1"/>
  <c r="M41" i="4"/>
  <c r="L50" i="4" l="1"/>
  <c r="L68" i="4" s="1"/>
  <c r="M45" i="4"/>
  <c r="M46" i="4" s="1"/>
  <c r="O39" i="4"/>
  <c r="O44" i="4" s="1"/>
  <c r="P37" i="4"/>
  <c r="N41" i="4"/>
  <c r="M50" i="4" l="1"/>
  <c r="M68" i="4" s="1"/>
  <c r="N45" i="4"/>
  <c r="N46" i="4" s="1"/>
  <c r="O41" i="4"/>
  <c r="Q37" i="4"/>
  <c r="P39" i="4"/>
  <c r="P44" i="4" s="1"/>
  <c r="N50" i="4" l="1"/>
  <c r="N68" i="4" s="1"/>
  <c r="O45" i="4"/>
  <c r="O46" i="4" s="1"/>
  <c r="P41" i="4"/>
  <c r="Q39" i="4"/>
  <c r="Q44" i="4" s="1"/>
  <c r="R37" i="4"/>
  <c r="O50" i="4" l="1"/>
  <c r="O68" i="4" s="1"/>
  <c r="P45" i="4"/>
  <c r="P46" i="4" s="1"/>
  <c r="Q41" i="4"/>
  <c r="Q45" i="4"/>
  <c r="S37" i="4"/>
  <c r="R39" i="4"/>
  <c r="R44" i="4" s="1"/>
  <c r="Q50" i="4" l="1"/>
  <c r="Q68" i="4" s="1"/>
  <c r="P50" i="4"/>
  <c r="P68" i="4" s="1"/>
  <c r="R41" i="4"/>
  <c r="Q46" i="4"/>
  <c r="S39" i="4"/>
  <c r="S44" i="4" s="1"/>
  <c r="T37" i="4"/>
  <c r="R45" i="4" l="1"/>
  <c r="R46" i="4" s="1"/>
  <c r="S41" i="4"/>
  <c r="S45" i="4"/>
  <c r="U37" i="4"/>
  <c r="T39" i="4"/>
  <c r="T44" i="4" s="1"/>
  <c r="S50" i="4" l="1"/>
  <c r="S68" i="4" s="1"/>
  <c r="R50" i="4"/>
  <c r="R68" i="4" s="1"/>
  <c r="T45" i="4"/>
  <c r="T41" i="4"/>
  <c r="V37" i="4"/>
  <c r="U39" i="4"/>
  <c r="U44" i="4" s="1"/>
  <c r="S46" i="4"/>
  <c r="T50" i="4" l="1"/>
  <c r="T68" i="4" s="1"/>
  <c r="T46" i="4"/>
  <c r="U41" i="4"/>
  <c r="U45" i="4"/>
  <c r="W37" i="4"/>
  <c r="V39" i="4"/>
  <c r="V44" i="4" s="1"/>
  <c r="U50" i="4" l="1"/>
  <c r="U68" i="4" s="1"/>
  <c r="X37" i="4"/>
  <c r="W39" i="4"/>
  <c r="W44" i="4" s="1"/>
  <c r="U46" i="4"/>
  <c r="V41" i="4"/>
  <c r="V45" i="4" l="1"/>
  <c r="V46" i="4" s="1"/>
  <c r="W45" i="4"/>
  <c r="W41" i="4"/>
  <c r="X39" i="4"/>
  <c r="X44" i="4" s="1"/>
  <c r="Y37" i="4"/>
  <c r="W50" i="4" l="1"/>
  <c r="W68" i="4" s="1"/>
  <c r="V50" i="4"/>
  <c r="V68" i="4" s="1"/>
  <c r="W46" i="4"/>
  <c r="X41" i="4"/>
  <c r="X45" i="4"/>
  <c r="Y39" i="4"/>
  <c r="Y44" i="4" s="1"/>
  <c r="Z37" i="4"/>
  <c r="X50" i="4" l="1"/>
  <c r="X68" i="4" s="1"/>
  <c r="Y41" i="4"/>
  <c r="AA37" i="4"/>
  <c r="X46" i="4"/>
  <c r="Z39" i="4"/>
  <c r="Z44" i="4" s="1"/>
  <c r="Y45" i="4" l="1"/>
  <c r="Y46" i="4" s="1"/>
  <c r="Z41" i="4"/>
  <c r="Z45" i="4"/>
  <c r="AA39" i="4"/>
  <c r="AA44" i="4" s="1"/>
  <c r="AB37" i="4"/>
  <c r="Z50" i="4" l="1"/>
  <c r="Z68" i="4" s="1"/>
  <c r="Y50" i="4"/>
  <c r="Y68" i="4" s="1"/>
  <c r="AA41" i="4"/>
  <c r="AB39" i="4"/>
  <c r="AB44" i="4" s="1"/>
  <c r="AC37" i="4"/>
  <c r="Z46" i="4"/>
  <c r="AA45" i="4" l="1"/>
  <c r="AA46" i="4" s="1"/>
  <c r="AB45" i="4"/>
  <c r="AB41" i="4"/>
  <c r="AC39" i="4"/>
  <c r="AC44" i="4" s="1"/>
  <c r="AB50" i="4" l="1"/>
  <c r="AA50" i="4"/>
  <c r="AA68" i="4" s="1"/>
  <c r="AB46" i="4"/>
  <c r="AC45" i="4"/>
  <c r="AC41" i="4"/>
  <c r="AB68" i="4" l="1"/>
  <c r="D68" i="4" s="1"/>
  <c r="E62" i="4"/>
  <c r="D62" i="4"/>
  <c r="AC50" i="4"/>
  <c r="AC46" i="4"/>
  <c r="AC68" i="4" l="1"/>
  <c r="D63" i="4"/>
  <c r="E63" i="4"/>
  <c r="D64" i="4"/>
  <c r="E64" i="4"/>
  <c r="AC52" i="4"/>
  <c r="C63" i="4" s="1"/>
  <c r="D51" i="4" l="1"/>
  <c r="E51" i="4" s="1"/>
  <c r="F51" i="4" s="1"/>
  <c r="G51" i="4" s="1"/>
  <c r="H51" i="4" s="1"/>
  <c r="I51" i="4" s="1"/>
  <c r="J51" i="4" s="1"/>
  <c r="K51" i="4" s="1"/>
  <c r="L51" i="4" s="1"/>
  <c r="M51" i="4" s="1"/>
  <c r="N51" i="4" s="1"/>
  <c r="O51" i="4" s="1"/>
  <c r="P51" i="4" s="1"/>
  <c r="Q51" i="4" s="1"/>
  <c r="R51" i="4" s="1"/>
  <c r="S51" i="4" s="1"/>
  <c r="T51" i="4" s="1"/>
  <c r="U51" i="4" s="1"/>
  <c r="V51" i="4" s="1"/>
  <c r="W51" i="4" s="1"/>
  <c r="X51" i="4" s="1"/>
  <c r="Y51" i="4" s="1"/>
  <c r="Z51" i="4" s="1"/>
  <c r="AA51" i="4" s="1"/>
  <c r="AB51" i="4" s="1"/>
  <c r="AC51" i="4" l="1"/>
  <c r="AB52" i="4"/>
  <c r="C62" i="4" s="1"/>
  <c r="B61" i="4" l="1"/>
  <c r="B62" i="4" s="1"/>
  <c r="B63" i="4" l="1"/>
  <c r="B67" i="4" s="1"/>
  <c r="F56" i="4"/>
  <c r="D55" i="4"/>
  <c r="F55" i="4"/>
  <c r="B64" i="4"/>
  <c r="D56" i="4"/>
  <c r="E56" i="4"/>
  <c r="E55" i="4"/>
  <c r="B65" i="4" l="1"/>
  <c r="D65" i="4"/>
  <c r="E65" i="4"/>
  <c r="B69" i="4"/>
  <c r="B6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林伊婧</author>
  </authors>
  <commentList>
    <comment ref="C3" authorId="0" shapeId="0" xr:uid="{00000000-0006-0000-0200-000001000000}">
      <text>
        <r>
          <rPr>
            <b/>
            <sz val="10"/>
            <color rgb="FF000000"/>
            <rFont val="Tahoma"/>
            <family val="2"/>
          </rPr>
          <t>Impact, scale from: none,low,medium and high</t>
        </r>
      </text>
    </comment>
    <comment ref="D3" authorId="0" shapeId="0" xr:uid="{00000000-0006-0000-0200-000002000000}">
      <text>
        <r>
          <rPr>
            <b/>
            <sz val="10"/>
            <color rgb="FF000000"/>
            <rFont val="Tahoma"/>
            <family val="2"/>
          </rPr>
          <t>Does the company report? Yes/No</t>
        </r>
        <r>
          <rPr>
            <sz val="10"/>
            <color rgb="FF000000"/>
            <rFont val="Tahoma"/>
            <family val="2"/>
          </rPr>
          <t xml:space="preserve">
</t>
        </r>
      </text>
    </comment>
    <comment ref="F3" authorId="0" shapeId="0" xr:uid="{00000000-0006-0000-0200-000003000000}">
      <text>
        <r>
          <rPr>
            <b/>
            <sz val="10"/>
            <color rgb="FF000000"/>
            <rFont val="Tahoma"/>
            <family val="2"/>
          </rPr>
          <t>Mitigation plan
yes/no</t>
        </r>
      </text>
    </comment>
    <comment ref="G3" authorId="0" shapeId="0" xr:uid="{00000000-0006-0000-0200-000004000000}">
      <text>
        <r>
          <rPr>
            <b/>
            <sz val="10"/>
            <color rgb="FF000000"/>
            <rFont val="Tahoma"/>
            <family val="2"/>
          </rPr>
          <t>Traffic lights</t>
        </r>
      </text>
    </comment>
    <comment ref="H3" authorId="0" shapeId="0" xr:uid="{00000000-0006-0000-0200-000005000000}">
      <text>
        <r>
          <rPr>
            <b/>
            <sz val="10"/>
            <color rgb="FF000000"/>
            <rFont val="Tahoma"/>
            <family val="2"/>
          </rPr>
          <t>Comments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Fernanda Salas</author>
    <author>sistemas</author>
  </authors>
  <commentList>
    <comment ref="D36" authorId="0" shapeId="0" xr:uid="{00000000-0006-0000-0300-000001000000}">
      <text>
        <r>
          <rPr>
            <sz val="9"/>
            <color indexed="81"/>
            <rFont val="Tahoma"/>
            <family val="2"/>
          </rPr>
          <t>Real al 3Q 2021</t>
        </r>
      </text>
    </comment>
    <comment ref="D38" authorId="0" shapeId="0" xr:uid="{00000000-0006-0000-0300-000002000000}">
      <text>
        <r>
          <rPr>
            <sz val="9"/>
            <color indexed="81"/>
            <rFont val="Tahoma"/>
            <family val="2"/>
          </rPr>
          <t>Tienen 30.2% al 3Q 2021</t>
        </r>
      </text>
    </comment>
    <comment ref="D42" authorId="0" shapeId="0" xr:uid="{00000000-0006-0000-0300-000003000000}">
      <text>
        <r>
          <rPr>
            <sz val="9"/>
            <color indexed="81"/>
            <rFont val="Tahoma"/>
            <family val="2"/>
          </rPr>
          <t xml:space="preserve">siempre han traído productos financieros… </t>
        </r>
      </text>
    </comment>
    <comment ref="D43" authorId="1" shapeId="0" xr:uid="{00000000-0006-0000-0300-000004000000}">
      <text>
        <r>
          <rPr>
            <b/>
            <sz val="9"/>
            <color indexed="81"/>
            <rFont val="Tahoma"/>
            <family val="2"/>
          </rPr>
          <t>sistemas:</t>
        </r>
        <r>
          <rPr>
            <sz val="9"/>
            <color indexed="81"/>
            <rFont val="Tahoma"/>
            <family val="2"/>
          </rPr>
          <t xml:space="preserve">
Agregamos a otros gastos el pago por la retención de impuestos de las acciones que otorga a los empleados</t>
        </r>
      </text>
    </comment>
  </commentList>
</comments>
</file>

<file path=xl/sharedStrings.xml><?xml version="1.0" encoding="utf-8"?>
<sst xmlns="http://schemas.openxmlformats.org/spreadsheetml/2006/main" count="224" uniqueCount="148">
  <si>
    <t>https://www.apple.com/newsroom/2020/03/apples-covid-19-response/</t>
  </si>
  <si>
    <t>https://glg.it/articles/how-might-the-wuhan-coronavirus-impact-apples-supply-chain/</t>
  </si>
  <si>
    <t>https://www.cnbc.com/2020/02/18/the-significance-of-apples-coronavirus-warning.html</t>
  </si>
  <si>
    <t>March 13</t>
  </si>
  <si>
    <t>January 29</t>
  </si>
  <si>
    <t>Ferbuary 18</t>
  </si>
  <si>
    <t>Otros:</t>
  </si>
  <si>
    <t>https://www.macrumors.com/guide/covid-19-coronavirus/</t>
  </si>
  <si>
    <t>Invertir</t>
  </si>
  <si>
    <t>NO invertir</t>
  </si>
  <si>
    <t>Mantener sin elevar posición</t>
  </si>
  <si>
    <t>Mantener (y seguir comprando)</t>
  </si>
  <si>
    <t>Liquidar</t>
  </si>
  <si>
    <t>PENDIENTE</t>
  </si>
  <si>
    <t>Análisis ESG</t>
  </si>
  <si>
    <t>PARÁMETROS</t>
  </si>
  <si>
    <t>Impacto</t>
  </si>
  <si>
    <t>¿Reporta?</t>
  </si>
  <si>
    <t>Ranking</t>
  </si>
  <si>
    <t>Mitigación</t>
  </si>
  <si>
    <t>Semáforo</t>
  </si>
  <si>
    <t>Comentarios</t>
  </si>
  <si>
    <t>IMPACTO</t>
  </si>
  <si>
    <t>RANKING</t>
  </si>
  <si>
    <t>MITIGACIÓN</t>
  </si>
  <si>
    <t>Ambiental</t>
  </si>
  <si>
    <t>NONE</t>
  </si>
  <si>
    <t>"Best in class"</t>
  </si>
  <si>
    <t>Is there evidence of progam/plan/etc…</t>
  </si>
  <si>
    <t>Emisiones directas CO2</t>
  </si>
  <si>
    <t>Low</t>
  </si>
  <si>
    <t>Yes</t>
  </si>
  <si>
    <t>medium high</t>
  </si>
  <si>
    <t xml:space="preserve"> The company reports that, for the fourth consecutive year, it has made significant progress in its journey to decarbonize its operations. This included offsetting residual emissions through the use of the Autodesk Carbon Fund. Autodesk has committed to neutralizing its carbon emissions in Scopes 1, 2, and 3 annually, starting in the fiscal year 2021, and has been using high-quality carbon credits to achieve this goal. Additionally, the company has invested in greenhouse gas (GHG) emission reduction initiatives within its operations and value chain, reinforcing its commitment to sustainability and mitigating climate impact.</t>
  </si>
  <si>
    <t>LOW</t>
  </si>
  <si>
    <t>Medium high</t>
  </si>
  <si>
    <t>Uso total de agua</t>
  </si>
  <si>
    <t>NA</t>
  </si>
  <si>
    <t>No</t>
  </si>
  <si>
    <t>medium</t>
  </si>
  <si>
    <r>
      <t xml:space="preserve">Water usage is mentioned among the topics in efficent use of resources. However, </t>
    </r>
    <r>
      <rPr>
        <b/>
        <sz val="10"/>
        <rFont val="Arial"/>
        <family val="2"/>
      </rPr>
      <t xml:space="preserve">no </t>
    </r>
    <r>
      <rPr>
        <sz val="10"/>
        <rFont val="Arial"/>
        <family val="2"/>
      </rPr>
      <t xml:space="preserve">specific actions are reported. </t>
    </r>
  </si>
  <si>
    <t>MEDIUM</t>
  </si>
  <si>
    <t>Medium</t>
  </si>
  <si>
    <t>Total Energy Consumption</t>
  </si>
  <si>
    <t>The company reported a total energy consumption of 118,000 MWh in a recent fiscal year, with ongoing investments in technologies that enhance energy efficiency and reduce overall energy consumption. Autodesk is committed to using 100% renewable energy for its operations, including data centers, and continues to implement practices that promote energy efficiency.</t>
  </si>
  <si>
    <t>HIGH</t>
  </si>
  <si>
    <t>"Villain"</t>
  </si>
  <si>
    <t>Waste Management</t>
  </si>
  <si>
    <t xml:space="preserve">The company is comitted to increasing the waste recycling rate and residue volumes sent to dumps. No specific measure presented. </t>
  </si>
  <si>
    <t>Land Degradation/Deforestation/Biodiversity loss/Animal sufering/…</t>
  </si>
  <si>
    <t xml:space="preserve">In the broad sense, the company is comitted with enviromental sustainability but no mention of actions in this topic. </t>
  </si>
  <si>
    <t>TRAFFIC LIGHTS</t>
  </si>
  <si>
    <t>Social</t>
  </si>
  <si>
    <t>% Rotación de empleados</t>
  </si>
  <si>
    <t>The employee turnover rate at Autodesk, which includes both voluntary and involuntary departures, was 14.0% in the fiscal year 2022, compared to an industry average of 19.5% during the same period. Specifically, voluntary turnover was 11.1%, positioning Autodesk in the 25th percentile compared to its industry peers.</t>
  </si>
  <si>
    <t>Sueldos y compensaciones</t>
  </si>
  <si>
    <t xml:space="preserve">The company is a signer of California Equal Pay Pledge - annual pay analysis, reviews processes of hiring and promotion to address pay gap.  Autodesk is committed to pay equity for its employees by keeping transparency about salaries, bonus targest and long- term incentive guidelines.  </t>
  </si>
  <si>
    <t>Temas de reputación</t>
  </si>
  <si>
    <t>yes</t>
  </si>
  <si>
    <t xml:space="preserve">The company publishes the Autodesk Transparency Report about requests it receives from government agencies for the
disclosure of customer data for law enforcement purposes. 10 government requests per FY 24 ATR. </t>
  </si>
  <si>
    <t>Temas de discriminación</t>
  </si>
  <si>
    <t>Autodesk has been acknowledged for its commitment to diversity, ranking 22nd on Forbes' list of America's Best Employers for Diversity in 2023.</t>
  </si>
  <si>
    <t>Seguridad laboral</t>
  </si>
  <si>
    <t>best in class</t>
  </si>
  <si>
    <t xml:space="preserve">the  injury/illness rate at Autodesk (including homebased work) equaled 0.06 in 2023. </t>
  </si>
  <si>
    <t>Daños a la salud</t>
  </si>
  <si>
    <t>N/A</t>
  </si>
  <si>
    <t>PXP?</t>
  </si>
  <si>
    <t>Supply chain</t>
  </si>
  <si>
    <t>AutoDesk has participated in the CDP Supply Chain Origram receiving sustainability information about there suppliers</t>
  </si>
  <si>
    <t>Community involvement</t>
  </si>
  <si>
    <t>Contributed $1.5 million to the University of Florida to establish an industrialized construction program​</t>
  </si>
  <si>
    <t>Public Sector</t>
  </si>
  <si>
    <t>Signed an MoU with Indonesia’s government to help design Nusantara, the country’s new capital city, with a focus on sustainability​</t>
  </si>
  <si>
    <t>Litigios</t>
  </si>
  <si>
    <t xml:space="preserve">Legal disputes with competition acusing them of trademark infrigment, unfair competition  and false advertising </t>
  </si>
  <si>
    <t>Gobierno</t>
  </si>
  <si>
    <t>Diversidad (Género, edad, industria, región)</t>
  </si>
  <si>
    <t>40% of its board members are women</t>
  </si>
  <si>
    <t>% independientes</t>
  </si>
  <si>
    <t>Out 11 members, 10 are independent</t>
  </si>
  <si>
    <t>tiempo promedio como consejeros independientes</t>
  </si>
  <si>
    <t>Average tenure of 7 years</t>
  </si>
  <si>
    <t>Salidas recientes de consejeros/C-level executives?</t>
  </si>
  <si>
    <t>CEO/Chairman</t>
  </si>
  <si>
    <t xml:space="preserve"> Since 1997 in Autodesk,  Prior to becoming President and CEO in June 2017, he served as Chief Marketing Officer and SVP of the Business Strategy &amp; Marketing organization. He also completed a doctorate degree at Stanford University and worked at NASA Ames Research Center as an NRC post-doctoral fellow.</t>
  </si>
  <si>
    <t>Transparencia (segmentos, fuente de riqueza, adquisiciones, otros)</t>
  </si>
  <si>
    <t>No qualified audited financial reports.</t>
  </si>
  <si>
    <t>Tiempo que tardan en reportar luego del final del trimestre/año</t>
  </si>
  <si>
    <t>low</t>
  </si>
  <si>
    <t>The quarterly results are released 30 to 40 days after the end of each quarter</t>
  </si>
  <si>
    <t>Participación adicional del CEO en otros consejos o excesiva del Ch.</t>
  </si>
  <si>
    <t>Andrew joined the board of directors of HubSpot, Inc. in September 2023.</t>
  </si>
  <si>
    <t>Auditoría/Consultoría</t>
  </si>
  <si>
    <t>Audited by KPMG</t>
  </si>
  <si>
    <t>Esquemas de compensación al management</t>
  </si>
  <si>
    <t xml:space="preserve">Autodesk maintains an Executive Compensation Program for the CEO and other NEOs. The program is tied to stockholder returns, company
performance, long-term strategic corporate goals, and individual performance. </t>
  </si>
  <si>
    <t>Per Fy24 Impact report:</t>
  </si>
  <si>
    <t>CDP Climate Change: Autodesk received an A- rating, indicating strong performance in addressing climate-related issues.</t>
  </si>
  <si>
    <t>Corporate Knights Global 100: Autodesk is ranked 11th out of 100 and received an A- rating, reflecting its commitment to sustainability.</t>
  </si>
  <si>
    <t>EcoVadis: Autodesk scored 66 out of 100, earning a Silver Medal for its sustainability practices.</t>
  </si>
  <si>
    <t>Institutional Shareholder Services (ISS) Quality Scores: Autodesk has a Corporate ESG rating of C+, with quality scores of 2 for Environment, 3 for Social, and 1 for Governance.</t>
  </si>
  <si>
    <t>Morgan Stanley Capital International (MSCI) ESG Rating: Autodesk holds an AAA rating, which is the highest possible rating, indicating excellent ESG performance.</t>
  </si>
  <si>
    <t>S&amp;P Corporate Sustainability Assessment (CSA): Autodesk scored 53 out of 100, demonstrating its efforts in corporate sustainability.</t>
  </si>
  <si>
    <t>Sustainalytics: Autodesk has a score of 16.5, categorized as Low Risk, indicating a low level of ESG risk.</t>
  </si>
  <si>
    <t>Discounted Cash Flow</t>
  </si>
  <si>
    <t>Ventas</t>
  </si>
  <si>
    <t>Margen Operativo</t>
  </si>
  <si>
    <t>Inversiones</t>
  </si>
  <si>
    <t>Utilidad Neta</t>
  </si>
  <si>
    <t>Normal</t>
  </si>
  <si>
    <t>2019 (Real)</t>
  </si>
  <si>
    <t>2020 (Real)</t>
  </si>
  <si>
    <t>Crecimiento</t>
  </si>
  <si>
    <t>EBIT</t>
  </si>
  <si>
    <t>Dep&amp;Amort</t>
  </si>
  <si>
    <t>EBIDTA</t>
  </si>
  <si>
    <t>CIF</t>
  </si>
  <si>
    <t>Otros Gastos</t>
  </si>
  <si>
    <t>Utilidad antes de Impuestos</t>
  </si>
  <si>
    <t>ISR &amp; PTU</t>
  </si>
  <si>
    <t>Inversiones y Capex</t>
  </si>
  <si>
    <t>Deuda + Lease Liabilities</t>
  </si>
  <si>
    <t>Deuda/EBITDA</t>
  </si>
  <si>
    <t>FNP</t>
  </si>
  <si>
    <t>F(t)</t>
  </si>
  <si>
    <t>EPS</t>
  </si>
  <si>
    <t>Consenso EPS</t>
  </si>
  <si>
    <t>E$/UN</t>
  </si>
  <si>
    <t>EEV/EBIDA</t>
  </si>
  <si>
    <t>"TELP"</t>
  </si>
  <si>
    <t>CER</t>
  </si>
  <si>
    <r>
      <rPr>
        <b/>
        <sz val="10"/>
        <color indexed="9"/>
        <rFont val="Symbol"/>
        <family val="1"/>
        <charset val="2"/>
      </rPr>
      <t>D</t>
    </r>
    <r>
      <rPr>
        <b/>
        <sz val="10"/>
        <color indexed="9"/>
        <rFont val="Arial"/>
        <family val="2"/>
      </rPr>
      <t xml:space="preserve"> Analista</t>
    </r>
  </si>
  <si>
    <t>CP</t>
  </si>
  <si>
    <t>LP</t>
  </si>
  <si>
    <t>Tasa de descuento:</t>
  </si>
  <si>
    <t xml:space="preserve">Factor D&amp;A </t>
  </si>
  <si>
    <t>Factor CIF</t>
  </si>
  <si>
    <t>VPN*@i%</t>
  </si>
  <si>
    <t>Factor ISR</t>
  </si>
  <si>
    <t xml:space="preserve">   DCF 25Y</t>
  </si>
  <si>
    <t>Factor inv</t>
  </si>
  <si>
    <t xml:space="preserve">   Perpetuidad</t>
  </si>
  <si>
    <t>Suma D&amp;A</t>
  </si>
  <si>
    <t>VPN/Acción</t>
  </si>
  <si>
    <t>Suma Inv.</t>
  </si>
  <si>
    <t>Inv.+Goodwill</t>
  </si>
  <si>
    <t>Duración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</si>
</sst>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 #,##0.00_-;_-* &quot;-&quot;??_-;_-@_-"/>
    <numFmt numFmtId="165" formatCode="&quot;$&quot;#,##0;[Red]\-&quot;$&quot;#,##0"/>
    <numFmt numFmtId="166" formatCode="&quot;$&quot;#,##0.00;[Red]\-&quot;$&quot;#,##0.00"/>
    <numFmt numFmtId="167" formatCode="_-&quot;$&quot;* #,##0.00_-;\-&quot;$&quot;* #,##0.00_-;_-&quot;$&quot;* &quot;-&quot;??_-;_-@_-"/>
    <numFmt numFmtId="168" formatCode="&quot;$&quot;#,##0.00"/>
    <numFmt numFmtId="169" formatCode="&quot;$&quot;#,##0.0"/>
    <numFmt numFmtId="170" formatCode="&quot;$&quot;#,##0"/>
    <numFmt numFmtId="171" formatCode="0.0%"/>
    <numFmt numFmtId="172" formatCode="#,##0.0"/>
    <numFmt numFmtId="173" formatCode="_-* #,##0.00\ &quot;€&quot;_-;\-* #,##0.00\ &quot;€&quot;_-;_-* &quot;-&quot;??\ &quot;€&quot;_-;_-@_-"/>
  </numFmts>
  <fonts count="3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10"/>
      <color indexed="8"/>
      <name val="Arial"/>
      <family val="2"/>
    </font>
    <font>
      <sz val="10"/>
      <name val="Arial"/>
      <family val="2"/>
    </font>
    <font>
      <b/>
      <sz val="10"/>
      <name val="Arial"/>
      <family val="2"/>
    </font>
    <font>
      <b/>
      <sz val="16"/>
      <color indexed="9"/>
      <name val="Arial"/>
      <family val="2"/>
    </font>
    <font>
      <b/>
      <sz val="10"/>
      <color indexed="9"/>
      <name val="Arial"/>
      <family val="2"/>
    </font>
    <font>
      <b/>
      <sz val="10"/>
      <color indexed="8"/>
      <name val="Arial"/>
      <family val="2"/>
    </font>
    <font>
      <sz val="10"/>
      <color indexed="63"/>
      <name val="Arial"/>
      <family val="2"/>
    </font>
    <font>
      <b/>
      <sz val="10"/>
      <color indexed="9"/>
      <name val="Symbol"/>
      <family val="1"/>
      <charset val="2"/>
    </font>
    <font>
      <sz val="10"/>
      <name val="Arial"/>
      <family val="2"/>
    </font>
    <font>
      <sz val="9"/>
      <color indexed="81"/>
      <name val="Tahoma"/>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b/>
      <sz val="9"/>
      <color indexed="81"/>
      <name val="Tahoma"/>
      <family val="2"/>
    </font>
    <font>
      <sz val="10"/>
      <color rgb="FF92D050"/>
      <name val="Arial"/>
      <family val="2"/>
    </font>
    <font>
      <sz val="10"/>
      <color rgb="FF002060"/>
      <name val="Arial"/>
      <family val="2"/>
    </font>
    <font>
      <b/>
      <sz val="10"/>
      <color rgb="FF000000"/>
      <name val="Tahoma"/>
      <family val="2"/>
    </font>
    <font>
      <sz val="10"/>
      <color rgb="FF000000"/>
      <name val="Tahoma"/>
      <family val="2"/>
    </font>
    <font>
      <sz val="10"/>
      <color rgb="FF000000"/>
      <name val="Arial"/>
      <family val="2"/>
    </font>
  </fonts>
  <fills count="12">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theme="3"/>
        <bgColor indexed="64"/>
      </patternFill>
    </fill>
    <fill>
      <patternFill patternType="solid">
        <fgColor theme="0" tint="-0.49998474074526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rgb="FF92D150"/>
        <bgColor indexed="64"/>
      </patternFill>
    </fill>
  </fills>
  <borders count="57">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medium">
        <color theme="3"/>
      </left>
      <right/>
      <top style="thin">
        <color theme="0" tint="-0.499984740745262"/>
      </top>
      <bottom style="thin">
        <color theme="0" tint="-0.499984740745262"/>
      </bottom>
      <diagonal/>
    </border>
    <border>
      <left style="thin">
        <color theme="0" tint="-0.499984740745262"/>
      </left>
      <right style="medium">
        <color theme="3"/>
      </right>
      <top style="thin">
        <color theme="0" tint="-0.499984740745262"/>
      </top>
      <bottom style="thin">
        <color theme="0" tint="-0.499984740745262"/>
      </bottom>
      <diagonal/>
    </border>
    <border>
      <left style="medium">
        <color theme="3"/>
      </left>
      <right/>
      <top style="thin">
        <color theme="0" tint="-0.499984740745262"/>
      </top>
      <bottom/>
      <diagonal/>
    </border>
    <border>
      <left style="thin">
        <color theme="0" tint="-0.499984740745262"/>
      </left>
      <right style="medium">
        <color theme="3"/>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right style="thin">
        <color theme="0" tint="-0.499984740745262"/>
      </right>
      <top/>
      <bottom style="medium">
        <color theme="3"/>
      </bottom>
      <diagonal/>
    </border>
    <border>
      <left style="thin">
        <color theme="0" tint="-0.499984740745262"/>
      </left>
      <right style="thin">
        <color theme="0" tint="-0.499984740745262"/>
      </right>
      <top/>
      <bottom style="medium">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thin">
        <color theme="3"/>
      </left>
      <right/>
      <top style="thin">
        <color theme="3"/>
      </top>
      <bottom/>
      <diagonal/>
    </border>
    <border>
      <left/>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theme="3"/>
      </left>
      <right/>
      <top style="medium">
        <color theme="3"/>
      </top>
      <bottom style="thin">
        <color theme="0" tint="-0.499984740745262"/>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3"/>
      </right>
      <top/>
      <bottom style="medium">
        <color theme="3"/>
      </bottom>
      <diagonal/>
    </border>
    <border>
      <left/>
      <right/>
      <top/>
      <bottom style="thin">
        <color indexed="64"/>
      </bottom>
      <diagonal/>
    </border>
    <border>
      <left style="thin">
        <color theme="0" tint="-0.499984740745262"/>
      </left>
      <right style="medium">
        <color theme="3"/>
      </right>
      <top/>
      <bottom/>
      <diagonal/>
    </border>
    <border>
      <left style="thin">
        <color theme="0" tint="-0.499984740745262"/>
      </left>
      <right style="medium">
        <color theme="3"/>
      </right>
      <top/>
      <bottom style="thin">
        <color theme="0" tint="-0.499984740745262"/>
      </bottom>
      <diagonal/>
    </border>
    <border>
      <left style="thin">
        <color theme="0" tint="-0.499984740745262"/>
      </left>
      <right style="medium">
        <color theme="3"/>
      </right>
      <top/>
      <bottom style="medium">
        <color theme="3"/>
      </bottom>
      <diagonal/>
    </border>
    <border>
      <left style="thin">
        <color theme="0" tint="-0.499984740745262"/>
      </left>
      <right style="thin">
        <color theme="0" tint="-0.499984740745262"/>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theme="0" tint="-0.499984740745262"/>
      </top>
      <bottom/>
      <diagonal/>
    </border>
    <border>
      <left style="medium">
        <color indexed="64"/>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top style="thin">
        <color theme="0" tint="-0.499984740745262"/>
      </top>
      <bottom/>
      <diagonal/>
    </border>
    <border>
      <left/>
      <right style="medium">
        <color indexed="64"/>
      </right>
      <top style="thin">
        <color theme="0" tint="-0.499984740745262"/>
      </top>
      <bottom/>
      <diagonal/>
    </border>
  </borders>
  <cellStyleXfs count="38">
    <xf numFmtId="0" fontId="0" fillId="0" borderId="0"/>
    <xf numFmtId="0" fontId="11" fillId="2" borderId="1" applyNumberFormat="0" applyProtection="0">
      <alignment horizontal="left" vertical="center" readingOrder="1"/>
    </xf>
    <xf numFmtId="0" fontId="12" fillId="2" borderId="2">
      <alignment horizontal="left"/>
    </xf>
    <xf numFmtId="0" fontId="12" fillId="2" borderId="3">
      <alignment horizontal="right"/>
    </xf>
    <xf numFmtId="0" fontId="12" fillId="2" borderId="3">
      <alignment horizontal="left"/>
    </xf>
    <xf numFmtId="3" fontId="13" fillId="3" borderId="4">
      <alignment horizontal="right"/>
    </xf>
    <xf numFmtId="172" fontId="8" fillId="3" borderId="4">
      <alignment horizontal="right"/>
    </xf>
    <xf numFmtId="4" fontId="8" fillId="3" borderId="4">
      <alignment horizontal="right"/>
    </xf>
    <xf numFmtId="0" fontId="13" fillId="3" borderId="5"/>
    <xf numFmtId="0" fontId="14" fillId="3" borderId="5"/>
    <xf numFmtId="0" fontId="7" fillId="0" borderId="0" applyNumberFormat="0" applyFill="0" applyBorder="0" applyAlignment="0" applyProtection="0">
      <alignment vertical="top"/>
      <protection locked="0"/>
    </xf>
    <xf numFmtId="167" fontId="16" fillId="0" borderId="0" applyFont="0" applyFill="0" applyBorder="0" applyAlignment="0" applyProtection="0"/>
    <xf numFmtId="167" fontId="9" fillId="0" borderId="0" applyFont="0" applyFill="0" applyBorder="0" applyAlignment="0" applyProtection="0"/>
    <xf numFmtId="0" fontId="18" fillId="0" borderId="0"/>
    <xf numFmtId="0" fontId="9" fillId="0" borderId="0"/>
    <xf numFmtId="9" fontId="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18" fillId="0" borderId="0" applyFont="0" applyFill="0" applyBorder="0" applyAlignment="0" applyProtection="0"/>
    <xf numFmtId="0" fontId="5"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4"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0" fontId="4" fillId="0" borderId="0"/>
    <xf numFmtId="164" fontId="6" fillId="0" borderId="0" applyFont="0" applyFill="0" applyBorder="0" applyAlignment="0" applyProtection="0"/>
    <xf numFmtId="173" fontId="6" fillId="0" borderId="0" applyFont="0" applyFill="0" applyBorder="0" applyAlignment="0" applyProtection="0"/>
    <xf numFmtId="0" fontId="3" fillId="0" borderId="0"/>
    <xf numFmtId="0" fontId="3"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1" fillId="0" borderId="0"/>
  </cellStyleXfs>
  <cellXfs count="164">
    <xf numFmtId="0" fontId="0" fillId="0" borderId="0" xfId="0"/>
    <xf numFmtId="170" fontId="0" fillId="0" borderId="0" xfId="0" applyNumberFormat="1" applyAlignment="1">
      <alignment horizontal="center"/>
    </xf>
    <xf numFmtId="168" fontId="0" fillId="0" borderId="0" xfId="0" applyNumberFormat="1" applyAlignment="1">
      <alignment horizontal="center"/>
    </xf>
    <xf numFmtId="9" fontId="0" fillId="0" borderId="0" xfId="15" applyFont="1" applyAlignment="1">
      <alignment horizontal="center"/>
    </xf>
    <xf numFmtId="0" fontId="0" fillId="0" borderId="0" xfId="0" applyAlignment="1">
      <alignment horizontal="center"/>
    </xf>
    <xf numFmtId="2" fontId="0" fillId="0" borderId="0" xfId="0" applyNumberFormat="1" applyAlignment="1">
      <alignment horizontal="center"/>
    </xf>
    <xf numFmtId="171" fontId="0" fillId="0" borderId="0" xfId="15" applyNumberFormat="1" applyFont="1" applyAlignment="1">
      <alignment horizontal="center"/>
    </xf>
    <xf numFmtId="170" fontId="0" fillId="0" borderId="0" xfId="0" applyNumberFormat="1"/>
    <xf numFmtId="9" fontId="0" fillId="0" borderId="0" xfId="0" applyNumberFormat="1" applyAlignment="1">
      <alignment horizontal="center"/>
    </xf>
    <xf numFmtId="10" fontId="0" fillId="0" borderId="0" xfId="0" applyNumberFormat="1" applyAlignment="1">
      <alignment horizontal="center"/>
    </xf>
    <xf numFmtId="171" fontId="0" fillId="0" borderId="0" xfId="0" applyNumberFormat="1" applyAlignment="1">
      <alignment horizontal="center"/>
    </xf>
    <xf numFmtId="0" fontId="9" fillId="0" borderId="0" xfId="0" applyFont="1"/>
    <xf numFmtId="0" fontId="10" fillId="0" borderId="0" xfId="0" applyFont="1" applyAlignment="1">
      <alignment horizontal="center"/>
    </xf>
    <xf numFmtId="0" fontId="20" fillId="0" borderId="0" xfId="0" applyFont="1"/>
    <xf numFmtId="0" fontId="12" fillId="4" borderId="6" xfId="3" applyFill="1" applyBorder="1" applyAlignment="1">
      <alignment horizontal="center" vertical="center"/>
    </xf>
    <xf numFmtId="0" fontId="21" fillId="4" borderId="6" xfId="0" applyFont="1" applyFill="1" applyBorder="1" applyAlignment="1">
      <alignment horizontal="center"/>
    </xf>
    <xf numFmtId="0" fontId="12" fillId="4" borderId="8" xfId="4" applyFill="1" applyBorder="1">
      <alignment horizontal="left"/>
    </xf>
    <xf numFmtId="0" fontId="12" fillId="4" borderId="9" xfId="3" applyFill="1" applyBorder="1" applyAlignment="1">
      <alignment horizontal="center" vertical="center"/>
    </xf>
    <xf numFmtId="0" fontId="22" fillId="0" borderId="10" xfId="8" applyFont="1" applyFill="1" applyBorder="1" applyAlignment="1">
      <alignment horizontal="center"/>
    </xf>
    <xf numFmtId="0" fontId="22" fillId="0" borderId="12" xfId="8" applyFont="1" applyFill="1" applyBorder="1" applyAlignment="1">
      <alignment horizontal="center"/>
    </xf>
    <xf numFmtId="0" fontId="21" fillId="4" borderId="13" xfId="0" applyFont="1" applyFill="1" applyBorder="1" applyAlignment="1">
      <alignment horizontal="center"/>
    </xf>
    <xf numFmtId="0" fontId="20" fillId="4" borderId="0" xfId="0" applyFont="1" applyFill="1"/>
    <xf numFmtId="170" fontId="20" fillId="4" borderId="0" xfId="0" applyNumberFormat="1" applyFont="1" applyFill="1"/>
    <xf numFmtId="170" fontId="20" fillId="4" borderId="0" xfId="0" applyNumberFormat="1" applyFont="1" applyFill="1" applyAlignment="1">
      <alignment horizontal="center"/>
    </xf>
    <xf numFmtId="171" fontId="10" fillId="0" borderId="0" xfId="0" applyNumberFormat="1" applyFont="1" applyAlignment="1">
      <alignment horizontal="center"/>
    </xf>
    <xf numFmtId="10" fontId="10" fillId="0" borderId="0" xfId="0" applyNumberFormat="1" applyFont="1" applyAlignment="1">
      <alignment horizontal="center"/>
    </xf>
    <xf numFmtId="170" fontId="21" fillId="4" borderId="0" xfId="0" applyNumberFormat="1" applyFont="1" applyFill="1" applyAlignment="1">
      <alignment horizontal="center"/>
    </xf>
    <xf numFmtId="170" fontId="10" fillId="0" borderId="0" xfId="0" applyNumberFormat="1" applyFont="1" applyAlignment="1">
      <alignment horizontal="left"/>
    </xf>
    <xf numFmtId="168" fontId="10" fillId="0" borderId="0" xfId="0" applyNumberFormat="1" applyFont="1" applyAlignment="1">
      <alignment horizontal="center"/>
    </xf>
    <xf numFmtId="9" fontId="10" fillId="0" borderId="0" xfId="15" applyFont="1" applyAlignment="1">
      <alignment horizontal="center"/>
    </xf>
    <xf numFmtId="0" fontId="23" fillId="3" borderId="12" xfId="9" applyFont="1" applyBorder="1"/>
    <xf numFmtId="0" fontId="23" fillId="3" borderId="15" xfId="9" applyFont="1" applyBorder="1"/>
    <xf numFmtId="0" fontId="23" fillId="0" borderId="12" xfId="9" applyFont="1" applyFill="1" applyBorder="1"/>
    <xf numFmtId="0" fontId="23" fillId="3" borderId="16" xfId="9" applyFont="1" applyBorder="1"/>
    <xf numFmtId="0" fontId="23" fillId="0" borderId="12" xfId="0" applyFont="1" applyBorder="1"/>
    <xf numFmtId="0" fontId="23" fillId="0" borderId="17" xfId="0" applyFont="1" applyBorder="1" applyAlignment="1">
      <alignment horizontal="center"/>
    </xf>
    <xf numFmtId="0" fontId="23" fillId="0" borderId="18" xfId="0" applyFont="1" applyBorder="1"/>
    <xf numFmtId="0" fontId="23" fillId="0" borderId="16" xfId="0" applyFont="1" applyBorder="1"/>
    <xf numFmtId="0" fontId="23" fillId="0" borderId="19" xfId="0" applyFont="1" applyBorder="1" applyAlignment="1">
      <alignment horizontal="center"/>
    </xf>
    <xf numFmtId="0" fontId="23" fillId="0" borderId="20" xfId="0" applyFont="1" applyBorder="1"/>
    <xf numFmtId="171" fontId="20" fillId="4" borderId="0" xfId="0" applyNumberFormat="1" applyFont="1" applyFill="1" applyAlignment="1">
      <alignment horizontal="center"/>
    </xf>
    <xf numFmtId="0" fontId="9" fillId="0" borderId="0" xfId="0" applyFont="1" applyAlignment="1">
      <alignment vertical="center"/>
    </xf>
    <xf numFmtId="0" fontId="23" fillId="0" borderId="12" xfId="0" applyFont="1" applyBorder="1" applyAlignment="1">
      <alignment vertical="center"/>
    </xf>
    <xf numFmtId="0" fontId="23" fillId="0" borderId="17" xfId="0" applyFont="1" applyBorder="1" applyAlignment="1">
      <alignment horizontal="center" vertical="center"/>
    </xf>
    <xf numFmtId="0" fontId="23" fillId="0" borderId="18" xfId="0" applyFont="1" applyBorder="1" applyAlignment="1">
      <alignment vertical="center"/>
    </xf>
    <xf numFmtId="0" fontId="24" fillId="0" borderId="0" xfId="10" applyFont="1" applyAlignment="1" applyProtection="1"/>
    <xf numFmtId="172" fontId="0" fillId="0" borderId="0" xfId="0" applyNumberFormat="1" applyAlignment="1">
      <alignment horizontal="center"/>
    </xf>
    <xf numFmtId="0" fontId="10" fillId="0" borderId="0" xfId="0" applyFont="1" applyAlignment="1">
      <alignment horizontal="left"/>
    </xf>
    <xf numFmtId="170" fontId="0" fillId="7" borderId="0" xfId="0" applyNumberFormat="1" applyFill="1" applyAlignment="1">
      <alignment horizontal="center"/>
    </xf>
    <xf numFmtId="172" fontId="0" fillId="0" borderId="27" xfId="0" applyNumberFormat="1" applyBorder="1" applyAlignment="1">
      <alignment horizontal="center"/>
    </xf>
    <xf numFmtId="170" fontId="0" fillId="0" borderId="29" xfId="0" applyNumberFormat="1" applyBorder="1" applyAlignment="1">
      <alignment horizontal="center"/>
    </xf>
    <xf numFmtId="172" fontId="0" fillId="0" borderId="29" xfId="0" applyNumberFormat="1" applyBorder="1" applyAlignment="1">
      <alignment horizontal="center"/>
    </xf>
    <xf numFmtId="172" fontId="0" fillId="0" borderId="30" xfId="0" applyNumberFormat="1" applyBorder="1" applyAlignment="1">
      <alignment horizontal="center"/>
    </xf>
    <xf numFmtId="168" fontId="0" fillId="0" borderId="25" xfId="0" applyNumberFormat="1" applyBorder="1" applyAlignment="1">
      <alignment horizontal="center"/>
    </xf>
    <xf numFmtId="171" fontId="20" fillId="4" borderId="0" xfId="15" applyNumberFormat="1" applyFont="1" applyFill="1" applyAlignment="1">
      <alignment horizontal="center"/>
    </xf>
    <xf numFmtId="168" fontId="20" fillId="4" borderId="0" xfId="0" applyNumberFormat="1" applyFont="1" applyFill="1" applyAlignment="1">
      <alignment horizontal="center"/>
    </xf>
    <xf numFmtId="0" fontId="6" fillId="0" borderId="0" xfId="0" applyFont="1"/>
    <xf numFmtId="171" fontId="6" fillId="0" borderId="0" xfId="0" applyNumberFormat="1" applyFont="1" applyAlignment="1">
      <alignment horizontal="center"/>
    </xf>
    <xf numFmtId="0" fontId="6" fillId="0" borderId="0" xfId="0" applyFont="1" applyAlignment="1">
      <alignment horizontal="center"/>
    </xf>
    <xf numFmtId="10" fontId="6" fillId="0" borderId="0" xfId="0" applyNumberFormat="1" applyFont="1" applyAlignment="1">
      <alignment horizontal="center"/>
    </xf>
    <xf numFmtId="169" fontId="0" fillId="0" borderId="0" xfId="0" applyNumberFormat="1" applyAlignment="1">
      <alignment horizontal="center"/>
    </xf>
    <xf numFmtId="170" fontId="6" fillId="0" borderId="0" xfId="0" applyNumberFormat="1" applyFont="1"/>
    <xf numFmtId="3" fontId="13" fillId="3" borderId="7" xfId="5" applyBorder="1">
      <alignment horizontal="right"/>
    </xf>
    <xf numFmtId="3" fontId="13" fillId="0" borderId="7" xfId="5" applyFill="1" applyBorder="1">
      <alignment horizontal="right"/>
    </xf>
    <xf numFmtId="0" fontId="6" fillId="3" borderId="18" xfId="9" applyFont="1" applyBorder="1" applyAlignment="1">
      <alignment horizontal="right"/>
    </xf>
    <xf numFmtId="172" fontId="6" fillId="3" borderId="18" xfId="6" applyFont="1" applyBorder="1">
      <alignment horizontal="right"/>
    </xf>
    <xf numFmtId="0" fontId="6" fillId="3" borderId="7" xfId="9" applyFont="1" applyBorder="1" applyAlignment="1">
      <alignment horizontal="right"/>
    </xf>
    <xf numFmtId="3" fontId="10" fillId="3" borderId="7" xfId="5" applyFont="1" applyBorder="1">
      <alignment horizontal="right"/>
    </xf>
    <xf numFmtId="4" fontId="6" fillId="0" borderId="18" xfId="7" applyFont="1" applyFill="1" applyBorder="1">
      <alignment horizontal="right"/>
    </xf>
    <xf numFmtId="4" fontId="6" fillId="3" borderId="18" xfId="7" applyFont="1" applyBorder="1">
      <alignment horizontal="right"/>
    </xf>
    <xf numFmtId="0" fontId="6" fillId="0" borderId="18" xfId="9" applyFont="1" applyFill="1" applyBorder="1" applyAlignment="1">
      <alignment horizontal="right"/>
    </xf>
    <xf numFmtId="4" fontId="6" fillId="5" borderId="18" xfId="7" applyFont="1" applyFill="1" applyBorder="1">
      <alignment horizontal="right"/>
    </xf>
    <xf numFmtId="0" fontId="6" fillId="3" borderId="40" xfId="9" applyFont="1" applyBorder="1" applyAlignment="1">
      <alignment horizontal="right"/>
    </xf>
    <xf numFmtId="172" fontId="6" fillId="3" borderId="40" xfId="6" applyFont="1" applyBorder="1">
      <alignment horizontal="right"/>
    </xf>
    <xf numFmtId="3" fontId="10" fillId="3" borderId="18" xfId="5" applyFont="1" applyBorder="1">
      <alignment horizontal="right"/>
    </xf>
    <xf numFmtId="4" fontId="6" fillId="5" borderId="20" xfId="7" applyFont="1" applyFill="1" applyBorder="1">
      <alignment horizontal="right"/>
    </xf>
    <xf numFmtId="4" fontId="6" fillId="0" borderId="20" xfId="7" applyFont="1" applyFill="1" applyBorder="1">
      <alignment horizontal="right"/>
    </xf>
    <xf numFmtId="4" fontId="6" fillId="3" borderId="20" xfId="7" applyFont="1" applyBorder="1">
      <alignment horizontal="right"/>
    </xf>
    <xf numFmtId="0" fontId="7" fillId="0" borderId="0" xfId="10" applyAlignment="1" applyProtection="1"/>
    <xf numFmtId="0" fontId="19" fillId="0" borderId="0" xfId="0" applyFont="1" applyAlignment="1">
      <alignment horizontal="center"/>
    </xf>
    <xf numFmtId="171" fontId="21" fillId="5" borderId="0" xfId="0" applyNumberFormat="1" applyFont="1" applyFill="1" applyAlignment="1">
      <alignment horizontal="center"/>
    </xf>
    <xf numFmtId="10" fontId="0" fillId="0" borderId="0" xfId="0" applyNumberFormat="1"/>
    <xf numFmtId="4" fontId="0" fillId="0" borderId="0" xfId="0" applyNumberFormat="1" applyAlignment="1">
      <alignment horizontal="center"/>
    </xf>
    <xf numFmtId="10" fontId="6" fillId="0" borderId="0" xfId="0" applyNumberFormat="1" applyFont="1"/>
    <xf numFmtId="10" fontId="0" fillId="0" borderId="47" xfId="0" applyNumberFormat="1" applyBorder="1" applyAlignment="1">
      <alignment horizontal="center"/>
    </xf>
    <xf numFmtId="10" fontId="0" fillId="0" borderId="48" xfId="0" applyNumberFormat="1" applyBorder="1" applyAlignment="1">
      <alignment horizontal="center"/>
    </xf>
    <xf numFmtId="165" fontId="0" fillId="0" borderId="0" xfId="0" applyNumberFormat="1" applyAlignment="1">
      <alignment horizontal="center"/>
    </xf>
    <xf numFmtId="165" fontId="6" fillId="0" borderId="49" xfId="0" applyNumberFormat="1" applyFont="1" applyBorder="1" applyAlignment="1">
      <alignment horizontal="center"/>
    </xf>
    <xf numFmtId="165" fontId="0" fillId="0" borderId="36" xfId="0" applyNumberFormat="1" applyBorder="1" applyAlignment="1">
      <alignment horizontal="center"/>
    </xf>
    <xf numFmtId="165" fontId="6" fillId="0" borderId="50" xfId="0" applyNumberFormat="1" applyFont="1" applyBorder="1" applyAlignment="1">
      <alignment horizontal="center"/>
    </xf>
    <xf numFmtId="166" fontId="10" fillId="0" borderId="0" xfId="0" applyNumberFormat="1" applyFont="1" applyAlignment="1">
      <alignment horizontal="center"/>
    </xf>
    <xf numFmtId="0" fontId="6" fillId="0" borderId="46" xfId="0" applyFont="1" applyBorder="1" applyAlignment="1">
      <alignment horizontal="center"/>
    </xf>
    <xf numFmtId="4" fontId="0" fillId="0" borderId="0" xfId="0" applyNumberFormat="1"/>
    <xf numFmtId="0" fontId="0" fillId="0" borderId="0" xfId="15" applyNumberFormat="1" applyFont="1" applyAlignment="1">
      <alignment horizontal="center"/>
    </xf>
    <xf numFmtId="171" fontId="0" fillId="0" borderId="0" xfId="0" applyNumberFormat="1"/>
    <xf numFmtId="3" fontId="0" fillId="0" borderId="0" xfId="15" applyNumberFormat="1" applyFont="1" applyAlignment="1">
      <alignment horizontal="center"/>
    </xf>
    <xf numFmtId="2" fontId="3" fillId="0" borderId="0" xfId="32" applyNumberFormat="1" applyAlignment="1">
      <alignment horizontal="center"/>
    </xf>
    <xf numFmtId="0" fontId="6" fillId="0" borderId="0" xfId="0" applyFont="1" applyAlignment="1">
      <alignment vertical="center"/>
    </xf>
    <xf numFmtId="0" fontId="6" fillId="0" borderId="0" xfId="0" applyFont="1" applyAlignment="1">
      <alignment horizontal="left"/>
    </xf>
    <xf numFmtId="170" fontId="6" fillId="0" borderId="0" xfId="0" applyNumberFormat="1" applyFont="1" applyAlignment="1">
      <alignment horizontal="center"/>
    </xf>
    <xf numFmtId="2" fontId="6" fillId="7" borderId="0" xfId="0" applyNumberFormat="1" applyFont="1" applyFill="1" applyAlignment="1">
      <alignment horizontal="center"/>
    </xf>
    <xf numFmtId="2" fontId="6" fillId="0" borderId="0" xfId="0" applyNumberFormat="1" applyFont="1" applyAlignment="1">
      <alignment horizontal="center"/>
    </xf>
    <xf numFmtId="170" fontId="6" fillId="7" borderId="0" xfId="0" applyNumberFormat="1" applyFont="1" applyFill="1" applyAlignment="1">
      <alignment horizontal="center"/>
    </xf>
    <xf numFmtId="171" fontId="6" fillId="0" borderId="0" xfId="15" applyNumberFormat="1" applyFont="1" applyAlignment="1">
      <alignment horizontal="center"/>
    </xf>
    <xf numFmtId="170" fontId="6" fillId="0" borderId="24" xfId="0" applyNumberFormat="1" applyFont="1" applyBorder="1"/>
    <xf numFmtId="170" fontId="6" fillId="0" borderId="25" xfId="0" applyNumberFormat="1" applyFont="1" applyBorder="1" applyAlignment="1">
      <alignment horizontal="center"/>
    </xf>
    <xf numFmtId="170" fontId="6" fillId="0" borderId="26" xfId="0" applyNumberFormat="1" applyFont="1" applyBorder="1"/>
    <xf numFmtId="170" fontId="6" fillId="0" borderId="28" xfId="0" applyNumberFormat="1" applyFont="1" applyBorder="1"/>
    <xf numFmtId="170" fontId="6" fillId="0" borderId="0" xfId="10" applyNumberFormat="1" applyFont="1" applyAlignment="1" applyProtection="1">
      <alignment horizontal="left"/>
    </xf>
    <xf numFmtId="3" fontId="13" fillId="3" borderId="11" xfId="5" applyBorder="1" applyAlignment="1">
      <alignment horizontal="left"/>
    </xf>
    <xf numFmtId="172" fontId="6" fillId="3" borderId="37" xfId="6" applyFont="1" applyBorder="1" applyAlignment="1">
      <alignment horizontal="left" vertical="center" wrapText="1"/>
    </xf>
    <xf numFmtId="172" fontId="6" fillId="9" borderId="37" xfId="6" applyFont="1" applyFill="1" applyBorder="1" applyAlignment="1">
      <alignment horizontal="left" vertical="center" wrapText="1"/>
    </xf>
    <xf numFmtId="172" fontId="6" fillId="3" borderId="38" xfId="6" applyFont="1" applyBorder="1" applyAlignment="1">
      <alignment horizontal="left" vertical="center" wrapText="1"/>
    </xf>
    <xf numFmtId="3" fontId="10" fillId="3" borderId="11" xfId="5" applyFont="1" applyBorder="1" applyAlignment="1">
      <alignment horizontal="left" wrapText="1"/>
    </xf>
    <xf numFmtId="4" fontId="6" fillId="9" borderId="37" xfId="7" applyFont="1" applyFill="1" applyBorder="1" applyAlignment="1">
      <alignment horizontal="left" wrapText="1"/>
    </xf>
    <xf numFmtId="4" fontId="6" fillId="3" borderId="37" xfId="7" applyFont="1" applyBorder="1" applyAlignment="1">
      <alignment horizontal="left" wrapText="1"/>
    </xf>
    <xf numFmtId="0" fontId="6" fillId="0" borderId="37" xfId="19" applyFont="1" applyBorder="1" applyAlignment="1">
      <alignment horizontal="left" wrapText="1"/>
    </xf>
    <xf numFmtId="3" fontId="10" fillId="3" borderId="37" xfId="5" applyFont="1" applyBorder="1" applyAlignment="1">
      <alignment horizontal="left" wrapText="1"/>
    </xf>
    <xf numFmtId="4" fontId="6" fillId="0" borderId="37" xfId="7" applyFont="1" applyFill="1" applyBorder="1" applyAlignment="1">
      <alignment horizontal="left" wrapText="1"/>
    </xf>
    <xf numFmtId="4" fontId="6" fillId="3" borderId="39" xfId="7" applyFont="1" applyBorder="1" applyAlignment="1">
      <alignment horizontal="left" wrapText="1"/>
    </xf>
    <xf numFmtId="4" fontId="27" fillId="8" borderId="18" xfId="7" applyFont="1" applyFill="1" applyBorder="1">
      <alignment horizontal="right"/>
    </xf>
    <xf numFmtId="4" fontId="27" fillId="11" borderId="18" xfId="7" applyFont="1" applyFill="1" applyBorder="1">
      <alignment horizontal="right"/>
    </xf>
    <xf numFmtId="0" fontId="23" fillId="3" borderId="12" xfId="9" applyFont="1" applyBorder="1" applyAlignment="1">
      <alignment horizontal="left" vertical="center"/>
    </xf>
    <xf numFmtId="0" fontId="23" fillId="3" borderId="15" xfId="9" applyFont="1" applyBorder="1" applyAlignment="1">
      <alignment horizontal="left" vertical="center"/>
    </xf>
    <xf numFmtId="0" fontId="6" fillId="3" borderId="18" xfId="9" applyFont="1" applyBorder="1" applyAlignment="1">
      <alignment horizontal="center"/>
    </xf>
    <xf numFmtId="172" fontId="6" fillId="3" borderId="18" xfId="6" applyFont="1" applyBorder="1" applyAlignment="1">
      <alignment horizontal="center"/>
    </xf>
    <xf numFmtId="0" fontId="6" fillId="3" borderId="18" xfId="9" applyFont="1" applyBorder="1" applyAlignment="1">
      <alignment horizontal="center" vertical="center"/>
    </xf>
    <xf numFmtId="172" fontId="6" fillId="3" borderId="18" xfId="6" applyFont="1" applyBorder="1" applyAlignment="1">
      <alignment horizontal="center" vertical="center"/>
    </xf>
    <xf numFmtId="4" fontId="27" fillId="8" borderId="40" xfId="7" applyFont="1" applyFill="1" applyBorder="1">
      <alignment horizontal="right"/>
    </xf>
    <xf numFmtId="0" fontId="23" fillId="3" borderId="0" xfId="9" applyFont="1" applyBorder="1"/>
    <xf numFmtId="4" fontId="6" fillId="8" borderId="18" xfId="7" applyFont="1" applyFill="1" applyBorder="1">
      <alignment horizontal="right"/>
    </xf>
    <xf numFmtId="4" fontId="6" fillId="11" borderId="18" xfId="7" applyFont="1" applyFill="1" applyBorder="1">
      <alignment horizontal="right"/>
    </xf>
    <xf numFmtId="0" fontId="6" fillId="11" borderId="18" xfId="9" applyFont="1" applyFill="1" applyBorder="1" applyAlignment="1">
      <alignment horizontal="right"/>
    </xf>
    <xf numFmtId="4" fontId="27" fillId="11" borderId="40" xfId="7" applyFont="1" applyFill="1" applyBorder="1">
      <alignment horizontal="right"/>
    </xf>
    <xf numFmtId="4" fontId="28" fillId="11" borderId="18" xfId="7" applyFont="1" applyFill="1" applyBorder="1">
      <alignment horizontal="right"/>
    </xf>
    <xf numFmtId="4" fontId="19" fillId="11" borderId="18" xfId="7" applyFont="1" applyFill="1" applyBorder="1">
      <alignment horizontal="right"/>
    </xf>
    <xf numFmtId="4" fontId="19" fillId="11" borderId="20" xfId="7" applyFont="1" applyFill="1" applyBorder="1">
      <alignment horizontal="right"/>
    </xf>
    <xf numFmtId="4" fontId="31" fillId="3" borderId="37" xfId="7" applyFont="1" applyBorder="1" applyAlignment="1">
      <alignment horizontal="left" wrapText="1"/>
    </xf>
    <xf numFmtId="4" fontId="27" fillId="10" borderId="55" xfId="7" applyFont="1" applyFill="1" applyBorder="1" applyAlignment="1">
      <alignment horizontal="center"/>
    </xf>
    <xf numFmtId="4" fontId="27" fillId="10" borderId="51" xfId="7" applyFont="1" applyFill="1" applyBorder="1" applyAlignment="1">
      <alignment horizontal="center"/>
    </xf>
    <xf numFmtId="4" fontId="27" fillId="10" borderId="56" xfId="7" applyFont="1" applyFill="1" applyBorder="1" applyAlignment="1">
      <alignment horizontal="center"/>
    </xf>
    <xf numFmtId="4" fontId="27" fillId="8" borderId="41" xfId="7" applyFont="1" applyFill="1" applyBorder="1" applyAlignment="1">
      <alignment horizontal="center"/>
    </xf>
    <xf numFmtId="4" fontId="27" fillId="8" borderId="0" xfId="7" applyFont="1" applyFill="1" applyBorder="1" applyAlignment="1">
      <alignment horizontal="center"/>
    </xf>
    <xf numFmtId="4" fontId="27" fillId="8" borderId="42" xfId="7" applyFont="1" applyFill="1" applyBorder="1" applyAlignment="1">
      <alignment horizontal="center"/>
    </xf>
    <xf numFmtId="4" fontId="6" fillId="6" borderId="43" xfId="7" applyFont="1" applyFill="1" applyBorder="1" applyAlignment="1">
      <alignment horizontal="center"/>
    </xf>
    <xf numFmtId="4" fontId="6" fillId="6" borderId="44" xfId="7" applyFont="1" applyFill="1" applyBorder="1" applyAlignment="1">
      <alignment horizontal="center"/>
    </xf>
    <xf numFmtId="4" fontId="6" fillId="6" borderId="45" xfId="7" applyFont="1" applyFill="1" applyBorder="1" applyAlignment="1">
      <alignment horizontal="center"/>
    </xf>
    <xf numFmtId="0" fontId="21" fillId="4" borderId="31" xfId="0" applyFont="1" applyFill="1" applyBorder="1" applyAlignment="1">
      <alignment horizontal="center" vertical="center"/>
    </xf>
    <xf numFmtId="0" fontId="21" fillId="4" borderId="32" xfId="0" applyFont="1" applyFill="1" applyBorder="1" applyAlignment="1">
      <alignment horizontal="center" vertical="center"/>
    </xf>
    <xf numFmtId="0" fontId="21" fillId="4" borderId="33" xfId="0" applyFont="1" applyFill="1" applyBorder="1" applyAlignment="1">
      <alignment horizontal="center" vertical="center"/>
    </xf>
    <xf numFmtId="0" fontId="11" fillId="4" borderId="21" xfId="1" applyFill="1" applyBorder="1" applyAlignment="1">
      <alignment horizontal="center" vertical="center" readingOrder="1"/>
    </xf>
    <xf numFmtId="0" fontId="11" fillId="4" borderId="22" xfId="1" applyFill="1" applyBorder="1" applyAlignment="1">
      <alignment horizontal="center" vertical="center" readingOrder="1"/>
    </xf>
    <xf numFmtId="0" fontId="11" fillId="4" borderId="23" xfId="1" applyFill="1" applyBorder="1" applyAlignment="1">
      <alignment horizontal="center" vertical="center" readingOrder="1"/>
    </xf>
    <xf numFmtId="0" fontId="21" fillId="4" borderId="8" xfId="0" applyFont="1" applyFill="1" applyBorder="1" applyAlignment="1">
      <alignment horizontal="center"/>
    </xf>
    <xf numFmtId="0" fontId="21" fillId="4" borderId="34" xfId="0" applyFont="1" applyFill="1" applyBorder="1" applyAlignment="1">
      <alignment horizontal="center"/>
    </xf>
    <xf numFmtId="0" fontId="23" fillId="0" borderId="14" xfId="0" applyFont="1" applyBorder="1" applyAlignment="1">
      <alignment horizontal="center" vertical="center" wrapText="1"/>
    </xf>
    <xf numFmtId="0" fontId="23" fillId="0" borderId="35" xfId="0" applyFont="1" applyBorder="1" applyAlignment="1">
      <alignment horizontal="center" vertical="center" wrapText="1"/>
    </xf>
    <xf numFmtId="0" fontId="21" fillId="4" borderId="52" xfId="0" applyFont="1" applyFill="1" applyBorder="1" applyAlignment="1">
      <alignment horizontal="center" vertical="center"/>
    </xf>
    <xf numFmtId="0" fontId="21" fillId="4" borderId="53" xfId="0" applyFont="1" applyFill="1" applyBorder="1" applyAlignment="1">
      <alignment horizontal="center" vertical="center"/>
    </xf>
    <xf numFmtId="0" fontId="21" fillId="4" borderId="54" xfId="0" applyFont="1" applyFill="1" applyBorder="1" applyAlignment="1">
      <alignment horizontal="center" vertical="center"/>
    </xf>
    <xf numFmtId="170" fontId="0" fillId="0" borderId="0" xfId="0" applyNumberFormat="1" applyAlignment="1">
      <alignment horizontal="center"/>
    </xf>
    <xf numFmtId="0" fontId="25" fillId="4" borderId="0" xfId="0" applyFont="1" applyFill="1" applyAlignment="1">
      <alignment horizontal="center"/>
    </xf>
    <xf numFmtId="171" fontId="0" fillId="0" borderId="0" xfId="0" applyNumberFormat="1" applyAlignment="1">
      <alignment horizontal="center"/>
    </xf>
    <xf numFmtId="0" fontId="0" fillId="0" borderId="0" xfId="0" applyAlignment="1">
      <alignment horizontal="center"/>
    </xf>
  </cellXfs>
  <cellStyles count="38">
    <cellStyle name="blp_title_header_row_left" xfId="1" xr:uid="{00000000-0005-0000-0000-000000000000}"/>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row_header_bold 2" xfId="8" xr:uid="{00000000-0005-0000-0000-000007000000}"/>
    <cellStyle name="fa_row_header_standard 2" xfId="9" xr:uid="{00000000-0005-0000-0000-000008000000}"/>
    <cellStyle name="Hiperlink" xfId="10" builtinId="8"/>
    <cellStyle name="Millares 2" xfId="29" xr:uid="{00000000-0005-0000-0000-00000A000000}"/>
    <cellStyle name="Moneda 2" xfId="11" xr:uid="{00000000-0005-0000-0000-00000B000000}"/>
    <cellStyle name="Moneda 2 2" xfId="12" xr:uid="{00000000-0005-0000-0000-00000C000000}"/>
    <cellStyle name="Moneda 2 2 2" xfId="22" xr:uid="{00000000-0005-0000-0000-00000D000000}"/>
    <cellStyle name="Moneda 2 3" xfId="21" xr:uid="{00000000-0005-0000-0000-00000E000000}"/>
    <cellStyle name="Moneda 3" xfId="30" xr:uid="{00000000-0005-0000-0000-00000F000000}"/>
    <cellStyle name="Normal" xfId="0" builtinId="0"/>
    <cellStyle name="Normal 2" xfId="13" xr:uid="{00000000-0005-0000-0000-000011000000}"/>
    <cellStyle name="Normal 2 2" xfId="14" xr:uid="{00000000-0005-0000-0000-000012000000}"/>
    <cellStyle name="Normal 2 2 2" xfId="24" xr:uid="{00000000-0005-0000-0000-000013000000}"/>
    <cellStyle name="Normal 2 3" xfId="19" xr:uid="{00000000-0005-0000-0000-000014000000}"/>
    <cellStyle name="Normal 2 3 2" xfId="28" xr:uid="{00000000-0005-0000-0000-000015000000}"/>
    <cellStyle name="Normal 2 4" xfId="23" xr:uid="{00000000-0005-0000-0000-000016000000}"/>
    <cellStyle name="Normal 2 4 2" xfId="31" xr:uid="{00000000-0005-0000-0000-000017000000}"/>
    <cellStyle name="Normal 3" xfId="37" xr:uid="{00000000-0005-0000-0000-000018000000}"/>
    <cellStyle name="Normal 3 2" xfId="20" xr:uid="{00000000-0005-0000-0000-000019000000}"/>
    <cellStyle name="Normal 3 3" xfId="32" xr:uid="{00000000-0005-0000-0000-00001A000000}"/>
    <cellStyle name="Normal 3 3 2" xfId="33" xr:uid="{00000000-0005-0000-0000-00001B000000}"/>
    <cellStyle name="Normal 5" xfId="34" xr:uid="{00000000-0005-0000-0000-00001C000000}"/>
    <cellStyle name="Porcentagem" xfId="15" builtinId="5"/>
    <cellStyle name="Porcentaje 2" xfId="16" xr:uid="{00000000-0005-0000-0000-00001E000000}"/>
    <cellStyle name="Porcentaje 2 2" xfId="17" xr:uid="{00000000-0005-0000-0000-00001F000000}"/>
    <cellStyle name="Porcentaje 2 2 2" xfId="26" xr:uid="{00000000-0005-0000-0000-000020000000}"/>
    <cellStyle name="Porcentaje 2 3" xfId="25" xr:uid="{00000000-0005-0000-0000-000021000000}"/>
    <cellStyle name="Porcentaje 3" xfId="18" xr:uid="{00000000-0005-0000-0000-000022000000}"/>
    <cellStyle name="Porcentaje 3 2" xfId="27" xr:uid="{00000000-0005-0000-0000-000023000000}"/>
    <cellStyle name="Porcentaje 4 2" xfId="36" xr:uid="{00000000-0005-0000-0000-000024000000}"/>
    <cellStyle name="Porcentaje 5" xfId="35" xr:uid="{00000000-0005-0000-0000-000025000000}"/>
  </cellStyles>
  <dxfs count="0"/>
  <tableStyles count="0" defaultTableStyle="TableStyleMedium9" defaultPivotStyle="PivotStyleLight16"/>
  <colors>
    <mruColors>
      <color rgb="FF92D150"/>
      <color rgb="FFFFC000"/>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9D6-40DE-82A1-0FA536C6450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9D6-40DE-82A1-0FA536C6450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9D6-40DE-82A1-0FA536C64509}"/>
              </c:ext>
            </c:extLst>
          </c:dPt>
          <c:cat>
            <c:strRef>
              <c:f>DCF!$B$35:$F$35</c:f>
              <c:strCache>
                <c:ptCount val="5"/>
                <c:pt idx="0">
                  <c:v>2019 (Real)</c:v>
                </c:pt>
                <c:pt idx="1">
                  <c:v>2020 (Real)</c:v>
                </c:pt>
                <c:pt idx="2">
                  <c:v>2021</c:v>
                </c:pt>
                <c:pt idx="3">
                  <c:v>2022</c:v>
                </c:pt>
                <c:pt idx="4">
                  <c:v>2023</c:v>
                </c:pt>
              </c:strCache>
            </c:strRef>
          </c:cat>
          <c:val>
            <c:numRef>
              <c:f>DCF!$B$37:$F$37</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6-29D6-40DE-82A1-0FA536C64509}"/>
            </c:ext>
          </c:extLst>
        </c:ser>
        <c:dLbls>
          <c:showLegendKey val="0"/>
          <c:showVal val="0"/>
          <c:showCatName val="0"/>
          <c:showSerName val="0"/>
          <c:showPercent val="0"/>
          <c:showBubbleSize val="0"/>
        </c:dLbls>
        <c:smooth val="0"/>
        <c:axId val="468295536"/>
        <c:axId val="469723232"/>
      </c:lineChart>
      <c:catAx>
        <c:axId val="4682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3232"/>
        <c:crosses val="autoZero"/>
        <c:auto val="0"/>
        <c:lblAlgn val="ctr"/>
        <c:lblOffset val="100"/>
        <c:noMultiLvlLbl val="0"/>
      </c:catAx>
      <c:valAx>
        <c:axId val="4697232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829553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0852-4BF1-A341-E431ACE2ED9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0852-4BF1-A341-E431ACE2ED9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0852-4BF1-A341-E431ACE2ED99}"/>
              </c:ext>
            </c:extLst>
          </c:dPt>
          <c:cat>
            <c:strRef>
              <c:f>DCF!$B$35:$F$35</c:f>
              <c:strCache>
                <c:ptCount val="5"/>
                <c:pt idx="0">
                  <c:v>2019 (Real)</c:v>
                </c:pt>
                <c:pt idx="1">
                  <c:v>2020 (Real)</c:v>
                </c:pt>
                <c:pt idx="2">
                  <c:v>2021</c:v>
                </c:pt>
                <c:pt idx="3">
                  <c:v>2022</c:v>
                </c:pt>
                <c:pt idx="4">
                  <c:v>2023</c:v>
                </c:pt>
              </c:strCache>
            </c:strRef>
          </c:cat>
          <c:val>
            <c:numRef>
              <c:f>DCF!$B$38:$F$38</c:f>
              <c:numCache>
                <c:formatCode>0.0%</c:formatCode>
                <c:ptCount val="5"/>
                <c:pt idx="0">
                  <c:v>0</c:v>
                </c:pt>
                <c:pt idx="1">
                  <c:v>0</c:v>
                </c:pt>
                <c:pt idx="2">
                  <c:v>0.29593021537936248</c:v>
                </c:pt>
                <c:pt idx="3">
                  <c:v>0.28617540807249875</c:v>
                </c:pt>
                <c:pt idx="4">
                  <c:v>0.27</c:v>
                </c:pt>
              </c:numCache>
            </c:numRef>
          </c:val>
          <c:smooth val="0"/>
          <c:extLst>
            <c:ext xmlns:c16="http://schemas.microsoft.com/office/drawing/2014/chart" uri="{C3380CC4-5D6E-409C-BE32-E72D297353CC}">
              <c16:uniqueId val="{00000006-0852-4BF1-A341-E431ACE2ED99}"/>
            </c:ext>
          </c:extLst>
        </c:ser>
        <c:dLbls>
          <c:showLegendKey val="0"/>
          <c:showVal val="0"/>
          <c:showCatName val="0"/>
          <c:showSerName val="0"/>
          <c:showPercent val="0"/>
          <c:showBubbleSize val="0"/>
        </c:dLbls>
        <c:smooth val="0"/>
        <c:axId val="469725472"/>
        <c:axId val="469726032"/>
      </c:lineChart>
      <c:catAx>
        <c:axId val="46972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6032"/>
        <c:crosses val="autoZero"/>
        <c:auto val="1"/>
        <c:lblAlgn val="ctr"/>
        <c:lblOffset val="100"/>
        <c:noMultiLvlLbl val="0"/>
      </c:catAx>
      <c:valAx>
        <c:axId val="4697260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97254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92336380204484"/>
          <c:y val="3.5969349607330517E-2"/>
          <c:w val="0.84839388374040381"/>
          <c:h val="0.77604277854266257"/>
        </c:manualLayout>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890B-4B55-856C-0152686CCD41}"/>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890B-4B55-856C-0152686CCD41}"/>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890B-4B55-856C-0152686CCD41}"/>
              </c:ext>
            </c:extLst>
          </c:dPt>
          <c:cat>
            <c:strRef>
              <c:f>DCF!$B$35:$F$35</c:f>
              <c:strCache>
                <c:ptCount val="5"/>
                <c:pt idx="0">
                  <c:v>2019 (Real)</c:v>
                </c:pt>
                <c:pt idx="1">
                  <c:v>2020 (Real)</c:v>
                </c:pt>
                <c:pt idx="2">
                  <c:v>2021</c:v>
                </c:pt>
                <c:pt idx="3">
                  <c:v>2022</c:v>
                </c:pt>
                <c:pt idx="4">
                  <c:v>2023</c:v>
                </c:pt>
              </c:strCache>
            </c:strRef>
          </c:cat>
          <c:val>
            <c:numRef>
              <c:f>DCF!$B$47:$F$47</c:f>
              <c:numCache>
                <c:formatCode>"$"#,##0</c:formatCode>
                <c:ptCount val="5"/>
                <c:pt idx="0">
                  <c:v>0</c:v>
                </c:pt>
                <c:pt idx="1">
                  <c:v>0</c:v>
                </c:pt>
                <c:pt idx="2">
                  <c:v>10000</c:v>
                </c:pt>
                <c:pt idx="3">
                  <c:v>10408</c:v>
                </c:pt>
                <c:pt idx="4">
                  <c:v>11594.511999999999</c:v>
                </c:pt>
              </c:numCache>
            </c:numRef>
          </c:val>
          <c:smooth val="0"/>
          <c:extLst>
            <c:ext xmlns:c16="http://schemas.microsoft.com/office/drawing/2014/chart" uri="{C3380CC4-5D6E-409C-BE32-E72D297353CC}">
              <c16:uniqueId val="{00000006-890B-4B55-856C-0152686CCD41}"/>
            </c:ext>
          </c:extLst>
        </c:ser>
        <c:dLbls>
          <c:showLegendKey val="0"/>
          <c:showVal val="0"/>
          <c:showCatName val="0"/>
          <c:showSerName val="0"/>
          <c:showPercent val="0"/>
          <c:showBubbleSize val="0"/>
        </c:dLbls>
        <c:smooth val="0"/>
        <c:axId val="469728272"/>
        <c:axId val="469728832"/>
      </c:lineChart>
      <c:catAx>
        <c:axId val="4697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8832"/>
        <c:crosses val="autoZero"/>
        <c:auto val="0"/>
        <c:lblAlgn val="ctr"/>
        <c:lblOffset val="100"/>
        <c:noMultiLvlLbl val="0"/>
      </c:catAx>
      <c:valAx>
        <c:axId val="469728832"/>
        <c:scaling>
          <c:orientation val="minMax"/>
          <c:max val="25000"/>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97282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BBB-4662-B16E-6E91A3BCDBBD}"/>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BBB-4662-B16E-6E91A3BCDBBD}"/>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BBB-4662-B16E-6E91A3BCDBBD}"/>
              </c:ext>
            </c:extLst>
          </c:dPt>
          <c:cat>
            <c:strRef>
              <c:f>DCF!$B$35:$F$35</c:f>
              <c:strCache>
                <c:ptCount val="5"/>
                <c:pt idx="0">
                  <c:v>2019 (Real)</c:v>
                </c:pt>
                <c:pt idx="1">
                  <c:v>2020 (Real)</c:v>
                </c:pt>
                <c:pt idx="2">
                  <c:v>2021</c:v>
                </c:pt>
                <c:pt idx="3">
                  <c:v>2022</c:v>
                </c:pt>
                <c:pt idx="4">
                  <c:v>2023</c:v>
                </c:pt>
              </c:strCache>
            </c:strRef>
          </c:cat>
          <c:val>
            <c:numRef>
              <c:f>DCF!$B$46:$F$46</c:f>
              <c:numCache>
                <c:formatCode>"$"#,##0</c:formatCode>
                <c:ptCount val="5"/>
                <c:pt idx="0">
                  <c:v>58073</c:v>
                </c:pt>
                <c:pt idx="1">
                  <c:v>61045</c:v>
                </c:pt>
                <c:pt idx="2">
                  <c:v>0</c:v>
                </c:pt>
                <c:pt idx="3">
                  <c:v>0</c:v>
                </c:pt>
                <c:pt idx="4">
                  <c:v>0</c:v>
                </c:pt>
              </c:numCache>
            </c:numRef>
          </c:val>
          <c:smooth val="0"/>
          <c:extLst>
            <c:ext xmlns:c16="http://schemas.microsoft.com/office/drawing/2014/chart" uri="{C3380CC4-5D6E-409C-BE32-E72D297353CC}">
              <c16:uniqueId val="{00000006-2BBB-4662-B16E-6E91A3BCDBBD}"/>
            </c:ext>
          </c:extLst>
        </c:ser>
        <c:dLbls>
          <c:showLegendKey val="0"/>
          <c:showVal val="0"/>
          <c:showCatName val="0"/>
          <c:showSerName val="0"/>
          <c:showPercent val="0"/>
          <c:showBubbleSize val="0"/>
        </c:dLbls>
        <c:smooth val="0"/>
        <c:axId val="471143824"/>
        <c:axId val="471144384"/>
      </c:lineChart>
      <c:catAx>
        <c:axId val="4711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71144384"/>
        <c:crosses val="autoZero"/>
        <c:auto val="1"/>
        <c:lblAlgn val="ctr"/>
        <c:lblOffset val="100"/>
        <c:noMultiLvlLbl val="0"/>
      </c:catAx>
      <c:valAx>
        <c:axId val="471144384"/>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71143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38100</xdr:rowOff>
    </xdr:from>
    <xdr:to>
      <xdr:col>5</xdr:col>
      <xdr:colOff>695325</xdr:colOff>
      <xdr:row>21</xdr:row>
      <xdr:rowOff>161924</xdr:rowOff>
    </xdr:to>
    <xdr:pic>
      <xdr:nvPicPr>
        <xdr:cNvPr id="2" name="Imagen 1">
          <a:extLst>
            <a:ext uri="{FF2B5EF4-FFF2-40B4-BE49-F238E27FC236}">
              <a16:creationId xmlns:a16="http://schemas.microsoft.com/office/drawing/2014/main" id="{F2F9330C-25CE-45E1-BA4E-66296A4EDD68}"/>
            </a:ext>
          </a:extLst>
        </xdr:cNvPr>
        <xdr:cNvPicPr>
          <a:picLocks noChangeAspect="1"/>
        </xdr:cNvPicPr>
      </xdr:nvPicPr>
      <xdr:blipFill rotWithShape="1">
        <a:blip xmlns:r="http://schemas.openxmlformats.org/officeDocument/2006/relationships" r:embed="rId1"/>
        <a:srcRect l="24381" t="20576" r="25833" b="16526"/>
        <a:stretch/>
      </xdr:blipFill>
      <xdr:spPr>
        <a:xfrm>
          <a:off x="0" y="361950"/>
          <a:ext cx="4505325" cy="3200399"/>
        </a:xfrm>
        <a:prstGeom prst="rect">
          <a:avLst/>
        </a:prstGeom>
      </xdr:spPr>
    </xdr:pic>
    <xdr:clientData/>
  </xdr:twoCellAnchor>
  <xdr:twoCellAnchor editAs="oneCell">
    <xdr:from>
      <xdr:col>5</xdr:col>
      <xdr:colOff>742951</xdr:colOff>
      <xdr:row>2</xdr:row>
      <xdr:rowOff>19050</xdr:rowOff>
    </xdr:from>
    <xdr:to>
      <xdr:col>12</xdr:col>
      <xdr:colOff>590550</xdr:colOff>
      <xdr:row>26</xdr:row>
      <xdr:rowOff>17452</xdr:rowOff>
    </xdr:to>
    <xdr:pic>
      <xdr:nvPicPr>
        <xdr:cNvPr id="3" name="Imagen 2">
          <a:extLst>
            <a:ext uri="{FF2B5EF4-FFF2-40B4-BE49-F238E27FC236}">
              <a16:creationId xmlns:a16="http://schemas.microsoft.com/office/drawing/2014/main" id="{6C3DB5B5-D2AB-4357-9042-072F61CBB8BC}"/>
            </a:ext>
          </a:extLst>
        </xdr:cNvPr>
        <xdr:cNvPicPr>
          <a:picLocks noChangeAspect="1"/>
        </xdr:cNvPicPr>
      </xdr:nvPicPr>
      <xdr:blipFill rotWithShape="1">
        <a:blip xmlns:r="http://schemas.openxmlformats.org/officeDocument/2006/relationships" r:embed="rId2"/>
        <a:srcRect l="35436" t="14585" r="5186" b="6238"/>
        <a:stretch/>
      </xdr:blipFill>
      <xdr:spPr>
        <a:xfrm>
          <a:off x="4552951" y="342900"/>
          <a:ext cx="5181599" cy="3884602"/>
        </a:xfrm>
        <a:prstGeom prst="rect">
          <a:avLst/>
        </a:prstGeom>
      </xdr:spPr>
    </xdr:pic>
    <xdr:clientData/>
  </xdr:twoCellAnchor>
  <xdr:twoCellAnchor editAs="oneCell">
    <xdr:from>
      <xdr:col>12</xdr:col>
      <xdr:colOff>733424</xdr:colOff>
      <xdr:row>1</xdr:row>
      <xdr:rowOff>152399</xdr:rowOff>
    </xdr:from>
    <xdr:to>
      <xdr:col>19</xdr:col>
      <xdr:colOff>200025</xdr:colOff>
      <xdr:row>25</xdr:row>
      <xdr:rowOff>104774</xdr:rowOff>
    </xdr:to>
    <xdr:pic>
      <xdr:nvPicPr>
        <xdr:cNvPr id="4" name="Imagen 3">
          <a:extLst>
            <a:ext uri="{FF2B5EF4-FFF2-40B4-BE49-F238E27FC236}">
              <a16:creationId xmlns:a16="http://schemas.microsoft.com/office/drawing/2014/main" id="{2F698728-CF09-4265-A947-5121BAAFCF06}"/>
            </a:ext>
          </a:extLst>
        </xdr:cNvPr>
        <xdr:cNvPicPr>
          <a:picLocks noChangeAspect="1"/>
        </xdr:cNvPicPr>
      </xdr:nvPicPr>
      <xdr:blipFill rotWithShape="1">
        <a:blip xmlns:r="http://schemas.openxmlformats.org/officeDocument/2006/relationships" r:embed="rId3"/>
        <a:srcRect l="17645" t="21877" r="37108" b="5196"/>
        <a:stretch/>
      </xdr:blipFill>
      <xdr:spPr>
        <a:xfrm>
          <a:off x="9877424" y="314324"/>
          <a:ext cx="4800601" cy="3838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161925</xdr:rowOff>
    </xdr:from>
    <xdr:to>
      <xdr:col>3</xdr:col>
      <xdr:colOff>438150</xdr:colOff>
      <xdr:row>14</xdr:row>
      <xdr:rowOff>95250</xdr:rowOff>
    </xdr:to>
    <xdr:graphicFrame macro="">
      <xdr:nvGraphicFramePr>
        <xdr:cNvPr id="69183" name="Gráfico 1">
          <a:extLst>
            <a:ext uri="{FF2B5EF4-FFF2-40B4-BE49-F238E27FC236}">
              <a16:creationId xmlns:a16="http://schemas.microsoft.com/office/drawing/2014/main" id="{77D8D2A6-31C8-436A-8BAC-BCB6DD15A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523875</xdr:colOff>
      <xdr:row>3</xdr:row>
      <xdr:rowOff>19050</xdr:rowOff>
    </xdr:from>
    <xdr:to>
      <xdr:col>9</xdr:col>
      <xdr:colOff>0</xdr:colOff>
      <xdr:row>14</xdr:row>
      <xdr:rowOff>85725</xdr:rowOff>
    </xdr:to>
    <xdr:graphicFrame macro="">
      <xdr:nvGraphicFramePr>
        <xdr:cNvPr id="69184" name="Gráfico 2">
          <a:extLst>
            <a:ext uri="{FF2B5EF4-FFF2-40B4-BE49-F238E27FC236}">
              <a16:creationId xmlns:a16="http://schemas.microsoft.com/office/drawing/2014/main" id="{9B781514-F142-49A5-BB8C-98E772FF4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16</xdr:row>
      <xdr:rowOff>28575</xdr:rowOff>
    </xdr:from>
    <xdr:to>
      <xdr:col>3</xdr:col>
      <xdr:colOff>457200</xdr:colOff>
      <xdr:row>27</xdr:row>
      <xdr:rowOff>123825</xdr:rowOff>
    </xdr:to>
    <xdr:graphicFrame macro="">
      <xdr:nvGraphicFramePr>
        <xdr:cNvPr id="69185" name="Gráfico 4">
          <a:extLst>
            <a:ext uri="{FF2B5EF4-FFF2-40B4-BE49-F238E27FC236}">
              <a16:creationId xmlns:a16="http://schemas.microsoft.com/office/drawing/2014/main" id="{F1BF886D-8D8C-489D-980F-D5383E1E7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542925</xdr:colOff>
      <xdr:row>16</xdr:row>
      <xdr:rowOff>38100</xdr:rowOff>
    </xdr:from>
    <xdr:to>
      <xdr:col>9</xdr:col>
      <xdr:colOff>19050</xdr:colOff>
      <xdr:row>27</xdr:row>
      <xdr:rowOff>104775</xdr:rowOff>
    </xdr:to>
    <xdr:graphicFrame macro="">
      <xdr:nvGraphicFramePr>
        <xdr:cNvPr id="69186" name="Gráfico 5">
          <a:extLst>
            <a:ext uri="{FF2B5EF4-FFF2-40B4-BE49-F238E27FC236}">
              <a16:creationId xmlns:a16="http://schemas.microsoft.com/office/drawing/2014/main" id="{AB6311A8-5D3E-4293-82B3-E0C5B246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istemas/AppData/Local/Temp/Bloomberg/data/XID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CapH"/>
      <sheetName val="PricesH"/>
      <sheetName val="ControlsH"/>
      <sheetName val="DataH"/>
      <sheetName val="Overview"/>
      <sheetName val="Peers"/>
      <sheetName val="Owners"/>
      <sheetName val="Help"/>
      <sheetName val="Indices"/>
      <sheetName val="Financials"/>
      <sheetName val="Ratings"/>
      <sheetName val="EST Brokers"/>
      <sheetName val="EST Detail"/>
      <sheetName val="VAL Grap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acrumors.com/guide/covid-19-coronavirus/" TargetMode="External"/><Relationship Id="rId2" Type="http://schemas.openxmlformats.org/officeDocument/2006/relationships/hyperlink" Target="https://glg.it/articles/how-might-the-wuhan-coronavirus-impact-apples-supply-chain/" TargetMode="External"/><Relationship Id="rId1" Type="http://schemas.openxmlformats.org/officeDocument/2006/relationships/hyperlink" Target="https://www.apple.com/newsroom/2020/03/apples-covid-19-response/" TargetMode="External"/><Relationship Id="rId5" Type="http://schemas.openxmlformats.org/officeDocument/2006/relationships/drawing" Target="../drawings/drawing1.xml"/><Relationship Id="rId4" Type="http://schemas.openxmlformats.org/officeDocument/2006/relationships/hyperlink" Target="https://www.cnbc.com/2020/02/18/the-significance-of-apples-coronavirus-warning.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mailto:VPN*@i%25"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N24"/>
  <sheetViews>
    <sheetView showGridLines="0" workbookViewId="0">
      <selection activeCell="A24" sqref="A24"/>
    </sheetView>
  </sheetViews>
  <sheetFormatPr defaultColWidth="11.42578125" defaultRowHeight="12.95"/>
  <sheetData>
    <row r="1" spans="1:14">
      <c r="A1" s="78" t="s">
        <v>0</v>
      </c>
      <c r="G1" s="78" t="s">
        <v>1</v>
      </c>
      <c r="N1" s="78" t="s">
        <v>2</v>
      </c>
    </row>
    <row r="2" spans="1:14">
      <c r="A2" s="56" t="s">
        <v>3</v>
      </c>
      <c r="G2" s="56" t="s">
        <v>4</v>
      </c>
      <c r="N2" s="56" t="s">
        <v>5</v>
      </c>
    </row>
    <row r="23" spans="1:1">
      <c r="A23" s="56" t="s">
        <v>6</v>
      </c>
    </row>
    <row r="24" spans="1:1">
      <c r="A24" s="78" t="s">
        <v>7</v>
      </c>
    </row>
  </sheetData>
  <hyperlinks>
    <hyperlink ref="A1" r:id="rId1" xr:uid="{00000000-0004-0000-0000-000000000000}"/>
    <hyperlink ref="G1" r:id="rId2" xr:uid="{00000000-0004-0000-0000-000001000000}"/>
    <hyperlink ref="A24" r:id="rId3" xr:uid="{00000000-0004-0000-0000-000002000000}"/>
    <hyperlink ref="N1" r:id="rId4" xr:uid="{00000000-0004-0000-0000-000003000000}"/>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election activeCell="C6" sqref="C6"/>
    </sheetView>
  </sheetViews>
  <sheetFormatPr defaultColWidth="11.42578125" defaultRowHeight="12.95"/>
  <cols>
    <col min="1" max="1" width="27.140625" bestFit="1" customWidth="1"/>
  </cols>
  <sheetData>
    <row r="1" spans="1:1">
      <c r="A1" t="s">
        <v>8</v>
      </c>
    </row>
    <row r="2" spans="1:1">
      <c r="A2" t="s">
        <v>9</v>
      </c>
    </row>
    <row r="3" spans="1:1">
      <c r="A3" t="s">
        <v>10</v>
      </c>
    </row>
    <row r="4" spans="1:1">
      <c r="A4" t="s">
        <v>11</v>
      </c>
    </row>
    <row r="5" spans="1:1">
      <c r="A5" t="s">
        <v>12</v>
      </c>
    </row>
    <row r="6" spans="1:1">
      <c r="A6" s="56" t="s">
        <v>13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B1:M47"/>
  <sheetViews>
    <sheetView showGridLines="0" tabSelected="1" topLeftCell="B1" zoomScale="117" zoomScaleNormal="80" workbookViewId="0">
      <selection activeCell="F24" sqref="F24"/>
    </sheetView>
  </sheetViews>
  <sheetFormatPr defaultColWidth="11.42578125" defaultRowHeight="12.95"/>
  <cols>
    <col min="1" max="1" width="1.140625" style="11" customWidth="1"/>
    <col min="2" max="2" width="59.42578125" style="11" customWidth="1"/>
    <col min="3" max="3" width="8.28515625" style="11" bestFit="1" customWidth="1"/>
    <col min="4" max="4" width="10.7109375" style="11" bestFit="1" customWidth="1"/>
    <col min="5" max="5" width="11.85546875" style="11" bestFit="1" customWidth="1"/>
    <col min="6" max="6" width="10.42578125" style="11" bestFit="1" customWidth="1"/>
    <col min="7" max="7" width="9.85546875" style="11" bestFit="1" customWidth="1"/>
    <col min="8" max="8" width="121.42578125" style="11" customWidth="1"/>
    <col min="9" max="9" width="2.85546875" style="11" customWidth="1"/>
    <col min="10" max="10" width="7.140625" style="11" customWidth="1"/>
    <col min="11" max="11" width="3.85546875" style="11" customWidth="1"/>
    <col min="12" max="12" width="13.28515625" style="11" bestFit="1" customWidth="1"/>
    <col min="13" max="13" width="18.7109375" style="11" customWidth="1"/>
    <col min="14" max="16384" width="11.42578125" style="11"/>
  </cols>
  <sheetData>
    <row r="1" spans="2:13" ht="6" customHeight="1" thickBot="1">
      <c r="B1" s="56"/>
      <c r="C1" s="56"/>
      <c r="D1" s="56"/>
      <c r="E1" s="56"/>
      <c r="F1" s="56"/>
      <c r="G1" s="56"/>
      <c r="H1" s="56"/>
      <c r="I1" s="56"/>
      <c r="J1" s="56"/>
      <c r="K1" s="56"/>
      <c r="L1" s="56"/>
      <c r="M1" s="56"/>
    </row>
    <row r="2" spans="2:13" ht="20.100000000000001">
      <c r="B2" s="150" t="s">
        <v>14</v>
      </c>
      <c r="C2" s="151"/>
      <c r="D2" s="151"/>
      <c r="E2" s="151"/>
      <c r="F2" s="151"/>
      <c r="G2" s="151"/>
      <c r="H2" s="152"/>
      <c r="I2" s="56"/>
      <c r="J2" s="147" t="s">
        <v>15</v>
      </c>
      <c r="K2" s="148"/>
      <c r="L2" s="148"/>
      <c r="M2" s="149"/>
    </row>
    <row r="3" spans="2:13">
      <c r="B3" s="16"/>
      <c r="C3" s="14" t="s">
        <v>16</v>
      </c>
      <c r="D3" s="14" t="s">
        <v>17</v>
      </c>
      <c r="E3" s="14" t="s">
        <v>18</v>
      </c>
      <c r="F3" s="14" t="s">
        <v>19</v>
      </c>
      <c r="G3" s="14" t="s">
        <v>20</v>
      </c>
      <c r="H3" s="17" t="s">
        <v>21</v>
      </c>
      <c r="I3" s="56"/>
      <c r="J3" s="153" t="s">
        <v>22</v>
      </c>
      <c r="K3" s="154"/>
      <c r="L3" s="15" t="s">
        <v>23</v>
      </c>
      <c r="M3" s="20" t="s">
        <v>24</v>
      </c>
    </row>
    <row r="4" spans="2:13" ht="14.1">
      <c r="B4" s="18" t="s">
        <v>25</v>
      </c>
      <c r="C4" s="62"/>
      <c r="D4" s="62"/>
      <c r="E4" s="62"/>
      <c r="F4" s="62"/>
      <c r="G4" s="63"/>
      <c r="H4" s="109"/>
      <c r="I4" s="56"/>
      <c r="J4" s="34" t="s">
        <v>26</v>
      </c>
      <c r="K4" s="35">
        <v>0</v>
      </c>
      <c r="L4" s="36" t="s">
        <v>27</v>
      </c>
      <c r="M4" s="155" t="s">
        <v>28</v>
      </c>
    </row>
    <row r="5" spans="2:13" ht="60.95" customHeight="1">
      <c r="B5" s="122" t="s">
        <v>29</v>
      </c>
      <c r="C5" s="126" t="s">
        <v>30</v>
      </c>
      <c r="D5" s="126" t="s">
        <v>31</v>
      </c>
      <c r="E5" s="126" t="s">
        <v>32</v>
      </c>
      <c r="F5" s="127" t="s">
        <v>31</v>
      </c>
      <c r="G5" s="121"/>
      <c r="H5" s="110" t="s">
        <v>33</v>
      </c>
      <c r="I5" s="56"/>
      <c r="J5" s="34" t="s">
        <v>34</v>
      </c>
      <c r="K5" s="35">
        <v>1</v>
      </c>
      <c r="L5" s="36" t="s">
        <v>35</v>
      </c>
      <c r="M5" s="155"/>
    </row>
    <row r="6" spans="2:13" s="41" customFormat="1" ht="14.1">
      <c r="B6" s="122" t="s">
        <v>36</v>
      </c>
      <c r="C6" s="124" t="s">
        <v>37</v>
      </c>
      <c r="D6" s="124" t="s">
        <v>38</v>
      </c>
      <c r="E6" s="124" t="s">
        <v>39</v>
      </c>
      <c r="F6" s="125" t="s">
        <v>38</v>
      </c>
      <c r="G6" s="120"/>
      <c r="H6" s="111" t="s">
        <v>40</v>
      </c>
      <c r="I6" s="97"/>
      <c r="J6" s="42" t="s">
        <v>41</v>
      </c>
      <c r="K6" s="43">
        <v>2</v>
      </c>
      <c r="L6" s="44" t="s">
        <v>42</v>
      </c>
      <c r="M6" s="155"/>
    </row>
    <row r="7" spans="2:13" ht="42.95" thickBot="1">
      <c r="B7" s="122" t="s">
        <v>43</v>
      </c>
      <c r="C7" s="124" t="s">
        <v>42</v>
      </c>
      <c r="D7" s="124" t="s">
        <v>31</v>
      </c>
      <c r="E7" s="124" t="s">
        <v>32</v>
      </c>
      <c r="F7" s="125" t="s">
        <v>31</v>
      </c>
      <c r="G7" s="121"/>
      <c r="H7" s="111" t="s">
        <v>44</v>
      </c>
      <c r="I7" s="56"/>
      <c r="J7" s="37" t="s">
        <v>45</v>
      </c>
      <c r="K7" s="38">
        <v>3</v>
      </c>
      <c r="L7" s="39" t="s">
        <v>46</v>
      </c>
      <c r="M7" s="156"/>
    </row>
    <row r="8" spans="2:13" ht="15" thickBot="1">
      <c r="B8" s="122" t="s">
        <v>47</v>
      </c>
      <c r="C8" s="124" t="s">
        <v>42</v>
      </c>
      <c r="D8" s="124" t="s">
        <v>31</v>
      </c>
      <c r="E8" s="124" t="s">
        <v>39</v>
      </c>
      <c r="F8" s="125" t="s">
        <v>31</v>
      </c>
      <c r="G8" s="120"/>
      <c r="H8" s="110" t="s">
        <v>48</v>
      </c>
      <c r="I8" s="56"/>
      <c r="J8" s="56"/>
      <c r="K8" s="56"/>
      <c r="L8" s="56"/>
      <c r="M8" s="56"/>
    </row>
    <row r="9" spans="2:13" ht="14.1">
      <c r="B9" s="123" t="s">
        <v>49</v>
      </c>
      <c r="C9" s="124" t="s">
        <v>30</v>
      </c>
      <c r="D9" s="124" t="s">
        <v>31</v>
      </c>
      <c r="E9" s="124" t="s">
        <v>39</v>
      </c>
      <c r="F9" s="125" t="s">
        <v>31</v>
      </c>
      <c r="G9" s="128"/>
      <c r="H9" s="112" t="s">
        <v>50</v>
      </c>
      <c r="I9" s="56"/>
      <c r="J9" s="157" t="s">
        <v>51</v>
      </c>
      <c r="K9" s="158"/>
      <c r="L9" s="159"/>
      <c r="M9" s="56"/>
    </row>
    <row r="10" spans="2:13" ht="14.1">
      <c r="B10" s="18" t="s">
        <v>52</v>
      </c>
      <c r="C10" s="66"/>
      <c r="D10" s="67"/>
      <c r="E10" s="67"/>
      <c r="F10" s="67"/>
      <c r="G10" s="68"/>
      <c r="H10" s="113"/>
      <c r="I10" s="56"/>
      <c r="J10" s="138"/>
      <c r="K10" s="139"/>
      <c r="L10" s="140"/>
      <c r="M10" s="56"/>
    </row>
    <row r="11" spans="2:13" ht="42">
      <c r="B11" s="30" t="s">
        <v>53</v>
      </c>
      <c r="C11" s="64">
        <v>14</v>
      </c>
      <c r="D11" s="64" t="s">
        <v>31</v>
      </c>
      <c r="E11" s="64" t="s">
        <v>42</v>
      </c>
      <c r="F11" s="65" t="s">
        <v>31</v>
      </c>
      <c r="G11" s="121"/>
      <c r="H11" s="114" t="s">
        <v>54</v>
      </c>
      <c r="I11" s="56"/>
      <c r="J11" s="141"/>
      <c r="K11" s="142"/>
      <c r="L11" s="143"/>
      <c r="M11" s="56"/>
    </row>
    <row r="12" spans="2:13" ht="26.25" customHeight="1">
      <c r="B12" s="30" t="s">
        <v>55</v>
      </c>
      <c r="C12" s="64" t="s">
        <v>42</v>
      </c>
      <c r="D12" s="64" t="s">
        <v>31</v>
      </c>
      <c r="E12" s="64" t="s">
        <v>35</v>
      </c>
      <c r="F12" s="69" t="s">
        <v>31</v>
      </c>
      <c r="G12" s="121"/>
      <c r="H12" s="115" t="s">
        <v>56</v>
      </c>
      <c r="I12" s="56"/>
      <c r="J12" s="144"/>
      <c r="K12" s="145"/>
      <c r="L12" s="146"/>
      <c r="M12" s="56"/>
    </row>
    <row r="13" spans="2:13" ht="23.25">
      <c r="B13" s="32" t="s">
        <v>57</v>
      </c>
      <c r="C13" s="64" t="s">
        <v>30</v>
      </c>
      <c r="D13" s="64" t="s">
        <v>58</v>
      </c>
      <c r="E13" s="64" t="s">
        <v>42</v>
      </c>
      <c r="F13" s="65" t="s">
        <v>31</v>
      </c>
      <c r="G13" s="121"/>
      <c r="H13" s="115" t="s">
        <v>59</v>
      </c>
      <c r="I13" s="56"/>
      <c r="J13" s="56"/>
      <c r="K13" s="56"/>
      <c r="L13" s="56"/>
      <c r="M13" s="56"/>
    </row>
    <row r="14" spans="2:13" ht="14.1">
      <c r="B14" s="32" t="s">
        <v>60</v>
      </c>
      <c r="C14" s="64" t="s">
        <v>30</v>
      </c>
      <c r="D14" s="64" t="s">
        <v>31</v>
      </c>
      <c r="E14" s="64" t="s">
        <v>35</v>
      </c>
      <c r="F14" s="65" t="s">
        <v>31</v>
      </c>
      <c r="G14" s="131"/>
      <c r="H14" s="115" t="s">
        <v>61</v>
      </c>
      <c r="I14" s="56"/>
      <c r="J14" s="56"/>
      <c r="K14" s="56"/>
      <c r="L14" s="56"/>
      <c r="M14" s="56"/>
    </row>
    <row r="15" spans="2:13" ht="14.1">
      <c r="B15" s="30" t="s">
        <v>62</v>
      </c>
      <c r="C15" s="64" t="s">
        <v>30</v>
      </c>
      <c r="D15" s="64" t="s">
        <v>31</v>
      </c>
      <c r="E15" s="64" t="s">
        <v>63</v>
      </c>
      <c r="F15" s="65" t="s">
        <v>31</v>
      </c>
      <c r="G15" s="132"/>
      <c r="H15" s="115" t="s">
        <v>64</v>
      </c>
      <c r="I15" s="56"/>
      <c r="J15" s="56"/>
      <c r="K15" s="56"/>
      <c r="L15" s="56"/>
      <c r="M15" s="56"/>
    </row>
    <row r="16" spans="2:13" ht="14.1">
      <c r="B16" s="30" t="s">
        <v>65</v>
      </c>
      <c r="C16" s="70"/>
      <c r="D16" s="70" t="s">
        <v>38</v>
      </c>
      <c r="E16" s="70"/>
      <c r="F16" s="70" t="s">
        <v>31</v>
      </c>
      <c r="G16" s="68"/>
      <c r="H16" s="116" t="s">
        <v>66</v>
      </c>
      <c r="I16" s="56"/>
      <c r="J16" s="56"/>
      <c r="K16" s="56"/>
      <c r="L16" s="56"/>
      <c r="M16" s="56"/>
    </row>
    <row r="17" spans="2:8">
      <c r="B17" s="30" t="s">
        <v>67</v>
      </c>
      <c r="C17" s="71"/>
      <c r="D17" s="64"/>
      <c r="E17" s="64"/>
      <c r="F17" s="65"/>
      <c r="G17" s="68"/>
      <c r="H17" s="56" t="s">
        <v>66</v>
      </c>
    </row>
    <row r="18" spans="2:8" ht="12.75">
      <c r="B18" s="30" t="s">
        <v>68</v>
      </c>
      <c r="C18" s="64" t="s">
        <v>30</v>
      </c>
      <c r="D18" s="64" t="s">
        <v>31</v>
      </c>
      <c r="E18" s="64" t="s">
        <v>35</v>
      </c>
      <c r="F18" s="65" t="s">
        <v>31</v>
      </c>
      <c r="G18" s="130"/>
      <c r="H18" s="137" t="s">
        <v>69</v>
      </c>
    </row>
    <row r="19" spans="2:8" ht="14.1">
      <c r="B19" s="30" t="s">
        <v>70</v>
      </c>
      <c r="C19" s="64" t="s">
        <v>42</v>
      </c>
      <c r="D19" s="64" t="s">
        <v>31</v>
      </c>
      <c r="E19" s="64" t="s">
        <v>35</v>
      </c>
      <c r="F19" s="65" t="s">
        <v>31</v>
      </c>
      <c r="G19" s="131"/>
      <c r="H19" s="115" t="s">
        <v>71</v>
      </c>
    </row>
    <row r="20" spans="2:8" ht="14.1">
      <c r="B20" s="30" t="s">
        <v>72</v>
      </c>
      <c r="C20" s="64" t="s">
        <v>42</v>
      </c>
      <c r="D20" s="64" t="s">
        <v>31</v>
      </c>
      <c r="E20" s="64" t="s">
        <v>35</v>
      </c>
      <c r="F20" s="65" t="s">
        <v>38</v>
      </c>
      <c r="G20" s="131"/>
      <c r="H20" s="115" t="s">
        <v>73</v>
      </c>
    </row>
    <row r="21" spans="2:8" ht="14.1">
      <c r="B21" s="31" t="s">
        <v>74</v>
      </c>
      <c r="C21" s="72" t="s">
        <v>42</v>
      </c>
      <c r="D21" s="72" t="s">
        <v>31</v>
      </c>
      <c r="E21" s="72" t="s">
        <v>63</v>
      </c>
      <c r="F21" s="73" t="s">
        <v>31</v>
      </c>
      <c r="G21" s="133"/>
      <c r="H21" s="112" t="s">
        <v>75</v>
      </c>
    </row>
    <row r="22" spans="2:8" ht="14.1">
      <c r="B22" s="19" t="s">
        <v>76</v>
      </c>
      <c r="C22" s="74"/>
      <c r="D22" s="74"/>
      <c r="E22" s="69"/>
      <c r="F22" s="74"/>
      <c r="G22" s="68"/>
      <c r="H22" s="117"/>
    </row>
    <row r="23" spans="2:8" ht="14.1">
      <c r="B23" s="30" t="s">
        <v>77</v>
      </c>
      <c r="C23" s="71"/>
      <c r="D23" s="71"/>
      <c r="E23" s="69" t="s">
        <v>39</v>
      </c>
      <c r="F23" s="69" t="s">
        <v>31</v>
      </c>
      <c r="G23" s="134"/>
      <c r="H23" s="118" t="s">
        <v>78</v>
      </c>
    </row>
    <row r="24" spans="2:8" ht="12.75">
      <c r="B24" s="30" t="s">
        <v>79</v>
      </c>
      <c r="C24" s="71"/>
      <c r="D24" s="71"/>
      <c r="E24" s="69" t="s">
        <v>32</v>
      </c>
      <c r="F24" s="69" t="s">
        <v>38</v>
      </c>
      <c r="G24" s="134"/>
      <c r="H24" s="115" t="s">
        <v>80</v>
      </c>
    </row>
    <row r="25" spans="2:8" ht="14.1">
      <c r="B25" s="30" t="s">
        <v>81</v>
      </c>
      <c r="C25" s="71"/>
      <c r="D25" s="71"/>
      <c r="E25" s="69" t="s">
        <v>39</v>
      </c>
      <c r="F25" s="69" t="s">
        <v>31</v>
      </c>
      <c r="G25" s="131"/>
      <c r="H25" s="115" t="s">
        <v>82</v>
      </c>
    </row>
    <row r="26" spans="2:8" ht="14.1">
      <c r="B26" s="30" t="s">
        <v>83</v>
      </c>
      <c r="C26" s="71"/>
      <c r="D26" s="71"/>
      <c r="E26" s="69" t="s">
        <v>32</v>
      </c>
      <c r="F26" s="69" t="s">
        <v>31</v>
      </c>
      <c r="G26" s="130"/>
      <c r="H26" s="115" t="s">
        <v>66</v>
      </c>
    </row>
    <row r="27" spans="2:8" ht="20.25" customHeight="1">
      <c r="B27" s="30" t="s">
        <v>84</v>
      </c>
      <c r="C27" s="71"/>
      <c r="D27" s="71"/>
      <c r="E27" s="69" t="s">
        <v>63</v>
      </c>
      <c r="F27" s="69" t="s">
        <v>38</v>
      </c>
      <c r="G27" s="134"/>
      <c r="H27" s="115" t="s">
        <v>85</v>
      </c>
    </row>
    <row r="28" spans="2:8" ht="12.75">
      <c r="B28" s="30" t="s">
        <v>86</v>
      </c>
      <c r="C28" s="71"/>
      <c r="D28" s="71"/>
      <c r="E28" s="69" t="s">
        <v>63</v>
      </c>
      <c r="F28" s="69" t="s">
        <v>38</v>
      </c>
      <c r="G28" s="131"/>
      <c r="H28" s="115" t="s">
        <v>87</v>
      </c>
    </row>
    <row r="29" spans="2:8" ht="14.1">
      <c r="B29" s="30" t="s">
        <v>88</v>
      </c>
      <c r="C29" s="71"/>
      <c r="D29" s="71"/>
      <c r="E29" s="69" t="s">
        <v>89</v>
      </c>
      <c r="F29" s="69" t="s">
        <v>38</v>
      </c>
      <c r="G29" s="135"/>
      <c r="H29" s="114" t="s">
        <v>90</v>
      </c>
    </row>
    <row r="30" spans="2:8" ht="12.75">
      <c r="B30" s="30" t="s">
        <v>91</v>
      </c>
      <c r="C30" s="71"/>
      <c r="D30" s="71"/>
      <c r="E30" s="69" t="s">
        <v>63</v>
      </c>
      <c r="F30" s="69" t="s">
        <v>38</v>
      </c>
      <c r="G30" s="131"/>
      <c r="H30" s="114" t="s">
        <v>92</v>
      </c>
    </row>
    <row r="31" spans="2:8" ht="14.1">
      <c r="B31" s="30" t="s">
        <v>93</v>
      </c>
      <c r="C31" s="71"/>
      <c r="D31" s="69" t="s">
        <v>31</v>
      </c>
      <c r="E31" s="69" t="s">
        <v>89</v>
      </c>
      <c r="F31" s="69" t="s">
        <v>38</v>
      </c>
      <c r="G31" s="134"/>
      <c r="H31" s="115" t="s">
        <v>94</v>
      </c>
    </row>
    <row r="32" spans="2:8" ht="15.75" customHeight="1">
      <c r="B32" s="33" t="s">
        <v>95</v>
      </c>
      <c r="C32" s="75"/>
      <c r="D32" s="76" t="s">
        <v>31</v>
      </c>
      <c r="E32" s="77" t="s">
        <v>35</v>
      </c>
      <c r="F32" s="77" t="s">
        <v>38</v>
      </c>
      <c r="G32" s="136"/>
      <c r="H32" s="119" t="s">
        <v>96</v>
      </c>
    </row>
    <row r="33" spans="2:8" ht="15.75" customHeight="1">
      <c r="B33" s="45"/>
      <c r="C33" s="56"/>
      <c r="D33" s="56"/>
      <c r="E33" s="56"/>
      <c r="F33" s="56"/>
      <c r="G33" s="56"/>
      <c r="H33" s="98"/>
    </row>
    <row r="34" spans="2:8">
      <c r="B34" s="129" t="s">
        <v>97</v>
      </c>
      <c r="C34" s="56"/>
      <c r="D34" s="56"/>
      <c r="E34" s="56"/>
      <c r="F34" s="56"/>
      <c r="G34" s="56"/>
      <c r="H34" s="56"/>
    </row>
    <row r="35" spans="2:8">
      <c r="B35" s="56" t="s">
        <v>98</v>
      </c>
      <c r="C35" s="56"/>
      <c r="D35" s="56"/>
      <c r="E35" s="56"/>
      <c r="F35" s="56"/>
      <c r="G35" s="56"/>
      <c r="H35" s="56"/>
    </row>
    <row r="37" spans="2:8">
      <c r="B37" s="56" t="s">
        <v>99</v>
      </c>
      <c r="C37" s="56"/>
      <c r="D37" s="56"/>
      <c r="E37" s="56"/>
      <c r="F37" s="56"/>
      <c r="G37" s="56"/>
      <c r="H37" s="56"/>
    </row>
    <row r="39" spans="2:8">
      <c r="B39" s="56" t="s">
        <v>100</v>
      </c>
      <c r="C39" s="56"/>
      <c r="D39" s="56"/>
      <c r="E39" s="56"/>
      <c r="F39" s="56"/>
      <c r="G39" s="56"/>
      <c r="H39" s="56"/>
    </row>
    <row r="41" spans="2:8">
      <c r="B41" s="56" t="s">
        <v>101</v>
      </c>
      <c r="C41" s="56"/>
      <c r="D41" s="56"/>
      <c r="E41" s="56"/>
      <c r="F41" s="56"/>
      <c r="G41" s="56"/>
      <c r="H41" s="56"/>
    </row>
    <row r="43" spans="2:8">
      <c r="B43" s="56" t="s">
        <v>102</v>
      </c>
      <c r="C43" s="56"/>
      <c r="D43" s="56"/>
      <c r="E43" s="56"/>
      <c r="F43" s="56"/>
      <c r="G43" s="56"/>
      <c r="H43" s="56"/>
    </row>
    <row r="45" spans="2:8">
      <c r="B45" s="56" t="s">
        <v>103</v>
      </c>
      <c r="C45" s="56"/>
      <c r="D45" s="56"/>
      <c r="E45" s="56"/>
      <c r="F45" s="56"/>
      <c r="G45" s="56"/>
      <c r="H45" s="56"/>
    </row>
    <row r="47" spans="2:8">
      <c r="B47" s="56" t="s">
        <v>104</v>
      </c>
      <c r="C47" s="56"/>
      <c r="D47" s="56"/>
      <c r="E47" s="56"/>
      <c r="F47" s="56"/>
      <c r="G47" s="56"/>
      <c r="H47" s="56"/>
    </row>
  </sheetData>
  <mergeCells count="8">
    <mergeCell ref="J10:L10"/>
    <mergeCell ref="J11:L11"/>
    <mergeCell ref="J12:L12"/>
    <mergeCell ref="J2:M2"/>
    <mergeCell ref="B2:H2"/>
    <mergeCell ref="J3:K3"/>
    <mergeCell ref="M4:M7"/>
    <mergeCell ref="J9:L9"/>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0070C0"/>
  </sheetPr>
  <dimension ref="A1:AD88"/>
  <sheetViews>
    <sheetView topLeftCell="P25" zoomScaleNormal="100" workbookViewId="0">
      <pane xSplit="15560" topLeftCell="Y1" activePane="topRight"/>
      <selection pane="topRight" activeCell="AB41" sqref="AB41"/>
      <selection activeCell="AC36" sqref="AC36"/>
    </sheetView>
  </sheetViews>
  <sheetFormatPr defaultColWidth="11.42578125" defaultRowHeight="12.95"/>
  <cols>
    <col min="1" max="1" width="24.42578125" bestFit="1" customWidth="1"/>
    <col min="2" max="2" width="11.28515625" customWidth="1"/>
    <col min="3" max="3" width="20" bestFit="1" customWidth="1"/>
    <col min="4" max="9" width="11.140625" style="4" customWidth="1"/>
    <col min="10" max="11" width="8.85546875" style="4" bestFit="1" customWidth="1"/>
    <col min="12" max="12" width="9.42578125" style="4" bestFit="1" customWidth="1"/>
    <col min="13" max="13" width="9.140625" style="4" bestFit="1" customWidth="1"/>
    <col min="14" max="16" width="9.28515625" style="4" bestFit="1" customWidth="1"/>
    <col min="17" max="20" width="9.42578125" style="4" bestFit="1" customWidth="1"/>
    <col min="21" max="21" width="10" style="4" bestFit="1" customWidth="1"/>
    <col min="22" max="22" width="9.85546875" style="4" bestFit="1" customWidth="1"/>
    <col min="23" max="23" width="10" style="4" bestFit="1" customWidth="1"/>
    <col min="24" max="25" width="9.85546875" style="4" bestFit="1" customWidth="1"/>
    <col min="26" max="26" width="10.140625" style="4" bestFit="1" customWidth="1"/>
    <col min="27" max="28" width="10" style="4" bestFit="1" customWidth="1"/>
    <col min="29" max="29" width="10.42578125" style="4" bestFit="1" customWidth="1"/>
  </cols>
  <sheetData>
    <row r="1" spans="1:30" ht="20.100000000000001">
      <c r="A1" s="161" t="s">
        <v>105</v>
      </c>
      <c r="B1" s="161"/>
      <c r="C1" s="161"/>
      <c r="D1" s="161"/>
      <c r="E1" s="161"/>
      <c r="F1" s="161"/>
      <c r="G1" s="161"/>
      <c r="H1" s="161"/>
      <c r="I1" s="161"/>
      <c r="J1" s="161"/>
      <c r="K1" s="161"/>
      <c r="L1" s="161"/>
    </row>
    <row r="2" spans="1:30">
      <c r="A2" s="47"/>
      <c r="B2" s="47"/>
      <c r="C2" s="47"/>
      <c r="D2" s="47"/>
      <c r="E2" s="47"/>
      <c r="F2" s="47"/>
      <c r="G2" s="47"/>
      <c r="H2" s="47"/>
      <c r="I2" s="47"/>
      <c r="J2" s="47"/>
      <c r="K2" s="47"/>
      <c r="L2" s="47"/>
    </row>
    <row r="3" spans="1:30">
      <c r="A3" s="47" t="s">
        <v>106</v>
      </c>
      <c r="B3" s="47"/>
      <c r="C3" s="47"/>
      <c r="D3" s="47"/>
      <c r="E3" s="47" t="s">
        <v>107</v>
      </c>
      <c r="F3" s="47"/>
      <c r="G3" s="47"/>
      <c r="H3" s="47"/>
      <c r="I3" s="47"/>
      <c r="J3" s="47"/>
      <c r="K3" s="47"/>
      <c r="L3" s="47"/>
    </row>
    <row r="4" spans="1:30">
      <c r="A4" s="47"/>
      <c r="B4" s="47"/>
      <c r="C4" s="47"/>
      <c r="D4" s="47"/>
      <c r="E4" s="47"/>
      <c r="F4" s="47"/>
      <c r="G4" s="47"/>
      <c r="H4" s="47"/>
      <c r="I4" s="47"/>
      <c r="J4" s="47"/>
      <c r="K4" s="47"/>
      <c r="L4" s="47"/>
    </row>
    <row r="5" spans="1:30">
      <c r="A5" s="47"/>
      <c r="B5" s="47"/>
      <c r="C5" s="47"/>
      <c r="D5" s="47"/>
      <c r="E5" s="47"/>
      <c r="F5" s="47"/>
      <c r="G5" s="47"/>
      <c r="H5" s="47"/>
      <c r="I5" s="47"/>
      <c r="J5" s="47"/>
      <c r="K5" s="47"/>
      <c r="L5" s="47"/>
    </row>
    <row r="6" spans="1:30">
      <c r="A6" s="47"/>
      <c r="B6" s="47"/>
      <c r="C6" s="47"/>
      <c r="D6" s="47"/>
      <c r="E6" s="47"/>
      <c r="F6" s="47"/>
      <c r="G6" s="47"/>
      <c r="H6" s="47"/>
      <c r="I6" s="47"/>
      <c r="J6" s="47"/>
      <c r="K6" s="47"/>
      <c r="L6" s="47"/>
    </row>
    <row r="7" spans="1:30">
      <c r="A7" s="47"/>
      <c r="B7" s="47"/>
      <c r="C7" s="47"/>
      <c r="D7" s="47"/>
      <c r="E7" s="47"/>
      <c r="F7" s="47"/>
      <c r="G7" s="47"/>
      <c r="H7" s="47"/>
      <c r="I7" s="47"/>
      <c r="J7" s="47"/>
      <c r="K7" s="47"/>
      <c r="L7" s="47"/>
    </row>
    <row r="8" spans="1:30">
      <c r="A8" s="47"/>
      <c r="B8" s="47"/>
      <c r="C8" s="47"/>
      <c r="D8" s="47"/>
      <c r="E8" s="47"/>
      <c r="F8" s="47"/>
      <c r="G8" s="47"/>
      <c r="H8" s="47"/>
      <c r="I8" s="47"/>
      <c r="J8" s="47"/>
      <c r="K8" s="47"/>
      <c r="L8" s="47"/>
    </row>
    <row r="9" spans="1:30">
      <c r="A9" s="47"/>
      <c r="B9" s="47"/>
      <c r="C9" s="47"/>
      <c r="D9" s="47"/>
      <c r="E9" s="47"/>
      <c r="F9" s="47"/>
      <c r="G9" s="47"/>
      <c r="H9" s="47"/>
      <c r="I9" s="47"/>
      <c r="J9" s="47"/>
      <c r="K9" s="47"/>
      <c r="L9" s="47"/>
    </row>
    <row r="10" spans="1:30">
      <c r="A10" s="47"/>
      <c r="B10" s="47"/>
      <c r="C10" s="47"/>
      <c r="D10" s="47"/>
      <c r="E10" s="47"/>
      <c r="F10" s="47"/>
      <c r="G10" s="47"/>
      <c r="H10" s="47"/>
      <c r="I10" s="47"/>
      <c r="J10" s="47"/>
      <c r="K10" s="47"/>
      <c r="L10" s="47"/>
    </row>
    <row r="11" spans="1:30">
      <c r="A11" s="47"/>
      <c r="B11" s="47"/>
      <c r="C11" s="47"/>
      <c r="D11" s="47"/>
      <c r="E11" s="47"/>
      <c r="F11" s="47"/>
      <c r="G11" s="47"/>
      <c r="H11" s="47"/>
      <c r="I11" s="47"/>
      <c r="J11" s="47"/>
      <c r="K11" s="47"/>
      <c r="L11" s="47"/>
    </row>
    <row r="12" spans="1:30">
      <c r="A12" s="47"/>
      <c r="B12" s="47"/>
      <c r="C12" s="47"/>
      <c r="D12" s="47"/>
      <c r="E12" s="47"/>
      <c r="F12" s="47"/>
      <c r="G12" s="47"/>
      <c r="H12" s="47"/>
      <c r="I12" s="47"/>
      <c r="J12" s="47"/>
      <c r="K12" s="47"/>
      <c r="L12" s="47"/>
      <c r="Z12" s="1"/>
    </row>
    <row r="13" spans="1:30">
      <c r="A13" s="47"/>
      <c r="B13" s="47"/>
      <c r="C13" s="47"/>
      <c r="D13" s="47"/>
      <c r="E13" s="47"/>
      <c r="F13" s="47"/>
      <c r="G13" s="47"/>
      <c r="H13" s="47"/>
      <c r="I13" s="47"/>
      <c r="J13" s="47"/>
      <c r="K13" s="47"/>
      <c r="L13" s="47"/>
    </row>
    <row r="14" spans="1:30">
      <c r="A14" s="47"/>
      <c r="B14" s="47"/>
      <c r="C14" s="47"/>
      <c r="D14" s="47"/>
      <c r="E14" s="47"/>
      <c r="F14" s="47"/>
      <c r="G14" s="47"/>
      <c r="H14" s="47"/>
      <c r="I14" s="47"/>
      <c r="J14" s="47"/>
      <c r="K14" s="47"/>
      <c r="L14" s="47"/>
    </row>
    <row r="15" spans="1:30">
      <c r="A15" s="47"/>
      <c r="B15" s="47"/>
      <c r="C15" s="47"/>
      <c r="D15" s="47"/>
      <c r="E15" s="47"/>
      <c r="F15" s="47"/>
      <c r="G15" s="47"/>
      <c r="H15" s="47"/>
      <c r="I15" s="47"/>
      <c r="J15" s="47"/>
      <c r="K15" s="47"/>
      <c r="L15" s="47"/>
      <c r="AD15" s="56"/>
    </row>
    <row r="16" spans="1:30">
      <c r="A16" s="47" t="s">
        <v>108</v>
      </c>
      <c r="B16" s="47"/>
      <c r="C16" s="47"/>
      <c r="D16" s="47"/>
      <c r="E16" s="47" t="s">
        <v>109</v>
      </c>
      <c r="F16" s="47"/>
      <c r="G16" s="47"/>
      <c r="H16" s="47"/>
      <c r="I16" s="47"/>
      <c r="J16" s="47"/>
      <c r="K16" s="47"/>
      <c r="L16" s="47"/>
      <c r="AD16" s="56"/>
    </row>
    <row r="17" spans="4:30">
      <c r="AD17" s="56"/>
    </row>
    <row r="18" spans="4:30">
      <c r="AD18" s="56"/>
    </row>
    <row r="19" spans="4:30">
      <c r="AD19" s="56"/>
    </row>
    <row r="20" spans="4:30">
      <c r="AD20" s="56"/>
    </row>
    <row r="21" spans="4:30">
      <c r="AD21" s="56"/>
    </row>
    <row r="22" spans="4:30">
      <c r="AD22" s="56"/>
    </row>
    <row r="23" spans="4:30">
      <c r="AD23" s="56"/>
    </row>
    <row r="24" spans="4:30">
      <c r="AD24" s="56"/>
    </row>
    <row r="25" spans="4:30">
      <c r="AD25" s="56"/>
    </row>
    <row r="26" spans="4:30">
      <c r="K26" s="79"/>
      <c r="AD26" s="56"/>
    </row>
    <row r="27" spans="4:30">
      <c r="K27" s="79"/>
      <c r="AD27" s="56"/>
    </row>
    <row r="31" spans="4:30">
      <c r="D31" s="81">
        <v>1E-3</v>
      </c>
      <c r="E31" s="82">
        <f>1/((1+$B$59+$D31)^(E35-2021))</f>
        <v>0.92250922509225108</v>
      </c>
      <c r="F31" s="82">
        <f t="shared" ref="F31:AC31" si="0">1/((1+$B$59+$D31)^(F35-2021))</f>
        <v>0.85102327038030556</v>
      </c>
      <c r="G31" s="82">
        <f t="shared" si="0"/>
        <v>0.78507681769400894</v>
      </c>
      <c r="H31" s="82">
        <f t="shared" si="0"/>
        <v>0.72424060672879054</v>
      </c>
      <c r="I31" s="82">
        <f t="shared" si="0"/>
        <v>0.66811864089371831</v>
      </c>
      <c r="J31" s="82">
        <f t="shared" si="0"/>
        <v>0.61634560968055208</v>
      </c>
      <c r="K31" s="82">
        <f t="shared" si="0"/>
        <v>0.56858451077541716</v>
      </c>
      <c r="L31" s="82">
        <f t="shared" si="0"/>
        <v>0.52452445643488677</v>
      </c>
      <c r="M31" s="82">
        <f t="shared" si="0"/>
        <v>0.48387864984768159</v>
      </c>
      <c r="N31" s="82">
        <f t="shared" si="0"/>
        <v>0.44638251830966935</v>
      </c>
      <c r="O31" s="82">
        <f t="shared" si="0"/>
        <v>0.41179199106058068</v>
      </c>
      <c r="P31" s="82">
        <f t="shared" si="0"/>
        <v>0.37988191057249149</v>
      </c>
      <c r="Q31" s="82">
        <f t="shared" si="0"/>
        <v>0.35044456694879283</v>
      </c>
      <c r="R31" s="82">
        <f t="shared" si="0"/>
        <v>0.32328834589372041</v>
      </c>
      <c r="S31" s="82">
        <f t="shared" si="0"/>
        <v>0.29823648145177167</v>
      </c>
      <c r="T31" s="82">
        <f t="shared" si="0"/>
        <v>0.27512590539831339</v>
      </c>
      <c r="U31" s="82">
        <f t="shared" si="0"/>
        <v>0.25380618579180203</v>
      </c>
      <c r="V31" s="82">
        <f t="shared" si="0"/>
        <v>0.2341385477784152</v>
      </c>
      <c r="W31" s="82">
        <f t="shared" si="0"/>
        <v>0.21599497027529083</v>
      </c>
      <c r="X31" s="82">
        <f t="shared" si="0"/>
        <v>0.19925735265248232</v>
      </c>
      <c r="Y31" s="82">
        <f t="shared" si="0"/>
        <v>0.18381674598937486</v>
      </c>
      <c r="Z31" s="82">
        <f t="shared" si="0"/>
        <v>0.16957264390163737</v>
      </c>
      <c r="AA31" s="82">
        <f t="shared" si="0"/>
        <v>0.1564323283225437</v>
      </c>
      <c r="AB31" s="82">
        <f t="shared" si="0"/>
        <v>0.14431026598020638</v>
      </c>
      <c r="AC31" s="82">
        <f t="shared" si="0"/>
        <v>0.13312755164225684</v>
      </c>
    </row>
    <row r="32" spans="4:30">
      <c r="D32" s="83">
        <v>5.0000000000000001E-3</v>
      </c>
      <c r="E32" s="82">
        <f>1/((1+$B$59+$D32)^(E35-2021))</f>
        <v>0.91911764705882371</v>
      </c>
      <c r="F32" s="82">
        <f t="shared" ref="F32:AC32" si="1">1/((1+$B$59+$D32)^(F35-2021))</f>
        <v>0.84477724913494834</v>
      </c>
      <c r="G32" s="82">
        <f t="shared" si="1"/>
        <v>0.77644967751373939</v>
      </c>
      <c r="H32" s="82">
        <f t="shared" si="1"/>
        <v>0.71364860065601055</v>
      </c>
      <c r="I32" s="82">
        <f t="shared" si="1"/>
        <v>0.65592702266177449</v>
      </c>
      <c r="J32" s="82">
        <f t="shared" si="1"/>
        <v>0.60287410171118994</v>
      </c>
      <c r="K32" s="82">
        <f t="shared" si="1"/>
        <v>0.55411222583749076</v>
      </c>
      <c r="L32" s="82">
        <f t="shared" si="1"/>
        <v>0.509294325218282</v>
      </c>
      <c r="M32" s="82">
        <f t="shared" si="1"/>
        <v>0.46810140185503862</v>
      </c>
      <c r="N32" s="82">
        <f t="shared" si="1"/>
        <v>0.43024025905793994</v>
      </c>
      <c r="O32" s="82">
        <f t="shared" si="1"/>
        <v>0.39544141457531257</v>
      </c>
      <c r="P32" s="82">
        <f t="shared" si="1"/>
        <v>0.36345718251407405</v>
      </c>
      <c r="Q32" s="82">
        <f t="shared" si="1"/>
        <v>0.33405991039896515</v>
      </c>
      <c r="R32" s="82">
        <f t="shared" si="1"/>
        <v>0.30704035882257835</v>
      </c>
      <c r="S32" s="82">
        <f t="shared" si="1"/>
        <v>0.28220621215310515</v>
      </c>
      <c r="T32" s="82">
        <f t="shared" si="1"/>
        <v>0.25938070969954519</v>
      </c>
      <c r="U32" s="82">
        <f t="shared" si="1"/>
        <v>0.23840138759149374</v>
      </c>
      <c r="V32" s="82">
        <f t="shared" si="1"/>
        <v>0.21911892241865238</v>
      </c>
      <c r="W32" s="82">
        <f t="shared" si="1"/>
        <v>0.2013960683994967</v>
      </c>
      <c r="X32" s="82">
        <f t="shared" si="1"/>
        <v>0.18510668051424331</v>
      </c>
      <c r="Y32" s="82">
        <f t="shared" si="1"/>
        <v>0.17013481664912072</v>
      </c>
      <c r="Z32" s="82">
        <f t="shared" si="1"/>
        <v>0.15637391236132422</v>
      </c>
      <c r="AA32" s="82">
        <f t="shared" si="1"/>
        <v>0.143726022390923</v>
      </c>
      <c r="AB32" s="82">
        <f t="shared" si="1"/>
        <v>0.13210112352106895</v>
      </c>
      <c r="AC32" s="82">
        <f t="shared" si="1"/>
        <v>0.1214164738245119</v>
      </c>
    </row>
    <row r="33" spans="1:30">
      <c r="D33" s="58" t="s">
        <v>110</v>
      </c>
      <c r="E33" s="82">
        <f>1/((1+$B$59)^(E35-2021))</f>
        <v>0.92336103416435833</v>
      </c>
      <c r="F33" s="82">
        <f t="shared" ref="F33:AC33" si="2">1/((1+$B$59)^(F35-2021))</f>
        <v>0.85259559941307328</v>
      </c>
      <c r="G33" s="82">
        <f t="shared" si="2"/>
        <v>0.78725355439803635</v>
      </c>
      <c r="H33" s="82">
        <f t="shared" si="2"/>
        <v>0.72691925613853769</v>
      </c>
      <c r="I33" s="82">
        <f t="shared" si="2"/>
        <v>0.67120891610206623</v>
      </c>
      <c r="J33" s="82">
        <f t="shared" si="2"/>
        <v>0.61976815891234194</v>
      </c>
      <c r="K33" s="82">
        <f t="shared" si="2"/>
        <v>0.57226976815544039</v>
      </c>
      <c r="L33" s="82">
        <f t="shared" si="2"/>
        <v>0.52841160494500505</v>
      </c>
      <c r="M33" s="82">
        <f t="shared" si="2"/>
        <v>0.48791468600646815</v>
      </c>
      <c r="N33" s="82">
        <f t="shared" si="2"/>
        <v>0.45052140905491062</v>
      </c>
      <c r="O33" s="82">
        <f t="shared" si="2"/>
        <v>0.4159939141781262</v>
      </c>
      <c r="P33" s="82">
        <f t="shared" si="2"/>
        <v>0.38411257080159389</v>
      </c>
      <c r="Q33" s="82">
        <f t="shared" si="2"/>
        <v>0.35467458061089008</v>
      </c>
      <c r="R33" s="82">
        <f t="shared" si="2"/>
        <v>0.32749268754468147</v>
      </c>
      <c r="S33" s="82">
        <f t="shared" si="2"/>
        <v>0.30239398665252215</v>
      </c>
      <c r="T33" s="82">
        <f t="shared" si="2"/>
        <v>0.27921882424055605</v>
      </c>
      <c r="U33" s="82">
        <f t="shared" si="2"/>
        <v>0.25781978230891606</v>
      </c>
      <c r="V33" s="82">
        <f t="shared" si="2"/>
        <v>0.23806074082079043</v>
      </c>
      <c r="W33" s="82">
        <f t="shared" si="2"/>
        <v>0.21981601183821831</v>
      </c>
      <c r="X33" s="82">
        <f t="shared" si="2"/>
        <v>0.2029695400168221</v>
      </c>
      <c r="Y33" s="82">
        <f t="shared" si="2"/>
        <v>0.18741416437379693</v>
      </c>
      <c r="Z33" s="82">
        <f t="shared" si="2"/>
        <v>0.1730509366332382</v>
      </c>
      <c r="AA33" s="82">
        <f t="shared" si="2"/>
        <v>0.15978849181277768</v>
      </c>
      <c r="AB33" s="82">
        <f t="shared" si="2"/>
        <v>0.14754246704780949</v>
      </c>
      <c r="AC33" s="82">
        <f t="shared" si="2"/>
        <v>0.13623496495642612</v>
      </c>
    </row>
    <row r="35" spans="1:30">
      <c r="B35" s="24" t="s">
        <v>111</v>
      </c>
      <c r="C35" s="24" t="s">
        <v>112</v>
      </c>
      <c r="D35" s="12">
        <v>2021</v>
      </c>
      <c r="E35" s="12">
        <f>D35+1</f>
        <v>2022</v>
      </c>
      <c r="F35" s="12">
        <f t="shared" ref="F35:AC35" si="3">E35+1</f>
        <v>2023</v>
      </c>
      <c r="G35" s="12">
        <f t="shared" si="3"/>
        <v>2024</v>
      </c>
      <c r="H35" s="12">
        <f t="shared" si="3"/>
        <v>2025</v>
      </c>
      <c r="I35" s="12">
        <f t="shared" si="3"/>
        <v>2026</v>
      </c>
      <c r="J35" s="12">
        <f t="shared" si="3"/>
        <v>2027</v>
      </c>
      <c r="K35" s="12">
        <f t="shared" si="3"/>
        <v>2028</v>
      </c>
      <c r="L35" s="12">
        <f t="shared" si="3"/>
        <v>2029</v>
      </c>
      <c r="M35" s="12">
        <f t="shared" si="3"/>
        <v>2030</v>
      </c>
      <c r="N35" s="12">
        <f t="shared" si="3"/>
        <v>2031</v>
      </c>
      <c r="O35" s="12">
        <f t="shared" si="3"/>
        <v>2032</v>
      </c>
      <c r="P35" s="12">
        <f t="shared" si="3"/>
        <v>2033</v>
      </c>
      <c r="Q35" s="12">
        <f t="shared" si="3"/>
        <v>2034</v>
      </c>
      <c r="R35" s="12">
        <f t="shared" si="3"/>
        <v>2035</v>
      </c>
      <c r="S35" s="12">
        <f t="shared" si="3"/>
        <v>2036</v>
      </c>
      <c r="T35" s="12">
        <f t="shared" si="3"/>
        <v>2037</v>
      </c>
      <c r="U35" s="12">
        <f t="shared" si="3"/>
        <v>2038</v>
      </c>
      <c r="V35" s="12">
        <f t="shared" si="3"/>
        <v>2039</v>
      </c>
      <c r="W35" s="12">
        <f t="shared" si="3"/>
        <v>2040</v>
      </c>
      <c r="X35" s="12">
        <f t="shared" si="3"/>
        <v>2041</v>
      </c>
      <c r="Y35" s="12">
        <f t="shared" si="3"/>
        <v>2042</v>
      </c>
      <c r="Z35" s="12">
        <f t="shared" si="3"/>
        <v>2043</v>
      </c>
      <c r="AA35" s="12">
        <f t="shared" si="3"/>
        <v>2044</v>
      </c>
      <c r="AB35" s="12">
        <f t="shared" si="3"/>
        <v>2045</v>
      </c>
      <c r="AC35" s="12">
        <f t="shared" si="3"/>
        <v>2046</v>
      </c>
    </row>
    <row r="36" spans="1:30" s="13" customFormat="1">
      <c r="A36" s="21" t="s">
        <v>113</v>
      </c>
      <c r="B36" s="40" t="e">
        <f>#REF!</f>
        <v>#REF!</v>
      </c>
      <c r="C36" s="40" t="e">
        <f>#REF!</f>
        <v>#REF!</v>
      </c>
      <c r="D36" s="80">
        <v>0.35</v>
      </c>
      <c r="E36" s="80">
        <v>3.4000000000000002E-2</v>
      </c>
      <c r="F36" s="80">
        <v>9.5000000000000001E-2</v>
      </c>
      <c r="G36" s="80">
        <v>9.5000000000000001E-2</v>
      </c>
      <c r="H36" s="80">
        <v>9.5000000000000001E-2</v>
      </c>
      <c r="I36" s="80">
        <v>9.5000000000000001E-2</v>
      </c>
      <c r="J36" s="80">
        <v>9.5000000000000001E-2</v>
      </c>
      <c r="K36" s="40">
        <v>0.08</v>
      </c>
      <c r="L36" s="40">
        <v>0.06</v>
      </c>
      <c r="M36" s="40">
        <v>0.05</v>
      </c>
      <c r="N36" s="40">
        <v>0.04</v>
      </c>
      <c r="O36" s="40">
        <v>3.5000000000000003E-2</v>
      </c>
      <c r="P36" s="40">
        <v>3.5000000000000003E-2</v>
      </c>
      <c r="Q36" s="40">
        <v>3.5000000000000003E-2</v>
      </c>
      <c r="R36" s="40">
        <v>3.5000000000000003E-2</v>
      </c>
      <c r="S36" s="40">
        <v>3.5000000000000003E-2</v>
      </c>
      <c r="T36" s="40">
        <v>3.5000000000000003E-2</v>
      </c>
      <c r="U36" s="40">
        <v>3.5000000000000003E-2</v>
      </c>
      <c r="V36" s="40">
        <v>3.5000000000000003E-2</v>
      </c>
      <c r="W36" s="40">
        <v>3.5000000000000003E-2</v>
      </c>
      <c r="X36" s="40">
        <v>3.5000000000000003E-2</v>
      </c>
      <c r="Y36" s="40">
        <v>3.5000000000000003E-2</v>
      </c>
      <c r="Z36" s="40">
        <v>3.5000000000000003E-2</v>
      </c>
      <c r="AA36" s="40">
        <v>3.5000000000000003E-2</v>
      </c>
      <c r="AB36" s="40">
        <v>3.5000000000000003E-2</v>
      </c>
      <c r="AC36" s="40">
        <v>3.5000000000000003E-2</v>
      </c>
    </row>
    <row r="37" spans="1:30" s="7" customFormat="1">
      <c r="A37" s="61" t="s">
        <v>106</v>
      </c>
      <c r="B37" s="48" t="e">
        <f>#REF!</f>
        <v>#REF!</v>
      </c>
      <c r="C37" s="48" t="e">
        <f>#REF!</f>
        <v>#REF!</v>
      </c>
      <c r="D37" s="1" t="e">
        <f>#REF!*(1+D36)</f>
        <v>#REF!</v>
      </c>
      <c r="E37" s="1" t="e">
        <f t="shared" ref="E37:AC37" si="4">D37*(1+E36)</f>
        <v>#REF!</v>
      </c>
      <c r="F37" s="1" t="e">
        <f t="shared" si="4"/>
        <v>#REF!</v>
      </c>
      <c r="G37" s="1" t="e">
        <f t="shared" si="4"/>
        <v>#REF!</v>
      </c>
      <c r="H37" s="1" t="e">
        <f t="shared" si="4"/>
        <v>#REF!</v>
      </c>
      <c r="I37" s="1" t="e">
        <f t="shared" si="4"/>
        <v>#REF!</v>
      </c>
      <c r="J37" s="1" t="e">
        <f t="shared" si="4"/>
        <v>#REF!</v>
      </c>
      <c r="K37" s="1" t="e">
        <f t="shared" si="4"/>
        <v>#REF!</v>
      </c>
      <c r="L37" s="1" t="e">
        <f t="shared" si="4"/>
        <v>#REF!</v>
      </c>
      <c r="M37" s="1" t="e">
        <f t="shared" si="4"/>
        <v>#REF!</v>
      </c>
      <c r="N37" s="1" t="e">
        <f t="shared" si="4"/>
        <v>#REF!</v>
      </c>
      <c r="O37" s="1" t="e">
        <f t="shared" si="4"/>
        <v>#REF!</v>
      </c>
      <c r="P37" s="1" t="e">
        <f t="shared" si="4"/>
        <v>#REF!</v>
      </c>
      <c r="Q37" s="1" t="e">
        <f t="shared" si="4"/>
        <v>#REF!</v>
      </c>
      <c r="R37" s="1" t="e">
        <f t="shared" si="4"/>
        <v>#REF!</v>
      </c>
      <c r="S37" s="1" t="e">
        <f t="shared" si="4"/>
        <v>#REF!</v>
      </c>
      <c r="T37" s="1" t="e">
        <f t="shared" si="4"/>
        <v>#REF!</v>
      </c>
      <c r="U37" s="1" t="e">
        <f t="shared" si="4"/>
        <v>#REF!</v>
      </c>
      <c r="V37" s="1" t="e">
        <f t="shared" si="4"/>
        <v>#REF!</v>
      </c>
      <c r="W37" s="1" t="e">
        <f t="shared" si="4"/>
        <v>#REF!</v>
      </c>
      <c r="X37" s="1" t="e">
        <f t="shared" si="4"/>
        <v>#REF!</v>
      </c>
      <c r="Y37" s="1" t="e">
        <f t="shared" si="4"/>
        <v>#REF!</v>
      </c>
      <c r="Z37" s="1" t="e">
        <f t="shared" si="4"/>
        <v>#REF!</v>
      </c>
      <c r="AA37" s="1" t="e">
        <f t="shared" si="4"/>
        <v>#REF!</v>
      </c>
      <c r="AB37" s="1" t="e">
        <f t="shared" si="4"/>
        <v>#REF!</v>
      </c>
      <c r="AC37" s="1" t="e">
        <f t="shared" si="4"/>
        <v>#REF!</v>
      </c>
    </row>
    <row r="38" spans="1:30" s="13" customFormat="1">
      <c r="A38" s="21" t="s">
        <v>107</v>
      </c>
      <c r="B38" s="54" t="e">
        <f>+#REF!</f>
        <v>#REF!</v>
      </c>
      <c r="C38" s="54" t="e">
        <f>+#REF!</f>
        <v>#REF!</v>
      </c>
      <c r="D38" s="80">
        <f>108166.4/365513.2</f>
        <v>0.29593021537936248</v>
      </c>
      <c r="E38" s="80">
        <f>108162.8/377959.8</f>
        <v>0.28617540807249875</v>
      </c>
      <c r="F38" s="80">
        <v>0.27</v>
      </c>
      <c r="G38" s="80">
        <v>0.27500000000000002</v>
      </c>
      <c r="H38" s="80">
        <v>0.26</v>
      </c>
      <c r="I38" s="80">
        <v>0.255</v>
      </c>
      <c r="J38" s="80">
        <v>0.25</v>
      </c>
      <c r="K38" s="40">
        <v>0.25</v>
      </c>
      <c r="L38" s="40">
        <v>0.25</v>
      </c>
      <c r="M38" s="40">
        <v>0.25</v>
      </c>
      <c r="N38" s="40">
        <v>0.25</v>
      </c>
      <c r="O38" s="40">
        <v>0.25</v>
      </c>
      <c r="P38" s="40">
        <v>0.25</v>
      </c>
      <c r="Q38" s="40">
        <v>0.25</v>
      </c>
      <c r="R38" s="40">
        <v>0.25</v>
      </c>
      <c r="S38" s="40">
        <v>0.25</v>
      </c>
      <c r="T38" s="40">
        <v>0.25</v>
      </c>
      <c r="U38" s="40">
        <v>0.25</v>
      </c>
      <c r="V38" s="40">
        <v>0.25</v>
      </c>
      <c r="W38" s="40">
        <v>0.25</v>
      </c>
      <c r="X38" s="40">
        <v>0.25</v>
      </c>
      <c r="Y38" s="40">
        <v>0.25</v>
      </c>
      <c r="Z38" s="40">
        <v>0.25</v>
      </c>
      <c r="AA38" s="40">
        <v>0.25</v>
      </c>
      <c r="AB38" s="40">
        <v>0.25</v>
      </c>
      <c r="AC38" s="40">
        <v>0.25</v>
      </c>
    </row>
    <row r="39" spans="1:30">
      <c r="A39" s="56" t="s">
        <v>114</v>
      </c>
      <c r="B39" s="48">
        <v>63930</v>
      </c>
      <c r="C39" s="48">
        <v>66288</v>
      </c>
      <c r="D39" s="1" t="e">
        <f t="shared" ref="D39:AC39" si="5">D37*D38</f>
        <v>#REF!</v>
      </c>
      <c r="E39" s="1" t="e">
        <f t="shared" si="5"/>
        <v>#REF!</v>
      </c>
      <c r="F39" s="1" t="e">
        <f t="shared" si="5"/>
        <v>#REF!</v>
      </c>
      <c r="G39" s="1" t="e">
        <f t="shared" si="5"/>
        <v>#REF!</v>
      </c>
      <c r="H39" s="1" t="e">
        <f t="shared" si="5"/>
        <v>#REF!</v>
      </c>
      <c r="I39" s="1" t="e">
        <f t="shared" si="5"/>
        <v>#REF!</v>
      </c>
      <c r="J39" s="1" t="e">
        <f t="shared" si="5"/>
        <v>#REF!</v>
      </c>
      <c r="K39" s="1" t="e">
        <f t="shared" si="5"/>
        <v>#REF!</v>
      </c>
      <c r="L39" s="1" t="e">
        <f t="shared" si="5"/>
        <v>#REF!</v>
      </c>
      <c r="M39" s="1" t="e">
        <f t="shared" si="5"/>
        <v>#REF!</v>
      </c>
      <c r="N39" s="1" t="e">
        <f t="shared" si="5"/>
        <v>#REF!</v>
      </c>
      <c r="O39" s="1" t="e">
        <f t="shared" si="5"/>
        <v>#REF!</v>
      </c>
      <c r="P39" s="1" t="e">
        <f t="shared" si="5"/>
        <v>#REF!</v>
      </c>
      <c r="Q39" s="1" t="e">
        <f t="shared" si="5"/>
        <v>#REF!</v>
      </c>
      <c r="R39" s="1" t="e">
        <f t="shared" si="5"/>
        <v>#REF!</v>
      </c>
      <c r="S39" s="1" t="e">
        <f t="shared" si="5"/>
        <v>#REF!</v>
      </c>
      <c r="T39" s="1" t="e">
        <f t="shared" si="5"/>
        <v>#REF!</v>
      </c>
      <c r="U39" s="1" t="e">
        <f t="shared" si="5"/>
        <v>#REF!</v>
      </c>
      <c r="V39" s="1" t="e">
        <f t="shared" si="5"/>
        <v>#REF!</v>
      </c>
      <c r="W39" s="1" t="e">
        <f t="shared" si="5"/>
        <v>#REF!</v>
      </c>
      <c r="X39" s="1" t="e">
        <f t="shared" si="5"/>
        <v>#REF!</v>
      </c>
      <c r="Y39" s="1" t="e">
        <f t="shared" si="5"/>
        <v>#REF!</v>
      </c>
      <c r="Z39" s="1" t="e">
        <f t="shared" si="5"/>
        <v>#REF!</v>
      </c>
      <c r="AA39" s="1" t="e">
        <f t="shared" si="5"/>
        <v>#REF!</v>
      </c>
      <c r="AB39" s="1" t="e">
        <f t="shared" si="5"/>
        <v>#REF!</v>
      </c>
      <c r="AC39" s="1" t="e">
        <f t="shared" si="5"/>
        <v>#REF!</v>
      </c>
    </row>
    <row r="40" spans="1:30">
      <c r="A40" s="56" t="s">
        <v>115</v>
      </c>
      <c r="B40" s="48" t="e">
        <f>#REF!</f>
        <v>#REF!</v>
      </c>
      <c r="C40" s="48" t="e">
        <f>#REF!</f>
        <v>#REF!</v>
      </c>
      <c r="D40" s="1">
        <v>11000</v>
      </c>
      <c r="E40" s="1">
        <f>D40*(1+E36*$H$59)</f>
        <v>11374</v>
      </c>
      <c r="F40" s="1">
        <f>E40*(1+F36*$H$59)</f>
        <v>12454.529999999999</v>
      </c>
      <c r="G40" s="1">
        <f>F40*(1+G36*$H$59)</f>
        <v>13637.710349999998</v>
      </c>
      <c r="H40" s="1">
        <f>G40*(1+H36*$H$59)</f>
        <v>14933.292833249998</v>
      </c>
      <c r="I40" s="1">
        <f t="shared" ref="I40:AC40" si="6">H40*(1+I36*$I$59)</f>
        <v>16351.955652408747</v>
      </c>
      <c r="J40" s="1">
        <f t="shared" si="6"/>
        <v>17905.391439387578</v>
      </c>
      <c r="K40" s="1">
        <f t="shared" si="6"/>
        <v>19337.822754538585</v>
      </c>
      <c r="L40" s="1">
        <f t="shared" si="6"/>
        <v>20498.092119810903</v>
      </c>
      <c r="M40" s="1">
        <f t="shared" si="6"/>
        <v>21522.996725801448</v>
      </c>
      <c r="N40" s="1">
        <f t="shared" si="6"/>
        <v>22383.916594833507</v>
      </c>
      <c r="O40" s="1">
        <f t="shared" si="6"/>
        <v>23167.353675652677</v>
      </c>
      <c r="P40" s="1">
        <f t="shared" si="6"/>
        <v>23978.211054300518</v>
      </c>
      <c r="Q40" s="1">
        <f t="shared" si="6"/>
        <v>24817.448441201035</v>
      </c>
      <c r="R40" s="1">
        <f t="shared" si="6"/>
        <v>25686.059136643071</v>
      </c>
      <c r="S40" s="1">
        <f t="shared" si="6"/>
        <v>26585.071206425575</v>
      </c>
      <c r="T40" s="1">
        <f t="shared" si="6"/>
        <v>27515.548698650469</v>
      </c>
      <c r="U40" s="1">
        <f t="shared" si="6"/>
        <v>28478.592903103232</v>
      </c>
      <c r="V40" s="1">
        <f t="shared" si="6"/>
        <v>29475.343654711844</v>
      </c>
      <c r="W40" s="1">
        <f t="shared" si="6"/>
        <v>30506.980682626756</v>
      </c>
      <c r="X40" s="1">
        <f t="shared" si="6"/>
        <v>31574.725006518689</v>
      </c>
      <c r="Y40" s="1">
        <f t="shared" si="6"/>
        <v>32679.840381746839</v>
      </c>
      <c r="Z40" s="1">
        <f t="shared" si="6"/>
        <v>33823.634795107973</v>
      </c>
      <c r="AA40" s="1">
        <f t="shared" si="6"/>
        <v>35007.462012936747</v>
      </c>
      <c r="AB40" s="1">
        <f t="shared" si="6"/>
        <v>36232.723183389528</v>
      </c>
      <c r="AC40" s="1">
        <f t="shared" si="6"/>
        <v>37500.868494808157</v>
      </c>
      <c r="AD40" s="1"/>
    </row>
    <row r="41" spans="1:30" s="7" customFormat="1">
      <c r="A41" s="61" t="s">
        <v>116</v>
      </c>
      <c r="B41" s="48" t="e">
        <f>+B39+B40</f>
        <v>#REF!</v>
      </c>
      <c r="C41" s="48" t="e">
        <f>+C39+C40</f>
        <v>#REF!</v>
      </c>
      <c r="D41" s="1" t="e">
        <f>D39+D40</f>
        <v>#REF!</v>
      </c>
      <c r="E41" s="1" t="e">
        <f t="shared" ref="E41:AC41" si="7">E39+E40</f>
        <v>#REF!</v>
      </c>
      <c r="F41" s="1" t="e">
        <f t="shared" si="7"/>
        <v>#REF!</v>
      </c>
      <c r="G41" s="1" t="e">
        <f t="shared" si="7"/>
        <v>#REF!</v>
      </c>
      <c r="H41" s="1" t="e">
        <f t="shared" si="7"/>
        <v>#REF!</v>
      </c>
      <c r="I41" s="1" t="e">
        <f t="shared" si="7"/>
        <v>#REF!</v>
      </c>
      <c r="J41" s="1" t="e">
        <f t="shared" si="7"/>
        <v>#REF!</v>
      </c>
      <c r="K41" s="1" t="e">
        <f t="shared" si="7"/>
        <v>#REF!</v>
      </c>
      <c r="L41" s="1" t="e">
        <f t="shared" si="7"/>
        <v>#REF!</v>
      </c>
      <c r="M41" s="1" t="e">
        <f t="shared" si="7"/>
        <v>#REF!</v>
      </c>
      <c r="N41" s="1" t="e">
        <f t="shared" si="7"/>
        <v>#REF!</v>
      </c>
      <c r="O41" s="1" t="e">
        <f t="shared" si="7"/>
        <v>#REF!</v>
      </c>
      <c r="P41" s="1" t="e">
        <f t="shared" si="7"/>
        <v>#REF!</v>
      </c>
      <c r="Q41" s="1" t="e">
        <f t="shared" si="7"/>
        <v>#REF!</v>
      </c>
      <c r="R41" s="1" t="e">
        <f t="shared" si="7"/>
        <v>#REF!</v>
      </c>
      <c r="S41" s="1" t="e">
        <f t="shared" si="7"/>
        <v>#REF!</v>
      </c>
      <c r="T41" s="1" t="e">
        <f t="shared" si="7"/>
        <v>#REF!</v>
      </c>
      <c r="U41" s="1" t="e">
        <f t="shared" si="7"/>
        <v>#REF!</v>
      </c>
      <c r="V41" s="1" t="e">
        <f t="shared" si="7"/>
        <v>#REF!</v>
      </c>
      <c r="W41" s="1" t="e">
        <f t="shared" si="7"/>
        <v>#REF!</v>
      </c>
      <c r="X41" s="1" t="e">
        <f t="shared" si="7"/>
        <v>#REF!</v>
      </c>
      <c r="Y41" s="1" t="e">
        <f t="shared" si="7"/>
        <v>#REF!</v>
      </c>
      <c r="Z41" s="1" t="e">
        <f t="shared" si="7"/>
        <v>#REF!</v>
      </c>
      <c r="AA41" s="1" t="e">
        <f t="shared" si="7"/>
        <v>#REF!</v>
      </c>
      <c r="AB41" s="1" t="e">
        <f t="shared" si="7"/>
        <v>#REF!</v>
      </c>
      <c r="AC41" s="1" t="e">
        <f t="shared" si="7"/>
        <v>#REF!</v>
      </c>
    </row>
    <row r="42" spans="1:30" s="13" customFormat="1">
      <c r="A42" s="22" t="s">
        <v>117</v>
      </c>
      <c r="B42" s="23">
        <v>-1385</v>
      </c>
      <c r="C42" s="23">
        <v>-890</v>
      </c>
      <c r="D42" s="23">
        <f t="shared" ref="D42:AC42" si="8">(C48)*$H$60</f>
        <v>-1124.3600000000001</v>
      </c>
      <c r="E42" s="23">
        <f t="shared" si="8"/>
        <v>-1113.1164000000001</v>
      </c>
      <c r="F42" s="23">
        <f t="shared" si="8"/>
        <v>-1113.1164000000001</v>
      </c>
      <c r="G42" s="23">
        <f t="shared" si="8"/>
        <v>-1113.1164000000001</v>
      </c>
      <c r="H42" s="23">
        <f t="shared" si="8"/>
        <v>-1113.1164000000001</v>
      </c>
      <c r="I42" s="23">
        <f t="shared" si="8"/>
        <v>-1113.1164000000001</v>
      </c>
      <c r="J42" s="23">
        <f t="shared" si="8"/>
        <v>-1113.1164000000001</v>
      </c>
      <c r="K42" s="23">
        <f t="shared" si="8"/>
        <v>-1113.1164000000001</v>
      </c>
      <c r="L42" s="23">
        <f t="shared" si="8"/>
        <v>-1113.1164000000001</v>
      </c>
      <c r="M42" s="23">
        <f t="shared" si="8"/>
        <v>-1113.1164000000001</v>
      </c>
      <c r="N42" s="23">
        <f t="shared" si="8"/>
        <v>-1113.1164000000001</v>
      </c>
      <c r="O42" s="23">
        <f t="shared" si="8"/>
        <v>-1113.1164000000001</v>
      </c>
      <c r="P42" s="23">
        <f t="shared" si="8"/>
        <v>-1113.1164000000001</v>
      </c>
      <c r="Q42" s="23">
        <f t="shared" si="8"/>
        <v>-1113.1164000000001</v>
      </c>
      <c r="R42" s="23">
        <f t="shared" si="8"/>
        <v>-1113.1164000000001</v>
      </c>
      <c r="S42" s="23">
        <f t="shared" si="8"/>
        <v>-1113.1164000000001</v>
      </c>
      <c r="T42" s="23">
        <f t="shared" si="8"/>
        <v>-1113.1164000000001</v>
      </c>
      <c r="U42" s="23">
        <f t="shared" si="8"/>
        <v>-1113.1164000000001</v>
      </c>
      <c r="V42" s="23">
        <f t="shared" si="8"/>
        <v>-1113.1164000000001</v>
      </c>
      <c r="W42" s="23">
        <f t="shared" si="8"/>
        <v>-1113.1164000000001</v>
      </c>
      <c r="X42" s="23">
        <f t="shared" si="8"/>
        <v>-1113.1164000000001</v>
      </c>
      <c r="Y42" s="23">
        <f t="shared" si="8"/>
        <v>-1113.1164000000001</v>
      </c>
      <c r="Z42" s="23">
        <f t="shared" si="8"/>
        <v>-1113.1164000000001</v>
      </c>
      <c r="AA42" s="23">
        <f t="shared" si="8"/>
        <v>-1113.1164000000001</v>
      </c>
      <c r="AB42" s="23">
        <f t="shared" si="8"/>
        <v>-1113.1164000000001</v>
      </c>
      <c r="AC42" s="23">
        <f t="shared" si="8"/>
        <v>-1113.1164000000001</v>
      </c>
    </row>
    <row r="43" spans="1:30">
      <c r="A43" s="61" t="s">
        <v>118</v>
      </c>
      <c r="B43" s="48">
        <f>-422-2817</f>
        <v>-3239</v>
      </c>
      <c r="C43" s="48">
        <f>87-3634</f>
        <v>-3547</v>
      </c>
      <c r="D43" s="1">
        <f>-C43*(1+D36)</f>
        <v>4788.4500000000007</v>
      </c>
      <c r="E43" s="1">
        <f>D43*(1+E36*0.5)</f>
        <v>4869.85365</v>
      </c>
      <c r="F43" s="1">
        <f t="shared" ref="F43:AC43" si="9">E43*(1+F36*0.5)</f>
        <v>5101.1716983750002</v>
      </c>
      <c r="G43" s="1">
        <f t="shared" si="9"/>
        <v>5343.4773540478136</v>
      </c>
      <c r="H43" s="1">
        <f t="shared" si="9"/>
        <v>5597.2925283650857</v>
      </c>
      <c r="I43" s="1">
        <f t="shared" si="9"/>
        <v>5863.1639234624281</v>
      </c>
      <c r="J43" s="1">
        <f t="shared" si="9"/>
        <v>6141.664209826894</v>
      </c>
      <c r="K43" s="1">
        <f t="shared" si="9"/>
        <v>6387.3307782199699</v>
      </c>
      <c r="L43" s="1">
        <f t="shared" si="9"/>
        <v>6578.9507015665695</v>
      </c>
      <c r="M43" s="1">
        <f t="shared" si="9"/>
        <v>6743.4244691057329</v>
      </c>
      <c r="N43" s="1">
        <f t="shared" si="9"/>
        <v>6878.2929584878475</v>
      </c>
      <c r="O43" s="1">
        <f t="shared" si="9"/>
        <v>6998.6630852613853</v>
      </c>
      <c r="P43" s="1">
        <f t="shared" si="9"/>
        <v>7121.1396892534603</v>
      </c>
      <c r="Q43" s="1">
        <f t="shared" si="9"/>
        <v>7245.7596338153962</v>
      </c>
      <c r="R43" s="1">
        <f t="shared" si="9"/>
        <v>7372.5604274071666</v>
      </c>
      <c r="S43" s="1">
        <f t="shared" si="9"/>
        <v>7501.5802348867928</v>
      </c>
      <c r="T43" s="1">
        <f t="shared" si="9"/>
        <v>7632.8578889973123</v>
      </c>
      <c r="U43" s="1">
        <f t="shared" si="9"/>
        <v>7766.4329020547657</v>
      </c>
      <c r="V43" s="1">
        <f t="shared" si="9"/>
        <v>7902.3454778407249</v>
      </c>
      <c r="W43" s="1">
        <f t="shared" si="9"/>
        <v>8040.6365237029386</v>
      </c>
      <c r="X43" s="1">
        <f t="shared" si="9"/>
        <v>8181.3476628677408</v>
      </c>
      <c r="Y43" s="1">
        <f t="shared" si="9"/>
        <v>8324.5212469679263</v>
      </c>
      <c r="Z43" s="1">
        <f t="shared" si="9"/>
        <v>8470.200368789865</v>
      </c>
      <c r="AA43" s="1">
        <f t="shared" si="9"/>
        <v>8618.4288752436878</v>
      </c>
      <c r="AB43" s="1">
        <f t="shared" si="9"/>
        <v>8769.2513805604522</v>
      </c>
      <c r="AC43" s="1">
        <f t="shared" si="9"/>
        <v>8922.7132797202612</v>
      </c>
    </row>
    <row r="44" spans="1:30">
      <c r="A44" s="61" t="s">
        <v>119</v>
      </c>
      <c r="B44" s="48">
        <f>B39-B42-B43</f>
        <v>68554</v>
      </c>
      <c r="C44" s="48">
        <f>C39-C42-C43</f>
        <v>70725</v>
      </c>
      <c r="D44" s="1" t="e">
        <f>D39-D42-D43</f>
        <v>#REF!</v>
      </c>
      <c r="E44" s="1" t="e">
        <f t="shared" ref="E44:AC44" si="10">E39-E42-E43</f>
        <v>#REF!</v>
      </c>
      <c r="F44" s="1" t="e">
        <f t="shared" si="10"/>
        <v>#REF!</v>
      </c>
      <c r="G44" s="1" t="e">
        <f t="shared" si="10"/>
        <v>#REF!</v>
      </c>
      <c r="H44" s="1" t="e">
        <f t="shared" si="10"/>
        <v>#REF!</v>
      </c>
      <c r="I44" s="1" t="e">
        <f t="shared" si="10"/>
        <v>#REF!</v>
      </c>
      <c r="J44" s="1" t="e">
        <f t="shared" si="10"/>
        <v>#REF!</v>
      </c>
      <c r="K44" s="1" t="e">
        <f t="shared" si="10"/>
        <v>#REF!</v>
      </c>
      <c r="L44" s="1" t="e">
        <f t="shared" si="10"/>
        <v>#REF!</v>
      </c>
      <c r="M44" s="1" t="e">
        <f t="shared" si="10"/>
        <v>#REF!</v>
      </c>
      <c r="N44" s="1" t="e">
        <f t="shared" si="10"/>
        <v>#REF!</v>
      </c>
      <c r="O44" s="1" t="e">
        <f t="shared" si="10"/>
        <v>#REF!</v>
      </c>
      <c r="P44" s="1" t="e">
        <f t="shared" si="10"/>
        <v>#REF!</v>
      </c>
      <c r="Q44" s="1" t="e">
        <f t="shared" si="10"/>
        <v>#REF!</v>
      </c>
      <c r="R44" s="1" t="e">
        <f t="shared" si="10"/>
        <v>#REF!</v>
      </c>
      <c r="S44" s="1" t="e">
        <f t="shared" si="10"/>
        <v>#REF!</v>
      </c>
      <c r="T44" s="1" t="e">
        <f t="shared" si="10"/>
        <v>#REF!</v>
      </c>
      <c r="U44" s="1" t="e">
        <f t="shared" si="10"/>
        <v>#REF!</v>
      </c>
      <c r="V44" s="1" t="e">
        <f t="shared" si="10"/>
        <v>#REF!</v>
      </c>
      <c r="W44" s="1" t="e">
        <f t="shared" si="10"/>
        <v>#REF!</v>
      </c>
      <c r="X44" s="1" t="e">
        <f t="shared" si="10"/>
        <v>#REF!</v>
      </c>
      <c r="Y44" s="1" t="e">
        <f t="shared" si="10"/>
        <v>#REF!</v>
      </c>
      <c r="Z44" s="1" t="e">
        <f t="shared" si="10"/>
        <v>#REF!</v>
      </c>
      <c r="AA44" s="1" t="e">
        <f t="shared" si="10"/>
        <v>#REF!</v>
      </c>
      <c r="AB44" s="1" t="e">
        <f t="shared" si="10"/>
        <v>#REF!</v>
      </c>
      <c r="AC44" s="1" t="e">
        <f t="shared" si="10"/>
        <v>#REF!</v>
      </c>
    </row>
    <row r="45" spans="1:30">
      <c r="A45" s="61" t="s">
        <v>120</v>
      </c>
      <c r="B45" s="48">
        <v>10481</v>
      </c>
      <c r="C45" s="48">
        <v>9680</v>
      </c>
      <c r="D45" s="1" t="e">
        <f>$H$61*D44</f>
        <v>#REF!</v>
      </c>
      <c r="E45" s="1" t="e">
        <f>$H$61*E44</f>
        <v>#REF!</v>
      </c>
      <c r="F45" s="1" t="e">
        <f>$H$61*F44</f>
        <v>#REF!</v>
      </c>
      <c r="G45" s="1" t="e">
        <f t="shared" ref="G45:AC45" si="11">$I$61*G44</f>
        <v>#REF!</v>
      </c>
      <c r="H45" s="1" t="e">
        <f t="shared" si="11"/>
        <v>#REF!</v>
      </c>
      <c r="I45" s="1" t="e">
        <f t="shared" si="11"/>
        <v>#REF!</v>
      </c>
      <c r="J45" s="1" t="e">
        <f t="shared" si="11"/>
        <v>#REF!</v>
      </c>
      <c r="K45" s="1" t="e">
        <f t="shared" si="11"/>
        <v>#REF!</v>
      </c>
      <c r="L45" s="1" t="e">
        <f t="shared" si="11"/>
        <v>#REF!</v>
      </c>
      <c r="M45" s="1" t="e">
        <f t="shared" si="11"/>
        <v>#REF!</v>
      </c>
      <c r="N45" s="1" t="e">
        <f t="shared" si="11"/>
        <v>#REF!</v>
      </c>
      <c r="O45" s="1" t="e">
        <f t="shared" si="11"/>
        <v>#REF!</v>
      </c>
      <c r="P45" s="1" t="e">
        <f t="shared" si="11"/>
        <v>#REF!</v>
      </c>
      <c r="Q45" s="1" t="e">
        <f t="shared" si="11"/>
        <v>#REF!</v>
      </c>
      <c r="R45" s="1" t="e">
        <f t="shared" si="11"/>
        <v>#REF!</v>
      </c>
      <c r="S45" s="1" t="e">
        <f t="shared" si="11"/>
        <v>#REF!</v>
      </c>
      <c r="T45" s="1" t="e">
        <f t="shared" si="11"/>
        <v>#REF!</v>
      </c>
      <c r="U45" s="1" t="e">
        <f t="shared" si="11"/>
        <v>#REF!</v>
      </c>
      <c r="V45" s="1" t="e">
        <f t="shared" si="11"/>
        <v>#REF!</v>
      </c>
      <c r="W45" s="1" t="e">
        <f t="shared" si="11"/>
        <v>#REF!</v>
      </c>
      <c r="X45" s="1" t="e">
        <f t="shared" si="11"/>
        <v>#REF!</v>
      </c>
      <c r="Y45" s="1" t="e">
        <f t="shared" si="11"/>
        <v>#REF!</v>
      </c>
      <c r="Z45" s="1" t="e">
        <f t="shared" si="11"/>
        <v>#REF!</v>
      </c>
      <c r="AA45" s="1" t="e">
        <f t="shared" si="11"/>
        <v>#REF!</v>
      </c>
      <c r="AB45" s="1" t="e">
        <f t="shared" si="11"/>
        <v>#REF!</v>
      </c>
      <c r="AC45" s="1" t="e">
        <f t="shared" si="11"/>
        <v>#REF!</v>
      </c>
    </row>
    <row r="46" spans="1:30">
      <c r="A46" s="61" t="s">
        <v>109</v>
      </c>
      <c r="B46" s="48">
        <f t="shared" ref="B46:AC46" si="12">B44-B45</f>
        <v>58073</v>
      </c>
      <c r="C46" s="48">
        <f t="shared" si="12"/>
        <v>61045</v>
      </c>
      <c r="D46" s="99" t="e">
        <f>D44-D45</f>
        <v>#REF!</v>
      </c>
      <c r="E46" s="99" t="e">
        <f t="shared" si="12"/>
        <v>#REF!</v>
      </c>
      <c r="F46" s="99" t="e">
        <f t="shared" si="12"/>
        <v>#REF!</v>
      </c>
      <c r="G46" s="99" t="e">
        <f t="shared" si="12"/>
        <v>#REF!</v>
      </c>
      <c r="H46" s="99" t="e">
        <f t="shared" si="12"/>
        <v>#REF!</v>
      </c>
      <c r="I46" s="99" t="e">
        <f t="shared" si="12"/>
        <v>#REF!</v>
      </c>
      <c r="J46" s="99" t="e">
        <f t="shared" si="12"/>
        <v>#REF!</v>
      </c>
      <c r="K46" s="99" t="e">
        <f t="shared" si="12"/>
        <v>#REF!</v>
      </c>
      <c r="L46" s="99" t="e">
        <f t="shared" si="12"/>
        <v>#REF!</v>
      </c>
      <c r="M46" s="99" t="e">
        <f t="shared" si="12"/>
        <v>#REF!</v>
      </c>
      <c r="N46" s="99" t="e">
        <f t="shared" si="12"/>
        <v>#REF!</v>
      </c>
      <c r="O46" s="99" t="e">
        <f t="shared" si="12"/>
        <v>#REF!</v>
      </c>
      <c r="P46" s="99" t="e">
        <f t="shared" si="12"/>
        <v>#REF!</v>
      </c>
      <c r="Q46" s="99" t="e">
        <f t="shared" si="12"/>
        <v>#REF!</v>
      </c>
      <c r="R46" s="99" t="e">
        <f t="shared" si="12"/>
        <v>#REF!</v>
      </c>
      <c r="S46" s="99" t="e">
        <f t="shared" si="12"/>
        <v>#REF!</v>
      </c>
      <c r="T46" s="99" t="e">
        <f t="shared" si="12"/>
        <v>#REF!</v>
      </c>
      <c r="U46" s="99" t="e">
        <f t="shared" si="12"/>
        <v>#REF!</v>
      </c>
      <c r="V46" s="99" t="e">
        <f t="shared" si="12"/>
        <v>#REF!</v>
      </c>
      <c r="W46" s="99" t="e">
        <f t="shared" si="12"/>
        <v>#REF!</v>
      </c>
      <c r="X46" s="99" t="e">
        <f t="shared" si="12"/>
        <v>#REF!</v>
      </c>
      <c r="Y46" s="99" t="e">
        <f t="shared" si="12"/>
        <v>#REF!</v>
      </c>
      <c r="Z46" s="99" t="e">
        <f t="shared" si="12"/>
        <v>#REF!</v>
      </c>
      <c r="AA46" s="99" t="e">
        <f t="shared" si="12"/>
        <v>#REF!</v>
      </c>
      <c r="AB46" s="99" t="e">
        <f t="shared" si="12"/>
        <v>#REF!</v>
      </c>
      <c r="AC46" s="99" t="e">
        <f t="shared" si="12"/>
        <v>#REF!</v>
      </c>
    </row>
    <row r="47" spans="1:30">
      <c r="A47" s="61" t="s">
        <v>121</v>
      </c>
      <c r="B47" s="48" t="e">
        <f>#REF!</f>
        <v>#REF!</v>
      </c>
      <c r="C47" s="48" t="e">
        <f>#REF!</f>
        <v>#REF!</v>
      </c>
      <c r="D47" s="1">
        <v>10000</v>
      </c>
      <c r="E47" s="1">
        <f t="shared" ref="E47:AC47" si="13">D47*(1+E36*$H$62)</f>
        <v>10408</v>
      </c>
      <c r="F47" s="1">
        <f t="shared" si="13"/>
        <v>11594.511999999999</v>
      </c>
      <c r="G47" s="1">
        <f t="shared" si="13"/>
        <v>12916.286367999997</v>
      </c>
      <c r="H47" s="1">
        <f t="shared" si="13"/>
        <v>14388.743013951995</v>
      </c>
      <c r="I47" s="1">
        <f t="shared" si="13"/>
        <v>16029.059717542521</v>
      </c>
      <c r="J47" s="1">
        <f t="shared" si="13"/>
        <v>17856.372525342365</v>
      </c>
      <c r="K47" s="1">
        <f t="shared" si="13"/>
        <v>19570.584287775233</v>
      </c>
      <c r="L47" s="1">
        <f t="shared" si="13"/>
        <v>20979.66635649505</v>
      </c>
      <c r="M47" s="1">
        <f t="shared" si="13"/>
        <v>22238.446337884754</v>
      </c>
      <c r="N47" s="1">
        <f t="shared" si="13"/>
        <v>23305.891762103223</v>
      </c>
      <c r="O47" s="1">
        <f t="shared" si="13"/>
        <v>24284.73921611156</v>
      </c>
      <c r="P47" s="1">
        <f t="shared" si="13"/>
        <v>25304.698263188246</v>
      </c>
      <c r="Q47" s="1">
        <f t="shared" si="13"/>
        <v>26367.495590242153</v>
      </c>
      <c r="R47" s="1">
        <f t="shared" si="13"/>
        <v>27474.930405032326</v>
      </c>
      <c r="S47" s="1">
        <f t="shared" si="13"/>
        <v>28628.877482043685</v>
      </c>
      <c r="T47" s="1">
        <f t="shared" si="13"/>
        <v>29831.290336289519</v>
      </c>
      <c r="U47" s="1">
        <f t="shared" si="13"/>
        <v>31084.204530413681</v>
      </c>
      <c r="V47" s="1">
        <f t="shared" si="13"/>
        <v>32389.741120691058</v>
      </c>
      <c r="W47" s="1">
        <f t="shared" si="13"/>
        <v>33750.110247760087</v>
      </c>
      <c r="X47" s="1">
        <f t="shared" si="13"/>
        <v>35167.614878166009</v>
      </c>
      <c r="Y47" s="1">
        <f t="shared" si="13"/>
        <v>36644.654703048982</v>
      </c>
      <c r="Z47" s="1">
        <f t="shared" si="13"/>
        <v>38183.73020057704</v>
      </c>
      <c r="AA47" s="1">
        <f t="shared" si="13"/>
        <v>39787.44686900128</v>
      </c>
      <c r="AB47" s="1">
        <f t="shared" si="13"/>
        <v>41458.519637499332</v>
      </c>
      <c r="AC47" s="1">
        <f t="shared" si="13"/>
        <v>43199.777462274309</v>
      </c>
    </row>
    <row r="48" spans="1:30" s="13" customFormat="1">
      <c r="A48" s="22" t="s">
        <v>122</v>
      </c>
      <c r="B48" s="23">
        <v>108047</v>
      </c>
      <c r="C48" s="23">
        <v>112436</v>
      </c>
      <c r="D48" s="23">
        <f>C48*0.99</f>
        <v>111311.64</v>
      </c>
      <c r="E48" s="23">
        <f>D48</f>
        <v>111311.64</v>
      </c>
      <c r="F48" s="23">
        <f t="shared" ref="F48:AC48" si="14">E48</f>
        <v>111311.64</v>
      </c>
      <c r="G48" s="23">
        <f t="shared" si="14"/>
        <v>111311.64</v>
      </c>
      <c r="H48" s="23">
        <f t="shared" si="14"/>
        <v>111311.64</v>
      </c>
      <c r="I48" s="23">
        <f t="shared" si="14"/>
        <v>111311.64</v>
      </c>
      <c r="J48" s="23">
        <f t="shared" si="14"/>
        <v>111311.64</v>
      </c>
      <c r="K48" s="23">
        <f t="shared" si="14"/>
        <v>111311.64</v>
      </c>
      <c r="L48" s="23">
        <f t="shared" si="14"/>
        <v>111311.64</v>
      </c>
      <c r="M48" s="23">
        <f t="shared" si="14"/>
        <v>111311.64</v>
      </c>
      <c r="N48" s="23">
        <f t="shared" si="14"/>
        <v>111311.64</v>
      </c>
      <c r="O48" s="23">
        <f t="shared" si="14"/>
        <v>111311.64</v>
      </c>
      <c r="P48" s="23">
        <f t="shared" si="14"/>
        <v>111311.64</v>
      </c>
      <c r="Q48" s="23">
        <f t="shared" si="14"/>
        <v>111311.64</v>
      </c>
      <c r="R48" s="23">
        <f t="shared" si="14"/>
        <v>111311.64</v>
      </c>
      <c r="S48" s="23">
        <f t="shared" si="14"/>
        <v>111311.64</v>
      </c>
      <c r="T48" s="23">
        <f t="shared" si="14"/>
        <v>111311.64</v>
      </c>
      <c r="U48" s="23">
        <f t="shared" si="14"/>
        <v>111311.64</v>
      </c>
      <c r="V48" s="23">
        <f t="shared" si="14"/>
        <v>111311.64</v>
      </c>
      <c r="W48" s="23">
        <f t="shared" si="14"/>
        <v>111311.64</v>
      </c>
      <c r="X48" s="23">
        <f t="shared" si="14"/>
        <v>111311.64</v>
      </c>
      <c r="Y48" s="23">
        <f t="shared" si="14"/>
        <v>111311.64</v>
      </c>
      <c r="Z48" s="23">
        <f t="shared" si="14"/>
        <v>111311.64</v>
      </c>
      <c r="AA48" s="23">
        <f t="shared" si="14"/>
        <v>111311.64</v>
      </c>
      <c r="AB48" s="23">
        <f t="shared" si="14"/>
        <v>111311.64</v>
      </c>
      <c r="AC48" s="23">
        <f t="shared" si="14"/>
        <v>111311.64</v>
      </c>
    </row>
    <row r="49" spans="1:29" s="13" customFormat="1">
      <c r="A49" s="61" t="s">
        <v>123</v>
      </c>
      <c r="B49" s="100" t="e">
        <f>B48/B41</f>
        <v>#REF!</v>
      </c>
      <c r="C49" s="100" t="e">
        <f t="shared" ref="C49:E49" si="15">C48/C41</f>
        <v>#REF!</v>
      </c>
      <c r="D49" s="101" t="e">
        <f t="shared" si="15"/>
        <v>#REF!</v>
      </c>
      <c r="E49" s="101" t="e">
        <f t="shared" si="15"/>
        <v>#REF!</v>
      </c>
      <c r="F49" s="2"/>
      <c r="G49" s="2"/>
      <c r="H49" s="2"/>
      <c r="I49" s="2"/>
      <c r="J49" s="2"/>
      <c r="K49" s="2"/>
      <c r="L49" s="2"/>
      <c r="M49" s="2"/>
      <c r="N49" s="2"/>
      <c r="O49" s="2"/>
      <c r="P49" s="2"/>
      <c r="Q49" s="2"/>
      <c r="R49" s="2"/>
      <c r="S49" s="2"/>
      <c r="T49" s="2"/>
      <c r="U49" s="2"/>
      <c r="V49" s="2"/>
      <c r="W49" s="2"/>
      <c r="X49" s="2"/>
      <c r="Y49" s="2"/>
      <c r="Z49" s="2"/>
      <c r="AA49" s="2"/>
      <c r="AB49" s="2"/>
      <c r="AC49" s="2"/>
    </row>
    <row r="50" spans="1:29">
      <c r="A50" s="61" t="s">
        <v>124</v>
      </c>
      <c r="B50" s="102" t="e">
        <f>#REF!</f>
        <v>#REF!</v>
      </c>
      <c r="C50" s="102" t="e">
        <f>#REF!</f>
        <v>#REF!</v>
      </c>
      <c r="D50" s="1" t="e">
        <f t="shared" ref="D50:AC50" si="16">D41-D42-D43-D45-D47+D48-C48</f>
        <v>#REF!</v>
      </c>
      <c r="E50" s="1" t="e">
        <f t="shared" si="16"/>
        <v>#REF!</v>
      </c>
      <c r="F50" s="1" t="e">
        <f t="shared" si="16"/>
        <v>#REF!</v>
      </c>
      <c r="G50" s="1" t="e">
        <f t="shared" si="16"/>
        <v>#REF!</v>
      </c>
      <c r="H50" s="1" t="e">
        <f t="shared" si="16"/>
        <v>#REF!</v>
      </c>
      <c r="I50" s="1" t="e">
        <f t="shared" si="16"/>
        <v>#REF!</v>
      </c>
      <c r="J50" s="1" t="e">
        <f t="shared" si="16"/>
        <v>#REF!</v>
      </c>
      <c r="K50" s="1" t="e">
        <f t="shared" si="16"/>
        <v>#REF!</v>
      </c>
      <c r="L50" s="1" t="e">
        <f t="shared" si="16"/>
        <v>#REF!</v>
      </c>
      <c r="M50" s="1" t="e">
        <f t="shared" si="16"/>
        <v>#REF!</v>
      </c>
      <c r="N50" s="1" t="e">
        <f t="shared" si="16"/>
        <v>#REF!</v>
      </c>
      <c r="O50" s="1" t="e">
        <f t="shared" si="16"/>
        <v>#REF!</v>
      </c>
      <c r="P50" s="1" t="e">
        <f t="shared" si="16"/>
        <v>#REF!</v>
      </c>
      <c r="Q50" s="1" t="e">
        <f t="shared" si="16"/>
        <v>#REF!</v>
      </c>
      <c r="R50" s="1" t="e">
        <f t="shared" si="16"/>
        <v>#REF!</v>
      </c>
      <c r="S50" s="1" t="e">
        <f t="shared" si="16"/>
        <v>#REF!</v>
      </c>
      <c r="T50" s="1" t="e">
        <f t="shared" si="16"/>
        <v>#REF!</v>
      </c>
      <c r="U50" s="1" t="e">
        <f t="shared" si="16"/>
        <v>#REF!</v>
      </c>
      <c r="V50" s="1" t="e">
        <f t="shared" si="16"/>
        <v>#REF!</v>
      </c>
      <c r="W50" s="1" t="e">
        <f t="shared" si="16"/>
        <v>#REF!</v>
      </c>
      <c r="X50" s="1" t="e">
        <f t="shared" si="16"/>
        <v>#REF!</v>
      </c>
      <c r="Y50" s="1" t="e">
        <f t="shared" si="16"/>
        <v>#REF!</v>
      </c>
      <c r="Z50" s="1" t="e">
        <f t="shared" si="16"/>
        <v>#REF!</v>
      </c>
      <c r="AA50" s="1" t="e">
        <f t="shared" si="16"/>
        <v>#REF!</v>
      </c>
      <c r="AB50" s="1" t="e">
        <f t="shared" si="16"/>
        <v>#REF!</v>
      </c>
      <c r="AC50" s="1" t="e">
        <f t="shared" si="16"/>
        <v>#REF!</v>
      </c>
    </row>
    <row r="51" spans="1:29">
      <c r="A51" s="61" t="s">
        <v>125</v>
      </c>
      <c r="B51" s="102">
        <v>0</v>
      </c>
      <c r="C51" s="102">
        <v>0</v>
      </c>
      <c r="D51" s="1" t="e">
        <f t="shared" ref="D51:AC51" si="17">C51*(1+$B$59)+D50</f>
        <v>#REF!</v>
      </c>
      <c r="E51" s="1" t="e">
        <f t="shared" si="17"/>
        <v>#REF!</v>
      </c>
      <c r="F51" s="1" t="e">
        <f t="shared" si="17"/>
        <v>#REF!</v>
      </c>
      <c r="G51" s="1" t="e">
        <f t="shared" si="17"/>
        <v>#REF!</v>
      </c>
      <c r="H51" s="1" t="e">
        <f t="shared" si="17"/>
        <v>#REF!</v>
      </c>
      <c r="I51" s="1" t="e">
        <f t="shared" si="17"/>
        <v>#REF!</v>
      </c>
      <c r="J51" s="1" t="e">
        <f t="shared" si="17"/>
        <v>#REF!</v>
      </c>
      <c r="K51" s="1" t="e">
        <f t="shared" si="17"/>
        <v>#REF!</v>
      </c>
      <c r="L51" s="1" t="e">
        <f t="shared" si="17"/>
        <v>#REF!</v>
      </c>
      <c r="M51" s="1" t="e">
        <f t="shared" si="17"/>
        <v>#REF!</v>
      </c>
      <c r="N51" s="1" t="e">
        <f t="shared" si="17"/>
        <v>#REF!</v>
      </c>
      <c r="O51" s="1" t="e">
        <f t="shared" si="17"/>
        <v>#REF!</v>
      </c>
      <c r="P51" s="1" t="e">
        <f t="shared" si="17"/>
        <v>#REF!</v>
      </c>
      <c r="Q51" s="1" t="e">
        <f t="shared" si="17"/>
        <v>#REF!</v>
      </c>
      <c r="R51" s="1" t="e">
        <f t="shared" si="17"/>
        <v>#REF!</v>
      </c>
      <c r="S51" s="1" t="e">
        <f t="shared" si="17"/>
        <v>#REF!</v>
      </c>
      <c r="T51" s="1" t="e">
        <f t="shared" si="17"/>
        <v>#REF!</v>
      </c>
      <c r="U51" s="1" t="e">
        <f t="shared" si="17"/>
        <v>#REF!</v>
      </c>
      <c r="V51" s="1" t="e">
        <f t="shared" si="17"/>
        <v>#REF!</v>
      </c>
      <c r="W51" s="1" t="e">
        <f t="shared" si="17"/>
        <v>#REF!</v>
      </c>
      <c r="X51" s="1" t="e">
        <f t="shared" si="17"/>
        <v>#REF!</v>
      </c>
      <c r="Y51" s="1" t="e">
        <f t="shared" si="17"/>
        <v>#REF!</v>
      </c>
      <c r="Z51" s="1" t="e">
        <f t="shared" si="17"/>
        <v>#REF!</v>
      </c>
      <c r="AA51" s="1" t="e">
        <f t="shared" si="17"/>
        <v>#REF!</v>
      </c>
      <c r="AB51" s="1" t="e">
        <f t="shared" si="17"/>
        <v>#REF!</v>
      </c>
      <c r="AC51" s="1" t="e">
        <f t="shared" si="17"/>
        <v>#REF!</v>
      </c>
    </row>
    <row r="52" spans="1:29">
      <c r="A52" s="61"/>
      <c r="B52" s="103"/>
      <c r="C52" s="103"/>
      <c r="K52" s="1"/>
      <c r="L52" s="1"/>
      <c r="M52" s="1"/>
      <c r="N52" s="1"/>
      <c r="O52" s="1"/>
      <c r="P52" s="1"/>
      <c r="Q52" s="1"/>
      <c r="R52" s="1"/>
      <c r="S52" s="1"/>
      <c r="T52" s="1"/>
      <c r="U52" s="1"/>
      <c r="V52" s="1"/>
      <c r="W52" s="1"/>
      <c r="X52" s="1"/>
      <c r="Y52" s="1"/>
      <c r="Z52" s="1"/>
      <c r="AA52" s="1"/>
      <c r="AB52" s="1" t="e">
        <f>AB51-AB48</f>
        <v>#REF!</v>
      </c>
      <c r="AC52" s="1" t="e">
        <f>AC50/(B59-AC36)</f>
        <v>#REF!</v>
      </c>
    </row>
    <row r="53" spans="1:29">
      <c r="A53" s="104" t="s">
        <v>126</v>
      </c>
      <c r="B53" s="105"/>
      <c r="C53" s="53" t="e">
        <f>1000000*C46/#REF!</f>
        <v>#REF!</v>
      </c>
      <c r="D53" s="53" t="e">
        <f>1000000*D46/#REF!</f>
        <v>#REF!</v>
      </c>
      <c r="E53" s="53" t="e">
        <f>1000000*E46/#REF!</f>
        <v>#REF!</v>
      </c>
      <c r="F53" s="53" t="e">
        <f>1000000*F46/#REF!</f>
        <v>#REF!</v>
      </c>
      <c r="G53" s="1"/>
      <c r="H53"/>
      <c r="I53"/>
      <c r="J53"/>
      <c r="K53" s="1"/>
      <c r="L53" s="1"/>
      <c r="M53" s="1"/>
      <c r="N53" s="1"/>
      <c r="O53" s="1"/>
      <c r="P53" s="1"/>
      <c r="Q53" s="1"/>
      <c r="R53" s="1"/>
      <c r="S53" s="1"/>
      <c r="T53" s="1"/>
      <c r="U53" s="1"/>
      <c r="V53" s="1"/>
      <c r="W53" s="1"/>
      <c r="X53" s="1"/>
      <c r="Y53" s="1"/>
      <c r="Z53" s="1"/>
      <c r="AA53" s="1"/>
      <c r="AB53" s="1"/>
      <c r="AC53" s="1"/>
    </row>
    <row r="54" spans="1:29">
      <c r="A54" s="61" t="s">
        <v>127</v>
      </c>
      <c r="B54" s="1"/>
      <c r="C54" s="55">
        <v>3.3</v>
      </c>
      <c r="D54" s="55">
        <v>5.6</v>
      </c>
      <c r="E54" s="55">
        <v>5.6</v>
      </c>
      <c r="F54" s="49"/>
      <c r="G54" s="1"/>
      <c r="H54"/>
      <c r="I54"/>
      <c r="J54"/>
      <c r="K54" s="1"/>
      <c r="L54" s="1"/>
      <c r="M54" s="1"/>
      <c r="N54" s="1"/>
      <c r="O54" s="1"/>
      <c r="P54" s="1"/>
      <c r="Q54" s="1"/>
      <c r="R54" s="1"/>
      <c r="S54" s="1"/>
      <c r="T54" s="1"/>
      <c r="U54" s="1"/>
      <c r="V54" s="1"/>
      <c r="W54" s="1"/>
      <c r="X54" s="1"/>
      <c r="Y54" s="1"/>
      <c r="Z54" s="1"/>
      <c r="AA54" s="1"/>
      <c r="AB54" s="1"/>
      <c r="AC54" s="1"/>
    </row>
    <row r="55" spans="1:29">
      <c r="A55" s="106" t="s">
        <v>128</v>
      </c>
      <c r="B55" s="99"/>
      <c r="C55" s="99"/>
      <c r="D55" s="46" t="e">
        <f>$B$61/D46</f>
        <v>#REF!</v>
      </c>
      <c r="E55" s="46" t="e">
        <f>$B$61/E46</f>
        <v>#REF!</v>
      </c>
      <c r="F55" s="49" t="e">
        <f>$B$61/F46</f>
        <v>#REF!</v>
      </c>
      <c r="G55" s="1"/>
      <c r="H55"/>
      <c r="I55"/>
      <c r="J55"/>
      <c r="K55" s="1"/>
      <c r="L55" s="1"/>
      <c r="M55" s="1"/>
      <c r="N55" s="1"/>
      <c r="O55" s="1"/>
      <c r="P55" s="1"/>
      <c r="Q55" s="1"/>
      <c r="R55" s="1"/>
      <c r="S55" s="1"/>
      <c r="T55" s="1"/>
      <c r="U55" s="1"/>
      <c r="V55" s="1"/>
      <c r="W55" s="1"/>
      <c r="X55" s="1"/>
      <c r="Y55" s="1"/>
      <c r="Z55" s="1"/>
      <c r="AA55" s="1"/>
      <c r="AB55" s="1"/>
      <c r="AC55" s="1"/>
    </row>
    <row r="56" spans="1:29">
      <c r="A56" s="107" t="s">
        <v>129</v>
      </c>
      <c r="B56" s="50"/>
      <c r="C56" s="50"/>
      <c r="D56" s="51" t="e">
        <f>($B$61+D48-D51)/D41</f>
        <v>#REF!</v>
      </c>
      <c r="E56" s="51" t="e">
        <f>($B$61+E48-E51)/E41</f>
        <v>#REF!</v>
      </c>
      <c r="F56" s="52" t="e">
        <f>($B$61+F48-F51)/F41</f>
        <v>#REF!</v>
      </c>
      <c r="G56" s="1"/>
      <c r="H56"/>
      <c r="I56"/>
      <c r="J56"/>
      <c r="K56" s="1"/>
      <c r="L56" s="6"/>
      <c r="M56" s="1"/>
      <c r="N56" s="1"/>
      <c r="O56" s="1"/>
      <c r="P56" s="1"/>
      <c r="Q56" s="1"/>
      <c r="R56" s="1"/>
      <c r="S56" s="1"/>
      <c r="T56" s="1"/>
      <c r="U56" s="1"/>
      <c r="V56" s="1"/>
      <c r="W56" s="1"/>
      <c r="X56" s="1"/>
      <c r="Y56" s="1"/>
      <c r="Z56" s="1"/>
      <c r="AA56" s="1"/>
      <c r="AB56"/>
      <c r="AC56"/>
    </row>
    <row r="57" spans="1:29">
      <c r="A57" s="61"/>
      <c r="B57" s="1"/>
      <c r="C57" s="1"/>
      <c r="D57" s="46"/>
      <c r="E57" s="46"/>
      <c r="F57" s="46"/>
      <c r="G57" s="1"/>
      <c r="H57" s="1"/>
      <c r="I57" s="1"/>
      <c r="J57" s="1"/>
      <c r="K57" s="1"/>
      <c r="L57" s="1"/>
      <c r="M57" s="1"/>
      <c r="N57" s="1"/>
      <c r="O57" s="1"/>
      <c r="P57" s="1"/>
      <c r="Q57" s="1"/>
      <c r="R57" s="1"/>
      <c r="S57" s="1"/>
      <c r="T57" s="1"/>
      <c r="U57" s="1"/>
      <c r="V57" s="1"/>
      <c r="W57" s="1"/>
      <c r="X57" s="1"/>
      <c r="Y57" s="1"/>
      <c r="Z57" s="1"/>
      <c r="AA57" s="1"/>
      <c r="AB57"/>
      <c r="AC57"/>
    </row>
    <row r="58" spans="1:29">
      <c r="A58" s="7"/>
      <c r="B58" s="99"/>
      <c r="C58" s="26" t="s">
        <v>130</v>
      </c>
      <c r="D58" s="26" t="s">
        <v>131</v>
      </c>
      <c r="E58" s="26" t="s">
        <v>132</v>
      </c>
      <c r="F58"/>
      <c r="G58"/>
      <c r="H58" s="26" t="s">
        <v>133</v>
      </c>
      <c r="I58" s="26" t="s">
        <v>134</v>
      </c>
      <c r="J58" s="1"/>
      <c r="K58" s="1"/>
      <c r="L58" s="1"/>
      <c r="M58" s="1"/>
      <c r="N58" s="1"/>
      <c r="O58" s="1"/>
      <c r="P58" s="1"/>
      <c r="Q58" s="1"/>
      <c r="R58" s="1"/>
      <c r="S58" s="1"/>
      <c r="T58" s="1"/>
      <c r="U58" s="1"/>
      <c r="V58" s="1"/>
      <c r="W58" s="1"/>
      <c r="X58" s="1"/>
      <c r="Y58" s="1"/>
      <c r="Z58" s="1"/>
      <c r="AA58" s="1"/>
      <c r="AB58" s="1"/>
      <c r="AC58" s="1"/>
    </row>
    <row r="59" spans="1:29">
      <c r="A59" s="27" t="s">
        <v>135</v>
      </c>
      <c r="B59" s="24">
        <f>SUM(C59:E59)</f>
        <v>8.3000000000000004E-2</v>
      </c>
      <c r="C59" s="25">
        <v>3.0700000000000002E-2</v>
      </c>
      <c r="D59" s="25">
        <v>5.2299999999999999E-2</v>
      </c>
      <c r="E59" s="24">
        <v>0</v>
      </c>
      <c r="F59"/>
      <c r="G59" s="56" t="s">
        <v>136</v>
      </c>
      <c r="H59" s="5">
        <v>1</v>
      </c>
      <c r="I59" s="5">
        <v>1</v>
      </c>
      <c r="J59" s="1"/>
    </row>
    <row r="60" spans="1:29">
      <c r="A60" s="27"/>
      <c r="C60" s="25"/>
      <c r="D60" s="25"/>
      <c r="E60" s="58"/>
      <c r="F60"/>
      <c r="G60" t="s">
        <v>137</v>
      </c>
      <c r="H60" s="162">
        <v>-0.01</v>
      </c>
      <c r="I60" s="162"/>
    </row>
    <row r="61" spans="1:29">
      <c r="A61" s="108" t="s">
        <v>138</v>
      </c>
      <c r="B61" s="4" t="e">
        <f>C62+C63</f>
        <v>#REF!</v>
      </c>
      <c r="C61" s="91" t="s">
        <v>110</v>
      </c>
      <c r="D61" s="84">
        <f>D31</f>
        <v>1E-3</v>
      </c>
      <c r="E61" s="85">
        <f>D32</f>
        <v>5.0000000000000001E-3</v>
      </c>
      <c r="F61"/>
      <c r="G61" t="s">
        <v>139</v>
      </c>
      <c r="H61" s="3">
        <v>0.21</v>
      </c>
      <c r="I61" s="3">
        <v>0.23</v>
      </c>
      <c r="AA61" s="3"/>
      <c r="AB61" s="3"/>
      <c r="AC61" s="3"/>
    </row>
    <row r="62" spans="1:29">
      <c r="A62" s="108" t="s">
        <v>140</v>
      </c>
      <c r="B62" s="3" t="e">
        <f>C62/B61</f>
        <v>#REF!</v>
      </c>
      <c r="C62" s="82" t="e">
        <f>AB52/(1+B59)^25</f>
        <v>#REF!</v>
      </c>
      <c r="D62" s="86" t="e">
        <f>SUMPRODUCT(E50:AB50,E31:AB31)</f>
        <v>#REF!</v>
      </c>
      <c r="E62" s="87" t="e">
        <f>SUMPRODUCT(E50:AB50,E32:AB32)</f>
        <v>#REF!</v>
      </c>
      <c r="F62"/>
      <c r="G62" s="98" t="s">
        <v>141</v>
      </c>
      <c r="H62" s="163">
        <v>1.2</v>
      </c>
      <c r="I62" s="163"/>
    </row>
    <row r="63" spans="1:29">
      <c r="A63" s="108" t="s">
        <v>142</v>
      </c>
      <c r="B63" s="3" t="e">
        <f>1-B62</f>
        <v>#REF!</v>
      </c>
      <c r="C63" s="82" t="e">
        <f>AC52/(1+B59)^25</f>
        <v>#REF!</v>
      </c>
      <c r="D63" s="88" t="e">
        <f>(AC50/($B$59+D31-$AC$36))*AC31</f>
        <v>#REF!</v>
      </c>
      <c r="E63" s="89" t="e">
        <f>(AC50/($B$59+D32-$AC$36))*AC32</f>
        <v>#REF!</v>
      </c>
      <c r="F63"/>
      <c r="G63" t="s">
        <v>143</v>
      </c>
      <c r="H63" s="160" t="e">
        <f>SUM(40:40)</f>
        <v>#REF!</v>
      </c>
      <c r="I63" s="160"/>
    </row>
    <row r="64" spans="1:29">
      <c r="A64" s="27" t="s">
        <v>144</v>
      </c>
      <c r="B64" s="28" t="e">
        <f>1000000*B61/#REF!</f>
        <v>#REF!</v>
      </c>
      <c r="C64" s="4"/>
      <c r="D64" s="28" t="e">
        <f>1000000*SUM(D62:D63)/#REF!</f>
        <v>#REF!</v>
      </c>
      <c r="E64" s="90" t="e">
        <f>1000000*SUM(E62:E63)/#REF!</f>
        <v>#REF!</v>
      </c>
      <c r="F64"/>
      <c r="G64" t="s">
        <v>145</v>
      </c>
      <c r="H64" s="160" t="e">
        <f>SUM(47:47)</f>
        <v>#REF!</v>
      </c>
      <c r="I64" s="160"/>
    </row>
    <row r="65" spans="1:29">
      <c r="B65" s="29" t="e">
        <f>B64/#REF!-1</f>
        <v>#REF!</v>
      </c>
      <c r="C65" s="2"/>
      <c r="D65" s="10" t="e">
        <f>D64/B64-1</f>
        <v>#REF!</v>
      </c>
      <c r="E65" s="57" t="e">
        <f>E64/B64-1</f>
        <v>#REF!</v>
      </c>
      <c r="F65"/>
      <c r="G65" s="56" t="s">
        <v>146</v>
      </c>
      <c r="H65" s="160" t="e">
        <f>SUM(47:47)+(#REF!*#REF!)</f>
        <v>#REF!</v>
      </c>
      <c r="I65" s="160"/>
    </row>
    <row r="66" spans="1:29">
      <c r="B66" s="4"/>
      <c r="C66" s="4"/>
      <c r="G66" s="2"/>
      <c r="I66" s="6"/>
    </row>
    <row r="67" spans="1:29">
      <c r="A67" t="s">
        <v>147</v>
      </c>
      <c r="B67" s="92" t="e">
        <f>B62*D68+B63*D69</f>
        <v>#REF!</v>
      </c>
      <c r="C67" s="56"/>
      <c r="E67" s="93">
        <v>1</v>
      </c>
      <c r="F67" s="93">
        <v>2</v>
      </c>
      <c r="G67" s="93">
        <v>3</v>
      </c>
      <c r="H67" s="4">
        <v>4</v>
      </c>
      <c r="I67" s="93">
        <v>5</v>
      </c>
      <c r="J67" s="93">
        <v>6</v>
      </c>
      <c r="K67" s="93">
        <v>7</v>
      </c>
      <c r="L67" s="4">
        <v>8</v>
      </c>
      <c r="M67" s="93">
        <v>9</v>
      </c>
      <c r="N67" s="93">
        <v>10</v>
      </c>
      <c r="O67" s="93">
        <v>11</v>
      </c>
      <c r="P67" s="4">
        <v>12</v>
      </c>
      <c r="Q67" s="93">
        <v>13</v>
      </c>
      <c r="R67" s="93">
        <v>14</v>
      </c>
      <c r="S67" s="93">
        <v>15</v>
      </c>
      <c r="T67" s="4">
        <v>16</v>
      </c>
      <c r="U67" s="93">
        <v>17</v>
      </c>
      <c r="V67" s="93">
        <v>18</v>
      </c>
      <c r="W67" s="93">
        <v>19</v>
      </c>
      <c r="X67" s="4">
        <v>20</v>
      </c>
      <c r="Y67" s="93">
        <v>21</v>
      </c>
      <c r="Z67" s="93">
        <v>22</v>
      </c>
      <c r="AA67" s="93">
        <v>23</v>
      </c>
      <c r="AB67" s="4">
        <v>24</v>
      </c>
      <c r="AC67" s="93">
        <v>25</v>
      </c>
    </row>
    <row r="68" spans="1:29">
      <c r="A68" s="81">
        <v>1E-3</v>
      </c>
      <c r="B68" s="94" t="e">
        <f>-$B$67*A68</f>
        <v>#REF!</v>
      </c>
      <c r="C68" s="56"/>
      <c r="D68" s="82" t="e">
        <f>SUM(E68:AB68)/SUMPRODUCT(E50:AB50,E33:AB33)</f>
        <v>#REF!</v>
      </c>
      <c r="E68" s="95" t="e">
        <f>E67*E50*E33</f>
        <v>#REF!</v>
      </c>
      <c r="F68" s="95" t="e">
        <f t="shared" ref="F68:AC68" si="18">F67*F50*F33</f>
        <v>#REF!</v>
      </c>
      <c r="G68" s="95" t="e">
        <f t="shared" si="18"/>
        <v>#REF!</v>
      </c>
      <c r="H68" s="95" t="e">
        <f t="shared" si="18"/>
        <v>#REF!</v>
      </c>
      <c r="I68" s="95" t="e">
        <f t="shared" si="18"/>
        <v>#REF!</v>
      </c>
      <c r="J68" s="95" t="e">
        <f t="shared" si="18"/>
        <v>#REF!</v>
      </c>
      <c r="K68" s="95" t="e">
        <f t="shared" si="18"/>
        <v>#REF!</v>
      </c>
      <c r="L68" s="95" t="e">
        <f t="shared" si="18"/>
        <v>#REF!</v>
      </c>
      <c r="M68" s="95" t="e">
        <f t="shared" si="18"/>
        <v>#REF!</v>
      </c>
      <c r="N68" s="95" t="e">
        <f t="shared" si="18"/>
        <v>#REF!</v>
      </c>
      <c r="O68" s="95" t="e">
        <f t="shared" si="18"/>
        <v>#REF!</v>
      </c>
      <c r="P68" s="95" t="e">
        <f t="shared" si="18"/>
        <v>#REF!</v>
      </c>
      <c r="Q68" s="95" t="e">
        <f t="shared" si="18"/>
        <v>#REF!</v>
      </c>
      <c r="R68" s="95" t="e">
        <f t="shared" si="18"/>
        <v>#REF!</v>
      </c>
      <c r="S68" s="95" t="e">
        <f t="shared" si="18"/>
        <v>#REF!</v>
      </c>
      <c r="T68" s="95" t="e">
        <f t="shared" si="18"/>
        <v>#REF!</v>
      </c>
      <c r="U68" s="95" t="e">
        <f t="shared" si="18"/>
        <v>#REF!</v>
      </c>
      <c r="V68" s="95" t="e">
        <f t="shared" si="18"/>
        <v>#REF!</v>
      </c>
      <c r="W68" s="95" t="e">
        <f t="shared" si="18"/>
        <v>#REF!</v>
      </c>
      <c r="X68" s="95" t="e">
        <f t="shared" si="18"/>
        <v>#REF!</v>
      </c>
      <c r="Y68" s="95" t="e">
        <f t="shared" si="18"/>
        <v>#REF!</v>
      </c>
      <c r="Z68" s="95" t="e">
        <f t="shared" si="18"/>
        <v>#REF!</v>
      </c>
      <c r="AA68" s="95" t="e">
        <f t="shared" si="18"/>
        <v>#REF!</v>
      </c>
      <c r="AB68" s="95" t="e">
        <f t="shared" si="18"/>
        <v>#REF!</v>
      </c>
      <c r="AC68" s="95" t="e">
        <f t="shared" si="18"/>
        <v>#REF!</v>
      </c>
    </row>
    <row r="69" spans="1:29" ht="15">
      <c r="A69" s="81">
        <v>5.0000000000000001E-3</v>
      </c>
      <c r="B69" s="94" t="e">
        <f>-$B$67*A69</f>
        <v>#REF!</v>
      </c>
      <c r="C69" s="56"/>
      <c r="D69" s="96">
        <f>(1+B59)/B59+AC67</f>
        <v>38.048192771084338</v>
      </c>
      <c r="E69" s="3"/>
      <c r="F69" s="29"/>
      <c r="H69" s="6"/>
    </row>
    <row r="70" spans="1:29">
      <c r="D70" s="59"/>
      <c r="E70" s="10"/>
      <c r="F70" s="9"/>
      <c r="H70" s="6"/>
    </row>
    <row r="71" spans="1:29">
      <c r="C71" s="56"/>
      <c r="D71" s="60"/>
      <c r="E71" s="60"/>
      <c r="F71" s="60"/>
    </row>
    <row r="72" spans="1:29">
      <c r="C72" s="56"/>
      <c r="D72" s="29"/>
      <c r="E72" s="3"/>
      <c r="F72" s="3"/>
    </row>
    <row r="73" spans="1:29">
      <c r="C73" s="56"/>
      <c r="D73" s="3"/>
      <c r="E73" s="29"/>
      <c r="F73" s="3"/>
    </row>
    <row r="74" spans="1:29">
      <c r="C74" s="56"/>
      <c r="D74" s="3"/>
      <c r="E74" s="3"/>
      <c r="F74" s="3"/>
      <c r="J74" s="9"/>
    </row>
    <row r="75" spans="1:29">
      <c r="C75" s="56"/>
      <c r="D75" s="3"/>
      <c r="E75" s="3"/>
      <c r="F75" s="3"/>
    </row>
    <row r="76" spans="1:29">
      <c r="C76" s="56"/>
      <c r="D76" s="3"/>
      <c r="E76" s="3"/>
      <c r="F76" s="3"/>
    </row>
    <row r="77" spans="1:29">
      <c r="C77" s="56"/>
      <c r="D77" s="3"/>
      <c r="E77" s="3"/>
      <c r="F77" s="3"/>
    </row>
    <row r="78" spans="1:29">
      <c r="C78" s="56"/>
      <c r="D78" s="3"/>
      <c r="E78" s="3"/>
      <c r="F78" s="29"/>
    </row>
    <row r="79" spans="1:29">
      <c r="F79" s="8"/>
    </row>
    <row r="81" spans="4:9">
      <c r="G81" s="10"/>
    </row>
    <row r="82" spans="4:9">
      <c r="D82" s="3"/>
      <c r="E82" s="3"/>
      <c r="F82" s="3"/>
      <c r="G82" s="9"/>
    </row>
    <row r="83" spans="4:9">
      <c r="D83" s="3"/>
      <c r="E83" s="3"/>
      <c r="F83" s="3"/>
      <c r="G83" s="9"/>
    </row>
    <row r="84" spans="4:9">
      <c r="D84" s="3"/>
      <c r="E84" s="3"/>
      <c r="F84" s="3"/>
      <c r="H84" s="9"/>
    </row>
    <row r="85" spans="4:9">
      <c r="I85" s="10"/>
    </row>
    <row r="86" spans="4:9">
      <c r="D86" s="3"/>
      <c r="E86" s="3"/>
      <c r="F86" s="3"/>
    </row>
    <row r="87" spans="4:9">
      <c r="D87" s="3"/>
      <c r="E87" s="3"/>
      <c r="F87" s="3"/>
    </row>
    <row r="88" spans="4:9">
      <c r="D88" s="3"/>
      <c r="E88" s="3"/>
      <c r="F88" s="3"/>
    </row>
  </sheetData>
  <mergeCells count="6">
    <mergeCell ref="H65:I65"/>
    <mergeCell ref="H64:I64"/>
    <mergeCell ref="A1:L1"/>
    <mergeCell ref="H60:I60"/>
    <mergeCell ref="H62:I62"/>
    <mergeCell ref="H63:I63"/>
  </mergeCells>
  <phoneticPr fontId="0" type="noConversion"/>
  <hyperlinks>
    <hyperlink ref="A61" r:id="rId1" xr:uid="{00000000-0004-0000-0300-000000000000}"/>
  </hyperlinks>
  <pageMargins left="0.75" right="0.75" top="1" bottom="1" header="0" footer="0"/>
  <pageSetup orientation="portrait" r:id="rId2"/>
  <headerFooter alignWithMargins="0"/>
  <drawing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Props1.xml><?xml version="1.0" encoding="utf-8"?>
<ds:datastoreItem xmlns:ds="http://schemas.openxmlformats.org/officeDocument/2006/customXml" ds:itemID="{97FB3ED4-AE09-4A5F-AFD9-51C7AB84015B}"/>
</file>

<file path=customXml/itemProps2.xml><?xml version="1.0" encoding="utf-8"?>
<ds:datastoreItem xmlns:ds="http://schemas.openxmlformats.org/officeDocument/2006/customXml" ds:itemID="{6AC671EF-FA27-4334-9696-FC6B2C7F52ED}"/>
</file>

<file path=customXml/itemProps3.xml><?xml version="1.0" encoding="utf-8"?>
<ds:datastoreItem xmlns:ds="http://schemas.openxmlformats.org/officeDocument/2006/customXml" ds:itemID="{D4F95F15-C902-4F29-BCC3-173A7BFB5290}"/>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JOSE NILTON PACHECO HONÓRIO</cp:lastModifiedBy>
  <cp:revision/>
  <dcterms:created xsi:type="dcterms:W3CDTF">2000-04-19T14:51:26Z</dcterms:created>
  <dcterms:modified xsi:type="dcterms:W3CDTF">2025-03-07T13:48:33Z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