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Team 9 (Cristina Lin)/"/>
    </mc:Choice>
  </mc:AlternateContent>
  <xr:revisionPtr revIDLastSave="835" documentId="8_{333E58A1-85C3-401A-A183-71B1F6EC6700}" xr6:coauthVersionLast="47" xr6:coauthVersionMax="47" xr10:uidLastSave="{6597C75D-01BF-8640-9AAC-C9866A4C9B00}"/>
  <bookViews>
    <workbookView xWindow="0" yWindow="760" windowWidth="29400" windowHeight="17180" tabRatio="644" activeTab="9" xr2:uid="{00000000-000D-0000-FFFF-FFFF00000000}"/>
  </bookViews>
  <sheets>
    <sheet name="COVID-19 impact" sheetId="12" state="hidden" r:id="rId1"/>
    <sheet name="OP" sheetId="28" r:id="rId2"/>
    <sheet name="Segments" sheetId="3" r:id="rId3"/>
    <sheet name="Peers" sheetId="27" r:id="rId4"/>
    <sheet name="Acuerdo" sheetId="11" state="hidden" r:id="rId5"/>
    <sheet name="DCF" sheetId="4" state="hidden" r:id="rId6"/>
    <sheet name="ESG" sheetId="7" r:id="rId7"/>
    <sheet name="DCFF" sheetId="16" r:id="rId8"/>
    <sheet name="Cifras_en_Millones" sheetId="17" r:id="rId9"/>
    <sheet name="Cifras_Originales" sheetId="18" r:id="rId10"/>
    <sheet name="Assumptions" sheetId="24" r:id="rId11"/>
  </sheets>
  <externalReferences>
    <externalReference r:id="rId12"/>
    <externalReference r:id="rId13"/>
    <externalReference r:id="rId14"/>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8">Cifras_en_Millones!$A$1:$L$88</definedName>
    <definedName name="_xlnm.Print_Area" localSheetId="1">OP!$A$1:$M$53</definedName>
    <definedName name="_xlnm.Print_Area" localSheetId="2">Segments!#REF!</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8" l="1" a="1"/>
  <c r="C8" i="28" s="1"/>
  <c r="B15" i="27" l="1"/>
  <c r="C10" i="28"/>
  <c r="K27" i="28"/>
  <c r="L27" i="28"/>
  <c r="K29" i="28"/>
  <c r="L29" i="28"/>
  <c r="L35" i="28"/>
  <c r="K35" i="28"/>
  <c r="K34" i="28"/>
  <c r="I37" i="28"/>
  <c r="I36" i="28"/>
  <c r="I35" i="28"/>
  <c r="I34" i="28"/>
  <c r="I33" i="28"/>
  <c r="S34" i="28" s="1"/>
  <c r="I32" i="28"/>
  <c r="S32" i="28" s="1"/>
  <c r="I31" i="28"/>
  <c r="I30" i="28"/>
  <c r="G37" i="28"/>
  <c r="G36" i="28"/>
  <c r="G35" i="28"/>
  <c r="G34" i="28"/>
  <c r="G33" i="28"/>
  <c r="G32" i="28"/>
  <c r="G31" i="28"/>
  <c r="F37" i="28"/>
  <c r="F36" i="28"/>
  <c r="F35" i="28"/>
  <c r="F34" i="28"/>
  <c r="F33" i="28"/>
  <c r="F32" i="28"/>
  <c r="F31" i="28"/>
  <c r="Q31" i="28" s="1"/>
  <c r="D38" i="28"/>
  <c r="D37" i="28"/>
  <c r="D32" i="28"/>
  <c r="D31" i="28"/>
  <c r="D30" i="28"/>
  <c r="D29" i="28"/>
  <c r="C38" i="28"/>
  <c r="C37" i="28"/>
  <c r="C36" i="28"/>
  <c r="C42" i="28" s="1"/>
  <c r="C35" i="28"/>
  <c r="D35" i="28" s="1"/>
  <c r="C34" i="28"/>
  <c r="D34" i="28" s="1"/>
  <c r="O34" i="28" s="1"/>
  <c r="C33" i="28"/>
  <c r="D33" i="28" s="1"/>
  <c r="C32" i="28"/>
  <c r="C31" i="28"/>
  <c r="C30" i="28"/>
  <c r="C29" i="28"/>
  <c r="C28" i="28"/>
  <c r="D28" i="28" s="1"/>
  <c r="C27" i="28"/>
  <c r="D27" i="28" s="1"/>
  <c r="O27" i="28" s="1"/>
  <c r="J17" i="28"/>
  <c r="J16" i="28"/>
  <c r="J12" i="28"/>
  <c r="J14" i="28" s="1"/>
  <c r="J10" i="28"/>
  <c r="J9" i="28"/>
  <c r="E7" i="28"/>
  <c r="E8" i="28"/>
  <c r="E10" i="28"/>
  <c r="E11" i="28"/>
  <c r="E12" i="28"/>
  <c r="H17" i="28"/>
  <c r="H16" i="28"/>
  <c r="H15" i="28"/>
  <c r="H9" i="28"/>
  <c r="H8" i="28"/>
  <c r="C11" i="28"/>
  <c r="F6" i="28"/>
  <c r="C7" i="28" a="1"/>
  <c r="C7" i="28" s="1"/>
  <c r="D68" i="16" s="1"/>
  <c r="L7" i="28"/>
  <c r="E9" i="28"/>
  <c r="F8" i="28"/>
  <c r="F9" i="28"/>
  <c r="J11" i="28"/>
  <c r="F10" i="28"/>
  <c r="H10" i="28"/>
  <c r="R10" i="28"/>
  <c r="S10" i="28"/>
  <c r="E14" i="28" s="1"/>
  <c r="T10" i="28"/>
  <c r="F11" i="28"/>
  <c r="H11" i="28"/>
  <c r="R11" i="28"/>
  <c r="S11" i="28"/>
  <c r="T11" i="28"/>
  <c r="F12" i="28"/>
  <c r="H12" i="28"/>
  <c r="R12" i="28"/>
  <c r="S12" i="28"/>
  <c r="S13" i="28" s="1"/>
  <c r="T12" i="28"/>
  <c r="T13" i="28" s="1"/>
  <c r="E13" i="28"/>
  <c r="F13" i="28"/>
  <c r="R13" i="28"/>
  <c r="R14" i="28"/>
  <c r="S14" i="28"/>
  <c r="T14" i="28"/>
  <c r="C15" i="28"/>
  <c r="F15" i="28"/>
  <c r="R15" i="28"/>
  <c r="S15" i="28"/>
  <c r="T15" i="28"/>
  <c r="F16" i="28"/>
  <c r="E17" i="28"/>
  <c r="F17" i="28"/>
  <c r="F18" i="28"/>
  <c r="H18" i="28"/>
  <c r="F19" i="28"/>
  <c r="H19" i="28"/>
  <c r="H24" i="28"/>
  <c r="L26" i="28"/>
  <c r="B27" i="28"/>
  <c r="B28" i="28" s="1"/>
  <c r="B29" i="28" s="1"/>
  <c r="B30" i="28" s="1"/>
  <c r="B31" i="28" s="1"/>
  <c r="B32" i="28" s="1"/>
  <c r="B33" i="28" s="1"/>
  <c r="B34" i="28" s="1"/>
  <c r="B35" i="28" s="1"/>
  <c r="B36" i="28" s="1"/>
  <c r="B37" i="28" s="1"/>
  <c r="N27" i="28"/>
  <c r="C41" i="28"/>
  <c r="P28" i="28"/>
  <c r="Q28" i="28"/>
  <c r="R28" i="28"/>
  <c r="S28" i="28"/>
  <c r="P29" i="28"/>
  <c r="Q29" i="28"/>
  <c r="R29" i="28"/>
  <c r="S29" i="28"/>
  <c r="E30" i="28"/>
  <c r="P30" i="28" s="1"/>
  <c r="L30" i="28"/>
  <c r="Q30" i="28"/>
  <c r="R30" i="28"/>
  <c r="S30" i="28"/>
  <c r="E31" i="28"/>
  <c r="P31" i="28" s="1"/>
  <c r="R31" i="28"/>
  <c r="N32" i="28"/>
  <c r="E32" i="28"/>
  <c r="K32" i="28"/>
  <c r="K30" i="28" s="1"/>
  <c r="K40" i="28" s="1"/>
  <c r="R32" i="28"/>
  <c r="E33" i="28"/>
  <c r="P34" i="28" s="1"/>
  <c r="Q34" i="28"/>
  <c r="R33" i="28"/>
  <c r="Q35" i="28"/>
  <c r="S35" i="28"/>
  <c r="L34" i="28"/>
  <c r="L40" i="28" s="1"/>
  <c r="N34" i="28"/>
  <c r="R34" i="28"/>
  <c r="P35" i="28"/>
  <c r="R35" i="28"/>
  <c r="N37" i="28"/>
  <c r="C39" i="28"/>
  <c r="K41" i="28"/>
  <c r="K42" i="28" s="1"/>
  <c r="L41" i="28"/>
  <c r="L42" i="28" s="1"/>
  <c r="E16" i="28" l="1"/>
  <c r="D36" i="28"/>
  <c r="E15" i="28"/>
  <c r="N13" i="28"/>
  <c r="P32" i="28"/>
  <c r="Q32" i="28"/>
  <c r="N36" i="28"/>
  <c r="S33" i="28"/>
  <c r="J18" i="28"/>
  <c r="L12" i="28" s="1"/>
  <c r="O37" i="28"/>
  <c r="O36" i="28"/>
  <c r="O35" i="28"/>
  <c r="O33" i="28"/>
  <c r="N31" i="28"/>
  <c r="O32" i="28"/>
  <c r="I43" i="16"/>
  <c r="J13" i="28"/>
  <c r="C9" i="28"/>
  <c r="L11" i="28"/>
  <c r="O30" i="28"/>
  <c r="D39" i="28"/>
  <c r="O31" i="28"/>
  <c r="N35" i="28"/>
  <c r="P33" i="28"/>
  <c r="S31" i="28"/>
  <c r="N33" i="28"/>
  <c r="N30" i="28"/>
  <c r="N28" i="28"/>
  <c r="D42" i="28"/>
  <c r="J15" i="28"/>
  <c r="Q33" i="28"/>
  <c r="N29" i="28"/>
  <c r="D40" i="28" l="1"/>
  <c r="O28" i="28"/>
  <c r="D41" i="28"/>
  <c r="O29" i="28"/>
  <c r="C40" i="28"/>
  <c r="C12" i="28"/>
  <c r="L13" i="28"/>
  <c r="L16" i="28"/>
  <c r="L18" i="28"/>
  <c r="L19" i="28"/>
  <c r="L14" i="28" l="1"/>
  <c r="L15" i="28"/>
  <c r="L194" i="24" l="1"/>
  <c r="G135" i="24"/>
  <c r="F135" i="24"/>
  <c r="H30" i="16"/>
  <c r="H23" i="16"/>
  <c r="C19" i="27"/>
  <c r="D18" i="27"/>
  <c r="C14" i="27"/>
  <c r="D14" i="27"/>
  <c r="D38" i="27"/>
  <c r="E38" i="27"/>
  <c r="D11" i="27"/>
  <c r="C6" i="27"/>
  <c r="E41" i="27"/>
  <c r="E40" i="27"/>
  <c r="E39" i="27"/>
  <c r="E9" i="27"/>
  <c r="D9" i="27"/>
  <c r="C9" i="27"/>
  <c r="B9" i="27"/>
  <c r="B38" i="27"/>
  <c r="C38" i="27"/>
  <c r="E34" i="27"/>
  <c r="B10" i="27"/>
  <c r="C10" i="27"/>
  <c r="D42" i="27"/>
  <c r="D41" i="27"/>
  <c r="D40" i="27"/>
  <c r="D39" i="27"/>
  <c r="D34" i="27"/>
  <c r="C5" i="27"/>
  <c r="C15" i="27"/>
  <c r="C42" i="27"/>
  <c r="C41" i="27"/>
  <c r="C39" i="27"/>
  <c r="D26" i="27"/>
  <c r="D15" i="27"/>
  <c r="D12" i="27"/>
  <c r="E12" i="27"/>
  <c r="C13" i="27"/>
  <c r="D13" i="27"/>
  <c r="E13" i="27"/>
  <c r="B41" i="27"/>
  <c r="C40" i="27"/>
  <c r="C12" i="27" s="1"/>
  <c r="E26" i="27"/>
  <c r="E4" i="27"/>
  <c r="E5" i="27"/>
  <c r="E6" i="27"/>
  <c r="E10" i="27"/>
  <c r="E11" i="27"/>
  <c r="B18" i="27"/>
  <c r="C4" i="27"/>
  <c r="C17" i="27" a="1"/>
  <c r="C17" i="27" s="1"/>
  <c r="D4" i="27"/>
  <c r="D17" i="27" s="1" a="1"/>
  <c r="D17" i="27" s="1"/>
  <c r="D5" i="27"/>
  <c r="D6" i="27"/>
  <c r="D10" i="27"/>
  <c r="C11" i="27"/>
  <c r="C18" i="27"/>
  <c r="D19" i="27"/>
  <c r="C20" i="27"/>
  <c r="D20" i="27"/>
  <c r="B6" i="27"/>
  <c r="B5" i="27"/>
  <c r="B20" i="27"/>
  <c r="Y194" i="24"/>
  <c r="Z194" i="24"/>
  <c r="U194" i="24"/>
  <c r="V194" i="24"/>
  <c r="W194" i="24"/>
  <c r="X194" i="24"/>
  <c r="R194" i="24"/>
  <c r="S194" i="24"/>
  <c r="T194" i="24"/>
  <c r="M194" i="24"/>
  <c r="N194" i="24"/>
  <c r="O194" i="24"/>
  <c r="P194" i="24"/>
  <c r="Q194" i="24"/>
  <c r="U192" i="24"/>
  <c r="V192" i="24"/>
  <c r="W192" i="24"/>
  <c r="X192" i="24"/>
  <c r="Y192" i="24"/>
  <c r="Z192" i="24"/>
  <c r="R192" i="24"/>
  <c r="S192" i="24"/>
  <c r="T192" i="24"/>
  <c r="M192" i="24"/>
  <c r="N192" i="24"/>
  <c r="O192" i="24"/>
  <c r="P192" i="24"/>
  <c r="Q192" i="24"/>
  <c r="L192" i="24"/>
  <c r="D160" i="24"/>
  <c r="E160" i="24" s="1"/>
  <c r="F160" i="24" s="1"/>
  <c r="G160" i="24" s="1"/>
  <c r="H160" i="24" s="1"/>
  <c r="I160" i="24" s="1"/>
  <c r="J160" i="24" s="1"/>
  <c r="K160" i="24" s="1"/>
  <c r="L160" i="24" s="1"/>
  <c r="M160" i="24" s="1"/>
  <c r="N160" i="24" s="1"/>
  <c r="O160" i="24" s="1"/>
  <c r="P160" i="24" s="1"/>
  <c r="Q160" i="24" s="1"/>
  <c r="R160" i="24" s="1"/>
  <c r="S160" i="24" s="1"/>
  <c r="T160" i="24" s="1"/>
  <c r="U160" i="24" s="1"/>
  <c r="V160" i="24" s="1"/>
  <c r="W160" i="24" s="1"/>
  <c r="X160" i="24" s="1"/>
  <c r="Y160" i="24" s="1"/>
  <c r="Z160" i="24" s="1"/>
  <c r="AA160" i="24" s="1"/>
  <c r="D20" i="24"/>
  <c r="F17" i="24"/>
  <c r="I24" i="16"/>
  <c r="J20" i="24"/>
  <c r="D40" i="24"/>
  <c r="E40" i="24" s="1"/>
  <c r="F40" i="24" s="1"/>
  <c r="G40" i="24" s="1"/>
  <c r="F5" i="3"/>
  <c r="K15" i="18"/>
  <c r="P11" i="24"/>
  <c r="O11" i="24"/>
  <c r="D134" i="24"/>
  <c r="E134" i="24" s="1"/>
  <c r="F134" i="24" s="1"/>
  <c r="G134" i="24" s="1"/>
  <c r="H134" i="24" s="1"/>
  <c r="I134" i="24" s="1"/>
  <c r="J134" i="24" s="1"/>
  <c r="K134" i="24" s="1"/>
  <c r="L134" i="24" s="1"/>
  <c r="M134" i="24" s="1"/>
  <c r="N134" i="24" s="1"/>
  <c r="O134" i="24" s="1"/>
  <c r="P134" i="24" s="1"/>
  <c r="Q134" i="24" s="1"/>
  <c r="R134" i="24" s="1"/>
  <c r="S134" i="24" s="1"/>
  <c r="T134" i="24" s="1"/>
  <c r="U134" i="24" s="1"/>
  <c r="V134" i="24" s="1"/>
  <c r="W134" i="24" s="1"/>
  <c r="X134" i="24" s="1"/>
  <c r="Y134" i="24" s="1"/>
  <c r="Z134" i="24" s="1"/>
  <c r="AA134" i="24" s="1"/>
  <c r="L67" i="24"/>
  <c r="M19" i="24" s="1"/>
  <c r="K67" i="24"/>
  <c r="L19" i="24" s="1"/>
  <c r="P22" i="24"/>
  <c r="P25" i="24"/>
  <c r="G88" i="24"/>
  <c r="H88" i="24"/>
  <c r="I88" i="24"/>
  <c r="J88" i="24"/>
  <c r="K88" i="24"/>
  <c r="L88" i="24"/>
  <c r="F88" i="24"/>
  <c r="E88" i="24"/>
  <c r="C88" i="24"/>
  <c r="D88" i="24"/>
  <c r="G19" i="16"/>
  <c r="F19" i="16"/>
  <c r="E19" i="16"/>
  <c r="O22" i="24"/>
  <c r="D82" i="24"/>
  <c r="E82" i="24"/>
  <c r="E83" i="24" s="1"/>
  <c r="F23" i="24" s="1"/>
  <c r="F82" i="24"/>
  <c r="G82" i="24"/>
  <c r="H82" i="24"/>
  <c r="I82" i="24"/>
  <c r="C82" i="24"/>
  <c r="O25" i="24"/>
  <c r="F21" i="24"/>
  <c r="G21" i="24"/>
  <c r="H21" i="24"/>
  <c r="I21" i="24"/>
  <c r="J21" i="24"/>
  <c r="K21" i="24"/>
  <c r="L21" i="24"/>
  <c r="M21" i="24"/>
  <c r="E21" i="24"/>
  <c r="P21" i="24" s="1"/>
  <c r="M24" i="24"/>
  <c r="L24" i="24"/>
  <c r="M18" i="24"/>
  <c r="L18" i="24"/>
  <c r="M17" i="24"/>
  <c r="L17" i="24"/>
  <c r="K17" i="24"/>
  <c r="J17" i="24"/>
  <c r="I73" i="24"/>
  <c r="I74" i="24" s="1"/>
  <c r="W13" i="3"/>
  <c r="W12" i="3"/>
  <c r="H73" i="24"/>
  <c r="I20" i="24" s="1"/>
  <c r="G73" i="24"/>
  <c r="G74" i="24" s="1"/>
  <c r="F73" i="24"/>
  <c r="F74" i="24" s="1"/>
  <c r="E73" i="24"/>
  <c r="E74" i="24" s="1"/>
  <c r="D73" i="24"/>
  <c r="E20" i="24" s="1"/>
  <c r="C73" i="24"/>
  <c r="C74" i="24" s="1"/>
  <c r="L15" i="18"/>
  <c r="J15" i="18"/>
  <c r="K35" i="18"/>
  <c r="K38" i="18" s="1"/>
  <c r="I35" i="18"/>
  <c r="I38" i="18" s="1"/>
  <c r="J35" i="18"/>
  <c r="J38" i="18" s="1"/>
  <c r="J12" i="18"/>
  <c r="I12" i="18"/>
  <c r="H12" i="18"/>
  <c r="AA14" i="18"/>
  <c r="N11" i="24"/>
  <c r="L10" i="24"/>
  <c r="K10" i="24"/>
  <c r="N11" i="3"/>
  <c r="N10" i="3"/>
  <c r="N12" i="3"/>
  <c r="H5" i="3"/>
  <c r="H4" i="3"/>
  <c r="O10" i="3"/>
  <c r="G11" i="16"/>
  <c r="F11" i="16"/>
  <c r="E11" i="16"/>
  <c r="D11" i="16"/>
  <c r="D19" i="16"/>
  <c r="L196" i="24" l="1"/>
  <c r="Q196" i="24"/>
  <c r="J24" i="16"/>
  <c r="K24" i="16" s="1"/>
  <c r="L24" i="16" s="1"/>
  <c r="H40" i="24"/>
  <c r="C83" i="24"/>
  <c r="D23" i="24" s="1"/>
  <c r="O88" i="24"/>
  <c r="F83" i="24"/>
  <c r="G23" i="24" s="1"/>
  <c r="D83" i="24"/>
  <c r="E23" i="24" s="1"/>
  <c r="P23" i="24" s="1"/>
  <c r="G83" i="24"/>
  <c r="H23" i="24" s="1"/>
  <c r="N88" i="24"/>
  <c r="D74" i="24"/>
  <c r="O21" i="24"/>
  <c r="H74" i="24"/>
  <c r="H83" i="24"/>
  <c r="I23" i="24" s="1"/>
  <c r="F20" i="24"/>
  <c r="G20" i="24"/>
  <c r="H20" i="24"/>
  <c r="M24" i="16" l="1"/>
  <c r="N24" i="16" s="1"/>
  <c r="I40" i="24"/>
  <c r="N74" i="24"/>
  <c r="O74" i="24"/>
  <c r="O23" i="24"/>
  <c r="P20" i="24"/>
  <c r="O20" i="24"/>
  <c r="O24" i="16" l="1"/>
  <c r="J40" i="24"/>
  <c r="P24" i="16" l="1"/>
  <c r="Q24" i="16" s="1"/>
  <c r="K40" i="24"/>
  <c r="R24" i="16" l="1"/>
  <c r="L40" i="24"/>
  <c r="S24" i="16" l="1"/>
  <c r="T24" i="16" s="1"/>
  <c r="M40" i="24"/>
  <c r="U24" i="16" l="1"/>
  <c r="N40" i="24"/>
  <c r="V24" i="16" l="1"/>
  <c r="W24" i="16" s="1"/>
  <c r="O40" i="24"/>
  <c r="X24" i="16" l="1"/>
  <c r="P40" i="24"/>
  <c r="Y24" i="16" l="1"/>
  <c r="Z24" i="16" s="1"/>
  <c r="Q40" i="24"/>
  <c r="AA24" i="16" l="1"/>
  <c r="R40" i="24"/>
  <c r="AB24" i="16" l="1"/>
  <c r="S40" i="24"/>
  <c r="AC24" i="16" l="1"/>
  <c r="AD24" i="16" s="1"/>
  <c r="T40" i="24"/>
  <c r="AE24" i="16" l="1"/>
  <c r="AF24" i="16" s="1"/>
  <c r="U40" i="24"/>
  <c r="V40" i="24" l="1"/>
  <c r="W40" i="24" l="1"/>
  <c r="X40" i="24" l="1"/>
  <c r="Y40" i="24" l="1"/>
  <c r="Z40" i="24" l="1"/>
  <c r="AA40" i="24" l="1"/>
  <c r="AB40" i="24" l="1"/>
  <c r="B4" i="27" l="1"/>
  <c r="B17" i="27" s="1" a="1"/>
  <c r="B17" i="27" s="1"/>
  <c r="B34" i="27"/>
  <c r="B19" i="27" s="1"/>
  <c r="B11" i="27"/>
  <c r="B39" i="27"/>
  <c r="B40" i="27"/>
  <c r="B42" i="27"/>
  <c r="B14" i="27" s="1"/>
  <c r="B13" i="27" l="1"/>
  <c r="B12" i="27"/>
  <c r="F18" i="3"/>
  <c r="O11" i="3"/>
  <c r="O12" i="3"/>
  <c r="F19" i="3"/>
  <c r="F17" i="3"/>
  <c r="D21" i="16"/>
  <c r="E21" i="16"/>
  <c r="F21" i="16"/>
  <c r="G21" i="16"/>
  <c r="D3" i="3"/>
  <c r="D13" i="16"/>
  <c r="J26" i="24"/>
  <c r="I26" i="24"/>
  <c r="H26" i="24"/>
  <c r="G26" i="24"/>
  <c r="F26" i="24"/>
  <c r="E26" i="24"/>
  <c r="D26" i="24"/>
  <c r="K24" i="24"/>
  <c r="J24" i="24"/>
  <c r="I24" i="24"/>
  <c r="H24" i="24"/>
  <c r="G24" i="24"/>
  <c r="F24" i="24"/>
  <c r="E24" i="24"/>
  <c r="D24" i="24"/>
  <c r="I67" i="24"/>
  <c r="J19" i="24" s="1"/>
  <c r="H67" i="24"/>
  <c r="I19" i="24" s="1"/>
  <c r="G67" i="24"/>
  <c r="H19" i="24" s="1"/>
  <c r="K18" i="24"/>
  <c r="J18" i="24"/>
  <c r="I18" i="24"/>
  <c r="H18" i="24"/>
  <c r="G18" i="24"/>
  <c r="F18" i="24"/>
  <c r="E18" i="24"/>
  <c r="D18" i="24"/>
  <c r="I17" i="24"/>
  <c r="H17" i="24"/>
  <c r="G17" i="24"/>
  <c r="E17" i="24"/>
  <c r="D17" i="24"/>
  <c r="G45" i="24"/>
  <c r="E50" i="24"/>
  <c r="F50" i="24"/>
  <c r="G50" i="24"/>
  <c r="H50" i="24"/>
  <c r="I50" i="24"/>
  <c r="J50" i="24"/>
  <c r="K50" i="24"/>
  <c r="L50" i="24"/>
  <c r="M50" i="24"/>
  <c r="N50" i="24"/>
  <c r="O50" i="24"/>
  <c r="P50" i="24"/>
  <c r="Q50" i="24"/>
  <c r="R50" i="24"/>
  <c r="S50" i="24"/>
  <c r="T50" i="24"/>
  <c r="U50" i="24"/>
  <c r="V50" i="24"/>
  <c r="W50" i="24"/>
  <c r="X50" i="24"/>
  <c r="Y50" i="24"/>
  <c r="Z50" i="24"/>
  <c r="AA50" i="24"/>
  <c r="AB50" i="24"/>
  <c r="D50" i="24"/>
  <c r="E45" i="24"/>
  <c r="F45" i="24"/>
  <c r="H45" i="24"/>
  <c r="I45" i="24"/>
  <c r="J45" i="24"/>
  <c r="K45" i="24"/>
  <c r="L45" i="24"/>
  <c r="M45" i="24"/>
  <c r="N45" i="24"/>
  <c r="O45" i="24"/>
  <c r="P45" i="24"/>
  <c r="Q45" i="24"/>
  <c r="R45" i="24"/>
  <c r="S45" i="24"/>
  <c r="T45" i="24"/>
  <c r="U45" i="24"/>
  <c r="V45" i="24"/>
  <c r="W45" i="24"/>
  <c r="X45" i="24"/>
  <c r="Y45" i="24"/>
  <c r="Z45" i="24"/>
  <c r="AA45" i="24"/>
  <c r="AB45" i="24"/>
  <c r="D45" i="24"/>
  <c r="D37" i="16"/>
  <c r="J10" i="24"/>
  <c r="I10" i="24"/>
  <c r="H10" i="24"/>
  <c r="G10" i="24"/>
  <c r="F10" i="24"/>
  <c r="E10" i="24"/>
  <c r="D10" i="24"/>
  <c r="C10" i="24"/>
  <c r="G12" i="18"/>
  <c r="F12" i="18"/>
  <c r="E12" i="18"/>
  <c r="D12" i="18"/>
  <c r="B12" i="18"/>
  <c r="R17" i="18"/>
  <c r="R16" i="18"/>
  <c r="R15" i="18"/>
  <c r="R14" i="18"/>
  <c r="R11" i="18"/>
  <c r="R10" i="18"/>
  <c r="R9" i="18"/>
  <c r="G30" i="16"/>
  <c r="F30" i="16"/>
  <c r="E30" i="16"/>
  <c r="D30" i="16"/>
  <c r="D7" i="16"/>
  <c r="B35" i="18"/>
  <c r="B26" i="18"/>
  <c r="B15" i="18"/>
  <c r="G13" i="16"/>
  <c r="G7" i="16"/>
  <c r="G23" i="16"/>
  <c r="F23" i="16"/>
  <c r="E23" i="16"/>
  <c r="D23" i="16"/>
  <c r="G14" i="16"/>
  <c r="F14" i="16"/>
  <c r="E14" i="16"/>
  <c r="D14" i="16"/>
  <c r="F13" i="16"/>
  <c r="E13" i="16"/>
  <c r="G10" i="16"/>
  <c r="F10" i="16"/>
  <c r="E10" i="16"/>
  <c r="D10" i="16"/>
  <c r="E7" i="16"/>
  <c r="F7" i="16"/>
  <c r="F4" i="16" s="1"/>
  <c r="G35" i="18"/>
  <c r="H35" i="18"/>
  <c r="F35" i="18"/>
  <c r="D35" i="18"/>
  <c r="E35" i="18"/>
  <c r="C35" i="18"/>
  <c r="E15" i="18"/>
  <c r="F15" i="18"/>
  <c r="G15" i="18"/>
  <c r="H15" i="18"/>
  <c r="I15" i="18"/>
  <c r="C15" i="18"/>
  <c r="D15" i="18"/>
  <c r="H19" i="3"/>
  <c r="H18" i="3"/>
  <c r="H17" i="3"/>
  <c r="P24" i="24" l="1"/>
  <c r="P26" i="24"/>
  <c r="H7" i="16"/>
  <c r="I7" i="16" s="1"/>
  <c r="I23" i="16" s="1"/>
  <c r="G4" i="16"/>
  <c r="H14" i="16"/>
  <c r="H52" i="16"/>
  <c r="O17" i="24"/>
  <c r="P18" i="24"/>
  <c r="N10" i="24"/>
  <c r="O10" i="24"/>
  <c r="O24" i="24"/>
  <c r="O18" i="24"/>
  <c r="O26" i="24"/>
  <c r="P17" i="24"/>
  <c r="D22" i="16"/>
  <c r="P10" i="24"/>
  <c r="I14" i="16" l="1"/>
  <c r="J7" i="16"/>
  <c r="J23" i="16" s="1"/>
  <c r="I11" i="16"/>
  <c r="I20" i="16" s="1"/>
  <c r="I4" i="16" s="1"/>
  <c r="C5" i="18"/>
  <c r="C2" i="18"/>
  <c r="J22" i="3"/>
  <c r="J23" i="3"/>
  <c r="J24" i="3"/>
  <c r="J25" i="3"/>
  <c r="J26" i="3"/>
  <c r="J9" i="3"/>
  <c r="J10" i="3"/>
  <c r="J11" i="3"/>
  <c r="J12" i="3"/>
  <c r="J13" i="3"/>
  <c r="J14" i="16" l="1"/>
  <c r="K14" i="16" s="1"/>
  <c r="L14" i="16"/>
  <c r="K7" i="16"/>
  <c r="J11" i="16"/>
  <c r="L7" i="16" l="1"/>
  <c r="K23" i="16"/>
  <c r="M14" i="16"/>
  <c r="N14" i="16"/>
  <c r="O14" i="16" s="1"/>
  <c r="I30" i="16"/>
  <c r="W10" i="3"/>
  <c r="X10" i="3"/>
  <c r="Y10" i="3"/>
  <c r="M7" i="16" l="1"/>
  <c r="L11" i="16"/>
  <c r="L23" i="16"/>
  <c r="P14" i="16"/>
  <c r="J30" i="16"/>
  <c r="B60" i="17"/>
  <c r="B59" i="17" s="1"/>
  <c r="B66" i="17"/>
  <c r="B56" i="17"/>
  <c r="B35" i="17"/>
  <c r="B36" i="17" s="1"/>
  <c r="B24" i="17"/>
  <c r="B19" i="17"/>
  <c r="B20" i="17" s="1"/>
  <c r="B16" i="17"/>
  <c r="B22" i="17" s="1"/>
  <c r="B12" i="17"/>
  <c r="B9" i="17"/>
  <c r="B10" i="17" s="1"/>
  <c r="B8" i="17"/>
  <c r="C53" i="18"/>
  <c r="D53" i="18" s="1"/>
  <c r="D77" i="17" s="1"/>
  <c r="A52" i="18"/>
  <c r="M39" i="18"/>
  <c r="M44" i="18" s="1"/>
  <c r="L39" i="18"/>
  <c r="L44" i="18" s="1"/>
  <c r="K44" i="18"/>
  <c r="J44" i="18"/>
  <c r="I44" i="18"/>
  <c r="B44" i="18"/>
  <c r="M38" i="18"/>
  <c r="L38" i="18"/>
  <c r="L56" i="17"/>
  <c r="K56" i="17"/>
  <c r="J56" i="17"/>
  <c r="B38" i="18"/>
  <c r="C56" i="17" s="1"/>
  <c r="M34" i="18"/>
  <c r="L34" i="18"/>
  <c r="M52" i="17" s="1"/>
  <c r="K34" i="18"/>
  <c r="L52" i="17" s="1"/>
  <c r="J34" i="18"/>
  <c r="K52" i="17" s="1"/>
  <c r="I34" i="18"/>
  <c r="J52" i="17" s="1"/>
  <c r="H34" i="18"/>
  <c r="I52" i="17" s="1"/>
  <c r="G34" i="18"/>
  <c r="H52" i="17" s="1"/>
  <c r="F34" i="18"/>
  <c r="G52" i="17" s="1"/>
  <c r="E34" i="18"/>
  <c r="F52" i="17" s="1"/>
  <c r="D34" i="18"/>
  <c r="E52" i="17" s="1"/>
  <c r="C34" i="18"/>
  <c r="D52" i="17" s="1"/>
  <c r="B34" i="18"/>
  <c r="C52" i="17" s="1"/>
  <c r="M26" i="18"/>
  <c r="L26" i="18"/>
  <c r="M44" i="17" s="1"/>
  <c r="K26" i="18"/>
  <c r="L44" i="17" s="1"/>
  <c r="J26" i="18"/>
  <c r="K44" i="17" s="1"/>
  <c r="I26" i="18"/>
  <c r="J44" i="17" s="1"/>
  <c r="H26" i="18"/>
  <c r="I44" i="17" s="1"/>
  <c r="G26" i="18"/>
  <c r="H44" i="17" s="1"/>
  <c r="F26" i="18"/>
  <c r="G44" i="17" s="1"/>
  <c r="E26" i="18"/>
  <c r="F44" i="17" s="1"/>
  <c r="D26" i="18"/>
  <c r="E44" i="17" s="1"/>
  <c r="C26" i="18"/>
  <c r="D44" i="17" s="1"/>
  <c r="C44" i="17"/>
  <c r="M19" i="18"/>
  <c r="M20" i="18" s="1"/>
  <c r="L19" i="18"/>
  <c r="L20" i="18" s="1"/>
  <c r="H19" i="18"/>
  <c r="H20" i="18" s="1"/>
  <c r="G19" i="18"/>
  <c r="G20" i="18" s="1"/>
  <c r="J29" i="17"/>
  <c r="I29" i="17"/>
  <c r="AB16" i="18"/>
  <c r="AA16" i="18"/>
  <c r="Z16" i="18"/>
  <c r="Y16" i="18"/>
  <c r="X16" i="18"/>
  <c r="W16" i="18"/>
  <c r="V16" i="18"/>
  <c r="U16" i="18"/>
  <c r="T16" i="18"/>
  <c r="S16" i="18"/>
  <c r="M33" i="17"/>
  <c r="E33" i="17"/>
  <c r="AB11" i="18"/>
  <c r="AA11" i="18"/>
  <c r="AA15" i="18" s="1"/>
  <c r="Z11" i="18"/>
  <c r="Y11" i="18"/>
  <c r="X11" i="18"/>
  <c r="W11" i="18"/>
  <c r="W15" i="18" s="1"/>
  <c r="V11" i="18"/>
  <c r="U11" i="18"/>
  <c r="T11" i="18"/>
  <c r="S11" i="18"/>
  <c r="AB10" i="18"/>
  <c r="AB14" i="18" s="1"/>
  <c r="AA10" i="18"/>
  <c r="Z10" i="18"/>
  <c r="Y10" i="18"/>
  <c r="X10" i="18"/>
  <c r="W10" i="18"/>
  <c r="V10" i="18"/>
  <c r="U10" i="18"/>
  <c r="T10" i="18"/>
  <c r="T14" i="18" s="1"/>
  <c r="S10" i="18"/>
  <c r="S9" i="18"/>
  <c r="K19" i="18"/>
  <c r="K20" i="18" s="1"/>
  <c r="J19" i="18"/>
  <c r="J20" i="18" s="1"/>
  <c r="I19" i="18"/>
  <c r="I20" i="18" s="1"/>
  <c r="F19" i="18"/>
  <c r="F20" i="18" s="1"/>
  <c r="E14" i="17"/>
  <c r="D14" i="17"/>
  <c r="E7" i="17"/>
  <c r="D7" i="17"/>
  <c r="D5" i="18"/>
  <c r="E5" i="18" s="1"/>
  <c r="G3" i="18"/>
  <c r="A1" i="17" s="1"/>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C77" i="17"/>
  <c r="B77" i="17"/>
  <c r="IH75" i="17"/>
  <c r="M75" i="17"/>
  <c r="L75" i="17"/>
  <c r="K75" i="17"/>
  <c r="J75" i="17"/>
  <c r="I75" i="17"/>
  <c r="H75" i="17"/>
  <c r="G75" i="17"/>
  <c r="F75" i="17"/>
  <c r="E75" i="17"/>
  <c r="D75" i="17"/>
  <c r="C75" i="17"/>
  <c r="A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M56"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C53" i="17"/>
  <c r="M51" i="17"/>
  <c r="L51" i="17"/>
  <c r="K51" i="17"/>
  <c r="J51" i="17"/>
  <c r="I51" i="17"/>
  <c r="H51" i="17"/>
  <c r="G51" i="17"/>
  <c r="F51" i="17"/>
  <c r="E51" i="17"/>
  <c r="D51" i="17"/>
  <c r="C51" i="17"/>
  <c r="M50" i="17"/>
  <c r="L50" i="17"/>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M26" i="17" s="1"/>
  <c r="L40" i="17"/>
  <c r="K40" i="17"/>
  <c r="J40" i="17"/>
  <c r="I40" i="17"/>
  <c r="H40" i="17"/>
  <c r="G40" i="17"/>
  <c r="F40" i="17"/>
  <c r="E40" i="17"/>
  <c r="D40" i="17"/>
  <c r="C40" i="17"/>
  <c r="M34" i="17"/>
  <c r="L34" i="17"/>
  <c r="K34" i="17"/>
  <c r="J34" i="17"/>
  <c r="I34" i="17"/>
  <c r="I35" i="17" s="1"/>
  <c r="H34" i="17"/>
  <c r="G34" i="17"/>
  <c r="F34" i="17"/>
  <c r="E34" i="17"/>
  <c r="D34" i="17"/>
  <c r="C34" i="17"/>
  <c r="L33" i="17"/>
  <c r="K33" i="17"/>
  <c r="J33" i="17"/>
  <c r="I33" i="17"/>
  <c r="H33" i="17"/>
  <c r="G33" i="17"/>
  <c r="F33" i="17"/>
  <c r="D33" i="17"/>
  <c r="C33" i="17"/>
  <c r="M29" i="17"/>
  <c r="L29" i="17"/>
  <c r="K29" i="17"/>
  <c r="H29" i="17"/>
  <c r="G29" i="17"/>
  <c r="F29" i="17"/>
  <c r="E29" i="17"/>
  <c r="D29" i="17"/>
  <c r="C29" i="17"/>
  <c r="M27" i="17"/>
  <c r="L27" i="17"/>
  <c r="K27" i="17"/>
  <c r="J27" i="17"/>
  <c r="I27" i="17"/>
  <c r="H27" i="17"/>
  <c r="G27" i="17"/>
  <c r="F27" i="17"/>
  <c r="E27" i="17"/>
  <c r="D27" i="17"/>
  <c r="C27" i="17"/>
  <c r="B28" i="17" s="1"/>
  <c r="B37" i="17" s="1"/>
  <c r="M23" i="17"/>
  <c r="L23" i="17"/>
  <c r="K23" i="17"/>
  <c r="J23" i="17"/>
  <c r="I23" i="17"/>
  <c r="H23" i="17"/>
  <c r="G23" i="17"/>
  <c r="F23" i="17"/>
  <c r="E23" i="17"/>
  <c r="D23" i="17"/>
  <c r="C23" i="17"/>
  <c r="M21" i="17"/>
  <c r="L21" i="17"/>
  <c r="K21" i="17"/>
  <c r="J21" i="17"/>
  <c r="I21" i="17"/>
  <c r="H21" i="17"/>
  <c r="G21" i="17"/>
  <c r="F21" i="17"/>
  <c r="E21" i="17"/>
  <c r="D21" i="17"/>
  <c r="C21" i="17"/>
  <c r="M18" i="17"/>
  <c r="L18" i="17"/>
  <c r="K18" i="17"/>
  <c r="J18" i="17"/>
  <c r="I18" i="17"/>
  <c r="H18" i="17"/>
  <c r="G18" i="17"/>
  <c r="F18" i="17"/>
  <c r="E18" i="17"/>
  <c r="C18" i="17"/>
  <c r="M17" i="17"/>
  <c r="L17" i="17"/>
  <c r="K17" i="17"/>
  <c r="J17" i="17"/>
  <c r="I17" i="17"/>
  <c r="H17" i="17"/>
  <c r="G17" i="17"/>
  <c r="F17" i="17"/>
  <c r="E17" i="17"/>
  <c r="D17" i="17"/>
  <c r="C17" i="17"/>
  <c r="M15" i="17"/>
  <c r="L15" i="17"/>
  <c r="K15" i="17"/>
  <c r="J15" i="17"/>
  <c r="I15" i="17"/>
  <c r="H15" i="17"/>
  <c r="G15" i="17"/>
  <c r="F15" i="17"/>
  <c r="E15" i="17"/>
  <c r="D15" i="17"/>
  <c r="C15" i="17"/>
  <c r="M14" i="17"/>
  <c r="K14" i="17"/>
  <c r="J14" i="17"/>
  <c r="I14" i="17"/>
  <c r="H14" i="17"/>
  <c r="G14" i="17"/>
  <c r="F14" i="17"/>
  <c r="C14" i="17"/>
  <c r="M11" i="17"/>
  <c r="L11" i="17"/>
  <c r="L13" i="17" s="1"/>
  <c r="K11" i="17"/>
  <c r="J11" i="17"/>
  <c r="I11" i="17"/>
  <c r="H11" i="17"/>
  <c r="G11" i="17"/>
  <c r="M7" i="17"/>
  <c r="L7" i="17"/>
  <c r="K7" i="17"/>
  <c r="J7" i="17"/>
  <c r="I7" i="17"/>
  <c r="H7" i="17"/>
  <c r="G7" i="17"/>
  <c r="F7" i="17"/>
  <c r="M5" i="17"/>
  <c r="L5" i="17"/>
  <c r="K5" i="17"/>
  <c r="J5" i="17"/>
  <c r="I5" i="17"/>
  <c r="H5" i="17"/>
  <c r="G5" i="17"/>
  <c r="F5" i="17"/>
  <c r="E5" i="17"/>
  <c r="D5" i="17"/>
  <c r="C5" i="17"/>
  <c r="B6" i="17" s="1"/>
  <c r="E4" i="17"/>
  <c r="D4" i="17"/>
  <c r="C4" i="17"/>
  <c r="A2" i="17"/>
  <c r="F40" i="16"/>
  <c r="E4" i="16"/>
  <c r="D4" i="16"/>
  <c r="N7" i="16" l="1"/>
  <c r="M11" i="16"/>
  <c r="M23" i="16"/>
  <c r="Q14" i="16"/>
  <c r="Y15" i="18"/>
  <c r="X15" i="18"/>
  <c r="K60" i="17"/>
  <c r="K57" i="17"/>
  <c r="L57" i="17"/>
  <c r="Z14" i="18"/>
  <c r="K59" i="17"/>
  <c r="C57" i="17"/>
  <c r="C66" i="17" s="1"/>
  <c r="X14" i="18"/>
  <c r="V14" i="18"/>
  <c r="S15" i="18"/>
  <c r="C60" i="17"/>
  <c r="G38" i="16" s="1"/>
  <c r="C137" i="24" s="1"/>
  <c r="D137" i="24" s="1"/>
  <c r="E137" i="24" s="1"/>
  <c r="J60" i="17"/>
  <c r="J59" i="17" s="1"/>
  <c r="I28" i="17"/>
  <c r="I37" i="17" s="1"/>
  <c r="I26" i="17"/>
  <c r="D60" i="17"/>
  <c r="F38" i="16" s="1"/>
  <c r="L60" i="17"/>
  <c r="L59" i="17" s="1"/>
  <c r="W14" i="18"/>
  <c r="W17" i="18" s="1"/>
  <c r="T15" i="18"/>
  <c r="T17" i="18" s="1"/>
  <c r="AB15" i="18"/>
  <c r="U15" i="18"/>
  <c r="Y14" i="18"/>
  <c r="Y17" i="18" s="1"/>
  <c r="V15" i="18"/>
  <c r="E60" i="17"/>
  <c r="E38" i="16" s="1"/>
  <c r="M60" i="17"/>
  <c r="M59" i="17" s="1"/>
  <c r="F60" i="17"/>
  <c r="F61" i="17" s="1"/>
  <c r="G60" i="17"/>
  <c r="G59" i="17" s="1"/>
  <c r="H60" i="17"/>
  <c r="H59" i="17" s="1"/>
  <c r="I60" i="17"/>
  <c r="I61" i="17" s="1"/>
  <c r="J57" i="17"/>
  <c r="J66" i="17" s="1"/>
  <c r="M57" i="17"/>
  <c r="M66" i="17" s="1"/>
  <c r="X17" i="18"/>
  <c r="S14" i="18"/>
  <c r="S17" i="18" s="1"/>
  <c r="C12" i="18" s="1"/>
  <c r="D18" i="17" s="1"/>
  <c r="AA17" i="18"/>
  <c r="AB17" i="18"/>
  <c r="J26" i="17"/>
  <c r="U14" i="18"/>
  <c r="Z15" i="18"/>
  <c r="B25" i="17"/>
  <c r="H19" i="17"/>
  <c r="H20" i="17" s="1"/>
  <c r="K30" i="16"/>
  <c r="F41" i="16"/>
  <c r="B26" i="17"/>
  <c r="B30" i="17" s="1"/>
  <c r="I6" i="17"/>
  <c r="H28" i="17"/>
  <c r="H37" i="17" s="1"/>
  <c r="E8" i="17"/>
  <c r="B44" i="17"/>
  <c r="B61" i="17"/>
  <c r="M24" i="17"/>
  <c r="J19" i="17"/>
  <c r="J20" i="17" s="1"/>
  <c r="C35" i="17"/>
  <c r="C36" i="17" s="1"/>
  <c r="D24" i="17"/>
  <c r="L24" i="17"/>
  <c r="M12" i="17"/>
  <c r="F25" i="17"/>
  <c r="H25" i="17"/>
  <c r="J9" i="17"/>
  <c r="J10" i="17" s="1"/>
  <c r="G26" i="17"/>
  <c r="L66" i="17"/>
  <c r="K35" i="17"/>
  <c r="K36" i="17" s="1"/>
  <c r="F8" i="17"/>
  <c r="G19" i="17"/>
  <c r="G20" i="17" s="1"/>
  <c r="F35" i="17"/>
  <c r="F36" i="17" s="1"/>
  <c r="L26" i="17"/>
  <c r="H6" i="17"/>
  <c r="H8" i="17"/>
  <c r="J25" i="17"/>
  <c r="H35" i="17"/>
  <c r="H36" i="17" s="1"/>
  <c r="E26" i="17"/>
  <c r="H9" i="17"/>
  <c r="H10" i="17" s="1"/>
  <c r="G8" i="17"/>
  <c r="I9" i="17"/>
  <c r="I10" i="17" s="1"/>
  <c r="G12" i="17"/>
  <c r="I24" i="17"/>
  <c r="D35" i="17"/>
  <c r="D36" i="17" s="1"/>
  <c r="L35" i="17"/>
  <c r="L36" i="17" s="1"/>
  <c r="D8" i="17"/>
  <c r="I25" i="17"/>
  <c r="K9" i="17"/>
  <c r="K10" i="17" s="1"/>
  <c r="I8" i="17"/>
  <c r="C24" i="17"/>
  <c r="K24" i="17"/>
  <c r="M37" i="17"/>
  <c r="L8" i="17"/>
  <c r="J8" i="17"/>
  <c r="I19" i="17"/>
  <c r="I20" i="17" s="1"/>
  <c r="D25" i="17"/>
  <c r="L25" i="17"/>
  <c r="F26" i="17"/>
  <c r="G35" i="17"/>
  <c r="G36" i="17" s="1"/>
  <c r="M35" i="17"/>
  <c r="M36" i="17" s="1"/>
  <c r="H12" i="17"/>
  <c r="M9" i="17"/>
  <c r="M10" i="17" s="1"/>
  <c r="E25" i="17"/>
  <c r="J28" i="17"/>
  <c r="D26" i="17"/>
  <c r="K61" i="17"/>
  <c r="E35" i="17"/>
  <c r="E36" i="17" s="1"/>
  <c r="J24" i="17"/>
  <c r="K16" i="17"/>
  <c r="K22" i="17" s="1"/>
  <c r="K19" i="17"/>
  <c r="K20" i="17" s="1"/>
  <c r="H26" i="17"/>
  <c r="I36" i="17"/>
  <c r="M30" i="17"/>
  <c r="M31" i="17" s="1"/>
  <c r="M32" i="17" s="1"/>
  <c r="G9" i="17"/>
  <c r="G10" i="17" s="1"/>
  <c r="M8" i="17"/>
  <c r="L12" i="17"/>
  <c r="M16" i="17"/>
  <c r="M22" i="17" s="1"/>
  <c r="L19" i="17"/>
  <c r="L20" i="17" s="1"/>
  <c r="G25" i="17"/>
  <c r="E24" i="17"/>
  <c r="J35" i="17"/>
  <c r="J36" i="17" s="1"/>
  <c r="K66" i="17"/>
  <c r="M61" i="17"/>
  <c r="E19" i="18"/>
  <c r="E20" i="18" s="1"/>
  <c r="F11" i="17"/>
  <c r="F9" i="17" s="1"/>
  <c r="F10" i="17" s="1"/>
  <c r="C7" i="17"/>
  <c r="C8" i="17" s="1"/>
  <c r="F5" i="18"/>
  <c r="U9" i="18"/>
  <c r="F4" i="17"/>
  <c r="J6" i="17"/>
  <c r="I12" i="17"/>
  <c r="L14" i="17"/>
  <c r="L16" i="17" s="1"/>
  <c r="L22" i="17" s="1"/>
  <c r="M19" i="17"/>
  <c r="M20" i="17" s="1"/>
  <c r="F24" i="17"/>
  <c r="C25" i="17"/>
  <c r="K25" i="17"/>
  <c r="C28" i="17"/>
  <c r="C37" i="17" s="1"/>
  <c r="K28" i="17"/>
  <c r="K37" i="17" s="1"/>
  <c r="T9" i="18"/>
  <c r="K8" i="17"/>
  <c r="C6" i="17"/>
  <c r="G6" i="16" s="1"/>
  <c r="K6" i="17"/>
  <c r="J12" i="17"/>
  <c r="G13" i="17"/>
  <c r="G16" i="17"/>
  <c r="G22" i="17" s="1"/>
  <c r="G24" i="17"/>
  <c r="D28" i="17"/>
  <c r="L28" i="17"/>
  <c r="D6" i="17"/>
  <c r="F6" i="16" s="1"/>
  <c r="L6" i="17"/>
  <c r="L9" i="17"/>
  <c r="L10" i="17" s="1"/>
  <c r="K12" i="17"/>
  <c r="H13" i="17"/>
  <c r="H16" i="17"/>
  <c r="H22" i="17" s="1"/>
  <c r="H24" i="17"/>
  <c r="C26" i="17"/>
  <c r="K26" i="17"/>
  <c r="E28" i="17"/>
  <c r="E6" i="17"/>
  <c r="E6" i="16" s="1"/>
  <c r="I13" i="17"/>
  <c r="I16" i="17"/>
  <c r="I22" i="17" s="1"/>
  <c r="F28" i="17"/>
  <c r="F6" i="17"/>
  <c r="D6" i="16" s="1"/>
  <c r="J13" i="17"/>
  <c r="J16" i="17"/>
  <c r="G28" i="17"/>
  <c r="G37" i="17" s="1"/>
  <c r="G6" i="17"/>
  <c r="K13" i="17"/>
  <c r="F137" i="24" l="1"/>
  <c r="G137" i="24" s="1"/>
  <c r="H137" i="24" s="1"/>
  <c r="I137" i="24" s="1"/>
  <c r="J137" i="24" s="1"/>
  <c r="K137" i="24" s="1"/>
  <c r="L137" i="24" s="1"/>
  <c r="N23" i="16"/>
  <c r="O7" i="16"/>
  <c r="N11" i="16"/>
  <c r="R14" i="16"/>
  <c r="Z17" i="18"/>
  <c r="J61" i="17"/>
  <c r="J22" i="17"/>
  <c r="J67" i="24"/>
  <c r="K19" i="24" s="1"/>
  <c r="L61" i="17"/>
  <c r="V17" i="18"/>
  <c r="E61" i="17"/>
  <c r="E59" i="17"/>
  <c r="D59" i="17"/>
  <c r="B31" i="17"/>
  <c r="B32" i="17" s="1"/>
  <c r="C59" i="17"/>
  <c r="C61" i="17"/>
  <c r="I30" i="17"/>
  <c r="I31" i="17" s="1"/>
  <c r="I32" i="17" s="1"/>
  <c r="U17" i="18"/>
  <c r="E30" i="17"/>
  <c r="E31" i="17" s="1"/>
  <c r="E32" i="17" s="1"/>
  <c r="D61" i="17"/>
  <c r="I59" i="17"/>
  <c r="F59" i="17"/>
  <c r="D38" i="16"/>
  <c r="H61" i="17"/>
  <c r="G61" i="17"/>
  <c r="L30" i="17"/>
  <c r="L31" i="17" s="1"/>
  <c r="L32" i="17" s="1"/>
  <c r="J30" i="17"/>
  <c r="J31" i="17" s="1"/>
  <c r="J32" i="17" s="1"/>
  <c r="F30" i="17"/>
  <c r="F31" i="17" s="1"/>
  <c r="F32" i="17" s="1"/>
  <c r="C30" i="17"/>
  <c r="C31" i="17" s="1"/>
  <c r="C32" i="17" s="1"/>
  <c r="L30" i="16"/>
  <c r="H30" i="17"/>
  <c r="H31" i="17" s="1"/>
  <c r="H32" i="17" s="1"/>
  <c r="D30" i="17"/>
  <c r="D31" i="17" s="1"/>
  <c r="D32" i="17" s="1"/>
  <c r="J37" i="17"/>
  <c r="L37" i="17"/>
  <c r="B19" i="18"/>
  <c r="B20" i="18" s="1"/>
  <c r="C11" i="17"/>
  <c r="B13" i="17" s="1"/>
  <c r="D37" i="17"/>
  <c r="F12" i="17"/>
  <c r="F19" i="17"/>
  <c r="F20" i="17" s="1"/>
  <c r="F16" i="17"/>
  <c r="F22" i="17" s="1"/>
  <c r="F13" i="17"/>
  <c r="G5" i="18"/>
  <c r="G4" i="17"/>
  <c r="V9" i="18"/>
  <c r="C19" i="18"/>
  <c r="C20" i="18" s="1"/>
  <c r="D11" i="17"/>
  <c r="E37" i="17"/>
  <c r="F37" i="17"/>
  <c r="D19" i="18"/>
  <c r="D20" i="18" s="1"/>
  <c r="E11" i="17"/>
  <c r="K30" i="17"/>
  <c r="K31" i="17" s="1"/>
  <c r="K32" i="17" s="1"/>
  <c r="G30" i="17"/>
  <c r="G31" i="17" s="1"/>
  <c r="G32" i="17" s="1"/>
  <c r="P7" i="16" l="1"/>
  <c r="O23" i="16"/>
  <c r="S14" i="16"/>
  <c r="T14" i="16"/>
  <c r="M30" i="16"/>
  <c r="D12" i="17"/>
  <c r="D16" i="17"/>
  <c r="D22" i="17" s="1"/>
  <c r="D13" i="17"/>
  <c r="D19" i="17"/>
  <c r="D20" i="17" s="1"/>
  <c r="D9" i="17"/>
  <c r="D10" i="17" s="1"/>
  <c r="C16" i="17"/>
  <c r="C22" i="17" s="1"/>
  <c r="C13" i="17"/>
  <c r="C19" i="17"/>
  <c r="C12" i="17"/>
  <c r="C9" i="17"/>
  <c r="C10" i="17" s="1"/>
  <c r="E12" i="17"/>
  <c r="E16" i="17"/>
  <c r="E22" i="17" s="1"/>
  <c r="E19" i="17"/>
  <c r="E20" i="17" s="1"/>
  <c r="E13" i="17"/>
  <c r="E9" i="17"/>
  <c r="E10" i="17" s="1"/>
  <c r="W9" i="18"/>
  <c r="H4" i="17"/>
  <c r="H5" i="18"/>
  <c r="Q7" i="16" l="1"/>
  <c r="P23" i="16"/>
  <c r="U14" i="16"/>
  <c r="N30" i="16"/>
  <c r="C20" i="17"/>
  <c r="X9" i="18"/>
  <c r="I4" i="17"/>
  <c r="I5" i="18"/>
  <c r="R7" i="16" l="1"/>
  <c r="Q23" i="16"/>
  <c r="O30" i="16"/>
  <c r="V14" i="16"/>
  <c r="W14" i="16"/>
  <c r="P30" i="16"/>
  <c r="Y9" i="18"/>
  <c r="J4" i="17"/>
  <c r="J5" i="18"/>
  <c r="S7" i="16" l="1"/>
  <c r="R23" i="16"/>
  <c r="X14" i="16"/>
  <c r="Q30" i="16"/>
  <c r="Z9" i="18"/>
  <c r="K4" i="17"/>
  <c r="K5" i="18"/>
  <c r="T7" i="16" l="1"/>
  <c r="S23" i="16"/>
  <c r="Y14" i="16"/>
  <c r="Z14" i="16"/>
  <c r="R30" i="16"/>
  <c r="L4" i="17"/>
  <c r="L5" i="18"/>
  <c r="AA9" i="18"/>
  <c r="U7" i="16" l="1"/>
  <c r="T23" i="16"/>
  <c r="AA14" i="16"/>
  <c r="AB14" i="16"/>
  <c r="S30" i="16"/>
  <c r="M4" i="17"/>
  <c r="M5" i="18"/>
  <c r="AB9" i="18"/>
  <c r="V7" i="16" l="1"/>
  <c r="U23" i="16"/>
  <c r="AC14" i="16"/>
  <c r="T30" i="16"/>
  <c r="D48" i="16"/>
  <c r="J24" i="28" s="1"/>
  <c r="H38" i="16"/>
  <c r="F34" i="16"/>
  <c r="E34" i="16"/>
  <c r="D34" i="16"/>
  <c r="F31" i="16"/>
  <c r="E31" i="16"/>
  <c r="D31" i="16"/>
  <c r="F25" i="16"/>
  <c r="E25" i="16"/>
  <c r="D25" i="16"/>
  <c r="I5" i="16"/>
  <c r="J5" i="16" s="1"/>
  <c r="K5" i="16" s="1"/>
  <c r="L5" i="16" s="1"/>
  <c r="M5" i="16" s="1"/>
  <c r="N5" i="16" s="1"/>
  <c r="O5" i="16" s="1"/>
  <c r="P5" i="16" s="1"/>
  <c r="Q5" i="16" s="1"/>
  <c r="R5" i="16" s="1"/>
  <c r="S5" i="16" s="1"/>
  <c r="T5" i="16" s="1"/>
  <c r="U5" i="16" s="1"/>
  <c r="V5" i="16" s="1"/>
  <c r="W5" i="16" s="1"/>
  <c r="X5" i="16" s="1"/>
  <c r="Y5" i="16" s="1"/>
  <c r="Z5" i="16" s="1"/>
  <c r="AA5" i="16" s="1"/>
  <c r="AB5" i="16" s="1"/>
  <c r="AC5" i="16" s="1"/>
  <c r="AD5" i="16" s="1"/>
  <c r="AE5" i="16" s="1"/>
  <c r="AF5" i="16" s="1"/>
  <c r="V23" i="16" l="1"/>
  <c r="W7" i="16"/>
  <c r="AD14" i="16"/>
  <c r="AE14" i="16" s="1"/>
  <c r="AF14" i="16" s="1"/>
  <c r="U30" i="16"/>
  <c r="L41" i="16"/>
  <c r="K41" i="16"/>
  <c r="J41" i="16"/>
  <c r="I41" i="16"/>
  <c r="G40" i="16"/>
  <c r="L40" i="16"/>
  <c r="K40" i="16"/>
  <c r="I40" i="16"/>
  <c r="G41" i="16"/>
  <c r="J40" i="16"/>
  <c r="J39" i="16"/>
  <c r="K39" i="16"/>
  <c r="G39" i="16"/>
  <c r="I39" i="16"/>
  <c r="G9" i="16"/>
  <c r="F9" i="16"/>
  <c r="F15" i="16" s="1"/>
  <c r="E19" i="24" s="1"/>
  <c r="E9" i="16"/>
  <c r="E15" i="16" s="1"/>
  <c r="F19" i="24" s="1"/>
  <c r="D9" i="16"/>
  <c r="D15" i="16" s="1"/>
  <c r="G19" i="24" s="1"/>
  <c r="L39" i="16"/>
  <c r="W23" i="16" l="1"/>
  <c r="W11" i="16"/>
  <c r="X7" i="16"/>
  <c r="W21" i="16"/>
  <c r="D17" i="16"/>
  <c r="D33" i="16" s="1"/>
  <c r="D35" i="16" s="1"/>
  <c r="E17" i="16"/>
  <c r="F17" i="16"/>
  <c r="F22" i="16" s="1"/>
  <c r="F33" i="16" s="1"/>
  <c r="F35" i="16" s="1"/>
  <c r="V30" i="16"/>
  <c r="F12" i="16"/>
  <c r="E12" i="16"/>
  <c r="D12" i="16"/>
  <c r="G15" i="16"/>
  <c r="D19" i="24" s="1"/>
  <c r="G12" i="16"/>
  <c r="G25" i="16"/>
  <c r="I27" i="16"/>
  <c r="H20" i="16"/>
  <c r="H4" i="16" s="1"/>
  <c r="H9" i="16"/>
  <c r="Y7" i="16" l="1"/>
  <c r="X23" i="16"/>
  <c r="X11" i="16"/>
  <c r="X21" i="16"/>
  <c r="H39" i="16"/>
  <c r="H41" i="16"/>
  <c r="H40" i="16"/>
  <c r="I10" i="16" a="1"/>
  <c r="I10" i="16" s="1"/>
  <c r="O19" i="24"/>
  <c r="P19" i="24"/>
  <c r="E22" i="16"/>
  <c r="E33" i="16" s="1"/>
  <c r="E35" i="16" s="1"/>
  <c r="W30" i="16"/>
  <c r="I21" i="16"/>
  <c r="H12" i="16"/>
  <c r="I9" i="16"/>
  <c r="Z7" i="16" l="1"/>
  <c r="Y21" i="16"/>
  <c r="Y23" i="16"/>
  <c r="Y11" i="16"/>
  <c r="I25" i="16"/>
  <c r="J10" i="16" a="1"/>
  <c r="J10" i="16" s="1"/>
  <c r="X30" i="16"/>
  <c r="J21" i="16"/>
  <c r="G33" i="16"/>
  <c r="G34" i="16"/>
  <c r="G17" i="16"/>
  <c r="G22" i="16" s="1"/>
  <c r="J20" i="16"/>
  <c r="J4" i="16" s="1"/>
  <c r="J25" i="16"/>
  <c r="J9" i="16"/>
  <c r="I12" i="16"/>
  <c r="AA7" i="16" l="1"/>
  <c r="Z11" i="16"/>
  <c r="Z21" i="16"/>
  <c r="Z23" i="16"/>
  <c r="K10" i="16" a="1"/>
  <c r="K10" i="16" s="1"/>
  <c r="Y30" i="16"/>
  <c r="K21" i="16"/>
  <c r="G31" i="16"/>
  <c r="G35" i="16"/>
  <c r="J12" i="16"/>
  <c r="K11" i="16"/>
  <c r="K20" i="16" s="1"/>
  <c r="K4" i="16" s="1"/>
  <c r="K9" i="16"/>
  <c r="AA21" i="16" l="1"/>
  <c r="AB7" i="16"/>
  <c r="AA23" i="16"/>
  <c r="AA11" i="16"/>
  <c r="H13" i="16"/>
  <c r="H15" i="16" s="1"/>
  <c r="H16" i="16" s="1"/>
  <c r="L10" i="16" a="1"/>
  <c r="L10" i="16" s="1"/>
  <c r="Z30" i="16"/>
  <c r="L21" i="16"/>
  <c r="L25" i="16"/>
  <c r="L20" i="16"/>
  <c r="L4" i="16" s="1"/>
  <c r="L9" i="16"/>
  <c r="K12" i="16"/>
  <c r="K25" i="16"/>
  <c r="AC7" i="16" l="1"/>
  <c r="AB21" i="16"/>
  <c r="AB11" i="16"/>
  <c r="AB23" i="16"/>
  <c r="M10" i="16" a="1"/>
  <c r="M10" i="16" s="1"/>
  <c r="AA30" i="16"/>
  <c r="M21" i="16"/>
  <c r="L12" i="16"/>
  <c r="M20" i="16"/>
  <c r="M4" i="16" s="1"/>
  <c r="M9" i="16"/>
  <c r="AD7" i="16" l="1"/>
  <c r="AC23" i="16"/>
  <c r="AC21" i="16"/>
  <c r="AC11" i="16"/>
  <c r="M40" i="16"/>
  <c r="M41" i="16"/>
  <c r="M39" i="16"/>
  <c r="N10" i="16" a="1"/>
  <c r="N10" i="16" s="1"/>
  <c r="AB30" i="16"/>
  <c r="N21" i="16"/>
  <c r="M25" i="16"/>
  <c r="M12" i="16"/>
  <c r="N25" i="16"/>
  <c r="N20" i="16"/>
  <c r="N4" i="16" s="1"/>
  <c r="N9" i="16"/>
  <c r="H19" i="16"/>
  <c r="H22" i="16" s="1"/>
  <c r="AE7" i="16" l="1"/>
  <c r="AD23" i="16"/>
  <c r="AD21" i="16"/>
  <c r="AD11" i="16"/>
  <c r="H34" i="16"/>
  <c r="N39" i="16"/>
  <c r="N40" i="16"/>
  <c r="N41" i="16"/>
  <c r="O10" i="16" a="1"/>
  <c r="O10" i="16" s="1"/>
  <c r="AC30" i="16"/>
  <c r="O21" i="16"/>
  <c r="H17" i="16"/>
  <c r="H43" i="16" s="1"/>
  <c r="N12" i="16"/>
  <c r="H33" i="16"/>
  <c r="O25" i="16"/>
  <c r="O11" i="16"/>
  <c r="O20" i="16" s="1"/>
  <c r="O4" i="16" s="1"/>
  <c r="O9" i="16"/>
  <c r="AE11" i="16" l="1"/>
  <c r="AE23" i="16"/>
  <c r="AE21" i="16"/>
  <c r="AE9" i="16"/>
  <c r="AF7" i="16"/>
  <c r="O39" i="16"/>
  <c r="O40" i="16"/>
  <c r="O41" i="16"/>
  <c r="P10" i="16" a="1"/>
  <c r="P10" i="16" s="1"/>
  <c r="AD30" i="16"/>
  <c r="P21" i="16"/>
  <c r="H31" i="16"/>
  <c r="P11" i="16"/>
  <c r="P20" i="16" s="1"/>
  <c r="P4" i="16" s="1"/>
  <c r="P25" i="16"/>
  <c r="P9" i="16"/>
  <c r="O12" i="16"/>
  <c r="AF23" i="16" l="1"/>
  <c r="AF21" i="16"/>
  <c r="AF11" i="16"/>
  <c r="AF9" i="16"/>
  <c r="P41" i="16"/>
  <c r="P39" i="16"/>
  <c r="P40" i="16"/>
  <c r="Q10" i="16" a="1"/>
  <c r="Q10" i="16" s="1"/>
  <c r="AE30" i="16"/>
  <c r="Q21" i="16"/>
  <c r="H35" i="16"/>
  <c r="P12" i="16"/>
  <c r="Q11" i="16"/>
  <c r="Q20" i="16" s="1"/>
  <c r="Q4" i="16" s="1"/>
  <c r="Q25" i="16"/>
  <c r="Q9" i="16"/>
  <c r="Q40" i="16" l="1"/>
  <c r="Q41" i="16"/>
  <c r="Q39" i="16"/>
  <c r="I13" i="16"/>
  <c r="C139" i="24"/>
  <c r="C140" i="24" s="1"/>
  <c r="AF30" i="16"/>
  <c r="R10" i="16" a="1"/>
  <c r="R10" i="16" s="1"/>
  <c r="R21" i="16"/>
  <c r="Q12" i="16"/>
  <c r="R25" i="16"/>
  <c r="R11" i="16"/>
  <c r="R20" i="16" s="1"/>
  <c r="R4" i="16" s="1"/>
  <c r="R9" i="16"/>
  <c r="I15" i="16"/>
  <c r="S27" i="16"/>
  <c r="R40" i="16" l="1"/>
  <c r="R41" i="16"/>
  <c r="R39" i="16"/>
  <c r="S10" i="16" a="1"/>
  <c r="S10" i="16" s="1"/>
  <c r="S21" i="16"/>
  <c r="I16" i="16"/>
  <c r="I19" i="16" s="1"/>
  <c r="I22" i="16" s="1"/>
  <c r="S25" i="16"/>
  <c r="S11" i="16"/>
  <c r="S20" i="16" s="1"/>
  <c r="S4" i="16" s="1"/>
  <c r="S9" i="16"/>
  <c r="T27" i="16"/>
  <c r="R12" i="16"/>
  <c r="S41" i="16" l="1"/>
  <c r="S40" i="16"/>
  <c r="S39" i="16"/>
  <c r="T10" i="16" a="1"/>
  <c r="T10" i="16" s="1"/>
  <c r="I34" i="16"/>
  <c r="I33" i="16"/>
  <c r="T21" i="16"/>
  <c r="I17" i="16"/>
  <c r="U27" i="16"/>
  <c r="T25" i="16"/>
  <c r="T11" i="16"/>
  <c r="T20" i="16" s="1"/>
  <c r="T4" i="16" s="1"/>
  <c r="T9" i="16"/>
  <c r="S12" i="16"/>
  <c r="T40" i="16" l="1"/>
  <c r="T41" i="16"/>
  <c r="T39" i="16"/>
  <c r="U10" i="16" a="1"/>
  <c r="U10" i="16" s="1"/>
  <c r="U21" i="16"/>
  <c r="U25" i="16"/>
  <c r="U11" i="16"/>
  <c r="U20" i="16" s="1"/>
  <c r="U4" i="16" s="1"/>
  <c r="U9" i="16"/>
  <c r="I31" i="16"/>
  <c r="T12" i="16"/>
  <c r="V27" i="16"/>
  <c r="U40" i="16" l="1"/>
  <c r="U41" i="16"/>
  <c r="U39" i="16"/>
  <c r="V10" i="16" a="1"/>
  <c r="V10" i="16" s="1"/>
  <c r="V21" i="16"/>
  <c r="U12" i="16"/>
  <c r="V25" i="16"/>
  <c r="V11" i="16"/>
  <c r="V20" i="16" s="1"/>
  <c r="V4" i="16" s="1"/>
  <c r="V9" i="16"/>
  <c r="I35" i="16"/>
  <c r="I37" i="16" s="1"/>
  <c r="W27" i="16"/>
  <c r="D139" i="24" l="1"/>
  <c r="D140" i="24" s="1"/>
  <c r="V39" i="16"/>
  <c r="V40" i="16"/>
  <c r="V41" i="16"/>
  <c r="W10" i="16" a="1"/>
  <c r="W10" i="16" s="1"/>
  <c r="X10" i="16" s="1" a="1"/>
  <c r="X10" i="16" s="1"/>
  <c r="Y10" i="16" s="1" a="1"/>
  <c r="Y10" i="16" s="1"/>
  <c r="Z10" i="16" s="1" a="1"/>
  <c r="Z10" i="16" s="1"/>
  <c r="AA10" i="16" s="1" a="1"/>
  <c r="AA10" i="16" s="1"/>
  <c r="AB10" i="16" s="1" a="1"/>
  <c r="AB10" i="16" s="1"/>
  <c r="AC10" i="16" s="1" a="1"/>
  <c r="AC10" i="16" s="1"/>
  <c r="AD10" i="16" s="1" a="1"/>
  <c r="AD10" i="16" s="1"/>
  <c r="AE10" i="16" s="1" a="1"/>
  <c r="AE10" i="16" s="1"/>
  <c r="AF10" i="16" s="1" a="1"/>
  <c r="AF10" i="16" s="1"/>
  <c r="J13" i="16"/>
  <c r="W25" i="16"/>
  <c r="W20" i="16"/>
  <c r="W4" i="16" s="1"/>
  <c r="W9" i="16"/>
  <c r="X27" i="16"/>
  <c r="V12" i="16"/>
  <c r="W39" i="16" l="1"/>
  <c r="W40" i="16"/>
  <c r="W41" i="16"/>
  <c r="Y27" i="16"/>
  <c r="X20" i="16"/>
  <c r="X4" i="16" s="1"/>
  <c r="X25" i="16"/>
  <c r="X9" i="16"/>
  <c r="W12" i="16"/>
  <c r="J15" i="16"/>
  <c r="X39" i="16" l="1"/>
  <c r="X41" i="16"/>
  <c r="X40" i="16"/>
  <c r="X12" i="16"/>
  <c r="Y20" i="16"/>
  <c r="Y4" i="16" s="1"/>
  <c r="Y25" i="16"/>
  <c r="Y9" i="16"/>
  <c r="Z27" i="16"/>
  <c r="J16" i="16"/>
  <c r="J19" i="16" s="1"/>
  <c r="J22" i="16" s="1"/>
  <c r="J34" i="16" l="1"/>
  <c r="Y40" i="16"/>
  <c r="Y39" i="16"/>
  <c r="Y41" i="16"/>
  <c r="J17" i="16"/>
  <c r="J43" i="16" s="1"/>
  <c r="AA27" i="16"/>
  <c r="Y12" i="16"/>
  <c r="Z25" i="16"/>
  <c r="Z20" i="16"/>
  <c r="Z4" i="16" s="1"/>
  <c r="Z9" i="16"/>
  <c r="J27" i="16" l="1"/>
  <c r="J33" i="16" s="1"/>
  <c r="Z41" i="16"/>
  <c r="Z40" i="16"/>
  <c r="Z39" i="16"/>
  <c r="AA25" i="16"/>
  <c r="AA20" i="16"/>
  <c r="AA4" i="16" s="1"/>
  <c r="AA9" i="16"/>
  <c r="AB27" i="16"/>
  <c r="J31" i="16"/>
  <c r="Z12" i="16"/>
  <c r="K27" i="16" l="1"/>
  <c r="AA41" i="16"/>
  <c r="AA40" i="16"/>
  <c r="AA39" i="16"/>
  <c r="J35" i="16"/>
  <c r="J37" i="16" s="1"/>
  <c r="AA12" i="16"/>
  <c r="AB25" i="16"/>
  <c r="AB20" i="16"/>
  <c r="AB4" i="16" s="1"/>
  <c r="AB9" i="16"/>
  <c r="AC27" i="16"/>
  <c r="L27" i="16" l="1"/>
  <c r="E139" i="24"/>
  <c r="E140" i="24" s="1"/>
  <c r="AB41" i="16"/>
  <c r="AB40" i="16"/>
  <c r="AB39" i="16"/>
  <c r="K13" i="16"/>
  <c r="K15" i="16" s="1"/>
  <c r="AC25" i="16"/>
  <c r="AC20" i="16"/>
  <c r="AC4" i="16" s="1"/>
  <c r="AC9" i="16"/>
  <c r="AD27" i="16"/>
  <c r="AB12" i="16"/>
  <c r="M27" i="16" l="1"/>
  <c r="AC40" i="16"/>
  <c r="AC41" i="16"/>
  <c r="AC39" i="16"/>
  <c r="AC12" i="16"/>
  <c r="AD25" i="16"/>
  <c r="AD20" i="16"/>
  <c r="AD4" i="16" s="1"/>
  <c r="AD9" i="16"/>
  <c r="AE27" i="16"/>
  <c r="K16" i="16"/>
  <c r="K19" i="16" s="1"/>
  <c r="K22" i="16" s="1"/>
  <c r="N27" i="16" l="1"/>
  <c r="K34" i="16"/>
  <c r="AD40" i="16"/>
  <c r="AD39" i="16"/>
  <c r="AD41" i="16"/>
  <c r="AE25" i="16"/>
  <c r="AE20" i="16"/>
  <c r="AE4" i="16" s="1"/>
  <c r="K33" i="16"/>
  <c r="K17" i="16"/>
  <c r="AF27" i="16"/>
  <c r="AD12" i="16"/>
  <c r="O27" i="16" l="1"/>
  <c r="AE41" i="16"/>
  <c r="AE40" i="16"/>
  <c r="AE39" i="16"/>
  <c r="K31" i="16"/>
  <c r="AF20" i="16"/>
  <c r="AF4" i="16" s="1"/>
  <c r="AF39" i="16" s="1"/>
  <c r="H51" i="16"/>
  <c r="AE12" i="16"/>
  <c r="P27" i="16" l="1"/>
  <c r="AF12" i="16"/>
  <c r="AF25" i="16"/>
  <c r="K35" i="16"/>
  <c r="K37" i="16" s="1"/>
  <c r="Q27" i="16" l="1"/>
  <c r="R27" i="16"/>
  <c r="L13" i="16"/>
  <c r="L15" i="16" s="1"/>
  <c r="F139" i="24"/>
  <c r="F140" i="24" s="1"/>
  <c r="L16" i="16" l="1"/>
  <c r="L19" i="16" s="1"/>
  <c r="L22" i="16" s="1"/>
  <c r="L34" i="16" l="1"/>
  <c r="L33" i="16"/>
  <c r="L17" i="16"/>
  <c r="L31" i="16" l="1"/>
  <c r="L35" i="16" l="1"/>
  <c r="L37" i="16" s="1"/>
  <c r="M13" i="16" s="1"/>
  <c r="G139" i="24" l="1"/>
  <c r="G140" i="24" s="1"/>
  <c r="M15" i="16"/>
  <c r="M16" i="16" l="1"/>
  <c r="M19" i="16" s="1"/>
  <c r="M22" i="16" s="1"/>
  <c r="M34" i="16" l="1"/>
  <c r="M33" i="16"/>
  <c r="M17" i="16"/>
  <c r="M31" i="16" l="1"/>
  <c r="M35" i="16" l="1"/>
  <c r="M37" i="16" s="1"/>
  <c r="H139" i="24" l="1"/>
  <c r="H140" i="24" s="1"/>
  <c r="N13" i="16"/>
  <c r="N15" i="16" s="1"/>
  <c r="N16" i="16" l="1"/>
  <c r="N19" i="16" s="1"/>
  <c r="N22" i="16" s="1"/>
  <c r="N34" i="16" l="1"/>
  <c r="N17" i="16"/>
  <c r="N33" i="16"/>
  <c r="N31" i="16" l="1"/>
  <c r="N35" i="16" l="1"/>
  <c r="N37" i="16" s="1"/>
  <c r="I139" i="24" l="1"/>
  <c r="I140" i="24" s="1"/>
  <c r="O13" i="16"/>
  <c r="O15" i="16" s="1"/>
  <c r="O16" i="16" l="1"/>
  <c r="O19" i="16" s="1"/>
  <c r="O22" i="16" s="1"/>
  <c r="O34" i="16" l="1"/>
  <c r="O17" i="16"/>
  <c r="O33" i="16"/>
  <c r="O31" i="16" l="1"/>
  <c r="O35" i="16" l="1"/>
  <c r="O37" i="16" s="1"/>
  <c r="P13" i="16" s="1"/>
  <c r="J139" i="24" l="1"/>
  <c r="J140" i="24" s="1"/>
  <c r="P15" i="16"/>
  <c r="P16" i="16" l="1"/>
  <c r="P19" i="16" s="1"/>
  <c r="P22" i="16" s="1"/>
  <c r="P34" i="16" l="1"/>
  <c r="P17" i="16"/>
  <c r="P33" i="16"/>
  <c r="P31" i="16" l="1"/>
  <c r="P35" i="16" l="1"/>
  <c r="P37" i="16" s="1"/>
  <c r="Q13" i="16" s="1"/>
  <c r="K139" i="24" l="1"/>
  <c r="K140" i="24" s="1"/>
  <c r="Q15" i="16"/>
  <c r="Q16" i="16" l="1"/>
  <c r="Q19" i="16" s="1"/>
  <c r="Q22" i="16" s="1"/>
  <c r="Q34" i="16" l="1"/>
  <c r="Q17" i="16"/>
  <c r="Q33" i="16"/>
  <c r="Q31" i="16" l="1"/>
  <c r="Q35" i="16" l="1"/>
  <c r="Q37" i="16" s="1"/>
  <c r="R13" i="16" s="1"/>
  <c r="L139" i="24" l="1"/>
  <c r="L140" i="24" s="1"/>
  <c r="R15" i="16"/>
  <c r="R16" i="16" l="1"/>
  <c r="R19" i="16" s="1"/>
  <c r="R22" i="16" s="1"/>
  <c r="R17" i="16" l="1"/>
  <c r="R33" i="16"/>
  <c r="S34" i="16" l="1"/>
  <c r="S31" i="16" l="1"/>
  <c r="T34" i="16" l="1"/>
  <c r="T31" i="16" l="1"/>
  <c r="U34" i="16" l="1"/>
  <c r="U31" i="16" l="1"/>
  <c r="V34" i="16" l="1"/>
  <c r="V31" i="16" l="1"/>
  <c r="W34" i="16" l="1"/>
  <c r="W31" i="16" l="1"/>
  <c r="X34" i="16" l="1"/>
  <c r="X31" i="16"/>
  <c r="Y34" i="16" l="1"/>
  <c r="Y31" i="16" l="1"/>
  <c r="Z34" i="16" l="1"/>
  <c r="Z31" i="16" l="1"/>
  <c r="AA34" i="16" l="1"/>
  <c r="AA31" i="16"/>
  <c r="AB34" i="16" l="1"/>
  <c r="AB31" i="16"/>
  <c r="AC34" i="16" l="1"/>
  <c r="AC31" i="16"/>
  <c r="AD34" i="16" l="1"/>
  <c r="AD31" i="16" l="1"/>
  <c r="AE34" i="16" l="1"/>
  <c r="AE31" i="16" l="1"/>
  <c r="AF34" i="16" l="1"/>
  <c r="AF31" i="16" l="1"/>
  <c r="B59" i="4" l="1"/>
  <c r="E61" i="4"/>
  <c r="D61" i="4"/>
  <c r="B43" i="4" l="1"/>
  <c r="C43" i="4"/>
  <c r="D42" i="4"/>
  <c r="E38" i="4" l="1"/>
  <c r="D38" i="4"/>
  <c r="C50" i="4" l="1"/>
  <c r="B50" i="4"/>
  <c r="C47" i="4"/>
  <c r="C40" i="4" l="1"/>
  <c r="B40" i="4"/>
  <c r="C38" i="4"/>
  <c r="B38" i="4"/>
  <c r="C37" i="4"/>
  <c r="B37" i="4"/>
  <c r="C36" i="4" l="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AD9" i="3"/>
  <c r="AC9" i="3"/>
  <c r="AB9" i="3"/>
  <c r="AA9" i="3"/>
  <c r="Z17" i="3"/>
  <c r="AA17" i="3"/>
  <c r="AB17" i="3"/>
  <c r="AD17" i="3"/>
  <c r="V15" i="3"/>
  <c r="V8" i="3"/>
  <c r="V16" i="3" s="1"/>
  <c r="V7" i="3"/>
  <c r="V6" i="3"/>
  <c r="V14" i="3" s="1"/>
  <c r="V5" i="3"/>
  <c r="V13" i="3" s="1"/>
  <c r="V4" i="3"/>
  <c r="V12" i="3" s="1"/>
  <c r="L14" i="3"/>
  <c r="L13" i="3"/>
  <c r="L12" i="3"/>
  <c r="L11" i="3"/>
  <c r="L10" i="3"/>
  <c r="L5" i="3"/>
  <c r="L6" i="3"/>
  <c r="L7" i="3"/>
  <c r="L8" i="3"/>
  <c r="L4" i="3"/>
  <c r="AC17" i="3" l="1"/>
  <c r="B47" i="4" l="1"/>
  <c r="D14" i="3"/>
  <c r="C14" i="3"/>
  <c r="G14" i="3" l="1"/>
  <c r="H14" i="3"/>
  <c r="Y12" i="3"/>
  <c r="Y13" i="3"/>
  <c r="F4" i="3"/>
  <c r="J4" i="3" s="1"/>
  <c r="J5" i="3"/>
  <c r="X13" i="3"/>
  <c r="X12" i="3"/>
  <c r="D48" i="4"/>
  <c r="E42" i="4" s="1"/>
  <c r="X17" i="3" l="1"/>
  <c r="Y9" i="3"/>
  <c r="X9" i="3"/>
  <c r="Y17" i="3"/>
  <c r="Z9" i="3"/>
  <c r="E48" i="4"/>
  <c r="F42" i="4" s="1"/>
  <c r="F48" i="4" l="1"/>
  <c r="G42" i="4" s="1"/>
  <c r="G48" i="4" l="1"/>
  <c r="H42" i="4" s="1"/>
  <c r="H48" i="4" l="1"/>
  <c r="I42" i="4" s="1"/>
  <c r="B44" i="4"/>
  <c r="C44" i="4"/>
  <c r="I48" i="4" l="1"/>
  <c r="J42" i="4" s="1"/>
  <c r="E47" i="4"/>
  <c r="J6" i="3"/>
  <c r="W17" i="3" l="1"/>
  <c r="J48" i="4"/>
  <c r="K42" i="4" s="1"/>
  <c r="K48" i="4" l="1"/>
  <c r="L42" i="4" s="1"/>
  <c r="M15" i="3"/>
  <c r="F47" i="4"/>
  <c r="L48" i="4" l="1"/>
  <c r="M42" i="4" s="1"/>
  <c r="G47" i="4"/>
  <c r="N15" i="3"/>
  <c r="N16" i="3" s="1"/>
  <c r="M48" i="4" l="1"/>
  <c r="N42" i="4" s="1"/>
  <c r="O15" i="3"/>
  <c r="O16" i="3" s="1"/>
  <c r="J8" i="3"/>
  <c r="J7" i="3"/>
  <c r="J21" i="3" l="1"/>
  <c r="J20" i="3"/>
  <c r="W9" i="3"/>
  <c r="N48" i="4"/>
  <c r="O42" i="4" s="1"/>
  <c r="P15" i="3"/>
  <c r="P16" i="3" s="1"/>
  <c r="O48" i="4" l="1"/>
  <c r="P42" i="4" s="1"/>
  <c r="Q15" i="3"/>
  <c r="Q16" i="3"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R15" i="3"/>
  <c r="R16" i="3" s="1"/>
  <c r="Q48" i="4" l="1"/>
  <c r="R42" i="4" s="1"/>
  <c r="S15" i="3"/>
  <c r="S16" i="3" s="1"/>
  <c r="T15" i="3"/>
  <c r="R48" i="4" l="1"/>
  <c r="S42" i="4" s="1"/>
  <c r="T16" i="3"/>
  <c r="S48" i="4" l="1"/>
  <c r="T42" i="4" s="1"/>
  <c r="C16" i="3"/>
  <c r="T48" i="4" l="1"/>
  <c r="U42" i="4" s="1"/>
  <c r="C49" i="4"/>
  <c r="U48" i="4" l="1"/>
  <c r="V42" i="4" s="1"/>
  <c r="V48" i="4" l="1"/>
  <c r="W42" i="4" s="1"/>
  <c r="W48" i="4" l="1"/>
  <c r="X42" i="4" s="1"/>
  <c r="B49" i="4"/>
  <c r="X48" i="4" l="1"/>
  <c r="Y42" i="4" s="1"/>
  <c r="H47" i="4"/>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D16" i="3"/>
  <c r="C27" i="3"/>
  <c r="D27" i="3"/>
  <c r="B36" i="4"/>
  <c r="F27" i="3" l="1"/>
  <c r="J19" i="3"/>
  <c r="J18" i="3"/>
  <c r="J17" i="3"/>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H27" i="3"/>
  <c r="G27" i="3"/>
  <c r="F14" i="3"/>
  <c r="Z48" i="4" l="1"/>
  <c r="AA42" i="4" s="1"/>
  <c r="H64" i="4"/>
  <c r="H65" i="4"/>
  <c r="D45" i="4"/>
  <c r="D41" i="4"/>
  <c r="F37" i="4"/>
  <c r="E39" i="4"/>
  <c r="E44" i="4" s="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E63" i="4"/>
  <c r="D64" i="4"/>
  <c r="E64" i="4"/>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 r="G57" i="17"/>
  <c r="G66" i="17" s="1"/>
  <c r="G38" i="18"/>
  <c r="H56" i="17" s="1"/>
  <c r="E38" i="18"/>
  <c r="F56" i="17" s="1"/>
  <c r="G53" i="17"/>
  <c r="H53" i="17"/>
  <c r="F53" i="17"/>
  <c r="F38" i="18"/>
  <c r="G56" i="17" s="1"/>
  <c r="I53" i="17"/>
  <c r="H38" i="18"/>
  <c r="I56" i="17" s="1"/>
  <c r="F44" i="18"/>
  <c r="H57" i="17"/>
  <c r="H66" i="17" s="1"/>
  <c r="G44" i="18"/>
  <c r="H44" i="18"/>
  <c r="F57" i="17"/>
  <c r="F66" i="17" s="1"/>
  <c r="E44" i="18" l="1"/>
  <c r="I57" i="17"/>
  <c r="I66" i="17" s="1"/>
  <c r="E53" i="17"/>
  <c r="D38" i="18"/>
  <c r="E56" i="17" s="1"/>
  <c r="D44" i="18"/>
  <c r="E57" i="17"/>
  <c r="E66" i="17" s="1"/>
  <c r="C38" i="18"/>
  <c r="D56" i="17" s="1"/>
  <c r="D53" i="17"/>
  <c r="C44" i="18"/>
  <c r="D57" i="17" l="1"/>
  <c r="D66" i="17" s="1"/>
  <c r="R34" i="16"/>
  <c r="R35" i="16" s="1"/>
  <c r="R37" i="16" s="1"/>
  <c r="R31" i="16"/>
  <c r="S13" i="16" l="1"/>
  <c r="M139" i="24"/>
  <c r="M140" i="24" s="1"/>
  <c r="S15" i="16" l="1"/>
  <c r="S16" i="16" l="1"/>
  <c r="S19" i="16" s="1"/>
  <c r="S22" i="16" s="1"/>
  <c r="S33" i="16" s="1"/>
  <c r="S35" i="16" s="1"/>
  <c r="S37" i="16" s="1"/>
  <c r="T13" i="16" l="1"/>
  <c r="N139" i="24"/>
  <c r="N140" i="24" s="1"/>
  <c r="S17" i="16"/>
  <c r="T15" i="16" l="1"/>
  <c r="T16" i="16" l="1"/>
  <c r="T19" i="16" s="1"/>
  <c r="T22" i="16" s="1"/>
  <c r="T33" i="16" s="1"/>
  <c r="T35" i="16" s="1"/>
  <c r="T37" i="16" s="1"/>
  <c r="T17" i="16" l="1"/>
  <c r="U13" i="16"/>
  <c r="O139" i="24"/>
  <c r="O140" i="24" s="1"/>
  <c r="U15" i="16" l="1"/>
  <c r="U16" i="16" l="1"/>
  <c r="U19" i="16" s="1"/>
  <c r="U22" i="16" s="1"/>
  <c r="U33" i="16" s="1"/>
  <c r="U35" i="16" s="1"/>
  <c r="U37" i="16" s="1"/>
  <c r="P139" i="24" l="1"/>
  <c r="P140" i="24" s="1"/>
  <c r="V13" i="16"/>
  <c r="U17" i="16"/>
  <c r="V15" i="16" l="1"/>
  <c r="V16" i="16" l="1"/>
  <c r="V19" i="16" s="1"/>
  <c r="V22" i="16" s="1"/>
  <c r="V33" i="16" s="1"/>
  <c r="V35" i="16" s="1"/>
  <c r="V37" i="16" s="1"/>
  <c r="V17" i="16" l="1"/>
  <c r="Q139" i="24"/>
  <c r="Q140" i="24" s="1"/>
  <c r="W13" i="16"/>
  <c r="W15" i="16" l="1"/>
  <c r="W16" i="16" l="1"/>
  <c r="W19" i="16" s="1"/>
  <c r="W22" i="16" s="1"/>
  <c r="W33" i="16" s="1"/>
  <c r="W35" i="16" s="1"/>
  <c r="W37" i="16" s="1"/>
  <c r="X13" i="16" l="1"/>
  <c r="R139" i="24"/>
  <c r="R140" i="24" s="1"/>
  <c r="W17" i="16"/>
  <c r="X15" i="16" l="1"/>
  <c r="X16" i="16" l="1"/>
  <c r="X19" i="16" s="1"/>
  <c r="X22" i="16" s="1"/>
  <c r="X33" i="16" s="1"/>
  <c r="X35" i="16" s="1"/>
  <c r="X37" i="16" s="1"/>
  <c r="Y13" i="16" l="1"/>
  <c r="S139" i="24"/>
  <c r="S140" i="24" s="1"/>
  <c r="X17" i="16"/>
  <c r="Y15" i="16" l="1"/>
  <c r="Y16" i="16" l="1"/>
  <c r="Y19" i="16" s="1"/>
  <c r="Y22" i="16" s="1"/>
  <c r="Y33" i="16" s="1"/>
  <c r="Y35" i="16" s="1"/>
  <c r="Y37" i="16" s="1"/>
  <c r="T139" i="24" l="1"/>
  <c r="T140" i="24" s="1"/>
  <c r="Z13" i="16"/>
  <c r="Y17" i="16"/>
  <c r="Z15" i="16" l="1"/>
  <c r="Z16" i="16" l="1"/>
  <c r="Z19" i="16" s="1"/>
  <c r="Z22" i="16" s="1"/>
  <c r="Z33" i="16" s="1"/>
  <c r="Z35" i="16" s="1"/>
  <c r="Z37" i="16" s="1"/>
  <c r="Z17" i="16" l="1"/>
  <c r="U139" i="24"/>
  <c r="U140" i="24" s="1"/>
  <c r="AA13" i="16"/>
  <c r="AA15" i="16" l="1"/>
  <c r="AA16" i="16" l="1"/>
  <c r="AA19" i="16" s="1"/>
  <c r="AA22" i="16" s="1"/>
  <c r="AA33" i="16" s="1"/>
  <c r="AA35" i="16" s="1"/>
  <c r="AA37" i="16" s="1"/>
  <c r="AB13" i="16" l="1"/>
  <c r="V139" i="24"/>
  <c r="V140" i="24" s="1"/>
  <c r="AA17" i="16"/>
  <c r="AB15" i="16" l="1"/>
  <c r="AB16" i="16" l="1"/>
  <c r="AB19" i="16" s="1"/>
  <c r="AB22" i="16" s="1"/>
  <c r="AB33" i="16" s="1"/>
  <c r="AB35" i="16" s="1"/>
  <c r="AB37" i="16" s="1"/>
  <c r="W139" i="24" l="1"/>
  <c r="W140" i="24" s="1"/>
  <c r="AC13" i="16"/>
  <c r="AB17" i="16"/>
  <c r="AC15" i="16" l="1"/>
  <c r="AC16" i="16" l="1"/>
  <c r="AC19" i="16" s="1"/>
  <c r="AC22" i="16" s="1"/>
  <c r="AC33" i="16" s="1"/>
  <c r="AC35" i="16" s="1"/>
  <c r="AC37" i="16" s="1"/>
  <c r="AC17" i="16" l="1"/>
  <c r="X139" i="24"/>
  <c r="X140" i="24" s="1"/>
  <c r="AD13" i="16"/>
  <c r="AD15" i="16" l="1"/>
  <c r="AD16" i="16" l="1"/>
  <c r="AD19" i="16" s="1"/>
  <c r="AD22" i="16" s="1"/>
  <c r="AD33" i="16" s="1"/>
  <c r="AD35" i="16" s="1"/>
  <c r="AD37" i="16" s="1"/>
  <c r="AE13" i="16" l="1"/>
  <c r="Y139" i="24"/>
  <c r="Y140" i="24" s="1"/>
  <c r="AD17" i="16"/>
  <c r="AE15" i="16" l="1"/>
  <c r="AE16" i="16" l="1"/>
  <c r="AE19" i="16" s="1"/>
  <c r="AE22" i="16" s="1"/>
  <c r="AE33" i="16" s="1"/>
  <c r="AE35" i="16" s="1"/>
  <c r="AE37" i="16" s="1"/>
  <c r="AE62" i="16" l="1"/>
  <c r="AE63" i="16" s="1"/>
  <c r="AF13" i="16"/>
  <c r="Z139" i="24"/>
  <c r="Z140" i="24" s="1"/>
  <c r="D63" i="16"/>
  <c r="AE17" i="16"/>
  <c r="AF15" i="16" l="1"/>
  <c r="AF16" i="16" l="1"/>
  <c r="AF19" i="16" s="1"/>
  <c r="AF22" i="16" s="1"/>
  <c r="AF33" i="16" s="1"/>
  <c r="D64" i="16" l="1"/>
  <c r="AF35" i="16"/>
  <c r="AF37" i="16" s="1"/>
  <c r="AA139" i="24" s="1"/>
  <c r="AA140" i="24" s="1"/>
  <c r="AF17" i="16"/>
  <c r="D65" i="16" l="1"/>
  <c r="D67" i="16" s="1"/>
  <c r="L21" i="28" s="1"/>
  <c r="H45" i="16" l="1"/>
  <c r="D66" i="16"/>
  <c r="L23" i="28" s="1"/>
  <c r="I45" i="16"/>
  <c r="E63" i="16"/>
  <c r="E64" i="16"/>
  <c r="AA137" i="24"/>
  <c r="Z137" i="24"/>
  <c r="AA135" i="24"/>
  <c r="N135" i="24"/>
  <c r="Y137" i="24"/>
  <c r="Z135" i="24"/>
  <c r="U135" i="24"/>
  <c r="X137" i="24"/>
  <c r="Y135" i="24"/>
  <c r="P135" i="24"/>
  <c r="R135" i="24"/>
  <c r="O135" i="24"/>
  <c r="Q135" i="24"/>
  <c r="T135" i="24"/>
  <c r="V135" i="24"/>
  <c r="W137" i="24"/>
  <c r="X135" i="24"/>
  <c r="S137" i="24"/>
  <c r="T137" i="24"/>
  <c r="U137" i="24"/>
  <c r="V137" i="24"/>
  <c r="W135" i="24"/>
  <c r="M135" i="24"/>
  <c r="M137" i="24"/>
  <c r="N137" i="24"/>
  <c r="O137" i="24"/>
  <c r="P137" i="24"/>
  <c r="Q137" i="24"/>
  <c r="R137" i="24"/>
  <c r="S13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Lalo Rodriguez</author>
    <author>Madalena</author>
  </authors>
  <commentList>
    <comment ref="B2" authorId="0" shapeId="0" xr:uid="{294E30AD-4C01-EF41-9B27-49C3334032D5}">
      <text>
        <r>
          <rPr>
            <b/>
            <sz val="9"/>
            <color indexed="81"/>
            <rFont val="Tahoma"/>
            <family val="2"/>
          </rPr>
          <t>(date of last modification)</t>
        </r>
      </text>
    </comment>
    <comment ref="D2" authorId="0" shapeId="0" xr:uid="{F331B4D8-7A65-D446-942D-782C5A64DAAC}">
      <text>
        <r>
          <rPr>
            <b/>
            <sz val="9"/>
            <color rgb="FF000000"/>
            <rFont val="Tahoma"/>
            <family val="2"/>
          </rPr>
          <t>Date of last report/release</t>
        </r>
      </text>
    </comment>
    <comment ref="K2" authorId="0" shapeId="0" xr:uid="{13B30F16-E57F-2A4A-9C8D-6CBFAB5C9052}">
      <text>
        <r>
          <rPr>
            <b/>
            <sz val="9"/>
            <color rgb="FF000000"/>
            <rFont val="Tahoma"/>
            <family val="2"/>
          </rPr>
          <t>Stock market</t>
        </r>
      </text>
    </comment>
    <comment ref="B7" authorId="1" shapeId="0" xr:uid="{1E2E801A-7992-B04E-9F2A-5498FA59C3A5}">
      <text>
        <r>
          <rPr>
            <b/>
            <sz val="10"/>
            <color rgb="FF000000"/>
            <rFont val="Tahoma"/>
            <family val="2"/>
          </rPr>
          <t>Last price</t>
        </r>
        <r>
          <rPr>
            <sz val="10"/>
            <color rgb="FF000000"/>
            <rFont val="Tahoma"/>
            <family val="2"/>
          </rPr>
          <t xml:space="preserve">
</t>
        </r>
      </text>
    </comment>
    <comment ref="D7" authorId="1" shapeId="0" xr:uid="{1D6F5312-E0E7-3641-9DE5-CA6192AC1E83}">
      <text>
        <r>
          <rPr>
            <b/>
            <sz val="10"/>
            <color rgb="FF000000"/>
            <rFont val="Tahoma"/>
            <family val="2"/>
          </rPr>
          <t>Total Assets</t>
        </r>
        <r>
          <rPr>
            <sz val="10"/>
            <color rgb="FF000000"/>
            <rFont val="Tahoma"/>
            <family val="2"/>
          </rPr>
          <t xml:space="preserve">
</t>
        </r>
      </text>
    </comment>
    <comment ref="I7" authorId="0" shapeId="0" xr:uid="{1634538E-3E1E-D34C-9978-ABF66F818F8D}">
      <text>
        <r>
          <rPr>
            <b/>
            <sz val="9"/>
            <color indexed="81"/>
            <rFont val="Tahoma"/>
            <family val="2"/>
          </rPr>
          <t>End of financial year</t>
        </r>
      </text>
    </comment>
    <comment ref="D8" authorId="1" shapeId="0" xr:uid="{BE5AFA00-8298-E044-952B-2EAE1E8EED5E}">
      <text>
        <r>
          <rPr>
            <b/>
            <sz val="10"/>
            <color rgb="FF000000"/>
            <rFont val="Tahoma"/>
            <family val="2"/>
          </rPr>
          <t>Total liabilities</t>
        </r>
        <r>
          <rPr>
            <sz val="10"/>
            <color rgb="FF000000"/>
            <rFont val="Tahoma"/>
            <family val="2"/>
          </rPr>
          <t xml:space="preserve">
</t>
        </r>
      </text>
    </comment>
    <comment ref="B10" authorId="1" shapeId="0" xr:uid="{9BD48AEE-618F-B449-B946-A070745D2307}">
      <text>
        <r>
          <rPr>
            <b/>
            <sz val="10"/>
            <color rgb="FF000000"/>
            <rFont val="Tahoma"/>
            <family val="2"/>
          </rPr>
          <t>Debt</t>
        </r>
        <r>
          <rPr>
            <sz val="10"/>
            <color rgb="FF000000"/>
            <rFont val="Tahoma"/>
            <family val="2"/>
          </rPr>
          <t xml:space="preserve">
</t>
        </r>
      </text>
    </comment>
    <comment ref="D10" authorId="1" shapeId="0" xr:uid="{EF856FE9-42B4-3C41-AE2C-E275550F2C0F}">
      <text>
        <r>
          <rPr>
            <b/>
            <sz val="10"/>
            <color rgb="FF000000"/>
            <rFont val="Tahoma"/>
            <family val="2"/>
          </rPr>
          <t>EBITDA/Net financial cost</t>
        </r>
        <r>
          <rPr>
            <sz val="10"/>
            <color rgb="FF000000"/>
            <rFont val="Tahoma"/>
            <family val="2"/>
          </rPr>
          <t xml:space="preserve">
</t>
        </r>
      </text>
    </comment>
    <comment ref="D11" authorId="1" shapeId="0" xr:uid="{CF840FE0-647F-7247-86CC-054328FE83E7}">
      <text>
        <r>
          <rPr>
            <b/>
            <sz val="10"/>
            <color rgb="FF000000"/>
            <rFont val="Tahoma"/>
            <family val="2"/>
          </rPr>
          <t>Debt/EBITDA</t>
        </r>
        <r>
          <rPr>
            <sz val="10"/>
            <color rgb="FF000000"/>
            <rFont val="Tahoma"/>
            <family val="2"/>
          </rPr>
          <t xml:space="preserve">
</t>
        </r>
      </text>
    </comment>
    <comment ref="D12" authorId="1" shapeId="0" xr:uid="{F642175B-0C7E-E345-BFA1-FB84223C4864}">
      <text>
        <r>
          <rPr>
            <b/>
            <sz val="10"/>
            <color rgb="FF000000"/>
            <rFont val="Tahoma"/>
            <family val="2"/>
          </rPr>
          <t>Other assets</t>
        </r>
        <r>
          <rPr>
            <sz val="10"/>
            <color rgb="FF000000"/>
            <rFont val="Tahoma"/>
            <family val="2"/>
          </rPr>
          <t xml:space="preserve">
</t>
        </r>
      </text>
    </comment>
    <comment ref="B13" authorId="1" shapeId="0" xr:uid="{E5441C09-3A8B-EF44-9B00-54D5A0021585}">
      <text>
        <r>
          <rPr>
            <sz val="10"/>
            <color rgb="FF000000"/>
            <rFont val="Arial"/>
            <family val="2"/>
          </rPr>
          <t>'Holdings (nac/int'l)</t>
        </r>
      </text>
    </comment>
    <comment ref="D13" authorId="1" shapeId="0" xr:uid="{C912288F-5736-554A-8F41-1C3FE47F428F}">
      <text>
        <r>
          <rPr>
            <b/>
            <sz val="10"/>
            <color rgb="FF000000"/>
            <rFont val="Tahoma"/>
            <family val="2"/>
          </rPr>
          <t>Debt/asset</t>
        </r>
      </text>
    </comment>
    <comment ref="B14" authorId="1" shapeId="0" xr:uid="{9477D144-947D-7547-B7B8-46252186AC0F}">
      <text>
        <r>
          <rPr>
            <sz val="10"/>
            <color rgb="FF000000"/>
            <rFont val="Arial"/>
            <family val="2"/>
          </rPr>
          <t>t liq. (Holdings/Vol.)</t>
        </r>
      </text>
    </comment>
    <comment ref="D14" authorId="1" shapeId="0" xr:uid="{029F9423-6F2B-BF4F-9405-B9D7B7626AC7}">
      <text>
        <r>
          <rPr>
            <b/>
            <sz val="10"/>
            <color rgb="FF000000"/>
            <rFont val="Tahoma"/>
            <family val="2"/>
          </rPr>
          <t>Operating margin</t>
        </r>
      </text>
    </comment>
    <comment ref="D15" authorId="1" shapeId="0" xr:uid="{6BEE5F26-E273-3E45-B571-D8162DE1216E}">
      <text>
        <r>
          <rPr>
            <b/>
            <sz val="10"/>
            <color rgb="FF000000"/>
            <rFont val="Tahoma"/>
            <family val="2"/>
          </rPr>
          <t>Net income margin</t>
        </r>
        <r>
          <rPr>
            <sz val="10"/>
            <color rgb="FF000000"/>
            <rFont val="Tahoma"/>
            <family val="2"/>
          </rPr>
          <t xml:space="preserve">
</t>
        </r>
      </text>
    </comment>
    <comment ref="D16" authorId="1" shapeId="0" xr:uid="{94F25FA8-9E7C-904E-9884-CFDC552C27D0}">
      <text>
        <r>
          <rPr>
            <b/>
            <sz val="10"/>
            <color rgb="FF000000"/>
            <rFont val="Tahoma"/>
            <family val="2"/>
          </rPr>
          <t>EBITDA/Revenue</t>
        </r>
        <r>
          <rPr>
            <sz val="10"/>
            <color rgb="FF000000"/>
            <rFont val="Tahoma"/>
            <family val="2"/>
          </rPr>
          <t xml:space="preserve">
</t>
        </r>
      </text>
    </comment>
    <comment ref="C17" authorId="2" shapeId="0" xr:uid="{4D7E51C8-B5FF-A648-B864-6F0B8588893F}">
      <text>
        <r>
          <rPr>
            <b/>
            <sz val="9"/>
            <color rgb="FF000000"/>
            <rFont val="Tahoma"/>
            <family val="2"/>
          </rPr>
          <t>Madalena:</t>
        </r>
        <r>
          <rPr>
            <sz val="9"/>
            <color rgb="FF000000"/>
            <rFont val="Tahoma"/>
            <family val="2"/>
          </rPr>
          <t xml:space="preserve">
</t>
        </r>
        <r>
          <rPr>
            <sz val="9"/>
            <color rgb="FF000000"/>
            <rFont val="Tahoma"/>
            <family val="2"/>
          </rPr>
          <t xml:space="preserve">No Water Use mitigation or policies regarding Land Degradation/Biodiversity/…; </t>
        </r>
        <r>
          <rPr>
            <b/>
            <sz val="9"/>
            <color rgb="FF000000"/>
            <rFont val="Tahoma"/>
            <family val="2"/>
          </rPr>
          <t xml:space="preserve">
</t>
        </r>
        <r>
          <rPr>
            <sz val="9"/>
            <color rgb="FF000000"/>
            <rFont val="Tahoma"/>
            <family val="2"/>
          </rPr>
          <t>Significant efforts with Energy and CO2 Emission reduction, focus on clean energy;</t>
        </r>
      </text>
    </comment>
    <comment ref="C18" authorId="3" shapeId="0" xr:uid="{BFB6ED92-7D9A-4822-BCA6-8C2F1F47DDA5}">
      <text>
        <r>
          <rPr>
            <b/>
            <sz val="9"/>
            <color rgb="FF000000"/>
            <rFont val="Tahoma"/>
            <family val="2"/>
          </rPr>
          <t>Madalena:</t>
        </r>
        <r>
          <rPr>
            <sz val="9"/>
            <color rgb="FF000000"/>
            <rFont val="Tahoma"/>
            <family val="2"/>
          </rPr>
          <t xml:space="preserve">
</t>
        </r>
        <r>
          <rPr>
            <sz val="9"/>
            <color rgb="FF000000"/>
            <rFont val="Tahoma"/>
            <family val="2"/>
          </rPr>
          <t xml:space="preserve">Good Reputation (premium brand);
</t>
        </r>
        <r>
          <rPr>
            <sz val="9"/>
            <color rgb="FF000000"/>
            <rFont val="Tahoma"/>
            <family val="2"/>
          </rPr>
          <t>Great Community Envolvement (with the brand being so connect to the outdoors)</t>
        </r>
      </text>
    </comment>
    <comment ref="C19" authorId="3" shapeId="0" xr:uid="{D0AE5117-0A16-4BC9-AFCB-16FA691F375E}">
      <text>
        <r>
          <rPr>
            <b/>
            <sz val="9"/>
            <color rgb="FF000000"/>
            <rFont val="Tahoma"/>
            <family val="2"/>
          </rPr>
          <t>Madalena:</t>
        </r>
        <r>
          <rPr>
            <sz val="9"/>
            <color rgb="FF000000"/>
            <rFont val="Tahoma"/>
            <family val="2"/>
          </rPr>
          <t xml:space="preserve">
</t>
        </r>
        <r>
          <rPr>
            <sz val="9"/>
            <color rgb="FF000000"/>
            <rFont val="Tahoma"/>
            <family val="2"/>
          </rPr>
          <t xml:space="preserve">Stable Leadership;
</t>
        </r>
        <r>
          <rPr>
            <sz val="9"/>
            <color rgb="FF000000"/>
            <rFont val="Tahoma"/>
            <family val="2"/>
          </rPr>
          <t xml:space="preserve">Good proportion of Independent on the Board;
</t>
        </r>
        <r>
          <rPr>
            <sz val="9"/>
            <color rgb="FF000000"/>
            <rFont val="Tahoma"/>
            <family val="2"/>
          </rPr>
          <t xml:space="preserve">Lack of Diversity and Transperency;
</t>
        </r>
      </text>
    </comment>
    <comment ref="I24" authorId="1" shapeId="0" xr:uid="{39D58FEF-EF9D-F443-ABC3-9A4C8EE66B65}">
      <text>
        <r>
          <rPr>
            <b/>
            <sz val="10"/>
            <color rgb="FF000000"/>
            <rFont val="Tahoma"/>
            <family val="2"/>
          </rPr>
          <t>Discount rate</t>
        </r>
        <r>
          <rPr>
            <sz val="10"/>
            <color rgb="FF000000"/>
            <rFont val="Tahoma"/>
            <family val="2"/>
          </rPr>
          <t xml:space="preserve">
</t>
        </r>
      </text>
    </comment>
    <comment ref="F25" authorId="1" shapeId="0" xr:uid="{D3A812E5-2E29-4C4D-90B6-DBFC283AFEDB}">
      <text>
        <r>
          <rPr>
            <b/>
            <sz val="10"/>
            <color rgb="FF000000"/>
            <rFont val="Tahoma"/>
            <family val="2"/>
          </rPr>
          <t>Changes in cash+dividends+repurchase of shares</t>
        </r>
      </text>
    </comment>
    <comment ref="D36" authorId="1" shapeId="0" xr:uid="{483FF2C0-6644-994E-A1C9-E2644A7B860B}">
      <text>
        <r>
          <rPr>
            <sz val="10"/>
            <color rgb="FF000000"/>
            <rFont val="Tahoma"/>
            <family val="2"/>
          </rPr>
          <t>The decrease in cash provided by operating activities in 2022 is primarily due to an increase in cash used for working capital, partially offset by net income, adjusted for non-cash items, including the impact of voluntary recalls, for the periods compared. The increase in cash used for working capital was primarily due to an increase in inventory and a decrease in accounts payable, partially offset by a decrease in accounts receivable.</t>
        </r>
      </text>
    </comment>
    <comment ref="B53" authorId="0" shapeId="0" xr:uid="{B99C6A2A-0932-EB46-9F1A-0A6A445826C8}">
      <text>
        <r>
          <rPr>
            <b/>
            <sz val="9"/>
            <color rgb="FF000000"/>
            <rFont val="Tahoma"/>
            <family val="2"/>
          </rPr>
          <t>average of last 3 years</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林伊婧</author>
    <author>Madalena</author>
  </authors>
  <commentList>
    <comment ref="L2" authorId="0" shapeId="0" xr:uid="{00000000-0006-0000-0200-000001000000}">
      <text>
        <r>
          <rPr>
            <b/>
            <sz val="10"/>
            <color rgb="FF000000"/>
            <rFont val="Tahoma"/>
            <family val="2"/>
          </rPr>
          <t>Projections</t>
        </r>
      </text>
    </comment>
    <comment ref="E3" authorId="1" shapeId="0" xr:uid="{186ED379-511B-474E-89E6-D4775740B4AC}">
      <text>
        <r>
          <rPr>
            <b/>
            <sz val="9"/>
            <color rgb="FF000000"/>
            <rFont val="Tahoma"/>
            <family val="2"/>
          </rPr>
          <t>Madalena:</t>
        </r>
        <r>
          <rPr>
            <sz val="9"/>
            <color rgb="FF000000"/>
            <rFont val="Tahoma"/>
            <family val="2"/>
          </rPr>
          <t xml:space="preserve">
</t>
        </r>
        <r>
          <rPr>
            <sz val="9"/>
            <color rgb="FF000000"/>
            <rFont val="Tahoma"/>
            <family val="2"/>
          </rPr>
          <t xml:space="preserve">Not broken down into specific segments
</t>
        </r>
      </text>
    </comment>
    <comment ref="G3" authorId="1" shapeId="0" xr:uid="{7BBF7C35-68BB-44D7-B03D-37D871770044}">
      <text>
        <r>
          <rPr>
            <b/>
            <sz val="9"/>
            <color rgb="FF000000"/>
            <rFont val="Tahoma"/>
            <family val="2"/>
          </rPr>
          <t>Madalena:</t>
        </r>
        <r>
          <rPr>
            <sz val="9"/>
            <color rgb="FF000000"/>
            <rFont val="Tahoma"/>
            <family val="2"/>
          </rPr>
          <t xml:space="preserve">
</t>
        </r>
        <r>
          <rPr>
            <sz val="9"/>
            <color rgb="FF000000"/>
            <rFont val="Tahoma"/>
            <family val="2"/>
          </rPr>
          <t>EBIT Margin</t>
        </r>
      </text>
    </comment>
    <comment ref="L3" authorId="0" shapeId="0" xr:uid="{00000000-0006-0000-0200-000002000000}">
      <text>
        <r>
          <rPr>
            <b/>
            <sz val="10"/>
            <color rgb="FF000000"/>
            <rFont val="Tahoma"/>
            <family val="2"/>
          </rPr>
          <t>Revenue growth</t>
        </r>
        <r>
          <rPr>
            <sz val="10"/>
            <color rgb="FF000000"/>
            <rFont val="Tahoma"/>
            <family val="2"/>
          </rPr>
          <t xml:space="preserve">
</t>
        </r>
      </text>
    </comment>
    <comment ref="V3" authorId="0" shapeId="0" xr:uid="{00000000-0006-0000-0200-000003000000}">
      <text>
        <r>
          <rPr>
            <b/>
            <sz val="10"/>
            <color rgb="FF000000"/>
            <rFont val="Tahoma"/>
            <family val="2"/>
          </rPr>
          <t>Margins (regional)</t>
        </r>
        <r>
          <rPr>
            <sz val="10"/>
            <color rgb="FF000000"/>
            <rFont val="Tahoma"/>
            <family val="2"/>
          </rPr>
          <t xml:space="preserve">
</t>
        </r>
      </text>
    </comment>
    <comment ref="B5" authorId="1" shapeId="0" xr:uid="{F9B057A4-5960-4137-9CCE-7F8A5DED17EF}">
      <text>
        <r>
          <rPr>
            <b/>
            <sz val="9"/>
            <color rgb="FF000000"/>
            <rFont val="Tahoma"/>
            <family val="2"/>
          </rPr>
          <t>Madalena:</t>
        </r>
        <r>
          <rPr>
            <sz val="9"/>
            <color rgb="FF000000"/>
            <rFont val="Tahoma"/>
            <family val="2"/>
          </rPr>
          <t xml:space="preserve">
</t>
        </r>
        <r>
          <rPr>
            <sz val="9"/>
            <color rgb="FF000000"/>
            <rFont val="Tahoma"/>
            <family val="2"/>
          </rPr>
          <t>Canada, Australia, New Zealand, Europe and Japan, among others</t>
        </r>
      </text>
    </comment>
    <comment ref="V9" authorId="0" shapeId="0" xr:uid="{00000000-0006-0000-0200-000004000000}">
      <text>
        <r>
          <rPr>
            <b/>
            <sz val="10"/>
            <color rgb="FF000000"/>
            <rFont val="Tahoma"/>
            <family val="2"/>
          </rPr>
          <t>Operating margin</t>
        </r>
        <r>
          <rPr>
            <sz val="10"/>
            <color rgb="FF000000"/>
            <rFont val="Tahoma"/>
            <family val="2"/>
          </rPr>
          <t xml:space="preserve">
</t>
        </r>
      </text>
    </comment>
    <comment ref="E16" authorId="1" shapeId="0" xr:uid="{00D6B52F-BB4C-4B21-ACB1-0A68D6743049}">
      <text>
        <r>
          <rPr>
            <b/>
            <sz val="9"/>
            <color rgb="FF000000"/>
            <rFont val="Tahoma"/>
            <family val="2"/>
          </rPr>
          <t>Madalena:</t>
        </r>
        <r>
          <rPr>
            <sz val="9"/>
            <color rgb="FF000000"/>
            <rFont val="Tahoma"/>
            <family val="2"/>
          </rPr>
          <t xml:space="preserve">
</t>
        </r>
        <r>
          <rPr>
            <sz val="9"/>
            <color rgb="FF000000"/>
            <rFont val="Tahoma"/>
            <family val="2"/>
          </rPr>
          <t>Not broken down into specific segments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Gabriela Major</author>
  </authors>
  <commentList>
    <comment ref="B15" authorId="0" shapeId="0" xr:uid="{A41167FD-1F55-E14E-BF34-66C73C320438}">
      <text>
        <r>
          <rPr>
            <sz val="10"/>
            <color rgb="FF000000"/>
            <rFont val="Tahoma"/>
            <family val="2"/>
          </rPr>
          <t xml:space="preserve">We found that Yeti has a relative high beta due to various reasons: their characteristics, and growth strategies.
</t>
        </r>
        <r>
          <rPr>
            <sz val="10"/>
            <color rgb="FF000000"/>
            <rFont val="Tahoma"/>
            <family val="2"/>
          </rPr>
          <t xml:space="preserve">•⁠  ⁠YETI is still in a growth phase, focusing on expanding brand awareness and international sales, and it is a mid-cap company (3.15 billion market cap) with less volume traded, its stock is more volatile than larger, more established companies.
</t>
        </r>
        <r>
          <rPr>
            <sz val="10"/>
            <color rgb="FF000000"/>
            <rFont val="Tahoma"/>
            <family val="2"/>
          </rPr>
          <t>•⁠  ⁠⁠A large portion of YETI’s sales come from DTC channels, which can be highly competitive and sensitive to shifts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林伊婧</author>
    <author>Madalena</author>
    <author>Jorge</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 ref="D6" authorId="1" shapeId="0" xr:uid="{8D490270-37B2-4A59-9573-8C0927AF2625}">
      <text>
        <r>
          <rPr>
            <b/>
            <sz val="9"/>
            <color rgb="FF000000"/>
            <rFont val="Tahoma"/>
            <family val="2"/>
          </rPr>
          <t xml:space="preserve">Madalena:
</t>
        </r>
        <r>
          <rPr>
            <sz val="9"/>
            <color rgb="FF000000"/>
            <rFont val="Tahoma"/>
            <family val="2"/>
          </rPr>
          <t>Not included in Annual Report, taken from Bloomberg</t>
        </r>
        <r>
          <rPr>
            <b/>
            <sz val="9"/>
            <color rgb="FF000000"/>
            <rFont val="Tahoma"/>
            <family val="2"/>
          </rPr>
          <t xml:space="preserve">
</t>
        </r>
      </text>
    </comment>
    <comment ref="H6" authorId="2" shapeId="0" xr:uid="{B6B3BDF6-E383-4E08-9506-64CB446A386F}">
      <text>
        <r>
          <rPr>
            <sz val="9"/>
            <color rgb="FF000000"/>
            <rFont val="Tahoma"/>
            <family val="2"/>
          </rPr>
          <t>Bloomberg data</t>
        </r>
      </text>
    </comment>
    <comment ref="D8" authorId="1" shapeId="0" xr:uid="{6C84191A-3DDE-4C99-B034-C852DEEF201B}">
      <text>
        <r>
          <rPr>
            <b/>
            <sz val="9"/>
            <color rgb="FF000000"/>
            <rFont val="Tahoma"/>
            <family val="2"/>
          </rPr>
          <t>Madalena:</t>
        </r>
        <r>
          <rPr>
            <sz val="9"/>
            <color rgb="FF000000"/>
            <rFont val="Tahoma"/>
            <family val="2"/>
          </rPr>
          <t xml:space="preserve">
</t>
        </r>
        <r>
          <rPr>
            <sz val="9"/>
            <color rgb="FF000000"/>
            <rFont val="Tahoma"/>
            <family val="2"/>
          </rPr>
          <t>Data reported is estimated. The company is working to improve this</t>
        </r>
      </text>
    </comment>
    <comment ref="D9" authorId="1" shapeId="0" xr:uid="{81BCCAD9-F451-4320-91C2-587C96C649B5}">
      <text>
        <r>
          <rPr>
            <b/>
            <sz val="9"/>
            <color rgb="FF000000"/>
            <rFont val="Tahoma"/>
            <family val="2"/>
          </rPr>
          <t>Madalena:</t>
        </r>
        <r>
          <rPr>
            <sz val="9"/>
            <color rgb="FF000000"/>
            <rFont val="Tahoma"/>
            <family val="2"/>
          </rPr>
          <t xml:space="preserve">
</t>
        </r>
        <r>
          <rPr>
            <sz val="9"/>
            <color rgb="FF000000"/>
            <rFont val="Tahoma"/>
            <family val="2"/>
          </rPr>
          <t>Doesn't report directly, see "Community Envolvement"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林伊婧</author>
    <author>Gabriela Major</author>
  </authors>
  <commentList>
    <comment ref="A6" authorId="0" shapeId="0" xr:uid="{00000000-0006-0000-0900-000001000000}">
      <text>
        <r>
          <rPr>
            <b/>
            <sz val="10"/>
            <color rgb="FF000000"/>
            <rFont val="Tahoma"/>
            <family val="2"/>
          </rPr>
          <t>Net Sales</t>
        </r>
      </text>
    </comment>
    <comment ref="A7" authorId="0" shapeId="0" xr:uid="{00000000-0006-0000-0900-000002000000}">
      <text>
        <r>
          <rPr>
            <b/>
            <sz val="10"/>
            <color rgb="FF000000"/>
            <rFont val="Tahoma"/>
            <family val="2"/>
          </rPr>
          <t>Gross Profit</t>
        </r>
      </text>
    </comment>
    <comment ref="A8" authorId="0" shapeId="0" xr:uid="{00000000-0006-0000-0900-000003000000}">
      <text>
        <r>
          <rPr>
            <b/>
            <sz val="10"/>
            <color rgb="FF000000"/>
            <rFont val="Tahoma"/>
            <family val="2"/>
          </rPr>
          <t>Operating income</t>
        </r>
      </text>
    </comment>
    <comment ref="A9" authorId="0" shapeId="0" xr:uid="{00000000-0006-0000-0900-000004000000}">
      <text>
        <r>
          <rPr>
            <b/>
            <sz val="10"/>
            <color rgb="FF000000"/>
            <rFont val="Tahoma"/>
            <family val="2"/>
          </rPr>
          <t xml:space="preserve">Net financial cost
</t>
        </r>
        <r>
          <rPr>
            <sz val="10"/>
            <color rgb="FF000000"/>
            <rFont val="Arial"/>
            <family val="2"/>
          </rPr>
          <t xml:space="preserve">Interest expense, net
</t>
        </r>
      </text>
    </comment>
    <comment ref="A10" authorId="0" shapeId="0" xr:uid="{00000000-0006-0000-0900-000005000000}">
      <text>
        <r>
          <rPr>
            <b/>
            <sz val="10"/>
            <color rgb="FF000000"/>
            <rFont val="Tahoma"/>
            <family val="2"/>
          </rPr>
          <t>Other expenses (income)</t>
        </r>
      </text>
    </comment>
    <comment ref="A11" authorId="0" shapeId="0" xr:uid="{00000000-0006-0000-0900-000006000000}">
      <text>
        <r>
          <rPr>
            <b/>
            <sz val="10"/>
            <color rgb="FF000000"/>
            <rFont val="Tahoma"/>
            <family val="2"/>
          </rPr>
          <t>Depreciation and amortization</t>
        </r>
      </text>
    </comment>
    <comment ref="A12" authorId="0" shapeId="0" xr:uid="{00000000-0006-0000-0900-000007000000}">
      <text>
        <r>
          <rPr>
            <b/>
            <sz val="10"/>
            <color rgb="FF000000"/>
            <rFont val="Tahoma"/>
            <family val="2"/>
          </rPr>
          <t>Working Capital</t>
        </r>
      </text>
    </comment>
    <comment ref="A14" authorId="0" shapeId="0" xr:uid="{00000000-0006-0000-0900-000008000000}">
      <text>
        <r>
          <rPr>
            <b/>
            <sz val="10"/>
            <color rgb="FF000000"/>
            <rFont val="Tahoma"/>
            <family val="2"/>
          </rPr>
          <t>Investments</t>
        </r>
      </text>
    </comment>
    <comment ref="A16" authorId="0" shapeId="0" xr:uid="{00000000-0006-0000-0900-000009000000}">
      <text>
        <r>
          <rPr>
            <b/>
            <sz val="10"/>
            <color rgb="FF000000"/>
            <rFont val="Tahoma"/>
            <family val="2"/>
          </rPr>
          <t>Net income</t>
        </r>
      </text>
    </comment>
    <comment ref="A17" authorId="0" shapeId="0" xr:uid="{00000000-0006-0000-0900-00000A000000}">
      <text>
        <r>
          <rPr>
            <b/>
            <sz val="10"/>
            <color rgb="FF000000"/>
            <rFont val="Tahoma"/>
            <family val="2"/>
          </rPr>
          <t>Dividens</t>
        </r>
      </text>
    </comment>
    <comment ref="A18" authorId="0" shapeId="0" xr:uid="{00000000-0006-0000-0900-00000B000000}">
      <text>
        <r>
          <rPr>
            <b/>
            <sz val="10"/>
            <color rgb="FF000000"/>
            <rFont val="Tahoma"/>
            <family val="2"/>
          </rPr>
          <t>Purchase of shares</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2" authorId="0" shapeId="0" xr:uid="{00000000-0006-0000-0900-000013000000}">
      <text>
        <r>
          <rPr>
            <b/>
            <sz val="10"/>
            <color rgb="FF000000"/>
            <rFont val="Tahoma"/>
            <family val="2"/>
          </rPr>
          <t xml:space="preserve">Short-term debt
</t>
        </r>
        <r>
          <rPr>
            <sz val="10"/>
            <color rgb="FF000000"/>
            <rFont val="Arial"/>
            <family val="2"/>
          </rPr>
          <t>Current maturities of long-term debt</t>
        </r>
      </text>
    </comment>
    <comment ref="A33" authorId="1" shapeId="0" xr:uid="{00226D13-A34E-C047-A831-D79FAF6A9473}">
      <text>
        <r>
          <rPr>
            <b/>
            <sz val="10"/>
            <color rgb="FF000000"/>
            <rFont val="Tahoma"/>
            <family val="2"/>
          </rPr>
          <t>Gabriela Major:</t>
        </r>
        <r>
          <rPr>
            <sz val="10"/>
            <color rgb="FF000000"/>
            <rFont val="Tahoma"/>
            <family val="2"/>
          </rPr>
          <t xml:space="preserve">
</t>
        </r>
        <r>
          <rPr>
            <sz val="10"/>
            <color rgb="FF000000"/>
            <rFont val="Arial"/>
            <family val="2"/>
          </rPr>
          <t>Operating lease liabilities</t>
        </r>
      </text>
    </comment>
    <comment ref="G33" authorId="1" shapeId="0" xr:uid="{1C1A233F-5999-1942-A40E-692FB6057B45}">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H33" authorId="1" shapeId="0" xr:uid="{7CE8E256-EACF-274C-A1DC-EB693143C16F}">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G37" authorId="1" shapeId="0" xr:uid="{FB954C97-2A76-D24C-98E6-2919E76DAE52}">
      <text>
        <r>
          <rPr>
            <b/>
            <sz val="10"/>
            <color rgb="FF000000"/>
            <rFont val="Tahoma"/>
            <family val="2"/>
          </rPr>
          <t>Gabriela Major:</t>
        </r>
        <r>
          <rPr>
            <sz val="10"/>
            <color rgb="FF000000"/>
            <rFont val="Tahoma"/>
            <family val="2"/>
          </rPr>
          <t xml:space="preserve">
</t>
        </r>
        <r>
          <rPr>
            <sz val="10"/>
            <color rgb="FF000000"/>
            <rFont val="Tahoma"/>
            <family val="2"/>
          </rPr>
          <t>N/A</t>
        </r>
      </text>
    </comment>
    <comment ref="H37" authorId="1" shapeId="0" xr:uid="{B4AB3047-9DB8-D848-AA49-6DA7B09B41B5}">
      <text>
        <r>
          <rPr>
            <b/>
            <sz val="10"/>
            <color rgb="FF000000"/>
            <rFont val="Tahoma"/>
            <family val="2"/>
          </rPr>
          <t>Gabriela Major:</t>
        </r>
        <r>
          <rPr>
            <sz val="10"/>
            <color rgb="FF000000"/>
            <rFont val="Tahoma"/>
            <family val="2"/>
          </rPr>
          <t xml:space="preserve">
</t>
        </r>
        <r>
          <rPr>
            <sz val="10"/>
            <color rgb="FF000000"/>
            <rFont val="Arial"/>
            <family val="2"/>
          </rPr>
          <t>N/A</t>
        </r>
        <r>
          <rPr>
            <sz val="10"/>
            <color rgb="FF000000"/>
            <rFont val="Arial"/>
            <family val="2"/>
          </rPr>
          <t xml:space="preserve">
</t>
        </r>
      </text>
    </comment>
    <comment ref="A38" authorId="0" shapeId="0" xr:uid="{00000000-0006-0000-0900-000017000000}">
      <text>
        <r>
          <rPr>
            <b/>
            <sz val="10"/>
            <color rgb="FF000000"/>
            <rFont val="Tahoma"/>
            <family val="2"/>
          </rPr>
          <t>Other non-current liabilities</t>
        </r>
      </text>
    </comment>
    <comment ref="A39" authorId="0" shapeId="0" xr:uid="{00000000-0006-0000-0900-000018000000}">
      <text>
        <r>
          <rPr>
            <b/>
            <sz val="10"/>
            <color rgb="FF000000"/>
            <rFont val="Tahoma"/>
            <family val="2"/>
          </rPr>
          <t>Total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Gabriela Major</author>
  </authors>
  <commentList>
    <comment ref="D39" authorId="0" shapeId="0" xr:uid="{6EBA3124-2B03-A54C-AA07-8F039F0CF675}">
      <text>
        <r>
          <rPr>
            <b/>
            <sz val="10"/>
            <color rgb="FF000000"/>
            <rFont val="Tahoma"/>
            <family val="2"/>
          </rPr>
          <t>Gabriela Major:</t>
        </r>
        <r>
          <rPr>
            <sz val="10"/>
            <color rgb="FF000000"/>
            <rFont val="Tahoma"/>
            <family val="2"/>
          </rPr>
          <t xml:space="preserve">
</t>
        </r>
        <r>
          <rPr>
            <sz val="10"/>
            <color rgb="FF000000"/>
            <rFont val="Tahoma"/>
            <family val="2"/>
          </rPr>
          <t>In the first three quarters of 2024, YETI's revenue reached $1829,873 million, marking a year-on-year growth of 10,32%.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<sst xmlns="http://schemas.openxmlformats.org/spreadsheetml/2006/main" count="925" uniqueCount="549">
  <si>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</si>
  <si>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</si>
  <si>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</si>
  <si>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</si>
  <si>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</si>
  <si>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</si>
  <si>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</si>
  <si>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</si>
  <si>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Regions in Thousands (2023)</t>
  </si>
  <si>
    <t>Proyectado</t>
  </si>
  <si>
    <t>Escenario de estrés</t>
  </si>
  <si>
    <t>Ut. Operativa</t>
  </si>
  <si>
    <t>% Vts</t>
  </si>
  <si>
    <t>Margen</t>
  </si>
  <si>
    <t>Crec</t>
  </si>
  <si>
    <t>Crecimiento</t>
  </si>
  <si>
    <t>2021 (Real)</t>
  </si>
  <si>
    <t>2022 (Real)</t>
  </si>
  <si>
    <t>2023 (Real)</t>
  </si>
  <si>
    <t>2024 (Est)</t>
  </si>
  <si>
    <t>Márgenes (regional)</t>
  </si>
  <si>
    <t>United States</t>
  </si>
  <si>
    <t>-</t>
  </si>
  <si>
    <t>Internacional</t>
  </si>
  <si>
    <t>% vts.</t>
  </si>
  <si>
    <t>Margen Operativp</t>
  </si>
  <si>
    <t>Ajuste R&amp;D</t>
  </si>
  <si>
    <t>TOTAL</t>
  </si>
  <si>
    <t>Products in Thousands (2023)</t>
  </si>
  <si>
    <t>Ut. Op.</t>
  </si>
  <si>
    <t>Coolers &amp; Equipment</t>
  </si>
  <si>
    <t>Drinkware</t>
  </si>
  <si>
    <t>Others</t>
  </si>
  <si>
    <t>Multiplos (USD)</t>
  </si>
  <si>
    <t>VSTO</t>
  </si>
  <si>
    <t>Yeti Holdings, Inc.</t>
  </si>
  <si>
    <t>Domestic Group AB</t>
  </si>
  <si>
    <t>Acushnet Holdings Corp.</t>
  </si>
  <si>
    <t>Vista Outdoor Inc.</t>
  </si>
  <si>
    <t>Ventas 2024</t>
  </si>
  <si>
    <t>Crecimiento 2024</t>
  </si>
  <si>
    <t>Crecimiento (48 meses)</t>
  </si>
  <si>
    <t>Deuda/Activos</t>
  </si>
  <si>
    <t>Deuda/EBITDA</t>
  </si>
  <si>
    <t>(Capex + Adq.)/Revenue</t>
  </si>
  <si>
    <t>ROA (p)</t>
  </si>
  <si>
    <t>ROIC (p)</t>
  </si>
  <si>
    <t>Margen Operativo (p)</t>
  </si>
  <si>
    <t>Margen Operativo 2023</t>
  </si>
  <si>
    <t>Float</t>
  </si>
  <si>
    <t>N/A</t>
  </si>
  <si>
    <t>b</t>
  </si>
  <si>
    <t>Precio/Utilidad</t>
  </si>
  <si>
    <t>NA</t>
  </si>
  <si>
    <t>Precio/Ventas</t>
  </si>
  <si>
    <t>EV/Activos</t>
  </si>
  <si>
    <t>EV/EBITDA</t>
  </si>
  <si>
    <t>Div. Yield</t>
  </si>
  <si>
    <t>Año Fiscal</t>
  </si>
  <si>
    <t>12-2023</t>
  </si>
  <si>
    <t>03-2024</t>
  </si>
  <si>
    <t>*p = average for the last 3 years</t>
  </si>
  <si>
    <t>**in USD</t>
  </si>
  <si>
    <t>In millions SEK</t>
  </si>
  <si>
    <t>in millions USD</t>
  </si>
  <si>
    <t>YETI holdings</t>
  </si>
  <si>
    <t>Dometic Group AB</t>
  </si>
  <si>
    <t>Total Revenue</t>
  </si>
  <si>
    <t>Revenue from 23</t>
  </si>
  <si>
    <t>Revenue from 22</t>
  </si>
  <si>
    <t>Revenue from 21</t>
  </si>
  <si>
    <t>Revenue from 20</t>
  </si>
  <si>
    <t>Debt</t>
  </si>
  <si>
    <t>Assets</t>
  </si>
  <si>
    <t>EBITDA</t>
  </si>
  <si>
    <t>CAPEX</t>
  </si>
  <si>
    <t>Acquisitions</t>
  </si>
  <si>
    <t>Net income</t>
  </si>
  <si>
    <t>net operating profit after taxes</t>
  </si>
  <si>
    <t>Operating margin 23</t>
  </si>
  <si>
    <t>Operating margin 2022</t>
  </si>
  <si>
    <t>Operating margin 21</t>
  </si>
  <si>
    <t>float</t>
  </si>
  <si>
    <t>beta</t>
  </si>
  <si>
    <t>price</t>
  </si>
  <si>
    <t>EV</t>
  </si>
  <si>
    <t>Div yield</t>
  </si>
  <si>
    <t>Invertir</t>
  </si>
  <si>
    <t>NO invertir</t>
  </si>
  <si>
    <t>Mantener sin elevar posición</t>
  </si>
  <si>
    <t>Mantener (y seguir comprando)</t>
  </si>
  <si>
    <t>Liquidar</t>
  </si>
  <si>
    <t>PENDIENTE</t>
  </si>
  <si>
    <t>Discounted Cash Flow</t>
  </si>
  <si>
    <t>Ventas</t>
  </si>
  <si>
    <t>Margen Operativo</t>
  </si>
  <si>
    <t>Inversiones</t>
  </si>
  <si>
    <t>Utilidad Neta</t>
  </si>
  <si>
    <t>Normal</t>
  </si>
  <si>
    <t>2019 (Real)</t>
  </si>
  <si>
    <t>2020 (Real)</t>
  </si>
  <si>
    <t>EBIT</t>
  </si>
  <si>
    <t>Dep&amp;Amort</t>
  </si>
  <si>
    <t>EBIDTA</t>
  </si>
  <si>
    <t>CIF</t>
  </si>
  <si>
    <t>Otros Gastos</t>
  </si>
  <si>
    <t>Utilidad antes de Impuestos</t>
  </si>
  <si>
    <t>ISR &amp; PTU</t>
  </si>
  <si>
    <t>Inversiones y Capex</t>
  </si>
  <si>
    <t>Deuda + Lease Liabilities</t>
  </si>
  <si>
    <t>FNP</t>
  </si>
  <si>
    <t>F(t)</t>
  </si>
  <si>
    <t>EPS</t>
  </si>
  <si>
    <t>Consenso EPS</t>
  </si>
  <si>
    <t>E$/UN</t>
  </si>
  <si>
    <t>EEV/EBIDA</t>
  </si>
  <si>
    <t>"TELP"</t>
  </si>
  <si>
    <t>CER</t>
  </si>
  <si>
    <r>
      <rPr>
        <b/>
        <sz val="10"/>
        <color indexed="9"/>
        <rFont val="Symbol"/>
        <family val="1"/>
        <charset val="2"/>
      </rPr>
      <t>D</t>
    </r>
    <r>
      <rPr>
        <b/>
        <sz val="10"/>
        <color indexed="9"/>
        <rFont val="Arial"/>
        <family val="2"/>
      </rPr>
      <t xml:space="preserve"> Analista</t>
    </r>
  </si>
  <si>
    <t>CP</t>
  </si>
  <si>
    <t>LP</t>
  </si>
  <si>
    <t>Tasa de descuento:</t>
  </si>
  <si>
    <t xml:space="preserve">Factor D&amp;A </t>
  </si>
  <si>
    <t>Factor CIF</t>
  </si>
  <si>
    <t>VPN*@i%</t>
  </si>
  <si>
    <t>Factor ISR</t>
  </si>
  <si>
    <t xml:space="preserve">   DCF 25Y</t>
  </si>
  <si>
    <t>Factor inv</t>
  </si>
  <si>
    <t xml:space="preserve">   Perpetuidad</t>
  </si>
  <si>
    <t>Suma D&amp;A</t>
  </si>
  <si>
    <t>VPN/Acción</t>
  </si>
  <si>
    <t>Suma Inv.</t>
  </si>
  <si>
    <t>Inv.+Goodwill</t>
  </si>
  <si>
    <t>Duración</t>
  </si>
  <si>
    <t>Análisis ESG</t>
  </si>
  <si>
    <t>PARÁMETROS</t>
  </si>
  <si>
    <t>Impacto</t>
  </si>
  <si>
    <t>¿Reporta?</t>
  </si>
  <si>
    <t>Ranking</t>
  </si>
  <si>
    <t>Mitigación</t>
  </si>
  <si>
    <t>Semáforo</t>
  </si>
  <si>
    <t>Comentarios</t>
  </si>
  <si>
    <t>IMPACTO</t>
  </si>
  <si>
    <t>RANKING</t>
  </si>
  <si>
    <t>MITIGACIÓN</t>
  </si>
  <si>
    <t>Ambiental</t>
  </si>
  <si>
    <t>NONE</t>
  </si>
  <si>
    <t>"Best in class"</t>
  </si>
  <si>
    <t>Is there evidence of progam/plan/etc…</t>
  </si>
  <si>
    <t>Emisiones directas CO2</t>
  </si>
  <si>
    <t>Low</t>
  </si>
  <si>
    <t>Yes</t>
  </si>
  <si>
    <t>Medium High</t>
  </si>
  <si>
    <t>Scope 1 and 2 has been declining for the past 3 years</t>
  </si>
  <si>
    <t>LOW</t>
  </si>
  <si>
    <t>Medium high</t>
  </si>
  <si>
    <t>Uso total de agua</t>
  </si>
  <si>
    <t>High</t>
  </si>
  <si>
    <t>Medium</t>
  </si>
  <si>
    <t>No</t>
  </si>
  <si>
    <t>No mention of measures regarding.</t>
  </si>
  <si>
    <t>MEDIUM</t>
  </si>
  <si>
    <t>Total Energy Consumption</t>
  </si>
  <si>
    <t>U.S operations are powered through 100% renewable energy. Globally, are purchasing REC's (Renewable Energy Certificates). In 2023, Renewable Energy makes 56% of total in use within the organization.</t>
  </si>
  <si>
    <t>HIGH</t>
  </si>
  <si>
    <t>"Villain"</t>
  </si>
  <si>
    <t>Waste Management</t>
  </si>
  <si>
    <t>Has been decreasing since 2020 due to waste reduction efforts</t>
  </si>
  <si>
    <t>Land Degradation/Deforestation/Biodiversity loss/Animal sufering/…</t>
  </si>
  <si>
    <t>No policies in place</t>
  </si>
  <si>
    <t>TRAFFIC LIGHTS</t>
  </si>
  <si>
    <t>Social</t>
  </si>
  <si>
    <t>% Rotación de empleados</t>
  </si>
  <si>
    <t>Specifics are not disclosed, but is seen as a derirable employeer.</t>
  </si>
  <si>
    <t>Sueldos y compensaciones</t>
  </si>
  <si>
    <t xml:space="preserve"> Yes</t>
  </si>
  <si>
    <t>Provides market-competitive compensation, healthcare, 401(k) program, paid time off, bonding leave, as well as health, wellness, and financial planning programs.</t>
  </si>
  <si>
    <t>Temas de reputación</t>
  </si>
  <si>
    <t>"Best in Class"</t>
  </si>
  <si>
    <t xml:space="preserve">Selected as one of the Best Places to Work in 2024 by Glassdor. </t>
  </si>
  <si>
    <t>Temas de discriminación</t>
  </si>
  <si>
    <t>The company provides Employee Resource Groups that actively educate and discuss topics, widening perspetives. However, higher-up management positions are male dominated (only 30% women).</t>
  </si>
  <si>
    <t>Seguridad laboral</t>
  </si>
  <si>
    <t>Since 2021, 100% of U.S. employees in offices, stores and warehouses are covered by occupational health and safety management system. They also "report a 93% completion rate of safety training for relevant employees in the U.S."</t>
  </si>
  <si>
    <t>Daños a la salud</t>
  </si>
  <si>
    <t>Cases of facilities not being compliant with expectations have risen in the past 4 years, with non-compliances becoming more and more severe (comparing critical and non-priority), with the biggest issue being Health, Safety, &amp; Hygiene.</t>
  </si>
  <si>
    <t>PXP?</t>
  </si>
  <si>
    <t>"We provide a 401(k)-defined contribution plan covering substantially all our employees (…). Our contributions totaled approximately $2.0 million, $1.5 million, and $1.2 million for 2023, 2022, and 2021, respectively."</t>
  </si>
  <si>
    <t>Supply chain</t>
  </si>
  <si>
    <t xml:space="preserve">Yeti does not own any of the manufacturing facilities, having third-parties in China (the biggest), the Philippines, Vietnam, Taiwan, Poland, Mexico, Thailand and Malaysia. </t>
  </si>
  <si>
    <t>Community involvement</t>
  </si>
  <si>
    <t xml:space="preserve">Has partherships with many foundations, promoting activities ranging from beach clean-ups, conservation and restoration programs; Donated $2.3 million to support organizations and individuals working to preserve the wild. </t>
  </si>
  <si>
    <t>Public Sector</t>
  </si>
  <si>
    <t>No political contribuitions, corruption or customer privacy violations.</t>
  </si>
  <si>
    <t>Litigios</t>
  </si>
  <si>
    <t>The company had to recall more than 1.9 million coolers and cases as their magnets could detach, posing a deadly risk if swallowed. No injuries were reported, refunds and replacements were offered (March, 2023).Yeti sued TerraCycle US, who instead of destroying and recycling branded merchandise, illicitly sold them (July, 2023).</t>
  </si>
  <si>
    <t>Gobierno</t>
  </si>
  <si>
    <t>Diversidad (Género, edad, industria, región)</t>
  </si>
  <si>
    <t>As of 2023. out of all 11 directors, 10 are non executives and independent, 4 women on board, lacking in non-white representation.</t>
  </si>
  <si>
    <t>% independientes</t>
  </si>
  <si>
    <t>tiempo promedio como consejeros independientes</t>
  </si>
  <si>
    <t>Average Director Tenure is 3.75 years.</t>
  </si>
  <si>
    <t>Salidas recientes de consejeros/C-level executives?</t>
  </si>
  <si>
    <t>In 2022, Yeti announced the departure of the long-time CFO, this transition being part of a planned succession strategy</t>
  </si>
  <si>
    <t>CEO/Chairman</t>
  </si>
  <si>
    <t>Stable leadership</t>
  </si>
  <si>
    <t>Transparencia (segmentos, fuente de riqueza, adquisiciones, otros)</t>
  </si>
  <si>
    <t>In the Sustainability Report, Water Use and Employee Turnover were not present. The 10k lacks certain detailed metrics.</t>
  </si>
  <si>
    <t>Tiempo que tardan en reportar luego del final del trimestre/año</t>
  </si>
  <si>
    <t>Within expected window (3 months)</t>
  </si>
  <si>
    <t>Participación adicional del CEO en otros consejos o excesiva del Ch.</t>
  </si>
  <si>
    <t>No external commitments</t>
  </si>
  <si>
    <t>Auditoría/Consultoría</t>
  </si>
  <si>
    <t>PricewaterhouseCoopers LLp (one of the Big 4, stellar reputation) has been Yeti's auditor since 2021. No over-riliance on external consultants.</t>
  </si>
  <si>
    <t>Esquemas de compensación al management</t>
  </si>
  <si>
    <t>Pay-for-performance aligment (Cash/Short Term - net sales/operating income targets; Equity/Long term PBRSUs [Performance-Based Restricted Stock Units] requiring 90% target performance, with 200% cap, excludes stock options to reduce excessive risk taking)</t>
  </si>
  <si>
    <t>VALUATION MODEL</t>
  </si>
  <si>
    <t>SHORT TERM</t>
  </si>
  <si>
    <t>MEDIUM TERM</t>
  </si>
  <si>
    <t>LONG TERM</t>
  </si>
  <si>
    <t>Section</t>
  </si>
  <si>
    <t>Line #</t>
  </si>
  <si>
    <t>ITEM</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</si>
  <si>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</si>
  <si>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</si>
  <si>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</si>
  <si>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</si>
  <si>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</si>
  <si>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</si>
  <si>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</si>
  <si>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</si>
  <si>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</si>
  <si>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</si>
  <si>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</si>
  <si>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</si>
  <si>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</si>
  <si>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</si>
  <si>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</si>
  <si>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</si>
  <si>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</si>
  <si>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</si>
  <si>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</si>
  <si>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</si>
  <si>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</si>
  <si>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</si>
  <si>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</si>
  <si>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</si>
  <si>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</si>
  <si>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</si>
  <si>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</si>
  <si>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</si>
  <si>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</si>
  <si>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</si>
  <si>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</si>
  <si>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</si>
  <si>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</si>
  <si>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</si>
  <si>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</si>
  <si>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 xml:space="preserve"> </t>
  </si>
  <si>
    <t>Discount rate</t>
  </si>
  <si>
    <t>Total</t>
  </si>
  <si>
    <t>Risk free rate</t>
  </si>
  <si>
    <t>Equity premium</t>
  </si>
  <si>
    <t>Firm premium</t>
  </si>
  <si>
    <t>Discount Rate</t>
  </si>
  <si>
    <t>Short Term</t>
  </si>
  <si>
    <t>Medium term</t>
  </si>
  <si>
    <t>Long Term</t>
  </si>
  <si>
    <t>Reference (line)</t>
  </si>
  <si>
    <t>Modelling factors</t>
  </si>
  <si>
    <t>Depreciation factor</t>
  </si>
  <si>
    <t>% Capex/Adq (l16)</t>
  </si>
  <si>
    <t>Stock-based comp</t>
  </si>
  <si>
    <t>% revenue (l2)</t>
  </si>
  <si>
    <t>Tax Rate</t>
  </si>
  <si>
    <t>% (line 9)</t>
  </si>
  <si>
    <t>Interest Rate on debt</t>
  </si>
  <si>
    <t>% debt (l29)</t>
  </si>
  <si>
    <t>Interest Rate on cash</t>
  </si>
  <si>
    <t>% of cash (l28)</t>
  </si>
  <si>
    <t>Net SBC</t>
  </si>
  <si>
    <t>Working capital flows</t>
  </si>
  <si>
    <t>% of change revenues (l2)</t>
  </si>
  <si>
    <t>Capex / Adq</t>
  </si>
  <si>
    <t>Dividends</t>
  </si>
  <si>
    <t>Growth rate</t>
  </si>
  <si>
    <t>% of debt (l29)</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</si>
  <si>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</si>
  <si>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</si>
  <si>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</si>
  <si>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</si>
  <si>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</si>
  <si>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</si>
  <si>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</si>
  <si>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</si>
  <si>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</si>
  <si>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share value</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</si>
  <si>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</si>
  <si>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</si>
  <si>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</si>
  <si>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</si>
  <si>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</si>
  <si>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</si>
  <si>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</si>
  <si>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</si>
  <si>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</si>
  <si>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</si>
  <si>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</si>
  <si>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</si>
  <si>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</si>
  <si>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</si>
  <si>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</si>
  <si>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</si>
  <si>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</si>
  <si>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</si>
  <si>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</si>
  <si>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</si>
  <si>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</si>
  <si>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</si>
  <si>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</si>
  <si>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</si>
  <si>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</si>
  <si>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</si>
  <si>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</si>
  <si>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</si>
  <si>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</si>
  <si>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</si>
  <si>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</si>
  <si>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</si>
  <si>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</si>
  <si>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</si>
  <si>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</si>
  <si>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</si>
  <si>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</si>
  <si>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</si>
  <si>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</si>
  <si>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</si>
  <si>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</si>
  <si>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</si>
  <si>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</si>
  <si>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</si>
  <si>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</si>
  <si>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</si>
  <si>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Deuda Neta</t>
  </si>
  <si>
    <t>Deuda</t>
  </si>
  <si>
    <t>Interés Minoritario</t>
  </si>
  <si>
    <t>Capital Contable</t>
  </si>
  <si>
    <t>OTROS DATOS AL FIN DE AÑO</t>
  </si>
  <si>
    <t>Numero deEmpleados</t>
  </si>
  <si>
    <t>Acciones en circulación (millones)</t>
  </si>
  <si>
    <t>Insiders Own</t>
  </si>
  <si>
    <t>S&amp;P</t>
  </si>
  <si>
    <t>Precio Medio</t>
  </si>
  <si>
    <t>Moody's</t>
  </si>
  <si>
    <t>YTM</t>
  </si>
  <si>
    <t>DIVISA</t>
  </si>
  <si>
    <t>USD</t>
  </si>
  <si>
    <t>Millones</t>
  </si>
  <si>
    <t>YETI HOLDINGS, INC.</t>
  </si>
  <si>
    <t>(XNYS:YETI)</t>
  </si>
  <si>
    <t>RESULTADOS</t>
  </si>
  <si>
    <t>CIF (Poductos)</t>
  </si>
  <si>
    <t>Otros Gastos (Ingresos)</t>
  </si>
  <si>
    <t>Inventories</t>
  </si>
  <si>
    <t xml:space="preserve">Depreciación y amortización </t>
  </si>
  <si>
    <t>Por cobrar</t>
  </si>
  <si>
    <t>Por pagar</t>
  </si>
  <si>
    <t>Capital de trabajo</t>
  </si>
  <si>
    <t>Compra de Acciones</t>
  </si>
  <si>
    <t>POSICIÓN FINANCIERA</t>
  </si>
  <si>
    <t>Activos Fijos (Net Plant)</t>
  </si>
  <si>
    <t>Numero de Empleados</t>
  </si>
  <si>
    <t>Posicion en Corto (%)</t>
  </si>
  <si>
    <t>BONOS DE LA EMISORA A 3, 5 Y 10</t>
  </si>
  <si>
    <t>YTM (%)</t>
  </si>
  <si>
    <t>Assumptions</t>
  </si>
  <si>
    <t>Prospects:</t>
  </si>
  <si>
    <t>Last 10 Years</t>
  </si>
  <si>
    <t>10Y AVERAGE</t>
  </si>
  <si>
    <t>5Y AVERAGE</t>
  </si>
  <si>
    <t>3Y AVERAGE</t>
  </si>
  <si>
    <t>Short Term Forecast</t>
  </si>
  <si>
    <t>Long Term Forecast</t>
  </si>
  <si>
    <t>Revenue growth</t>
  </si>
  <si>
    <t>—</t>
  </si>
  <si>
    <t>Operating Margin</t>
  </si>
  <si>
    <t>Modelling Factors</t>
  </si>
  <si>
    <t>Reference</t>
  </si>
  <si>
    <t>6-10Y AVERAGE</t>
  </si>
  <si>
    <t>% Capex/Adq</t>
  </si>
  <si>
    <t>% revenue</t>
  </si>
  <si>
    <t>% EBT</t>
  </si>
  <si>
    <t>% of debt</t>
  </si>
  <si>
    <t>% of cash</t>
  </si>
  <si>
    <t>% of change revenues</t>
  </si>
  <si>
    <t>---</t>
  </si>
  <si>
    <t>FORECASTS</t>
  </si>
  <si>
    <t>Revenue Growth</t>
  </si>
  <si>
    <t>Base scenario</t>
  </si>
  <si>
    <t>Time period</t>
  </si>
  <si>
    <t>Forecasted revenue growth (%)</t>
  </si>
  <si>
    <t>Forecasted revenues</t>
  </si>
  <si>
    <t>Forecasted operating margin</t>
  </si>
  <si>
    <t>Bullish scenario</t>
  </si>
  <si>
    <t>Bearish scenario</t>
  </si>
  <si>
    <t>Depreciation</t>
  </si>
  <si>
    <t>Income Tax Expense</t>
  </si>
  <si>
    <t>Interest expense</t>
  </si>
  <si>
    <t>Interest income</t>
  </si>
  <si>
    <t>EBT</t>
  </si>
  <si>
    <t>Last 10 years</t>
  </si>
  <si>
    <t>Debt payment</t>
  </si>
  <si>
    <t>Total debt</t>
  </si>
  <si>
    <t>7Y AVERAGE</t>
  </si>
  <si>
    <t>Last 7 years</t>
  </si>
  <si>
    <t>Segments revenue</t>
  </si>
  <si>
    <t>Drinkwear</t>
  </si>
  <si>
    <t>Total segments revenue</t>
  </si>
  <si>
    <t>Change revenues</t>
  </si>
  <si>
    <t>Cash</t>
  </si>
  <si>
    <t>Cash/Revenue</t>
  </si>
  <si>
    <t>Debt Structure (from Bloomberg)</t>
  </si>
  <si>
    <t>Loans</t>
  </si>
  <si>
    <t>Forecasted debt</t>
  </si>
  <si>
    <t>Cash % sales</t>
  </si>
  <si>
    <t>Maturity year</t>
  </si>
  <si>
    <t>Issued year</t>
  </si>
  <si>
    <t>Amount</t>
  </si>
  <si>
    <t>Share buyback</t>
  </si>
  <si>
    <t>Cash/revenue</t>
  </si>
  <si>
    <t>Repayment debt</t>
  </si>
  <si>
    <t>Although its dependence on U.S. market is a current com of the company, it has been expanding to international channels and its historical international mix has been steadily increasing.</t>
  </si>
  <si>
    <t>Launched 24 new products in 2024, with broadening of legacy categories and expansion into new categories</t>
  </si>
  <si>
    <t>DTC sales grew +9% YoY for FY 2024 with growth across Ecommerce, Amazon, Corporate Sales, and YETI Retail</t>
  </si>
  <si>
    <t>International sales grew 30% YoY for FY 2024, ending the year at 18% of adjusted net sales</t>
  </si>
  <si>
    <t>NOTES:</t>
  </si>
  <si>
    <t>(p) = Promedio de últimos 3 años</t>
  </si>
  <si>
    <t>Stanley Black &amp; Decker Inc, Newell Brands Inc</t>
  </si>
  <si>
    <t>PO/Stand By</t>
  </si>
  <si>
    <t>KSF</t>
  </si>
  <si>
    <t>Consenso</t>
  </si>
  <si>
    <t>Peer Analysis</t>
  </si>
  <si>
    <t>ESG</t>
  </si>
  <si>
    <t>Riesgos claros</t>
  </si>
  <si>
    <t>CHECKLIST</t>
  </si>
  <si>
    <r>
      <rPr>
        <b/>
        <sz val="10"/>
        <rFont val="Arial"/>
        <family val="2"/>
      </rPr>
      <t>Sustainability Initiatives</t>
    </r>
    <r>
      <rPr>
        <sz val="10"/>
        <rFont val="Arial"/>
        <family val="2"/>
      </rPr>
      <t xml:space="preserve"> – Demand for eco-friendly products is rising, and YETI can leverage its reputation with its sustainable product lines.</t>
    </r>
  </si>
  <si>
    <t>Oportunidades</t>
  </si>
  <si>
    <r>
      <rPr>
        <b/>
        <sz val="10"/>
        <rFont val="Arial"/>
        <family val="2"/>
      </rPr>
      <t xml:space="preserve">Supply chain risks </t>
    </r>
    <r>
      <rPr>
        <sz val="10"/>
        <rFont val="Arial"/>
        <family val="2"/>
      </rPr>
      <t>- Many of YETI's core products are manufactured in China, the Philippines, Vietnam, Taiwan, Poland, Mexico, Thailand, and Malaysia. Dependence on overseas manufacturing exposes the company to potential disruptions and rising costs.</t>
    </r>
  </si>
  <si>
    <t>Riesgos</t>
  </si>
  <si>
    <r>
      <rPr>
        <b/>
        <sz val="10"/>
        <rFont val="Arial"/>
        <family val="2"/>
      </rPr>
      <t>Dependence on U.S. Market</t>
    </r>
    <r>
      <rPr>
        <sz val="10"/>
        <rFont val="Arial"/>
        <family val="2"/>
      </rPr>
      <t xml:space="preserve"> - 84% of YETI's net income in 2023 comes from the U.S., making it vulnerable to domestic economic flunctuations. </t>
    </r>
    <r>
      <rPr>
        <b/>
        <sz val="10"/>
        <rFont val="Arial"/>
        <family val="2"/>
      </rPr>
      <t>Limited Product Diversification</t>
    </r>
    <r>
      <rPr>
        <sz val="10"/>
        <rFont val="Arial"/>
        <family val="2"/>
      </rPr>
      <t xml:space="preserve"> - YETI t is heavily reliant on coolers and drinkware although it has expanded its products in these.</t>
    </r>
  </si>
  <si>
    <t>Cons</t>
  </si>
  <si>
    <r>
      <rPr>
        <b/>
        <sz val="10"/>
        <rFont val="Arial"/>
        <family val="2"/>
      </rPr>
      <t>Omnichannel Presence</t>
    </r>
    <r>
      <rPr>
        <sz val="10"/>
        <rFont val="Arial"/>
        <family val="2"/>
      </rPr>
      <t xml:space="preserve"> - The company effectively utilizes Direct-to-Consumer sales, retail partnerships, and e-commerce to reach a broad audience. </t>
    </r>
    <r>
      <rPr>
        <b/>
        <sz val="10"/>
        <rFont val="Arial"/>
        <family val="2"/>
      </rPr>
      <t>Strong Brand Recognition</t>
    </r>
    <r>
      <rPr>
        <sz val="10"/>
        <rFont val="Arial"/>
        <family val="2"/>
      </rPr>
      <t xml:space="preserve"> - YETI is a premium brand known for high-quality outdoor products, particularly in coolers and drinkware goods. </t>
    </r>
    <r>
      <rPr>
        <b/>
        <sz val="10"/>
        <rFont val="Arial"/>
        <family val="2"/>
      </rPr>
      <t>Diverse growth strategies</t>
    </r>
    <r>
      <rPr>
        <sz val="10"/>
        <rFont val="Arial"/>
        <family val="2"/>
      </rPr>
      <t xml:space="preserve"> - Yeti has been growing not only organically with increasing margins, but also through strategic M&amp;As such as acquisition of Mystery ranch (designs and manufactures durable loadbearing backpacks, bags, and pack accessories)</t>
    </r>
  </si>
  <si>
    <t>(historical stock price of the company and its peers; source: Bloomberg)</t>
  </si>
  <si>
    <t>Pros</t>
  </si>
  <si>
    <t>t inversiones; t adq. neto dep.</t>
  </si>
  <si>
    <t>Último Año</t>
  </si>
  <si>
    <r>
      <t>Inv/</t>
    </r>
    <r>
      <rPr>
        <sz val="10"/>
        <rFont val="Symbol"/>
        <family val="1"/>
        <charset val="2"/>
      </rPr>
      <t>D</t>
    </r>
    <r>
      <rPr>
        <sz val="10"/>
        <rFont val="Arial"/>
        <family val="2"/>
      </rPr>
      <t xml:space="preserve"> Vts</t>
    </r>
  </si>
  <si>
    <t>CVAR</t>
  </si>
  <si>
    <r>
      <t>D</t>
    </r>
    <r>
      <rPr>
        <b/>
        <sz val="10"/>
        <rFont val="Arial"/>
        <family val="2"/>
      </rPr>
      <t xml:space="preserve"> Cash and Equivalents</t>
    </r>
  </si>
  <si>
    <t>AAG</t>
  </si>
  <si>
    <t>FX</t>
  </si>
  <si>
    <t>CAGR</t>
  </si>
  <si>
    <t>2024 Est.</t>
  </si>
  <si>
    <t>Otros Financiemientos</t>
  </si>
  <si>
    <t>Endeudamiento Neto</t>
  </si>
  <si>
    <t>Stock Repurchases</t>
  </si>
  <si>
    <t>Adquisiones</t>
  </si>
  <si>
    <t>Investing Activities</t>
  </si>
  <si>
    <t>Working Capital</t>
  </si>
  <si>
    <t>Cash Flow from Operations (BWC)</t>
  </si>
  <si>
    <t>Profit</t>
  </si>
  <si>
    <t>Cash Flow</t>
  </si>
  <si>
    <t>Capex + Adq</t>
  </si>
  <si>
    <t>Depreciación</t>
  </si>
  <si>
    <t>Deuda/Activo</t>
  </si>
  <si>
    <t>Div.+Recompra</t>
  </si>
  <si>
    <t>Ingresos</t>
  </si>
  <si>
    <t>Año</t>
  </si>
  <si>
    <t>PO / Precio Stand By</t>
  </si>
  <si>
    <t>VER DCF</t>
  </si>
  <si>
    <t>DCF Value</t>
  </si>
  <si>
    <t>Supuestos de valuación</t>
  </si>
  <si>
    <t>Acuerdo</t>
  </si>
  <si>
    <t>Tesis de inversión</t>
  </si>
  <si>
    <t>Div. Yield:</t>
  </si>
  <si>
    <t>Tax (p) últ. 5a</t>
  </si>
  <si>
    <t>G</t>
  </si>
  <si>
    <t>TDY(p)/Precio</t>
  </si>
  <si>
    <t>FNP (p)</t>
  </si>
  <si>
    <t>S</t>
  </si>
  <si>
    <t>Bonos 1;5;40a (USD)</t>
  </si>
  <si>
    <t>Utilidad Neta (p)</t>
  </si>
  <si>
    <t>CIF/Deuda Neta Promedio</t>
  </si>
  <si>
    <t>E</t>
  </si>
  <si>
    <t>Precio/FNP (p)</t>
  </si>
  <si>
    <t>Ebidta(p)</t>
  </si>
  <si>
    <t>Ebidta/Ingresos(p)</t>
  </si>
  <si>
    <t>Semáforo ESG</t>
  </si>
  <si>
    <t>Net debt</t>
  </si>
  <si>
    <t>EV/Ebidta (p)</t>
  </si>
  <si>
    <t>ROIC</t>
  </si>
  <si>
    <t>Margen neto (p)</t>
  </si>
  <si>
    <t>% Short</t>
  </si>
  <si>
    <t>NFC</t>
  </si>
  <si>
    <t>ROA</t>
  </si>
  <si>
    <r>
      <t xml:space="preserve">%Vts; </t>
    </r>
    <r>
      <rPr>
        <b/>
        <sz val="10"/>
        <rFont val="Symbol"/>
        <family val="1"/>
        <charset val="2"/>
      </rPr>
      <t>D</t>
    </r>
  </si>
  <si>
    <t>Margen de Operación (p)</t>
  </si>
  <si>
    <t>t liq. (Pos prom./Vol.)</t>
  </si>
  <si>
    <t>EBITDA/net income</t>
  </si>
  <si>
    <t>Precio/Utilidad(p)</t>
  </si>
  <si>
    <t>UPA</t>
  </si>
  <si>
    <t>Tenencia % (nac/int'l)</t>
  </si>
  <si>
    <t>FNP(p)/Activos</t>
  </si>
  <si>
    <t>"Otros activos"/Activo</t>
  </si>
  <si>
    <t>=Enterprise Value</t>
  </si>
  <si>
    <t>Net income margin</t>
  </si>
  <si>
    <t>Precio/Valor en libros</t>
  </si>
  <si>
    <t>=EBIDTA</t>
  </si>
  <si>
    <t>Deuda/Ebidta</t>
  </si>
  <si>
    <t>-Cash</t>
  </si>
  <si>
    <t>Operating margin</t>
  </si>
  <si>
    <t>Calificación (S&amp;P)</t>
  </si>
  <si>
    <t>+Dep&amp;Amort</t>
  </si>
  <si>
    <t>Ebidta/CIF</t>
  </si>
  <si>
    <t>+Deuda Total</t>
  </si>
  <si>
    <r>
      <t xml:space="preserve">b </t>
    </r>
    <r>
      <rPr>
        <sz val="10"/>
        <rFont val="Arial"/>
        <family val="2"/>
      </rPr>
      <t>(Bloomberg; Yahoo)</t>
    </r>
  </si>
  <si>
    <t>Cash/Precio</t>
  </si>
  <si>
    <t>Market Cap.</t>
  </si>
  <si>
    <t>Insiders Own:</t>
  </si>
  <si>
    <t>Pasivo:</t>
  </si>
  <si>
    <t>Outstanding Shares</t>
  </si>
  <si>
    <t>Float:</t>
  </si>
  <si>
    <t>Año termina:</t>
  </si>
  <si>
    <r>
      <t xml:space="preserve">%Vts; %Op.Mg.; </t>
    </r>
    <r>
      <rPr>
        <b/>
        <sz val="10"/>
        <rFont val="Symbol"/>
        <family val="1"/>
        <charset val="2"/>
      </rPr>
      <t>D</t>
    </r>
  </si>
  <si>
    <t>Activo:</t>
  </si>
  <si>
    <t>Último Precio</t>
  </si>
  <si>
    <t>Múltiplos</t>
  </si>
  <si>
    <t>Rentabilidad (2023)</t>
  </si>
  <si>
    <t>Liquidez y Solvencia</t>
  </si>
  <si>
    <t>Acción</t>
  </si>
  <si>
    <t>Millones de USD</t>
  </si>
  <si>
    <r>
      <rPr>
        <b/>
        <sz val="9"/>
        <rFont val="Arial"/>
        <family val="2"/>
      </rPr>
      <t>CEO&amp;BOARD: Robert K. Shearer</t>
    </r>
    <r>
      <rPr>
        <sz val="9"/>
        <rFont val="Arial"/>
        <family val="2"/>
      </rPr>
      <t xml:space="preserve"> (Ch; 69yo; dir. s. 2018; ex CFO of VF Corporation, Director at Church &amp; Dwight Co., Inc.) ; </t>
    </r>
    <r>
      <rPr>
        <b/>
        <sz val="9"/>
        <rFont val="Arial"/>
        <family val="2"/>
      </rPr>
      <t>Matthew J. Reintjes</t>
    </r>
    <r>
      <rPr>
        <sz val="9"/>
        <rFont val="Arial"/>
        <family val="2"/>
      </rPr>
      <t xml:space="preserve"> (President &amp; CEO; 48yo; dir. s. 2016; ex Executive at Vista Outdoor Inc., President of Bushnell Outdoor Products); </t>
    </r>
    <r>
      <rPr>
        <b/>
        <sz val="9"/>
        <rFont val="Arial"/>
        <family val="2"/>
      </rPr>
      <t>Alison Dean</t>
    </r>
    <r>
      <rPr>
        <sz val="9"/>
        <rFont val="Arial"/>
        <family val="2"/>
      </rPr>
      <t xml:space="preserve"> (60yo; dir.s. 2020; ex EVP, CFO &amp; Treasurer at iRobot Corporation, Director at Everbridge, Inc.) ; </t>
    </r>
    <r>
      <rPr>
        <b/>
        <sz val="9"/>
        <rFont val="Arial"/>
        <family val="2"/>
      </rPr>
      <t>Alison Dean</t>
    </r>
    <r>
      <rPr>
        <sz val="9"/>
        <rFont val="Arial"/>
        <family val="2"/>
      </rPr>
      <t xml:space="preserve"> (60yo; dir.s. 2020; ex EVP, CFO &amp; Treasurer at iRobot Corporation, Director at Everbridge, Inc.); </t>
    </r>
    <r>
      <rPr>
        <b/>
        <sz val="9"/>
        <rFont val="Arial"/>
        <family val="2"/>
      </rPr>
      <t>Dustan E. McCoy</t>
    </r>
    <r>
      <rPr>
        <sz val="9"/>
        <rFont val="Arial"/>
        <family val="2"/>
      </rPr>
      <t xml:space="preserve"> (75yo; dir.s. 2018; ex Chairman &amp; CEO of Brunswick Corporation, Director at Freeport-McMoRan Inc.) ; </t>
    </r>
    <r>
      <rPr>
        <b/>
        <sz val="9"/>
        <rFont val="Arial"/>
        <family val="2"/>
      </rPr>
      <t>Mary Lou Kelley</t>
    </r>
    <r>
      <rPr>
        <sz val="9"/>
        <rFont val="Arial"/>
        <family val="2"/>
      </rPr>
      <t xml:space="preserve"> (57yo; board member since 2019; ex President of eCommerce at Best Buy Co., Inc., Director at Vera Bradley, Inc.); </t>
    </r>
    <r>
      <rPr>
        <b/>
        <sz val="9"/>
        <rFont val="Arial"/>
        <family val="2"/>
      </rPr>
      <t>Frank D. Gibeau</t>
    </r>
    <r>
      <rPr>
        <sz val="9"/>
        <rFont val="Arial"/>
        <family val="2"/>
      </rPr>
      <t xml:space="preserve"> (56yo; dir.s. 2020; CEO of Zynga Inc., ex EVP at Electronic Arts Inc.) ; </t>
    </r>
    <r>
      <rPr>
        <b/>
        <sz val="9"/>
        <color theme="1"/>
        <rFont val="Arial"/>
        <family val="2"/>
      </rPr>
      <t>Elizabeth Axelrod</t>
    </r>
    <r>
      <rPr>
        <sz val="9"/>
        <color theme="1"/>
        <rFont val="Arial"/>
        <family val="2"/>
      </rPr>
      <t xml:space="preserve"> ( 61yo; dir.s. 2023; ex Global Head of Employee Experience at Airbnb, SVP of Human Resources at eBay.) ;</t>
    </r>
    <r>
      <rPr>
        <b/>
        <sz val="9"/>
        <color theme="1"/>
        <rFont val="Arial"/>
        <family val="2"/>
      </rPr>
      <t xml:space="preserve"> Robert Katz</t>
    </r>
    <r>
      <rPr>
        <sz val="9"/>
        <color theme="1"/>
        <rFont val="Arial"/>
        <family val="2"/>
      </rPr>
      <t xml:space="preserve"> (57yo; board member since 2023; Executive Chairperson of Vail Resorts, Inc., ex CEO of Vail Resorts).</t>
    </r>
  </si>
  <si>
    <r>
      <rPr>
        <b/>
        <sz val="9.5"/>
        <rFont val="Arial"/>
        <family val="2"/>
      </rPr>
      <t>DESCRIPTION:</t>
    </r>
    <r>
      <rPr>
        <sz val="9.5"/>
        <rFont val="Arial"/>
        <family val="2"/>
      </rPr>
      <t xml:space="preserve"> YETI Holdings, Inc. is an American company specializing in premium outdoor lifestyle products, including high-performance coolers, drinkware, bags, and accessories. Founded in 2006, YETI is known for its durable, high-quality designs catering to outdoor enthusiasts, travelers, and professionals.</t>
    </r>
  </si>
  <si>
    <t>SIC: Sí</t>
  </si>
  <si>
    <t>NYSE</t>
  </si>
  <si>
    <t>Report (quarter): 2024/11/07</t>
  </si>
  <si>
    <t>Analista: Research</t>
  </si>
  <si>
    <t>(date of last modification)</t>
  </si>
  <si>
    <t>YETI Holdings is a premium brand with strong customer loyalty, expanding beyond coolers into outdoor gear. Its omnichannel strategy and global expansion drive growth, backed by solid financials. Key risks include competition, economic downturns, and supply chain challenges. Overall, YETI's premium positioning and market expansion make it a compelling long-term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</si>
</sst>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0;[Red]\-&quot;$&quot;#,##0"/>
    <numFmt numFmtId="165" formatCode="&quot;$&quot;#,##0.00;[Red]\-&quot;$&quot;#,##0.00"/>
    <numFmt numFmtId="166" formatCode="_-&quot;$&quot;* #,##0.00_-;\-&quot;$&quot;* #,##0.00_-;_-&quot;$&quot;* &quot;-&quot;??_-;_-@_-"/>
    <numFmt numFmtId="167" formatCode="&quot;$&quot;#,##0.00"/>
    <numFmt numFmtId="168" formatCode="&quot;$&quot;#,##0.0"/>
    <numFmt numFmtId="169" formatCode="&quot;$&quot;#,##0"/>
    <numFmt numFmtId="170" formatCode="0.0%"/>
    <numFmt numFmtId="171" formatCode="0.0"/>
    <numFmt numFmtId="172" formatCode="#,##0.0"/>
    <numFmt numFmtId="173" formatCode="_-* #,##0.00\ &quot;€&quot;_-;\-* #,##0.00\ &quot;€&quot;_-;_-* &quot;-&quot;??\ &quot;€&quot;_-;_-@_-"/>
    <numFmt numFmtId="174" formatCode="#,##0.000"/>
    <numFmt numFmtId="176" formatCode="[$$-409]#,##0"/>
    <numFmt numFmtId="177" formatCode="0.00_);[Red]\(0.00\)"/>
  </numFmts>
  <fonts count="9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b/>
      <sz val="10"/>
      <color indexed="9"/>
      <name val="Symbol"/>
      <family val="1"/>
      <charset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b/>
      <sz val="9"/>
      <color indexed="81"/>
      <name val="Tahoma"/>
      <family val="2"/>
    </font>
    <font>
      <sz val="10"/>
      <color rgb="FF92D050"/>
      <name val="Arial"/>
      <family val="2"/>
    </font>
    <font>
      <sz val="10"/>
      <color rgb="FF002060"/>
      <name val="Arial"/>
      <family val="2"/>
    </font>
    <font>
      <b/>
      <sz val="15"/>
      <color theme="0"/>
      <name val="Arial"/>
      <family val="2"/>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0"/>
      <name val="Calibri"/>
      <family val="2"/>
      <scheme val="minor"/>
    </font>
    <font>
      <sz val="11"/>
      <color theme="0"/>
      <name val="Arial"/>
      <family val="2"/>
    </font>
    <font>
      <sz val="9"/>
      <color rgb="FF000000"/>
      <name val="Tahoma"/>
      <family val="2"/>
    </font>
    <font>
      <b/>
      <sz val="12"/>
      <color theme="0"/>
      <name val="Arial"/>
      <family val="2"/>
    </font>
    <font>
      <sz val="12"/>
      <color theme="0"/>
      <name val="Arial"/>
      <family val="2"/>
    </font>
    <font>
      <sz val="10"/>
      <color theme="0" tint="-0.249977111117893"/>
      <name val="Arial"/>
      <family val="2"/>
    </font>
    <font>
      <sz val="11"/>
      <color theme="1"/>
      <name val="Arial"/>
      <family val="2"/>
    </font>
    <font>
      <sz val="12"/>
      <color theme="1"/>
      <name val="Arial"/>
      <family val="2"/>
    </font>
    <font>
      <sz val="10"/>
      <color rgb="FF000000"/>
      <name val="Times New Roman"/>
      <family val="1"/>
    </font>
    <font>
      <b/>
      <sz val="10"/>
      <color rgb="FF000000"/>
      <name val="Arial"/>
      <family val="2"/>
    </font>
    <font>
      <sz val="11"/>
      <color rgb="FFC00000"/>
      <name val="Arial"/>
      <family val="2"/>
    </font>
    <font>
      <sz val="11"/>
      <color rgb="FF000000"/>
      <name val="Arial"/>
      <family val="2"/>
    </font>
    <font>
      <sz val="12"/>
      <color rgb="FF000000"/>
      <name val="Calibri"/>
      <family val="2"/>
    </font>
    <font>
      <sz val="12"/>
      <color rgb="FF000000"/>
      <name val="Symbol"/>
      <family val="1"/>
      <charset val="2"/>
    </font>
    <font>
      <sz val="9"/>
      <name val="DengXian"/>
      <family val="3"/>
      <charset val="134"/>
    </font>
    <font>
      <sz val="10"/>
      <color theme="1"/>
      <name val="Calibri"/>
      <family val="2"/>
      <scheme val="minor"/>
    </font>
    <font>
      <sz val="10"/>
      <name val="Calibri"/>
      <family val="2"/>
      <scheme val="minor"/>
    </font>
    <font>
      <sz val="11"/>
      <color theme="0"/>
      <name val="Calibri"/>
      <family val="2"/>
      <scheme val="minor"/>
    </font>
    <font>
      <sz val="16"/>
      <color theme="0"/>
      <name val="Calibri"/>
      <family val="2"/>
      <scheme val="minor"/>
    </font>
    <font>
      <sz val="10"/>
      <color theme="0"/>
      <name val="Calibri"/>
      <family val="2"/>
      <scheme val="minor"/>
    </font>
    <font>
      <b/>
      <sz val="10"/>
      <color rgb="FF0070C0"/>
      <name val="Arial"/>
      <family val="2"/>
    </font>
    <font>
      <sz val="7.9"/>
      <name val="Arial"/>
      <family val="2"/>
    </font>
    <font>
      <sz val="7.9"/>
      <color theme="0"/>
      <name val="Arial"/>
      <family val="2"/>
    </font>
    <font>
      <b/>
      <sz val="10"/>
      <color rgb="FF002060"/>
      <name val="Arial"/>
      <family val="2"/>
    </font>
    <font>
      <b/>
      <sz val="9"/>
      <color indexed="8"/>
      <name val="Arial"/>
      <family val="2"/>
    </font>
    <font>
      <b/>
      <sz val="7.2"/>
      <color theme="0"/>
      <name val="Arial"/>
      <family val="2"/>
    </font>
    <font>
      <sz val="10"/>
      <color rgb="FF00B0F0"/>
      <name val="Arial"/>
      <family val="2"/>
    </font>
    <font>
      <sz val="10"/>
      <name val="Symbol"/>
      <family val="1"/>
      <charset val="2"/>
    </font>
    <font>
      <b/>
      <sz val="10"/>
      <name val="Symbol"/>
      <family val="1"/>
      <charset val="2"/>
    </font>
    <font>
      <sz val="10"/>
      <color rgb="FF00B050"/>
      <name val="Arial"/>
      <family val="2"/>
    </font>
    <font>
      <b/>
      <sz val="10"/>
      <color rgb="FFFF0000"/>
      <name val="Arial"/>
      <family val="2"/>
    </font>
    <font>
      <sz val="10"/>
      <color rgb="FF0070C0"/>
      <name val="Arial"/>
      <family val="2"/>
    </font>
    <font>
      <sz val="7.9"/>
      <color theme="1"/>
      <name val="Arial"/>
      <family val="2"/>
    </font>
    <font>
      <b/>
      <sz val="11"/>
      <color theme="0"/>
      <name val="Arial"/>
      <family val="2"/>
    </font>
    <font>
      <u/>
      <sz val="10"/>
      <color theme="0"/>
      <name val="Arial"/>
      <family val="2"/>
    </font>
    <font>
      <b/>
      <sz val="9.3000000000000007"/>
      <name val="Arial"/>
      <family val="2"/>
    </font>
    <font>
      <b/>
      <sz val="9"/>
      <color theme="1"/>
      <name val="Arial"/>
      <family val="2"/>
    </font>
    <font>
      <sz val="9"/>
      <color theme="1"/>
      <name val="Arial"/>
      <family val="2"/>
    </font>
    <font>
      <sz val="9.5"/>
      <name val="Arial"/>
      <family val="2"/>
    </font>
    <font>
      <b/>
      <sz val="9.5"/>
      <name val="Arial"/>
      <family val="2"/>
    </font>
  </fonts>
  <fills count="30">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39997558519241921"/>
        <bgColor indexed="64"/>
      </patternFill>
    </fill>
    <fill>
      <patternFill patternType="solid">
        <fgColor theme="5"/>
        <bgColor indexed="64"/>
      </patternFill>
    </fill>
    <fill>
      <patternFill patternType="solid">
        <fgColor rgb="FFFF2600"/>
        <bgColor indexed="64"/>
      </patternFill>
    </fill>
    <fill>
      <patternFill patternType="solid">
        <fgColor rgb="FFF2F2F2"/>
        <bgColor rgb="FF000000"/>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34998626667073579"/>
        <bgColor indexed="64"/>
      </patternFill>
    </fill>
    <fill>
      <patternFill patternType="solid">
        <fgColor rgb="FF00B050"/>
        <bgColor indexed="64"/>
      </patternFill>
    </fill>
  </fills>
  <borders count="165">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3"/>
      </left>
      <right style="thin">
        <color theme="0" tint="-0.499984740745262"/>
      </right>
      <top style="thin">
        <color theme="0" tint="-0.499984740745262"/>
      </top>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style="thin">
        <color theme="0" tint="-0.499984740745262"/>
      </top>
      <bottom style="medium">
        <color theme="3"/>
      </bottom>
      <diagonal/>
    </border>
    <border>
      <left/>
      <right/>
      <top style="thin">
        <color theme="0" tint="-0.499984740745262"/>
      </top>
      <bottom style="medium">
        <color theme="3"/>
      </bottom>
      <diagonal/>
    </border>
    <border>
      <left/>
      <right style="medium">
        <color theme="3"/>
      </right>
      <top style="thin">
        <color theme="0" tint="-0.499984740745262"/>
      </top>
      <bottom style="medium">
        <color theme="3"/>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right/>
      <top/>
      <bottom style="thin">
        <color indexed="64"/>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medium">
        <color theme="3"/>
      </left>
      <right style="thin">
        <color theme="0" tint="-0.499984740745262"/>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style="thin">
        <color theme="3"/>
      </right>
      <top style="thin">
        <color theme="3"/>
      </top>
      <bottom/>
      <diagonal/>
    </border>
    <border>
      <left/>
      <right style="thin">
        <color theme="5"/>
      </right>
      <top/>
      <bottom/>
      <diagonal/>
    </border>
    <border>
      <left style="thin">
        <color theme="5"/>
      </left>
      <right style="thin">
        <color theme="5"/>
      </right>
      <top style="thin">
        <color theme="5"/>
      </top>
      <bottom style="thin">
        <color theme="5"/>
      </bottom>
      <diagonal/>
    </border>
    <border>
      <left style="thin">
        <color theme="5"/>
      </left>
      <right/>
      <top style="thin">
        <color theme="5"/>
      </top>
      <bottom/>
      <diagonal/>
    </border>
    <border>
      <left/>
      <right style="thin">
        <color theme="5"/>
      </right>
      <top style="thin">
        <color theme="5"/>
      </top>
      <bottom/>
      <diagonal/>
    </border>
    <border>
      <left style="thin">
        <color theme="5"/>
      </left>
      <right/>
      <top/>
      <bottom/>
      <diagonal/>
    </border>
    <border>
      <left style="thin">
        <color theme="5"/>
      </left>
      <right/>
      <top/>
      <bottom style="thin">
        <color theme="5"/>
      </bottom>
      <diagonal/>
    </border>
    <border>
      <left/>
      <right style="thin">
        <color theme="5"/>
      </right>
      <top/>
      <bottom style="thin">
        <color theme="5"/>
      </bottom>
      <diagonal/>
    </border>
    <border>
      <left style="thin">
        <color theme="5"/>
      </left>
      <right style="thin">
        <color theme="5"/>
      </right>
      <top style="thin">
        <color theme="5"/>
      </top>
      <bottom/>
      <diagonal/>
    </border>
    <border>
      <left style="thin">
        <color theme="5"/>
      </left>
      <right style="thin">
        <color theme="5"/>
      </right>
      <top/>
      <bottom/>
      <diagonal/>
    </border>
    <border>
      <left style="thin">
        <color theme="5"/>
      </left>
      <right style="thin">
        <color theme="5"/>
      </right>
      <top/>
      <bottom style="thin">
        <color theme="5"/>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theme="3"/>
      </top>
      <bottom/>
      <diagonal/>
    </border>
    <border>
      <left/>
      <right style="medium">
        <color rgb="FF000000"/>
      </right>
      <top style="thin">
        <color theme="3"/>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theme="0" tint="-0.249977111117893"/>
      </left>
      <right style="medium">
        <color theme="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medium">
        <color theme="3"/>
      </left>
      <right style="thin">
        <color theme="0" tint="-0.14999847407452621"/>
      </right>
      <top style="thin">
        <color theme="0" tint="-0.14999847407452621"/>
      </top>
      <bottom style="medium">
        <color theme="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style="thin">
        <color theme="0" tint="-0.14999847407452621"/>
      </right>
      <top style="thin">
        <color theme="0" tint="-0.14999847407452621"/>
      </top>
      <bottom style="thin">
        <color theme="0" tint="-0.14999847407452621"/>
      </bottom>
      <diagonal/>
    </border>
    <border>
      <left style="medium">
        <color theme="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medium">
        <color theme="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diagonal/>
    </border>
    <border>
      <left style="thin">
        <color theme="0" tint="-0.249977111117893"/>
      </left>
      <right/>
      <top/>
      <bottom/>
      <diagonal/>
    </border>
    <border>
      <left style="thin">
        <color theme="0" tint="-0.249977111117893"/>
      </left>
      <right style="thin">
        <color theme="0" tint="-0.249977111117893"/>
      </right>
      <top/>
      <bottom style="thin">
        <color theme="0" tint="-0.249977111117893"/>
      </bottom>
      <diagonal/>
    </border>
    <border>
      <left style="medium">
        <color theme="3"/>
      </left>
      <right/>
      <top/>
      <bottom style="thin">
        <color theme="0" tint="-0.249977111117893"/>
      </bottom>
      <diagonal/>
    </border>
    <border>
      <left/>
      <right style="thin">
        <color theme="0" tint="-0.249977111117893"/>
      </right>
      <top style="thin">
        <color theme="0" tint="-0.249977111117893"/>
      </top>
      <bottom/>
      <diagonal/>
    </border>
    <border>
      <left/>
      <right/>
      <top style="thin">
        <color theme="0" tint="-0.249977111117893"/>
      </top>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medium">
        <color theme="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499984740745262"/>
      </left>
      <right/>
      <top/>
      <bottom/>
      <diagonal/>
    </border>
    <border>
      <left style="thin">
        <color theme="0" tint="-0.249977111117893"/>
      </left>
      <right style="medium">
        <color theme="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right/>
      <top style="medium">
        <color theme="3"/>
      </top>
      <bottom style="thin">
        <color theme="0" tint="-0.249977111117893"/>
      </bottom>
      <diagonal/>
    </border>
    <border>
      <left style="thin">
        <color theme="0" tint="-0.249977111117893"/>
      </left>
      <right/>
      <top style="medium">
        <color theme="3"/>
      </top>
      <bottom style="thin">
        <color theme="0" tint="-0.249977111117893"/>
      </bottom>
      <diagonal/>
    </border>
    <border>
      <left style="thin">
        <color theme="0" tint="-0.14999847407452621"/>
      </left>
      <right style="thin">
        <color theme="0" tint="-0.14999847407452621"/>
      </right>
      <top style="medium">
        <color theme="3"/>
      </top>
      <bottom style="thin">
        <color theme="0" tint="-0.14999847407452621"/>
      </bottom>
      <diagonal/>
    </border>
    <border>
      <left style="medium">
        <color theme="3"/>
      </left>
      <right style="thin">
        <color theme="0" tint="-0.249977111117893"/>
      </right>
      <top style="medium">
        <color theme="3"/>
      </top>
      <bottom style="thin">
        <color theme="0" tint="-0.249977111117893"/>
      </bottom>
      <diagonal/>
    </border>
  </borders>
  <cellStyleXfs count="39">
    <xf numFmtId="0" fontId="0" fillId="0" borderId="0"/>
    <xf numFmtId="0" fontId="13" fillId="2" borderId="1" applyNumberFormat="0" applyProtection="0">
      <alignment horizontal="left" vertical="center" readingOrder="1"/>
    </xf>
    <xf numFmtId="0" fontId="14" fillId="2" borderId="2">
      <alignment horizontal="left"/>
    </xf>
    <xf numFmtId="0" fontId="14" fillId="2" borderId="3">
      <alignment horizontal="right"/>
    </xf>
    <xf numFmtId="0" fontId="14" fillId="2" borderId="3">
      <alignment horizontal="left"/>
    </xf>
    <xf numFmtId="3" fontId="15" fillId="3" borderId="4">
      <alignment horizontal="right"/>
    </xf>
    <xf numFmtId="172" fontId="10" fillId="3" borderId="4">
      <alignment horizontal="right"/>
    </xf>
    <xf numFmtId="4" fontId="10" fillId="3" borderId="4">
      <alignment horizontal="right"/>
    </xf>
    <xf numFmtId="0" fontId="15" fillId="3" borderId="5"/>
    <xf numFmtId="0" fontId="16" fillId="3" borderId="5"/>
    <xf numFmtId="0" fontId="9" fillId="0" borderId="0" applyNumberFormat="0" applyFill="0" applyBorder="0" applyAlignment="0" applyProtection="0">
      <alignment vertical="top"/>
      <protection locked="0"/>
    </xf>
    <xf numFmtId="166" fontId="19" fillId="0" borderId="0" applyFont="0" applyFill="0" applyBorder="0" applyAlignment="0" applyProtection="0"/>
    <xf numFmtId="166"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7" fillId="0" borderId="0"/>
    <xf numFmtId="166" fontId="7" fillId="0" borderId="0" applyFont="0" applyFill="0" applyBorder="0" applyAlignment="0" applyProtection="0"/>
    <xf numFmtId="166" fontId="7" fillId="0" borderId="0" applyFont="0" applyFill="0" applyBorder="0" applyAlignment="0" applyProtection="0"/>
    <xf numFmtId="0" fontId="5"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0" fontId="5" fillId="0" borderId="0"/>
    <xf numFmtId="43" fontId="7" fillId="0" borderId="0" applyFont="0" applyFill="0" applyBorder="0" applyAlignment="0" applyProtection="0"/>
    <xf numFmtId="173" fontId="7" fillId="0" borderId="0" applyFont="0" applyFill="0" applyBorder="0" applyAlignment="0" applyProtection="0"/>
    <xf numFmtId="0" fontId="4" fillId="0" borderId="0"/>
    <xf numFmtId="0" fontId="4"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43" fontId="46" fillId="0" borderId="0" applyFont="0" applyFill="0" applyBorder="0" applyAlignment="0" applyProtection="0"/>
    <xf numFmtId="0" fontId="2" fillId="0" borderId="0"/>
  </cellStyleXfs>
  <cellXfs count="937">
    <xf numFmtId="0" fontId="0" fillId="0" borderId="0" xfId="0"/>
    <xf numFmtId="169" fontId="0" fillId="0" borderId="0" xfId="0" applyNumberFormat="1" applyAlignment="1">
      <alignment horizontal="center"/>
    </xf>
    <xf numFmtId="167"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0" fontId="0" fillId="0" borderId="0" xfId="15" applyNumberFormat="1" applyFont="1" applyAlignment="1">
      <alignment horizontal="center"/>
    </xf>
    <xf numFmtId="169"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0" fontId="0" fillId="0" borderId="0" xfId="0" applyNumberFormat="1" applyAlignment="1">
      <alignment horizontal="center"/>
    </xf>
    <xf numFmtId="0" fontId="11" fillId="0" borderId="0" xfId="0" applyFont="1"/>
    <xf numFmtId="9" fontId="0" fillId="0" borderId="0" xfId="15" applyFont="1"/>
    <xf numFmtId="0" fontId="12" fillId="0" borderId="0" xfId="0" applyFont="1" applyAlignment="1">
      <alignment horizontal="center"/>
    </xf>
    <xf numFmtId="170" fontId="0" fillId="0" borderId="0" xfId="15" applyNumberFormat="1" applyFont="1"/>
    <xf numFmtId="0" fontId="25" fillId="0" borderId="0" xfId="0" applyFont="1"/>
    <xf numFmtId="0" fontId="14" fillId="4" borderId="6" xfId="3" applyFill="1" applyBorder="1" applyAlignment="1">
      <alignment horizontal="center" vertical="center"/>
    </xf>
    <xf numFmtId="0" fontId="26" fillId="4" borderId="6" xfId="0" applyFont="1" applyFill="1" applyBorder="1" applyAlignment="1">
      <alignment horizontal="center"/>
    </xf>
    <xf numFmtId="0" fontId="14" fillId="4" borderId="8" xfId="4" applyFill="1" applyBorder="1">
      <alignment horizontal="left"/>
    </xf>
    <xf numFmtId="0" fontId="27" fillId="0" borderId="10" xfId="8" applyFont="1" applyFill="1" applyBorder="1" applyAlignment="1">
      <alignment horizontal="center"/>
    </xf>
    <xf numFmtId="0" fontId="27" fillId="0" borderId="12" xfId="8" applyFont="1" applyFill="1" applyBorder="1" applyAlignment="1">
      <alignment horizontal="center"/>
    </xf>
    <xf numFmtId="0" fontId="26" fillId="4" borderId="13" xfId="0" applyFont="1" applyFill="1" applyBorder="1" applyAlignment="1">
      <alignment horizontal="center"/>
    </xf>
    <xf numFmtId="0" fontId="12" fillId="0" borderId="14" xfId="0" applyFont="1" applyBorder="1" applyAlignment="1">
      <alignment horizontal="center"/>
    </xf>
    <xf numFmtId="9" fontId="12" fillId="0" borderId="14" xfId="15" applyFont="1" applyBorder="1"/>
    <xf numFmtId="0" fontId="12" fillId="0" borderId="13" xfId="0" applyFont="1" applyBorder="1" applyAlignment="1">
      <alignment horizontal="center"/>
    </xf>
    <xf numFmtId="0" fontId="12" fillId="0" borderId="17" xfId="0" applyFont="1" applyBorder="1"/>
    <xf numFmtId="0" fontId="12" fillId="0" borderId="8" xfId="0" applyFont="1" applyBorder="1"/>
    <xf numFmtId="9" fontId="12" fillId="0" borderId="13" xfId="15" applyFont="1" applyBorder="1"/>
    <xf numFmtId="0" fontId="12" fillId="0" borderId="19" xfId="0" applyFont="1" applyBorder="1"/>
    <xf numFmtId="9" fontId="12" fillId="0" borderId="20" xfId="15" applyFont="1" applyBorder="1"/>
    <xf numFmtId="9" fontId="12" fillId="0" borderId="21" xfId="15" applyFont="1" applyBorder="1"/>
    <xf numFmtId="0" fontId="25" fillId="4" borderId="0" xfId="0" applyFont="1" applyFill="1"/>
    <xf numFmtId="169" fontId="25" fillId="4" borderId="0" xfId="0" applyNumberFormat="1" applyFont="1" applyFill="1"/>
    <xf numFmtId="169" fontId="25" fillId="4" borderId="0" xfId="0" applyNumberFormat="1" applyFont="1" applyFill="1" applyAlignment="1">
      <alignment horizontal="center"/>
    </xf>
    <xf numFmtId="170" fontId="12" fillId="0" borderId="0" xfId="0" applyNumberFormat="1" applyFont="1" applyAlignment="1">
      <alignment horizontal="center"/>
    </xf>
    <xf numFmtId="10" fontId="12" fillId="0" borderId="0" xfId="0" applyNumberFormat="1" applyFont="1" applyAlignment="1">
      <alignment horizontal="center"/>
    </xf>
    <xf numFmtId="169" fontId="26" fillId="4" borderId="0" xfId="0" applyNumberFormat="1" applyFont="1" applyFill="1" applyAlignment="1">
      <alignment horizontal="center"/>
    </xf>
    <xf numFmtId="169" fontId="12" fillId="0" borderId="0" xfId="0" applyNumberFormat="1" applyFont="1" applyAlignment="1">
      <alignment horizontal="left"/>
    </xf>
    <xf numFmtId="167" fontId="12" fillId="0" borderId="0" xfId="0" applyNumberFormat="1" applyFont="1" applyAlignment="1">
      <alignment horizontal="center"/>
    </xf>
    <xf numFmtId="9" fontId="12" fillId="0" borderId="0" xfId="15" applyFont="1" applyAlignment="1">
      <alignment horizontal="center"/>
    </xf>
    <xf numFmtId="169" fontId="12" fillId="0" borderId="14" xfId="0" applyNumberFormat="1" applyFont="1" applyBorder="1"/>
    <xf numFmtId="169" fontId="12" fillId="0" borderId="20" xfId="0" applyNumberFormat="1" applyFont="1" applyBorder="1"/>
    <xf numFmtId="0" fontId="28" fillId="3" borderId="12" xfId="9" applyFont="1" applyBorder="1"/>
    <xf numFmtId="0" fontId="28" fillId="3" borderId="22" xfId="9" applyFont="1" applyBorder="1"/>
    <xf numFmtId="0" fontId="28" fillId="0" borderId="12" xfId="9" applyFont="1" applyFill="1" applyBorder="1"/>
    <xf numFmtId="0" fontId="28" fillId="0" borderId="12" xfId="0" applyFont="1" applyBorder="1"/>
    <xf numFmtId="0" fontId="28" fillId="0" borderId="24" xfId="0" applyFont="1" applyBorder="1" applyAlignment="1">
      <alignment horizontal="center"/>
    </xf>
    <xf numFmtId="0" fontId="28" fillId="0" borderId="25" xfId="0" applyFont="1" applyBorder="1"/>
    <xf numFmtId="0" fontId="28" fillId="0" borderId="23" xfId="0" applyFont="1" applyBorder="1"/>
    <xf numFmtId="0" fontId="28" fillId="0" borderId="26" xfId="0" applyFont="1" applyBorder="1" applyAlignment="1">
      <alignment horizontal="center"/>
    </xf>
    <xf numFmtId="0" fontId="28" fillId="0" borderId="27" xfId="0" applyFont="1" applyBorder="1"/>
    <xf numFmtId="170" fontId="25" fillId="4" borderId="0" xfId="0" applyNumberFormat="1" applyFont="1" applyFill="1" applyAlignment="1">
      <alignment horizontal="center"/>
    </xf>
    <xf numFmtId="0" fontId="28" fillId="3" borderId="12" xfId="9" applyFont="1" applyBorder="1" applyAlignment="1">
      <alignment vertical="center"/>
    </xf>
    <xf numFmtId="0" fontId="11" fillId="0" borderId="0" xfId="0" applyFont="1" applyAlignment="1">
      <alignment vertical="center"/>
    </xf>
    <xf numFmtId="0" fontId="28" fillId="0" borderId="12" xfId="0" applyFont="1" applyBorder="1" applyAlignment="1">
      <alignment vertical="center"/>
    </xf>
    <xf numFmtId="0" fontId="28" fillId="0" borderId="24" xfId="0" applyFont="1" applyBorder="1" applyAlignment="1">
      <alignment horizontal="center" vertical="center"/>
    </xf>
    <xf numFmtId="0" fontId="28" fillId="0" borderId="25" xfId="0" applyFont="1" applyBorder="1" applyAlignment="1">
      <alignment vertical="center"/>
    </xf>
    <xf numFmtId="0" fontId="29" fillId="0" borderId="0" xfId="10" applyFont="1" applyAlignment="1" applyProtection="1"/>
    <xf numFmtId="172" fontId="0" fillId="0" borderId="0" xfId="0" applyNumberFormat="1" applyAlignment="1">
      <alignment horizontal="center"/>
    </xf>
    <xf numFmtId="169" fontId="12" fillId="0" borderId="14" xfId="0" applyNumberFormat="1" applyFont="1" applyBorder="1" applyAlignment="1">
      <alignment horizontal="center"/>
    </xf>
    <xf numFmtId="169" fontId="12" fillId="0" borderId="20" xfId="0" applyNumberFormat="1" applyFont="1" applyBorder="1" applyAlignment="1">
      <alignment horizontal="center"/>
    </xf>
    <xf numFmtId="0" fontId="12" fillId="0" borderId="0" xfId="0" applyFont="1" applyAlignment="1">
      <alignment horizontal="left"/>
    </xf>
    <xf numFmtId="169" fontId="0" fillId="7" borderId="0" xfId="0" applyNumberFormat="1" applyFill="1" applyAlignment="1">
      <alignment horizontal="center"/>
    </xf>
    <xf numFmtId="172" fontId="0" fillId="0" borderId="34" xfId="0" applyNumberFormat="1" applyBorder="1" applyAlignment="1">
      <alignment horizontal="center"/>
    </xf>
    <xf numFmtId="169" fontId="0" fillId="0" borderId="36" xfId="0" applyNumberFormat="1" applyBorder="1" applyAlignment="1">
      <alignment horizontal="center"/>
    </xf>
    <xf numFmtId="172" fontId="0" fillId="0" borderId="36" xfId="0" applyNumberFormat="1" applyBorder="1" applyAlignment="1">
      <alignment horizontal="center"/>
    </xf>
    <xf numFmtId="172" fontId="0" fillId="0" borderId="37" xfId="0" applyNumberFormat="1" applyBorder="1" applyAlignment="1">
      <alignment horizontal="center"/>
    </xf>
    <xf numFmtId="167" fontId="0" fillId="0" borderId="32" xfId="0" applyNumberFormat="1" applyBorder="1" applyAlignment="1">
      <alignment horizontal="center"/>
    </xf>
    <xf numFmtId="170" fontId="25" fillId="4" borderId="0" xfId="15" applyNumberFormat="1" applyFont="1" applyFill="1" applyAlignment="1">
      <alignment horizontal="center"/>
    </xf>
    <xf numFmtId="167" fontId="25" fillId="4" borderId="0" xfId="0" applyNumberFormat="1" applyFont="1" applyFill="1" applyAlignment="1">
      <alignment horizontal="center"/>
    </xf>
    <xf numFmtId="0" fontId="11" fillId="0" borderId="0" xfId="0" applyFont="1" applyAlignment="1">
      <alignment horizontal="left"/>
    </xf>
    <xf numFmtId="0" fontId="7" fillId="0" borderId="0" xfId="0" applyFont="1"/>
    <xf numFmtId="168" fontId="0" fillId="0" borderId="0" xfId="0" applyNumberFormat="1"/>
    <xf numFmtId="170" fontId="12" fillId="9" borderId="14" xfId="15" applyNumberFormat="1" applyFont="1" applyFill="1" applyBorder="1"/>
    <xf numFmtId="170" fontId="7" fillId="0" borderId="0" xfId="0" applyNumberFormat="1" applyFont="1" applyAlignment="1">
      <alignment horizontal="center"/>
    </xf>
    <xf numFmtId="0" fontId="7" fillId="0" borderId="0" xfId="0" applyFont="1" applyAlignment="1">
      <alignment horizontal="center"/>
    </xf>
    <xf numFmtId="9" fontId="0" fillId="0" borderId="0" xfId="0" applyNumberFormat="1"/>
    <xf numFmtId="169" fontId="7" fillId="0" borderId="0" xfId="0" quotePrefix="1" applyNumberFormat="1" applyFont="1" applyAlignment="1">
      <alignment horizontal="center"/>
    </xf>
    <xf numFmtId="170" fontId="12" fillId="0" borderId="20" xfId="15" applyNumberFormat="1" applyFont="1" applyBorder="1"/>
    <xf numFmtId="0" fontId="8" fillId="0" borderId="0" xfId="0" applyFont="1"/>
    <xf numFmtId="10" fontId="7" fillId="0" borderId="0" xfId="0" applyNumberFormat="1" applyFont="1" applyAlignment="1">
      <alignment horizontal="center"/>
    </xf>
    <xf numFmtId="168" fontId="0" fillId="0" borderId="0" xfId="0" applyNumberFormat="1" applyAlignment="1">
      <alignment horizontal="center"/>
    </xf>
    <xf numFmtId="169" fontId="7" fillId="0" borderId="0" xfId="0" applyNumberFormat="1" applyFont="1"/>
    <xf numFmtId="0" fontId="12" fillId="0" borderId="18" xfId="0" applyFont="1" applyBorder="1"/>
    <xf numFmtId="0" fontId="7" fillId="0" borderId="17" xfId="0" applyFont="1" applyBorder="1" applyAlignment="1">
      <alignment horizontal="left" indent="1"/>
    </xf>
    <xf numFmtId="169" fontId="12" fillId="0" borderId="0" xfId="0" applyNumberFormat="1" applyFont="1" applyAlignment="1">
      <alignment horizontal="center"/>
    </xf>
    <xf numFmtId="9" fontId="12" fillId="0" borderId="0" xfId="15" applyFont="1"/>
    <xf numFmtId="9" fontId="12" fillId="0" borderId="16" xfId="15" applyFont="1" applyBorder="1"/>
    <xf numFmtId="0" fontId="7" fillId="0" borderId="8" xfId="0" applyFont="1" applyBorder="1"/>
    <xf numFmtId="0" fontId="7" fillId="0" borderId="17" xfId="0" applyFont="1" applyBorder="1"/>
    <xf numFmtId="169" fontId="7" fillId="0" borderId="0" xfId="0" applyNumberFormat="1" applyFont="1" applyAlignment="1">
      <alignment horizontal="center"/>
    </xf>
    <xf numFmtId="9" fontId="7" fillId="0" borderId="0" xfId="15" applyFont="1"/>
    <xf numFmtId="9" fontId="7" fillId="0" borderId="16" xfId="15" applyFont="1" applyBorder="1"/>
    <xf numFmtId="0" fontId="7" fillId="0" borderId="15" xfId="0" applyFont="1" applyBorder="1"/>
    <xf numFmtId="9" fontId="0" fillId="0" borderId="0" xfId="15" applyFont="1" applyAlignment="1">
      <alignment horizontal="right"/>
    </xf>
    <xf numFmtId="0" fontId="7" fillId="3" borderId="25" xfId="9" applyFont="1" applyBorder="1" applyAlignment="1">
      <alignment horizontal="right"/>
    </xf>
    <xf numFmtId="172" fontId="7" fillId="3" borderId="25" xfId="6" applyFont="1" applyBorder="1">
      <alignment horizontal="right"/>
    </xf>
    <xf numFmtId="4" fontId="7" fillId="3" borderId="25" xfId="7" applyFont="1" applyBorder="1">
      <alignment horizontal="right"/>
    </xf>
    <xf numFmtId="0" fontId="7" fillId="0" borderId="25" xfId="9" applyFont="1" applyFill="1" applyBorder="1" applyAlignment="1">
      <alignment horizontal="right"/>
    </xf>
    <xf numFmtId="4" fontId="7" fillId="5" borderId="25" xfId="7" applyFont="1" applyFill="1" applyBorder="1">
      <alignment horizontal="right"/>
    </xf>
    <xf numFmtId="0" fontId="7" fillId="3" borderId="47" xfId="9" applyFont="1" applyBorder="1" applyAlignment="1">
      <alignment horizontal="right"/>
    </xf>
    <xf numFmtId="172" fontId="7" fillId="3" borderId="47" xfId="6" applyFont="1" applyBorder="1">
      <alignment horizontal="right"/>
    </xf>
    <xf numFmtId="4" fontId="7" fillId="0" borderId="27" xfId="7" applyFont="1" applyFill="1" applyBorder="1">
      <alignment horizontal="right"/>
    </xf>
    <xf numFmtId="4" fontId="7" fillId="3" borderId="27" xfId="7" applyFont="1" applyBorder="1">
      <alignment horizontal="right"/>
    </xf>
    <xf numFmtId="0" fontId="9" fillId="0" borderId="0" xfId="10" applyAlignment="1" applyProtection="1"/>
    <xf numFmtId="0" fontId="0" fillId="0" borderId="1" xfId="0" applyBorder="1"/>
    <xf numFmtId="0" fontId="24" fillId="0" borderId="0" xfId="0" applyFont="1" applyAlignment="1">
      <alignment horizontal="center"/>
    </xf>
    <xf numFmtId="0" fontId="12" fillId="0" borderId="1" xfId="0" applyFont="1" applyBorder="1" applyAlignment="1">
      <alignment horizontal="left"/>
    </xf>
    <xf numFmtId="9" fontId="0" fillId="0" borderId="43" xfId="0" applyNumberFormat="1" applyBorder="1"/>
    <xf numFmtId="9" fontId="0" fillId="0" borderId="43" xfId="15" applyFont="1" applyBorder="1"/>
    <xf numFmtId="0" fontId="12" fillId="0" borderId="48" xfId="20" applyFont="1" applyBorder="1"/>
    <xf numFmtId="0" fontId="12" fillId="0" borderId="43" xfId="0" applyFont="1" applyBorder="1" applyAlignment="1">
      <alignment horizontal="left"/>
    </xf>
    <xf numFmtId="0" fontId="7" fillId="0" borderId="0" xfId="20"/>
    <xf numFmtId="0" fontId="24" fillId="0" borderId="0" xfId="20" applyFont="1"/>
    <xf numFmtId="0" fontId="12" fillId="0" borderId="17" xfId="20" applyFont="1" applyBorder="1"/>
    <xf numFmtId="0" fontId="12" fillId="0" borderId="43" xfId="20" applyFont="1" applyBorder="1" applyAlignment="1">
      <alignment horizontal="left"/>
    </xf>
    <xf numFmtId="0" fontId="12" fillId="0" borderId="43" xfId="20" applyFont="1" applyBorder="1"/>
    <xf numFmtId="9" fontId="7" fillId="0" borderId="0" xfId="20" applyNumberFormat="1"/>
    <xf numFmtId="9" fontId="7" fillId="0" borderId="43" xfId="20" applyNumberFormat="1" applyBorder="1"/>
    <xf numFmtId="170" fontId="26" fillId="5" borderId="0" xfId="15" applyNumberFormat="1" applyFont="1" applyFill="1"/>
    <xf numFmtId="0" fontId="12" fillId="0" borderId="48" xfId="0" applyFont="1" applyBorder="1"/>
    <xf numFmtId="2" fontId="0" fillId="0" borderId="0" xfId="0" applyNumberFormat="1"/>
    <xf numFmtId="0" fontId="7" fillId="0" borderId="0" xfId="0" applyFont="1" applyAlignment="1">
      <alignment horizontal="left" indent="1"/>
    </xf>
    <xf numFmtId="0" fontId="12" fillId="0" borderId="0" xfId="0" applyFont="1"/>
    <xf numFmtId="9" fontId="0" fillId="7" borderId="0" xfId="0" applyNumberFormat="1" applyFill="1"/>
    <xf numFmtId="170" fontId="26" fillId="5" borderId="0" xfId="0" applyNumberFormat="1" applyFont="1" applyFill="1" applyAlignment="1">
      <alignment horizontal="center"/>
    </xf>
    <xf numFmtId="0" fontId="7" fillId="0" borderId="0" xfId="24" applyAlignment="1">
      <alignment horizontal="center"/>
    </xf>
    <xf numFmtId="0" fontId="7" fillId="0" borderId="0" xfId="24"/>
    <xf numFmtId="0" fontId="12" fillId="0" borderId="0" xfId="24" applyFont="1" applyAlignment="1">
      <alignment horizontal="center"/>
    </xf>
    <xf numFmtId="0" fontId="8" fillId="0" borderId="0" xfId="24" applyFont="1"/>
    <xf numFmtId="0" fontId="36" fillId="0" borderId="0" xfId="24" applyFont="1"/>
    <xf numFmtId="0" fontId="37" fillId="0" borderId="0" xfId="24" applyFont="1"/>
    <xf numFmtId="3" fontId="37" fillId="0" borderId="0" xfId="24" applyNumberFormat="1" applyFont="1"/>
    <xf numFmtId="0" fontId="18" fillId="0" borderId="0" xfId="24" applyFont="1" applyAlignment="1">
      <alignment horizontal="left"/>
    </xf>
    <xf numFmtId="0" fontId="18" fillId="0" borderId="0" xfId="24" applyFont="1" applyAlignment="1">
      <alignment horizontal="center"/>
    </xf>
    <xf numFmtId="3" fontId="7" fillId="0" borderId="0" xfId="24" applyNumberFormat="1" applyAlignment="1">
      <alignment horizontal="center"/>
    </xf>
    <xf numFmtId="170" fontId="7" fillId="0" borderId="0" xfId="15" applyNumberFormat="1" applyFont="1" applyAlignment="1">
      <alignment horizontal="center"/>
    </xf>
    <xf numFmtId="9" fontId="7" fillId="0" borderId="0" xfId="15" applyFont="1" applyAlignment="1">
      <alignment horizontal="center"/>
    </xf>
    <xf numFmtId="9" fontId="7" fillId="0" borderId="0" xfId="15" applyFont="1" applyBorder="1" applyAlignment="1">
      <alignment horizontal="center"/>
    </xf>
    <xf numFmtId="0" fontId="38" fillId="0" borderId="0" xfId="24" applyFont="1"/>
    <xf numFmtId="9" fontId="35" fillId="0" borderId="0" xfId="15" applyFont="1" applyAlignment="1">
      <alignment horizontal="center"/>
    </xf>
    <xf numFmtId="0" fontId="37" fillId="0" borderId="54" xfId="24" applyFont="1" applyBorder="1"/>
    <xf numFmtId="3" fontId="7" fillId="0" borderId="55" xfId="24" applyNumberFormat="1" applyBorder="1" applyAlignment="1">
      <alignment horizontal="center"/>
    </xf>
    <xf numFmtId="0" fontId="37" fillId="0" borderId="56" xfId="24" applyFont="1" applyBorder="1"/>
    <xf numFmtId="3" fontId="7" fillId="0" borderId="43" xfId="24" applyNumberFormat="1" applyBorder="1" applyAlignment="1">
      <alignment horizontal="center"/>
    </xf>
    <xf numFmtId="0" fontId="37" fillId="12" borderId="0" xfId="24" applyFont="1" applyFill="1"/>
    <xf numFmtId="3" fontId="7" fillId="12" borderId="0" xfId="24" applyNumberFormat="1" applyFill="1" applyAlignment="1">
      <alignment horizontal="center"/>
    </xf>
    <xf numFmtId="0" fontId="37" fillId="13" borderId="0" xfId="24" applyFont="1" applyFill="1"/>
    <xf numFmtId="3" fontId="7" fillId="13" borderId="0" xfId="24" applyNumberFormat="1" applyFill="1" applyAlignment="1">
      <alignment horizontal="center"/>
    </xf>
    <xf numFmtId="0" fontId="37" fillId="0" borderId="0" xfId="24" applyFont="1" applyAlignment="1">
      <alignment horizontal="left"/>
    </xf>
    <xf numFmtId="0" fontId="18" fillId="0" borderId="0" xfId="24" applyFont="1"/>
    <xf numFmtId="0" fontId="12" fillId="0" borderId="0" xfId="24" applyFont="1"/>
    <xf numFmtId="3" fontId="12" fillId="0" borderId="0" xfId="24" applyNumberFormat="1" applyFont="1" applyAlignment="1">
      <alignment horizontal="center"/>
    </xf>
    <xf numFmtId="0" fontId="39" fillId="0" borderId="0" xfId="24" applyFont="1"/>
    <xf numFmtId="171" fontId="37" fillId="0" borderId="0" xfId="24" applyNumberFormat="1" applyFont="1" applyAlignment="1">
      <alignment horizontal="center"/>
    </xf>
    <xf numFmtId="171" fontId="7" fillId="0" borderId="0" xfId="24" applyNumberFormat="1" applyAlignment="1">
      <alignment horizontal="center"/>
    </xf>
    <xf numFmtId="2" fontId="7" fillId="0" borderId="0" xfId="15" applyNumberFormat="1" applyFont="1" applyAlignment="1">
      <alignment horizontal="center"/>
    </xf>
    <xf numFmtId="0" fontId="40" fillId="0" borderId="0" xfId="24" applyFont="1"/>
    <xf numFmtId="3" fontId="40" fillId="0" borderId="0" xfId="24" applyNumberFormat="1" applyFont="1" applyAlignment="1">
      <alignment horizontal="center"/>
    </xf>
    <xf numFmtId="0" fontId="20" fillId="0" borderId="0" xfId="24" applyFont="1"/>
    <xf numFmtId="0" fontId="40" fillId="14" borderId="0" xfId="24" applyFont="1" applyFill="1"/>
    <xf numFmtId="3" fontId="40" fillId="14" borderId="0" xfId="24" applyNumberFormat="1" applyFont="1" applyFill="1" applyAlignment="1">
      <alignment horizontal="center"/>
    </xf>
    <xf numFmtId="3" fontId="40" fillId="0" borderId="0" xfId="24" applyNumberFormat="1" applyFont="1"/>
    <xf numFmtId="172" fontId="20" fillId="0" borderId="0" xfId="24" applyNumberFormat="1" applyFont="1" applyAlignment="1">
      <alignment horizontal="center"/>
    </xf>
    <xf numFmtId="3" fontId="20" fillId="0" borderId="0" xfId="24" applyNumberFormat="1" applyFont="1" applyAlignment="1">
      <alignment horizontal="center"/>
    </xf>
    <xf numFmtId="3" fontId="20" fillId="0" borderId="0" xfId="24" applyNumberFormat="1" applyFont="1"/>
    <xf numFmtId="172" fontId="40" fillId="14" borderId="0" xfId="24" applyNumberFormat="1" applyFont="1" applyFill="1" applyAlignment="1">
      <alignment horizontal="left"/>
    </xf>
    <xf numFmtId="0" fontId="40" fillId="12" borderId="0" xfId="24" applyFont="1" applyFill="1"/>
    <xf numFmtId="3" fontId="20" fillId="14" borderId="0" xfId="24" applyNumberFormat="1" applyFont="1" applyFill="1" applyAlignment="1">
      <alignment horizontal="center"/>
    </xf>
    <xf numFmtId="0" fontId="20" fillId="14" borderId="0" xfId="24" applyFont="1" applyFill="1"/>
    <xf numFmtId="0" fontId="8" fillId="0" borderId="0" xfId="0" applyFont="1" applyAlignment="1">
      <alignment horizontal="center"/>
    </xf>
    <xf numFmtId="10" fontId="0" fillId="0" borderId="0" xfId="0" applyNumberFormat="1"/>
    <xf numFmtId="4" fontId="0" fillId="0" borderId="0" xfId="0" applyNumberFormat="1" applyAlignment="1">
      <alignment horizontal="center"/>
    </xf>
    <xf numFmtId="10" fontId="7" fillId="0" borderId="0" xfId="0" applyNumberFormat="1" applyFont="1"/>
    <xf numFmtId="10" fontId="0" fillId="0" borderId="55" xfId="0" applyNumberFormat="1" applyBorder="1" applyAlignment="1">
      <alignment horizontal="center"/>
    </xf>
    <xf numFmtId="10" fontId="0" fillId="0" borderId="57" xfId="0" applyNumberFormat="1" applyBorder="1" applyAlignment="1">
      <alignment horizontal="center"/>
    </xf>
    <xf numFmtId="164" fontId="0" fillId="0" borderId="0" xfId="0" applyNumberFormat="1" applyAlignment="1">
      <alignment horizontal="center"/>
    </xf>
    <xf numFmtId="164" fontId="7" fillId="0" borderId="58" xfId="0" applyNumberFormat="1" applyFont="1" applyBorder="1" applyAlignment="1">
      <alignment horizontal="center"/>
    </xf>
    <xf numFmtId="164" fontId="0" fillId="0" borderId="43" xfId="0" applyNumberFormat="1" applyBorder="1" applyAlignment="1">
      <alignment horizontal="center"/>
    </xf>
    <xf numFmtId="164" fontId="7" fillId="0" borderId="59" xfId="0" applyNumberFormat="1" applyFont="1" applyBorder="1" applyAlignment="1">
      <alignment horizontal="center"/>
    </xf>
    <xf numFmtId="165" fontId="12" fillId="0" borderId="0" xfId="0" applyNumberFormat="1" applyFont="1" applyAlignment="1">
      <alignment horizontal="center"/>
    </xf>
    <xf numFmtId="0" fontId="7" fillId="0" borderId="54" xfId="0" applyFont="1" applyBorder="1" applyAlignment="1">
      <alignment horizontal="center"/>
    </xf>
    <xf numFmtId="4" fontId="0" fillId="0" borderId="0" xfId="0" applyNumberFormat="1"/>
    <xf numFmtId="0" fontId="0" fillId="0" borderId="0" xfId="15" applyNumberFormat="1" applyFont="1" applyAlignment="1">
      <alignment horizontal="center"/>
    </xf>
    <xf numFmtId="170" fontId="0" fillId="0" borderId="0" xfId="0" applyNumberFormat="1"/>
    <xf numFmtId="3" fontId="0" fillId="0" borderId="0" xfId="15" applyNumberFormat="1" applyFont="1" applyAlignment="1">
      <alignment horizontal="center"/>
    </xf>
    <xf numFmtId="2" fontId="4" fillId="0" borderId="0" xfId="32" applyNumberFormat="1" applyAlignment="1">
      <alignment horizontal="center"/>
    </xf>
    <xf numFmtId="0" fontId="37" fillId="0" borderId="0" xfId="24" applyFont="1" applyAlignment="1">
      <alignment horizontal="center"/>
    </xf>
    <xf numFmtId="0" fontId="40" fillId="0" borderId="0" xfId="24" applyFont="1" applyAlignment="1">
      <alignment horizontal="center"/>
    </xf>
    <xf numFmtId="0" fontId="20" fillId="0" borderId="0" xfId="24" applyFont="1" applyAlignment="1">
      <alignment horizontal="center"/>
    </xf>
    <xf numFmtId="0" fontId="30" fillId="4" borderId="0" xfId="0" applyFont="1" applyFill="1" applyAlignment="1">
      <alignment horizontal="center"/>
    </xf>
    <xf numFmtId="9" fontId="7" fillId="0" borderId="0" xfId="15" applyFont="1" applyBorder="1"/>
    <xf numFmtId="9" fontId="12" fillId="0" borderId="0" xfId="15" applyFont="1" applyBorder="1"/>
    <xf numFmtId="0" fontId="3" fillId="0" borderId="0" xfId="33"/>
    <xf numFmtId="0" fontId="3" fillId="0" borderId="0" xfId="33" applyAlignment="1">
      <alignment horizontal="center"/>
    </xf>
    <xf numFmtId="0" fontId="12" fillId="0" borderId="0" xfId="33" applyFont="1" applyAlignment="1">
      <alignment horizontal="left"/>
    </xf>
    <xf numFmtId="0" fontId="41" fillId="0" borderId="60" xfId="33" applyFont="1" applyBorder="1"/>
    <xf numFmtId="0" fontId="42" fillId="0" borderId="60" xfId="33" applyFont="1" applyBorder="1"/>
    <xf numFmtId="170" fontId="12" fillId="0" borderId="60" xfId="34" applyNumberFormat="1" applyFont="1" applyBorder="1" applyAlignment="1">
      <alignment horizontal="center"/>
    </xf>
    <xf numFmtId="0" fontId="12" fillId="0" borderId="60" xfId="33" applyFont="1" applyBorder="1" applyAlignment="1">
      <alignment horizontal="center"/>
    </xf>
    <xf numFmtId="0" fontId="12" fillId="0" borderId="60" xfId="33" applyFont="1" applyBorder="1" applyAlignment="1">
      <alignment horizontal="center" vertical="center"/>
    </xf>
    <xf numFmtId="0" fontId="12" fillId="15" borderId="60" xfId="33" applyFont="1" applyFill="1" applyBorder="1"/>
    <xf numFmtId="0" fontId="25" fillId="0" borderId="0" xfId="33" applyFont="1"/>
    <xf numFmtId="169" fontId="7" fillId="15" borderId="60" xfId="33" applyNumberFormat="1" applyFont="1" applyFill="1" applyBorder="1"/>
    <xf numFmtId="169" fontId="3" fillId="0" borderId="60" xfId="33" applyNumberFormat="1" applyBorder="1" applyAlignment="1">
      <alignment horizontal="center"/>
    </xf>
    <xf numFmtId="169" fontId="3" fillId="0" borderId="0" xfId="33" applyNumberFormat="1"/>
    <xf numFmtId="0" fontId="7" fillId="0" borderId="60" xfId="33" applyFont="1" applyBorder="1"/>
    <xf numFmtId="169" fontId="3" fillId="0" borderId="0" xfId="33" applyNumberFormat="1" applyAlignment="1">
      <alignment horizontal="center"/>
    </xf>
    <xf numFmtId="0" fontId="7" fillId="15" borderId="60" xfId="33" applyFont="1" applyFill="1" applyBorder="1"/>
    <xf numFmtId="169" fontId="7" fillId="0" borderId="60" xfId="33" applyNumberFormat="1" applyFont="1" applyBorder="1"/>
    <xf numFmtId="169" fontId="7" fillId="12" borderId="0" xfId="33" applyNumberFormat="1" applyFont="1" applyFill="1"/>
    <xf numFmtId="169" fontId="7" fillId="15" borderId="60" xfId="33" applyNumberFormat="1" applyFont="1" applyFill="1" applyBorder="1" applyAlignment="1">
      <alignment vertical="center"/>
    </xf>
    <xf numFmtId="169" fontId="43" fillId="7" borderId="60" xfId="33" applyNumberFormat="1" applyFont="1" applyFill="1" applyBorder="1" applyAlignment="1">
      <alignment horizontal="center"/>
    </xf>
    <xf numFmtId="169" fontId="12" fillId="13" borderId="60" xfId="33" quotePrefix="1" applyNumberFormat="1" applyFont="1" applyFill="1" applyBorder="1" applyAlignment="1">
      <alignment vertical="center"/>
    </xf>
    <xf numFmtId="0" fontId="7" fillId="0" borderId="0" xfId="33" applyFont="1"/>
    <xf numFmtId="169" fontId="7" fillId="15" borderId="60" xfId="33" applyNumberFormat="1" applyFont="1" applyFill="1" applyBorder="1" applyAlignment="1">
      <alignment horizontal="left" vertical="center"/>
    </xf>
    <xf numFmtId="0" fontId="41" fillId="0" borderId="60" xfId="33" applyFont="1" applyBorder="1" applyAlignment="1">
      <alignment vertical="center"/>
    </xf>
    <xf numFmtId="0" fontId="12" fillId="0" borderId="57" xfId="33" applyFont="1" applyBorder="1" applyAlignment="1">
      <alignment horizontal="center" vertical="center"/>
    </xf>
    <xf numFmtId="0" fontId="12" fillId="0" borderId="59" xfId="33" applyFont="1" applyBorder="1" applyAlignment="1">
      <alignment horizontal="center" vertical="center"/>
    </xf>
    <xf numFmtId="0" fontId="3" fillId="0" borderId="60" xfId="33" applyBorder="1"/>
    <xf numFmtId="0" fontId="12" fillId="0" borderId="0" xfId="33" applyFont="1" applyAlignment="1">
      <alignment horizontal="center" vertical="center"/>
    </xf>
    <xf numFmtId="0" fontId="3" fillId="12" borderId="0" xfId="33" applyFill="1"/>
    <xf numFmtId="169" fontId="3" fillId="12" borderId="0" xfId="33" applyNumberFormat="1" applyFill="1"/>
    <xf numFmtId="0" fontId="3" fillId="12" borderId="0" xfId="33" applyFill="1" applyAlignment="1">
      <alignment horizontal="center"/>
    </xf>
    <xf numFmtId="0" fontId="3" fillId="0" borderId="54" xfId="33" applyBorder="1"/>
    <xf numFmtId="167" fontId="3" fillId="0" borderId="55" xfId="33" applyNumberFormat="1" applyBorder="1" applyAlignment="1">
      <alignment horizontal="center"/>
    </xf>
    <xf numFmtId="169" fontId="41" fillId="0" borderId="55" xfId="33" applyNumberFormat="1" applyFont="1" applyBorder="1" applyAlignment="1">
      <alignment horizontal="center"/>
    </xf>
    <xf numFmtId="0" fontId="3" fillId="0" borderId="5" xfId="33" applyBorder="1"/>
    <xf numFmtId="167" fontId="25" fillId="4" borderId="0" xfId="24" applyNumberFormat="1" applyFont="1" applyFill="1" applyAlignment="1">
      <alignment horizontal="center"/>
    </xf>
    <xf numFmtId="167" fontId="25" fillId="4" borderId="58" xfId="24" applyNumberFormat="1" applyFont="1" applyFill="1" applyBorder="1" applyAlignment="1">
      <alignment horizontal="center"/>
    </xf>
    <xf numFmtId="0" fontId="3" fillId="0" borderId="56" xfId="33" applyBorder="1"/>
    <xf numFmtId="169" fontId="3" fillId="0" borderId="43" xfId="33" applyNumberFormat="1" applyBorder="1"/>
    <xf numFmtId="2" fontId="3" fillId="0" borderId="43" xfId="33" applyNumberFormat="1" applyBorder="1" applyAlignment="1">
      <alignment horizontal="center"/>
    </xf>
    <xf numFmtId="2" fontId="3" fillId="0" borderId="59" xfId="33" applyNumberFormat="1" applyBorder="1" applyAlignment="1">
      <alignment horizontal="center"/>
    </xf>
    <xf numFmtId="0" fontId="41" fillId="0" borderId="57" xfId="33" applyFont="1" applyBorder="1" applyAlignment="1">
      <alignment horizontal="center"/>
    </xf>
    <xf numFmtId="0" fontId="41" fillId="0" borderId="56" xfId="33" applyFont="1" applyBorder="1"/>
    <xf numFmtId="10" fontId="0" fillId="0" borderId="43" xfId="36" applyNumberFormat="1" applyFont="1" applyBorder="1" applyAlignment="1">
      <alignment horizontal="center"/>
    </xf>
    <xf numFmtId="167" fontId="3" fillId="0" borderId="0" xfId="33" applyNumberFormat="1"/>
    <xf numFmtId="10" fontId="0" fillId="0" borderId="0" xfId="36" applyNumberFormat="1" applyFont="1"/>
    <xf numFmtId="10" fontId="7" fillId="0" borderId="0" xfId="36" applyNumberFormat="1" applyFont="1"/>
    <xf numFmtId="0" fontId="41" fillId="0" borderId="55" xfId="33" applyFont="1" applyBorder="1" applyAlignment="1">
      <alignment horizontal="center"/>
    </xf>
    <xf numFmtId="0" fontId="3" fillId="0" borderId="3" xfId="33" applyBorder="1"/>
    <xf numFmtId="10" fontId="0" fillId="0" borderId="55" xfId="36" applyNumberFormat="1" applyFont="1" applyBorder="1" applyAlignment="1">
      <alignment horizontal="center"/>
    </xf>
    <xf numFmtId="0" fontId="3" fillId="0" borderId="4" xfId="33" applyBorder="1"/>
    <xf numFmtId="10" fontId="0" fillId="0" borderId="0" xfId="36" applyNumberFormat="1" applyFont="1" applyBorder="1" applyAlignment="1">
      <alignment horizontal="center"/>
    </xf>
    <xf numFmtId="0" fontId="3" fillId="0" borderId="2" xfId="33" applyBorder="1"/>
    <xf numFmtId="0" fontId="3" fillId="0" borderId="60" xfId="33" applyBorder="1" applyAlignment="1">
      <alignment horizontal="center"/>
    </xf>
    <xf numFmtId="9" fontId="0" fillId="0" borderId="60" xfId="36" applyFont="1" applyBorder="1" applyAlignment="1">
      <alignment horizontal="center"/>
    </xf>
    <xf numFmtId="0" fontId="3" fillId="0" borderId="0" xfId="33" applyAlignment="1">
      <alignment horizontal="left"/>
    </xf>
    <xf numFmtId="0" fontId="41" fillId="0" borderId="61" xfId="33" applyFont="1" applyBorder="1"/>
    <xf numFmtId="0" fontId="41" fillId="0" borderId="62" xfId="33" applyFont="1" applyBorder="1"/>
    <xf numFmtId="167" fontId="41" fillId="0" borderId="1" xfId="33" applyNumberFormat="1" applyFont="1" applyBorder="1" applyAlignment="1">
      <alignment horizontal="center"/>
    </xf>
    <xf numFmtId="0" fontId="3" fillId="0" borderId="62" xfId="33" applyBorder="1"/>
    <xf numFmtId="10" fontId="3" fillId="0" borderId="0" xfId="33" applyNumberFormat="1"/>
    <xf numFmtId="2" fontId="3" fillId="0" borderId="0" xfId="33" applyNumberFormat="1" applyAlignment="1">
      <alignment horizontal="center"/>
    </xf>
    <xf numFmtId="167" fontId="3" fillId="0" borderId="0" xfId="33" applyNumberFormat="1" applyAlignment="1">
      <alignment horizontal="center"/>
    </xf>
    <xf numFmtId="0" fontId="37" fillId="0" borderId="5" xfId="24" applyFont="1" applyBorder="1"/>
    <xf numFmtId="170" fontId="7" fillId="0" borderId="0" xfId="15" applyNumberFormat="1" applyFont="1" applyBorder="1" applyAlignment="1">
      <alignment horizontal="center"/>
    </xf>
    <xf numFmtId="165" fontId="40" fillId="0" borderId="0" xfId="24" applyNumberFormat="1" applyFont="1"/>
    <xf numFmtId="3" fontId="45" fillId="0" borderId="0" xfId="24" applyNumberFormat="1" applyFont="1"/>
    <xf numFmtId="9" fontId="40" fillId="0" borderId="0" xfId="24" applyNumberFormat="1" applyFont="1"/>
    <xf numFmtId="174" fontId="40" fillId="0" borderId="0" xfId="24" applyNumberFormat="1" applyFont="1" applyAlignment="1">
      <alignment horizontal="center"/>
    </xf>
    <xf numFmtId="4" fontId="40" fillId="0" borderId="0" xfId="24" applyNumberFormat="1" applyFont="1"/>
    <xf numFmtId="170" fontId="40" fillId="14" borderId="0" xfId="15" applyNumberFormat="1" applyFont="1" applyFill="1" applyAlignment="1">
      <alignment horizontal="center"/>
    </xf>
    <xf numFmtId="9" fontId="40" fillId="0" borderId="0" xfId="15" applyFont="1" applyFill="1" applyBorder="1" applyAlignment="1">
      <alignment horizontal="center"/>
    </xf>
    <xf numFmtId="9" fontId="20" fillId="0" borderId="0" xfId="15" applyFont="1" applyFill="1" applyBorder="1" applyAlignment="1">
      <alignment horizontal="center"/>
    </xf>
    <xf numFmtId="170" fontId="20" fillId="0" borderId="0" xfId="15" applyNumberFormat="1" applyFont="1" applyFill="1" applyBorder="1" applyAlignment="1">
      <alignment horizontal="center"/>
    </xf>
    <xf numFmtId="170" fontId="40" fillId="0" borderId="0" xfId="15" applyNumberFormat="1" applyFont="1" applyFill="1" applyBorder="1" applyAlignment="1">
      <alignment horizontal="center"/>
    </xf>
    <xf numFmtId="172" fontId="40" fillId="14" borderId="0" xfId="24" applyNumberFormat="1" applyFont="1" applyFill="1" applyAlignment="1">
      <alignment horizontal="center"/>
    </xf>
    <xf numFmtId="172" fontId="40" fillId="0" borderId="0" xfId="24" applyNumberFormat="1" applyFont="1" applyAlignment="1">
      <alignment horizontal="center"/>
    </xf>
    <xf numFmtId="4" fontId="40" fillId="14" borderId="0" xfId="24" applyNumberFormat="1" applyFont="1" applyFill="1" applyAlignment="1">
      <alignment horizontal="center"/>
    </xf>
    <xf numFmtId="170" fontId="40" fillId="14" borderId="0" xfId="24" applyNumberFormat="1" applyFont="1" applyFill="1" applyAlignment="1">
      <alignment horizontal="center"/>
    </xf>
    <xf numFmtId="167" fontId="4" fillId="0" borderId="0" xfId="32" applyNumberFormat="1"/>
    <xf numFmtId="4" fontId="2" fillId="0" borderId="55" xfId="38" applyNumberFormat="1" applyBorder="1" applyAlignment="1">
      <alignment horizontal="center"/>
    </xf>
    <xf numFmtId="4" fontId="2" fillId="0" borderId="0" xfId="38" applyNumberFormat="1" applyAlignment="1">
      <alignment horizontal="center"/>
    </xf>
    <xf numFmtId="170" fontId="0" fillId="0" borderId="43" xfId="15" applyNumberFormat="1" applyFont="1" applyBorder="1"/>
    <xf numFmtId="170" fontId="26" fillId="5" borderId="1" xfId="15" applyNumberFormat="1" applyFont="1" applyFill="1" applyBorder="1"/>
    <xf numFmtId="170" fontId="7" fillId="0" borderId="0" xfId="15" applyNumberFormat="1" applyFont="1"/>
    <xf numFmtId="170" fontId="7" fillId="0" borderId="0" xfId="20" applyNumberFormat="1"/>
    <xf numFmtId="170" fontId="0" fillId="0" borderId="43" xfId="0" applyNumberFormat="1" applyBorder="1"/>
    <xf numFmtId="170" fontId="7" fillId="0" borderId="0" xfId="0" applyNumberFormat="1" applyFont="1"/>
    <xf numFmtId="2" fontId="1" fillId="0" borderId="43" xfId="33" applyNumberFormat="1" applyFont="1" applyBorder="1" applyAlignment="1">
      <alignment horizontal="center"/>
    </xf>
    <xf numFmtId="167" fontId="1" fillId="0" borderId="55" xfId="33" applyNumberFormat="1" applyFont="1" applyBorder="1" applyAlignment="1">
      <alignment horizontal="center"/>
    </xf>
    <xf numFmtId="10" fontId="7" fillId="17" borderId="0" xfId="0" applyNumberFormat="1" applyFont="1" applyFill="1"/>
    <xf numFmtId="4" fontId="33" fillId="6" borderId="25" xfId="7" applyFont="1" applyFill="1" applyBorder="1">
      <alignment horizontal="right"/>
    </xf>
    <xf numFmtId="4" fontId="32" fillId="6" borderId="25" xfId="7" applyFont="1" applyFill="1" applyBorder="1">
      <alignment horizontal="right"/>
    </xf>
    <xf numFmtId="4" fontId="32" fillId="8" borderId="25" xfId="7" applyFont="1" applyFill="1" applyBorder="1">
      <alignment horizontal="right"/>
    </xf>
    <xf numFmtId="4" fontId="7" fillId="6" borderId="25" xfId="7" applyFont="1" applyFill="1" applyBorder="1">
      <alignment horizontal="right"/>
    </xf>
    <xf numFmtId="3" fontId="15" fillId="5" borderId="7" xfId="5" applyFill="1" applyBorder="1">
      <alignment horizontal="right"/>
    </xf>
    <xf numFmtId="0" fontId="7" fillId="6" borderId="25" xfId="9" applyFont="1" applyFill="1" applyBorder="1" applyAlignment="1">
      <alignment horizontal="right"/>
    </xf>
    <xf numFmtId="4" fontId="7" fillId="8" borderId="25" xfId="7" applyFont="1" applyFill="1" applyBorder="1">
      <alignment horizontal="right"/>
    </xf>
    <xf numFmtId="0" fontId="7" fillId="5" borderId="7" xfId="9" applyFont="1" applyFill="1" applyBorder="1" applyAlignment="1">
      <alignment horizontal="right"/>
    </xf>
    <xf numFmtId="3" fontId="12" fillId="5" borderId="7" xfId="5" applyFont="1" applyFill="1" applyBorder="1">
      <alignment horizontal="right"/>
    </xf>
    <xf numFmtId="3" fontId="12" fillId="5" borderId="25" xfId="5" applyFont="1" applyFill="1" applyBorder="1">
      <alignment horizontal="right"/>
    </xf>
    <xf numFmtId="4" fontId="7" fillId="10" borderId="25" xfId="7" applyFont="1" applyFill="1" applyBorder="1">
      <alignment horizontal="right"/>
    </xf>
    <xf numFmtId="167" fontId="43" fillId="16" borderId="60" xfId="33" applyNumberFormat="1" applyFont="1" applyFill="1" applyBorder="1" applyAlignment="1">
      <alignment horizontal="center"/>
    </xf>
    <xf numFmtId="0" fontId="7" fillId="0" borderId="0" xfId="0" applyFont="1" applyAlignment="1">
      <alignment horizontal="right"/>
    </xf>
    <xf numFmtId="4" fontId="40" fillId="0" borderId="0" xfId="24" applyNumberFormat="1" applyFont="1" applyAlignment="1">
      <alignment horizontal="center"/>
    </xf>
    <xf numFmtId="4" fontId="20" fillId="14" borderId="0" xfId="24" applyNumberFormat="1" applyFont="1" applyFill="1" applyAlignment="1">
      <alignment horizontal="center"/>
    </xf>
    <xf numFmtId="4" fontId="20" fillId="0" borderId="0" xfId="24" applyNumberFormat="1" applyFont="1" applyAlignment="1">
      <alignment horizontal="center"/>
    </xf>
    <xf numFmtId="167" fontId="43" fillId="16" borderId="60" xfId="34" applyNumberFormat="1" applyFont="1" applyFill="1" applyBorder="1" applyAlignment="1">
      <alignment horizontal="center"/>
    </xf>
    <xf numFmtId="167" fontId="1" fillId="16" borderId="60" xfId="33" applyNumberFormat="1" applyFont="1" applyFill="1" applyBorder="1" applyAlignment="1">
      <alignment horizontal="center"/>
    </xf>
    <xf numFmtId="167" fontId="43" fillId="7" borderId="60" xfId="33" applyNumberFormat="1" applyFont="1" applyFill="1" applyBorder="1" applyAlignment="1">
      <alignment horizontal="center" vertical="center"/>
    </xf>
    <xf numFmtId="167" fontId="44" fillId="7" borderId="60" xfId="33" applyNumberFormat="1" applyFont="1" applyFill="1" applyBorder="1" applyAlignment="1">
      <alignment horizontal="center"/>
    </xf>
    <xf numFmtId="167" fontId="1" fillId="7" borderId="60" xfId="33" applyNumberFormat="1" applyFont="1" applyFill="1" applyBorder="1" applyAlignment="1">
      <alignment horizontal="center"/>
    </xf>
    <xf numFmtId="167" fontId="43" fillId="7" borderId="60" xfId="33" applyNumberFormat="1" applyFont="1" applyFill="1" applyBorder="1" applyAlignment="1">
      <alignment horizontal="center"/>
    </xf>
    <xf numFmtId="167" fontId="43" fillId="13" borderId="60" xfId="33" applyNumberFormat="1" applyFont="1" applyFill="1" applyBorder="1" applyAlignment="1">
      <alignment horizontal="center"/>
    </xf>
    <xf numFmtId="4" fontId="40" fillId="0" borderId="0" xfId="24" applyNumberFormat="1" applyFont="1" applyAlignment="1">
      <alignment horizontal="center" vertical="center"/>
    </xf>
    <xf numFmtId="4" fontId="20" fillId="0" borderId="0" xfId="24" applyNumberFormat="1" applyFont="1" applyAlignment="1">
      <alignment horizontal="center" vertical="center"/>
    </xf>
    <xf numFmtId="0" fontId="40" fillId="0" borderId="0" xfId="0" applyFont="1" applyAlignment="1">
      <alignment horizontal="center" vertical="center"/>
    </xf>
    <xf numFmtId="0" fontId="0" fillId="3" borderId="25" xfId="9" applyFont="1" applyBorder="1" applyAlignment="1">
      <alignment horizontal="right"/>
    </xf>
    <xf numFmtId="4" fontId="0" fillId="0" borderId="27" xfId="7" applyFont="1" applyFill="1" applyBorder="1">
      <alignment horizontal="right"/>
    </xf>
    <xf numFmtId="0" fontId="40" fillId="0" borderId="0" xfId="0" applyFont="1"/>
    <xf numFmtId="169" fontId="1" fillId="0" borderId="57" xfId="33" applyNumberFormat="1" applyFont="1" applyBorder="1" applyAlignment="1">
      <alignment horizontal="left"/>
    </xf>
    <xf numFmtId="169" fontId="1" fillId="0" borderId="58" xfId="33" applyNumberFormat="1" applyFont="1" applyBorder="1" applyAlignment="1">
      <alignment horizontal="left"/>
    </xf>
    <xf numFmtId="0" fontId="1" fillId="0" borderId="58" xfId="33" applyFont="1" applyBorder="1" applyAlignment="1">
      <alignment horizontal="left"/>
    </xf>
    <xf numFmtId="169" fontId="1" fillId="0" borderId="59" xfId="33" applyNumberFormat="1" applyFont="1" applyBorder="1" applyAlignment="1">
      <alignment horizontal="left"/>
    </xf>
    <xf numFmtId="0" fontId="56" fillId="4" borderId="0" xfId="0" applyFont="1" applyFill="1"/>
    <xf numFmtId="0" fontId="56" fillId="4" borderId="0" xfId="0" applyFont="1" applyFill="1" applyAlignment="1">
      <alignment vertical="center"/>
    </xf>
    <xf numFmtId="169" fontId="1" fillId="0" borderId="69" xfId="33" applyNumberFormat="1" applyFont="1" applyBorder="1" applyAlignment="1">
      <alignment horizontal="left" vertical="center"/>
    </xf>
    <xf numFmtId="169" fontId="1" fillId="0" borderId="70" xfId="33" applyNumberFormat="1" applyFont="1" applyBorder="1" applyAlignment="1">
      <alignment horizontal="left" vertical="center"/>
    </xf>
    <xf numFmtId="0" fontId="1" fillId="0" borderId="70" xfId="33" applyFont="1" applyBorder="1" applyAlignment="1">
      <alignment horizontal="left" vertical="center"/>
    </xf>
    <xf numFmtId="169" fontId="1" fillId="0" borderId="71" xfId="33" applyNumberFormat="1" applyFont="1" applyBorder="1" applyAlignment="1">
      <alignment horizontal="left" vertical="center"/>
    </xf>
    <xf numFmtId="0" fontId="1" fillId="0" borderId="69" xfId="33" applyFont="1" applyBorder="1" applyAlignment="1">
      <alignment vertical="center"/>
    </xf>
    <xf numFmtId="0" fontId="1" fillId="0" borderId="70" xfId="33" applyFont="1" applyBorder="1" applyAlignment="1">
      <alignment vertical="center"/>
    </xf>
    <xf numFmtId="0" fontId="1" fillId="0" borderId="71" xfId="33" applyFont="1" applyBorder="1" applyAlignment="1">
      <alignment vertical="center"/>
    </xf>
    <xf numFmtId="10" fontId="40" fillId="0" borderId="31" xfId="0" applyNumberFormat="1" applyFont="1" applyBorder="1" applyAlignment="1">
      <alignment vertical="center"/>
    </xf>
    <xf numFmtId="10" fontId="40" fillId="0" borderId="32" xfId="0" applyNumberFormat="1" applyFont="1" applyBorder="1" applyAlignment="1">
      <alignment vertical="center"/>
    </xf>
    <xf numFmtId="10" fontId="40" fillId="0" borderId="33" xfId="0" applyNumberFormat="1" applyFont="1" applyBorder="1" applyAlignment="1">
      <alignment vertical="center"/>
    </xf>
    <xf numFmtId="10" fontId="40" fillId="0" borderId="0" xfId="0" applyNumberFormat="1" applyFont="1" applyAlignment="1">
      <alignment vertical="center"/>
    </xf>
    <xf numFmtId="10" fontId="40" fillId="0" borderId="34" xfId="0" applyNumberFormat="1" applyFont="1" applyBorder="1" applyAlignment="1">
      <alignment vertical="center"/>
    </xf>
    <xf numFmtId="10" fontId="40" fillId="0" borderId="35" xfId="0" applyNumberFormat="1" applyFont="1" applyBorder="1" applyAlignment="1">
      <alignment vertical="center"/>
    </xf>
    <xf numFmtId="10" fontId="40" fillId="0" borderId="36" xfId="0" applyNumberFormat="1" applyFont="1" applyBorder="1" applyAlignment="1">
      <alignment vertical="center"/>
    </xf>
    <xf numFmtId="0" fontId="56" fillId="19" borderId="0" xfId="0" applyFont="1" applyFill="1" applyAlignment="1">
      <alignment horizontal="center" vertical="center"/>
    </xf>
    <xf numFmtId="10" fontId="40" fillId="0" borderId="0" xfId="0" applyNumberFormat="1" applyFont="1" applyAlignment="1">
      <alignment horizontal="center" vertical="center"/>
    </xf>
    <xf numFmtId="10" fontId="40" fillId="0" borderId="75" xfId="0" applyNumberFormat="1" applyFont="1" applyBorder="1" applyAlignment="1">
      <alignment horizontal="center" vertical="center"/>
    </xf>
    <xf numFmtId="10" fontId="40" fillId="0" borderId="76" xfId="0" applyNumberFormat="1" applyFont="1" applyBorder="1" applyAlignment="1">
      <alignment horizontal="center" vertical="center"/>
    </xf>
    <xf numFmtId="10" fontId="40" fillId="0" borderId="77" xfId="0" applyNumberFormat="1" applyFont="1" applyBorder="1" applyAlignment="1">
      <alignment horizontal="center" vertical="center"/>
    </xf>
    <xf numFmtId="10" fontId="40" fillId="0" borderId="78" xfId="0" applyNumberFormat="1" applyFont="1" applyBorder="1" applyAlignment="1">
      <alignment horizontal="center" vertical="center"/>
    </xf>
    <xf numFmtId="10" fontId="40" fillId="0" borderId="79" xfId="0" applyNumberFormat="1" applyFont="1" applyBorder="1" applyAlignment="1">
      <alignment horizontal="center" vertical="center"/>
    </xf>
    <xf numFmtId="0" fontId="52" fillId="19" borderId="0" xfId="33" applyFont="1" applyFill="1" applyAlignment="1">
      <alignment horizontal="center" vertical="center"/>
    </xf>
    <xf numFmtId="169" fontId="3" fillId="0" borderId="76" xfId="33" applyNumberFormat="1" applyBorder="1" applyAlignment="1">
      <alignment horizontal="left"/>
    </xf>
    <xf numFmtId="169" fontId="3" fillId="0" borderId="73" xfId="33" applyNumberFormat="1" applyBorder="1" applyAlignment="1">
      <alignment horizontal="left"/>
    </xf>
    <xf numFmtId="0" fontId="3" fillId="0" borderId="73" xfId="33" applyBorder="1" applyAlignment="1">
      <alignment horizontal="left"/>
    </xf>
    <xf numFmtId="169" fontId="3" fillId="0" borderId="79" xfId="33" applyNumberFormat="1" applyBorder="1" applyAlignment="1">
      <alignment horizontal="left"/>
    </xf>
    <xf numFmtId="10" fontId="40" fillId="0" borderId="80" xfId="0" applyNumberFormat="1" applyFont="1" applyBorder="1" applyAlignment="1">
      <alignment horizontal="center" vertical="center"/>
    </xf>
    <xf numFmtId="10" fontId="40" fillId="0" borderId="81" xfId="0" applyNumberFormat="1" applyFont="1" applyBorder="1" applyAlignment="1">
      <alignment horizontal="center" vertical="center"/>
    </xf>
    <xf numFmtId="10" fontId="40" fillId="0" borderId="82" xfId="0" applyNumberFormat="1" applyFont="1" applyBorder="1" applyAlignment="1">
      <alignment horizontal="center" vertical="center"/>
    </xf>
    <xf numFmtId="10" fontId="0" fillId="0" borderId="80" xfId="36" applyNumberFormat="1" applyFont="1" applyBorder="1" applyAlignment="1">
      <alignment horizontal="center"/>
    </xf>
    <xf numFmtId="10" fontId="0" fillId="0" borderId="81" xfId="36" applyNumberFormat="1" applyFont="1" applyBorder="1" applyAlignment="1">
      <alignment horizontal="center"/>
    </xf>
    <xf numFmtId="10" fontId="0" fillId="0" borderId="82" xfId="36" applyNumberFormat="1" applyFont="1" applyBorder="1" applyAlignment="1">
      <alignment horizontal="center"/>
    </xf>
    <xf numFmtId="0" fontId="8" fillId="7" borderId="0" xfId="0" applyFont="1" applyFill="1"/>
    <xf numFmtId="0" fontId="0" fillId="7" borderId="0" xfId="0" applyFill="1"/>
    <xf numFmtId="0" fontId="56" fillId="0" borderId="0" xfId="0" applyFont="1" applyAlignment="1">
      <alignment vertical="center"/>
    </xf>
    <xf numFmtId="0" fontId="56" fillId="4" borderId="0" xfId="0" applyFont="1" applyFill="1" applyAlignment="1">
      <alignment horizontal="left" vertical="center"/>
    </xf>
    <xf numFmtId="0" fontId="56" fillId="4" borderId="0" xfId="0" applyFont="1" applyFill="1" applyAlignment="1">
      <alignment horizontal="right" vertical="center"/>
    </xf>
    <xf numFmtId="0" fontId="53" fillId="0" borderId="0" xfId="0" applyFont="1" applyAlignment="1">
      <alignment vertical="center"/>
    </xf>
    <xf numFmtId="10" fontId="7" fillId="0" borderId="36" xfId="0" applyNumberFormat="1" applyFont="1" applyBorder="1" applyAlignment="1">
      <alignment horizontal="right" vertical="center"/>
    </xf>
    <xf numFmtId="10" fontId="7" fillId="0" borderId="37" xfId="0" applyNumberFormat="1" applyFont="1" applyBorder="1" applyAlignment="1">
      <alignment horizontal="right" vertical="center"/>
    </xf>
    <xf numFmtId="10" fontId="7" fillId="0" borderId="0" xfId="0" applyNumberFormat="1" applyFont="1" applyAlignment="1">
      <alignment horizontal="right" vertical="center"/>
    </xf>
    <xf numFmtId="0" fontId="0" fillId="0" borderId="34" xfId="0" applyBorder="1"/>
    <xf numFmtId="10" fontId="40" fillId="0" borderId="80" xfId="36" applyNumberFormat="1" applyFont="1" applyBorder="1" applyAlignment="1">
      <alignment horizontal="center"/>
    </xf>
    <xf numFmtId="10" fontId="40" fillId="0" borderId="82" xfId="36" applyNumberFormat="1" applyFont="1" applyBorder="1" applyAlignment="1">
      <alignment horizontal="center"/>
    </xf>
    <xf numFmtId="10" fontId="40" fillId="0" borderId="31" xfId="0" applyNumberFormat="1" applyFont="1" applyBorder="1" applyAlignment="1">
      <alignment horizontal="right" vertical="center"/>
    </xf>
    <xf numFmtId="10" fontId="40" fillId="0" borderId="32" xfId="0" applyNumberFormat="1" applyFont="1" applyBorder="1" applyAlignment="1">
      <alignment horizontal="right" vertical="center"/>
    </xf>
    <xf numFmtId="10" fontId="40" fillId="0" borderId="35" xfId="0" applyNumberFormat="1" applyFont="1" applyBorder="1" applyAlignment="1">
      <alignment horizontal="right" vertical="center"/>
    </xf>
    <xf numFmtId="10" fontId="40" fillId="0" borderId="36" xfId="0" applyNumberFormat="1" applyFont="1" applyBorder="1" applyAlignment="1">
      <alignment horizontal="right" vertical="center"/>
    </xf>
    <xf numFmtId="0" fontId="0" fillId="0" borderId="36" xfId="0" applyBorder="1"/>
    <xf numFmtId="0" fontId="0" fillId="0" borderId="32" xfId="0" applyBorder="1"/>
    <xf numFmtId="0" fontId="40" fillId="0" borderId="31" xfId="0" applyFont="1" applyBorder="1"/>
    <xf numFmtId="10" fontId="7" fillId="0" borderId="34" xfId="0" applyNumberFormat="1" applyFont="1" applyBorder="1"/>
    <xf numFmtId="0" fontId="40" fillId="0" borderId="69" xfId="0" applyFont="1" applyBorder="1"/>
    <xf numFmtId="0" fontId="40" fillId="0" borderId="70" xfId="0" applyFont="1" applyBorder="1"/>
    <xf numFmtId="0" fontId="40" fillId="0" borderId="71" xfId="0" applyFont="1" applyBorder="1"/>
    <xf numFmtId="0" fontId="56" fillId="4" borderId="69" xfId="0" applyFont="1" applyFill="1" applyBorder="1"/>
    <xf numFmtId="0" fontId="56" fillId="4" borderId="32" xfId="0" applyFont="1" applyFill="1" applyBorder="1"/>
    <xf numFmtId="0" fontId="56" fillId="4" borderId="72" xfId="0" applyFont="1" applyFill="1" applyBorder="1"/>
    <xf numFmtId="10" fontId="40" fillId="0" borderId="0" xfId="0" applyNumberFormat="1" applyFont="1"/>
    <xf numFmtId="10" fontId="40" fillId="0" borderId="34" xfId="0" applyNumberFormat="1" applyFont="1" applyBorder="1"/>
    <xf numFmtId="10" fontId="40" fillId="0" borderId="36" xfId="0" applyNumberFormat="1" applyFont="1" applyBorder="1"/>
    <xf numFmtId="0" fontId="56" fillId="4" borderId="33" xfId="0" applyFont="1" applyFill="1" applyBorder="1"/>
    <xf numFmtId="10" fontId="40" fillId="0" borderId="37" xfId="0" applyNumberFormat="1" applyFont="1" applyBorder="1"/>
    <xf numFmtId="10" fontId="40" fillId="0" borderId="0" xfId="0" applyNumberFormat="1" applyFont="1" applyAlignment="1">
      <alignment horizontal="right" vertical="center"/>
    </xf>
    <xf numFmtId="10" fontId="40" fillId="0" borderId="0" xfId="0" applyNumberFormat="1" applyFont="1" applyAlignment="1">
      <alignment horizontal="right"/>
    </xf>
    <xf numFmtId="10" fontId="40" fillId="0" borderId="32" xfId="0" applyNumberFormat="1" applyFont="1" applyBorder="1"/>
    <xf numFmtId="0" fontId="57" fillId="7" borderId="0" xfId="0" applyFont="1" applyFill="1"/>
    <xf numFmtId="0" fontId="8" fillId="0" borderId="0" xfId="0" applyFont="1" applyAlignment="1">
      <alignment horizontal="left" vertical="center"/>
    </xf>
    <xf numFmtId="172" fontId="7" fillId="0" borderId="0" xfId="24" applyNumberFormat="1" applyAlignment="1">
      <alignment horizontal="center"/>
    </xf>
    <xf numFmtId="0" fontId="1" fillId="0" borderId="4" xfId="33" applyFont="1" applyBorder="1"/>
    <xf numFmtId="10" fontId="7" fillId="0" borderId="43" xfId="36" applyNumberFormat="1" applyFont="1" applyBorder="1" applyAlignment="1">
      <alignment horizontal="center"/>
    </xf>
    <xf numFmtId="2" fontId="40" fillId="0" borderId="0" xfId="0" applyNumberFormat="1" applyFont="1"/>
    <xf numFmtId="2" fontId="40" fillId="0" borderId="34" xfId="0" applyNumberFormat="1" applyFont="1" applyBorder="1"/>
    <xf numFmtId="0" fontId="60" fillId="0" borderId="0" xfId="0" applyFont="1" applyAlignment="1">
      <alignment horizontal="justify" vertical="center" wrapText="1"/>
    </xf>
    <xf numFmtId="9" fontId="40" fillId="0" borderId="36" xfId="0" applyNumberFormat="1" applyFont="1" applyBorder="1"/>
    <xf numFmtId="0" fontId="48" fillId="0" borderId="0" xfId="24" applyFont="1"/>
    <xf numFmtId="10" fontId="0" fillId="0" borderId="0" xfId="15" applyNumberFormat="1" applyFont="1" applyFill="1" applyBorder="1" applyAlignment="1">
      <alignment horizontal="center"/>
    </xf>
    <xf numFmtId="4" fontId="24" fillId="6" borderId="25" xfId="7" applyFont="1" applyFill="1" applyBorder="1">
      <alignment horizontal="right"/>
    </xf>
    <xf numFmtId="4" fontId="0" fillId="3" borderId="25" xfId="7" applyFont="1" applyBorder="1">
      <alignment horizontal="right"/>
    </xf>
    <xf numFmtId="4" fontId="24" fillId="10" borderId="47" xfId="7" applyFont="1" applyFill="1" applyBorder="1">
      <alignment horizontal="right"/>
    </xf>
    <xf numFmtId="176" fontId="7" fillId="0" borderId="0" xfId="15" applyNumberFormat="1" applyFont="1" applyAlignment="1">
      <alignment horizontal="center"/>
    </xf>
    <xf numFmtId="176" fontId="0" fillId="0" borderId="0" xfId="15" applyNumberFormat="1" applyFont="1" applyAlignment="1">
      <alignment horizontal="center"/>
    </xf>
    <xf numFmtId="10" fontId="7" fillId="17" borderId="0" xfId="0" applyNumberFormat="1" applyFont="1" applyFill="1" applyAlignment="1">
      <alignment horizontal="center" vertical="center"/>
    </xf>
    <xf numFmtId="4" fontId="32" fillId="6" borderId="47" xfId="7" applyFont="1" applyFill="1" applyBorder="1">
      <alignment horizontal="right"/>
    </xf>
    <xf numFmtId="10" fontId="40" fillId="0" borderId="33" xfId="0" applyNumberFormat="1" applyFont="1" applyBorder="1" applyAlignment="1">
      <alignment horizontal="right" vertical="center"/>
    </xf>
    <xf numFmtId="10" fontId="7" fillId="0" borderId="34" xfId="0" applyNumberFormat="1" applyFont="1" applyBorder="1" applyAlignment="1">
      <alignment horizontal="right" vertical="center"/>
    </xf>
    <xf numFmtId="0" fontId="7" fillId="0" borderId="36" xfId="0" applyFont="1" applyBorder="1" applyAlignment="1">
      <alignment horizontal="right"/>
    </xf>
    <xf numFmtId="0" fontId="7" fillId="0" borderId="34" xfId="0" applyFont="1" applyBorder="1" applyAlignment="1">
      <alignment horizontal="right"/>
    </xf>
    <xf numFmtId="0" fontId="7" fillId="0" borderId="37" xfId="0" applyFont="1" applyBorder="1" applyAlignment="1">
      <alignment horizontal="right"/>
    </xf>
    <xf numFmtId="4" fontId="40" fillId="0" borderId="0" xfId="0" applyNumberFormat="1" applyFont="1"/>
    <xf numFmtId="0" fontId="40" fillId="0" borderId="32" xfId="0" applyFont="1" applyBorder="1"/>
    <xf numFmtId="4" fontId="40" fillId="0" borderId="33" xfId="0" applyNumberFormat="1" applyFont="1" applyBorder="1"/>
    <xf numFmtId="9" fontId="40" fillId="0" borderId="35" xfId="0" applyNumberFormat="1" applyFont="1" applyBorder="1"/>
    <xf numFmtId="10" fontId="40" fillId="0" borderId="74" xfId="0" applyNumberFormat="1" applyFont="1" applyBorder="1" applyAlignment="1">
      <alignment horizontal="center" vertical="center"/>
    </xf>
    <xf numFmtId="0" fontId="56" fillId="0" borderId="0" xfId="0" applyFont="1"/>
    <xf numFmtId="3" fontId="40" fillId="0" borderId="0" xfId="0" applyNumberFormat="1" applyFont="1"/>
    <xf numFmtId="9" fontId="40" fillId="0" borderId="0" xfId="0" applyNumberFormat="1" applyFont="1"/>
    <xf numFmtId="0" fontId="53" fillId="0" borderId="0" xfId="0" applyFont="1"/>
    <xf numFmtId="0" fontId="58" fillId="0" borderId="33" xfId="0" applyFont="1" applyBorder="1"/>
    <xf numFmtId="0" fontId="40" fillId="4" borderId="31" xfId="0" applyFont="1" applyFill="1" applyBorder="1"/>
    <xf numFmtId="0" fontId="40" fillId="4" borderId="32" xfId="0" applyFont="1" applyFill="1" applyBorder="1"/>
    <xf numFmtId="0" fontId="40" fillId="4" borderId="72" xfId="0" applyFont="1" applyFill="1" applyBorder="1"/>
    <xf numFmtId="2" fontId="40" fillId="0" borderId="33" xfId="0" applyNumberFormat="1" applyFont="1" applyBorder="1"/>
    <xf numFmtId="2" fontId="40" fillId="0" borderId="36" xfId="0" applyNumberFormat="1" applyFont="1" applyBorder="1"/>
    <xf numFmtId="10" fontId="40" fillId="0" borderId="35" xfId="0" applyNumberFormat="1" applyFont="1" applyBorder="1"/>
    <xf numFmtId="0" fontId="40" fillId="0" borderId="69" xfId="0" applyFont="1" applyBorder="1" applyAlignment="1">
      <alignment horizontal="left" vertical="center"/>
    </xf>
    <xf numFmtId="172" fontId="40" fillId="0" borderId="70" xfId="24" applyNumberFormat="1" applyFont="1" applyBorder="1" applyAlignment="1">
      <alignment horizontal="left"/>
    </xf>
    <xf numFmtId="172" fontId="40" fillId="0" borderId="71" xfId="24" applyNumberFormat="1" applyFont="1" applyBorder="1" applyAlignment="1">
      <alignment horizontal="left"/>
    </xf>
    <xf numFmtId="0" fontId="40" fillId="0" borderId="31" xfId="0" applyFont="1" applyBorder="1" applyAlignment="1">
      <alignment horizontal="center" vertical="center"/>
    </xf>
    <xf numFmtId="0" fontId="40" fillId="0" borderId="32" xfId="0" applyFont="1" applyBorder="1" applyAlignment="1">
      <alignment horizontal="center" vertical="center"/>
    </xf>
    <xf numFmtId="0" fontId="40" fillId="0" borderId="72" xfId="0" applyFont="1" applyBorder="1" applyAlignment="1">
      <alignment horizontal="center" vertical="center"/>
    </xf>
    <xf numFmtId="172" fontId="40" fillId="0" borderId="33" xfId="24" applyNumberFormat="1" applyFont="1" applyBorder="1" applyAlignment="1">
      <alignment horizontal="center"/>
    </xf>
    <xf numFmtId="172" fontId="40" fillId="0" borderId="34" xfId="24" applyNumberFormat="1" applyFont="1" applyBorder="1" applyAlignment="1">
      <alignment horizontal="center"/>
    </xf>
    <xf numFmtId="172" fontId="40" fillId="0" borderId="33" xfId="24" quotePrefix="1" applyNumberFormat="1" applyFont="1" applyBorder="1" applyAlignment="1">
      <alignment horizontal="center"/>
    </xf>
    <xf numFmtId="172" fontId="40" fillId="0" borderId="0" xfId="24" quotePrefix="1" applyNumberFormat="1" applyFont="1" applyAlignment="1">
      <alignment horizontal="center"/>
    </xf>
    <xf numFmtId="172" fontId="40" fillId="0" borderId="34" xfId="24" quotePrefix="1" applyNumberFormat="1" applyFont="1" applyBorder="1" applyAlignment="1">
      <alignment horizontal="center"/>
    </xf>
    <xf numFmtId="0" fontId="40" fillId="0" borderId="0" xfId="0" applyFont="1" applyAlignment="1">
      <alignment horizontal="right"/>
    </xf>
    <xf numFmtId="0" fontId="40" fillId="0" borderId="0" xfId="0" applyFont="1" applyAlignment="1">
      <alignment horizontal="center"/>
    </xf>
    <xf numFmtId="172" fontId="40" fillId="0" borderId="35" xfId="24" applyNumberFormat="1" applyFont="1" applyBorder="1" applyAlignment="1">
      <alignment horizontal="center"/>
    </xf>
    <xf numFmtId="172" fontId="40" fillId="0" borderId="36" xfId="24" applyNumberFormat="1" applyFont="1" applyBorder="1" applyAlignment="1">
      <alignment horizontal="center"/>
    </xf>
    <xf numFmtId="0" fontId="40" fillId="0" borderId="36" xfId="0" applyFont="1" applyBorder="1"/>
    <xf numFmtId="172" fontId="40" fillId="0" borderId="31" xfId="24" applyNumberFormat="1" applyFont="1" applyBorder="1" applyAlignment="1">
      <alignment horizontal="center"/>
    </xf>
    <xf numFmtId="172" fontId="40" fillId="0" borderId="32" xfId="24" applyNumberFormat="1" applyFont="1" applyBorder="1" applyAlignment="1">
      <alignment horizontal="center"/>
    </xf>
    <xf numFmtId="0" fontId="0" fillId="0" borderId="72" xfId="0" applyBorder="1"/>
    <xf numFmtId="0" fontId="8" fillId="0" borderId="35" xfId="0" applyFont="1" applyBorder="1" applyAlignment="1">
      <alignment horizontal="center" vertical="center"/>
    </xf>
    <xf numFmtId="2" fontId="40" fillId="0" borderId="36" xfId="0" applyNumberFormat="1" applyFont="1" applyBorder="1" applyAlignment="1">
      <alignment horizontal="center" vertical="center"/>
    </xf>
    <xf numFmtId="0" fontId="58" fillId="0" borderId="0" xfId="0" applyFont="1"/>
    <xf numFmtId="0" fontId="53" fillId="4" borderId="0" xfId="0" applyFont="1" applyFill="1"/>
    <xf numFmtId="10" fontId="40" fillId="0" borderId="0" xfId="0" quotePrefix="1" applyNumberFormat="1" applyFont="1" applyAlignment="1">
      <alignment horizontal="right" vertical="center"/>
    </xf>
    <xf numFmtId="10" fontId="40" fillId="0" borderId="33" xfId="0" quotePrefix="1" applyNumberFormat="1" applyFont="1" applyBorder="1" applyAlignment="1">
      <alignment horizontal="right" vertical="center"/>
    </xf>
    <xf numFmtId="0" fontId="1" fillId="0" borderId="33" xfId="33" applyFont="1" applyBorder="1" applyAlignment="1">
      <alignment vertical="center"/>
    </xf>
    <xf numFmtId="10" fontId="40" fillId="0" borderId="0" xfId="0" quotePrefix="1" applyNumberFormat="1" applyFont="1" applyAlignment="1">
      <alignment horizontal="center" vertical="center"/>
    </xf>
    <xf numFmtId="10" fontId="40" fillId="0" borderId="34" xfId="0" quotePrefix="1" applyNumberFormat="1" applyFont="1" applyBorder="1" applyAlignment="1">
      <alignment horizontal="center" vertical="center"/>
    </xf>
    <xf numFmtId="10" fontId="40" fillId="0" borderId="34" xfId="0" quotePrefix="1" applyNumberFormat="1" applyFont="1" applyBorder="1" applyAlignment="1">
      <alignment horizontal="right" vertical="center"/>
    </xf>
    <xf numFmtId="2" fontId="40" fillId="0" borderId="37" xfId="0" quotePrefix="1" applyNumberFormat="1" applyFont="1" applyBorder="1" applyAlignment="1">
      <alignment horizontal="center"/>
    </xf>
    <xf numFmtId="4" fontId="40" fillId="0" borderId="0" xfId="24" applyNumberFormat="1" applyFont="1" applyAlignment="1">
      <alignment horizontal="right" vertical="center"/>
    </xf>
    <xf numFmtId="3" fontId="40" fillId="0" borderId="0" xfId="24" applyNumberFormat="1" applyFont="1" applyAlignment="1">
      <alignment horizontal="right" vertical="center"/>
    </xf>
    <xf numFmtId="3" fontId="40" fillId="0" borderId="34" xfId="24" applyNumberFormat="1" applyFont="1" applyBorder="1" applyAlignment="1">
      <alignment horizontal="right" vertical="center"/>
    </xf>
    <xf numFmtId="9" fontId="40" fillId="0" borderId="0" xfId="0" quotePrefix="1" applyNumberFormat="1" applyFont="1"/>
    <xf numFmtId="10" fontId="40" fillId="0" borderId="77" xfId="0" quotePrefix="1" applyNumberFormat="1" applyFont="1" applyBorder="1" applyAlignment="1">
      <alignment horizontal="center" vertical="center"/>
    </xf>
    <xf numFmtId="9" fontId="40" fillId="0" borderId="0" xfId="0" quotePrefix="1" applyNumberFormat="1" applyFont="1" applyAlignment="1">
      <alignment horizontal="center"/>
    </xf>
    <xf numFmtId="9" fontId="40" fillId="0" borderId="34" xfId="0" quotePrefix="1" applyNumberFormat="1" applyFont="1" applyBorder="1" applyAlignment="1">
      <alignment horizontal="center"/>
    </xf>
    <xf numFmtId="9" fontId="40" fillId="0" borderId="36" xfId="0" quotePrefix="1" applyNumberFormat="1" applyFont="1" applyBorder="1" applyAlignment="1">
      <alignment horizontal="center"/>
    </xf>
    <xf numFmtId="9" fontId="40" fillId="0" borderId="37" xfId="0" quotePrefix="1" applyNumberFormat="1" applyFont="1" applyBorder="1" applyAlignment="1">
      <alignment horizontal="center"/>
    </xf>
    <xf numFmtId="2" fontId="40" fillId="0" borderId="37" xfId="0" applyNumberFormat="1" applyFont="1" applyBorder="1" applyAlignment="1">
      <alignment horizontal="center" vertical="center"/>
    </xf>
    <xf numFmtId="171" fontId="40" fillId="0" borderId="32" xfId="0" applyNumberFormat="1" applyFont="1" applyBorder="1"/>
    <xf numFmtId="171" fontId="40" fillId="0" borderId="72" xfId="0" applyNumberFormat="1" applyFont="1" applyBorder="1"/>
    <xf numFmtId="0" fontId="7" fillId="0" borderId="36" xfId="0" quotePrefix="1" applyFont="1" applyBorder="1" applyAlignment="1">
      <alignment horizontal="center"/>
    </xf>
    <xf numFmtId="0" fontId="7" fillId="0" borderId="37" xfId="0" quotePrefix="1" applyFont="1" applyBorder="1" applyAlignment="1">
      <alignment horizontal="center"/>
    </xf>
    <xf numFmtId="0" fontId="45" fillId="0" borderId="0" xfId="0" applyFont="1"/>
    <xf numFmtId="0" fontId="61" fillId="0" borderId="0" xfId="0" applyFont="1"/>
    <xf numFmtId="9" fontId="45" fillId="0" borderId="0" xfId="0" applyNumberFormat="1" applyFont="1"/>
    <xf numFmtId="0" fontId="14" fillId="4" borderId="9" xfId="3" applyFill="1" applyBorder="1" applyAlignment="1">
      <alignment horizontal="left" vertical="center"/>
    </xf>
    <xf numFmtId="3" fontId="15" fillId="5" borderId="11" xfId="5" applyFill="1" applyBorder="1" applyAlignment="1">
      <alignment horizontal="left"/>
    </xf>
    <xf numFmtId="172" fontId="7" fillId="3" borderId="44" xfId="6" applyFont="1" applyBorder="1" applyAlignment="1">
      <alignment horizontal="left" vertical="center" wrapText="1"/>
    </xf>
    <xf numFmtId="172" fontId="7" fillId="9" borderId="44" xfId="6" applyFont="1" applyFill="1" applyBorder="1" applyAlignment="1">
      <alignment horizontal="left" vertical="center" wrapText="1"/>
    </xf>
    <xf numFmtId="172" fontId="7" fillId="3" borderId="45" xfId="6" applyFont="1" applyBorder="1" applyAlignment="1">
      <alignment horizontal="left" vertical="center" wrapText="1"/>
    </xf>
    <xf numFmtId="3" fontId="12" fillId="5" borderId="11" xfId="5" applyFont="1" applyFill="1" applyBorder="1" applyAlignment="1">
      <alignment horizontal="left" wrapText="1"/>
    </xf>
    <xf numFmtId="4" fontId="7" fillId="9" borderId="44" xfId="7" applyFont="1" applyFill="1" applyBorder="1" applyAlignment="1">
      <alignment horizontal="left" wrapText="1"/>
    </xf>
    <xf numFmtId="4" fontId="7" fillId="3" borderId="44" xfId="7" applyFont="1" applyBorder="1" applyAlignment="1">
      <alignment horizontal="left" wrapText="1"/>
    </xf>
    <xf numFmtId="3" fontId="12" fillId="5" borderId="44" xfId="5" applyFont="1" applyFill="1" applyBorder="1" applyAlignment="1">
      <alignment horizontal="left" wrapText="1"/>
    </xf>
    <xf numFmtId="4" fontId="7" fillId="0" borderId="44" xfId="7" applyFont="1" applyFill="1" applyBorder="1" applyAlignment="1">
      <alignment horizontal="left" wrapText="1"/>
    </xf>
    <xf numFmtId="10" fontId="0" fillId="3" borderId="44" xfId="7" applyNumberFormat="1" applyFont="1" applyBorder="1" applyAlignment="1">
      <alignment horizontal="left" wrapText="1"/>
    </xf>
    <xf numFmtId="4" fontId="7" fillId="3" borderId="46" xfId="7" applyFont="1" applyBorder="1" applyAlignment="1">
      <alignment horizontal="left" wrapText="1"/>
    </xf>
    <xf numFmtId="0" fontId="56" fillId="4" borderId="83" xfId="0" applyFont="1" applyFill="1" applyBorder="1"/>
    <xf numFmtId="0" fontId="56" fillId="4" borderId="84" xfId="0" applyFont="1" applyFill="1" applyBorder="1"/>
    <xf numFmtId="0" fontId="56" fillId="4" borderId="85" xfId="0" applyFont="1" applyFill="1" applyBorder="1"/>
    <xf numFmtId="10" fontId="40" fillId="0" borderId="86" xfId="0" applyNumberFormat="1" applyFont="1" applyBorder="1"/>
    <xf numFmtId="10" fontId="40" fillId="0" borderId="87" xfId="0" applyNumberFormat="1" applyFont="1" applyBorder="1"/>
    <xf numFmtId="2" fontId="40" fillId="0" borderId="88" xfId="0" applyNumberFormat="1" applyFont="1" applyBorder="1"/>
    <xf numFmtId="2" fontId="40" fillId="0" borderId="89" xfId="0" applyNumberFormat="1" applyFont="1" applyBorder="1"/>
    <xf numFmtId="10" fontId="40" fillId="0" borderId="90" xfId="0" applyNumberFormat="1" applyFont="1" applyBorder="1"/>
    <xf numFmtId="10" fontId="40" fillId="0" borderId="91" xfId="0" applyNumberFormat="1" applyFont="1" applyBorder="1"/>
    <xf numFmtId="10" fontId="40" fillId="0" borderId="92" xfId="0" applyNumberFormat="1" applyFont="1" applyBorder="1"/>
    <xf numFmtId="0" fontId="12" fillId="0" borderId="61" xfId="33" applyFont="1" applyBorder="1" applyAlignment="1">
      <alignment horizontal="center"/>
    </xf>
    <xf numFmtId="167" fontId="43" fillId="16" borderId="61" xfId="34" applyNumberFormat="1" applyFont="1" applyFill="1" applyBorder="1" applyAlignment="1">
      <alignment horizontal="center"/>
    </xf>
    <xf numFmtId="167" fontId="43" fillId="16" borderId="61" xfId="33" applyNumberFormat="1" applyFont="1" applyFill="1" applyBorder="1" applyAlignment="1">
      <alignment horizontal="center"/>
    </xf>
    <xf numFmtId="169" fontId="43" fillId="0" borderId="93" xfId="33" applyNumberFormat="1" applyFont="1" applyBorder="1" applyAlignment="1">
      <alignment horizontal="center"/>
    </xf>
    <xf numFmtId="10" fontId="0" fillId="0" borderId="0" xfId="36" applyNumberFormat="1" applyFont="1" applyAlignment="1">
      <alignment horizontal="center"/>
    </xf>
    <xf numFmtId="170" fontId="1" fillId="0" borderId="0" xfId="15" applyNumberFormat="1" applyFont="1" applyAlignment="1">
      <alignment horizontal="center"/>
    </xf>
    <xf numFmtId="9" fontId="1" fillId="0" borderId="0" xfId="15" applyFont="1" applyAlignment="1">
      <alignment horizontal="center"/>
    </xf>
    <xf numFmtId="167" fontId="43" fillId="7" borderId="61" xfId="33" applyNumberFormat="1" applyFont="1" applyFill="1" applyBorder="1" applyAlignment="1">
      <alignment horizontal="center" vertical="center"/>
    </xf>
    <xf numFmtId="167" fontId="44" fillId="7" borderId="61" xfId="33" applyNumberFormat="1" applyFont="1" applyFill="1" applyBorder="1" applyAlignment="1">
      <alignment horizontal="center"/>
    </xf>
    <xf numFmtId="167" fontId="43" fillId="7" borderId="61" xfId="33" applyNumberFormat="1" applyFont="1" applyFill="1" applyBorder="1" applyAlignment="1">
      <alignment horizontal="center"/>
    </xf>
    <xf numFmtId="167" fontId="43" fillId="13" borderId="61" xfId="33" applyNumberFormat="1" applyFont="1" applyFill="1" applyBorder="1" applyAlignment="1">
      <alignment horizontal="center"/>
    </xf>
    <xf numFmtId="169" fontId="43" fillId="7" borderId="61" xfId="33" applyNumberFormat="1" applyFont="1" applyFill="1" applyBorder="1" applyAlignment="1">
      <alignment horizontal="center"/>
    </xf>
    <xf numFmtId="167" fontId="1" fillId="7" borderId="61" xfId="33" applyNumberFormat="1" applyFont="1" applyFill="1" applyBorder="1" applyAlignment="1">
      <alignment horizontal="center"/>
    </xf>
    <xf numFmtId="169" fontId="43" fillId="0" borderId="94" xfId="33" applyNumberFormat="1" applyFont="1" applyBorder="1" applyAlignment="1">
      <alignment horizontal="center"/>
    </xf>
    <xf numFmtId="169" fontId="43" fillId="0" borderId="95" xfId="33" applyNumberFormat="1" applyFont="1" applyBorder="1" applyAlignment="1">
      <alignment horizontal="center"/>
    </xf>
    <xf numFmtId="169" fontId="43" fillId="0" borderId="96" xfId="33" applyNumberFormat="1" applyFont="1" applyBorder="1" applyAlignment="1">
      <alignment horizontal="center"/>
    </xf>
    <xf numFmtId="0" fontId="1" fillId="0" borderId="0" xfId="33" applyFont="1" applyAlignment="1">
      <alignment horizontal="center"/>
    </xf>
    <xf numFmtId="170" fontId="1" fillId="0" borderId="0" xfId="15" applyNumberFormat="1" applyFont="1"/>
    <xf numFmtId="0" fontId="30" fillId="0" borderId="0" xfId="33" applyFont="1" applyAlignment="1">
      <alignment horizontal="center"/>
    </xf>
    <xf numFmtId="4" fontId="2" fillId="0" borderId="58" xfId="38" applyNumberFormat="1" applyBorder="1" applyAlignment="1">
      <alignment horizontal="center"/>
    </xf>
    <xf numFmtId="169" fontId="1" fillId="0" borderId="93" xfId="33" applyNumberFormat="1" applyFont="1" applyBorder="1" applyAlignment="1">
      <alignment horizontal="center"/>
    </xf>
    <xf numFmtId="169" fontId="43" fillId="13" borderId="93" xfId="33" applyNumberFormat="1" applyFont="1" applyFill="1" applyBorder="1" applyAlignment="1">
      <alignment horizontal="center"/>
    </xf>
    <xf numFmtId="169" fontId="44" fillId="0" borderId="93" xfId="36" applyNumberFormat="1" applyFont="1" applyBorder="1" applyAlignment="1">
      <alignment horizontal="center" vertical="center"/>
    </xf>
    <xf numFmtId="169" fontId="43" fillId="0" borderId="93" xfId="36" applyNumberFormat="1" applyFont="1" applyBorder="1" applyAlignment="1">
      <alignment horizontal="center" vertical="center"/>
    </xf>
    <xf numFmtId="0" fontId="12" fillId="0" borderId="97" xfId="33" applyFont="1" applyBorder="1" applyAlignment="1">
      <alignment horizontal="center"/>
    </xf>
    <xf numFmtId="0" fontId="12" fillId="0" borderId="98" xfId="33" applyFont="1" applyBorder="1" applyAlignment="1">
      <alignment horizontal="center"/>
    </xf>
    <xf numFmtId="0" fontId="12" fillId="0" borderId="99" xfId="33" applyFont="1" applyBorder="1" applyAlignment="1">
      <alignment horizontal="center"/>
    </xf>
    <xf numFmtId="169" fontId="1" fillId="0" borderId="95" xfId="33" applyNumberFormat="1" applyFont="1" applyBorder="1" applyAlignment="1">
      <alignment horizontal="center"/>
    </xf>
    <xf numFmtId="169" fontId="43" fillId="13" borderId="94" xfId="33" applyNumberFormat="1" applyFont="1" applyFill="1" applyBorder="1" applyAlignment="1">
      <alignment horizontal="center"/>
    </xf>
    <xf numFmtId="169" fontId="43" fillId="13" borderId="95" xfId="33" applyNumberFormat="1" applyFont="1" applyFill="1" applyBorder="1" applyAlignment="1">
      <alignment horizontal="center"/>
    </xf>
    <xf numFmtId="169" fontId="44" fillId="0" borderId="94" xfId="36" applyNumberFormat="1" applyFont="1" applyBorder="1" applyAlignment="1">
      <alignment horizontal="center" vertical="center"/>
    </xf>
    <xf numFmtId="169" fontId="44" fillId="0" borderId="95" xfId="36" applyNumberFormat="1" applyFont="1" applyBorder="1" applyAlignment="1">
      <alignment horizontal="center" vertical="center"/>
    </xf>
    <xf numFmtId="169" fontId="43" fillId="0" borderId="94" xfId="36" applyNumberFormat="1" applyFont="1" applyBorder="1" applyAlignment="1">
      <alignment horizontal="center" vertical="center"/>
    </xf>
    <xf numFmtId="169" fontId="43" fillId="0" borderId="95" xfId="36" applyNumberFormat="1" applyFont="1" applyBorder="1" applyAlignment="1">
      <alignment horizontal="center" vertical="center"/>
    </xf>
    <xf numFmtId="0" fontId="12" fillId="0" borderId="103" xfId="33" applyFont="1" applyBorder="1" applyAlignment="1">
      <alignment horizontal="center"/>
    </xf>
    <xf numFmtId="169" fontId="1" fillId="0" borderId="96" xfId="33" applyNumberFormat="1" applyFont="1" applyBorder="1" applyAlignment="1">
      <alignment horizontal="center"/>
    </xf>
    <xf numFmtId="169" fontId="43" fillId="13" borderId="96" xfId="33" applyNumberFormat="1" applyFont="1" applyFill="1" applyBorder="1" applyAlignment="1">
      <alignment horizontal="center"/>
    </xf>
    <xf numFmtId="169" fontId="44" fillId="0" borderId="96" xfId="36" applyNumberFormat="1" applyFont="1" applyBorder="1" applyAlignment="1">
      <alignment horizontal="center" vertical="center"/>
    </xf>
    <xf numFmtId="169" fontId="43" fillId="0" borderId="96" xfId="36" applyNumberFormat="1" applyFont="1" applyBorder="1" applyAlignment="1">
      <alignment horizontal="center" vertical="center"/>
    </xf>
    <xf numFmtId="4" fontId="1" fillId="0" borderId="93" xfId="33" applyNumberFormat="1" applyFont="1" applyBorder="1" applyAlignment="1">
      <alignment horizontal="center"/>
    </xf>
    <xf numFmtId="4" fontId="1" fillId="0" borderId="93" xfId="38" applyNumberFormat="1" applyFont="1" applyBorder="1" applyAlignment="1">
      <alignment horizontal="center"/>
    </xf>
    <xf numFmtId="4" fontId="1" fillId="0" borderId="95" xfId="33" applyNumberFormat="1" applyFont="1" applyBorder="1" applyAlignment="1">
      <alignment horizontal="center"/>
    </xf>
    <xf numFmtId="4" fontId="1" fillId="0" borderId="101" xfId="38" applyNumberFormat="1" applyFont="1" applyBorder="1" applyAlignment="1">
      <alignment horizontal="center"/>
    </xf>
    <xf numFmtId="4" fontId="1" fillId="0" borderId="96" xfId="33" applyNumberFormat="1" applyFont="1" applyBorder="1" applyAlignment="1">
      <alignment horizontal="center"/>
    </xf>
    <xf numFmtId="4" fontId="1" fillId="0" borderId="96" xfId="38" applyNumberFormat="1" applyFont="1" applyBorder="1" applyAlignment="1">
      <alignment horizontal="center"/>
    </xf>
    <xf numFmtId="4" fontId="1" fillId="0" borderId="104" xfId="38" applyNumberFormat="1" applyFont="1" applyBorder="1" applyAlignment="1">
      <alignment horizontal="center"/>
    </xf>
    <xf numFmtId="4" fontId="24" fillId="6" borderId="27" xfId="7" applyFont="1" applyFill="1" applyBorder="1">
      <alignment horizontal="right"/>
    </xf>
    <xf numFmtId="0" fontId="28" fillId="0" borderId="23" xfId="9" applyFont="1" applyFill="1" applyBorder="1"/>
    <xf numFmtId="170" fontId="7" fillId="0" borderId="16" xfId="15" applyNumberFormat="1" applyFont="1" applyBorder="1" applyAlignment="1">
      <alignment horizontal="center"/>
    </xf>
    <xf numFmtId="170" fontId="7" fillId="0" borderId="16" xfId="15" applyNumberFormat="1" applyFont="1" applyBorder="1"/>
    <xf numFmtId="170" fontId="7" fillId="0" borderId="16" xfId="15" applyNumberFormat="1" applyFont="1" applyBorder="1" applyAlignment="1">
      <alignment horizontal="right"/>
    </xf>
    <xf numFmtId="9" fontId="7" fillId="0" borderId="0" xfId="15" applyFont="1" applyBorder="1" applyAlignment="1">
      <alignment horizontal="right"/>
    </xf>
    <xf numFmtId="2" fontId="7" fillId="7" borderId="0" xfId="0" applyNumberFormat="1" applyFont="1" applyFill="1" applyAlignment="1">
      <alignment horizontal="center"/>
    </xf>
    <xf numFmtId="2" fontId="7" fillId="0" borderId="0" xfId="0" applyNumberFormat="1" applyFont="1" applyAlignment="1">
      <alignment horizontal="center"/>
    </xf>
    <xf numFmtId="169" fontId="7" fillId="7" borderId="0" xfId="0" applyNumberFormat="1" applyFont="1" applyFill="1" applyAlignment="1">
      <alignment horizontal="center"/>
    </xf>
    <xf numFmtId="169" fontId="7" fillId="0" borderId="31" xfId="0" applyNumberFormat="1" applyFont="1" applyBorder="1"/>
    <xf numFmtId="169" fontId="7" fillId="0" borderId="32" xfId="0" applyNumberFormat="1" applyFont="1" applyBorder="1" applyAlignment="1">
      <alignment horizontal="center"/>
    </xf>
    <xf numFmtId="169" fontId="7" fillId="0" borderId="33" xfId="0" applyNumberFormat="1" applyFont="1" applyBorder="1"/>
    <xf numFmtId="169" fontId="7" fillId="0" borderId="35" xfId="0" applyNumberFormat="1" applyFont="1" applyBorder="1"/>
    <xf numFmtId="169" fontId="7" fillId="0" borderId="0" xfId="10" applyNumberFormat="1" applyFont="1" applyAlignment="1" applyProtection="1">
      <alignment horizontal="left"/>
    </xf>
    <xf numFmtId="0" fontId="7" fillId="0" borderId="0" xfId="0" applyFont="1" applyAlignment="1">
      <alignment horizontal="left"/>
    </xf>
    <xf numFmtId="0" fontId="7" fillId="0" borderId="0" xfId="0" applyFont="1" applyAlignment="1">
      <alignment vertical="center"/>
    </xf>
    <xf numFmtId="166" fontId="1" fillId="0" borderId="57" xfId="22" applyFont="1" applyBorder="1" applyAlignment="1">
      <alignment horizontal="center" vertical="center"/>
    </xf>
    <xf numFmtId="43" fontId="1" fillId="0" borderId="0" xfId="37" applyFont="1"/>
    <xf numFmtId="0" fontId="1" fillId="0" borderId="0" xfId="33" applyFont="1"/>
    <xf numFmtId="0" fontId="1" fillId="0" borderId="0" xfId="32" applyFont="1"/>
    <xf numFmtId="170" fontId="53" fillId="16" borderId="60" xfId="34" applyNumberFormat="1" applyFont="1" applyFill="1" applyBorder="1" applyAlignment="1">
      <alignment horizontal="center"/>
    </xf>
    <xf numFmtId="170" fontId="53" fillId="16" borderId="61" xfId="34" applyNumberFormat="1" applyFont="1" applyFill="1" applyBorder="1" applyAlignment="1">
      <alignment horizontal="center"/>
    </xf>
    <xf numFmtId="170" fontId="40" fillId="0" borderId="94" xfId="33" applyNumberFormat="1" applyFont="1" applyBorder="1" applyAlignment="1">
      <alignment horizontal="center"/>
    </xf>
    <xf numFmtId="170" fontId="40" fillId="0" borderId="93" xfId="33" applyNumberFormat="1" applyFont="1" applyBorder="1" applyAlignment="1">
      <alignment horizontal="center"/>
    </xf>
    <xf numFmtId="170" fontId="40" fillId="0" borderId="96" xfId="33" applyNumberFormat="1" applyFont="1" applyBorder="1" applyAlignment="1">
      <alignment horizontal="center"/>
    </xf>
    <xf numFmtId="170" fontId="40" fillId="0" borderId="95" xfId="33" applyNumberFormat="1" applyFont="1" applyBorder="1" applyAlignment="1">
      <alignment horizontal="center"/>
    </xf>
    <xf numFmtId="167" fontId="1" fillId="16" borderId="60" xfId="34" applyNumberFormat="1" applyFont="1" applyFill="1" applyBorder="1" applyAlignment="1">
      <alignment horizontal="center"/>
    </xf>
    <xf numFmtId="167" fontId="1" fillId="16" borderId="61" xfId="34" applyNumberFormat="1" applyFont="1" applyFill="1" applyBorder="1" applyAlignment="1">
      <alignment horizontal="center"/>
    </xf>
    <xf numFmtId="167" fontId="1" fillId="0" borderId="94" xfId="33" applyNumberFormat="1" applyFont="1" applyBorder="1" applyAlignment="1">
      <alignment horizontal="center"/>
    </xf>
    <xf numFmtId="167" fontId="1" fillId="0" borderId="93" xfId="33" applyNumberFormat="1" applyFont="1" applyBorder="1" applyAlignment="1">
      <alignment horizontal="center"/>
    </xf>
    <xf numFmtId="167" fontId="1" fillId="0" borderId="96" xfId="33" applyNumberFormat="1" applyFont="1" applyBorder="1" applyAlignment="1">
      <alignment horizontal="center"/>
    </xf>
    <xf numFmtId="167" fontId="1" fillId="0" borderId="95" xfId="33" applyNumberFormat="1" applyFont="1" applyBorder="1" applyAlignment="1">
      <alignment horizontal="center"/>
    </xf>
    <xf numFmtId="170" fontId="53" fillId="16" borderId="60" xfId="35" applyNumberFormat="1" applyFont="1" applyFill="1" applyBorder="1" applyAlignment="1">
      <alignment horizontal="center"/>
    </xf>
    <xf numFmtId="170" fontId="53" fillId="16" borderId="61" xfId="35" applyNumberFormat="1" applyFont="1" applyFill="1" applyBorder="1" applyAlignment="1">
      <alignment horizontal="center"/>
    </xf>
    <xf numFmtId="169" fontId="1" fillId="0" borderId="94" xfId="33" applyNumberFormat="1" applyFont="1" applyBorder="1" applyAlignment="1">
      <alignment horizontal="center"/>
    </xf>
    <xf numFmtId="167" fontId="1" fillId="16" borderId="61" xfId="33" applyNumberFormat="1" applyFont="1" applyFill="1" applyBorder="1" applyAlignment="1">
      <alignment horizontal="center"/>
    </xf>
    <xf numFmtId="167" fontId="40" fillId="16" borderId="60" xfId="33" applyNumberFormat="1" applyFont="1" applyFill="1" applyBorder="1" applyAlignment="1">
      <alignment horizontal="center"/>
    </xf>
    <xf numFmtId="167" fontId="40" fillId="16" borderId="61" xfId="33" applyNumberFormat="1" applyFont="1" applyFill="1" applyBorder="1" applyAlignment="1">
      <alignment horizontal="center"/>
    </xf>
    <xf numFmtId="169" fontId="40" fillId="0" borderId="94" xfId="33" applyNumberFormat="1" applyFont="1" applyBorder="1" applyAlignment="1">
      <alignment horizontal="center"/>
    </xf>
    <xf numFmtId="169" fontId="40" fillId="0" borderId="93" xfId="33" applyNumberFormat="1" applyFont="1" applyBorder="1" applyAlignment="1">
      <alignment horizontal="center"/>
    </xf>
    <xf numFmtId="169" fontId="40" fillId="0" borderId="96" xfId="33" applyNumberFormat="1" applyFont="1" applyBorder="1" applyAlignment="1">
      <alignment horizontal="center"/>
    </xf>
    <xf numFmtId="169" fontId="40" fillId="0" borderId="95" xfId="33" applyNumberFormat="1" applyFont="1" applyBorder="1" applyAlignment="1">
      <alignment horizontal="center"/>
    </xf>
    <xf numFmtId="169" fontId="1" fillId="12" borderId="0" xfId="33" applyNumberFormat="1" applyFont="1" applyFill="1" applyAlignment="1">
      <alignment horizontal="center"/>
    </xf>
    <xf numFmtId="169" fontId="40" fillId="12" borderId="94" xfId="33" applyNumberFormat="1" applyFont="1" applyFill="1" applyBorder="1" applyAlignment="1">
      <alignment horizontal="center"/>
    </xf>
    <xf numFmtId="169" fontId="40" fillId="12" borderId="93" xfId="33" applyNumberFormat="1" applyFont="1" applyFill="1" applyBorder="1" applyAlignment="1">
      <alignment horizontal="center"/>
    </xf>
    <xf numFmtId="169" fontId="40" fillId="12" borderId="96" xfId="33" applyNumberFormat="1" applyFont="1" applyFill="1" applyBorder="1" applyAlignment="1">
      <alignment horizontal="center"/>
    </xf>
    <xf numFmtId="169" fontId="40" fillId="12" borderId="95" xfId="33" applyNumberFormat="1" applyFont="1" applyFill="1" applyBorder="1" applyAlignment="1">
      <alignment horizontal="center"/>
    </xf>
    <xf numFmtId="169" fontId="62" fillId="0" borderId="94" xfId="33" applyNumberFormat="1" applyFont="1" applyBorder="1" applyAlignment="1">
      <alignment horizontal="center" vertical="center"/>
    </xf>
    <xf numFmtId="169" fontId="62" fillId="0" borderId="93" xfId="33" applyNumberFormat="1" applyFont="1" applyBorder="1" applyAlignment="1">
      <alignment horizontal="center" vertical="center"/>
    </xf>
    <xf numFmtId="169" fontId="62" fillId="0" borderId="96" xfId="33" applyNumberFormat="1" applyFont="1" applyBorder="1" applyAlignment="1">
      <alignment horizontal="center" vertical="center"/>
    </xf>
    <xf numFmtId="169" fontId="62" fillId="0" borderId="95" xfId="33" applyNumberFormat="1" applyFont="1" applyBorder="1" applyAlignment="1">
      <alignment horizontal="center" vertical="center"/>
    </xf>
    <xf numFmtId="167" fontId="1" fillId="13" borderId="60" xfId="33" applyNumberFormat="1" applyFont="1" applyFill="1" applyBorder="1" applyAlignment="1">
      <alignment horizontal="center"/>
    </xf>
    <xf numFmtId="167" fontId="1" fillId="13" borderId="61" xfId="33" applyNumberFormat="1" applyFont="1" applyFill="1" applyBorder="1" applyAlignment="1">
      <alignment horizontal="center"/>
    </xf>
    <xf numFmtId="169" fontId="1" fillId="13" borderId="94" xfId="33" applyNumberFormat="1" applyFont="1" applyFill="1" applyBorder="1" applyAlignment="1">
      <alignment horizontal="center"/>
    </xf>
    <xf numFmtId="169" fontId="1" fillId="13" borderId="93" xfId="33" applyNumberFormat="1" applyFont="1" applyFill="1" applyBorder="1" applyAlignment="1">
      <alignment horizontal="center"/>
    </xf>
    <xf numFmtId="169" fontId="1" fillId="13" borderId="96" xfId="33" applyNumberFormat="1" applyFont="1" applyFill="1" applyBorder="1" applyAlignment="1">
      <alignment horizontal="center"/>
    </xf>
    <xf numFmtId="169" fontId="1" fillId="13" borderId="95" xfId="33" applyNumberFormat="1" applyFont="1" applyFill="1" applyBorder="1" applyAlignment="1">
      <alignment horizontal="center"/>
    </xf>
    <xf numFmtId="168" fontId="1" fillId="0" borderId="94" xfId="33" applyNumberFormat="1" applyFont="1" applyBorder="1" applyAlignment="1">
      <alignment horizontal="center"/>
    </xf>
    <xf numFmtId="168" fontId="1" fillId="0" borderId="93" xfId="33" applyNumberFormat="1" applyFont="1" applyBorder="1" applyAlignment="1">
      <alignment horizontal="center"/>
    </xf>
    <xf numFmtId="168" fontId="1" fillId="0" borderId="96" xfId="33" applyNumberFormat="1" applyFont="1" applyBorder="1" applyAlignment="1">
      <alignment horizontal="center"/>
    </xf>
    <xf numFmtId="168" fontId="1" fillId="0" borderId="95" xfId="33" applyNumberFormat="1" applyFont="1" applyBorder="1" applyAlignment="1">
      <alignment horizontal="center"/>
    </xf>
    <xf numFmtId="169" fontId="62" fillId="0" borderId="94" xfId="33" applyNumberFormat="1" applyFont="1" applyBorder="1" applyAlignment="1">
      <alignment horizontal="center"/>
    </xf>
    <xf numFmtId="169" fontId="62" fillId="0" borderId="93" xfId="33" applyNumberFormat="1" applyFont="1" applyBorder="1" applyAlignment="1">
      <alignment horizontal="center"/>
    </xf>
    <xf numFmtId="169" fontId="62" fillId="0" borderId="96" xfId="33" applyNumberFormat="1" applyFont="1" applyBorder="1" applyAlignment="1">
      <alignment horizontal="center"/>
    </xf>
    <xf numFmtId="169" fontId="62" fillId="0" borderId="95" xfId="33" applyNumberFormat="1" applyFont="1" applyBorder="1" applyAlignment="1">
      <alignment horizontal="center"/>
    </xf>
    <xf numFmtId="167" fontId="40" fillId="0" borderId="94" xfId="33" applyNumberFormat="1" applyFont="1" applyBorder="1" applyAlignment="1">
      <alignment horizontal="center"/>
    </xf>
    <xf numFmtId="167" fontId="40" fillId="0" borderId="93" xfId="33" applyNumberFormat="1" applyFont="1" applyBorder="1" applyAlignment="1">
      <alignment horizontal="center"/>
    </xf>
    <xf numFmtId="167" fontId="40" fillId="0" borderId="96" xfId="33" applyNumberFormat="1" applyFont="1" applyBorder="1" applyAlignment="1">
      <alignment horizontal="center"/>
    </xf>
    <xf numFmtId="167" fontId="40" fillId="0" borderId="95" xfId="33" applyNumberFormat="1" applyFont="1" applyBorder="1" applyAlignment="1">
      <alignment horizontal="center"/>
    </xf>
    <xf numFmtId="167" fontId="1" fillId="7" borderId="60" xfId="33" applyNumberFormat="1" applyFont="1" applyFill="1" applyBorder="1" applyAlignment="1">
      <alignment horizontal="center" vertical="center"/>
    </xf>
    <xf numFmtId="167" fontId="1" fillId="7" borderId="61" xfId="33" applyNumberFormat="1" applyFont="1" applyFill="1" applyBorder="1" applyAlignment="1">
      <alignment horizontal="center" vertical="center"/>
    </xf>
    <xf numFmtId="169" fontId="1" fillId="7" borderId="60" xfId="33" applyNumberFormat="1" applyFont="1" applyFill="1" applyBorder="1" applyAlignment="1">
      <alignment horizontal="center" vertical="center"/>
    </xf>
    <xf numFmtId="169" fontId="1" fillId="7" borderId="61" xfId="33" applyNumberFormat="1" applyFont="1" applyFill="1" applyBorder="1" applyAlignment="1">
      <alignment horizontal="center" vertical="center"/>
    </xf>
    <xf numFmtId="169" fontId="40" fillId="0" borderId="94" xfId="36" applyNumberFormat="1" applyFont="1" applyBorder="1" applyAlignment="1">
      <alignment horizontal="center" vertical="center"/>
    </xf>
    <xf numFmtId="169" fontId="40" fillId="0" borderId="93" xfId="36" applyNumberFormat="1" applyFont="1" applyBorder="1" applyAlignment="1">
      <alignment horizontal="center" vertical="center"/>
    </xf>
    <xf numFmtId="169" fontId="40" fillId="0" borderId="96" xfId="36" applyNumberFormat="1" applyFont="1" applyBorder="1" applyAlignment="1">
      <alignment horizontal="center" vertical="center"/>
    </xf>
    <xf numFmtId="169" fontId="40" fillId="0" borderId="95" xfId="36" applyNumberFormat="1" applyFont="1" applyBorder="1" applyAlignment="1">
      <alignment horizontal="center" vertical="center"/>
    </xf>
    <xf numFmtId="0" fontId="1" fillId="0" borderId="94" xfId="33" applyFont="1" applyBorder="1" applyAlignment="1">
      <alignment horizontal="center"/>
    </xf>
    <xf numFmtId="0" fontId="1" fillId="0" borderId="93" xfId="33" applyFont="1" applyBorder="1" applyAlignment="1">
      <alignment horizontal="center"/>
    </xf>
    <xf numFmtId="0" fontId="1" fillId="0" borderId="96" xfId="33" applyFont="1" applyBorder="1" applyAlignment="1">
      <alignment horizontal="center"/>
    </xf>
    <xf numFmtId="0" fontId="1" fillId="0" borderId="93" xfId="33" applyFont="1" applyBorder="1"/>
    <xf numFmtId="0" fontId="1" fillId="0" borderId="95" xfId="33" applyFont="1" applyBorder="1"/>
    <xf numFmtId="4" fontId="1" fillId="0" borderId="60" xfId="33" applyNumberFormat="1" applyFont="1" applyBorder="1" applyAlignment="1">
      <alignment horizontal="center"/>
    </xf>
    <xf numFmtId="169" fontId="1" fillId="0" borderId="60" xfId="33" applyNumberFormat="1" applyFont="1" applyBorder="1" applyAlignment="1">
      <alignment horizontal="center"/>
    </xf>
    <xf numFmtId="4" fontId="1" fillId="0" borderId="61" xfId="33" applyNumberFormat="1" applyFont="1" applyBorder="1" applyAlignment="1">
      <alignment horizontal="center"/>
    </xf>
    <xf numFmtId="4" fontId="1" fillId="0" borderId="94" xfId="33" applyNumberFormat="1" applyFont="1" applyBorder="1" applyAlignment="1">
      <alignment horizontal="center"/>
    </xf>
    <xf numFmtId="0" fontId="1" fillId="0" borderId="60" xfId="33" applyFont="1" applyBorder="1"/>
    <xf numFmtId="169" fontId="1" fillId="12" borderId="0" xfId="33" applyNumberFormat="1" applyFont="1" applyFill="1"/>
    <xf numFmtId="4" fontId="1" fillId="0" borderId="60" xfId="38" applyNumberFormat="1" applyFont="1" applyBorder="1" applyAlignment="1">
      <alignment horizontal="center"/>
    </xf>
    <xf numFmtId="4" fontId="1" fillId="0" borderId="61" xfId="38" applyNumberFormat="1" applyFont="1" applyBorder="1" applyAlignment="1">
      <alignment horizontal="center"/>
    </xf>
    <xf numFmtId="4" fontId="1" fillId="0" borderId="94" xfId="38" applyNumberFormat="1" applyFont="1" applyBorder="1" applyAlignment="1">
      <alignment horizontal="center"/>
    </xf>
    <xf numFmtId="4" fontId="1" fillId="12" borderId="95" xfId="33" applyNumberFormat="1" applyFont="1" applyFill="1" applyBorder="1"/>
    <xf numFmtId="4" fontId="1" fillId="0" borderId="100" xfId="38" applyNumberFormat="1" applyFont="1" applyBorder="1" applyAlignment="1">
      <alignment horizontal="center"/>
    </xf>
    <xf numFmtId="4" fontId="1" fillId="12" borderId="102" xfId="33" applyNumberFormat="1" applyFont="1" applyFill="1" applyBorder="1"/>
    <xf numFmtId="0" fontId="21" fillId="0" borderId="0" xfId="0" applyFont="1"/>
    <xf numFmtId="0" fontId="8" fillId="0" borderId="97" xfId="33" applyFont="1" applyBorder="1" applyAlignment="1">
      <alignment horizontal="center"/>
    </xf>
    <xf numFmtId="0" fontId="8" fillId="0" borderId="98" xfId="33" applyFont="1" applyBorder="1" applyAlignment="1">
      <alignment horizontal="center"/>
    </xf>
    <xf numFmtId="0" fontId="8" fillId="0" borderId="103" xfId="33" applyFont="1" applyBorder="1" applyAlignment="1">
      <alignment horizontal="center"/>
    </xf>
    <xf numFmtId="0" fontId="8" fillId="0" borderId="99" xfId="33" applyFont="1" applyBorder="1" applyAlignment="1">
      <alignment horizontal="center"/>
    </xf>
    <xf numFmtId="0" fontId="63" fillId="0" borderId="0" xfId="0" applyFont="1"/>
    <xf numFmtId="10" fontId="7" fillId="0" borderId="0" xfId="36" applyNumberFormat="1" applyFont="1" applyBorder="1" applyAlignment="1">
      <alignment horizontal="center"/>
    </xf>
    <xf numFmtId="0" fontId="64" fillId="0" borderId="105" xfId="0" applyFont="1" applyBorder="1" applyAlignment="1">
      <alignment wrapText="1" readingOrder="1"/>
    </xf>
    <xf numFmtId="0" fontId="64" fillId="21" borderId="105" xfId="0" applyFont="1" applyFill="1" applyBorder="1" applyAlignment="1">
      <alignment wrapText="1" readingOrder="1"/>
    </xf>
    <xf numFmtId="0" fontId="65" fillId="0" borderId="105" xfId="0" applyFont="1" applyBorder="1" applyAlignment="1">
      <alignment wrapText="1" readingOrder="1"/>
    </xf>
    <xf numFmtId="0" fontId="64" fillId="0" borderId="106" xfId="0" applyFont="1" applyBorder="1" applyAlignment="1">
      <alignment wrapText="1" readingOrder="1"/>
    </xf>
    <xf numFmtId="2" fontId="7" fillId="0" borderId="108" xfId="24" applyNumberFormat="1" applyBorder="1" applyAlignment="1">
      <alignment horizontal="center"/>
    </xf>
    <xf numFmtId="10" fontId="7" fillId="0" borderId="0" xfId="24" applyNumberFormat="1" applyAlignment="1">
      <alignment horizontal="center"/>
    </xf>
    <xf numFmtId="2" fontId="7" fillId="0" borderId="0" xfId="24" applyNumberFormat="1" applyAlignment="1">
      <alignment horizontal="center"/>
    </xf>
    <xf numFmtId="0" fontId="7" fillId="0" borderId="107" xfId="24" applyBorder="1" applyAlignment="1">
      <alignment horizontal="center"/>
    </xf>
    <xf numFmtId="177" fontId="0" fillId="0" borderId="0" xfId="15" applyNumberFormat="1" applyFont="1" applyFill="1" applyBorder="1" applyAlignment="1">
      <alignment horizontal="center"/>
    </xf>
    <xf numFmtId="170" fontId="0" fillId="0" borderId="0" xfId="15" applyNumberFormat="1" applyFont="1" applyFill="1" applyBorder="1" applyAlignment="1">
      <alignment horizontal="center"/>
    </xf>
    <xf numFmtId="9" fontId="7" fillId="0" borderId="0" xfId="24" applyNumberFormat="1" applyAlignment="1">
      <alignment horizontal="center"/>
    </xf>
    <xf numFmtId="10" fontId="0" fillId="22" borderId="0" xfId="15" applyNumberFormat="1" applyFont="1" applyFill="1" applyBorder="1" applyAlignment="1">
      <alignment horizontal="center"/>
    </xf>
    <xf numFmtId="0" fontId="68" fillId="0" borderId="0" xfId="24" applyFont="1"/>
    <xf numFmtId="10" fontId="67" fillId="0" borderId="0" xfId="24" applyNumberFormat="1" applyFont="1"/>
    <xf numFmtId="10" fontId="0" fillId="23" borderId="0" xfId="15" applyNumberFormat="1" applyFont="1" applyFill="1" applyBorder="1" applyAlignment="1">
      <alignment horizontal="center"/>
    </xf>
    <xf numFmtId="10" fontId="0" fillId="24" borderId="0" xfId="15" applyNumberFormat="1" applyFont="1" applyFill="1" applyBorder="1" applyAlignment="1">
      <alignment horizontal="center"/>
    </xf>
    <xf numFmtId="2" fontId="7" fillId="12" borderId="0" xfId="24" applyNumberFormat="1" applyFill="1" applyAlignment="1">
      <alignment horizontal="center"/>
    </xf>
    <xf numFmtId="177" fontId="0" fillId="25" borderId="0" xfId="15" applyNumberFormat="1" applyFont="1" applyFill="1" applyBorder="1" applyAlignment="1">
      <alignment horizontal="center"/>
    </xf>
    <xf numFmtId="177" fontId="0" fillId="26" borderId="0" xfId="15" applyNumberFormat="1" applyFont="1" applyFill="1" applyBorder="1" applyAlignment="1">
      <alignment horizontal="center"/>
    </xf>
    <xf numFmtId="170" fontId="0" fillId="24" borderId="0" xfId="15" applyNumberFormat="1" applyFont="1" applyFill="1" applyBorder="1" applyAlignment="1">
      <alignment horizontal="center"/>
    </xf>
    <xf numFmtId="9" fontId="7" fillId="24" borderId="0" xfId="24" applyNumberFormat="1" applyFill="1" applyAlignment="1">
      <alignment horizontal="center"/>
    </xf>
    <xf numFmtId="0" fontId="69" fillId="11" borderId="84" xfId="24" applyFont="1" applyFill="1" applyBorder="1" applyAlignment="1">
      <alignment horizontal="center" vertical="center"/>
    </xf>
    <xf numFmtId="0" fontId="69" fillId="11" borderId="85" xfId="24" applyFont="1" applyFill="1" applyBorder="1" applyAlignment="1">
      <alignment horizontal="center" vertical="center"/>
    </xf>
    <xf numFmtId="0" fontId="69" fillId="11" borderId="0" xfId="24" applyFont="1" applyFill="1" applyAlignment="1">
      <alignment horizontal="center" vertical="center"/>
    </xf>
    <xf numFmtId="0" fontId="69" fillId="11" borderId="89" xfId="24" applyFont="1" applyFill="1" applyBorder="1" applyAlignment="1">
      <alignment horizontal="center" vertical="center"/>
    </xf>
    <xf numFmtId="0" fontId="8" fillId="0" borderId="0" xfId="0" applyFont="1" applyAlignment="1">
      <alignment horizontal="center"/>
    </xf>
    <xf numFmtId="0" fontId="30" fillId="4" borderId="38" xfId="0" applyFont="1" applyFill="1" applyBorder="1" applyAlignment="1">
      <alignment horizontal="center"/>
    </xf>
    <xf numFmtId="0" fontId="30" fillId="4" borderId="39" xfId="0" applyFont="1" applyFill="1" applyBorder="1" applyAlignment="1">
      <alignment horizontal="center"/>
    </xf>
    <xf numFmtId="0" fontId="30" fillId="4" borderId="40" xfId="0" applyFont="1" applyFill="1" applyBorder="1" applyAlignment="1">
      <alignment horizontal="center"/>
    </xf>
    <xf numFmtId="0" fontId="30" fillId="4" borderId="8" xfId="0" applyFont="1" applyFill="1" applyBorder="1" applyAlignment="1">
      <alignment horizontal="center"/>
    </xf>
    <xf numFmtId="0" fontId="30" fillId="4" borderId="14" xfId="0" applyFont="1" applyFill="1" applyBorder="1" applyAlignment="1">
      <alignment horizontal="center"/>
    </xf>
    <xf numFmtId="0" fontId="30" fillId="4" borderId="13" xfId="0" applyFont="1" applyFill="1" applyBorder="1" applyAlignment="1">
      <alignment horizontal="center"/>
    </xf>
    <xf numFmtId="0" fontId="34" fillId="4" borderId="0" xfId="20" applyFont="1" applyFill="1" applyAlignment="1">
      <alignment horizontal="center"/>
    </xf>
    <xf numFmtId="0" fontId="69" fillId="11" borderId="83" xfId="24" applyFont="1" applyFill="1" applyBorder="1" applyAlignment="1">
      <alignment horizontal="center" vertical="center"/>
    </xf>
    <xf numFmtId="0" fontId="69" fillId="11" borderId="88" xfId="24" applyFont="1" applyFill="1" applyBorder="1" applyAlignment="1">
      <alignment horizontal="center" vertical="center"/>
    </xf>
    <xf numFmtId="169" fontId="0" fillId="0" borderId="0" xfId="0" applyNumberFormat="1" applyAlignment="1">
      <alignment horizontal="center"/>
    </xf>
    <xf numFmtId="0" fontId="30" fillId="4" borderId="0" xfId="0" applyFont="1" applyFill="1" applyAlignment="1">
      <alignment horizontal="center"/>
    </xf>
    <xf numFmtId="170" fontId="0" fillId="0" borderId="0" xfId="0" applyNumberFormat="1" applyAlignment="1">
      <alignment horizontal="center"/>
    </xf>
    <xf numFmtId="0" fontId="0" fillId="0" borderId="0" xfId="0" applyAlignment="1">
      <alignment horizontal="center"/>
    </xf>
    <xf numFmtId="4" fontId="32" fillId="10" borderId="67" xfId="7" applyFont="1" applyFill="1" applyBorder="1" applyAlignment="1">
      <alignment horizontal="center"/>
    </xf>
    <xf numFmtId="4" fontId="32" fillId="10" borderId="63" xfId="7" applyFont="1" applyFill="1" applyBorder="1" applyAlignment="1">
      <alignment horizontal="center"/>
    </xf>
    <xf numFmtId="4" fontId="32" fillId="10" borderId="68" xfId="7" applyFont="1" applyFill="1" applyBorder="1" applyAlignment="1">
      <alignment horizontal="center"/>
    </xf>
    <xf numFmtId="4" fontId="32" fillId="8" borderId="49" xfId="7" applyFont="1" applyFill="1" applyBorder="1" applyAlignment="1">
      <alignment horizontal="center"/>
    </xf>
    <xf numFmtId="4" fontId="32" fillId="8" borderId="0" xfId="7" applyFont="1" applyFill="1" applyBorder="1" applyAlignment="1">
      <alignment horizontal="center"/>
    </xf>
    <xf numFmtId="4" fontId="32" fillId="8" borderId="50" xfId="7" applyFont="1" applyFill="1" applyBorder="1" applyAlignment="1">
      <alignment horizontal="center"/>
    </xf>
    <xf numFmtId="4" fontId="7" fillId="6" borderId="51" xfId="7" applyFont="1" applyFill="1" applyBorder="1" applyAlignment="1">
      <alignment horizontal="center"/>
    </xf>
    <xf numFmtId="4" fontId="7" fillId="6" borderId="52" xfId="7" applyFont="1" applyFill="1" applyBorder="1" applyAlignment="1">
      <alignment horizontal="center"/>
    </xf>
    <xf numFmtId="4" fontId="7" fillId="6" borderId="53" xfId="7" applyFont="1" applyFill="1" applyBorder="1" applyAlignment="1">
      <alignment horizontal="center"/>
    </xf>
    <xf numFmtId="0" fontId="26" fillId="4" borderId="38" xfId="0" applyFont="1" applyFill="1" applyBorder="1" applyAlignment="1">
      <alignment horizontal="center" vertical="center"/>
    </xf>
    <xf numFmtId="0" fontId="26" fillId="4" borderId="39" xfId="0" applyFont="1" applyFill="1" applyBorder="1" applyAlignment="1">
      <alignment horizontal="center" vertical="center"/>
    </xf>
    <xf numFmtId="0" fontId="26" fillId="4" borderId="40" xfId="0" applyFont="1" applyFill="1" applyBorder="1" applyAlignment="1">
      <alignment horizontal="center" vertical="center"/>
    </xf>
    <xf numFmtId="0" fontId="13" fillId="4" borderId="28" xfId="1" applyFill="1" applyBorder="1" applyAlignment="1">
      <alignment horizontal="center" vertical="center" readingOrder="1"/>
    </xf>
    <xf numFmtId="0" fontId="13" fillId="4" borderId="29" xfId="1" applyFill="1" applyBorder="1" applyAlignment="1">
      <alignment horizontal="center" vertical="center" readingOrder="1"/>
    </xf>
    <xf numFmtId="0" fontId="13" fillId="4" borderId="30" xfId="1" applyFill="1" applyBorder="1" applyAlignment="1">
      <alignment horizontal="center" vertical="center" readingOrder="1"/>
    </xf>
    <xf numFmtId="0" fontId="26" fillId="4" borderId="8" xfId="0" applyFont="1" applyFill="1" applyBorder="1" applyAlignment="1">
      <alignment horizontal="center"/>
    </xf>
    <xf numFmtId="0" fontId="26" fillId="4" borderId="41" xfId="0" applyFont="1" applyFill="1" applyBorder="1" applyAlignment="1">
      <alignment horizontal="center"/>
    </xf>
    <xf numFmtId="0" fontId="28" fillId="0" borderId="16" xfId="0" applyFont="1" applyBorder="1" applyAlignment="1">
      <alignment horizontal="center" vertical="center" wrapText="1"/>
    </xf>
    <xf numFmtId="0" fontId="28" fillId="0" borderId="42" xfId="0" applyFont="1" applyBorder="1" applyAlignment="1">
      <alignment horizontal="center" vertical="center" wrapText="1"/>
    </xf>
    <xf numFmtId="0" fontId="26" fillId="4" borderId="64" xfId="0" applyFont="1" applyFill="1" applyBorder="1" applyAlignment="1">
      <alignment horizontal="center" vertical="center"/>
    </xf>
    <xf numFmtId="0" fontId="26" fillId="4" borderId="65" xfId="0" applyFont="1" applyFill="1" applyBorder="1" applyAlignment="1">
      <alignment horizontal="center" vertical="center"/>
    </xf>
    <xf numFmtId="0" fontId="26" fillId="4" borderId="66" xfId="0" applyFont="1" applyFill="1" applyBorder="1" applyAlignment="1">
      <alignment horizontal="center" vertical="center"/>
    </xf>
    <xf numFmtId="0" fontId="55" fillId="4" borderId="0" xfId="33" applyFont="1" applyFill="1" applyAlignment="1">
      <alignment horizontal="center"/>
    </xf>
    <xf numFmtId="0" fontId="41" fillId="0" borderId="3" xfId="33" applyFont="1" applyBorder="1" applyAlignment="1">
      <alignment horizontal="center" vertical="center" wrapText="1"/>
    </xf>
    <xf numFmtId="0" fontId="41" fillId="0" borderId="4" xfId="33" applyFont="1" applyBorder="1" applyAlignment="1">
      <alignment horizontal="center" vertical="center" wrapText="1"/>
    </xf>
    <xf numFmtId="0" fontId="41" fillId="0" borderId="2" xfId="33" applyFont="1" applyBorder="1" applyAlignment="1">
      <alignment horizontal="center" vertical="center" wrapText="1"/>
    </xf>
    <xf numFmtId="0" fontId="41" fillId="0" borderId="3" xfId="33" applyFont="1" applyBorder="1" applyAlignment="1">
      <alignment horizontal="left" vertical="center"/>
    </xf>
    <xf numFmtId="0" fontId="41" fillId="0" borderId="4" xfId="33" applyFont="1" applyBorder="1" applyAlignment="1">
      <alignment horizontal="left" vertical="center"/>
    </xf>
    <xf numFmtId="0" fontId="41" fillId="0" borderId="2" xfId="33" applyFont="1" applyBorder="1" applyAlignment="1">
      <alignment horizontal="left" vertical="center"/>
    </xf>
    <xf numFmtId="0" fontId="30" fillId="4" borderId="0" xfId="33" applyFont="1" applyFill="1" applyAlignment="1">
      <alignment horizontal="center"/>
    </xf>
    <xf numFmtId="0" fontId="12" fillId="0" borderId="60" xfId="33" applyFont="1" applyBorder="1" applyAlignment="1">
      <alignment horizontal="center" vertical="center" wrapText="1"/>
    </xf>
    <xf numFmtId="0" fontId="41" fillId="0" borderId="3" xfId="33" applyFont="1" applyBorder="1" applyAlignment="1">
      <alignment horizontal="center" vertical="center"/>
    </xf>
    <xf numFmtId="0" fontId="41" fillId="0" borderId="4" xfId="33" applyFont="1" applyBorder="1" applyAlignment="1">
      <alignment horizontal="center" vertical="center"/>
    </xf>
    <xf numFmtId="0" fontId="41" fillId="0" borderId="2" xfId="33" applyFont="1" applyBorder="1" applyAlignment="1">
      <alignment horizontal="center" vertical="center"/>
    </xf>
    <xf numFmtId="0" fontId="41" fillId="0" borderId="60" xfId="33" applyFont="1" applyBorder="1" applyAlignment="1">
      <alignment horizontal="left" vertical="center" wrapText="1"/>
    </xf>
    <xf numFmtId="0" fontId="8" fillId="0" borderId="0" xfId="24" applyFont="1" applyAlignment="1">
      <alignment horizontal="center"/>
    </xf>
    <xf numFmtId="0" fontId="37" fillId="0" borderId="0" xfId="24" applyFont="1" applyAlignment="1">
      <alignment horizontal="center"/>
    </xf>
    <xf numFmtId="0" fontId="40" fillId="0" borderId="0" xfId="24" applyFont="1" applyAlignment="1">
      <alignment horizontal="center"/>
    </xf>
    <xf numFmtId="0" fontId="53" fillId="18" borderId="0" xfId="0" applyFont="1" applyFill="1" applyAlignment="1">
      <alignment horizontal="center" vertical="center"/>
    </xf>
    <xf numFmtId="0" fontId="21" fillId="0" borderId="69" xfId="0" applyFont="1" applyBorder="1" applyAlignment="1">
      <alignment horizontal="center" vertical="center"/>
    </xf>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59" fillId="6" borderId="69" xfId="0" applyFont="1" applyFill="1" applyBorder="1" applyAlignment="1">
      <alignment horizontal="center" vertical="center"/>
    </xf>
    <xf numFmtId="0" fontId="59" fillId="6" borderId="70" xfId="0" applyFont="1" applyFill="1" applyBorder="1" applyAlignment="1">
      <alignment horizontal="center" vertical="center"/>
    </xf>
    <xf numFmtId="0" fontId="59" fillId="6" borderId="71" xfId="0" applyFont="1" applyFill="1" applyBorder="1" applyAlignment="1">
      <alignment horizontal="center" vertical="center"/>
    </xf>
    <xf numFmtId="0" fontId="56" fillId="20" borderId="69" xfId="0" applyFont="1" applyFill="1" applyBorder="1" applyAlignment="1">
      <alignment horizontal="center" vertical="center"/>
    </xf>
    <xf numFmtId="0" fontId="56" fillId="20" borderId="70" xfId="0" applyFont="1" applyFill="1" applyBorder="1" applyAlignment="1">
      <alignment horizontal="center" vertical="center"/>
    </xf>
    <xf numFmtId="0" fontId="56" fillId="20" borderId="71" xfId="0" applyFont="1" applyFill="1" applyBorder="1" applyAlignment="1">
      <alignment horizontal="center" vertical="center"/>
    </xf>
    <xf numFmtId="0" fontId="53" fillId="18" borderId="0" xfId="0" applyFont="1" applyFill="1" applyAlignment="1">
      <alignment horizontal="center"/>
    </xf>
    <xf numFmtId="167" fontId="1" fillId="0" borderId="109" xfId="33" applyNumberFormat="1" applyFont="1" applyBorder="1" applyAlignment="1">
      <alignment horizontal="center"/>
    </xf>
    <xf numFmtId="167" fontId="1" fillId="0" borderId="110" xfId="33" applyNumberFormat="1" applyFont="1" applyBorder="1" applyAlignment="1">
      <alignment horizontal="center"/>
    </xf>
    <xf numFmtId="167" fontId="1" fillId="0" borderId="111" xfId="33" applyNumberFormat="1" applyFont="1" applyBorder="1" applyAlignment="1">
      <alignment horizontal="center"/>
    </xf>
    <xf numFmtId="169" fontId="1" fillId="0" borderId="110" xfId="33" applyNumberFormat="1" applyFont="1" applyBorder="1" applyAlignment="1">
      <alignment horizontal="center"/>
    </xf>
    <xf numFmtId="167" fontId="1" fillId="0" borderId="112" xfId="33" applyNumberFormat="1" applyFont="1" applyBorder="1" applyAlignment="1">
      <alignment horizontal="center"/>
    </xf>
    <xf numFmtId="169" fontId="1" fillId="0" borderId="113" xfId="33" applyNumberFormat="1" applyFont="1" applyBorder="1" applyAlignment="1">
      <alignment horizontal="center"/>
    </xf>
    <xf numFmtId="169" fontId="1" fillId="0" borderId="114" xfId="33" applyNumberFormat="1" applyFont="1" applyBorder="1" applyAlignment="1">
      <alignment horizontal="center"/>
    </xf>
    <xf numFmtId="169" fontId="1" fillId="0" borderId="115" xfId="33" applyNumberFormat="1" applyFont="1" applyBorder="1" applyAlignment="1">
      <alignment horizontal="center"/>
    </xf>
    <xf numFmtId="169" fontId="1" fillId="0" borderId="116" xfId="33" applyNumberFormat="1" applyFont="1" applyBorder="1" applyAlignment="1">
      <alignment horizontal="center"/>
    </xf>
    <xf numFmtId="10" fontId="1" fillId="0" borderId="117" xfId="33" applyNumberFormat="1" applyFont="1" applyBorder="1" applyAlignment="1">
      <alignment horizontal="center"/>
    </xf>
    <xf numFmtId="10" fontId="1" fillId="0" borderId="119" xfId="33" applyNumberFormat="1" applyFont="1" applyBorder="1" applyAlignment="1">
      <alignment horizontal="center"/>
    </xf>
    <xf numFmtId="10" fontId="1" fillId="0" borderId="118" xfId="33" applyNumberFormat="1" applyFont="1" applyBorder="1" applyAlignment="1">
      <alignment horizontal="center"/>
    </xf>
    <xf numFmtId="10" fontId="40" fillId="0" borderId="93" xfId="33" applyNumberFormat="1" applyFont="1" applyBorder="1" applyAlignment="1">
      <alignment horizontal="center"/>
    </xf>
    <xf numFmtId="167" fontId="40" fillId="0" borderId="114" xfId="33" applyNumberFormat="1" applyFont="1" applyBorder="1" applyAlignment="1">
      <alignment horizontal="center"/>
    </xf>
    <xf numFmtId="169" fontId="43" fillId="0" borderId="121" xfId="33" applyNumberFormat="1" applyFont="1" applyBorder="1" applyAlignment="1">
      <alignment horizontal="center"/>
    </xf>
    <xf numFmtId="169" fontId="43" fillId="0" borderId="120" xfId="33" applyNumberFormat="1" applyFont="1" applyBorder="1" applyAlignment="1">
      <alignment horizontal="center"/>
    </xf>
    <xf numFmtId="169" fontId="43" fillId="0" borderId="122" xfId="33" applyNumberFormat="1" applyFont="1" applyBorder="1" applyAlignment="1">
      <alignment horizontal="center"/>
    </xf>
    <xf numFmtId="169" fontId="43" fillId="0" borderId="123" xfId="33" applyNumberFormat="1" applyFont="1" applyBorder="1" applyAlignment="1">
      <alignment horizontal="center"/>
    </xf>
    <xf numFmtId="4" fontId="1" fillId="0" borderId="124" xfId="33" applyNumberFormat="1" applyFont="1" applyBorder="1" applyAlignment="1">
      <alignment horizontal="center"/>
    </xf>
    <xf numFmtId="4" fontId="1" fillId="0" borderId="125" xfId="33" applyNumberFormat="1" applyFont="1" applyBorder="1" applyAlignment="1">
      <alignment horizontal="center"/>
    </xf>
    <xf numFmtId="4" fontId="1" fillId="0" borderId="126" xfId="33" applyNumberFormat="1" applyFont="1" applyBorder="1" applyAlignment="1">
      <alignment horizontal="center"/>
    </xf>
    <xf numFmtId="4" fontId="1" fillId="0" borderId="127" xfId="33" applyNumberFormat="1" applyFont="1" applyBorder="1" applyAlignment="1">
      <alignment horizontal="center"/>
    </xf>
    <xf numFmtId="4" fontId="1" fillId="0" borderId="129" xfId="33" applyNumberFormat="1" applyFont="1" applyBorder="1" applyAlignment="1">
      <alignment horizontal="center"/>
    </xf>
    <xf numFmtId="4" fontId="1" fillId="0" borderId="128" xfId="33" applyNumberFormat="1" applyFont="1" applyBorder="1" applyAlignment="1">
      <alignment horizontal="center"/>
    </xf>
    <xf numFmtId="0" fontId="52" fillId="9" borderId="0" xfId="20" applyFont="1" applyFill="1" applyAlignment="1">
      <alignment horizontal="left" wrapText="1" readingOrder="1"/>
    </xf>
    <xf numFmtId="0" fontId="70" fillId="9" borderId="0" xfId="24" applyFont="1" applyFill="1" applyAlignment="1">
      <alignment vertical="top" wrapText="1"/>
    </xf>
    <xf numFmtId="0" fontId="71" fillId="9" borderId="0" xfId="24" applyFont="1" applyFill="1"/>
    <xf numFmtId="4" fontId="71" fillId="9" borderId="0" xfId="24" applyNumberFormat="1" applyFont="1" applyFill="1"/>
    <xf numFmtId="3" fontId="71" fillId="9" borderId="0" xfId="24" applyNumberFormat="1" applyFont="1" applyFill="1"/>
    <xf numFmtId="10" fontId="71" fillId="9" borderId="0" xfId="24" applyNumberFormat="1" applyFont="1" applyFill="1"/>
    <xf numFmtId="9" fontId="71" fillId="9" borderId="0" xfId="24" applyNumberFormat="1" applyFont="1" applyFill="1"/>
    <xf numFmtId="0" fontId="25" fillId="9" borderId="0" xfId="24" applyFont="1" applyFill="1"/>
    <xf numFmtId="169" fontId="43" fillId="0" borderId="124" xfId="33" applyNumberFormat="1" applyFont="1" applyBorder="1" applyAlignment="1">
      <alignment horizontal="center"/>
    </xf>
    <xf numFmtId="169" fontId="1" fillId="13" borderId="110" xfId="33" applyNumberFormat="1" applyFont="1" applyFill="1" applyBorder="1" applyAlignment="1">
      <alignment horizontal="center"/>
    </xf>
    <xf numFmtId="169" fontId="43" fillId="0" borderId="3" xfId="33" applyNumberFormat="1" applyFont="1" applyBorder="1" applyAlignment="1">
      <alignment horizontal="center"/>
    </xf>
    <xf numFmtId="169" fontId="1" fillId="0" borderId="130" xfId="33" applyNumberFormat="1" applyFont="1" applyBorder="1" applyAlignment="1">
      <alignment horizontal="center"/>
    </xf>
    <xf numFmtId="169" fontId="43" fillId="0" borderId="61" xfId="33" applyNumberFormat="1" applyFont="1" applyBorder="1" applyAlignment="1">
      <alignment horizontal="center"/>
    </xf>
    <xf numFmtId="169" fontId="43" fillId="0" borderId="60" xfId="33" applyNumberFormat="1" applyFont="1" applyBorder="1" applyAlignment="1">
      <alignment horizontal="center"/>
    </xf>
    <xf numFmtId="0" fontId="25" fillId="0" borderId="0" xfId="24" applyFont="1"/>
    <xf numFmtId="9" fontId="25" fillId="0" borderId="0" xfId="15" applyFont="1"/>
    <xf numFmtId="0" fontId="7" fillId="0" borderId="1" xfId="24" applyBorder="1"/>
    <xf numFmtId="0" fontId="9" fillId="0" borderId="1" xfId="10" applyBorder="1" applyAlignment="1" applyProtection="1"/>
    <xf numFmtId="0" fontId="72" fillId="0" borderId="1" xfId="24" applyFont="1" applyBorder="1"/>
    <xf numFmtId="0" fontId="7" fillId="0" borderId="43" xfId="24" applyBorder="1" applyAlignment="1">
      <alignment horizontal="left"/>
    </xf>
    <xf numFmtId="0" fontId="48" fillId="0" borderId="43" xfId="24" applyFont="1" applyBorder="1" applyAlignment="1">
      <alignment horizontal="left"/>
    </xf>
    <xf numFmtId="0" fontId="7" fillId="0" borderId="1" xfId="24" applyBorder="1" applyAlignment="1">
      <alignment horizontal="left" vertical="top"/>
    </xf>
    <xf numFmtId="0" fontId="7" fillId="0" borderId="1" xfId="24" applyBorder="1" applyAlignment="1">
      <alignment horizontal="left" vertical="top" wrapText="1"/>
    </xf>
    <xf numFmtId="0" fontId="7" fillId="0" borderId="43" xfId="24" applyBorder="1"/>
    <xf numFmtId="0" fontId="73" fillId="0" borderId="0" xfId="24" applyFont="1" applyAlignment="1">
      <alignment vertical="top" wrapText="1"/>
    </xf>
    <xf numFmtId="0" fontId="74" fillId="0" borderId="0" xfId="24" applyFont="1" applyAlignment="1">
      <alignment vertical="top" wrapText="1"/>
    </xf>
    <xf numFmtId="9" fontId="74" fillId="0" borderId="0" xfId="15" applyFont="1" applyAlignment="1">
      <alignment vertical="top" wrapText="1"/>
    </xf>
    <xf numFmtId="0" fontId="75" fillId="0" borderId="0" xfId="24" applyFont="1"/>
    <xf numFmtId="0" fontId="47" fillId="0" borderId="0" xfId="24" applyFont="1"/>
    <xf numFmtId="0" fontId="76" fillId="27" borderId="131" xfId="24" applyFont="1" applyFill="1" applyBorder="1" applyAlignment="1">
      <alignment horizontal="center" vertical="center" wrapText="1"/>
    </xf>
    <xf numFmtId="0" fontId="76" fillId="27" borderId="132" xfId="24" applyFont="1" applyFill="1" applyBorder="1" applyAlignment="1">
      <alignment horizontal="center" vertical="center" wrapText="1"/>
    </xf>
    <xf numFmtId="0" fontId="77" fillId="27" borderId="132" xfId="24" applyFont="1" applyFill="1" applyBorder="1" applyAlignment="1">
      <alignment horizontal="center" vertical="center" wrapText="1"/>
    </xf>
    <xf numFmtId="0" fontId="7" fillId="0" borderId="133" xfId="24" applyBorder="1" applyAlignment="1">
      <alignment horizontal="center" vertical="center" wrapText="1"/>
    </xf>
    <xf numFmtId="0" fontId="7" fillId="0" borderId="134" xfId="24" applyBorder="1" applyAlignment="1">
      <alignment horizontal="center" vertical="center" wrapText="1"/>
    </xf>
    <xf numFmtId="0" fontId="76" fillId="0" borderId="135" xfId="24" applyFont="1" applyBorder="1" applyAlignment="1">
      <alignment horizontal="center" vertical="center" wrapText="1"/>
    </xf>
    <xf numFmtId="0" fontId="76" fillId="0" borderId="136" xfId="24" applyFont="1" applyBorder="1" applyAlignment="1">
      <alignment horizontal="center" vertical="center" wrapText="1"/>
    </xf>
    <xf numFmtId="0" fontId="26" fillId="4" borderId="137" xfId="24" applyFont="1" applyFill="1" applyBorder="1" applyAlignment="1">
      <alignment horizontal="left"/>
    </xf>
    <xf numFmtId="0" fontId="26" fillId="4" borderId="138" xfId="24" applyFont="1" applyFill="1" applyBorder="1" applyAlignment="1">
      <alignment horizontal="left"/>
    </xf>
    <xf numFmtId="0" fontId="7" fillId="0" borderId="136" xfId="24" applyBorder="1" applyAlignment="1">
      <alignment horizontal="left" vertical="center" wrapText="1"/>
    </xf>
    <xf numFmtId="0" fontId="7" fillId="0" borderId="139" xfId="24" applyBorder="1" applyAlignment="1">
      <alignment horizontal="left" vertical="center" wrapText="1"/>
    </xf>
    <xf numFmtId="0" fontId="26" fillId="4" borderId="136" xfId="24" applyFont="1" applyFill="1" applyBorder="1" applyAlignment="1">
      <alignment horizontal="left"/>
    </xf>
    <xf numFmtId="0" fontId="26" fillId="4" borderId="139" xfId="24" applyFont="1" applyFill="1" applyBorder="1" applyAlignment="1">
      <alignment horizontal="left"/>
    </xf>
    <xf numFmtId="0" fontId="26" fillId="4" borderId="140" xfId="24" applyFont="1" applyFill="1" applyBorder="1" applyAlignment="1">
      <alignment horizontal="left"/>
    </xf>
    <xf numFmtId="0" fontId="26" fillId="4" borderId="141" xfId="24" applyFont="1" applyFill="1" applyBorder="1" applyAlignment="1">
      <alignment horizontal="left"/>
    </xf>
    <xf numFmtId="0" fontId="26" fillId="4" borderId="142" xfId="24" applyFont="1" applyFill="1" applyBorder="1" applyAlignment="1">
      <alignment horizontal="left"/>
    </xf>
    <xf numFmtId="0" fontId="7" fillId="0" borderId="140" xfId="24" applyBorder="1" applyAlignment="1">
      <alignment horizontal="left" vertical="center" wrapText="1"/>
    </xf>
    <xf numFmtId="0" fontId="7" fillId="0" borderId="141" xfId="24" applyBorder="1" applyAlignment="1">
      <alignment horizontal="left" vertical="center" wrapText="1"/>
    </xf>
    <xf numFmtId="0" fontId="7" fillId="0" borderId="142" xfId="24" applyBorder="1" applyAlignment="1">
      <alignment horizontal="left" vertical="center" wrapText="1"/>
    </xf>
    <xf numFmtId="0" fontId="78" fillId="0" borderId="0" xfId="24" applyFont="1"/>
    <xf numFmtId="171" fontId="7" fillId="0" borderId="135" xfId="24" applyNumberFormat="1" applyBorder="1" applyAlignment="1">
      <alignment horizontal="center"/>
    </xf>
    <xf numFmtId="171" fontId="7" fillId="0" borderId="136" xfId="24" applyNumberFormat="1" applyBorder="1" applyAlignment="1">
      <alignment horizontal="center"/>
    </xf>
    <xf numFmtId="0" fontId="7" fillId="0" borderId="136" xfId="24" applyBorder="1"/>
    <xf numFmtId="170" fontId="7" fillId="0" borderId="136" xfId="15" applyNumberFormat="1" applyFont="1" applyBorder="1" applyAlignment="1">
      <alignment horizontal="center"/>
    </xf>
    <xf numFmtId="0" fontId="7" fillId="0" borderId="139" xfId="24" applyBorder="1" applyAlignment="1">
      <alignment horizontal="center"/>
    </xf>
    <xf numFmtId="9" fontId="48" fillId="0" borderId="0" xfId="15" applyFont="1"/>
    <xf numFmtId="169" fontId="48" fillId="0" borderId="0" xfId="24" applyNumberFormat="1" applyFont="1"/>
    <xf numFmtId="169" fontId="7" fillId="0" borderId="0" xfId="24" applyNumberFormat="1"/>
    <xf numFmtId="170" fontId="7" fillId="0" borderId="135" xfId="26" applyNumberFormat="1" applyBorder="1" applyAlignment="1">
      <alignment horizontal="center"/>
    </xf>
    <xf numFmtId="9" fontId="7" fillId="0" borderId="136" xfId="26" applyBorder="1" applyAlignment="1">
      <alignment horizontal="center"/>
    </xf>
    <xf numFmtId="9" fontId="48" fillId="0" borderId="0" xfId="15" applyFont="1" applyFill="1"/>
    <xf numFmtId="169" fontId="12" fillId="0" borderId="135" xfId="24" applyNumberFormat="1" applyFont="1" applyBorder="1" applyAlignment="1">
      <alignment horizontal="center"/>
    </xf>
    <xf numFmtId="169" fontId="12" fillId="0" borderId="136" xfId="24" applyNumberFormat="1" applyFont="1" applyBorder="1" applyAlignment="1">
      <alignment horizontal="center"/>
    </xf>
    <xf numFmtId="0" fontId="80" fillId="0" borderId="136" xfId="24" applyFont="1" applyBorder="1"/>
    <xf numFmtId="2" fontId="7" fillId="0" borderId="136" xfId="15" applyNumberFormat="1" applyFont="1" applyBorder="1" applyAlignment="1">
      <alignment horizontal="center"/>
    </xf>
    <xf numFmtId="170" fontId="81" fillId="0" borderId="136" xfId="15" applyNumberFormat="1" applyFont="1" applyBorder="1" applyAlignment="1">
      <alignment horizontal="center"/>
    </xf>
    <xf numFmtId="9" fontId="25" fillId="0" borderId="0" xfId="15" applyFont="1" applyFill="1"/>
    <xf numFmtId="169" fontId="7" fillId="0" borderId="135" xfId="24" applyNumberFormat="1" applyBorder="1" applyAlignment="1">
      <alignment horizontal="center"/>
    </xf>
    <xf numFmtId="169" fontId="7" fillId="0" borderId="136" xfId="24" applyNumberFormat="1" applyBorder="1" applyAlignment="1">
      <alignment horizontal="center"/>
    </xf>
    <xf numFmtId="170" fontId="82" fillId="0" borderId="136" xfId="15" applyNumberFormat="1" applyFont="1" applyBorder="1" applyAlignment="1">
      <alignment horizontal="center"/>
    </xf>
    <xf numFmtId="167" fontId="7" fillId="0" borderId="0" xfId="24" applyNumberFormat="1"/>
    <xf numFmtId="170" fontId="25" fillId="0" borderId="0" xfId="15" applyNumberFormat="1" applyFont="1" applyFill="1"/>
    <xf numFmtId="0" fontId="7" fillId="0" borderId="136" xfId="24" applyBorder="1" applyAlignment="1">
      <alignment horizontal="left"/>
    </xf>
    <xf numFmtId="169" fontId="7" fillId="28" borderId="136" xfId="24" applyNumberFormat="1" applyFill="1" applyBorder="1" applyAlignment="1">
      <alignment horizontal="center"/>
    </xf>
    <xf numFmtId="9" fontId="83" fillId="28" borderId="136" xfId="15" applyFont="1" applyFill="1" applyBorder="1" applyAlignment="1">
      <alignment horizontal="center"/>
    </xf>
    <xf numFmtId="169" fontId="83" fillId="28" borderId="136" xfId="24" applyNumberFormat="1" applyFont="1" applyFill="1" applyBorder="1" applyAlignment="1">
      <alignment horizontal="center"/>
    </xf>
    <xf numFmtId="170" fontId="7" fillId="28" borderId="136" xfId="15" applyNumberFormat="1" applyFont="1" applyFill="1" applyBorder="1" applyAlignment="1">
      <alignment horizontal="center"/>
    </xf>
    <xf numFmtId="0" fontId="12" fillId="28" borderId="139" xfId="24" applyFont="1" applyFill="1" applyBorder="1" applyAlignment="1">
      <alignment horizontal="center"/>
    </xf>
    <xf numFmtId="9" fontId="7" fillId="0" borderId="136" xfId="15" applyFont="1" applyBorder="1" applyAlignment="1">
      <alignment horizontal="center"/>
    </xf>
    <xf numFmtId="169" fontId="48" fillId="0" borderId="136" xfId="24" applyNumberFormat="1" applyFont="1" applyBorder="1" applyAlignment="1">
      <alignment horizontal="center"/>
    </xf>
    <xf numFmtId="170" fontId="48" fillId="0" borderId="136" xfId="15" applyNumberFormat="1" applyFont="1" applyBorder="1" applyAlignment="1">
      <alignment horizontal="center"/>
    </xf>
    <xf numFmtId="0" fontId="12" fillId="0" borderId="139" xfId="24" applyFont="1" applyBorder="1" applyAlignment="1">
      <alignment horizontal="center"/>
    </xf>
    <xf numFmtId="169" fontId="7" fillId="0" borderId="136" xfId="15" applyNumberFormat="1" applyFont="1" applyBorder="1" applyAlignment="1">
      <alignment horizontal="center"/>
    </xf>
    <xf numFmtId="3" fontId="7" fillId="0" borderId="0" xfId="24" applyNumberFormat="1"/>
    <xf numFmtId="0" fontId="7" fillId="0" borderId="136" xfId="24" applyBorder="1" applyAlignment="1">
      <alignment horizontal="left" indent="1"/>
    </xf>
    <xf numFmtId="3" fontId="7" fillId="0" borderId="135" xfId="24" applyNumberFormat="1" applyBorder="1" applyAlignment="1">
      <alignment horizontal="center"/>
    </xf>
    <xf numFmtId="0" fontId="12" fillId="0" borderId="135" xfId="24" applyFont="1" applyBorder="1" applyAlignment="1">
      <alignment horizontal="center"/>
    </xf>
    <xf numFmtId="0" fontId="12" fillId="0" borderId="136" xfId="24" applyFont="1" applyBorder="1" applyAlignment="1">
      <alignment horizontal="center"/>
    </xf>
    <xf numFmtId="0" fontId="26" fillId="4" borderId="135" xfId="24" applyFont="1" applyFill="1" applyBorder="1" applyAlignment="1">
      <alignment horizontal="center"/>
    </xf>
    <xf numFmtId="0" fontId="26" fillId="4" borderId="136" xfId="24" applyFont="1" applyFill="1" applyBorder="1" applyAlignment="1">
      <alignment horizontal="center"/>
    </xf>
    <xf numFmtId="0" fontId="26" fillId="4" borderId="136" xfId="24" applyFont="1" applyFill="1" applyBorder="1" applyAlignment="1">
      <alignment horizontal="center"/>
    </xf>
    <xf numFmtId="0" fontId="26" fillId="4" borderId="139" xfId="24" applyFont="1" applyFill="1" applyBorder="1" applyAlignment="1">
      <alignment horizontal="center"/>
    </xf>
    <xf numFmtId="0" fontId="84" fillId="0" borderId="0" xfId="24" applyFont="1" applyAlignment="1">
      <alignment vertical="top" wrapText="1"/>
    </xf>
    <xf numFmtId="9" fontId="84" fillId="0" borderId="0" xfId="15" applyFont="1" applyAlignment="1">
      <alignment vertical="top" wrapText="1"/>
    </xf>
    <xf numFmtId="9" fontId="8" fillId="0" borderId="135" xfId="15" applyFont="1" applyBorder="1" applyAlignment="1">
      <alignment horizontal="center" vertical="center"/>
    </xf>
    <xf numFmtId="0" fontId="7" fillId="0" borderId="136" xfId="24" applyBorder="1" applyAlignment="1">
      <alignment vertical="center"/>
    </xf>
    <xf numFmtId="170" fontId="12" fillId="0" borderId="136" xfId="15" applyNumberFormat="1" applyFont="1" applyBorder="1" applyAlignment="1">
      <alignment horizontal="center" vertical="center"/>
    </xf>
    <xf numFmtId="0" fontId="7" fillId="0" borderId="136" xfId="24" applyBorder="1" applyAlignment="1">
      <alignment horizontal="left" vertical="center"/>
    </xf>
    <xf numFmtId="168" fontId="21" fillId="8" borderId="136" xfId="24" applyNumberFormat="1" applyFont="1" applyFill="1" applyBorder="1" applyAlignment="1">
      <alignment horizontal="center" vertical="center"/>
    </xf>
    <xf numFmtId="0" fontId="12" fillId="0" borderId="143" xfId="24" applyFont="1" applyBorder="1" applyAlignment="1">
      <alignment horizontal="left" vertical="center"/>
    </xf>
    <xf numFmtId="0" fontId="12" fillId="0" borderId="144" xfId="24" applyFont="1" applyBorder="1" applyAlignment="1">
      <alignment horizontal="left" vertical="center"/>
    </xf>
    <xf numFmtId="0" fontId="12" fillId="0" borderId="145" xfId="24" applyFont="1" applyBorder="1" applyAlignment="1">
      <alignment horizontal="left" vertical="center"/>
    </xf>
    <xf numFmtId="0" fontId="26" fillId="4" borderId="136" xfId="24" applyFont="1" applyFill="1" applyBorder="1"/>
    <xf numFmtId="168" fontId="8" fillId="0" borderId="135" xfId="24" applyNumberFormat="1" applyFont="1" applyBorder="1" applyAlignment="1">
      <alignment horizontal="center" vertical="center"/>
    </xf>
    <xf numFmtId="0" fontId="12" fillId="0" borderId="146" xfId="24" applyFont="1" applyBorder="1" applyAlignment="1">
      <alignment horizontal="left" vertical="center"/>
    </xf>
    <xf numFmtId="0" fontId="12" fillId="0" borderId="0" xfId="24" applyFont="1" applyAlignment="1">
      <alignment horizontal="left" vertical="center"/>
    </xf>
    <xf numFmtId="0" fontId="12" fillId="0" borderId="147" xfId="24" applyFont="1" applyBorder="1" applyAlignment="1">
      <alignment horizontal="left" vertical="center"/>
    </xf>
    <xf numFmtId="0" fontId="7" fillId="8" borderId="148" xfId="24" applyFill="1" applyBorder="1" applyAlignment="1">
      <alignment horizontal="center" vertical="center" wrapText="1"/>
    </xf>
    <xf numFmtId="0" fontId="7" fillId="0" borderId="143" xfId="24" applyBorder="1" applyAlignment="1">
      <alignment horizontal="left" vertical="center" wrapText="1"/>
    </xf>
    <xf numFmtId="0" fontId="7" fillId="0" borderId="144" xfId="24" applyBorder="1" applyAlignment="1">
      <alignment horizontal="left" vertical="center" wrapText="1"/>
    </xf>
    <xf numFmtId="0" fontId="7" fillId="0" borderId="149" xfId="24" applyBorder="1" applyAlignment="1">
      <alignment horizontal="left" vertical="center" wrapText="1"/>
    </xf>
    <xf numFmtId="0" fontId="12" fillId="0" borderId="150" xfId="24" applyFont="1" applyBorder="1" applyAlignment="1">
      <alignment horizontal="left" vertical="center"/>
    </xf>
    <xf numFmtId="0" fontId="12" fillId="0" borderId="151" xfId="24" applyFont="1" applyBorder="1" applyAlignment="1">
      <alignment horizontal="left" vertical="center"/>
    </xf>
    <xf numFmtId="0" fontId="12" fillId="0" borderId="152" xfId="24" applyFont="1" applyBorder="1" applyAlignment="1">
      <alignment horizontal="left" vertical="center" wrapText="1"/>
    </xf>
    <xf numFmtId="0" fontId="7" fillId="8" borderId="153" xfId="24" applyFill="1" applyBorder="1" applyAlignment="1">
      <alignment horizontal="center" vertical="center" wrapText="1"/>
    </xf>
    <xf numFmtId="0" fontId="7" fillId="0" borderId="150" xfId="24" applyBorder="1" applyAlignment="1">
      <alignment horizontal="left" vertical="center" wrapText="1"/>
    </xf>
    <xf numFmtId="0" fontId="7" fillId="0" borderId="151" xfId="24" applyBorder="1" applyAlignment="1">
      <alignment horizontal="left" vertical="center" wrapText="1"/>
    </xf>
    <xf numFmtId="0" fontId="7" fillId="0" borderId="154" xfId="24" applyBorder="1" applyAlignment="1">
      <alignment horizontal="left" vertical="center" wrapText="1"/>
    </xf>
    <xf numFmtId="3" fontId="25" fillId="0" borderId="0" xfId="24" applyNumberFormat="1" applyFont="1"/>
    <xf numFmtId="0" fontId="85" fillId="4" borderId="135" xfId="24" applyFont="1" applyFill="1" applyBorder="1" applyAlignment="1">
      <alignment horizontal="center"/>
    </xf>
    <xf numFmtId="0" fontId="85" fillId="4" borderId="136" xfId="24" applyFont="1" applyFill="1" applyBorder="1" applyAlignment="1">
      <alignment horizontal="center"/>
    </xf>
    <xf numFmtId="0" fontId="85" fillId="4" borderId="140" xfId="24" applyFont="1" applyFill="1" applyBorder="1" applyAlignment="1">
      <alignment horizontal="center"/>
    </xf>
    <xf numFmtId="0" fontId="85" fillId="4" borderId="141" xfId="24" applyFont="1" applyFill="1" applyBorder="1"/>
    <xf numFmtId="0" fontId="85" fillId="4" borderId="142" xfId="24" applyFont="1" applyFill="1" applyBorder="1"/>
    <xf numFmtId="170" fontId="83" fillId="0" borderId="135" xfId="26" applyNumberFormat="1" applyFont="1" applyBorder="1" applyAlignment="1">
      <alignment horizontal="center"/>
    </xf>
    <xf numFmtId="10" fontId="7" fillId="0" borderId="155" xfId="24" applyNumberFormat="1" applyBorder="1" applyAlignment="1">
      <alignment horizontal="center" vertical="center"/>
    </xf>
    <xf numFmtId="0" fontId="7" fillId="0" borderId="140" xfId="24" applyBorder="1" applyAlignment="1">
      <alignment vertical="center"/>
    </xf>
    <xf numFmtId="0" fontId="7" fillId="0" borderId="155" xfId="24" applyBorder="1" applyAlignment="1">
      <alignment horizontal="left" vertical="center"/>
    </xf>
    <xf numFmtId="167" fontId="7" fillId="0" borderId="156" xfId="24" applyNumberFormat="1" applyBorder="1"/>
    <xf numFmtId="169" fontId="7" fillId="8" borderId="136" xfId="24" applyNumberFormat="1" applyFill="1" applyBorder="1" applyAlignment="1">
      <alignment horizontal="center"/>
    </xf>
    <xf numFmtId="169" fontId="7" fillId="6" borderId="136" xfId="24" applyNumberFormat="1" applyFill="1" applyBorder="1" applyAlignment="1">
      <alignment horizontal="center"/>
    </xf>
    <xf numFmtId="170" fontId="7" fillId="0" borderId="135" xfId="15" quotePrefix="1" applyNumberFormat="1" applyFont="1" applyFill="1" applyBorder="1" applyAlignment="1">
      <alignment horizontal="center"/>
    </xf>
    <xf numFmtId="0" fontId="7" fillId="0" borderId="140" xfId="24" applyBorder="1" applyAlignment="1">
      <alignment horizontal="left" vertical="center"/>
    </xf>
    <xf numFmtId="0" fontId="7" fillId="8" borderId="136" xfId="24" applyFill="1" applyBorder="1" applyAlignment="1">
      <alignment horizontal="center"/>
    </xf>
    <xf numFmtId="167" fontId="25" fillId="0" borderId="0" xfId="24" applyNumberFormat="1" applyFont="1"/>
    <xf numFmtId="171" fontId="83" fillId="0" borderId="135" xfId="15" applyNumberFormat="1" applyFont="1" applyBorder="1" applyAlignment="1">
      <alignment horizontal="center"/>
    </xf>
    <xf numFmtId="169" fontId="7" fillId="0" borderId="136" xfId="15" applyNumberFormat="1" applyFont="1" applyFill="1" applyBorder="1" applyAlignment="1">
      <alignment horizontal="center"/>
    </xf>
    <xf numFmtId="0" fontId="26" fillId="4" borderId="139" xfId="24" applyFont="1" applyFill="1" applyBorder="1" applyAlignment="1">
      <alignment horizontal="center"/>
    </xf>
    <xf numFmtId="171" fontId="81" fillId="0" borderId="135" xfId="24" applyNumberFormat="1" applyFont="1" applyBorder="1" applyAlignment="1">
      <alignment horizontal="center"/>
    </xf>
    <xf numFmtId="170" fontId="83" fillId="0" borderId="136" xfId="15" applyNumberFormat="1" applyFont="1" applyBorder="1" applyAlignment="1">
      <alignment horizontal="center"/>
    </xf>
    <xf numFmtId="10" fontId="7" fillId="0" borderId="136" xfId="24" applyNumberFormat="1" applyBorder="1" applyAlignment="1">
      <alignment horizontal="center"/>
    </xf>
    <xf numFmtId="0" fontId="7" fillId="0" borderId="139" xfId="24" applyBorder="1"/>
    <xf numFmtId="171" fontId="83" fillId="0" borderId="135" xfId="24" applyNumberFormat="1" applyFont="1" applyBorder="1" applyAlignment="1">
      <alignment horizontal="center"/>
    </xf>
    <xf numFmtId="170" fontId="12" fillId="0" borderId="24" xfId="26" applyNumberFormat="1" applyFont="1" applyFill="1" applyBorder="1" applyAlignment="1">
      <alignment horizontal="center"/>
    </xf>
    <xf numFmtId="170" fontId="83" fillId="0" borderId="136" xfId="15" applyNumberFormat="1" applyFont="1" applyFill="1" applyBorder="1" applyAlignment="1">
      <alignment horizontal="center"/>
    </xf>
    <xf numFmtId="4" fontId="7" fillId="0" borderId="136" xfId="24" applyNumberFormat="1" applyBorder="1" applyAlignment="1">
      <alignment horizontal="center"/>
    </xf>
    <xf numFmtId="2" fontId="25" fillId="0" borderId="0" xfId="15" applyNumberFormat="1" applyFont="1"/>
    <xf numFmtId="167" fontId="7" fillId="0" borderId="136" xfId="24" applyNumberFormat="1" applyBorder="1" applyAlignment="1">
      <alignment horizontal="center"/>
    </xf>
    <xf numFmtId="9" fontId="7" fillId="0" borderId="136" xfId="15" applyFont="1" applyFill="1" applyBorder="1" applyAlignment="1">
      <alignment horizontal="center"/>
    </xf>
    <xf numFmtId="0" fontId="7" fillId="0" borderId="139" xfId="24" quotePrefix="1" applyBorder="1"/>
    <xf numFmtId="170" fontId="81" fillId="0" borderId="135" xfId="15" applyNumberFormat="1" applyFont="1" applyBorder="1" applyAlignment="1">
      <alignment horizontal="center"/>
    </xf>
    <xf numFmtId="170" fontId="7" fillId="0" borderId="136" xfId="15" applyNumberFormat="1" applyFont="1" applyFill="1" applyBorder="1" applyAlignment="1">
      <alignment horizontal="center"/>
    </xf>
    <xf numFmtId="2" fontId="83" fillId="0" borderId="135" xfId="15" applyNumberFormat="1" applyFont="1" applyBorder="1" applyAlignment="1">
      <alignment horizontal="center"/>
    </xf>
    <xf numFmtId="0" fontId="7" fillId="0" borderId="136" xfId="24" quotePrefix="1" applyBorder="1"/>
    <xf numFmtId="2" fontId="81" fillId="0" borderId="136" xfId="15" applyNumberFormat="1" applyFont="1" applyBorder="1" applyAlignment="1">
      <alignment horizontal="center"/>
    </xf>
    <xf numFmtId="170" fontId="7" fillId="0" borderId="135" xfId="15" applyNumberFormat="1" applyFont="1" applyFill="1" applyBorder="1" applyAlignment="1">
      <alignment horizontal="center"/>
    </xf>
    <xf numFmtId="171" fontId="7" fillId="0" borderId="136" xfId="15" applyNumberFormat="1" applyFont="1" applyBorder="1" applyAlignment="1">
      <alignment horizontal="center"/>
    </xf>
    <xf numFmtId="0" fontId="83" fillId="0" borderId="135" xfId="24" applyFont="1" applyBorder="1" applyAlignment="1">
      <alignment horizontal="center"/>
    </xf>
    <xf numFmtId="0" fontId="79" fillId="0" borderId="136" xfId="24" applyFont="1" applyBorder="1"/>
    <xf numFmtId="167" fontId="81" fillId="0" borderId="136" xfId="24" applyNumberFormat="1" applyFont="1" applyBorder="1" applyAlignment="1">
      <alignment horizontal="center"/>
    </xf>
    <xf numFmtId="9" fontId="7" fillId="0" borderId="135" xfId="15" applyFont="1" applyBorder="1" applyAlignment="1">
      <alignment horizontal="center"/>
    </xf>
    <xf numFmtId="3" fontId="7" fillId="0" borderId="24" xfId="24" applyNumberFormat="1" applyBorder="1" applyAlignment="1">
      <alignment horizontal="center"/>
    </xf>
    <xf numFmtId="170" fontId="7" fillId="0" borderId="135" xfId="15" applyNumberFormat="1" applyFont="1" applyBorder="1" applyAlignment="1">
      <alignment horizontal="center"/>
    </xf>
    <xf numFmtId="14" fontId="7" fillId="0" borderId="136" xfId="24" applyNumberFormat="1" applyBorder="1" applyAlignment="1">
      <alignment horizontal="center"/>
    </xf>
    <xf numFmtId="0" fontId="12" fillId="0" borderId="0" xfId="24" applyFont="1" applyAlignment="1">
      <alignment horizontal="center"/>
    </xf>
    <xf numFmtId="0" fontId="12" fillId="0" borderId="157" xfId="24" applyFont="1" applyBorder="1" applyAlignment="1">
      <alignment horizontal="center"/>
    </xf>
    <xf numFmtId="0" fontId="86" fillId="0" borderId="0" xfId="10" applyFont="1" applyFill="1" applyAlignment="1" applyProtection="1"/>
    <xf numFmtId="0" fontId="18" fillId="0" borderId="135" xfId="24" applyFont="1" applyBorder="1" applyAlignment="1">
      <alignment horizontal="left" vertical="center" wrapText="1"/>
    </xf>
    <xf numFmtId="0" fontId="18" fillId="0" borderId="136" xfId="24" applyFont="1" applyBorder="1" applyAlignment="1">
      <alignment horizontal="left" vertical="center" wrapText="1"/>
    </xf>
    <xf numFmtId="0" fontId="87" fillId="0" borderId="136" xfId="24" applyFont="1" applyBorder="1" applyAlignment="1">
      <alignment horizontal="center" wrapText="1"/>
    </xf>
    <xf numFmtId="0" fontId="87" fillId="0" borderId="139" xfId="24" applyFont="1" applyBorder="1" applyAlignment="1">
      <alignment horizontal="center" wrapText="1"/>
    </xf>
    <xf numFmtId="0" fontId="37" fillId="0" borderId="136" xfId="24" applyFont="1" applyBorder="1" applyAlignment="1">
      <alignment horizontal="left" vertical="center" wrapText="1"/>
    </xf>
    <xf numFmtId="0" fontId="87" fillId="0" borderId="136" xfId="24" applyFont="1" applyBorder="1" applyAlignment="1">
      <alignment horizontal="center" vertical="center" wrapText="1"/>
    </xf>
    <xf numFmtId="0" fontId="87" fillId="0" borderId="139" xfId="24" applyFont="1" applyBorder="1" applyAlignment="1">
      <alignment horizontal="center" vertical="center" wrapText="1"/>
    </xf>
    <xf numFmtId="0" fontId="90" fillId="0" borderId="135" xfId="24" applyFont="1" applyBorder="1" applyAlignment="1">
      <alignment horizontal="left" vertical="center" wrapText="1"/>
    </xf>
    <xf numFmtId="0" fontId="90" fillId="0" borderId="136" xfId="24" applyFont="1" applyBorder="1" applyAlignment="1">
      <alignment horizontal="left" vertical="center" wrapText="1"/>
    </xf>
    <xf numFmtId="0" fontId="7" fillId="0" borderId="158" xfId="24" applyBorder="1" applyAlignment="1">
      <alignment horizontal="center" vertical="center"/>
    </xf>
    <xf numFmtId="0" fontId="7" fillId="0" borderId="159" xfId="24" applyBorder="1" applyAlignment="1">
      <alignment horizontal="center" vertical="center"/>
    </xf>
    <xf numFmtId="0" fontId="8" fillId="0" borderId="160" xfId="24" applyFont="1" applyBorder="1" applyAlignment="1">
      <alignment horizontal="center" vertical="center"/>
    </xf>
    <xf numFmtId="0" fontId="8" fillId="0" borderId="161" xfId="24" applyFont="1" applyBorder="1" applyAlignment="1">
      <alignment horizontal="center" vertical="center"/>
    </xf>
    <xf numFmtId="0" fontId="8" fillId="0" borderId="162" xfId="24" applyFont="1" applyBorder="1" applyAlignment="1">
      <alignment horizontal="center" vertical="center"/>
    </xf>
    <xf numFmtId="0" fontId="7" fillId="0" borderId="163" xfId="24" applyBorder="1" applyAlignment="1">
      <alignment horizontal="center" vertical="center"/>
    </xf>
    <xf numFmtId="14" fontId="7" fillId="0" borderId="159" xfId="24" applyNumberFormat="1" applyBorder="1" applyAlignment="1">
      <alignment horizontal="center" vertical="center"/>
    </xf>
    <xf numFmtId="14" fontId="7" fillId="0" borderId="164" xfId="24" applyNumberFormat="1" applyBorder="1" applyAlignment="1">
      <alignment horizontal="center" vertical="center" wrapText="1"/>
    </xf>
    <xf numFmtId="170" fontId="41" fillId="29" borderId="1" xfId="36" applyNumberFormat="1" applyFont="1" applyFill="1" applyBorder="1" applyAlignment="1">
      <alignment horizontal="center"/>
    </xf>
    <xf numFmtId="10" fontId="7" fillId="0" borderId="59" xfId="36" applyNumberFormat="1" applyFont="1" applyBorder="1" applyAlignment="1">
      <alignment horizontal="center"/>
    </xf>
  </cellXfs>
  <cellStyles count="39">
    <cellStyle name="blp_title_header_row_left" xfId="1" xr:uid="{00000000-0005-0000-0000-000000000000}"/>
    <cellStyle name="Comma" xfId="37" builtinId="3"/>
    <cellStyle name="fa_column_header_bottom_left 2" xfId="2" xr:uid="{00000000-0005-0000-0000-000002000000}"/>
    <cellStyle name="fa_column_header_top 2" xfId="3" xr:uid="{00000000-0005-0000-0000-000003000000}"/>
    <cellStyle name="fa_column_header_top_left 2" xfId="4" xr:uid="{00000000-0005-0000-0000-000004000000}"/>
    <cellStyle name="fa_data_bold_0_grouped" xfId="5" xr:uid="{00000000-0005-0000-0000-000005000000}"/>
    <cellStyle name="fa_data_standard_1_grouped" xfId="6" xr:uid="{00000000-0005-0000-0000-000006000000}"/>
    <cellStyle name="fa_data_standard_2_grouped" xfId="7" xr:uid="{00000000-0005-0000-0000-000007000000}"/>
    <cellStyle name="fa_row_header_bold 2" xfId="8" xr:uid="{00000000-0005-0000-0000-000008000000}"/>
    <cellStyle name="fa_row_header_standard 2" xfId="9" xr:uid="{00000000-0005-0000-0000-000009000000}"/>
    <cellStyle name="Hyperlink" xfId="10" builtinId="8"/>
    <cellStyle name="Millares 2" xfId="29" xr:uid="{00000000-0005-0000-0000-00000B000000}"/>
    <cellStyle name="Moneda 2" xfId="11" xr:uid="{00000000-0005-0000-0000-00000C000000}"/>
    <cellStyle name="Moneda 2 2" xfId="12" xr:uid="{00000000-0005-0000-0000-00000D000000}"/>
    <cellStyle name="Moneda 2 2 2" xfId="22" xr:uid="{00000000-0005-0000-0000-00000E000000}"/>
    <cellStyle name="Moneda 2 3" xfId="21" xr:uid="{00000000-0005-0000-0000-00000F000000}"/>
    <cellStyle name="Moneda 3" xfId="30" xr:uid="{00000000-0005-0000-0000-000010000000}"/>
    <cellStyle name="Normal" xfId="0" builtinId="0"/>
    <cellStyle name="Normal 2" xfId="13" xr:uid="{00000000-0005-0000-0000-000012000000}"/>
    <cellStyle name="Normal 2 2" xfId="14" xr:uid="{00000000-0005-0000-0000-000013000000}"/>
    <cellStyle name="Normal 2 2 2" xfId="24" xr:uid="{00000000-0005-0000-0000-000014000000}"/>
    <cellStyle name="Normal 2 3" xfId="19" xr:uid="{00000000-0005-0000-0000-000015000000}"/>
    <cellStyle name="Normal 2 3 2" xfId="28" xr:uid="{00000000-0005-0000-0000-000016000000}"/>
    <cellStyle name="Normal 2 4" xfId="23" xr:uid="{00000000-0005-0000-0000-000017000000}"/>
    <cellStyle name="Normal 2 4 2" xfId="31" xr:uid="{00000000-0005-0000-0000-000018000000}"/>
    <cellStyle name="Normal 3" xfId="38" xr:uid="{00000000-0005-0000-0000-000019000000}"/>
    <cellStyle name="Normal 3 2" xfId="20" xr:uid="{00000000-0005-0000-0000-00001A000000}"/>
    <cellStyle name="Normal 3 3" xfId="32" xr:uid="{00000000-0005-0000-0000-00001B000000}"/>
    <cellStyle name="Normal 3 3 2" xfId="33" xr:uid="{00000000-0005-0000-0000-00001C000000}"/>
    <cellStyle name="Normal 5" xfId="34" xr:uid="{00000000-0005-0000-0000-00001D000000}"/>
    <cellStyle name="Per cent" xfId="15" builtinId="5"/>
    <cellStyle name="Porcentaje 2" xfId="16" xr:uid="{00000000-0005-0000-0000-00001F000000}"/>
    <cellStyle name="Porcentaje 2 2" xfId="17" xr:uid="{00000000-0005-0000-0000-000020000000}"/>
    <cellStyle name="Porcentaje 2 2 2" xfId="26" xr:uid="{00000000-0005-0000-0000-000021000000}"/>
    <cellStyle name="Porcentaje 2 3" xfId="25" xr:uid="{00000000-0005-0000-0000-000022000000}"/>
    <cellStyle name="Porcentaje 3" xfId="18" xr:uid="{00000000-0005-0000-0000-000023000000}"/>
    <cellStyle name="Porcentaje 3 2" xfId="27" xr:uid="{00000000-0005-0000-0000-000024000000}"/>
    <cellStyle name="Porcentaje 4 2" xfId="36" xr:uid="{00000000-0005-0000-0000-000025000000}"/>
    <cellStyle name="Porcentaje 5" xfId="35" xr:uid="{00000000-0005-0000-0000-000026000000}"/>
  </cellStyles>
  <dxfs count="0"/>
  <tableStyles count="0" defaultTableStyle="TableStyleMedium9" defaultPivotStyle="PivotStyleLight16"/>
  <colors>
    <mruColors>
      <color rgb="FFFF2600"/>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 ##0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c:v>
                </c:pt>
                <c:pt idx="1">
                  <c:v>0</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 ##0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 ##0</c:formatCode>
                <c:ptCount val="5"/>
                <c:pt idx="0">
                  <c:v>58073</c:v>
                </c:pt>
                <c:pt idx="1">
                  <c:v>61045</c:v>
                </c:pt>
                <c:pt idx="2">
                  <c:v>0</c:v>
                </c:pt>
                <c:pt idx="3">
                  <c:v>0</c:v>
                </c:pt>
                <c:pt idx="4">
                  <c:v>0</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0</xdr:colOff>
      <xdr:row>3</xdr:row>
      <xdr:rowOff>0</xdr:rowOff>
    </xdr:from>
    <xdr:ext cx="304800" cy="304800"/>
    <xdr:sp macro="" textlink="">
      <xdr:nvSpPr>
        <xdr:cNvPr id="2" name="AutoShape 48" descr="Resultado de imagen para heidelbergcement">
          <a:extLst>
            <a:ext uri="{FF2B5EF4-FFF2-40B4-BE49-F238E27FC236}">
              <a16:creationId xmlns:a16="http://schemas.microsoft.com/office/drawing/2014/main" id="{A37E5F0A-1E6C-484A-ACBE-7E5835E1D785}"/>
            </a:ext>
          </a:extLst>
        </xdr:cNvPr>
        <xdr:cNvSpPr>
          <a:spLocks noChangeAspect="1" noChangeArrowheads="1"/>
        </xdr:cNvSpPr>
      </xdr:nvSpPr>
      <xdr:spPr bwMode="auto">
        <a:xfrm>
          <a:off x="12268200" y="49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xdr:row>
      <xdr:rowOff>0</xdr:rowOff>
    </xdr:from>
    <xdr:ext cx="304800" cy="304800"/>
    <xdr:sp macro="" textlink="">
      <xdr:nvSpPr>
        <xdr:cNvPr id="3" name="AutoShape 49" descr="Resultado de imagen para heidelbergcement">
          <a:extLst>
            <a:ext uri="{FF2B5EF4-FFF2-40B4-BE49-F238E27FC236}">
              <a16:creationId xmlns:a16="http://schemas.microsoft.com/office/drawing/2014/main" id="{ECD4732E-3C2A-5E4F-A1A3-3B0D659BEAD7}"/>
            </a:ext>
          </a:extLst>
        </xdr:cNvPr>
        <xdr:cNvSpPr>
          <a:spLocks noChangeAspect="1" noChangeArrowheads="1"/>
        </xdr:cNvSpPr>
      </xdr:nvSpPr>
      <xdr:spPr bwMode="auto">
        <a:xfrm>
          <a:off x="12268200" y="49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60</xdr:row>
      <xdr:rowOff>47745</xdr:rowOff>
    </xdr:from>
    <xdr:ext cx="7778956" cy="3154647"/>
    <xdr:pic>
      <xdr:nvPicPr>
        <xdr:cNvPr id="4" name="Picture 3">
          <a:extLst>
            <a:ext uri="{FF2B5EF4-FFF2-40B4-BE49-F238E27FC236}">
              <a16:creationId xmlns:a16="http://schemas.microsoft.com/office/drawing/2014/main" id="{D8C7EE22-1C55-0E4A-B2F0-EED7902919D1}"/>
            </a:ext>
          </a:extLst>
        </xdr:cNvPr>
        <xdr:cNvPicPr>
          <a:picLocks noChangeAspect="1"/>
        </xdr:cNvPicPr>
      </xdr:nvPicPr>
      <xdr:blipFill>
        <a:blip xmlns:r="http://schemas.openxmlformats.org/officeDocument/2006/relationships" r:embed="rId1"/>
        <a:stretch>
          <a:fillRect/>
        </a:stretch>
      </xdr:blipFill>
      <xdr:spPr>
        <a:xfrm>
          <a:off x="0" y="9953745"/>
          <a:ext cx="7778956" cy="315464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21</xdr:row>
      <xdr:rowOff>0</xdr:rowOff>
    </xdr:from>
    <xdr:ext cx="304800" cy="310963"/>
    <xdr:sp macro="" textlink="">
      <xdr:nvSpPr>
        <xdr:cNvPr id="2" name="AutoShape 232" descr="Resultado de imagen para beer consumption trend">
          <a:extLst>
            <a:ext uri="{FF2B5EF4-FFF2-40B4-BE49-F238E27FC236}">
              <a16:creationId xmlns:a16="http://schemas.microsoft.com/office/drawing/2014/main" id="{84FA35DB-46FB-034D-83E4-73EA2E3D34ED}"/>
            </a:ext>
          </a:extLst>
        </xdr:cNvPr>
        <xdr:cNvSpPr>
          <a:spLocks noChangeAspect="1" noChangeArrowheads="1"/>
        </xdr:cNvSpPr>
      </xdr:nvSpPr>
      <xdr:spPr bwMode="auto">
        <a:xfrm>
          <a:off x="3505200" y="3632200"/>
          <a:ext cx="304800" cy="310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304800" cy="307153"/>
    <xdr:sp macro="" textlink="">
      <xdr:nvSpPr>
        <xdr:cNvPr id="3" name="AutoShape 233" descr="Resultado de imagen para beer consumption trend">
          <a:extLst>
            <a:ext uri="{FF2B5EF4-FFF2-40B4-BE49-F238E27FC236}">
              <a16:creationId xmlns:a16="http://schemas.microsoft.com/office/drawing/2014/main" id="{4FBB4936-4A39-5C44-8A5D-5F84F06E653A}"/>
            </a:ext>
            <a:ext uri="{147F2762-F138-4A5C-976F-8EAC2B608ADB}">
              <a16:predDERef xmlns:a16="http://schemas.microsoft.com/office/drawing/2014/main" pred="{84FA35DB-46FB-034D-83E4-73EA2E3D34ED}"/>
            </a:ext>
          </a:extLst>
        </xdr:cNvPr>
        <xdr:cNvSpPr>
          <a:spLocks noChangeAspect="1" noChangeArrowheads="1"/>
        </xdr:cNvSpPr>
      </xdr:nvSpPr>
      <xdr:spPr bwMode="auto">
        <a:xfrm>
          <a:off x="3505200" y="3632200"/>
          <a:ext cx="304800" cy="307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-1</xdr:rowOff>
    </xdr:from>
    <xdr:to>
      <xdr:col>13</xdr:col>
      <xdr:colOff>120650</xdr:colOff>
      <xdr:row>131</xdr:row>
      <xdr:rowOff>64793</xdr:rowOff>
    </xdr:to>
    <xdr:pic>
      <xdr:nvPicPr>
        <xdr:cNvPr id="3" name="Picture 2">
          <a:extLst>
            <a:ext uri="{FF2B5EF4-FFF2-40B4-BE49-F238E27FC236}">
              <a16:creationId xmlns:a16="http://schemas.microsoft.com/office/drawing/2014/main" id="{615D4866-BEE2-7FD9-4E55-D0E0CC47D1E8}"/>
            </a:ext>
          </a:extLst>
        </xdr:cNvPr>
        <xdr:cNvPicPr>
          <a:picLocks noChangeAspect="1"/>
        </xdr:cNvPicPr>
      </xdr:nvPicPr>
      <xdr:blipFill>
        <a:blip xmlns:r="http://schemas.openxmlformats.org/officeDocument/2006/relationships" r:embed="rId1"/>
        <a:stretch>
          <a:fillRect/>
        </a:stretch>
      </xdr:blipFill>
      <xdr:spPr>
        <a:xfrm>
          <a:off x="1600200" y="17424399"/>
          <a:ext cx="13766800" cy="68211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Users/gabrielamajor/Library/Containers/net.whatsapp.WhatsApp/Data/tmp/documents/82494356-EC9E-4D36-9502-18256C07D4BE/Yeti%20Holdings%20(YETI)%20(5).xlsx" TargetMode="External"/><Relationship Id="rId1" Type="http://schemas.openxmlformats.org/officeDocument/2006/relationships/externalLinkPath" Target="/Users/gabrielamajor/Library/Containers/net.whatsapp.WhatsApp/Data/tmp/documents/82494356-EC9E-4D36-9502-18256C07D4BE/Yeti%20Holdings%20(YETI)%20(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hdisegutl.sharepoint.com/Users/gabrielamajor/Downloads/Yeti%20Holdings%20(YETI)%20(1).xlsx" TargetMode="External"/><Relationship Id="rId1" Type="http://schemas.openxmlformats.org/officeDocument/2006/relationships/externalLinkPath" Target="/Users/gabrielamajor/Downloads/Yeti%20Holdings%20(YETI)%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ID-19 impact"/>
      <sheetName val="Segments"/>
      <sheetName val="Peers"/>
      <sheetName val="Acuerdo"/>
      <sheetName val="DCF"/>
      <sheetName val="ESG"/>
      <sheetName val="DCFF"/>
      <sheetName val="Cifras_en_Millones"/>
      <sheetName val="Cifras_Originales"/>
      <sheetName val="Q"/>
      <sheetName val="Assumptions"/>
    </sheetNames>
    <sheetDataSet>
      <sheetData sheetId="0"/>
      <sheetData sheetId="1">
        <row r="4">
          <cell r="B4" t="str">
            <v>United States</v>
          </cell>
        </row>
        <row r="5">
          <cell r="B5" t="str">
            <v>Internacional</v>
          </cell>
        </row>
        <row r="6">
          <cell r="J6" t="str">
            <v/>
          </cell>
        </row>
        <row r="7">
          <cell r="J7" t="str">
            <v/>
          </cell>
        </row>
        <row r="8">
          <cell r="J8" t="str">
            <v/>
          </cell>
        </row>
        <row r="20">
          <cell r="J20" t="str">
            <v/>
          </cell>
        </row>
        <row r="21">
          <cell r="J21" t="str">
            <v/>
          </cell>
        </row>
      </sheetData>
      <sheetData sheetId="2"/>
      <sheetData sheetId="3"/>
      <sheetData sheetId="4"/>
      <sheetData sheetId="5"/>
      <sheetData sheetId="6"/>
      <sheetData sheetId="7"/>
      <sheetData sheetId="8">
        <row r="17">
          <cell r="F17">
            <v>0</v>
          </cell>
          <cell r="G17">
            <v>0</v>
          </cell>
          <cell r="H17">
            <v>0</v>
          </cell>
          <cell r="I17">
            <v>0</v>
          </cell>
        </row>
        <row r="18">
          <cell r="C18">
            <v>0</v>
          </cell>
          <cell r="G18">
            <v>0</v>
          </cell>
          <cell r="H18">
            <v>0</v>
          </cell>
          <cell r="I18">
            <v>0</v>
          </cell>
        </row>
      </sheetData>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COVID-19 impact"/>
      <sheetName val="Segments"/>
      <sheetName val="Peers"/>
      <sheetName val="Cifras_en_Millones"/>
      <sheetName val="Cifras_Originales"/>
      <sheetName val="Acuerdo"/>
      <sheetName val="DCF"/>
    </sheetNames>
    <sheetDataSet>
      <sheetData sheetId="0"/>
      <sheetData sheetId="1"/>
      <sheetData sheetId="2">
        <row r="2">
          <cell r="B2" t="str">
            <v>Regions in Thousands (2023)</v>
          </cell>
        </row>
        <row r="15">
          <cell r="B15" t="str">
            <v>Products in Thousands (2023)</v>
          </cell>
        </row>
        <row r="17">
          <cell r="B17" t="str">
            <v>Coolers &amp; Equipment</v>
          </cell>
        </row>
        <row r="18">
          <cell r="B18" t="str">
            <v>Drinkware</v>
          </cell>
        </row>
        <row r="19">
          <cell r="B19" t="str">
            <v>Others</v>
          </cell>
        </row>
      </sheetData>
      <sheetData sheetId="3"/>
      <sheetData sheetId="4">
        <row r="59">
          <cell r="B59">
            <v>132217</v>
          </cell>
          <cell r="C59">
            <v>-70664</v>
          </cell>
          <cell r="D59">
            <v>-125781</v>
          </cell>
        </row>
      </sheetData>
      <sheetData sheetId="5">
        <row r="6">
          <cell r="B6">
            <v>1658713</v>
          </cell>
          <cell r="C6">
            <v>1595222</v>
          </cell>
          <cell r="D6">
            <v>1410989</v>
          </cell>
        </row>
        <row r="8">
          <cell r="B8">
            <v>225458</v>
          </cell>
          <cell r="C8">
            <v>126361</v>
          </cell>
          <cell r="D8">
            <v>274938</v>
          </cell>
        </row>
        <row r="9">
          <cell r="B9">
            <v>-942</v>
          </cell>
          <cell r="C9">
            <v>-4466</v>
          </cell>
          <cell r="D9">
            <v>-3339</v>
          </cell>
        </row>
        <row r="11">
          <cell r="B11">
            <v>-46434</v>
          </cell>
          <cell r="C11">
            <v>-39847</v>
          </cell>
          <cell r="D11">
            <v>-32070</v>
          </cell>
        </row>
        <row r="15">
          <cell r="B15">
            <v>55085</v>
          </cell>
          <cell r="C15">
            <v>35416</v>
          </cell>
          <cell r="D15">
            <v>62486</v>
          </cell>
        </row>
        <row r="19">
          <cell r="B19">
            <v>169885</v>
          </cell>
          <cell r="C19">
            <v>89693</v>
          </cell>
          <cell r="D19">
            <v>212602</v>
          </cell>
        </row>
      </sheetData>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
  <rv s="0">
    <v>https://www.bing.com/financeapi/forcetrigger?t=bnegf2&amp;q=XNYS%3aYETI&amp;form=skydnc</v>
    <v>Learn more on Bing</v>
  </rv>
  <rv s="1">
    <v>0</v>
    <v>YETI HOLDINGS, INC. (XNYS:YETI)</v>
    <v>2</v>
    <v>3</v>
    <v>Finance</v>
    <v>4</v>
    <v>en-US</v>
    <v>bnegf2</v>
    <v>268435456</v>
    <v>1</v>
    <v>Powered by Refinitiv</v>
    <v>45.25</v>
    <v>33.409999999999997</v>
    <v>2.1476000000000002</v>
    <v>0.28999999999999998</v>
    <v>7.8739999999999991E-3</v>
    <v>USD</v>
    <v>YETI Holdings, Inc. is a designer, retailer, and distributor of outdoor products. The Company's product portfolio consists of three categories: Coolers &amp; Equipment; Drinkware, and Other. Its Coolers &amp; Equipment family is comprised of hard coolers, soft coolers, cargo, bags, outdoor living, and associated accessories. Its hard cooler category includes YETI Tundra, YETI Roadie, YETI V Series hard coolers, YETI TANK ice, and YETI Silo 6G water cooler bucket. Its Hopper soft cooler product line includes Hopper M15 Soft Cooler, Hopper M12 Soft Backpack Cooler, Hopper M30 Soft Cooler, Hopper Flip Soft Cooler, and Daytrip Lunch Bag, among others. Its Drinkware product line consists of Rambler Colsters, Rambler Lowball, Rambler Wine Tumblers, Rambler Stackable Pints, Rambler Mugs, Rambler Tumblers, Rambler Straw Mugs and Cups, Rambler Bottles, Rambler Jugs and Yonder Water Bottles. Its Other category offers an array of apparel and gear, such as hats, shirts, bottle openers and ice substitutes.</v>
    <v>1050</v>
    <v>New York Stock Exchange</v>
    <v>XNYS</v>
    <v>XNYS</v>
    <v>7601 Southwest Pkwy, AUSTIN, TX, 78735-8989 US</v>
    <v>37.418999999999997</v>
    <v>Leisure Products</v>
    <v>Stock</v>
    <v>45712.968573749997</v>
    <v>0</v>
    <v>36.409999999999997</v>
    <v>3148720704</v>
    <v>YETI HOLDINGS, INC.</v>
    <v>YETI HOLDINGS, INC.</v>
    <v>36.76</v>
    <v>18.044899999999998</v>
    <v>36.83</v>
    <v>37.119999999999997</v>
    <v>84825450</v>
    <v>YETI</v>
    <v>YETI HOLDINGS, INC. (XNYS:YETI)</v>
    <v>178</v>
    <v>1861915</v>
    <v>2012</v>
  </rv>
  <rv s="2">
    <v>1</v>
  </rv>
  <rv s="3">
    <v>0</v>
    <v>5</v>
  </rv>
  <rv s="0">
    <v>https://www.bing.com/financeapi/forcetrigger?t=ao7uim&amp;q=XLON%3aDOM&amp;form=skydnc</v>
    <v>Learn more on Bing</v>
  </rv>
  <rv s="1">
    <v>0</v>
    <v>DOMINO'S PIZZA GROUP PLC (XLON:DOM)</v>
    <v>2</v>
    <v>5</v>
    <v>Finance</v>
    <v>6</v>
    <v>en-GB</v>
    <v>ao7uim</v>
    <v>268435456</v>
    <v>1</v>
    <v>Powered by Refinitiv</v>
    <v>375.8</v>
    <v>270.39999999999998</v>
    <v>1.0068999999999999</v>
    <v>2.8</v>
    <v>9.5890000000000003E-3</v>
    <v>GBp</v>
    <v>Domino’s Pizza Group plc is a United Kingdom-based pizza delivery company. The Company holds the franchise rights to own, operate and franchise Domino's stores in the United Kingdom and the Republic of Ireland. The Company operates through its UK and Ireland segment. The Company operates approximately 1,319 stores in the United Kingdom and Republic of Ireland. Its subsidiaries include DP Capital Limited, DP Cyco Limited, DP Cyco Switzerland Limited, DP Group Developments Limited, DP Realty Limited, DPG Holdings Limited, Domino’s Pizza Germany (Holdings) Limited, Domino’s Pizza UK &amp; Ireland Limited, and others.</v>
    <v>1630</v>
    <v>London Stock Exchange</v>
    <v>XLON</v>
    <v>XLON</v>
    <v>1 Thornbury, MILTON KEYNES, BUCKINGHAMSHIRE, MK6 4BB GB</v>
    <v>295.60000000000002</v>
    <v>Hotels &amp; Entertainment Services</v>
    <v>Stock</v>
    <v>45713.568264455469</v>
    <v>4</v>
    <v>290</v>
    <v>1152561000</v>
    <v>DOMINO'S PIZZA GROUP PLC</v>
    <v>DOMINO'S PIZZA GROUP PLC</v>
    <v>291.60000000000002</v>
    <v>15.051500000000001</v>
    <v>292</v>
    <v>294.8</v>
    <v>394712700</v>
    <v>DOM</v>
    <v>DOMINO'S PIZZA GROUP PLC (XLON:DOM)</v>
    <v>148067</v>
    <v>493240</v>
    <v>1999</v>
  </rv>
  <rv s="2">
    <v>5</v>
  </rv>
  <rv s="0">
    <v>https://www.bing.com/financeapi/forcetrigger?t=a1u3ar&amp;q=XNYS%3aGOLF&amp;form=skydnc</v>
    <v>Learn more on Bing</v>
  </rv>
  <rv s="1">
    <v>0</v>
    <v>ACUSHNET HOLDINGS CORP. (XNYS:GOLF)</v>
    <v>2</v>
    <v>3</v>
    <v>Finance</v>
    <v>7</v>
    <v>en-GB</v>
    <v>a1u3ar</v>
    <v>268435456</v>
    <v>1</v>
    <v>Powered by Refinitiv</v>
    <v>76.650000000000006</v>
    <v>58.54</v>
    <v>0.79969999999999997</v>
    <v>0.3</v>
    <v>4.5579999999999996E-3</v>
    <v>USD</v>
    <v>Acushnet Holdings Corp. is engaged in the design, development, manufacture, and distribution of golf products. The Company’s segments include Titleist golf balls, Titleist golf clubs, Titleist golf gear, and FootJoy golf wear. The Titleist golf balls segment is engaged in the design and manufacturing of a golf balls. The Titleist golf clubs segment designs, assembles, and sells golf clubs (drivers, fairways, hybrids, and irons) under the Titleist brand, wedges under the Vokey Design brand and putters under the Scotty Cameron brand. The Titleist golf gear segment includes golf bags, headwear, golf gloves, travel products, headcovers, and other golf accessories. The FootJoy golf wear segment includes golf shoes, gloves, and apparel. The Company’s products include golf balls, golf clubs, wedges and putters, golf shoes, golf gloves, golf gear, and golf and ski outerwear and apparel. It designs, manufactures, and markets a range of products under the Titleist, FootJoy and KJUS brands.</v>
    <v>7300</v>
    <v>New York Stock Exchange</v>
    <v>XNYS</v>
    <v>XNYS</v>
    <v>333 Bridge St, FAIRHAVEN, MA, 02719-4905 US</v>
    <v>67.23</v>
    <v>Leisure Products</v>
    <v>Stock</v>
    <v>45712.888899953126</v>
    <v>7</v>
    <v>65.3</v>
    <v>4020291054</v>
    <v>ACUSHNET HOLDINGS CORP.</v>
    <v>ACUSHNET HOLDINGS CORP.</v>
    <v>66.069999999999993</v>
    <v>22.472999999999999</v>
    <v>65.819999999999993</v>
    <v>66.12</v>
    <v>60802950</v>
    <v>GOLF</v>
    <v>ACUSHNET HOLDINGS CORP. (XNYS:GOLF)</v>
    <v>6</v>
    <v>670901</v>
    <v>2011</v>
  </rv>
  <rv s="2">
    <v>8</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10</v>
      <v>2</v>
      <v>2</v>
      <v>10</v>
      <v>3</v>
      <v>10</v>
      <v>10</v>
      <v>10</v>
      <v>4</v>
      <v>4</v>
      <v>5</v>
      <v>11</v>
      <v>10</v>
      <v>10</v>
      <v>10</v>
      <v>4</v>
      <v>7</v>
      <v>8</v>
      <v>9</v>
      <v>4</v>
    </spb>
    <spb s="4">
      <v>Delayed 15 minutes</v>
      <v>from previous close</v>
      <v>from previous close</v>
      <v>LSE</v>
      <v>GMT</v>
    </spb>
    <spb s="4">
      <v>Delayed 15 minutes</v>
      <v>from previous close</v>
      <v>from previous close</v>
      <v>Source: Nasdaq</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35" formatCode="_-* #,##0.00_-;\-* #,##0.00_-;_-* &quot;-&quot;??_-;_-@_-"/>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7">
      <rpv i="0">_(* #,##0.00_);_(* (#,##0.00);_(* "-"??_);_(@_)</rpv>
    </rSty>
    <rSty dxfid="0">
      <rpv i="0">_([$£-en-GB]* #,##0_);_([$£-en-GB]* (#,##0);_([$£-en-GB]* "-"_);_(@_)</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1.xml"/><Relationship Id="rId4" Type="http://schemas.openxmlformats.org/officeDocument/2006/relationships/hyperlink" Target="https://www.cnbc.com/2020/02/18/the-significance-of-apples-coronavirus-warning.html"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VPN*@i%25"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baseColWidth="10" defaultColWidth="11.5" defaultRowHeight="13" x14ac:dyDescent="0.15"/>
  <sheetData>
    <row r="1" spans="1:14" x14ac:dyDescent="0.15">
      <c r="A1" s="104" t="s">
        <v>0</v>
      </c>
      <c r="G1" s="104" t="s">
        <v>1</v>
      </c>
      <c r="N1" s="104" t="s">
        <v>2</v>
      </c>
    </row>
    <row r="2" spans="1:14" x14ac:dyDescent="0.15">
      <c r="A2" s="71" t="s">
        <v>3</v>
      </c>
      <c r="G2" s="71" t="s">
        <v>4</v>
      </c>
      <c r="N2" s="71" t="s">
        <v>5</v>
      </c>
    </row>
    <row r="23" spans="1:1" x14ac:dyDescent="0.15">
      <c r="A23" s="71" t="s">
        <v>6</v>
      </c>
    </row>
    <row r="24" spans="1:1" x14ac:dyDescent="0.15">
      <c r="A24" s="104" t="s">
        <v>7</v>
      </c>
    </row>
  </sheetData>
  <phoneticPr fontId="66" type="noConversion"/>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8E769-3187-474E-AC2D-607E57094392}">
  <sheetPr>
    <tabColor rgb="FF002060"/>
    <pageSetUpPr fitToPage="1"/>
  </sheetPr>
  <dimension ref="B1:BT60"/>
  <sheetViews>
    <sheetView showGridLines="0" zoomScale="120" zoomScaleNormal="120" workbookViewId="0">
      <selection activeCell="B21" sqref="B21:G22"/>
    </sheetView>
  </sheetViews>
  <sheetFormatPr baseColWidth="10" defaultColWidth="11.5" defaultRowHeight="13" x14ac:dyDescent="0.15"/>
  <cols>
    <col min="1" max="1" width="0.6640625" style="127" customWidth="1"/>
    <col min="2" max="2" width="19.1640625" style="127" customWidth="1"/>
    <col min="3" max="3" width="29.6640625" style="127" customWidth="1"/>
    <col min="4" max="4" width="23.33203125" style="127" customWidth="1"/>
    <col min="5" max="5" width="15.6640625" style="127" customWidth="1"/>
    <col min="6" max="6" width="13.6640625" style="127" customWidth="1"/>
    <col min="7" max="7" width="14.5" style="127" customWidth="1"/>
    <col min="8" max="8" width="20.5" style="127" customWidth="1"/>
    <col min="9" max="9" width="17.6640625" style="127" customWidth="1"/>
    <col min="10" max="10" width="27.5" style="127" customWidth="1"/>
    <col min="11" max="11" width="20.1640625" style="127" customWidth="1"/>
    <col min="12" max="12" width="16.33203125" style="127" bestFit="1" customWidth="1"/>
    <col min="13" max="13" width="6" style="127" customWidth="1"/>
    <col min="14" max="14" width="13.1640625" style="766" customWidth="1"/>
    <col min="15" max="15" width="15.5" style="767" bestFit="1" customWidth="1"/>
    <col min="16" max="16" width="11.5" style="766"/>
    <col min="17" max="20" width="11.5" style="127"/>
    <col min="21" max="30" width="11.5" style="127" customWidth="1"/>
    <col min="31" max="16384" width="11.5" style="127"/>
  </cols>
  <sheetData>
    <row r="1" spans="2:20" ht="3.75" customHeight="1" thickBot="1" x14ac:dyDescent="0.2"/>
    <row r="2" spans="2:20" ht="31.5" customHeight="1" x14ac:dyDescent="0.15">
      <c r="B2" s="934" t="s">
        <v>547</v>
      </c>
      <c r="C2" s="933" t="s">
        <v>546</v>
      </c>
      <c r="D2" s="932" t="s">
        <v>545</v>
      </c>
      <c r="E2" s="931" t="e" vm="1">
        <v>#VALUE!</v>
      </c>
      <c r="F2" s="930"/>
      <c r="G2" s="930"/>
      <c r="H2" s="930"/>
      <c r="I2" s="930"/>
      <c r="J2" s="929"/>
      <c r="K2" s="928" t="s">
        <v>544</v>
      </c>
      <c r="L2" s="927" t="s">
        <v>543</v>
      </c>
    </row>
    <row r="3" spans="2:20" ht="33.75" customHeight="1" x14ac:dyDescent="0.15">
      <c r="B3" s="924" t="e" vm="2">
        <v>#VALUE!</v>
      </c>
      <c r="C3" s="923"/>
      <c r="D3" s="926" t="s">
        <v>542</v>
      </c>
      <c r="E3" s="926"/>
      <c r="F3" s="926"/>
      <c r="G3" s="926"/>
      <c r="H3" s="926"/>
      <c r="I3" s="926"/>
      <c r="J3" s="926"/>
      <c r="K3" s="926"/>
      <c r="L3" s="925"/>
      <c r="O3" s="766"/>
    </row>
    <row r="4" spans="2:20" ht="71" customHeight="1" x14ac:dyDescent="0.15">
      <c r="B4" s="924"/>
      <c r="C4" s="923"/>
      <c r="D4" s="922" t="s">
        <v>541</v>
      </c>
      <c r="E4" s="919"/>
      <c r="F4" s="919"/>
      <c r="G4" s="919"/>
      <c r="H4" s="919"/>
      <c r="I4" s="919"/>
      <c r="J4" s="919"/>
      <c r="K4" s="919"/>
      <c r="L4" s="918"/>
    </row>
    <row r="5" spans="2:20" ht="15.75" customHeight="1" x14ac:dyDescent="0.15">
      <c r="B5" s="921" t="s">
        <v>540</v>
      </c>
      <c r="C5" s="920"/>
      <c r="D5" s="919"/>
      <c r="E5" s="919"/>
      <c r="F5" s="919"/>
      <c r="G5" s="919"/>
      <c r="H5" s="919"/>
      <c r="I5" s="919"/>
      <c r="J5" s="919"/>
      <c r="K5" s="919"/>
      <c r="L5" s="918"/>
      <c r="N5" s="917"/>
    </row>
    <row r="6" spans="2:20" x14ac:dyDescent="0.15">
      <c r="B6" s="888" t="s">
        <v>539</v>
      </c>
      <c r="C6" s="840"/>
      <c r="D6" s="840" t="s">
        <v>538</v>
      </c>
      <c r="E6" s="840"/>
      <c r="F6" s="840" t="str">
        <f>[3]Segments!B2</f>
        <v>Regions in Thousands (2023)</v>
      </c>
      <c r="G6" s="840"/>
      <c r="H6" s="840"/>
      <c r="I6" s="840" t="s">
        <v>537</v>
      </c>
      <c r="J6" s="840"/>
      <c r="K6" s="840" t="s">
        <v>536</v>
      </c>
      <c r="L6" s="839"/>
      <c r="Q6" s="766"/>
      <c r="R6" s="766"/>
      <c r="S6" s="766"/>
      <c r="T6" s="766"/>
    </row>
    <row r="7" spans="2:20" x14ac:dyDescent="0.15">
      <c r="B7" s="892" t="s">
        <v>535</v>
      </c>
      <c r="C7" s="898" cm="1">
        <f t="array" aca="1" ref="C7" ca="1">_FV(E2,"price")</f>
        <v>37.119999999999997</v>
      </c>
      <c r="D7" s="823" t="s">
        <v>534</v>
      </c>
      <c r="E7" s="819">
        <f>Cifras_Originales!B27</f>
        <v>1297.192</v>
      </c>
      <c r="F7" s="916"/>
      <c r="G7" s="915"/>
      <c r="H7" s="894" t="s">
        <v>533</v>
      </c>
      <c r="I7" s="803" t="s">
        <v>532</v>
      </c>
      <c r="J7" s="914">
        <v>45291</v>
      </c>
      <c r="K7" s="803" t="s">
        <v>531</v>
      </c>
      <c r="L7" s="913">
        <f>83.44/84.83</f>
        <v>0.98361428739832601</v>
      </c>
      <c r="Q7" s="766"/>
      <c r="R7" s="766"/>
      <c r="S7" s="766"/>
      <c r="T7" s="766"/>
    </row>
    <row r="8" spans="2:20" ht="12.75" customHeight="1" x14ac:dyDescent="0.15">
      <c r="B8" s="892" t="s">
        <v>530</v>
      </c>
      <c r="C8" s="912" cm="1">
        <f t="array" aca="1" ref="C8" ca="1">_FV(E2,"Shares outstanding",TRUE)</f>
        <v>84825450</v>
      </c>
      <c r="D8" s="803" t="s">
        <v>529</v>
      </c>
      <c r="E8" s="819">
        <f>Cifras_Originales!B39</f>
        <v>573.58199999999999</v>
      </c>
      <c r="F8" s="878" t="str">
        <f>[2]Segments!B4</f>
        <v>United States</v>
      </c>
      <c r="G8" s="883"/>
      <c r="H8" s="902" t="str">
        <f>+Segments!J4</f>
        <v>84%; -; 0%</v>
      </c>
      <c r="I8" s="803"/>
      <c r="K8" s="803" t="s">
        <v>528</v>
      </c>
      <c r="L8" s="911">
        <v>5.1999999999999998E-3</v>
      </c>
      <c r="O8" s="817"/>
      <c r="Q8" s="766"/>
      <c r="R8" s="766"/>
      <c r="S8" s="766"/>
      <c r="T8" s="766"/>
    </row>
    <row r="9" spans="2:20" ht="12.75" customHeight="1" x14ac:dyDescent="0.15">
      <c r="B9" s="892" t="s">
        <v>527</v>
      </c>
      <c r="C9" s="819">
        <f ca="1">C7*C8/1000000</f>
        <v>3148.7207039999998</v>
      </c>
      <c r="D9" s="803" t="s">
        <v>526</v>
      </c>
      <c r="E9" s="910">
        <f ca="1">1000000*C11/C8</f>
        <v>5.1748620254888129</v>
      </c>
      <c r="F9" s="878" t="str">
        <f>[2]Segments!B5</f>
        <v>Internacional</v>
      </c>
      <c r="G9" s="883"/>
      <c r="H9" s="902" t="str">
        <f>+Segments!J5</f>
        <v>16%; -; 29%</v>
      </c>
      <c r="I9" s="803" t="s">
        <v>101</v>
      </c>
      <c r="J9" s="819">
        <f>Cifras_Originales!B19+Cifras_Originales!B15+Cifras_Originales!B9</f>
        <v>224.02799999999999</v>
      </c>
      <c r="K9" s="909" t="s">
        <v>525</v>
      </c>
      <c r="L9" s="908">
        <v>2.14</v>
      </c>
      <c r="O9" s="817"/>
      <c r="Q9" s="766"/>
      <c r="R9" s="766">
        <v>2023</v>
      </c>
      <c r="S9" s="766">
        <v>2022</v>
      </c>
      <c r="T9" s="766">
        <v>2021</v>
      </c>
    </row>
    <row r="10" spans="2:20" ht="12.75" customHeight="1" x14ac:dyDescent="0.15">
      <c r="B10" s="900" t="s">
        <v>524</v>
      </c>
      <c r="C10" s="819">
        <f>Cifras_en_Millones!C60</f>
        <v>176.113</v>
      </c>
      <c r="D10" s="803" t="s">
        <v>523</v>
      </c>
      <c r="E10" s="907">
        <f>(Cifras_Originales!B19-Cifras_Originales!B11-Cifras_Originales!B9-Cifras_Originales!B15)/Cifras_Originales!B9</f>
        <v>-172.16135881104034</v>
      </c>
      <c r="F10" s="878">
        <f>[2]Segments!B6</f>
        <v>0</v>
      </c>
      <c r="G10" s="883"/>
      <c r="H10" s="902" t="str">
        <f>+[2]Segments!J6</f>
        <v/>
      </c>
      <c r="I10" s="904" t="s">
        <v>522</v>
      </c>
      <c r="J10" s="819">
        <f>Cifras_Originales!B11</f>
        <v>-46.433999999999997</v>
      </c>
      <c r="K10" s="803" t="s">
        <v>521</v>
      </c>
      <c r="L10" s="906">
        <v>0.33</v>
      </c>
      <c r="O10" s="817"/>
      <c r="Q10" s="766" t="s">
        <v>520</v>
      </c>
      <c r="R10" s="767">
        <f>[3]Cifras_Originales!B8/[3]Cifras_Originales!B6</f>
        <v>0.13592345390673372</v>
      </c>
      <c r="S10" s="767">
        <f>[3]Cifras_Originales!C8/[3]Cifras_Originales!C6</f>
        <v>7.9212172349679227E-2</v>
      </c>
      <c r="T10" s="767">
        <f>[3]Cifras_Originales!D8/[3]Cifras_Originales!D6</f>
        <v>0.194854814601673</v>
      </c>
    </row>
    <row r="11" spans="2:20" ht="12.75" customHeight="1" x14ac:dyDescent="0.15">
      <c r="B11" s="900" t="s">
        <v>519</v>
      </c>
      <c r="C11" s="819">
        <f>Cifras_en_Millones!C40</f>
        <v>438.96</v>
      </c>
      <c r="D11" s="803" t="s">
        <v>518</v>
      </c>
      <c r="E11" s="905">
        <f>(Cifras_Originales!B32+Cifras_Originales!B36)/(Cifras_Originales!B19-Cifras_Originales!B15-Cifras_Originales!B9-Cifras_Originales!B11)</f>
        <v>0.52550315706393047</v>
      </c>
      <c r="F11" s="878">
        <f>[2]Segments!B7</f>
        <v>0</v>
      </c>
      <c r="G11" s="883"/>
      <c r="H11" s="902" t="str">
        <f>+[2]Segments!J7</f>
        <v/>
      </c>
      <c r="I11" s="904" t="s">
        <v>517</v>
      </c>
      <c r="J11" s="819">
        <f>J9+J10</f>
        <v>177.59399999999999</v>
      </c>
      <c r="K11" s="803" t="s">
        <v>516</v>
      </c>
      <c r="L11" s="903">
        <f ca="1">((C7*C8)/1000000)/(E7-E8)</f>
        <v>4.3514057351335662</v>
      </c>
      <c r="Q11" s="766" t="s">
        <v>515</v>
      </c>
      <c r="R11" s="767">
        <f>[3]Cifras_Originales!B19/[3]Cifras_Originales!B6</f>
        <v>0.10241976761501236</v>
      </c>
      <c r="S11" s="767">
        <f>[3]Cifras_Originales!C19/[3]Cifras_Originales!C6</f>
        <v>5.6226029982033847E-2</v>
      </c>
      <c r="T11" s="767">
        <f>[3]Cifras_Originales!D19/[3]Cifras_Originales!D6</f>
        <v>0.15067587344763142</v>
      </c>
    </row>
    <row r="12" spans="2:20" ht="12.75" customHeight="1" x14ac:dyDescent="0.15">
      <c r="B12" s="900" t="s">
        <v>514</v>
      </c>
      <c r="C12" s="819">
        <f ca="1">C9+C10-C11</f>
        <v>2885.8737039999996</v>
      </c>
      <c r="D12" s="803" t="s">
        <v>513</v>
      </c>
      <c r="E12" s="829">
        <f>Cifras_Originales!B26/Cifras_Originales!B27</f>
        <v>0.22705659609371631</v>
      </c>
      <c r="F12" s="878">
        <f>[2]Segments!B8</f>
        <v>0</v>
      </c>
      <c r="G12" s="883"/>
      <c r="H12" s="902" t="str">
        <f>+[2]Segments!J8</f>
        <v/>
      </c>
      <c r="I12" s="803" t="s">
        <v>97</v>
      </c>
      <c r="J12" s="833">
        <f>Cifras_Originales!B19</f>
        <v>169.88499999999999</v>
      </c>
      <c r="K12" s="803" t="s">
        <v>512</v>
      </c>
      <c r="L12" s="901">
        <f>J18/E7</f>
        <v>4.771254627945079E-2</v>
      </c>
      <c r="Q12" s="766" t="s">
        <v>74</v>
      </c>
      <c r="R12" s="869">
        <f>[3]Cifras_Originales!B19+[3]Cifras_Originales!B15+[3]Cifras_Originales!B11+[3]Cifras_Originales!B9</f>
        <v>177594</v>
      </c>
      <c r="S12" s="869">
        <f>[3]Cifras_Originales!C19+[3]Cifras_Originales!C15+[3]Cifras_Originales!C11+[3]Cifras_Originales!C9</f>
        <v>80796</v>
      </c>
      <c r="T12" s="869">
        <f>[3]Cifras_Originales!D19+[3]Cifras_Originales!D15+[3]Cifras_Originales!D11+[3]Cifras_Originales!D9</f>
        <v>239679</v>
      </c>
    </row>
    <row r="13" spans="2:20" ht="12.75" customHeight="1" x14ac:dyDescent="0.15">
      <c r="B13" s="900" t="s">
        <v>511</v>
      </c>
      <c r="C13" s="899" t="s">
        <v>22</v>
      </c>
      <c r="D13" s="803" t="s">
        <v>474</v>
      </c>
      <c r="E13" s="804">
        <f>C10/E7</f>
        <v>0.13576479040882153</v>
      </c>
      <c r="F13" s="840" t="str">
        <f>[3]Segments!B15</f>
        <v>Products in Thousands (2023)</v>
      </c>
      <c r="G13" s="840"/>
      <c r="H13" s="840"/>
      <c r="I13" s="803" t="s">
        <v>510</v>
      </c>
      <c r="J13" s="898">
        <f ca="1">1000000*J12/C8</f>
        <v>2.0027597849466168</v>
      </c>
      <c r="K13" s="803" t="s">
        <v>509</v>
      </c>
      <c r="L13" s="886">
        <f ca="1">C9/J17</f>
        <v>20.005426134101402</v>
      </c>
      <c r="N13" s="766">
        <f>C10/J11</f>
        <v>0.99166075430476253</v>
      </c>
      <c r="Q13" s="766" t="s">
        <v>508</v>
      </c>
      <c r="R13" s="897">
        <f>R12/[3]Cifras_Originales!B19</f>
        <v>1.0453777555405126</v>
      </c>
      <c r="S13" s="897">
        <f>S12/[3]Cifras_Originales!C19</f>
        <v>0.90080608297191533</v>
      </c>
      <c r="T13" s="897">
        <f>T12/[3]Cifras_Originales!D19</f>
        <v>1.1273600436496365</v>
      </c>
    </row>
    <row r="14" spans="2:20" ht="12.75" customHeight="1" x14ac:dyDescent="0.15">
      <c r="B14" s="892" t="s">
        <v>507</v>
      </c>
      <c r="C14" s="896" t="s">
        <v>22</v>
      </c>
      <c r="D14" s="803" t="s">
        <v>506</v>
      </c>
      <c r="E14" s="895">
        <f>AVERAGE(R10:T10)</f>
        <v>0.13666348028602865</v>
      </c>
      <c r="G14" s="883"/>
      <c r="H14" s="894" t="s">
        <v>505</v>
      </c>
      <c r="I14" s="803" t="s">
        <v>504</v>
      </c>
      <c r="J14" s="816">
        <f>J12/E7</f>
        <v>0.13096365071631647</v>
      </c>
      <c r="K14" s="803" t="s">
        <v>55</v>
      </c>
      <c r="L14" s="893">
        <f ca="1">C12/E7</f>
        <v>2.2247082189837739</v>
      </c>
      <c r="Q14" s="766" t="s">
        <v>503</v>
      </c>
      <c r="R14" s="869">
        <f>[3]Cifras_Originales!B9</f>
        <v>-942</v>
      </c>
      <c r="S14" s="869">
        <f>[3]Cifras_Originales!C9</f>
        <v>-4466</v>
      </c>
      <c r="T14" s="869">
        <f>[3]Cifras_Originales!D9</f>
        <v>-3339</v>
      </c>
    </row>
    <row r="15" spans="2:20" ht="12.75" customHeight="1" x14ac:dyDescent="0.15">
      <c r="B15" s="892" t="s">
        <v>502</v>
      </c>
      <c r="C15" s="891">
        <f>9.87/83.84</f>
        <v>0.11772423664122136</v>
      </c>
      <c r="D15" s="803" t="s">
        <v>501</v>
      </c>
      <c r="E15" s="890">
        <f>AVERAGE(R11:T11)</f>
        <v>0.10310722368155921</v>
      </c>
      <c r="F15" s="878" t="str">
        <f>[3]Segments!B17</f>
        <v>Coolers &amp; Equipment</v>
      </c>
      <c r="G15" s="883"/>
      <c r="H15" s="876" t="str">
        <f>+Segments!J17</f>
        <v>36%; -; -2%</v>
      </c>
      <c r="I15" s="803" t="s">
        <v>500</v>
      </c>
      <c r="J15" s="816">
        <f>J12/(E7-(E8-C10))</f>
        <v>0.18881922547272884</v>
      </c>
      <c r="K15" s="803" t="s">
        <v>499</v>
      </c>
      <c r="L15" s="889">
        <f ca="1">C12/J16</f>
        <v>17.382372948326434</v>
      </c>
      <c r="Q15" s="766" t="s">
        <v>498</v>
      </c>
      <c r="R15" s="869">
        <f>[3]Cifras_en_Millones!B59</f>
        <v>132217</v>
      </c>
      <c r="S15" s="869">
        <f>[3]Cifras_en_Millones!C59</f>
        <v>-70664</v>
      </c>
      <c r="T15" s="869">
        <f>[3]Cifras_en_Millones!D59</f>
        <v>-125781</v>
      </c>
    </row>
    <row r="16" spans="2:20" ht="12.75" customHeight="1" x14ac:dyDescent="0.15">
      <c r="B16" s="888" t="s">
        <v>497</v>
      </c>
      <c r="C16" s="840"/>
      <c r="D16" s="803" t="s">
        <v>496</v>
      </c>
      <c r="E16" s="815">
        <f>AVERAGE(R13:T13)</f>
        <v>1.0245146273873547</v>
      </c>
      <c r="F16" s="878" t="str">
        <f>[3]Segments!B18</f>
        <v>Drinkware</v>
      </c>
      <c r="G16" s="883"/>
      <c r="H16" s="876" t="str">
        <f>+Segments!J18</f>
        <v>62%; -; 8%</v>
      </c>
      <c r="I16" s="803" t="s">
        <v>495</v>
      </c>
      <c r="J16" s="887">
        <f>AVERAGE(Cifras_en_Millones!C19:E19)</f>
        <v>166.023</v>
      </c>
      <c r="K16" s="803" t="s">
        <v>494</v>
      </c>
      <c r="L16" s="886">
        <f ca="1">C9/J18</f>
        <v>50.874163800578422</v>
      </c>
      <c r="N16" s="885"/>
      <c r="Q16" s="766"/>
      <c r="R16" s="766"/>
      <c r="S16" s="766"/>
      <c r="T16" s="766"/>
    </row>
    <row r="17" spans="2:72" ht="12.75" customHeight="1" x14ac:dyDescent="0.15">
      <c r="B17" s="832" t="s">
        <v>493</v>
      </c>
      <c r="C17" s="884"/>
      <c r="D17" s="803" t="s">
        <v>492</v>
      </c>
      <c r="E17" s="135">
        <f>AVERAGE(R15:T15)</f>
        <v>-21409.333333333332</v>
      </c>
      <c r="F17" s="878" t="str">
        <f>[3]Segments!B19</f>
        <v>Others</v>
      </c>
      <c r="G17" s="883"/>
      <c r="H17" s="876" t="str">
        <f>++Segments!J19</f>
        <v>2%; -; 8%</v>
      </c>
      <c r="I17" s="803" t="s">
        <v>491</v>
      </c>
      <c r="J17" s="819">
        <f>AVERAGE(Cifras_en_Millones!C23:E23)</f>
        <v>157.39333333333332</v>
      </c>
      <c r="K17" s="803" t="s">
        <v>490</v>
      </c>
      <c r="L17" s="882" t="s">
        <v>50</v>
      </c>
      <c r="N17" s="766">
        <v>12</v>
      </c>
      <c r="Q17" s="766"/>
      <c r="R17" s="766"/>
      <c r="S17" s="766"/>
      <c r="T17" s="766"/>
    </row>
    <row r="18" spans="2:72" ht="12.75" customHeight="1" x14ac:dyDescent="0.15">
      <c r="B18" s="832" t="s">
        <v>489</v>
      </c>
      <c r="C18" s="881"/>
      <c r="D18" s="803"/>
      <c r="F18" s="878">
        <f>[2]Segments!B20</f>
        <v>0</v>
      </c>
      <c r="G18" s="877"/>
      <c r="H18" s="876" t="str">
        <f>+[2]Segments!J20</f>
        <v/>
      </c>
      <c r="I18" s="803" t="s">
        <v>488</v>
      </c>
      <c r="J18" s="819">
        <f>SUM(F35:F37)/3</f>
        <v>61.892333333333333</v>
      </c>
      <c r="K18" s="803" t="s">
        <v>487</v>
      </c>
      <c r="L18" s="875">
        <f ca="1">SUM(E35:E37)/(3*C9)</f>
        <v>0</v>
      </c>
    </row>
    <row r="19" spans="2:72" ht="12.75" customHeight="1" x14ac:dyDescent="0.15">
      <c r="B19" s="832" t="s">
        <v>486</v>
      </c>
      <c r="C19" s="880"/>
      <c r="D19" s="879" t="s">
        <v>258</v>
      </c>
      <c r="E19" s="804"/>
      <c r="F19" s="878">
        <f>[2]Segments!B21</f>
        <v>0</v>
      </c>
      <c r="G19" s="877"/>
      <c r="H19" s="876" t="str">
        <f>+[2]Segments!J21</f>
        <v/>
      </c>
      <c r="I19" s="803" t="s">
        <v>485</v>
      </c>
      <c r="J19" s="829">
        <v>0.16</v>
      </c>
      <c r="K19" s="803" t="s">
        <v>484</v>
      </c>
      <c r="L19" s="875">
        <f ca="1">K33/C9</f>
        <v>0</v>
      </c>
      <c r="R19" s="766"/>
    </row>
    <row r="20" spans="2:72" ht="14" x14ac:dyDescent="0.15">
      <c r="B20" s="874" t="s">
        <v>483</v>
      </c>
      <c r="C20" s="873"/>
      <c r="D20" s="873"/>
      <c r="E20" s="873"/>
      <c r="F20" s="873"/>
      <c r="G20" s="873"/>
      <c r="H20" s="872" t="s">
        <v>482</v>
      </c>
      <c r="I20" s="871" t="s">
        <v>481</v>
      </c>
      <c r="J20" s="871"/>
      <c r="K20" s="871"/>
      <c r="L20" s="870" t="s">
        <v>480</v>
      </c>
      <c r="M20" s="776"/>
      <c r="N20" s="869"/>
      <c r="O20" s="778"/>
      <c r="P20" s="777"/>
      <c r="Q20" s="776"/>
      <c r="R20" s="776"/>
    </row>
    <row r="21" spans="2:72" ht="35.25" customHeight="1" x14ac:dyDescent="0.15">
      <c r="B21" s="868" t="s">
        <v>548</v>
      </c>
      <c r="C21" s="867"/>
      <c r="D21" s="867"/>
      <c r="E21" s="867"/>
      <c r="F21" s="867"/>
      <c r="G21" s="866"/>
      <c r="H21" s="865" t="s">
        <v>89</v>
      </c>
      <c r="I21" s="864" t="s">
        <v>479</v>
      </c>
      <c r="J21" s="863"/>
      <c r="K21" s="862"/>
      <c r="L21" s="854">
        <f ca="1">DCFF!D67</f>
        <v>330.44078694693786</v>
      </c>
      <c r="M21" s="776"/>
      <c r="N21" s="777"/>
      <c r="O21" s="778"/>
      <c r="P21" s="777"/>
      <c r="Q21" s="776"/>
      <c r="R21" s="776"/>
    </row>
    <row r="22" spans="2:72" ht="21" customHeight="1" x14ac:dyDescent="0.15">
      <c r="B22" s="861"/>
      <c r="C22" s="860"/>
      <c r="D22" s="860"/>
      <c r="E22" s="860"/>
      <c r="F22" s="860"/>
      <c r="G22" s="859"/>
      <c r="H22" s="858"/>
      <c r="I22" s="857"/>
      <c r="J22" s="856"/>
      <c r="K22" s="855"/>
      <c r="L22" s="854"/>
      <c r="M22" s="776"/>
      <c r="N22" s="777"/>
      <c r="O22" s="778"/>
      <c r="P22" s="777"/>
      <c r="Q22" s="776"/>
      <c r="R22" s="776"/>
    </row>
    <row r="23" spans="2:72" x14ac:dyDescent="0.15">
      <c r="B23" s="796" t="s">
        <v>439</v>
      </c>
      <c r="C23" s="795"/>
      <c r="D23" s="795"/>
      <c r="E23" s="795"/>
      <c r="F23" s="795"/>
      <c r="G23" s="794"/>
      <c r="H23" s="853" t="s">
        <v>478</v>
      </c>
      <c r="I23" s="852"/>
      <c r="J23" s="851"/>
      <c r="K23" s="850"/>
      <c r="L23" s="845">
        <f ca="1">DCFF!D66</f>
        <v>7.9019608552515592</v>
      </c>
      <c r="M23" s="776"/>
      <c r="N23" s="843"/>
      <c r="O23" s="844"/>
      <c r="P23" s="843"/>
      <c r="Q23" s="843"/>
      <c r="R23" s="843"/>
      <c r="S23" s="394"/>
      <c r="T23" s="394"/>
      <c r="U23" s="394"/>
    </row>
    <row r="24" spans="2:72" ht="32" customHeight="1" x14ac:dyDescent="0.15">
      <c r="B24" s="799"/>
      <c r="C24" s="798"/>
      <c r="D24" s="798"/>
      <c r="E24" s="798"/>
      <c r="F24" s="798"/>
      <c r="G24" s="797"/>
      <c r="H24" s="849">
        <f>[2]DCFF!D71</f>
        <v>0</v>
      </c>
      <c r="I24" s="848" t="s">
        <v>121</v>
      </c>
      <c r="J24" s="847">
        <f>DCFF!D48</f>
        <v>8.5000000000000006E-2</v>
      </c>
      <c r="K24" s="846"/>
      <c r="L24" s="845"/>
      <c r="M24" s="776"/>
      <c r="N24" s="843"/>
      <c r="O24" s="844"/>
      <c r="P24" s="843"/>
      <c r="Q24" s="843"/>
      <c r="R24" s="843"/>
      <c r="S24" s="394"/>
      <c r="T24" s="394"/>
      <c r="U24" s="394"/>
    </row>
    <row r="25" spans="2:72" x14ac:dyDescent="0.15">
      <c r="B25" s="842" t="s">
        <v>477</v>
      </c>
      <c r="C25" s="841" t="s">
        <v>476</v>
      </c>
      <c r="D25" s="841" t="s">
        <v>95</v>
      </c>
      <c r="E25" s="841" t="s">
        <v>475</v>
      </c>
      <c r="F25" s="841" t="s">
        <v>110</v>
      </c>
      <c r="G25" s="841" t="s">
        <v>474</v>
      </c>
      <c r="H25" s="841" t="s">
        <v>473</v>
      </c>
      <c r="I25" s="841" t="s">
        <v>472</v>
      </c>
      <c r="J25" s="840" t="s">
        <v>471</v>
      </c>
      <c r="K25" s="840"/>
      <c r="L25" s="839"/>
      <c r="Q25" s="766"/>
      <c r="R25" s="766"/>
      <c r="S25" s="766"/>
      <c r="T25" s="766"/>
      <c r="U25" s="394"/>
    </row>
    <row r="26" spans="2:72" x14ac:dyDescent="0.15">
      <c r="B26" s="832">
        <v>2012</v>
      </c>
      <c r="C26" s="831" t="s">
        <v>50</v>
      </c>
      <c r="D26" s="831" t="s">
        <v>50</v>
      </c>
      <c r="E26" s="830" t="s">
        <v>50</v>
      </c>
      <c r="F26" s="819" t="s">
        <v>50</v>
      </c>
      <c r="G26" s="829" t="s">
        <v>50</v>
      </c>
      <c r="H26" s="819" t="s">
        <v>50</v>
      </c>
      <c r="I26" s="819" t="s">
        <v>50</v>
      </c>
      <c r="J26" s="803"/>
      <c r="K26" s="838">
        <v>2023</v>
      </c>
      <c r="L26" s="837">
        <f>K26-1</f>
        <v>2022</v>
      </c>
      <c r="Q26" s="766"/>
      <c r="R26" s="766"/>
      <c r="S26" s="766"/>
      <c r="T26" s="766"/>
      <c r="U26" s="394"/>
      <c r="W26" s="821"/>
    </row>
    <row r="27" spans="2:72" x14ac:dyDescent="0.15">
      <c r="B27" s="832">
        <f>B26+1</f>
        <v>2013</v>
      </c>
      <c r="C27" s="830">
        <f>Cifras_Originales!L6</f>
        <v>89.9</v>
      </c>
      <c r="D27" s="831">
        <f>Cifras_Originales!L$8/OP!C27</f>
        <v>0.16907675194660732</v>
      </c>
      <c r="E27" s="830" t="s">
        <v>50</v>
      </c>
      <c r="F27" s="819" t="s">
        <v>50</v>
      </c>
      <c r="G27" s="829" t="s">
        <v>50</v>
      </c>
      <c r="H27" s="819" t="s">
        <v>50</v>
      </c>
      <c r="I27" s="819" t="s">
        <v>50</v>
      </c>
      <c r="J27" s="803" t="s">
        <v>470</v>
      </c>
      <c r="K27" s="819">
        <f>Cifras_Originales!B19</f>
        <v>169.88499999999999</v>
      </c>
      <c r="L27" s="818">
        <f>Cifras_Originales!C19</f>
        <v>89.692999999999984</v>
      </c>
      <c r="N27" s="822" t="e">
        <f>C27/C26-1</f>
        <v>#VALUE!</v>
      </c>
      <c r="O27" s="767" t="e">
        <f>D27/D26-1</f>
        <v>#VALUE!</v>
      </c>
      <c r="Q27" s="766"/>
      <c r="R27" s="766"/>
      <c r="S27" s="766"/>
      <c r="T27" s="766"/>
      <c r="U27" s="394"/>
    </row>
    <row r="28" spans="2:72" x14ac:dyDescent="0.15">
      <c r="B28" s="832">
        <f>B27+1</f>
        <v>2014</v>
      </c>
      <c r="C28" s="830">
        <f>Cifras_Originales!K6</f>
        <v>147.69999999999999</v>
      </c>
      <c r="D28" s="831">
        <f>Cifras_Originales!K$8/OP!C28</f>
        <v>0.17400135409614084</v>
      </c>
      <c r="E28" s="830" t="s">
        <v>50</v>
      </c>
      <c r="F28" s="819" t="s">
        <v>50</v>
      </c>
      <c r="G28" s="829" t="s">
        <v>50</v>
      </c>
      <c r="H28" s="819" t="s">
        <v>50</v>
      </c>
      <c r="I28" s="819" t="s">
        <v>50</v>
      </c>
      <c r="J28" s="803" t="s">
        <v>469</v>
      </c>
      <c r="K28" s="819">
        <v>285.94200000000001</v>
      </c>
      <c r="L28" s="818">
        <v>100.89400000000001</v>
      </c>
      <c r="N28" s="822">
        <f>C28/C27-1</f>
        <v>0.6429365962180198</v>
      </c>
      <c r="O28" s="767">
        <f>D28/D27-1</f>
        <v>2.9126429818622679E-2</v>
      </c>
      <c r="P28" s="766" t="e">
        <f>E28/E27-1</f>
        <v>#VALUE!</v>
      </c>
      <c r="Q28" s="766" t="e">
        <f>F28/#REF!-1</f>
        <v>#VALUE!</v>
      </c>
      <c r="R28" s="766" t="e">
        <f>H28/H27-1</f>
        <v>#VALUE!</v>
      </c>
      <c r="S28" s="766" t="e">
        <f>I28/I27-1</f>
        <v>#VALUE!</v>
      </c>
      <c r="T28" s="766"/>
      <c r="U28" s="394"/>
      <c r="BT28" s="127">
        <v>4303</v>
      </c>
    </row>
    <row r="29" spans="2:72" x14ac:dyDescent="0.15">
      <c r="B29" s="832">
        <f>B28+1</f>
        <v>2015</v>
      </c>
      <c r="C29" s="830">
        <f>Cifras_Originales!J6</f>
        <v>468.94600000000003</v>
      </c>
      <c r="D29" s="831">
        <f>Cifras_Originales!J$8/OP!C29</f>
        <v>0.27273929194406177</v>
      </c>
      <c r="E29" s="830" t="s">
        <v>50</v>
      </c>
      <c r="F29" s="819" t="s">
        <v>50</v>
      </c>
      <c r="G29" s="829" t="s">
        <v>50</v>
      </c>
      <c r="H29" s="819" t="s">
        <v>50</v>
      </c>
      <c r="I29" s="833" t="s">
        <v>50</v>
      </c>
      <c r="J29" s="127" t="s">
        <v>468</v>
      </c>
      <c r="K29" s="819">
        <f>Cifras_Originales!B12</f>
        <v>31.698000000000036</v>
      </c>
      <c r="L29" s="818">
        <f>Cifras_Originales!C12</f>
        <v>-28.036999999999978</v>
      </c>
      <c r="M29" s="14"/>
      <c r="N29" s="822">
        <f>C29/C28-1</f>
        <v>2.1749898442789442</v>
      </c>
      <c r="O29" s="767">
        <f>D29/D28-1</f>
        <v>0.56745499689252599</v>
      </c>
      <c r="P29" s="766" t="e">
        <f>E29/E28-1</f>
        <v>#VALUE!</v>
      </c>
      <c r="Q29" s="766" t="e">
        <f>F29/F28-1</f>
        <v>#VALUE!</v>
      </c>
      <c r="R29" s="766" t="e">
        <f>H29/H28-1</f>
        <v>#VALUE!</v>
      </c>
      <c r="S29" s="766" t="e">
        <f>I29/I28-1</f>
        <v>#VALUE!</v>
      </c>
      <c r="T29" s="766"/>
      <c r="U29" s="394"/>
      <c r="BT29" s="127">
        <v>3066</v>
      </c>
    </row>
    <row r="30" spans="2:72" x14ac:dyDescent="0.15">
      <c r="B30" s="832">
        <f>B29+1</f>
        <v>2016</v>
      </c>
      <c r="C30" s="830">
        <f>Cifras_Originales!I6</f>
        <v>818.91399999999999</v>
      </c>
      <c r="D30" s="831">
        <f>Cifras_Originales!I$8/OP!C30</f>
        <v>0.10771216513577737</v>
      </c>
      <c r="E30" s="830">
        <f>[2]Cifras_Originales!I17+[2]Cifras_Originales!I18</f>
        <v>0</v>
      </c>
      <c r="F30" s="819" t="s">
        <v>50</v>
      </c>
      <c r="G30" s="829" t="s">
        <v>50</v>
      </c>
      <c r="H30" s="819">
        <v>6.3</v>
      </c>
      <c r="I30" s="833">
        <f>Cifras_Originales!I13+Cifras_Originales!I14</f>
        <v>-35.588000000000001</v>
      </c>
      <c r="J30" s="803" t="s">
        <v>467</v>
      </c>
      <c r="K30" s="819">
        <f>K31+K32</f>
        <v>-72.823999999999998</v>
      </c>
      <c r="L30" s="818">
        <f>L31+L32</f>
        <v>-56.910000000000004</v>
      </c>
      <c r="N30" s="822">
        <f>C30/C29-1</f>
        <v>0.74628635279968258</v>
      </c>
      <c r="O30" s="767">
        <f>D30/D29-1</f>
        <v>-0.60507279912617462</v>
      </c>
      <c r="P30" s="766" t="e">
        <f>E30/E29-1</f>
        <v>#VALUE!</v>
      </c>
      <c r="Q30" s="766" t="e">
        <f>F30/F29-1</f>
        <v>#VALUE!</v>
      </c>
      <c r="R30" s="766" t="e">
        <f>H30/H29-1</f>
        <v>#VALUE!</v>
      </c>
      <c r="S30" s="766" t="e">
        <f>I30/I29-1</f>
        <v>#VALUE!</v>
      </c>
      <c r="T30" s="766"/>
      <c r="U30" s="394"/>
      <c r="BT30" s="127">
        <v>3283</v>
      </c>
    </row>
    <row r="31" spans="2:72" x14ac:dyDescent="0.15">
      <c r="B31" s="832">
        <f>B30+1</f>
        <v>2017</v>
      </c>
      <c r="C31" s="830">
        <f>Cifras_Originales!H6</f>
        <v>639.23900000000003</v>
      </c>
      <c r="D31" s="831">
        <f>Cifras_Originales!H$8/OP!C31</f>
        <v>0.10006742392125637</v>
      </c>
      <c r="E31" s="830">
        <f>[2]Cifras_Originales!H17+[2]Cifras_Originales!H18</f>
        <v>0</v>
      </c>
      <c r="F31" s="819">
        <f>Cifras_Originales!H22-Cifras_Originales!I22+Cifras_Originales!H18+Cifras_Originales!H17</f>
        <v>32.358999999999995</v>
      </c>
      <c r="G31" s="829">
        <f>Cifras_en_Millones!I60/Cifras_en_Millones!I45</f>
        <v>0.92110211123740626</v>
      </c>
      <c r="H31" s="819">
        <v>15.4</v>
      </c>
      <c r="I31" s="833">
        <f>Cifras_Originales!H13+Cifras_Originales!H14</f>
        <v>-42.197000000000003</v>
      </c>
      <c r="J31" s="835" t="s">
        <v>323</v>
      </c>
      <c r="K31" s="819">
        <v>-50.671999999999997</v>
      </c>
      <c r="L31" s="836">
        <v>-45.929000000000002</v>
      </c>
      <c r="N31" s="822">
        <f>C31/C30-1</f>
        <v>-0.21940643339837873</v>
      </c>
      <c r="O31" s="767">
        <f>D31/D30-1</f>
        <v>-7.0973795809269768E-2</v>
      </c>
      <c r="P31" s="766" t="e">
        <f>E31/E30-1</f>
        <v>#DIV/0!</v>
      </c>
      <c r="Q31" s="766" t="e">
        <f>F31/F30-1</f>
        <v>#VALUE!</v>
      </c>
      <c r="R31" s="766">
        <f>H31/H30-1</f>
        <v>1.4444444444444446</v>
      </c>
      <c r="S31" s="766">
        <f>I31/I30-1</f>
        <v>0.18570866584241874</v>
      </c>
      <c r="T31" s="766"/>
      <c r="U31" s="394"/>
    </row>
    <row r="32" spans="2:72" x14ac:dyDescent="0.15">
      <c r="B32" s="832">
        <f>B31+1</f>
        <v>2018</v>
      </c>
      <c r="C32" s="830">
        <f>Cifras_Originales!G6</f>
        <v>778.83299999999997</v>
      </c>
      <c r="D32" s="831">
        <f>Cifras_Originales!G$8/OP!C32</f>
        <v>0.13116547449838414</v>
      </c>
      <c r="E32" s="830">
        <f>[2]Cifras_Originales!G17+[2]Cifras_Originales!G18</f>
        <v>0</v>
      </c>
      <c r="F32" s="819">
        <f>Cifras_Originales!G22-Cifras_Originales!H22+Cifras_Originales!G17+Cifras_Originales!G18</f>
        <v>26.401000000000003</v>
      </c>
      <c r="G32" s="829">
        <f>Cifras_en_Millones!H60/Cifras_en_Millones!H45</f>
        <v>0.6378951912923243</v>
      </c>
      <c r="H32" s="819">
        <v>19.5</v>
      </c>
      <c r="I32" s="833">
        <f>Cifras_Originales!G13+Cifras_Originales!G14</f>
        <v>-20.86</v>
      </c>
      <c r="J32" s="835" t="s">
        <v>466</v>
      </c>
      <c r="K32" s="819">
        <f>-22.152</f>
        <v>-22.152000000000001</v>
      </c>
      <c r="L32" s="818">
        <v>-10.981</v>
      </c>
      <c r="M32" s="834"/>
      <c r="N32" s="822">
        <f>C32/C31-1</f>
        <v>0.21837528686453722</v>
      </c>
      <c r="O32" s="767">
        <f>D32/D31-1</f>
        <v>0.31077097179596636</v>
      </c>
      <c r="P32" s="766" t="e">
        <f>E32/E31-1</f>
        <v>#DIV/0!</v>
      </c>
      <c r="Q32" s="766">
        <f>F32/F31-1</f>
        <v>-0.18412188262925278</v>
      </c>
      <c r="R32" s="766">
        <f>H32/H31-1</f>
        <v>0.26623376623376616</v>
      </c>
      <c r="S32" s="766">
        <f>I32/I31-1</f>
        <v>-0.50565206057302658</v>
      </c>
      <c r="T32" s="766"/>
      <c r="U32" s="394"/>
    </row>
    <row r="33" spans="2:72" x14ac:dyDescent="0.15">
      <c r="B33" s="832">
        <f>B32+1</f>
        <v>2019</v>
      </c>
      <c r="C33" s="830">
        <f>Cifras_Originales!F6</f>
        <v>913.73400000000004</v>
      </c>
      <c r="D33" s="831">
        <f>Cifras_Originales!F$8/OP!C33</f>
        <v>9.8246316761770924E-2</v>
      </c>
      <c r="E33" s="830">
        <f>[2]Cifras_Originales!F17</f>
        <v>0</v>
      </c>
      <c r="F33" s="819">
        <f>Cifras_Originales!F22-Cifras_Originales!G22+Cifras_Originales!F18+Cifras_Originales!F17</f>
        <v>-7.5360000000000014</v>
      </c>
      <c r="G33" s="829">
        <f>Cifras_en_Millones!G60/Cifras_en_Millones!G45</f>
        <v>0.55098730976158738</v>
      </c>
      <c r="H33" s="819">
        <v>23.2</v>
      </c>
      <c r="I33" s="833">
        <f>Cifras_Originales!F13+Cifras_Originales!F14</f>
        <v>-32.076999999999998</v>
      </c>
      <c r="J33" s="823" t="s">
        <v>284</v>
      </c>
      <c r="K33" s="819">
        <v>0</v>
      </c>
      <c r="L33" s="818">
        <v>0</v>
      </c>
      <c r="N33" s="822">
        <f>C33/C32-1</f>
        <v>0.17320914753226946</v>
      </c>
      <c r="O33" s="767">
        <f>D33/D32-1</f>
        <v>-0.25097425875601709</v>
      </c>
      <c r="P33" s="766" t="e">
        <f>E33/E32-1</f>
        <v>#DIV/0!</v>
      </c>
      <c r="Q33" s="766">
        <f>F33/F32-1</f>
        <v>-1.2854437331919246</v>
      </c>
      <c r="R33" s="766">
        <f>H33/H32-1</f>
        <v>0.18974358974358974</v>
      </c>
      <c r="S33" s="766">
        <f>I33/I32-1</f>
        <v>0.53772770853307761</v>
      </c>
      <c r="T33" s="766"/>
      <c r="U33" s="394"/>
    </row>
    <row r="34" spans="2:72" x14ac:dyDescent="0.15">
      <c r="B34" s="832">
        <f>B33+1</f>
        <v>2020</v>
      </c>
      <c r="C34" s="830">
        <f>Cifras_Originales!E6</f>
        <v>1091.721</v>
      </c>
      <c r="D34" s="831">
        <f>Cifras_Originales!E$8/OP!C34</f>
        <v>0.19623420269464451</v>
      </c>
      <c r="E34" s="830">
        <v>0</v>
      </c>
      <c r="F34" s="819">
        <f>Cifras_Originales!E22-Cifras_Originales!F22+Cifras_Originales!E18+Cifras_Originales!E17</f>
        <v>180.76799999999997</v>
      </c>
      <c r="G34" s="829">
        <f>Cifras_en_Millones!F60/Cifras_en_Millones!F45</f>
        <v>0.24218558150073191</v>
      </c>
      <c r="H34" s="819">
        <v>24.6</v>
      </c>
      <c r="I34" s="819">
        <f>Cifras_Originales!E13+Cifras_Originales!E14</f>
        <v>-15.566000000000001</v>
      </c>
      <c r="J34" s="823" t="s">
        <v>465</v>
      </c>
      <c r="K34" s="819">
        <f>Cifras_Originales!B18</f>
        <v>0</v>
      </c>
      <c r="L34" s="818">
        <f>[2]Cifras_Originales!C18</f>
        <v>0</v>
      </c>
      <c r="N34" s="822">
        <f>C34/C33-1</f>
        <v>0.19479082533866521</v>
      </c>
      <c r="O34" s="767">
        <f>D34/D33-1</f>
        <v>0.99736956216359762</v>
      </c>
      <c r="P34" s="766" t="e">
        <f>E34/E33-1</f>
        <v>#DIV/0!</v>
      </c>
      <c r="Q34" s="766">
        <f>F34/F33-1</f>
        <v>-24.987261146496806</v>
      </c>
      <c r="R34" s="766">
        <f>H34/H33-1</f>
        <v>6.0344827586207073E-2</v>
      </c>
      <c r="S34" s="766">
        <f>I34/I33-1</f>
        <v>-0.51473018050316421</v>
      </c>
      <c r="T34" s="766"/>
      <c r="U34" s="394"/>
      <c r="W34" s="821"/>
      <c r="BT34" s="808"/>
    </row>
    <row r="35" spans="2:72" x14ac:dyDescent="0.15">
      <c r="B35" s="832">
        <f>B34+1</f>
        <v>2021</v>
      </c>
      <c r="C35" s="830">
        <f>Cifras_Originales!D6</f>
        <v>1410.989</v>
      </c>
      <c r="D35" s="831">
        <f>Cifras_Originales!D$8/OP!C35</f>
        <v>0.194854814601673</v>
      </c>
      <c r="E35" s="830">
        <v>0</v>
      </c>
      <c r="F35" s="819">
        <f>Cifras_Originales!D22-Cifras_Originales!E22+Cifras_Originales!D17+Cifras_Originales!D18</f>
        <v>58.906000000000034</v>
      </c>
      <c r="G35" s="829">
        <f>Cifras_en_Millones!E60/Cifras_en_Millones!E45</f>
        <v>0.17002382420437007</v>
      </c>
      <c r="H35" s="819">
        <v>25.7</v>
      </c>
      <c r="I35" s="819">
        <f>Cifras_Originales!D13+Cifras_Originales!D14</f>
        <v>-56.121000000000002</v>
      </c>
      <c r="J35" s="823" t="s">
        <v>464</v>
      </c>
      <c r="K35" s="819">
        <f>Cifras_en_Millones!C59</f>
        <v>-262.84699999999998</v>
      </c>
      <c r="L35" s="818">
        <f>Cifras_en_Millones!D59</f>
        <v>-70.664000000000016</v>
      </c>
      <c r="N35" s="822">
        <f>C35/C34-1</f>
        <v>0.29244468137921698</v>
      </c>
      <c r="O35" s="767">
        <f>D35/D34-1</f>
        <v>-7.029294965047117E-3</v>
      </c>
      <c r="P35" s="766" t="e">
        <f>E35/E34-1</f>
        <v>#DIV/0!</v>
      </c>
      <c r="Q35" s="766">
        <f>F35/F34-1</f>
        <v>-0.67413480261993253</v>
      </c>
      <c r="R35" s="766">
        <f>H35/H34-1</f>
        <v>4.471544715447151E-2</v>
      </c>
      <c r="S35" s="766">
        <f>I35/I34-1</f>
        <v>2.6053578311704997</v>
      </c>
      <c r="T35" s="766"/>
      <c r="U35" s="394"/>
      <c r="W35" s="821"/>
      <c r="BT35" s="808"/>
    </row>
    <row r="36" spans="2:72" x14ac:dyDescent="0.15">
      <c r="B36" s="832">
        <f>B35+1</f>
        <v>2022</v>
      </c>
      <c r="C36" s="830">
        <f>Cifras_Originales!C6</f>
        <v>1595.222</v>
      </c>
      <c r="D36" s="831">
        <f>Cifras_Originales!C$8/OP!C36</f>
        <v>7.9212172349679227E-2</v>
      </c>
      <c r="E36" s="830">
        <v>0</v>
      </c>
      <c r="F36" s="819">
        <f>Cifras_Originales!C22-Cifras_Originales!D22+Cifras_Originales!D17+Cifras_Originales!D18</f>
        <v>-77.448000000000008</v>
      </c>
      <c r="G36" s="829">
        <f>Cifras_en_Millones!D60/Cifras_en_Millones!D45</f>
        <v>0.15237958143141725</v>
      </c>
      <c r="H36" s="819">
        <v>32.799999999999997</v>
      </c>
      <c r="I36" s="819">
        <f>Cifras_Originales!C13+Cifras_Originales!C14</f>
        <v>-45.929000000000002</v>
      </c>
      <c r="J36" s="823" t="s">
        <v>463</v>
      </c>
      <c r="K36" s="819"/>
      <c r="L36" s="818"/>
      <c r="N36" s="822">
        <f>C36/C35-1</f>
        <v>0.13057011783933103</v>
      </c>
      <c r="O36" s="767">
        <f>D36/D35-1</f>
        <v>-0.59348106172481963</v>
      </c>
      <c r="Q36" s="766"/>
      <c r="R36" s="766"/>
      <c r="S36" s="766"/>
      <c r="T36" s="766"/>
      <c r="U36" s="394"/>
      <c r="W36" s="821"/>
      <c r="BT36" s="808"/>
    </row>
    <row r="37" spans="2:72" x14ac:dyDescent="0.15">
      <c r="B37" s="832">
        <f>B36+1</f>
        <v>2023</v>
      </c>
      <c r="C37" s="830">
        <f>Cifras_Originales!B6</f>
        <v>1658.713</v>
      </c>
      <c r="D37" s="831">
        <f>Cifras_Originales!B$8/OP!C37</f>
        <v>0.13592345390673372</v>
      </c>
      <c r="E37" s="830">
        <v>0</v>
      </c>
      <c r="F37" s="819">
        <f>Cifras_Originales!B22-Cifras_Originales!C22+Cifras_Originales!B17+Cifras_Originales!B18</f>
        <v>204.21899999999997</v>
      </c>
      <c r="G37" s="829">
        <f>Cifras_en_Millones!C60/Cifras_en_Millones!C45</f>
        <v>0.13576479040882153</v>
      </c>
      <c r="H37" s="819">
        <v>41.2</v>
      </c>
      <c r="I37" s="819">
        <f>Cifras_Originales!B13+Cifras_Originales!B14</f>
        <v>-50.671999999999997</v>
      </c>
      <c r="J37" s="823"/>
      <c r="L37" s="818"/>
      <c r="N37" s="822">
        <f>C37/C36-1</f>
        <v>3.9800729929752698E-2</v>
      </c>
      <c r="O37" s="767">
        <f>D37/D36-1</f>
        <v>0.71594150084288333</v>
      </c>
      <c r="Q37" s="766"/>
      <c r="R37" s="766"/>
      <c r="S37" s="766"/>
      <c r="T37" s="766"/>
      <c r="U37" s="394"/>
      <c r="W37" s="821"/>
      <c r="BT37" s="808"/>
    </row>
    <row r="38" spans="2:72" x14ac:dyDescent="0.15">
      <c r="B38" s="828" t="s">
        <v>462</v>
      </c>
      <c r="C38" s="824">
        <f>DCFF!H7</f>
        <v>1829.8730000769965</v>
      </c>
      <c r="D38" s="827">
        <f>DCFF!H8</f>
        <v>0.16</v>
      </c>
      <c r="E38" s="826"/>
      <c r="F38" s="824"/>
      <c r="G38" s="825"/>
      <c r="H38" s="824"/>
      <c r="I38" s="824"/>
      <c r="J38" s="823"/>
      <c r="K38" s="819"/>
      <c r="L38" s="818"/>
      <c r="N38" s="822"/>
      <c r="Q38" s="766"/>
      <c r="R38" s="766"/>
      <c r="S38" s="766"/>
      <c r="T38" s="766"/>
      <c r="U38" s="394"/>
      <c r="W38" s="821"/>
      <c r="BT38" s="808"/>
    </row>
    <row r="39" spans="2:72" x14ac:dyDescent="0.15">
      <c r="B39" s="805" t="s">
        <v>461</v>
      </c>
      <c r="C39" s="816">
        <f>(C37/C32)^(1/5)-1</f>
        <v>0.16322942816371611</v>
      </c>
      <c r="D39" s="804">
        <f>(D37/D30)^(1/7)-1</f>
        <v>3.3791141880207043E-2</v>
      </c>
      <c r="E39" s="820"/>
      <c r="F39" s="804"/>
      <c r="G39" s="804"/>
      <c r="H39" s="804"/>
      <c r="I39" s="819"/>
      <c r="J39" s="803" t="s">
        <v>460</v>
      </c>
      <c r="K39" s="819"/>
      <c r="L39" s="818"/>
      <c r="N39" s="817"/>
      <c r="Q39" s="766"/>
      <c r="R39" s="766"/>
      <c r="S39" s="766"/>
      <c r="T39" s="766"/>
      <c r="U39" s="394"/>
      <c r="W39" s="136"/>
    </row>
    <row r="40" spans="2:72" x14ac:dyDescent="0.15">
      <c r="B40" s="805" t="s">
        <v>459</v>
      </c>
      <c r="C40" s="816">
        <f>AVERAGE(N30:N37)</f>
        <v>0.19700883853563456</v>
      </c>
      <c r="D40" s="804">
        <f>AVERAGE(O31:O37)</f>
        <v>0.15737480336389911</v>
      </c>
      <c r="F40" s="804"/>
      <c r="G40" s="804"/>
      <c r="H40" s="815"/>
      <c r="I40" s="804"/>
      <c r="J40" s="814" t="s">
        <v>458</v>
      </c>
      <c r="K40" s="813">
        <f>K28+K29+K30+K33+K34+K35+K36+K39</f>
        <v>-18.030999999999949</v>
      </c>
      <c r="L40" s="812">
        <f>L28+L29+L30+L33+L34+L35+L36+L39</f>
        <v>-54.716999999999992</v>
      </c>
      <c r="N40" s="811"/>
      <c r="O40" s="806"/>
      <c r="P40" s="394"/>
      <c r="Q40" s="394"/>
      <c r="R40" s="394"/>
      <c r="S40" s="394"/>
      <c r="T40" s="394"/>
      <c r="U40" s="394"/>
    </row>
    <row r="41" spans="2:72" x14ac:dyDescent="0.15">
      <c r="B41" s="805" t="s">
        <v>457</v>
      </c>
      <c r="C41" s="804">
        <f>STDEV(C26:C37)/AVERAGE(C26:C37)</f>
        <v>0.61048711579970849</v>
      </c>
      <c r="D41" s="804">
        <f>STDEV(D26:D37)/AVERAGE(D26:D37)</f>
        <v>0.37893356751633672</v>
      </c>
      <c r="E41" s="804"/>
      <c r="F41" s="804"/>
      <c r="G41" s="804"/>
      <c r="H41" s="804"/>
      <c r="I41" s="804"/>
      <c r="J41" s="803" t="s">
        <v>456</v>
      </c>
      <c r="K41" s="810">
        <f>SUM(I33:I37)/(C37-C32)</f>
        <v>-0.22771855252989046</v>
      </c>
      <c r="L41" s="809">
        <f>(SUM(I33:I37)-SUM(H33:H37))/(C37-C32)</f>
        <v>-0.39535504841569308</v>
      </c>
      <c r="M41" s="808"/>
      <c r="N41" s="807"/>
      <c r="O41" s="806"/>
      <c r="P41" s="394"/>
      <c r="Q41" s="394"/>
      <c r="R41" s="394"/>
      <c r="S41" s="394"/>
      <c r="T41" s="394"/>
      <c r="U41" s="394"/>
    </row>
    <row r="42" spans="2:72" x14ac:dyDescent="0.15">
      <c r="B42" s="805" t="s">
        <v>455</v>
      </c>
      <c r="C42" s="804">
        <f>C37/C36-1</f>
        <v>3.9800729929752698E-2</v>
      </c>
      <c r="D42" s="804">
        <f>D37/D36-1</f>
        <v>0.71594150084288333</v>
      </c>
      <c r="E42" s="804"/>
      <c r="F42" s="804"/>
      <c r="G42" s="804"/>
      <c r="H42" s="804"/>
      <c r="I42" s="804"/>
      <c r="J42" s="803" t="s">
        <v>454</v>
      </c>
      <c r="K42" s="802">
        <f>K41/E14</f>
        <v>-1.6662721602968757</v>
      </c>
      <c r="L42" s="801">
        <f>L41/E14</f>
        <v>-2.8929092657982816</v>
      </c>
      <c r="Q42" s="766"/>
      <c r="R42" s="766"/>
      <c r="S42" s="800"/>
      <c r="T42" s="800"/>
    </row>
    <row r="43" spans="2:72" x14ac:dyDescent="0.15">
      <c r="B43" s="796" t="s">
        <v>453</v>
      </c>
      <c r="C43" s="795"/>
      <c r="D43" s="795"/>
      <c r="E43" s="795"/>
      <c r="F43" s="795"/>
      <c r="G43" s="795"/>
      <c r="H43" s="794"/>
      <c r="I43" s="787" t="s">
        <v>452</v>
      </c>
      <c r="J43" s="787"/>
      <c r="K43" s="787"/>
      <c r="L43" s="786"/>
      <c r="M43" s="776"/>
      <c r="N43" s="777"/>
    </row>
    <row r="44" spans="2:72" ht="65" customHeight="1" x14ac:dyDescent="0.15">
      <c r="B44" s="799" t="s">
        <v>451</v>
      </c>
      <c r="C44" s="798"/>
      <c r="D44" s="798"/>
      <c r="E44" s="798"/>
      <c r="F44" s="798"/>
      <c r="G44" s="798"/>
      <c r="H44" s="797"/>
      <c r="I44" s="787"/>
      <c r="J44" s="787"/>
      <c r="K44" s="787"/>
      <c r="L44" s="786"/>
      <c r="M44" s="776"/>
      <c r="N44" s="777"/>
    </row>
    <row r="45" spans="2:72" x14ac:dyDescent="0.15">
      <c r="B45" s="796" t="s">
        <v>450</v>
      </c>
      <c r="C45" s="795"/>
      <c r="D45" s="795"/>
      <c r="E45" s="795"/>
      <c r="F45" s="795"/>
      <c r="G45" s="795"/>
      <c r="H45" s="794"/>
      <c r="I45" s="787"/>
      <c r="J45" s="787"/>
      <c r="K45" s="787"/>
      <c r="L45" s="786"/>
      <c r="M45" s="776"/>
      <c r="N45" s="777"/>
    </row>
    <row r="46" spans="2:72" ht="40" customHeight="1" x14ac:dyDescent="0.15">
      <c r="B46" s="799" t="s">
        <v>449</v>
      </c>
      <c r="C46" s="798"/>
      <c r="D46" s="798"/>
      <c r="E46" s="798"/>
      <c r="F46" s="798"/>
      <c r="G46" s="798"/>
      <c r="H46" s="797"/>
      <c r="I46" s="787"/>
      <c r="J46" s="787"/>
      <c r="K46" s="787"/>
      <c r="L46" s="786"/>
      <c r="M46" s="776"/>
      <c r="N46" s="777"/>
    </row>
    <row r="47" spans="2:72" x14ac:dyDescent="0.15">
      <c r="B47" s="796" t="s">
        <v>448</v>
      </c>
      <c r="C47" s="795"/>
      <c r="D47" s="795"/>
      <c r="E47" s="795"/>
      <c r="F47" s="795"/>
      <c r="G47" s="795"/>
      <c r="H47" s="794"/>
      <c r="I47" s="787"/>
      <c r="J47" s="787"/>
      <c r="K47" s="787"/>
      <c r="L47" s="786"/>
      <c r="M47" s="776"/>
      <c r="N47" s="777"/>
    </row>
    <row r="48" spans="2:72" ht="37" customHeight="1" x14ac:dyDescent="0.15">
      <c r="B48" s="791" t="s">
        <v>447</v>
      </c>
      <c r="C48" s="790"/>
      <c r="D48" s="790"/>
      <c r="E48" s="790"/>
      <c r="F48" s="790"/>
      <c r="G48" s="790"/>
      <c r="H48" s="790"/>
      <c r="I48" s="787"/>
      <c r="J48" s="787"/>
      <c r="K48" s="787"/>
      <c r="L48" s="786"/>
      <c r="M48" s="776"/>
      <c r="N48" s="777"/>
    </row>
    <row r="49" spans="2:18" x14ac:dyDescent="0.15">
      <c r="B49" s="793" t="s">
        <v>446</v>
      </c>
      <c r="C49" s="792"/>
      <c r="D49" s="792"/>
      <c r="E49" s="792"/>
      <c r="F49" s="792"/>
      <c r="G49" s="792"/>
      <c r="H49" s="792"/>
      <c r="I49" s="787"/>
      <c r="J49" s="787"/>
      <c r="K49" s="787"/>
      <c r="L49" s="786"/>
      <c r="M49" s="776"/>
      <c r="N49" s="777"/>
    </row>
    <row r="50" spans="2:18" ht="33" customHeight="1" x14ac:dyDescent="0.15">
      <c r="B50" s="791" t="s">
        <v>445</v>
      </c>
      <c r="C50" s="790"/>
      <c r="D50" s="790"/>
      <c r="E50" s="790"/>
      <c r="F50" s="790"/>
      <c r="G50" s="790"/>
      <c r="H50" s="790"/>
      <c r="I50" s="787"/>
      <c r="J50" s="787"/>
      <c r="K50" s="787"/>
      <c r="L50" s="786"/>
      <c r="M50" s="776"/>
      <c r="N50" s="777"/>
    </row>
    <row r="51" spans="2:18" x14ac:dyDescent="0.15">
      <c r="B51" s="789" t="s">
        <v>444</v>
      </c>
      <c r="C51" s="788"/>
      <c r="D51" s="788"/>
      <c r="E51" s="788"/>
      <c r="F51" s="788"/>
      <c r="G51" s="788"/>
      <c r="H51" s="788"/>
      <c r="I51" s="787"/>
      <c r="J51" s="787"/>
      <c r="K51" s="787"/>
      <c r="L51" s="786"/>
    </row>
    <row r="52" spans="2:18" ht="13.5" customHeight="1" thickBot="1" x14ac:dyDescent="0.2">
      <c r="B52" s="785" t="s">
        <v>15</v>
      </c>
      <c r="C52" s="784" t="s">
        <v>443</v>
      </c>
      <c r="D52" s="784" t="s">
        <v>442</v>
      </c>
      <c r="E52" s="784" t="s">
        <v>441</v>
      </c>
      <c r="F52" s="784" t="s">
        <v>440</v>
      </c>
      <c r="G52" s="784" t="s">
        <v>439</v>
      </c>
      <c r="H52" s="784" t="s">
        <v>438</v>
      </c>
      <c r="I52" s="783" t="s">
        <v>437</v>
      </c>
      <c r="J52" s="782"/>
      <c r="K52" s="782"/>
      <c r="L52" s="781"/>
    </row>
    <row r="53" spans="2:18" x14ac:dyDescent="0.15">
      <c r="B53" s="780" t="s">
        <v>436</v>
      </c>
      <c r="M53" s="776"/>
      <c r="N53" s="777"/>
      <c r="O53" s="778"/>
      <c r="P53" s="777"/>
      <c r="Q53" s="776"/>
      <c r="R53" s="776"/>
    </row>
    <row r="54" spans="2:18" x14ac:dyDescent="0.15">
      <c r="B54" s="779" t="s">
        <v>435</v>
      </c>
      <c r="M54" s="776"/>
      <c r="N54" s="777"/>
      <c r="O54" s="778"/>
      <c r="P54" s="777"/>
      <c r="Q54" s="776"/>
      <c r="R54" s="776"/>
    </row>
    <row r="55" spans="2:18" x14ac:dyDescent="0.15">
      <c r="B55" s="127" t="s">
        <v>434</v>
      </c>
      <c r="C55" s="775"/>
      <c r="D55" s="775"/>
      <c r="E55" s="775"/>
      <c r="F55" s="775"/>
      <c r="G55" s="775"/>
      <c r="H55" s="775"/>
      <c r="I55" s="775"/>
      <c r="J55" s="775"/>
      <c r="K55" s="775"/>
      <c r="L55" s="775"/>
      <c r="M55" s="775"/>
    </row>
    <row r="56" spans="2:18" x14ac:dyDescent="0.15">
      <c r="B56" s="774" t="s">
        <v>433</v>
      </c>
      <c r="C56" s="773"/>
      <c r="D56" s="773"/>
      <c r="E56" s="773"/>
      <c r="F56" s="773"/>
      <c r="G56" s="773"/>
      <c r="H56" s="773"/>
      <c r="I56" s="773"/>
      <c r="J56" s="773"/>
      <c r="K56" s="773"/>
      <c r="L56" s="773"/>
      <c r="M56" s="768"/>
    </row>
    <row r="57" spans="2:18" x14ac:dyDescent="0.15">
      <c r="B57" s="772" t="s">
        <v>432</v>
      </c>
      <c r="C57" s="771"/>
      <c r="D57" s="771"/>
      <c r="E57" s="771"/>
      <c r="F57" s="771"/>
      <c r="G57" s="771"/>
      <c r="H57" s="771"/>
      <c r="I57" s="771"/>
      <c r="J57" s="771"/>
      <c r="K57" s="771"/>
      <c r="L57" s="771"/>
      <c r="M57" s="771"/>
    </row>
    <row r="58" spans="2:18" x14ac:dyDescent="0.15">
      <c r="B58" s="770" t="s">
        <v>431</v>
      </c>
      <c r="C58" s="768"/>
      <c r="D58" s="768"/>
      <c r="E58" s="768"/>
      <c r="F58" s="768"/>
      <c r="G58" s="768"/>
      <c r="H58" s="768"/>
      <c r="I58" s="768"/>
      <c r="J58" s="768"/>
      <c r="K58" s="768"/>
      <c r="L58" s="768"/>
      <c r="M58" s="768"/>
    </row>
    <row r="59" spans="2:18" x14ac:dyDescent="0.15">
      <c r="B59" s="769"/>
      <c r="C59" s="768"/>
      <c r="D59" s="768"/>
      <c r="E59" s="768"/>
      <c r="F59" s="768"/>
      <c r="G59" s="768"/>
      <c r="H59" s="768"/>
      <c r="I59" s="768"/>
      <c r="J59" s="768"/>
      <c r="K59" s="768"/>
      <c r="L59" s="768"/>
      <c r="M59" s="768"/>
    </row>
    <row r="60" spans="2:18" x14ac:dyDescent="0.15">
      <c r="B60" s="769"/>
      <c r="C60" s="768"/>
      <c r="D60" s="768"/>
      <c r="E60" s="768"/>
      <c r="F60" s="768"/>
      <c r="G60" s="768"/>
      <c r="H60" s="768"/>
      <c r="I60" s="768"/>
      <c r="J60" s="768"/>
      <c r="K60" s="768"/>
      <c r="L60" s="768"/>
      <c r="M60" s="768"/>
    </row>
  </sheetData>
  <mergeCells count="34">
    <mergeCell ref="B6:C6"/>
    <mergeCell ref="D6:E6"/>
    <mergeCell ref="F6:H6"/>
    <mergeCell ref="I6:J6"/>
    <mergeCell ref="K6:L6"/>
    <mergeCell ref="E2:J2"/>
    <mergeCell ref="B3:C4"/>
    <mergeCell ref="D3:L3"/>
    <mergeCell ref="D4:L5"/>
    <mergeCell ref="B5:C5"/>
    <mergeCell ref="F7:G7"/>
    <mergeCell ref="F13:H13"/>
    <mergeCell ref="B16:C16"/>
    <mergeCell ref="I20:K20"/>
    <mergeCell ref="B21:G22"/>
    <mergeCell ref="H21:H22"/>
    <mergeCell ref="I21:K23"/>
    <mergeCell ref="B44:H44"/>
    <mergeCell ref="B51:H51"/>
    <mergeCell ref="B47:H47"/>
    <mergeCell ref="B48:H48"/>
    <mergeCell ref="B45:H45"/>
    <mergeCell ref="B46:H46"/>
    <mergeCell ref="B49:H49"/>
    <mergeCell ref="B50:H50"/>
    <mergeCell ref="I52:L52"/>
    <mergeCell ref="B56:L56"/>
    <mergeCell ref="L21:L22"/>
    <mergeCell ref="B23:G23"/>
    <mergeCell ref="L23:L24"/>
    <mergeCell ref="B24:G24"/>
    <mergeCell ref="J25:L25"/>
    <mergeCell ref="B43:H43"/>
    <mergeCell ref="I43:L51"/>
  </mergeCells>
  <printOptions horizontalCentered="1" verticalCentered="1"/>
  <pageMargins left="0" right="0" top="0.19685039370078741" bottom="0.19685039370078741" header="0" footer="0"/>
  <pageSetup paperSize="134" scale="98"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AD37"/>
  <sheetViews>
    <sheetView showGridLines="0" zoomScale="82" zoomScaleNormal="115" workbookViewId="0">
      <selection activeCell="H32" sqref="H32"/>
    </sheetView>
  </sheetViews>
  <sheetFormatPr baseColWidth="10" defaultColWidth="11.5" defaultRowHeight="13" x14ac:dyDescent="0.15"/>
  <cols>
    <col min="1" max="1" width="2.1640625" customWidth="1"/>
    <col min="2" max="2" width="29" bestFit="1" customWidth="1"/>
    <col min="3" max="3" width="15.5" style="4" customWidth="1"/>
    <col min="4" max="4" width="15.5" customWidth="1"/>
    <col min="5" max="5" width="15.5" hidden="1" customWidth="1"/>
    <col min="6" max="6" width="15.5" customWidth="1"/>
    <col min="7" max="7" width="15.5" hidden="1" customWidth="1"/>
    <col min="8" max="8" width="15.5" customWidth="1"/>
    <col min="9" max="9" width="15.5" hidden="1" customWidth="1"/>
    <col min="10" max="10" width="15.5" customWidth="1"/>
    <col min="11" max="11" width="1.5" customWidth="1"/>
    <col min="12" max="12" width="29.5" hidden="1" customWidth="1"/>
    <col min="13" max="13" width="0" hidden="1" customWidth="1"/>
    <col min="14" max="14" width="10.6640625" hidden="1" customWidth="1"/>
    <col min="15" max="20" width="0" hidden="1" customWidth="1"/>
    <col min="21" max="21" width="2.83203125" hidden="1" customWidth="1"/>
    <col min="22" max="22" width="29.5" hidden="1" customWidth="1"/>
    <col min="23" max="23" width="13.1640625" hidden="1" customWidth="1"/>
    <col min="24" max="30" width="0" hidden="1" customWidth="1"/>
  </cols>
  <sheetData>
    <row r="1" spans="2:30" ht="7.5" customHeight="1" thickBot="1" x14ac:dyDescent="0.2"/>
    <row r="2" spans="2:30" ht="20" x14ac:dyDescent="0.2">
      <c r="B2" s="666" t="s">
        <v>8</v>
      </c>
      <c r="C2" s="667"/>
      <c r="D2" s="667"/>
      <c r="E2" s="667"/>
      <c r="F2" s="667"/>
      <c r="G2" s="667"/>
      <c r="H2" s="668"/>
      <c r="I2" s="190"/>
      <c r="J2" s="190"/>
      <c r="L2" s="672" t="s">
        <v>9</v>
      </c>
      <c r="M2" s="672"/>
      <c r="N2" s="113" t="s">
        <v>10</v>
      </c>
      <c r="O2" s="112"/>
      <c r="P2" s="112"/>
      <c r="Q2" s="112"/>
      <c r="R2" s="112"/>
      <c r="S2" s="112"/>
      <c r="T2" s="112"/>
      <c r="U2" s="112"/>
      <c r="V2" s="112"/>
      <c r="W2" s="112"/>
      <c r="X2" s="113" t="s">
        <v>10</v>
      </c>
      <c r="Y2" s="112"/>
      <c r="Z2" s="112"/>
      <c r="AA2" s="112"/>
      <c r="AB2" s="112"/>
      <c r="AC2" s="112"/>
      <c r="AD2" s="112"/>
    </row>
    <row r="3" spans="2:30" x14ac:dyDescent="0.15">
      <c r="B3" s="88"/>
      <c r="C3" s="22">
        <v>2023</v>
      </c>
      <c r="D3" s="22">
        <f>C3-1</f>
        <v>2022</v>
      </c>
      <c r="E3" s="22" t="s">
        <v>11</v>
      </c>
      <c r="F3" s="22" t="s">
        <v>12</v>
      </c>
      <c r="G3" s="22" t="s">
        <v>13</v>
      </c>
      <c r="H3" s="24" t="s">
        <v>14</v>
      </c>
      <c r="I3" s="13"/>
      <c r="J3" s="13"/>
      <c r="K3" s="71"/>
      <c r="L3" s="115" t="s">
        <v>15</v>
      </c>
      <c r="M3" s="116" t="s">
        <v>16</v>
      </c>
      <c r="N3" s="116" t="s">
        <v>17</v>
      </c>
      <c r="O3" s="116" t="s">
        <v>18</v>
      </c>
      <c r="P3" s="116" t="s">
        <v>19</v>
      </c>
      <c r="Q3" s="116">
        <v>2025</v>
      </c>
      <c r="R3" s="116">
        <v>2026</v>
      </c>
      <c r="S3" s="116">
        <v>2027</v>
      </c>
      <c r="T3" s="116">
        <v>2028</v>
      </c>
      <c r="U3" s="112"/>
      <c r="V3" s="116" t="s">
        <v>20</v>
      </c>
      <c r="W3" s="116" t="s">
        <v>16</v>
      </c>
      <c r="X3" s="116" t="s">
        <v>17</v>
      </c>
      <c r="Y3" s="116" t="s">
        <v>18</v>
      </c>
      <c r="Z3" s="116" t="s">
        <v>19</v>
      </c>
      <c r="AA3" s="116">
        <v>2025</v>
      </c>
      <c r="AB3" s="116">
        <v>2026</v>
      </c>
      <c r="AC3" s="116">
        <v>2027</v>
      </c>
      <c r="AD3" s="116">
        <v>2028</v>
      </c>
    </row>
    <row r="4" spans="2:30" x14ac:dyDescent="0.15">
      <c r="B4" s="89" t="s">
        <v>21</v>
      </c>
      <c r="C4" s="1">
        <v>1398925</v>
      </c>
      <c r="D4" s="1">
        <v>1394026</v>
      </c>
      <c r="E4" s="7"/>
      <c r="F4" s="12">
        <f>$C$4/$C$14</f>
        <v>0.84337977697166422</v>
      </c>
      <c r="G4" s="3" t="s">
        <v>22</v>
      </c>
      <c r="H4" s="541">
        <f>C4/D4-1</f>
        <v>3.5142816561528623E-3</v>
      </c>
      <c r="I4" s="191"/>
      <c r="J4" s="401" t="str">
        <f>IF(C4="","",IF(F4=0,"NA",TEXT(F4,"0%"))&amp;"; "&amp;IF(G4=0,"NA",TEXT(G4,"0.0%"))&amp;"; "&amp;IF(H4=0,"NA",TEXT(H4,"0%")))</f>
        <v>84%; -; 0%</v>
      </c>
      <c r="L4" s="114" t="str">
        <f>B17</f>
        <v>Coolers &amp; Equipment</v>
      </c>
      <c r="M4">
        <v>551861</v>
      </c>
      <c r="N4" s="1">
        <v>612525</v>
      </c>
      <c r="O4" s="1">
        <v>597511</v>
      </c>
      <c r="P4" s="91"/>
      <c r="Q4" s="91"/>
      <c r="R4" s="91"/>
      <c r="S4" s="91"/>
      <c r="T4" s="91"/>
      <c r="U4" s="112"/>
      <c r="V4" s="114" t="str">
        <f>B4</f>
        <v>United States</v>
      </c>
      <c r="W4" s="399">
        <v>1277177</v>
      </c>
      <c r="X4" s="1">
        <v>1394026</v>
      </c>
      <c r="Y4" s="1">
        <v>1398925</v>
      </c>
      <c r="AA4" s="278"/>
      <c r="AB4" s="278"/>
      <c r="AC4" s="278"/>
      <c r="AD4" s="278"/>
    </row>
    <row r="5" spans="2:30" x14ac:dyDescent="0.15">
      <c r="B5" s="89" t="s">
        <v>23</v>
      </c>
      <c r="C5" s="1">
        <v>259788</v>
      </c>
      <c r="D5" s="1">
        <v>201196</v>
      </c>
      <c r="E5" s="7"/>
      <c r="F5" s="12">
        <f>$C$5/$C$14</f>
        <v>0.15662022302833584</v>
      </c>
      <c r="G5" s="3" t="s">
        <v>22</v>
      </c>
      <c r="H5" s="541">
        <f>C5/D5-1</f>
        <v>0.29121851329052273</v>
      </c>
      <c r="I5" s="191"/>
      <c r="J5" s="401" t="str">
        <f>IF(C5="","",IF(F5=0,"NA",TEXT(F5,"0%"))&amp;"; "&amp;IF(G5=0,"NA",TEXT(G5,"0.0%"))&amp;"; "&amp;IF(H5=0,"NA",TEXT(H5,"0%")))</f>
        <v>16%; -; 29%</v>
      </c>
      <c r="L5" s="114" t="str">
        <f t="shared" ref="L5:L8" si="0">B18</f>
        <v>Drinkware</v>
      </c>
      <c r="M5">
        <v>832428</v>
      </c>
      <c r="N5" s="1">
        <v>947221</v>
      </c>
      <c r="O5" s="1">
        <v>1022982</v>
      </c>
      <c r="P5" s="91"/>
      <c r="Q5" s="91"/>
      <c r="R5" s="91"/>
      <c r="S5" s="91"/>
      <c r="T5" s="91"/>
      <c r="U5" s="112"/>
      <c r="V5" s="114" t="str">
        <f t="shared" ref="V5:V8" si="1">B5</f>
        <v>Internacional</v>
      </c>
      <c r="W5" s="400">
        <v>133812</v>
      </c>
      <c r="X5" s="1">
        <v>201196</v>
      </c>
      <c r="Y5" s="1">
        <v>259788</v>
      </c>
      <c r="AA5" s="278"/>
      <c r="AB5" s="278"/>
      <c r="AC5" s="278"/>
      <c r="AD5" s="278"/>
    </row>
    <row r="6" spans="2:30" hidden="1" x14ac:dyDescent="0.15">
      <c r="B6" s="89"/>
      <c r="C6" s="1"/>
      <c r="D6" s="1"/>
      <c r="E6" s="7"/>
      <c r="F6" s="12"/>
      <c r="G6" s="12"/>
      <c r="H6" s="92"/>
      <c r="I6" s="191"/>
      <c r="J6" s="283" t="str">
        <f>IF(C6="","",IF(F6=0,"NA",TEXT(F6,"0%"))&amp;"; "&amp;IF(G6=0,"NA",TEXT(G6,"0.0%"))&amp;"; "&amp;IF(H6=0,"NA",TEXT(H6,"0%")))</f>
        <v/>
      </c>
      <c r="L6" s="114" t="str">
        <f t="shared" si="0"/>
        <v>Others</v>
      </c>
      <c r="M6">
        <v>26700</v>
      </c>
      <c r="N6" s="1">
        <v>35476</v>
      </c>
      <c r="O6" s="1">
        <v>38220</v>
      </c>
      <c r="P6" s="76"/>
      <c r="Q6" s="76"/>
      <c r="R6" s="76"/>
      <c r="S6" s="76"/>
      <c r="T6" s="76"/>
      <c r="V6" s="114">
        <f t="shared" si="1"/>
        <v>0</v>
      </c>
      <c r="W6" s="277"/>
      <c r="X6" s="280"/>
      <c r="Y6" s="184"/>
      <c r="Z6" s="184"/>
      <c r="AA6" s="184"/>
      <c r="AB6" s="184"/>
      <c r="AC6" s="184"/>
      <c r="AD6" s="184"/>
    </row>
    <row r="7" spans="2:30" hidden="1" x14ac:dyDescent="0.15">
      <c r="B7" s="89"/>
      <c r="C7" s="90"/>
      <c r="D7" s="90"/>
      <c r="E7" s="7"/>
      <c r="F7" s="12"/>
      <c r="G7" s="91"/>
      <c r="H7" s="92"/>
      <c r="I7" s="191"/>
      <c r="J7" s="283" t="str">
        <f>IF(C7="","",IF(F7=0,"NA",TEXT(F7,"0%"))&amp;"; "&amp;IF(G7=0,"NA",TEXT(G7,"0.0%"))&amp;"; "&amp;IF(H7=0,"NA",TEXT(H7,"0%")))</f>
        <v/>
      </c>
      <c r="L7" s="114">
        <f t="shared" si="0"/>
        <v>0</v>
      </c>
      <c r="M7" s="117"/>
      <c r="N7" s="76"/>
      <c r="O7" s="76"/>
      <c r="P7" s="76"/>
      <c r="Q7" s="76"/>
      <c r="R7" s="76"/>
      <c r="S7" s="76"/>
      <c r="T7" s="76"/>
      <c r="V7" s="114">
        <f t="shared" si="1"/>
        <v>0</v>
      </c>
      <c r="W7" s="277"/>
      <c r="X7" s="184"/>
      <c r="Y7" s="184"/>
      <c r="Z7" s="184"/>
      <c r="AA7" s="184"/>
      <c r="AB7" s="184"/>
      <c r="AC7" s="184"/>
      <c r="AD7" s="184"/>
    </row>
    <row r="8" spans="2:30" hidden="1" x14ac:dyDescent="0.15">
      <c r="B8" s="89"/>
      <c r="C8" s="1"/>
      <c r="D8" s="1"/>
      <c r="E8" s="7"/>
      <c r="F8" s="12"/>
      <c r="G8" s="12"/>
      <c r="H8" s="92"/>
      <c r="I8" s="191"/>
      <c r="J8" s="283" t="str">
        <f>IF(C8="","",IF(F8=0,"NA",TEXT(F8,"0%"))&amp;"; "&amp;IF(G8=0,"NA",TEXT(G8,"0.0%"))&amp;"; "&amp;IF(H8=0,"NA",TEXT(H8,"0%")))</f>
        <v/>
      </c>
      <c r="L8" s="110">
        <f t="shared" si="0"/>
        <v>0</v>
      </c>
      <c r="M8" s="118"/>
      <c r="N8" s="108"/>
      <c r="O8" s="108"/>
      <c r="P8" s="108"/>
      <c r="Q8" s="108"/>
      <c r="R8" s="108"/>
      <c r="S8" s="108"/>
      <c r="T8" s="108"/>
      <c r="V8" s="110">
        <f t="shared" si="1"/>
        <v>0</v>
      </c>
      <c r="W8" s="275"/>
      <c r="X8" s="279"/>
      <c r="Y8" s="279"/>
      <c r="Z8" s="279"/>
      <c r="AA8" s="279"/>
      <c r="AB8" s="279"/>
      <c r="AC8" s="279"/>
      <c r="AD8" s="279"/>
    </row>
    <row r="9" spans="2:30" hidden="1" x14ac:dyDescent="0.15">
      <c r="B9" s="84"/>
      <c r="C9" s="1"/>
      <c r="D9" s="77"/>
      <c r="E9" s="82"/>
      <c r="F9" s="12"/>
      <c r="G9" s="12"/>
      <c r="H9" s="92"/>
      <c r="I9" s="191"/>
      <c r="J9" s="283" t="str">
        <f t="shared" ref="J9:J13" si="2">IF(C9="","",IF(F9=0,"NA",TEXT(F9,"0%"))&amp;"; "&amp;IF(G9=0,"NA",TEXT(G9,"0.0%"))&amp;"; "&amp;IF(H9=0,"NA",TEXT(H9,"0%")))</f>
        <v/>
      </c>
      <c r="L9" s="107" t="s">
        <v>24</v>
      </c>
      <c r="M9" s="105"/>
      <c r="N9" s="105"/>
      <c r="O9" s="105"/>
      <c r="P9" s="105"/>
      <c r="Q9" s="105"/>
      <c r="R9" s="105"/>
      <c r="S9" s="105"/>
      <c r="T9" s="105"/>
      <c r="V9" s="123" t="s">
        <v>25</v>
      </c>
      <c r="W9" s="276">
        <f>(W4*W12+W5*W13+W6*W14+W7*W15+W8*W16)/SUM(W12:W16)+W10</f>
        <v>1176876.8764763211</v>
      </c>
      <c r="X9" s="276" t="e">
        <f>(#REF!*#REF!+#REF!*#REF!+X6*X14+X7*X15+X8*X16)/SUM(X12:X16)+X10</f>
        <v>#REF!</v>
      </c>
      <c r="Y9" s="276">
        <f>(X4*X12+X5*X13+Y6*Y14+Y7*Y15+Y8*Y16)/SUM(Y12:Y16)+Y10</f>
        <v>1243581.2593735352</v>
      </c>
      <c r="Z9" s="276" t="e">
        <f>(Y4*Y12+Y5*Y13+Z6*Z14+Z7*Z15+Z8*Z16)/SUM(Z12:Z16)+Z10</f>
        <v>#DIV/0!</v>
      </c>
      <c r="AA9" s="276" t="e">
        <f t="shared" ref="AA9:AD9" si="3">(AA4*AA12+AA5*AA13+AA6*AA14+AA7*AA15+AA8*AA16)/SUM(AA12:AA16)+AA10</f>
        <v>#DIV/0!</v>
      </c>
      <c r="AB9" s="276" t="e">
        <f t="shared" si="3"/>
        <v>#DIV/0!</v>
      </c>
      <c r="AC9" s="276" t="e">
        <f t="shared" si="3"/>
        <v>#DIV/0!</v>
      </c>
      <c r="AD9" s="276" t="e">
        <f t="shared" si="3"/>
        <v>#DIV/0!</v>
      </c>
    </row>
    <row r="10" spans="2:30" hidden="1" x14ac:dyDescent="0.15">
      <c r="B10" s="84"/>
      <c r="C10" s="77"/>
      <c r="D10" s="77"/>
      <c r="E10" s="7"/>
      <c r="F10" s="12"/>
      <c r="G10" s="12"/>
      <c r="H10" s="92"/>
      <c r="I10" s="191"/>
      <c r="J10" s="283" t="str">
        <f t="shared" si="2"/>
        <v/>
      </c>
      <c r="L10" s="25" t="str">
        <f>B17</f>
        <v>Coolers &amp; Equipment</v>
      </c>
      <c r="N10" s="12">
        <f>$D$17/$D$27</f>
        <v>0.3839747696558849</v>
      </c>
      <c r="O10" s="12">
        <f>$C$17/$C$27</f>
        <v>0.36022566893730257</v>
      </c>
      <c r="P10" s="14"/>
      <c r="Q10" s="14"/>
      <c r="R10" s="14"/>
      <c r="S10" s="14"/>
      <c r="T10" s="14"/>
      <c r="V10" s="122" t="s">
        <v>26</v>
      </c>
      <c r="W10" s="124">
        <f>(-6200-18752)/274515</f>
        <v>-9.0894850918893322E-2</v>
      </c>
      <c r="X10" s="124">
        <f>(-6143-21914)/365817</f>
        <v>-7.6696818354532459E-2</v>
      </c>
      <c r="Y10" s="124">
        <f>(-7207-26251)/394328</f>
        <v>-8.4848146720496648E-2</v>
      </c>
      <c r="Z10" s="124">
        <v>-0.1</v>
      </c>
      <c r="AA10" s="124">
        <v>-0.1</v>
      </c>
      <c r="AB10" s="124">
        <v>-0.1</v>
      </c>
      <c r="AC10" s="124">
        <v>-0.1</v>
      </c>
      <c r="AD10" s="124">
        <v>-0.1</v>
      </c>
    </row>
    <row r="11" spans="2:30" hidden="1" x14ac:dyDescent="0.15">
      <c r="B11" s="84"/>
      <c r="C11" s="1"/>
      <c r="D11" s="77"/>
      <c r="E11" s="7"/>
      <c r="F11" s="12"/>
      <c r="G11" s="12"/>
      <c r="H11" s="92"/>
      <c r="I11" s="191"/>
      <c r="J11" s="283" t="str">
        <f t="shared" si="2"/>
        <v/>
      </c>
      <c r="L11" s="25" t="str">
        <f t="shared" ref="L11:L13" si="4">B18</f>
        <v>Drinkware</v>
      </c>
      <c r="N11" s="12">
        <f>$D$18/$D$27</f>
        <v>0.59378631939629722</v>
      </c>
      <c r="O11" s="12">
        <f>$C$18/$C$27</f>
        <v>0.61673237021715033</v>
      </c>
      <c r="P11" s="14"/>
      <c r="Q11" s="14"/>
      <c r="R11" s="14"/>
      <c r="S11" s="14"/>
      <c r="T11" s="14"/>
      <c r="V11" s="111" t="s">
        <v>24</v>
      </c>
    </row>
    <row r="12" spans="2:30" hidden="1" x14ac:dyDescent="0.15">
      <c r="B12" s="84"/>
      <c r="C12" s="1"/>
      <c r="D12" s="77"/>
      <c r="E12" s="7"/>
      <c r="F12" s="12"/>
      <c r="G12" s="12"/>
      <c r="H12" s="92"/>
      <c r="I12" s="191"/>
      <c r="J12" s="283" t="str">
        <f t="shared" si="2"/>
        <v/>
      </c>
      <c r="L12" s="25" t="str">
        <f t="shared" si="4"/>
        <v>Others</v>
      </c>
      <c r="N12" s="12">
        <f>$D$19/$D$27</f>
        <v>2.2238910947817922E-2</v>
      </c>
      <c r="O12" s="12">
        <f>$C$19/$C$27</f>
        <v>2.3041960845547119E-2</v>
      </c>
      <c r="P12" s="14"/>
      <c r="Q12" s="14"/>
      <c r="R12" s="14"/>
      <c r="S12" s="14"/>
      <c r="T12" s="14"/>
      <c r="V12" s="25" t="str">
        <f>V4</f>
        <v>United States</v>
      </c>
      <c r="W12" s="12">
        <f>1277177/1410989</f>
        <v>0.90516439178476937</v>
      </c>
      <c r="X12" s="76">
        <f>$D$4/$D$14</f>
        <v>0.87387586179227716</v>
      </c>
      <c r="Y12" s="12">
        <f>$C$4/C$14</f>
        <v>0.84337977697166422</v>
      </c>
      <c r="AA12" s="76"/>
      <c r="AB12" s="76"/>
      <c r="AC12" s="76"/>
      <c r="AD12" s="76"/>
    </row>
    <row r="13" spans="2:30" hidden="1" x14ac:dyDescent="0.15">
      <c r="B13" s="83"/>
      <c r="C13" s="85"/>
      <c r="D13" s="85"/>
      <c r="E13" s="7"/>
      <c r="F13" s="12"/>
      <c r="G13" s="86"/>
      <c r="H13" s="87"/>
      <c r="I13" s="192"/>
      <c r="J13" s="283" t="str">
        <f t="shared" si="2"/>
        <v/>
      </c>
      <c r="L13" s="25">
        <f t="shared" si="4"/>
        <v>0</v>
      </c>
      <c r="M13" s="184"/>
      <c r="N13" s="14"/>
      <c r="O13" s="14"/>
      <c r="P13" s="14"/>
      <c r="Q13" s="14"/>
      <c r="R13" s="14"/>
      <c r="S13" s="14"/>
      <c r="T13" s="14"/>
      <c r="V13" s="25" t="str">
        <f>V5</f>
        <v>Internacional</v>
      </c>
      <c r="W13" s="12">
        <f>122812/1410989</f>
        <v>8.7039657998751227E-2</v>
      </c>
      <c r="X13" s="76">
        <f>$D$5/$D$14</f>
        <v>0.12612413820772281</v>
      </c>
      <c r="Y13" s="12">
        <f>$C$5/$C$14</f>
        <v>0.15662022302833584</v>
      </c>
      <c r="AA13" s="76"/>
      <c r="AB13" s="76"/>
      <c r="AC13" s="76"/>
      <c r="AD13" s="76"/>
    </row>
    <row r="14" spans="2:30" x14ac:dyDescent="0.15">
      <c r="B14" s="26" t="s">
        <v>27</v>
      </c>
      <c r="C14" s="59">
        <f>SUM(C4:C12)</f>
        <v>1658713</v>
      </c>
      <c r="D14" s="59">
        <f>SUM(D4:D12)</f>
        <v>1595222</v>
      </c>
      <c r="E14" s="40">
        <v>225458</v>
      </c>
      <c r="F14" s="23">
        <f>C14/SUM($C$4:$C$13)</f>
        <v>1</v>
      </c>
      <c r="G14" s="73">
        <f>E14/C14</f>
        <v>0.13592345390673372</v>
      </c>
      <c r="H14" s="27">
        <f>C14/D14-1</f>
        <v>3.9800729929752698E-2</v>
      </c>
      <c r="I14" s="192"/>
      <c r="J14" s="192"/>
      <c r="L14" s="110">
        <f>B21</f>
        <v>0</v>
      </c>
      <c r="M14" s="275"/>
      <c r="N14" s="275"/>
      <c r="O14" s="275"/>
      <c r="P14" s="275"/>
      <c r="Q14" s="275"/>
      <c r="R14" s="275"/>
      <c r="S14" s="275"/>
      <c r="T14" s="275"/>
      <c r="V14" s="25">
        <f>V6</f>
        <v>0</v>
      </c>
      <c r="W14" s="12"/>
      <c r="X14" s="76"/>
      <c r="Y14" s="76"/>
      <c r="Z14" s="76"/>
      <c r="AA14" s="76"/>
      <c r="AB14" s="76"/>
      <c r="AC14" s="76"/>
      <c r="AD14" s="76"/>
    </row>
    <row r="15" spans="2:30" ht="22.75" customHeight="1" x14ac:dyDescent="0.2">
      <c r="B15" s="669" t="s">
        <v>28</v>
      </c>
      <c r="C15" s="670"/>
      <c r="D15" s="670"/>
      <c r="E15" s="670"/>
      <c r="F15" s="670"/>
      <c r="G15" s="670"/>
      <c r="H15" s="671"/>
      <c r="I15" s="190"/>
      <c r="J15" s="190"/>
      <c r="M15" s="5" t="e">
        <f>SUM(#REF!)</f>
        <v>#REF!</v>
      </c>
      <c r="N15" s="5">
        <f>SUM(N10:N14)</f>
        <v>1</v>
      </c>
      <c r="O15" s="5">
        <f>SUM(O10:O14)</f>
        <v>1</v>
      </c>
      <c r="P15" s="5">
        <f t="shared" ref="P15:T15" si="5">SUM(P10:P14)</f>
        <v>0</v>
      </c>
      <c r="Q15" s="5">
        <f t="shared" si="5"/>
        <v>0</v>
      </c>
      <c r="R15" s="5">
        <f t="shared" si="5"/>
        <v>0</v>
      </c>
      <c r="S15" s="5">
        <f t="shared" si="5"/>
        <v>0</v>
      </c>
      <c r="T15" s="5">
        <f t="shared" si="5"/>
        <v>0</v>
      </c>
      <c r="V15" s="25">
        <f>V7</f>
        <v>0</v>
      </c>
      <c r="W15" s="12"/>
      <c r="X15" s="12"/>
      <c r="Y15" s="12"/>
      <c r="Z15" s="12"/>
      <c r="AA15" s="12"/>
      <c r="AB15" s="12"/>
      <c r="AC15" s="12"/>
      <c r="AD15" s="12"/>
    </row>
    <row r="16" spans="2:30" x14ac:dyDescent="0.15">
      <c r="B16" s="26"/>
      <c r="C16" s="22">
        <f>C3</f>
        <v>2023</v>
      </c>
      <c r="D16" s="22">
        <f>C16-1</f>
        <v>2022</v>
      </c>
      <c r="E16" s="22" t="s">
        <v>29</v>
      </c>
      <c r="F16" s="22" t="s">
        <v>12</v>
      </c>
      <c r="G16" s="22" t="s">
        <v>13</v>
      </c>
      <c r="H16" s="24" t="s">
        <v>14</v>
      </c>
      <c r="I16" s="13"/>
      <c r="J16" s="13"/>
      <c r="K16" s="71"/>
      <c r="N16" s="119" t="e">
        <f>N15/M15-1</f>
        <v>#REF!</v>
      </c>
      <c r="O16" s="119">
        <f t="shared" ref="O16:T16" si="6">O15/N15-1</f>
        <v>0</v>
      </c>
      <c r="P16" s="119">
        <f t="shared" si="6"/>
        <v>-1</v>
      </c>
      <c r="Q16" s="119" t="e">
        <f t="shared" si="6"/>
        <v>#DIV/0!</v>
      </c>
      <c r="R16" s="119" t="e">
        <f t="shared" si="6"/>
        <v>#DIV/0!</v>
      </c>
      <c r="S16" s="119" t="e">
        <f t="shared" si="6"/>
        <v>#DIV/0!</v>
      </c>
      <c r="T16" s="119" t="e">
        <f t="shared" si="6"/>
        <v>#DIV/0!</v>
      </c>
      <c r="V16" s="120">
        <f>V8</f>
        <v>0</v>
      </c>
      <c r="W16" s="109"/>
      <c r="X16" s="108"/>
      <c r="Y16" s="108"/>
      <c r="Z16" s="108"/>
      <c r="AA16" s="108"/>
      <c r="AB16" s="108"/>
      <c r="AC16" s="108"/>
      <c r="AD16" s="108"/>
    </row>
    <row r="17" spans="2:30" x14ac:dyDescent="0.15">
      <c r="B17" s="93" t="s">
        <v>30</v>
      </c>
      <c r="C17" s="1">
        <v>597511</v>
      </c>
      <c r="D17" s="1">
        <v>612525</v>
      </c>
      <c r="E17" s="72"/>
      <c r="F17" s="12">
        <f>$C$17/$C$27</f>
        <v>0.36022566893730257</v>
      </c>
      <c r="G17" s="3" t="s">
        <v>22</v>
      </c>
      <c r="H17" s="542">
        <f>C17/D17-1</f>
        <v>-2.4511652585608723E-2</v>
      </c>
      <c r="I17" s="191"/>
      <c r="J17" s="401" t="str">
        <f>IF(C17="","",IF(F17=0,"NA",TEXT(F17,"0%"))&amp;"; "&amp;IF(G17=0,"NA",TEXT(G17,"0.0%"))&amp;"; "&amp;IF(H17=0,"NA",TEXT(H17,"0%")))</f>
        <v>36%; -; -2%</v>
      </c>
      <c r="K17" s="7"/>
      <c r="W17" s="121">
        <f>SUM(W12:W16)</f>
        <v>0.99220404978352061</v>
      </c>
      <c r="X17" s="121">
        <f>SUM(X12:X16)</f>
        <v>1</v>
      </c>
      <c r="Y17" s="121">
        <f t="shared" ref="Y17:AD17" si="7">SUM(Y12:Y16)</f>
        <v>1</v>
      </c>
      <c r="Z17" s="121">
        <f t="shared" si="7"/>
        <v>0</v>
      </c>
      <c r="AA17" s="121">
        <f t="shared" si="7"/>
        <v>0</v>
      </c>
      <c r="AB17" s="121">
        <f t="shared" si="7"/>
        <v>0</v>
      </c>
      <c r="AC17" s="121">
        <f t="shared" si="7"/>
        <v>0</v>
      </c>
      <c r="AD17" s="121">
        <f t="shared" si="7"/>
        <v>0</v>
      </c>
    </row>
    <row r="18" spans="2:30" x14ac:dyDescent="0.15">
      <c r="B18" s="89" t="s">
        <v>31</v>
      </c>
      <c r="C18" s="1">
        <v>1022982</v>
      </c>
      <c r="D18" s="1">
        <v>947221</v>
      </c>
      <c r="E18" s="72"/>
      <c r="F18" s="12">
        <f>$C$18/$C$27</f>
        <v>0.61673237021715033</v>
      </c>
      <c r="G18" s="3" t="s">
        <v>22</v>
      </c>
      <c r="H18" s="542">
        <f>C18/D18-1</f>
        <v>7.9982390593114072E-2</v>
      </c>
      <c r="I18" s="191"/>
      <c r="J18" s="401" t="str">
        <f>IF(C18="","",IF(F18=0,"NA",TEXT(F18,"0%"))&amp;"; "&amp;IF(G18=0,"NA",TEXT(G18,"0.0%"))&amp;"; "&amp;IF(H18=0,"NA",TEXT(H18,"0%")))</f>
        <v>62%; -; 8%</v>
      </c>
      <c r="K18" s="7"/>
      <c r="L18" s="71"/>
    </row>
    <row r="19" spans="2:30" x14ac:dyDescent="0.15">
      <c r="B19" s="89" t="s">
        <v>32</v>
      </c>
      <c r="C19" s="1">
        <v>38220</v>
      </c>
      <c r="D19" s="1">
        <v>35476</v>
      </c>
      <c r="E19" s="72"/>
      <c r="F19" s="12">
        <f>$C$19/$C$27</f>
        <v>2.3041960845547119E-2</v>
      </c>
      <c r="G19" s="3" t="s">
        <v>22</v>
      </c>
      <c r="H19" s="543">
        <f>C19/D19-1</f>
        <v>7.7348066298342566E-2</v>
      </c>
      <c r="I19" s="544"/>
      <c r="J19" s="401" t="str">
        <f>IF(C19="","",IF(F19=0,"NA",TEXT(F19,"0%"))&amp;"; "&amp;IF(G19=0,"NA",TEXT(G19,"0.0%"))&amp;"; "&amp;IF(H19=0,"NA",TEXT(H19,"0%")))</f>
        <v>2%; -; 8%</v>
      </c>
      <c r="K19" s="7"/>
    </row>
    <row r="20" spans="2:30" hidden="1" x14ac:dyDescent="0.15">
      <c r="B20" s="89"/>
      <c r="C20" s="1"/>
      <c r="D20" s="1"/>
      <c r="E20" s="72"/>
      <c r="F20" s="94"/>
      <c r="G20" s="12"/>
      <c r="H20" s="92"/>
      <c r="I20" s="191"/>
      <c r="J20" s="283" t="str">
        <f>IF(C20="","",IF(F20=0,"NA",TEXT(F20,"0%"))&amp;"; "&amp;IF(G20=0,"NA",TEXT(G20,"0.0%"))&amp;"; "&amp;IF(H20=0,"NA",TEXT(H20,"0%")))</f>
        <v/>
      </c>
      <c r="K20" s="7"/>
    </row>
    <row r="21" spans="2:30" hidden="1" x14ac:dyDescent="0.15">
      <c r="B21" s="89"/>
      <c r="C21" s="1"/>
      <c r="D21" s="1"/>
      <c r="E21" s="72"/>
      <c r="F21" s="12"/>
      <c r="G21" s="12"/>
      <c r="H21" s="92"/>
      <c r="I21" s="191"/>
      <c r="J21" s="283" t="str">
        <f>IF(C21="","",IF(F21=0,"NA",TEXT(F21,"0%"))&amp;"; "&amp;IF(G21=0,"NA",TEXT(G21,"0.0%"))&amp;"; "&amp;IF(H21=0,"NA",TEXT(H21,"0%")))</f>
        <v/>
      </c>
      <c r="K21" s="7"/>
    </row>
    <row r="22" spans="2:30" hidden="1" x14ac:dyDescent="0.15">
      <c r="B22" s="89"/>
      <c r="C22" s="1"/>
      <c r="D22" s="1"/>
      <c r="E22" s="72"/>
      <c r="F22" s="12"/>
      <c r="G22" s="12"/>
      <c r="H22" s="92"/>
      <c r="I22" s="191"/>
      <c r="J22" s="283" t="str">
        <f t="shared" ref="J22:J26" si="8">IF(C22="","",IF(F22=0,"NA",TEXT(F22,"0%"))&amp;"; "&amp;IF(G22=0,"NA",TEXT(G22,"0.0%"))&amp;"; "&amp;IF(H22=0,"NA",TEXT(H22,"0%")))</f>
        <v/>
      </c>
    </row>
    <row r="23" spans="2:30" hidden="1" x14ac:dyDescent="0.15">
      <c r="B23" s="25"/>
      <c r="C23" s="1"/>
      <c r="D23" s="1"/>
      <c r="E23" s="72"/>
      <c r="F23" s="12"/>
      <c r="G23" s="12"/>
      <c r="H23" s="92"/>
      <c r="I23" s="191"/>
      <c r="J23" s="283" t="str">
        <f t="shared" si="8"/>
        <v/>
      </c>
    </row>
    <row r="24" spans="2:30" hidden="1" x14ac:dyDescent="0.15">
      <c r="B24" s="25"/>
      <c r="C24" s="1"/>
      <c r="D24" s="1"/>
      <c r="E24" s="72"/>
      <c r="F24" s="12"/>
      <c r="G24" s="12"/>
      <c r="H24" s="92"/>
      <c r="I24" s="191"/>
      <c r="J24" s="283" t="str">
        <f t="shared" si="8"/>
        <v/>
      </c>
    </row>
    <row r="25" spans="2:30" hidden="1" x14ac:dyDescent="0.15">
      <c r="B25" s="25"/>
      <c r="C25" s="1"/>
      <c r="D25" s="7"/>
      <c r="E25" s="7"/>
      <c r="F25" s="12"/>
      <c r="G25" s="12"/>
      <c r="H25" s="92"/>
      <c r="I25" s="191"/>
      <c r="J25" s="283" t="str">
        <f t="shared" si="8"/>
        <v/>
      </c>
    </row>
    <row r="26" spans="2:30" hidden="1" x14ac:dyDescent="0.15">
      <c r="B26" s="25"/>
      <c r="C26" s="1"/>
      <c r="D26" s="7"/>
      <c r="E26" s="7"/>
      <c r="F26" s="12"/>
      <c r="G26" s="12"/>
      <c r="H26" s="92"/>
      <c r="I26" s="191"/>
      <c r="J26" s="283" t="str">
        <f t="shared" si="8"/>
        <v/>
      </c>
    </row>
    <row r="27" spans="2:30" ht="14" thickBot="1" x14ac:dyDescent="0.2">
      <c r="B27" s="28" t="s">
        <v>27</v>
      </c>
      <c r="C27" s="60">
        <f>SUM(C17:C26)</f>
        <v>1658713</v>
      </c>
      <c r="D27" s="60">
        <f>SUM(D17:D26)</f>
        <v>1595222</v>
      </c>
      <c r="E27" s="41">
        <v>225458</v>
      </c>
      <c r="F27" s="29">
        <f>C27/SUM(C17:C26)</f>
        <v>1</v>
      </c>
      <c r="G27" s="78">
        <f>E27/C27</f>
        <v>0.13592345390673372</v>
      </c>
      <c r="H27" s="30">
        <f>C27/D27-1</f>
        <v>3.9800729929752698E-2</v>
      </c>
      <c r="I27" s="192"/>
      <c r="J27" s="192"/>
    </row>
    <row r="32" spans="2:30" x14ac:dyDescent="0.15">
      <c r="H32" s="392"/>
    </row>
    <row r="34" spans="2:11" x14ac:dyDescent="0.15">
      <c r="C34" s="1"/>
    </row>
    <row r="35" spans="2:11" ht="16" x14ac:dyDescent="0.2">
      <c r="B35" s="665"/>
      <c r="C35" s="665"/>
      <c r="D35" s="665"/>
      <c r="E35" s="665"/>
      <c r="F35" s="665"/>
      <c r="G35" s="665"/>
      <c r="H35" s="665"/>
      <c r="I35" s="170"/>
      <c r="J35" s="170"/>
    </row>
    <row r="36" spans="2:11" ht="16" x14ac:dyDescent="0.2">
      <c r="B36" s="665"/>
      <c r="C36" s="665"/>
      <c r="D36" s="665"/>
      <c r="E36" s="665"/>
      <c r="F36" s="665"/>
      <c r="G36" s="665"/>
      <c r="H36" s="665"/>
      <c r="I36" s="170"/>
      <c r="J36" s="170"/>
    </row>
    <row r="37" spans="2:11" ht="16" x14ac:dyDescent="0.2">
      <c r="B37" s="665"/>
      <c r="C37" s="665"/>
      <c r="D37" s="665"/>
      <c r="E37" s="665"/>
      <c r="F37" s="665"/>
      <c r="G37" s="665"/>
      <c r="H37" s="665"/>
      <c r="I37" s="170"/>
      <c r="J37" s="170"/>
      <c r="K37" s="79"/>
    </row>
  </sheetData>
  <mergeCells count="4">
    <mergeCell ref="B35:H37"/>
    <mergeCell ref="B2:H2"/>
    <mergeCell ref="B15:H15"/>
    <mergeCell ref="L2:M2"/>
  </mergeCells>
  <phoneticPr fontId="0" type="noConversion"/>
  <pageMargins left="0.75" right="0.75" top="1" bottom="1" header="0" footer="0"/>
  <pageSetup orientation="landscape" r:id="rId1"/>
  <headerFooter alignWithMargins="0"/>
  <ignoredErrors>
    <ignoredError sqref="C14"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0F386-0A83-BA4B-8BDB-D54547F585FF}">
  <sheetPr>
    <tabColor theme="5"/>
  </sheetPr>
  <dimension ref="A1:F171"/>
  <sheetViews>
    <sheetView showGridLines="0" topLeftCell="A3" zoomScale="136" zoomScaleNormal="136" workbookViewId="0">
      <selection activeCell="D30" sqref="D30"/>
    </sheetView>
  </sheetViews>
  <sheetFormatPr baseColWidth="10" defaultColWidth="11.5" defaultRowHeight="12.75" customHeight="1" x14ac:dyDescent="0.15"/>
  <cols>
    <col min="1" max="1" width="27.6640625" style="127" customWidth="1"/>
    <col min="2" max="4" width="22.83203125" style="127" customWidth="1"/>
    <col min="5" max="5" width="15.6640625" style="127" customWidth="1"/>
    <col min="6" max="16384" width="11.5" style="127"/>
  </cols>
  <sheetData>
    <row r="1" spans="1:5" ht="5.25" customHeight="1" x14ac:dyDescent="0.15"/>
    <row r="2" spans="1:5" ht="12.75" customHeight="1" x14ac:dyDescent="0.15">
      <c r="A2" s="673" t="s">
        <v>33</v>
      </c>
      <c r="B2" s="661" t="e" vm="1">
        <v>#VALUE!</v>
      </c>
      <c r="C2" s="661" t="e" vm="3">
        <v>#VALUE!</v>
      </c>
      <c r="D2" s="661" t="e" vm="4">
        <v>#VALUE!</v>
      </c>
      <c r="E2" s="662" t="s">
        <v>34</v>
      </c>
    </row>
    <row r="3" spans="1:5" ht="15" x14ac:dyDescent="0.15">
      <c r="A3" s="674"/>
      <c r="B3" s="663" t="s">
        <v>35</v>
      </c>
      <c r="C3" s="663" t="s">
        <v>36</v>
      </c>
      <c r="D3" s="663" t="s">
        <v>37</v>
      </c>
      <c r="E3" s="664" t="s">
        <v>38</v>
      </c>
    </row>
    <row r="4" spans="1:5" ht="15.5" customHeight="1" x14ac:dyDescent="0.2">
      <c r="A4" s="640" t="s">
        <v>39</v>
      </c>
      <c r="B4" s="135">
        <f>B27</f>
        <v>1658.713</v>
      </c>
      <c r="C4" s="135">
        <f>C27</f>
        <v>27775</v>
      </c>
      <c r="D4" s="135">
        <f t="shared" ref="D4" si="0">D27</f>
        <v>2381.9949999999999</v>
      </c>
      <c r="E4" s="135">
        <f t="shared" ref="E4" si="1">E27</f>
        <v>2746.0630000000001</v>
      </c>
    </row>
    <row r="5" spans="1:5" ht="15.5" customHeight="1" x14ac:dyDescent="0.2">
      <c r="A5" s="640" t="s">
        <v>40</v>
      </c>
      <c r="B5" s="655">
        <f>B28/B29-1</f>
        <v>3.9800729929752698E-2</v>
      </c>
      <c r="C5" s="395">
        <f>C28/C29-1</f>
        <v>-6.6825695471038893E-2</v>
      </c>
      <c r="D5" s="395">
        <f t="shared" ref="D5" si="2">D28/D29-1</f>
        <v>4.9181707024863242E-2</v>
      </c>
      <c r="E5" s="395">
        <f t="shared" ref="E5" si="3">E28/E29-1</f>
        <v>-0.1083652319771985</v>
      </c>
    </row>
    <row r="6" spans="1:5" ht="15.5" customHeight="1" x14ac:dyDescent="0.2">
      <c r="A6" s="640" t="s">
        <v>41</v>
      </c>
      <c r="B6" s="654">
        <f>B28/B31-1</f>
        <v>0.51935613586255092</v>
      </c>
      <c r="C6" s="655">
        <f>C28/C31-1</f>
        <v>0.71376565681495641</v>
      </c>
      <c r="D6" s="395">
        <f t="shared" ref="D6" si="4">D28/D31-1</f>
        <v>0.47750949187088931</v>
      </c>
      <c r="E6" s="395">
        <f t="shared" ref="E6" si="5">E28/E31-1</f>
        <v>0.56393208840512776</v>
      </c>
    </row>
    <row r="7" spans="1:5" ht="15.5" hidden="1" customHeight="1" x14ac:dyDescent="0.2">
      <c r="A7" s="640" t="s">
        <v>42</v>
      </c>
      <c r="B7" s="645">
        <v>122278</v>
      </c>
      <c r="C7" s="645">
        <v>122278</v>
      </c>
      <c r="D7" s="645">
        <v>122278</v>
      </c>
      <c r="E7" s="645">
        <v>122278</v>
      </c>
    </row>
    <row r="8" spans="1:5" ht="15.5" hidden="1" customHeight="1" x14ac:dyDescent="0.2">
      <c r="A8" s="640" t="s">
        <v>43</v>
      </c>
      <c r="B8" s="645">
        <v>323888</v>
      </c>
      <c r="C8" s="645">
        <v>323888</v>
      </c>
      <c r="D8" s="645">
        <v>323888</v>
      </c>
      <c r="E8" s="645">
        <v>323888</v>
      </c>
    </row>
    <row r="9" spans="1:5" ht="15.5" customHeight="1" x14ac:dyDescent="0.2">
      <c r="A9" s="640" t="s">
        <v>44</v>
      </c>
      <c r="B9" s="659">
        <f>-(B35+B36)/B28</f>
        <v>-4.3903918278810135E-2</v>
      </c>
      <c r="C9" s="649">
        <f>-(C35+C36)/C28</f>
        <v>-1.0513051305130514E-2</v>
      </c>
      <c r="D9" s="649">
        <f>-(D35+D36)/D28</f>
        <v>-4.2233086131582984E-2</v>
      </c>
      <c r="E9" s="649">
        <f>-(E35+E36)/E28</f>
        <v>-1.7119782029764066E-2</v>
      </c>
    </row>
    <row r="10" spans="1:5" ht="15.5" customHeight="1" x14ac:dyDescent="0.2">
      <c r="A10" s="640" t="s">
        <v>45</v>
      </c>
      <c r="B10" s="649">
        <f>B37/B33</f>
        <v>0.13096365071631647</v>
      </c>
      <c r="C10" s="649">
        <f>C37/C33</f>
        <v>2.3216886233160358E-2</v>
      </c>
      <c r="D10" s="649">
        <f>D37/D33</f>
        <v>9.0331852756926748E-2</v>
      </c>
      <c r="E10" s="649">
        <f>E37/E33</f>
        <v>-2.291477618028788E-3</v>
      </c>
    </row>
    <row r="11" spans="1:5" ht="15.5" customHeight="1" x14ac:dyDescent="0.2">
      <c r="A11" s="640" t="s">
        <v>46</v>
      </c>
      <c r="B11" s="655">
        <f>B38/B35</f>
        <v>3.3430099463214398</v>
      </c>
      <c r="C11" s="395">
        <f>C38/C35</f>
        <v>0.75899280575539574</v>
      </c>
      <c r="D11" s="395">
        <f>D38/D35</f>
        <v>3.2152221219680484</v>
      </c>
      <c r="E11" s="395">
        <f>E38/E35</f>
        <v>1.9464203838344143</v>
      </c>
    </row>
    <row r="12" spans="1:5" ht="15.5" customHeight="1" x14ac:dyDescent="0.2">
      <c r="A12" s="641" t="s">
        <v>47</v>
      </c>
      <c r="B12" s="651">
        <f>AVERAGE(B39:B41)</f>
        <v>0.13666348028602865</v>
      </c>
      <c r="C12" s="651">
        <f>AVERAGE(C39:C41)</f>
        <v>0.13610568483780736</v>
      </c>
      <c r="D12" s="395">
        <f>AVERAGE(D39:D41)</f>
        <v>0.11647495946242747</v>
      </c>
      <c r="E12" s="395">
        <f>AVERAGE(E39:E41)</f>
        <v>8.8547764010156682E-2</v>
      </c>
    </row>
    <row r="13" spans="1:5" ht="15.5" customHeight="1" x14ac:dyDescent="0.2">
      <c r="A13" s="641" t="s">
        <v>48</v>
      </c>
      <c r="B13" s="395">
        <f>B39</f>
        <v>0.13592345390673372</v>
      </c>
      <c r="C13" s="395">
        <f>C39</f>
        <v>0.11866786678667866</v>
      </c>
      <c r="D13" s="395">
        <f>D39</f>
        <v>0.1197756502427587</v>
      </c>
      <c r="E13" s="395">
        <f>E39</f>
        <v>1.8372848692837711E-2</v>
      </c>
    </row>
    <row r="14" spans="1:5" ht="15.5" customHeight="1" x14ac:dyDescent="0.2">
      <c r="A14" s="640" t="s">
        <v>49</v>
      </c>
      <c r="B14" s="395">
        <f t="shared" ref="B14:D15" si="6">B42</f>
        <v>0.98361428739832601</v>
      </c>
      <c r="C14" s="395">
        <f t="shared" si="6"/>
        <v>0.93020344287949919</v>
      </c>
      <c r="D14" s="395">
        <f t="shared" si="6"/>
        <v>0.45509868421052635</v>
      </c>
      <c r="E14" s="395" t="s">
        <v>50</v>
      </c>
    </row>
    <row r="15" spans="1:5" ht="15.5" customHeight="1" x14ac:dyDescent="0.2">
      <c r="A15" s="642" t="s">
        <v>51</v>
      </c>
      <c r="B15" s="657">
        <f>B43</f>
        <v>2.14</v>
      </c>
      <c r="C15" s="648">
        <f t="shared" si="6"/>
        <v>1.68</v>
      </c>
      <c r="D15" s="648">
        <f t="shared" si="6"/>
        <v>0.87</v>
      </c>
      <c r="E15" s="648" t="s">
        <v>50</v>
      </c>
    </row>
    <row r="16" spans="1:5" ht="15.5" customHeight="1" x14ac:dyDescent="0.2">
      <c r="A16" s="640" t="s">
        <v>52</v>
      </c>
      <c r="B16" s="648">
        <v>18.98</v>
      </c>
      <c r="C16" s="648">
        <v>15.72</v>
      </c>
      <c r="D16" s="658">
        <v>21.05</v>
      </c>
      <c r="E16" s="648" t="s">
        <v>53</v>
      </c>
    </row>
    <row r="17" spans="1:6" ht="15.5" customHeight="1" x14ac:dyDescent="0.2">
      <c r="A17" s="640" t="s">
        <v>54</v>
      </c>
      <c r="B17" s="646" cm="1">
        <f t="array" aca="1" ref="B17" ca="1">_FV(B2,"Market cap",TRUE)/(1000000*B4)</f>
        <v>1.8982914488522125</v>
      </c>
      <c r="C17" s="646" cm="1">
        <f t="array" aca="1" ref="C17" ca="1">_FV(C2,"Market cap",TRUE)/(1000000*C4)</f>
        <v>4.1496345634563454E-2</v>
      </c>
      <c r="D17" s="646" cm="1">
        <f t="array" aca="1" ref="D17" ca="1">_FV(D2,"Market cap",TRUE)/(1000000*D4)</f>
        <v>1.6877831624331705</v>
      </c>
      <c r="E17" s="646" t="s">
        <v>50</v>
      </c>
    </row>
    <row r="18" spans="1:6" ht="15.5" customHeight="1" x14ac:dyDescent="0.2">
      <c r="A18" s="640" t="s">
        <v>55</v>
      </c>
      <c r="B18" s="656">
        <f>B45/B33</f>
        <v>3.3765240612029674</v>
      </c>
      <c r="C18" s="646">
        <f>C45/C33</f>
        <v>1.937927150873797</v>
      </c>
      <c r="D18" s="646">
        <f>D45/D33</f>
        <v>0.21259480840746459</v>
      </c>
      <c r="E18" s="646" t="s">
        <v>50</v>
      </c>
    </row>
    <row r="19" spans="1:6" ht="15.5" customHeight="1" x14ac:dyDescent="0.2">
      <c r="A19" s="640" t="s">
        <v>56</v>
      </c>
      <c r="B19" s="646">
        <f>B45/B34</f>
        <v>16.080475805859461</v>
      </c>
      <c r="C19" s="646">
        <f>C45/C34</f>
        <v>51.289156626506021</v>
      </c>
      <c r="D19" s="646">
        <f>D45/D34</f>
        <v>1.3979273556722325</v>
      </c>
      <c r="E19" s="646" t="s">
        <v>50</v>
      </c>
    </row>
    <row r="20" spans="1:6" ht="15.5" customHeight="1" x14ac:dyDescent="0.2">
      <c r="A20" s="640" t="s">
        <v>57</v>
      </c>
      <c r="B20" s="646" t="str">
        <f>B46</f>
        <v>N/A</v>
      </c>
      <c r="C20" s="660">
        <f>C46</f>
        <v>3.5099999999999999E-2</v>
      </c>
      <c r="D20" s="650">
        <f>D46</f>
        <v>1.3100000000000001E-2</v>
      </c>
      <c r="E20" s="650" t="s">
        <v>50</v>
      </c>
    </row>
    <row r="21" spans="1:6" ht="15.5" customHeight="1" x14ac:dyDescent="0.2">
      <c r="A21" s="643" t="s">
        <v>58</v>
      </c>
      <c r="B21" s="647" t="s">
        <v>59</v>
      </c>
      <c r="C21" s="647" t="s">
        <v>59</v>
      </c>
      <c r="D21" s="647" t="s">
        <v>59</v>
      </c>
      <c r="E21" s="644" t="s">
        <v>60</v>
      </c>
    </row>
    <row r="22" spans="1:6" ht="13" x14ac:dyDescent="0.15"/>
    <row r="23" spans="1:6" ht="13" x14ac:dyDescent="0.15">
      <c r="B23" s="150" t="s">
        <v>61</v>
      </c>
    </row>
    <row r="24" spans="1:6" ht="13" x14ac:dyDescent="0.15">
      <c r="B24" s="150" t="s">
        <v>62</v>
      </c>
    </row>
    <row r="25" spans="1:6" ht="21" x14ac:dyDescent="0.2">
      <c r="A25" s="752"/>
      <c r="B25" s="753"/>
      <c r="C25" s="754" t="s">
        <v>63</v>
      </c>
      <c r="D25" s="753"/>
      <c r="E25" s="754"/>
      <c r="F25" s="652"/>
    </row>
    <row r="26" spans="1:6" ht="14" x14ac:dyDescent="0.2">
      <c r="A26" s="754" t="s">
        <v>64</v>
      </c>
      <c r="B26" s="754" t="s">
        <v>65</v>
      </c>
      <c r="C26" s="754" t="s">
        <v>66</v>
      </c>
      <c r="D26" s="754" t="str">
        <f>D3</f>
        <v>Acushnet Holdings Corp.</v>
      </c>
      <c r="E26" s="754" t="str">
        <f t="shared" ref="E26" si="7">E3</f>
        <v>Vista Outdoor Inc.</v>
      </c>
      <c r="F26" s="652"/>
    </row>
    <row r="27" spans="1:6" ht="14" x14ac:dyDescent="0.2">
      <c r="A27" s="754" t="s">
        <v>67</v>
      </c>
      <c r="B27" s="754">
        <v>1658.713</v>
      </c>
      <c r="C27" s="755">
        <v>27775</v>
      </c>
      <c r="D27" s="755">
        <v>2381.9949999999999</v>
      </c>
      <c r="E27" s="755">
        <v>2746.0630000000001</v>
      </c>
      <c r="F27" s="652"/>
    </row>
    <row r="28" spans="1:6" ht="14" x14ac:dyDescent="0.2">
      <c r="A28" s="754" t="s">
        <v>68</v>
      </c>
      <c r="B28" s="755">
        <v>1658.713</v>
      </c>
      <c r="C28" s="755">
        <v>27775</v>
      </c>
      <c r="D28" s="755">
        <v>2381.9949999999999</v>
      </c>
      <c r="E28" s="755">
        <v>2746.0630000000001</v>
      </c>
      <c r="F28" s="652"/>
    </row>
    <row r="29" spans="1:6" ht="14" x14ac:dyDescent="0.2">
      <c r="A29" s="754" t="s">
        <v>69</v>
      </c>
      <c r="B29" s="756">
        <v>1595.222</v>
      </c>
      <c r="C29" s="754">
        <v>29764</v>
      </c>
      <c r="D29" s="756">
        <v>2270.3359999999998</v>
      </c>
      <c r="E29" s="755">
        <v>3079.8069999999998</v>
      </c>
      <c r="F29" s="652"/>
    </row>
    <row r="30" spans="1:6" ht="14" x14ac:dyDescent="0.2">
      <c r="A30" s="754" t="s">
        <v>70</v>
      </c>
      <c r="B30" s="755">
        <v>1410.989</v>
      </c>
      <c r="C30" s="755">
        <v>21516</v>
      </c>
      <c r="D30" s="756">
        <v>2147.9299999999998</v>
      </c>
      <c r="E30" s="756">
        <v>3044.6210000000001</v>
      </c>
      <c r="F30" s="652"/>
    </row>
    <row r="31" spans="1:6" ht="14" x14ac:dyDescent="0.2">
      <c r="A31" s="754" t="s">
        <v>71</v>
      </c>
      <c r="B31" s="756">
        <v>1091.721</v>
      </c>
      <c r="C31" s="755">
        <v>16207</v>
      </c>
      <c r="D31" s="756">
        <v>1612.1690000000001</v>
      </c>
      <c r="E31" s="755">
        <v>1755.8710000000001</v>
      </c>
      <c r="F31" s="652"/>
    </row>
    <row r="32" spans="1:6" ht="14" x14ac:dyDescent="0.2">
      <c r="A32" s="754" t="s">
        <v>72</v>
      </c>
      <c r="B32" s="754">
        <v>78.644999999999996</v>
      </c>
      <c r="C32" s="754">
        <v>12029</v>
      </c>
      <c r="D32" s="754">
        <v>701.16700000000003</v>
      </c>
      <c r="E32" s="754">
        <v>717.23800000000006</v>
      </c>
      <c r="F32" s="652"/>
    </row>
    <row r="33" spans="1:6" ht="14" x14ac:dyDescent="0.2">
      <c r="A33" s="754" t="s">
        <v>73</v>
      </c>
      <c r="B33" s="755">
        <v>1297.192</v>
      </c>
      <c r="C33" s="755">
        <v>2196.6770000000001</v>
      </c>
      <c r="D33" s="756">
        <v>2196.6669999999999</v>
      </c>
      <c r="E33" s="754">
        <v>2402.38</v>
      </c>
      <c r="F33" s="652"/>
    </row>
    <row r="34" spans="1:6" ht="14" x14ac:dyDescent="0.2">
      <c r="A34" s="754" t="s">
        <v>74</v>
      </c>
      <c r="B34" s="754">
        <f>169.885+56.061+46.434</f>
        <v>272.38</v>
      </c>
      <c r="C34" s="754">
        <v>83</v>
      </c>
      <c r="D34" s="754">
        <f>198.429+42.993+41.288+51.356</f>
        <v>334.06599999999997</v>
      </c>
      <c r="E34" s="754">
        <f>-5.505-8.979+62.949+49.145+50.146</f>
        <v>147.75600000000003</v>
      </c>
      <c r="F34" s="652"/>
    </row>
    <row r="35" spans="1:6" ht="14" x14ac:dyDescent="0.2">
      <c r="A35" s="754" t="s">
        <v>75</v>
      </c>
      <c r="B35" s="756">
        <v>50.671999999999997</v>
      </c>
      <c r="C35" s="754">
        <v>278</v>
      </c>
      <c r="D35" s="754">
        <v>75.364000000000004</v>
      </c>
      <c r="E35" s="754">
        <v>30.533999999999999</v>
      </c>
      <c r="F35" s="652"/>
    </row>
    <row r="36" spans="1:6" ht="14" x14ac:dyDescent="0.2">
      <c r="A36" s="754" t="s">
        <v>76</v>
      </c>
      <c r="B36" s="754">
        <v>22.152000000000001</v>
      </c>
      <c r="C36" s="754">
        <v>14</v>
      </c>
      <c r="D36" s="754">
        <v>25.234999999999999</v>
      </c>
      <c r="E36" s="754">
        <v>16.478000000000002</v>
      </c>
      <c r="F36" s="652"/>
    </row>
    <row r="37" spans="1:6" ht="14" x14ac:dyDescent="0.2">
      <c r="A37" s="754" t="s">
        <v>77</v>
      </c>
      <c r="B37" s="754">
        <v>169.88499999999999</v>
      </c>
      <c r="C37" s="755">
        <v>51</v>
      </c>
      <c r="D37" s="754">
        <v>198.429</v>
      </c>
      <c r="E37" s="754">
        <v>-5.5049999999999999</v>
      </c>
      <c r="F37" s="652"/>
    </row>
    <row r="38" spans="1:6" ht="14" x14ac:dyDescent="0.2">
      <c r="A38" s="754" t="s">
        <v>78</v>
      </c>
      <c r="B38" s="754">
        <f>225.458-56.061</f>
        <v>169.39699999999999</v>
      </c>
      <c r="C38" s="754">
        <f>242-31</f>
        <v>211</v>
      </c>
      <c r="D38" s="754">
        <f>285.305-42.993</f>
        <v>242.31200000000001</v>
      </c>
      <c r="E38" s="754">
        <f>50.453+8.979</f>
        <v>59.432000000000002</v>
      </c>
      <c r="F38" s="652"/>
    </row>
    <row r="39" spans="1:6" ht="14" x14ac:dyDescent="0.2">
      <c r="A39" s="754" t="s">
        <v>79</v>
      </c>
      <c r="B39" s="757">
        <f>225.458/1658.713</f>
        <v>0.13592345390673372</v>
      </c>
      <c r="C39" s="757">
        <f>3296/C28</f>
        <v>0.11866786678667866</v>
      </c>
      <c r="D39" s="757">
        <f>285.305/D28</f>
        <v>0.1197756502427587</v>
      </c>
      <c r="E39" s="757">
        <f>50.453/E28</f>
        <v>1.8372848692837711E-2</v>
      </c>
      <c r="F39" s="653"/>
    </row>
    <row r="40" spans="1:6" ht="14" x14ac:dyDescent="0.2">
      <c r="A40" s="754" t="s">
        <v>80</v>
      </c>
      <c r="B40" s="757">
        <f>126.361/1595.222</f>
        <v>7.9212172349679227E-2</v>
      </c>
      <c r="C40" s="757">
        <f>3399/C29</f>
        <v>0.11419836043542535</v>
      </c>
      <c r="D40" s="757">
        <f>259.435/D29</f>
        <v>0.11427163204036761</v>
      </c>
      <c r="E40" s="757">
        <f>107.855/E29</f>
        <v>3.5020051581154274E-2</v>
      </c>
      <c r="F40" s="653"/>
    </row>
    <row r="41" spans="1:6" ht="14" x14ac:dyDescent="0.2">
      <c r="A41" s="754" t="s">
        <v>81</v>
      </c>
      <c r="B41" s="757">
        <f>274.938/B30</f>
        <v>0.194854814601673</v>
      </c>
      <c r="C41" s="757">
        <f>3775/C30</f>
        <v>0.17545082729131808</v>
      </c>
      <c r="D41" s="757">
        <f>247.823/D30</f>
        <v>0.11537759610415611</v>
      </c>
      <c r="E41" s="757">
        <f>646.222/E30</f>
        <v>0.21225039175647806</v>
      </c>
      <c r="F41" s="653"/>
    </row>
    <row r="42" spans="1:6" ht="14" x14ac:dyDescent="0.2">
      <c r="A42" s="754" t="s">
        <v>82</v>
      </c>
      <c r="B42" s="757">
        <f>83.44/84.83</f>
        <v>0.98361428739832601</v>
      </c>
      <c r="C42" s="757">
        <f>297.2/319.5</f>
        <v>0.93020344287949919</v>
      </c>
      <c r="D42" s="757">
        <f>27.67/60.8</f>
        <v>0.45509868421052635</v>
      </c>
      <c r="E42" s="754"/>
      <c r="F42" s="652"/>
    </row>
    <row r="43" spans="1:6" ht="14" x14ac:dyDescent="0.2">
      <c r="A43" s="754" t="s">
        <v>83</v>
      </c>
      <c r="B43" s="754">
        <v>2.14</v>
      </c>
      <c r="C43" s="754">
        <v>1.68</v>
      </c>
      <c r="D43" s="754">
        <v>0.87</v>
      </c>
      <c r="E43" s="754"/>
      <c r="F43" s="652"/>
    </row>
    <row r="44" spans="1:6" ht="14" x14ac:dyDescent="0.2">
      <c r="A44" s="754" t="s">
        <v>84</v>
      </c>
      <c r="B44" s="754"/>
      <c r="C44" s="754"/>
      <c r="D44" s="754"/>
      <c r="E44" s="754"/>
      <c r="F44" s="652"/>
    </row>
    <row r="45" spans="1:6" ht="14" x14ac:dyDescent="0.2">
      <c r="A45" s="754" t="s">
        <v>85</v>
      </c>
      <c r="B45" s="754">
        <v>4380</v>
      </c>
      <c r="C45" s="754">
        <v>4257</v>
      </c>
      <c r="D45" s="754">
        <v>467</v>
      </c>
      <c r="E45" s="754"/>
      <c r="F45" s="652"/>
    </row>
    <row r="46" spans="1:6" ht="14" x14ac:dyDescent="0.2">
      <c r="A46" s="754" t="s">
        <v>86</v>
      </c>
      <c r="B46" s="754" t="s">
        <v>50</v>
      </c>
      <c r="C46" s="758">
        <v>3.5099999999999999E-2</v>
      </c>
      <c r="D46" s="757">
        <v>1.3100000000000001E-2</v>
      </c>
      <c r="E46" s="754"/>
      <c r="F46" s="652"/>
    </row>
    <row r="47" spans="1:6" ht="13" x14ac:dyDescent="0.15">
      <c r="A47" s="759"/>
      <c r="B47" s="759"/>
      <c r="C47" s="759"/>
      <c r="D47" s="759"/>
      <c r="E47" s="759"/>
    </row>
    <row r="48" spans="1:6" ht="13" x14ac:dyDescent="0.15">
      <c r="A48" s="759"/>
      <c r="B48" s="759"/>
      <c r="C48" s="759"/>
      <c r="D48" s="759"/>
      <c r="E48" s="759"/>
    </row>
    <row r="49" spans="1:5" ht="13" x14ac:dyDescent="0.15">
      <c r="A49" s="759"/>
      <c r="B49" s="759"/>
      <c r="C49" s="759"/>
      <c r="D49" s="759"/>
      <c r="E49" s="759"/>
    </row>
    <row r="50" spans="1:5" ht="13" x14ac:dyDescent="0.15">
      <c r="A50" s="394"/>
      <c r="B50" s="394"/>
      <c r="C50" s="394"/>
      <c r="D50" s="394"/>
      <c r="E50" s="394"/>
    </row>
    <row r="51" spans="1:5" ht="13" x14ac:dyDescent="0.15">
      <c r="A51" s="394"/>
      <c r="B51" s="394"/>
      <c r="C51" s="394"/>
      <c r="D51" s="394"/>
      <c r="E51" s="394"/>
    </row>
    <row r="52" spans="1:5" ht="13" x14ac:dyDescent="0.15">
      <c r="A52" s="394"/>
      <c r="B52" s="394"/>
      <c r="C52" s="394"/>
      <c r="D52" s="394"/>
      <c r="E52" s="394"/>
    </row>
    <row r="53" spans="1:5" ht="13" x14ac:dyDescent="0.15">
      <c r="A53" s="394"/>
      <c r="B53" s="394"/>
      <c r="C53" s="394"/>
      <c r="D53" s="394"/>
      <c r="E53" s="394"/>
    </row>
    <row r="54" spans="1:5" ht="13" x14ac:dyDescent="0.15">
      <c r="A54" s="394"/>
      <c r="B54" s="394"/>
      <c r="C54" s="394"/>
      <c r="D54" s="394"/>
      <c r="E54" s="394"/>
    </row>
    <row r="55" spans="1:5" ht="13" x14ac:dyDescent="0.15">
      <c r="A55" s="394"/>
      <c r="B55" s="394"/>
      <c r="C55" s="394"/>
      <c r="D55" s="394"/>
      <c r="E55" s="394"/>
    </row>
    <row r="56" spans="1:5" ht="13" x14ac:dyDescent="0.15">
      <c r="A56" s="394"/>
      <c r="B56" s="394"/>
      <c r="C56" s="394"/>
      <c r="D56" s="394"/>
      <c r="E56" s="394"/>
    </row>
    <row r="57" spans="1:5" ht="13" x14ac:dyDescent="0.15">
      <c r="A57" s="394"/>
      <c r="B57" s="394"/>
      <c r="C57" s="394"/>
      <c r="D57" s="394"/>
      <c r="E57" s="394"/>
    </row>
    <row r="58" spans="1:5" ht="13" x14ac:dyDescent="0.15">
      <c r="A58" s="394"/>
      <c r="B58" s="394"/>
      <c r="C58" s="394"/>
      <c r="D58" s="394"/>
      <c r="E58" s="394"/>
    </row>
    <row r="59" spans="1:5" ht="13" x14ac:dyDescent="0.15">
      <c r="A59" s="394"/>
      <c r="B59" s="394"/>
      <c r="C59" s="394"/>
      <c r="D59" s="394"/>
      <c r="E59" s="394"/>
    </row>
    <row r="60" spans="1:5" ht="13" x14ac:dyDescent="0.15">
      <c r="A60" s="394"/>
      <c r="B60" s="394"/>
      <c r="C60" s="394"/>
      <c r="D60" s="394"/>
      <c r="E60" s="394"/>
    </row>
    <row r="61" spans="1:5" ht="13" x14ac:dyDescent="0.15">
      <c r="A61" s="394"/>
      <c r="B61" s="394"/>
      <c r="C61" s="394"/>
      <c r="D61" s="394"/>
      <c r="E61" s="394"/>
    </row>
    <row r="62" spans="1:5" ht="13" x14ac:dyDescent="0.15">
      <c r="A62" s="394"/>
      <c r="B62" s="394"/>
      <c r="C62" s="394"/>
      <c r="D62" s="394"/>
      <c r="E62" s="394"/>
    </row>
    <row r="63" spans="1:5" ht="13" x14ac:dyDescent="0.15">
      <c r="A63" s="394"/>
      <c r="B63" s="394"/>
      <c r="C63" s="394"/>
      <c r="D63" s="394"/>
      <c r="E63" s="394"/>
    </row>
    <row r="64" spans="1:5" ht="13" x14ac:dyDescent="0.15">
      <c r="A64" s="394"/>
      <c r="B64" s="394"/>
      <c r="C64" s="394"/>
      <c r="D64" s="394"/>
      <c r="E64" s="394"/>
    </row>
    <row r="65" spans="1:5" ht="13" x14ac:dyDescent="0.15">
      <c r="A65" s="394"/>
      <c r="B65" s="394"/>
      <c r="C65" s="394"/>
      <c r="D65" s="394"/>
      <c r="E65" s="394"/>
    </row>
    <row r="66" spans="1:5" ht="13" x14ac:dyDescent="0.15">
      <c r="A66" s="394"/>
      <c r="B66" s="394"/>
      <c r="C66" s="394"/>
      <c r="D66" s="394"/>
      <c r="E66" s="394"/>
    </row>
    <row r="67" spans="1:5" ht="13" x14ac:dyDescent="0.15">
      <c r="A67" s="394"/>
      <c r="B67" s="394"/>
      <c r="C67" s="394"/>
      <c r="D67" s="394"/>
      <c r="E67" s="394"/>
    </row>
    <row r="68" spans="1:5" ht="13" x14ac:dyDescent="0.15">
      <c r="A68" s="394"/>
      <c r="B68" s="394"/>
      <c r="C68" s="394"/>
      <c r="D68" s="394"/>
      <c r="E68" s="394"/>
    </row>
    <row r="69" spans="1:5" ht="13" x14ac:dyDescent="0.15">
      <c r="A69" s="394"/>
      <c r="B69" s="394"/>
      <c r="C69" s="394"/>
      <c r="D69" s="394"/>
      <c r="E69" s="394"/>
    </row>
    <row r="70" spans="1:5" ht="13" x14ac:dyDescent="0.15">
      <c r="A70" s="394"/>
      <c r="B70" s="394"/>
      <c r="C70" s="394"/>
      <c r="D70" s="394"/>
      <c r="E70" s="394"/>
    </row>
    <row r="71" spans="1:5" ht="13" x14ac:dyDescent="0.15">
      <c r="A71" s="394"/>
      <c r="B71" s="394"/>
      <c r="C71" s="394"/>
      <c r="D71" s="394"/>
      <c r="E71" s="394"/>
    </row>
    <row r="72" spans="1:5" ht="13" x14ac:dyDescent="0.15">
      <c r="A72" s="394"/>
      <c r="B72" s="394"/>
      <c r="C72" s="394"/>
      <c r="D72" s="394"/>
      <c r="E72" s="394"/>
    </row>
    <row r="73" spans="1:5" ht="13" x14ac:dyDescent="0.15">
      <c r="A73" s="394"/>
      <c r="B73" s="394"/>
      <c r="C73" s="394"/>
      <c r="D73" s="394"/>
      <c r="E73" s="394"/>
    </row>
    <row r="74" spans="1:5" ht="13" x14ac:dyDescent="0.15">
      <c r="A74" s="394"/>
      <c r="B74" s="394"/>
      <c r="C74" s="394"/>
      <c r="D74" s="394"/>
      <c r="E74" s="394"/>
    </row>
    <row r="75" spans="1:5" ht="13" x14ac:dyDescent="0.15">
      <c r="A75" s="394"/>
      <c r="B75" s="394"/>
      <c r="C75" s="394"/>
      <c r="D75" s="394"/>
      <c r="E75" s="394"/>
    </row>
    <row r="76" spans="1:5" ht="13" x14ac:dyDescent="0.15">
      <c r="A76" s="394"/>
      <c r="B76" s="394"/>
      <c r="C76" s="394"/>
      <c r="D76" s="394"/>
      <c r="E76" s="394"/>
    </row>
    <row r="77" spans="1:5" ht="13" x14ac:dyDescent="0.15">
      <c r="A77" s="394"/>
      <c r="B77" s="394"/>
      <c r="C77" s="394"/>
      <c r="D77" s="394"/>
      <c r="E77" s="394"/>
    </row>
    <row r="78" spans="1:5" ht="13" x14ac:dyDescent="0.15">
      <c r="A78" s="394"/>
      <c r="B78" s="394"/>
      <c r="C78" s="394"/>
      <c r="D78" s="394"/>
      <c r="E78" s="394"/>
    </row>
    <row r="79" spans="1:5" ht="13" x14ac:dyDescent="0.15">
      <c r="A79" s="394"/>
      <c r="B79" s="394"/>
      <c r="C79" s="394"/>
      <c r="D79" s="394"/>
      <c r="E79" s="394"/>
    </row>
    <row r="80" spans="1:5" ht="13" x14ac:dyDescent="0.15">
      <c r="A80" s="394"/>
      <c r="B80" s="394"/>
      <c r="C80" s="394"/>
      <c r="D80" s="394"/>
      <c r="E80" s="394"/>
    </row>
    <row r="81" spans="1:5" ht="13" x14ac:dyDescent="0.15">
      <c r="A81" s="394"/>
      <c r="B81" s="394"/>
      <c r="C81" s="394"/>
      <c r="D81" s="394"/>
      <c r="E81" s="394"/>
    </row>
    <row r="82" spans="1:5" ht="13" x14ac:dyDescent="0.15">
      <c r="A82" s="394"/>
      <c r="B82" s="394"/>
      <c r="C82" s="394"/>
      <c r="D82" s="394"/>
      <c r="E82" s="394"/>
    </row>
    <row r="83" spans="1:5" ht="13" x14ac:dyDescent="0.15">
      <c r="A83" s="394"/>
      <c r="B83" s="394"/>
      <c r="C83" s="394"/>
      <c r="D83" s="394"/>
      <c r="E83" s="394"/>
    </row>
    <row r="84" spans="1:5" ht="13" x14ac:dyDescent="0.15">
      <c r="A84" s="394"/>
      <c r="B84" s="394"/>
      <c r="C84" s="394"/>
      <c r="D84" s="394"/>
      <c r="E84" s="394"/>
    </row>
    <row r="85" spans="1:5" ht="13" x14ac:dyDescent="0.15">
      <c r="A85" s="394"/>
      <c r="B85" s="394"/>
      <c r="C85" s="394"/>
      <c r="D85" s="394"/>
      <c r="E85" s="394"/>
    </row>
    <row r="86" spans="1:5" ht="13" x14ac:dyDescent="0.15">
      <c r="A86" s="394"/>
      <c r="B86" s="394"/>
      <c r="C86" s="394"/>
      <c r="D86" s="394"/>
      <c r="E86" s="394"/>
    </row>
    <row r="87" spans="1:5" ht="13" x14ac:dyDescent="0.15">
      <c r="A87" s="394"/>
      <c r="B87" s="394"/>
      <c r="C87" s="394"/>
      <c r="D87" s="394"/>
      <c r="E87" s="394"/>
    </row>
    <row r="88" spans="1:5" ht="13" x14ac:dyDescent="0.15">
      <c r="A88" s="394"/>
      <c r="B88" s="394"/>
      <c r="C88" s="394"/>
      <c r="D88" s="394"/>
      <c r="E88" s="394"/>
    </row>
    <row r="89" spans="1:5" ht="13" x14ac:dyDescent="0.15">
      <c r="A89" s="394"/>
      <c r="B89" s="394"/>
      <c r="C89" s="394"/>
      <c r="D89" s="394"/>
      <c r="E89" s="394"/>
    </row>
    <row r="90" spans="1:5" ht="13" x14ac:dyDescent="0.15">
      <c r="A90" s="394"/>
      <c r="B90" s="394"/>
      <c r="C90" s="394"/>
      <c r="D90" s="394"/>
      <c r="E90" s="394"/>
    </row>
    <row r="91" spans="1:5" ht="13" x14ac:dyDescent="0.15">
      <c r="A91" s="394"/>
      <c r="B91" s="394"/>
      <c r="C91" s="394"/>
      <c r="D91" s="394"/>
      <c r="E91" s="394"/>
    </row>
    <row r="92" spans="1:5" ht="13" x14ac:dyDescent="0.15">
      <c r="A92" s="394"/>
      <c r="B92" s="394"/>
      <c r="C92" s="394"/>
      <c r="D92" s="394"/>
      <c r="E92" s="394"/>
    </row>
    <row r="93" spans="1:5" ht="13" x14ac:dyDescent="0.15">
      <c r="A93" s="394"/>
      <c r="B93" s="394"/>
      <c r="C93" s="394"/>
      <c r="D93" s="394"/>
      <c r="E93" s="394"/>
    </row>
    <row r="94" spans="1:5" ht="13" x14ac:dyDescent="0.15">
      <c r="A94" s="394"/>
      <c r="B94" s="394"/>
      <c r="C94" s="394"/>
      <c r="D94" s="394"/>
      <c r="E94" s="394"/>
    </row>
    <row r="95" spans="1:5" ht="13" x14ac:dyDescent="0.15">
      <c r="A95" s="394"/>
      <c r="B95" s="394"/>
      <c r="C95" s="394"/>
      <c r="D95" s="394"/>
      <c r="E95" s="394"/>
    </row>
    <row r="96" spans="1:5" ht="13" x14ac:dyDescent="0.15">
      <c r="A96" s="394"/>
      <c r="B96" s="394"/>
      <c r="C96" s="394"/>
      <c r="D96" s="394"/>
      <c r="E96" s="394"/>
    </row>
    <row r="97" spans="1:5" ht="13" x14ac:dyDescent="0.15">
      <c r="A97" s="394"/>
      <c r="B97" s="394"/>
      <c r="C97" s="394"/>
      <c r="D97" s="394"/>
      <c r="E97" s="394"/>
    </row>
    <row r="98" spans="1:5" ht="13" x14ac:dyDescent="0.15">
      <c r="A98" s="394"/>
      <c r="B98" s="394"/>
      <c r="C98" s="394"/>
      <c r="D98" s="394"/>
      <c r="E98" s="394"/>
    </row>
    <row r="99" spans="1:5" ht="13" x14ac:dyDescent="0.15">
      <c r="A99" s="394"/>
      <c r="B99" s="394"/>
      <c r="C99" s="394"/>
      <c r="D99" s="394"/>
      <c r="E99" s="394"/>
    </row>
    <row r="100" spans="1:5" ht="13" x14ac:dyDescent="0.15">
      <c r="A100" s="394"/>
      <c r="B100" s="394"/>
      <c r="C100" s="394"/>
      <c r="D100" s="394"/>
      <c r="E100" s="394"/>
    </row>
    <row r="101" spans="1:5" ht="13" x14ac:dyDescent="0.15">
      <c r="A101" s="394"/>
      <c r="B101" s="394"/>
      <c r="C101" s="394"/>
      <c r="D101" s="394"/>
      <c r="E101" s="394"/>
    </row>
    <row r="102" spans="1:5" ht="13" x14ac:dyDescent="0.15">
      <c r="A102" s="394"/>
      <c r="B102" s="394"/>
      <c r="C102" s="394"/>
      <c r="D102" s="394"/>
      <c r="E102" s="394"/>
    </row>
    <row r="103" spans="1:5" ht="13" x14ac:dyDescent="0.15">
      <c r="A103" s="394"/>
      <c r="B103" s="394"/>
      <c r="C103" s="394"/>
      <c r="D103" s="394"/>
      <c r="E103" s="394"/>
    </row>
    <row r="104" spans="1:5" ht="13" x14ac:dyDescent="0.15">
      <c r="A104" s="394"/>
      <c r="B104" s="394"/>
      <c r="C104" s="394"/>
      <c r="D104" s="394"/>
      <c r="E104" s="394"/>
    </row>
    <row r="105" spans="1:5" ht="13" x14ac:dyDescent="0.15">
      <c r="A105" s="394"/>
      <c r="B105" s="394"/>
      <c r="C105" s="394"/>
      <c r="D105" s="394"/>
      <c r="E105" s="394"/>
    </row>
    <row r="106" spans="1:5" ht="13" x14ac:dyDescent="0.15">
      <c r="A106" s="394"/>
      <c r="B106" s="394"/>
      <c r="C106" s="394"/>
      <c r="D106" s="394"/>
      <c r="E106" s="394"/>
    </row>
    <row r="107" spans="1:5" ht="13" x14ac:dyDescent="0.15">
      <c r="A107" s="394"/>
      <c r="B107" s="394"/>
      <c r="C107" s="394"/>
      <c r="D107" s="394"/>
      <c r="E107" s="394"/>
    </row>
    <row r="108" spans="1:5" ht="13" x14ac:dyDescent="0.15">
      <c r="A108" s="394"/>
      <c r="B108" s="394"/>
      <c r="C108" s="394"/>
      <c r="D108" s="394"/>
      <c r="E108" s="394"/>
    </row>
    <row r="109" spans="1:5" ht="13" x14ac:dyDescent="0.15">
      <c r="A109" s="394"/>
      <c r="B109" s="394"/>
      <c r="C109" s="394"/>
      <c r="D109" s="394"/>
      <c r="E109" s="394"/>
    </row>
    <row r="110" spans="1:5" ht="13" x14ac:dyDescent="0.15">
      <c r="A110" s="394"/>
      <c r="B110" s="394"/>
      <c r="C110" s="394"/>
      <c r="D110" s="394"/>
      <c r="E110" s="394"/>
    </row>
    <row r="111" spans="1:5" ht="13" x14ac:dyDescent="0.15">
      <c r="A111" s="394"/>
      <c r="B111" s="394"/>
      <c r="C111" s="394"/>
      <c r="D111" s="394"/>
      <c r="E111" s="394"/>
    </row>
    <row r="112" spans="1:5" ht="13" x14ac:dyDescent="0.15">
      <c r="A112" s="394"/>
      <c r="B112" s="394"/>
      <c r="C112" s="394"/>
      <c r="D112" s="394"/>
      <c r="E112" s="394"/>
    </row>
    <row r="113" spans="1:5" ht="13" x14ac:dyDescent="0.15">
      <c r="A113" s="394"/>
      <c r="B113" s="394"/>
      <c r="C113" s="394"/>
      <c r="D113" s="394"/>
      <c r="E113" s="394"/>
    </row>
    <row r="114" spans="1:5" ht="13" x14ac:dyDescent="0.15">
      <c r="A114" s="394"/>
      <c r="B114" s="394"/>
      <c r="C114" s="394"/>
      <c r="D114" s="394"/>
      <c r="E114" s="394"/>
    </row>
    <row r="115" spans="1:5" ht="13" x14ac:dyDescent="0.15">
      <c r="A115" s="394"/>
      <c r="B115" s="394"/>
      <c r="C115" s="394"/>
      <c r="D115" s="394"/>
      <c r="E115" s="394"/>
    </row>
    <row r="116" spans="1:5" ht="13" x14ac:dyDescent="0.15">
      <c r="A116" s="394"/>
      <c r="B116" s="394"/>
      <c r="C116" s="394"/>
      <c r="D116" s="394"/>
      <c r="E116" s="394"/>
    </row>
    <row r="117" spans="1:5" ht="13" x14ac:dyDescent="0.15">
      <c r="A117" s="394"/>
      <c r="B117" s="394"/>
      <c r="C117" s="394"/>
      <c r="D117" s="394"/>
      <c r="E117" s="394"/>
    </row>
    <row r="118" spans="1:5" ht="13" x14ac:dyDescent="0.15">
      <c r="A118" s="394"/>
      <c r="B118" s="394"/>
      <c r="C118" s="394"/>
      <c r="D118" s="394"/>
      <c r="E118" s="394"/>
    </row>
    <row r="119" spans="1:5" ht="13" x14ac:dyDescent="0.15">
      <c r="A119" s="394"/>
      <c r="B119" s="394"/>
      <c r="C119" s="394"/>
      <c r="D119" s="394"/>
      <c r="E119" s="394"/>
    </row>
    <row r="120" spans="1:5" ht="13" x14ac:dyDescent="0.15">
      <c r="A120" s="394"/>
      <c r="B120" s="394"/>
      <c r="C120" s="394"/>
      <c r="D120" s="394"/>
      <c r="E120" s="394"/>
    </row>
    <row r="121" spans="1:5" ht="13" x14ac:dyDescent="0.15">
      <c r="A121" s="394"/>
      <c r="B121" s="394"/>
      <c r="C121" s="394"/>
      <c r="D121" s="394"/>
      <c r="E121" s="394"/>
    </row>
    <row r="122" spans="1:5" ht="13" x14ac:dyDescent="0.15">
      <c r="A122" s="394"/>
      <c r="B122" s="394"/>
      <c r="C122" s="394"/>
      <c r="D122" s="394"/>
      <c r="E122" s="394"/>
    </row>
    <row r="123" spans="1:5" ht="13" x14ac:dyDescent="0.15">
      <c r="A123" s="394"/>
      <c r="B123" s="394"/>
      <c r="C123" s="394"/>
      <c r="D123" s="394"/>
      <c r="E123" s="394"/>
    </row>
    <row r="124" spans="1:5" ht="13" x14ac:dyDescent="0.15">
      <c r="A124" s="394"/>
      <c r="B124" s="394"/>
      <c r="C124" s="394"/>
      <c r="D124" s="394"/>
      <c r="E124" s="394"/>
    </row>
    <row r="125" spans="1:5" ht="13" x14ac:dyDescent="0.15">
      <c r="A125" s="394"/>
      <c r="B125" s="394"/>
      <c r="C125" s="394"/>
      <c r="D125" s="394"/>
      <c r="E125" s="394"/>
    </row>
    <row r="126" spans="1:5" ht="13" x14ac:dyDescent="0.15">
      <c r="A126" s="394"/>
      <c r="B126" s="394"/>
      <c r="C126" s="394"/>
      <c r="D126" s="394"/>
      <c r="E126" s="394"/>
    </row>
    <row r="127" spans="1:5" ht="13" x14ac:dyDescent="0.15">
      <c r="A127" s="394"/>
      <c r="B127" s="394"/>
      <c r="C127" s="394"/>
      <c r="D127" s="394"/>
      <c r="E127" s="394"/>
    </row>
    <row r="128" spans="1:5" ht="13" x14ac:dyDescent="0.15">
      <c r="A128" s="394"/>
      <c r="B128" s="394"/>
      <c r="C128" s="394"/>
      <c r="D128" s="394"/>
      <c r="E128" s="394"/>
    </row>
    <row r="129" spans="1:5" ht="13" x14ac:dyDescent="0.15">
      <c r="A129" s="394"/>
      <c r="B129" s="394"/>
      <c r="C129" s="394"/>
      <c r="D129" s="394"/>
      <c r="E129" s="394"/>
    </row>
    <row r="130" spans="1:5" ht="13" x14ac:dyDescent="0.15">
      <c r="A130" s="394"/>
      <c r="B130" s="394"/>
      <c r="C130" s="394"/>
      <c r="D130" s="394"/>
      <c r="E130" s="394"/>
    </row>
    <row r="131" spans="1:5" ht="13" x14ac:dyDescent="0.15">
      <c r="A131" s="394"/>
      <c r="B131" s="394"/>
      <c r="C131" s="394"/>
      <c r="D131" s="394"/>
      <c r="E131" s="394"/>
    </row>
    <row r="132" spans="1:5" ht="13" x14ac:dyDescent="0.15">
      <c r="A132" s="394"/>
      <c r="B132" s="394"/>
      <c r="C132" s="394"/>
      <c r="D132" s="394"/>
      <c r="E132" s="394"/>
    </row>
    <row r="133" spans="1:5" ht="13" x14ac:dyDescent="0.15">
      <c r="A133" s="394"/>
      <c r="B133" s="394"/>
      <c r="C133" s="394"/>
      <c r="D133" s="394"/>
      <c r="E133" s="394"/>
    </row>
    <row r="134" spans="1:5" ht="13" x14ac:dyDescent="0.15">
      <c r="A134" s="394"/>
      <c r="B134" s="394"/>
      <c r="C134" s="394"/>
      <c r="D134" s="394"/>
      <c r="E134" s="394"/>
    </row>
    <row r="135" spans="1:5" ht="13" x14ac:dyDescent="0.15">
      <c r="A135" s="394"/>
      <c r="B135" s="394"/>
      <c r="C135" s="394"/>
      <c r="D135" s="394"/>
      <c r="E135" s="394"/>
    </row>
    <row r="136" spans="1:5" ht="13" x14ac:dyDescent="0.15">
      <c r="A136" s="394"/>
      <c r="B136" s="394"/>
      <c r="C136" s="394"/>
      <c r="D136" s="394"/>
      <c r="E136" s="394"/>
    </row>
    <row r="137" spans="1:5" ht="13" x14ac:dyDescent="0.15">
      <c r="A137" s="394"/>
      <c r="B137" s="394"/>
      <c r="C137" s="394"/>
      <c r="D137" s="394"/>
      <c r="E137" s="394"/>
    </row>
    <row r="138" spans="1:5" ht="13" x14ac:dyDescent="0.15">
      <c r="A138" s="394"/>
      <c r="B138" s="394"/>
      <c r="C138" s="394"/>
      <c r="D138" s="394"/>
      <c r="E138" s="394"/>
    </row>
    <row r="139" spans="1:5" ht="13" x14ac:dyDescent="0.15">
      <c r="A139" s="394"/>
      <c r="B139" s="394"/>
      <c r="C139" s="394"/>
      <c r="D139" s="394"/>
      <c r="E139" s="394"/>
    </row>
    <row r="140" spans="1:5" ht="13" x14ac:dyDescent="0.15">
      <c r="A140" s="394"/>
      <c r="B140" s="394"/>
      <c r="C140" s="394"/>
      <c r="D140" s="394"/>
      <c r="E140" s="394"/>
    </row>
    <row r="141" spans="1:5" ht="13" x14ac:dyDescent="0.15">
      <c r="A141" s="394"/>
      <c r="B141" s="394"/>
      <c r="C141" s="394"/>
      <c r="D141" s="394"/>
      <c r="E141" s="394"/>
    </row>
    <row r="142" spans="1:5" ht="13" x14ac:dyDescent="0.15">
      <c r="A142" s="394"/>
      <c r="B142" s="394"/>
      <c r="C142" s="394"/>
      <c r="D142" s="394"/>
      <c r="E142" s="394"/>
    </row>
    <row r="143" spans="1:5" ht="13" x14ac:dyDescent="0.15">
      <c r="A143" s="394"/>
      <c r="B143" s="394"/>
      <c r="C143" s="394"/>
      <c r="D143" s="394"/>
      <c r="E143" s="394"/>
    </row>
    <row r="144" spans="1:5" ht="13" x14ac:dyDescent="0.15">
      <c r="A144" s="394"/>
      <c r="B144" s="394"/>
      <c r="C144" s="394"/>
      <c r="D144" s="394"/>
      <c r="E144" s="394"/>
    </row>
    <row r="145" spans="1:5" ht="13" x14ac:dyDescent="0.15">
      <c r="A145" s="394"/>
      <c r="B145" s="394"/>
      <c r="C145" s="394"/>
      <c r="D145" s="394"/>
      <c r="E145" s="394"/>
    </row>
    <row r="146" spans="1:5" ht="13" x14ac:dyDescent="0.15">
      <c r="A146" s="394"/>
      <c r="B146" s="394"/>
      <c r="C146" s="394"/>
      <c r="D146" s="394"/>
      <c r="E146" s="394"/>
    </row>
    <row r="147" spans="1:5" ht="13" x14ac:dyDescent="0.15">
      <c r="A147" s="394"/>
      <c r="B147" s="394"/>
      <c r="C147" s="394"/>
      <c r="D147" s="394"/>
      <c r="E147" s="394"/>
    </row>
    <row r="148" spans="1:5" ht="13" x14ac:dyDescent="0.15">
      <c r="A148" s="394"/>
      <c r="B148" s="394"/>
      <c r="C148" s="394"/>
      <c r="D148" s="394"/>
      <c r="E148" s="394"/>
    </row>
    <row r="149" spans="1:5" ht="13" x14ac:dyDescent="0.15">
      <c r="A149" s="394"/>
      <c r="B149" s="394"/>
      <c r="C149" s="394"/>
      <c r="D149" s="394"/>
      <c r="E149" s="394"/>
    </row>
    <row r="150" spans="1:5" ht="13" x14ac:dyDescent="0.15">
      <c r="A150" s="394"/>
      <c r="B150" s="394"/>
      <c r="C150" s="394"/>
      <c r="D150" s="394"/>
      <c r="E150" s="394"/>
    </row>
    <row r="151" spans="1:5" ht="13" x14ac:dyDescent="0.15">
      <c r="A151" s="394"/>
      <c r="B151" s="394"/>
      <c r="C151" s="394"/>
      <c r="D151" s="394"/>
      <c r="E151" s="394"/>
    </row>
    <row r="152" spans="1:5" ht="13" x14ac:dyDescent="0.15">
      <c r="A152" s="394"/>
      <c r="B152" s="394"/>
      <c r="C152" s="394"/>
      <c r="D152" s="394"/>
      <c r="E152" s="394"/>
    </row>
    <row r="153" spans="1:5" ht="13" x14ac:dyDescent="0.15">
      <c r="A153" s="394"/>
      <c r="B153" s="394"/>
      <c r="C153" s="394"/>
      <c r="D153" s="394"/>
      <c r="E153" s="394"/>
    </row>
    <row r="154" spans="1:5" ht="13" x14ac:dyDescent="0.15">
      <c r="A154" s="394"/>
      <c r="B154" s="394"/>
      <c r="C154" s="394"/>
      <c r="D154" s="394"/>
      <c r="E154" s="394"/>
    </row>
    <row r="155" spans="1:5" ht="13" x14ac:dyDescent="0.15">
      <c r="A155" s="394"/>
      <c r="B155" s="394"/>
      <c r="C155" s="394"/>
      <c r="D155" s="394"/>
      <c r="E155" s="394"/>
    </row>
    <row r="156" spans="1:5" ht="13" x14ac:dyDescent="0.15">
      <c r="A156" s="394"/>
      <c r="B156" s="394"/>
      <c r="C156" s="394"/>
      <c r="D156" s="394"/>
      <c r="E156" s="394"/>
    </row>
    <row r="157" spans="1:5" ht="13" x14ac:dyDescent="0.15">
      <c r="A157" s="394"/>
      <c r="B157" s="394"/>
      <c r="C157" s="394"/>
      <c r="D157" s="394"/>
      <c r="E157" s="394"/>
    </row>
    <row r="158" spans="1:5" ht="13" x14ac:dyDescent="0.15">
      <c r="A158" s="394"/>
      <c r="B158" s="394"/>
      <c r="C158" s="394"/>
      <c r="D158" s="394"/>
      <c r="E158" s="394"/>
    </row>
    <row r="159" spans="1:5" ht="13" x14ac:dyDescent="0.15">
      <c r="A159" s="394"/>
      <c r="B159" s="394"/>
      <c r="C159" s="394"/>
      <c r="D159" s="394"/>
      <c r="E159" s="394"/>
    </row>
    <row r="160" spans="1:5" ht="13" x14ac:dyDescent="0.15">
      <c r="A160" s="394"/>
      <c r="B160" s="394"/>
      <c r="C160" s="394"/>
      <c r="D160" s="394"/>
      <c r="E160" s="394"/>
    </row>
    <row r="161" spans="1:5" ht="13" x14ac:dyDescent="0.15">
      <c r="A161" s="394"/>
      <c r="B161" s="394"/>
      <c r="C161" s="394"/>
      <c r="D161" s="394"/>
      <c r="E161" s="394"/>
    </row>
    <row r="162" spans="1:5" ht="13" x14ac:dyDescent="0.15">
      <c r="A162" s="394"/>
      <c r="B162" s="394"/>
      <c r="C162" s="394"/>
      <c r="D162" s="394"/>
      <c r="E162" s="394"/>
    </row>
    <row r="163" spans="1:5" ht="13" x14ac:dyDescent="0.15">
      <c r="A163" s="394"/>
      <c r="B163" s="394"/>
      <c r="C163" s="394"/>
      <c r="D163" s="394"/>
      <c r="E163" s="394"/>
    </row>
    <row r="164" spans="1:5" ht="13" x14ac:dyDescent="0.15">
      <c r="A164" s="394"/>
      <c r="B164" s="394"/>
      <c r="C164" s="394"/>
      <c r="D164" s="394"/>
      <c r="E164" s="394"/>
    </row>
    <row r="165" spans="1:5" ht="13" x14ac:dyDescent="0.15">
      <c r="A165" s="394"/>
      <c r="B165" s="394"/>
      <c r="C165" s="394"/>
      <c r="D165" s="394"/>
      <c r="E165" s="394"/>
    </row>
    <row r="166" spans="1:5" ht="13" x14ac:dyDescent="0.15">
      <c r="A166" s="394"/>
      <c r="B166" s="394"/>
      <c r="C166" s="394"/>
      <c r="D166" s="394"/>
      <c r="E166" s="394"/>
    </row>
    <row r="167" spans="1:5" ht="13" x14ac:dyDescent="0.15">
      <c r="A167" s="394"/>
      <c r="B167" s="394"/>
      <c r="C167" s="394"/>
      <c r="D167" s="394"/>
      <c r="E167" s="394"/>
    </row>
    <row r="168" spans="1:5" ht="13" x14ac:dyDescent="0.15">
      <c r="A168" s="394"/>
      <c r="B168" s="394"/>
      <c r="C168" s="394"/>
      <c r="D168" s="394"/>
      <c r="E168" s="394"/>
    </row>
    <row r="169" spans="1:5" ht="13" x14ac:dyDescent="0.15">
      <c r="A169" s="394"/>
      <c r="B169" s="394"/>
      <c r="C169" s="394"/>
      <c r="D169" s="394"/>
      <c r="E169" s="394"/>
    </row>
    <row r="170" spans="1:5" ht="13" x14ac:dyDescent="0.15"/>
    <row r="171" spans="1:5" ht="13" x14ac:dyDescent="0.15"/>
  </sheetData>
  <mergeCells count="1">
    <mergeCell ref="A2:A3"/>
  </mergeCells>
  <phoneticPr fontId="66"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baseColWidth="10" defaultColWidth="11.5" defaultRowHeight="13" x14ac:dyDescent="0.15"/>
  <cols>
    <col min="1" max="1" width="27.1640625" bestFit="1" customWidth="1"/>
  </cols>
  <sheetData>
    <row r="1" spans="1:1" x14ac:dyDescent="0.15">
      <c r="A1" t="s">
        <v>87</v>
      </c>
    </row>
    <row r="2" spans="1:1" x14ac:dyDescent="0.15">
      <c r="A2" t="s">
        <v>88</v>
      </c>
    </row>
    <row r="3" spans="1:1" x14ac:dyDescent="0.15">
      <c r="A3" t="s">
        <v>89</v>
      </c>
    </row>
    <row r="4" spans="1:1" x14ac:dyDescent="0.15">
      <c r="A4" t="s">
        <v>90</v>
      </c>
    </row>
    <row r="5" spans="1:1" x14ac:dyDescent="0.15">
      <c r="A5" t="s">
        <v>91</v>
      </c>
    </row>
    <row r="6" spans="1:1" x14ac:dyDescent="0.15">
      <c r="A6" s="71" t="s">
        <v>92</v>
      </c>
    </row>
  </sheetData>
  <phoneticPr fontId="6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80" topLeftCell="Y1" activePane="topRight"/>
      <selection activeCell="AC36" sqref="AC36"/>
      <selection pane="topRight" activeCell="AB41" sqref="AB41"/>
    </sheetView>
  </sheetViews>
  <sheetFormatPr baseColWidth="10" defaultColWidth="11.5" defaultRowHeight="13" x14ac:dyDescent="0.15"/>
  <cols>
    <col min="1" max="1" width="24.5" bestFit="1" customWidth="1"/>
    <col min="2" max="2" width="11.33203125" customWidth="1"/>
    <col min="3" max="3" width="20" bestFit="1" customWidth="1"/>
    <col min="4" max="9" width="11.1640625" style="4" customWidth="1"/>
    <col min="10" max="11" width="8.83203125" style="4" bestFit="1" customWidth="1"/>
    <col min="12" max="12" width="9.5" style="4" bestFit="1" customWidth="1"/>
    <col min="13" max="13" width="9.1640625" style="4" bestFit="1" customWidth="1"/>
    <col min="14" max="16" width="9.33203125" style="4" bestFit="1" customWidth="1"/>
    <col min="17" max="20" width="9.5" style="4" bestFit="1" customWidth="1"/>
    <col min="21" max="21" width="10" style="4" bestFit="1" customWidth="1"/>
    <col min="22" max="22" width="9.83203125" style="4" bestFit="1" customWidth="1"/>
    <col min="23" max="23" width="10" style="4" bestFit="1" customWidth="1"/>
    <col min="24" max="25" width="9.83203125" style="4" bestFit="1" customWidth="1"/>
    <col min="26" max="26" width="10.1640625" style="4" bestFit="1" customWidth="1"/>
    <col min="27" max="28" width="10" style="4" bestFit="1" customWidth="1"/>
    <col min="29" max="29" width="10.5" style="4" bestFit="1" customWidth="1"/>
  </cols>
  <sheetData>
    <row r="1" spans="1:30" ht="20" x14ac:dyDescent="0.2">
      <c r="A1" s="676" t="s">
        <v>93</v>
      </c>
      <c r="B1" s="676"/>
      <c r="C1" s="676"/>
      <c r="D1" s="676"/>
      <c r="E1" s="676"/>
      <c r="F1" s="676"/>
      <c r="G1" s="676"/>
      <c r="H1" s="676"/>
      <c r="I1" s="676"/>
      <c r="J1" s="676"/>
      <c r="K1" s="676"/>
      <c r="L1" s="676"/>
    </row>
    <row r="2" spans="1:30" x14ac:dyDescent="0.15">
      <c r="A2" s="61"/>
      <c r="B2" s="61"/>
      <c r="C2" s="61"/>
      <c r="D2" s="61"/>
      <c r="E2" s="61"/>
      <c r="F2" s="61"/>
      <c r="G2" s="61"/>
      <c r="H2" s="61"/>
      <c r="I2" s="61"/>
      <c r="J2" s="61"/>
      <c r="K2" s="61"/>
      <c r="L2" s="61"/>
    </row>
    <row r="3" spans="1:30" x14ac:dyDescent="0.15">
      <c r="A3" s="61" t="s">
        <v>94</v>
      </c>
      <c r="B3" s="61"/>
      <c r="C3" s="61"/>
      <c r="D3" s="61"/>
      <c r="E3" s="61" t="s">
        <v>95</v>
      </c>
      <c r="F3" s="61"/>
      <c r="G3" s="61"/>
      <c r="H3" s="61"/>
      <c r="I3" s="61"/>
      <c r="J3" s="61"/>
      <c r="K3" s="61"/>
      <c r="L3" s="61"/>
    </row>
    <row r="4" spans="1:30" x14ac:dyDescent="0.15">
      <c r="A4" s="61"/>
      <c r="B4" s="61"/>
      <c r="C4" s="61"/>
      <c r="D4" s="61"/>
      <c r="E4" s="61"/>
      <c r="F4" s="61"/>
      <c r="G4" s="61"/>
      <c r="H4" s="61"/>
      <c r="I4" s="61"/>
      <c r="J4" s="61"/>
      <c r="K4" s="61"/>
      <c r="L4" s="61"/>
    </row>
    <row r="5" spans="1:30" x14ac:dyDescent="0.15">
      <c r="A5" s="61"/>
      <c r="B5" s="61"/>
      <c r="C5" s="61"/>
      <c r="D5" s="61"/>
      <c r="E5" s="61"/>
      <c r="F5" s="61"/>
      <c r="G5" s="61"/>
      <c r="H5" s="61"/>
      <c r="I5" s="61"/>
      <c r="J5" s="61"/>
      <c r="K5" s="61"/>
      <c r="L5" s="61"/>
    </row>
    <row r="6" spans="1:30" x14ac:dyDescent="0.15">
      <c r="A6" s="61"/>
      <c r="B6" s="61"/>
      <c r="C6" s="61"/>
      <c r="D6" s="61"/>
      <c r="E6" s="61"/>
      <c r="F6" s="61"/>
      <c r="G6" s="61"/>
      <c r="H6" s="61"/>
      <c r="I6" s="61"/>
      <c r="J6" s="61"/>
      <c r="K6" s="61"/>
      <c r="L6" s="61"/>
    </row>
    <row r="7" spans="1:30" x14ac:dyDescent="0.15">
      <c r="A7" s="61"/>
      <c r="B7" s="61"/>
      <c r="C7" s="61"/>
      <c r="D7" s="61"/>
      <c r="E7" s="61"/>
      <c r="F7" s="61"/>
      <c r="G7" s="61"/>
      <c r="H7" s="61"/>
      <c r="I7" s="61"/>
      <c r="J7" s="61"/>
      <c r="K7" s="61"/>
      <c r="L7" s="61"/>
    </row>
    <row r="8" spans="1:30" x14ac:dyDescent="0.15">
      <c r="A8" s="61"/>
      <c r="B8" s="61"/>
      <c r="C8" s="61"/>
      <c r="D8" s="61"/>
      <c r="E8" s="61"/>
      <c r="F8" s="61"/>
      <c r="G8" s="61"/>
      <c r="H8" s="61"/>
      <c r="I8" s="61"/>
      <c r="J8" s="61"/>
      <c r="K8" s="61"/>
      <c r="L8" s="61"/>
    </row>
    <row r="9" spans="1:30" x14ac:dyDescent="0.15">
      <c r="A9" s="61"/>
      <c r="B9" s="61"/>
      <c r="C9" s="61"/>
      <c r="D9" s="61"/>
      <c r="E9" s="61"/>
      <c r="F9" s="61"/>
      <c r="G9" s="61"/>
      <c r="H9" s="61"/>
      <c r="I9" s="61"/>
      <c r="J9" s="61"/>
      <c r="K9" s="61"/>
      <c r="L9" s="61"/>
    </row>
    <row r="10" spans="1:30" x14ac:dyDescent="0.15">
      <c r="A10" s="61"/>
      <c r="B10" s="61"/>
      <c r="C10" s="61"/>
      <c r="D10" s="61"/>
      <c r="E10" s="61"/>
      <c r="F10" s="61"/>
      <c r="G10" s="61"/>
      <c r="H10" s="61"/>
      <c r="I10" s="61"/>
      <c r="J10" s="61"/>
      <c r="K10" s="61"/>
      <c r="L10" s="61"/>
    </row>
    <row r="11" spans="1:30" x14ac:dyDescent="0.15">
      <c r="A11" s="61"/>
      <c r="B11" s="61"/>
      <c r="C11" s="61"/>
      <c r="D11" s="61"/>
      <c r="E11" s="61"/>
      <c r="F11" s="61"/>
      <c r="G11" s="61"/>
      <c r="H11" s="61"/>
      <c r="I11" s="61"/>
      <c r="J11" s="61"/>
      <c r="K11" s="61"/>
      <c r="L11" s="61"/>
    </row>
    <row r="12" spans="1:30" x14ac:dyDescent="0.15">
      <c r="A12" s="61"/>
      <c r="B12" s="61"/>
      <c r="C12" s="61"/>
      <c r="D12" s="61"/>
      <c r="E12" s="61"/>
      <c r="F12" s="61"/>
      <c r="G12" s="61"/>
      <c r="H12" s="61"/>
      <c r="I12" s="61"/>
      <c r="J12" s="61"/>
      <c r="K12" s="61"/>
      <c r="L12" s="61"/>
      <c r="Z12" s="1"/>
    </row>
    <row r="13" spans="1:30" x14ac:dyDescent="0.15">
      <c r="A13" s="61"/>
      <c r="B13" s="61"/>
      <c r="C13" s="61"/>
      <c r="D13" s="61"/>
      <c r="E13" s="61"/>
      <c r="F13" s="61"/>
      <c r="G13" s="61"/>
      <c r="H13" s="61"/>
      <c r="I13" s="61"/>
      <c r="J13" s="61"/>
      <c r="K13" s="61"/>
      <c r="L13" s="61"/>
    </row>
    <row r="14" spans="1:30" x14ac:dyDescent="0.15">
      <c r="A14" s="61"/>
      <c r="B14" s="61"/>
      <c r="C14" s="61"/>
      <c r="D14" s="61"/>
      <c r="E14" s="61"/>
      <c r="F14" s="61"/>
      <c r="G14" s="61"/>
      <c r="H14" s="61"/>
      <c r="I14" s="61"/>
      <c r="J14" s="61"/>
      <c r="K14" s="61"/>
      <c r="L14" s="61"/>
    </row>
    <row r="15" spans="1:30" x14ac:dyDescent="0.15">
      <c r="A15" s="61"/>
      <c r="B15" s="61"/>
      <c r="C15" s="61"/>
      <c r="D15" s="61"/>
      <c r="E15" s="61"/>
      <c r="F15" s="61"/>
      <c r="G15" s="61"/>
      <c r="H15" s="61"/>
      <c r="I15" s="61"/>
      <c r="J15" s="61"/>
      <c r="K15" s="61"/>
      <c r="L15" s="61"/>
      <c r="AD15" s="71"/>
    </row>
    <row r="16" spans="1:30" x14ac:dyDescent="0.15">
      <c r="A16" s="61" t="s">
        <v>96</v>
      </c>
      <c r="B16" s="61"/>
      <c r="C16" s="61"/>
      <c r="D16" s="61"/>
      <c r="E16" s="61" t="s">
        <v>97</v>
      </c>
      <c r="F16" s="61"/>
      <c r="G16" s="61"/>
      <c r="H16" s="61"/>
      <c r="I16" s="61"/>
      <c r="J16" s="61"/>
      <c r="K16" s="61"/>
      <c r="L16" s="61"/>
      <c r="AD16" s="71"/>
    </row>
    <row r="17" spans="4:30" x14ac:dyDescent="0.15">
      <c r="AD17" s="71"/>
    </row>
    <row r="18" spans="4:30" x14ac:dyDescent="0.15">
      <c r="AD18" s="71"/>
    </row>
    <row r="19" spans="4:30" x14ac:dyDescent="0.15">
      <c r="AD19" s="71"/>
    </row>
    <row r="20" spans="4:30" x14ac:dyDescent="0.15">
      <c r="AD20" s="71"/>
    </row>
    <row r="21" spans="4:30" x14ac:dyDescent="0.15">
      <c r="AD21" s="71"/>
    </row>
    <row r="22" spans="4:30" x14ac:dyDescent="0.15">
      <c r="AD22" s="71"/>
    </row>
    <row r="23" spans="4:30" x14ac:dyDescent="0.15">
      <c r="AD23" s="71"/>
    </row>
    <row r="24" spans="4:30" x14ac:dyDescent="0.15">
      <c r="AD24" s="71"/>
    </row>
    <row r="25" spans="4:30" x14ac:dyDescent="0.15">
      <c r="AD25" s="71"/>
    </row>
    <row r="26" spans="4:30" x14ac:dyDescent="0.15">
      <c r="K26" s="106"/>
      <c r="AD26" s="71"/>
    </row>
    <row r="27" spans="4:30" x14ac:dyDescent="0.15">
      <c r="K27" s="106"/>
      <c r="AD27" s="71"/>
    </row>
    <row r="31" spans="4:30" x14ac:dyDescent="0.15">
      <c r="D31" s="171">
        <v>1E-3</v>
      </c>
      <c r="E31" s="172">
        <f>1/((1+$B$59+$D31)^(E35-2021))</f>
        <v>0.92250922509225108</v>
      </c>
      <c r="F31" s="172">
        <f t="shared" ref="F31:AC31" si="0">1/((1+$B$59+$D31)^(F35-2021))</f>
        <v>0.85102327038030556</v>
      </c>
      <c r="G31" s="172">
        <f t="shared" si="0"/>
        <v>0.78507681769400894</v>
      </c>
      <c r="H31" s="172">
        <f t="shared" si="0"/>
        <v>0.72424060672879054</v>
      </c>
      <c r="I31" s="172">
        <f t="shared" si="0"/>
        <v>0.66811864089371831</v>
      </c>
      <c r="J31" s="172">
        <f t="shared" si="0"/>
        <v>0.61634560968055208</v>
      </c>
      <c r="K31" s="172">
        <f t="shared" si="0"/>
        <v>0.56858451077541716</v>
      </c>
      <c r="L31" s="172">
        <f t="shared" si="0"/>
        <v>0.52452445643488677</v>
      </c>
      <c r="M31" s="172">
        <f t="shared" si="0"/>
        <v>0.48387864984768159</v>
      </c>
      <c r="N31" s="172">
        <f t="shared" si="0"/>
        <v>0.44638251830966935</v>
      </c>
      <c r="O31" s="172">
        <f t="shared" si="0"/>
        <v>0.41179199106058068</v>
      </c>
      <c r="P31" s="172">
        <f t="shared" si="0"/>
        <v>0.37988191057249149</v>
      </c>
      <c r="Q31" s="172">
        <f t="shared" si="0"/>
        <v>0.35044456694879283</v>
      </c>
      <c r="R31" s="172">
        <f t="shared" si="0"/>
        <v>0.32328834589372041</v>
      </c>
      <c r="S31" s="172">
        <f t="shared" si="0"/>
        <v>0.29823648145177167</v>
      </c>
      <c r="T31" s="172">
        <f t="shared" si="0"/>
        <v>0.27512590539831339</v>
      </c>
      <c r="U31" s="172">
        <f t="shared" si="0"/>
        <v>0.25380618579180203</v>
      </c>
      <c r="V31" s="172">
        <f t="shared" si="0"/>
        <v>0.2341385477784152</v>
      </c>
      <c r="W31" s="172">
        <f t="shared" si="0"/>
        <v>0.21599497027529083</v>
      </c>
      <c r="X31" s="172">
        <f t="shared" si="0"/>
        <v>0.19925735265248232</v>
      </c>
      <c r="Y31" s="172">
        <f t="shared" si="0"/>
        <v>0.18381674598937486</v>
      </c>
      <c r="Z31" s="172">
        <f t="shared" si="0"/>
        <v>0.16957264390163737</v>
      </c>
      <c r="AA31" s="172">
        <f t="shared" si="0"/>
        <v>0.1564323283225437</v>
      </c>
      <c r="AB31" s="172">
        <f t="shared" si="0"/>
        <v>0.14431026598020638</v>
      </c>
      <c r="AC31" s="172">
        <f t="shared" si="0"/>
        <v>0.13312755164225684</v>
      </c>
    </row>
    <row r="32" spans="4:30" x14ac:dyDescent="0.15">
      <c r="D32" s="173">
        <v>5.0000000000000001E-3</v>
      </c>
      <c r="E32" s="172">
        <f>1/((1+$B$59+$D32)^(E35-2021))</f>
        <v>0.91911764705882371</v>
      </c>
      <c r="F32" s="172">
        <f t="shared" ref="F32:AC32" si="1">1/((1+$B$59+$D32)^(F35-2021))</f>
        <v>0.84477724913494834</v>
      </c>
      <c r="G32" s="172">
        <f t="shared" si="1"/>
        <v>0.77644967751373939</v>
      </c>
      <c r="H32" s="172">
        <f t="shared" si="1"/>
        <v>0.71364860065601055</v>
      </c>
      <c r="I32" s="172">
        <f t="shared" si="1"/>
        <v>0.65592702266177449</v>
      </c>
      <c r="J32" s="172">
        <f t="shared" si="1"/>
        <v>0.60287410171118994</v>
      </c>
      <c r="K32" s="172">
        <f t="shared" si="1"/>
        <v>0.55411222583749076</v>
      </c>
      <c r="L32" s="172">
        <f t="shared" si="1"/>
        <v>0.509294325218282</v>
      </c>
      <c r="M32" s="172">
        <f t="shared" si="1"/>
        <v>0.46810140185503862</v>
      </c>
      <c r="N32" s="172">
        <f t="shared" si="1"/>
        <v>0.43024025905793994</v>
      </c>
      <c r="O32" s="172">
        <f t="shared" si="1"/>
        <v>0.39544141457531257</v>
      </c>
      <c r="P32" s="172">
        <f t="shared" si="1"/>
        <v>0.36345718251407405</v>
      </c>
      <c r="Q32" s="172">
        <f t="shared" si="1"/>
        <v>0.33405991039896515</v>
      </c>
      <c r="R32" s="172">
        <f t="shared" si="1"/>
        <v>0.30704035882257835</v>
      </c>
      <c r="S32" s="172">
        <f t="shared" si="1"/>
        <v>0.28220621215310515</v>
      </c>
      <c r="T32" s="172">
        <f t="shared" si="1"/>
        <v>0.25938070969954519</v>
      </c>
      <c r="U32" s="172">
        <f t="shared" si="1"/>
        <v>0.23840138759149374</v>
      </c>
      <c r="V32" s="172">
        <f t="shared" si="1"/>
        <v>0.21911892241865238</v>
      </c>
      <c r="W32" s="172">
        <f t="shared" si="1"/>
        <v>0.2013960683994967</v>
      </c>
      <c r="X32" s="172">
        <f t="shared" si="1"/>
        <v>0.18510668051424331</v>
      </c>
      <c r="Y32" s="172">
        <f t="shared" si="1"/>
        <v>0.17013481664912072</v>
      </c>
      <c r="Z32" s="172">
        <f t="shared" si="1"/>
        <v>0.15637391236132422</v>
      </c>
      <c r="AA32" s="172">
        <f t="shared" si="1"/>
        <v>0.143726022390923</v>
      </c>
      <c r="AB32" s="172">
        <f t="shared" si="1"/>
        <v>0.13210112352106895</v>
      </c>
      <c r="AC32" s="172">
        <f t="shared" si="1"/>
        <v>0.1214164738245119</v>
      </c>
    </row>
    <row r="33" spans="1:30" x14ac:dyDescent="0.15">
      <c r="D33" s="75" t="s">
        <v>98</v>
      </c>
      <c r="E33" s="172">
        <f>1/((1+$B$59)^(E35-2021))</f>
        <v>0.92336103416435833</v>
      </c>
      <c r="F33" s="172">
        <f t="shared" ref="F33:AC33" si="2">1/((1+$B$59)^(F35-2021))</f>
        <v>0.85259559941307328</v>
      </c>
      <c r="G33" s="172">
        <f t="shared" si="2"/>
        <v>0.78725355439803635</v>
      </c>
      <c r="H33" s="172">
        <f t="shared" si="2"/>
        <v>0.72691925613853769</v>
      </c>
      <c r="I33" s="172">
        <f t="shared" si="2"/>
        <v>0.67120891610206623</v>
      </c>
      <c r="J33" s="172">
        <f t="shared" si="2"/>
        <v>0.61976815891234194</v>
      </c>
      <c r="K33" s="172">
        <f t="shared" si="2"/>
        <v>0.57226976815544039</v>
      </c>
      <c r="L33" s="172">
        <f t="shared" si="2"/>
        <v>0.52841160494500505</v>
      </c>
      <c r="M33" s="172">
        <f t="shared" si="2"/>
        <v>0.48791468600646815</v>
      </c>
      <c r="N33" s="172">
        <f t="shared" si="2"/>
        <v>0.45052140905491062</v>
      </c>
      <c r="O33" s="172">
        <f t="shared" si="2"/>
        <v>0.4159939141781262</v>
      </c>
      <c r="P33" s="172">
        <f t="shared" si="2"/>
        <v>0.38411257080159389</v>
      </c>
      <c r="Q33" s="172">
        <f t="shared" si="2"/>
        <v>0.35467458061089008</v>
      </c>
      <c r="R33" s="172">
        <f t="shared" si="2"/>
        <v>0.32749268754468147</v>
      </c>
      <c r="S33" s="172">
        <f t="shared" si="2"/>
        <v>0.30239398665252215</v>
      </c>
      <c r="T33" s="172">
        <f t="shared" si="2"/>
        <v>0.27921882424055605</v>
      </c>
      <c r="U33" s="172">
        <f t="shared" si="2"/>
        <v>0.25781978230891606</v>
      </c>
      <c r="V33" s="172">
        <f t="shared" si="2"/>
        <v>0.23806074082079043</v>
      </c>
      <c r="W33" s="172">
        <f t="shared" si="2"/>
        <v>0.21981601183821831</v>
      </c>
      <c r="X33" s="172">
        <f t="shared" si="2"/>
        <v>0.2029695400168221</v>
      </c>
      <c r="Y33" s="172">
        <f t="shared" si="2"/>
        <v>0.18741416437379693</v>
      </c>
      <c r="Z33" s="172">
        <f t="shared" si="2"/>
        <v>0.1730509366332382</v>
      </c>
      <c r="AA33" s="172">
        <f t="shared" si="2"/>
        <v>0.15978849181277768</v>
      </c>
      <c r="AB33" s="172">
        <f t="shared" si="2"/>
        <v>0.14754246704780949</v>
      </c>
      <c r="AC33" s="172">
        <f t="shared" si="2"/>
        <v>0.13623496495642612</v>
      </c>
    </row>
    <row r="35" spans="1:30" x14ac:dyDescent="0.15">
      <c r="B35" s="34" t="s">
        <v>99</v>
      </c>
      <c r="C35" s="34" t="s">
        <v>100</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5" customFormat="1" x14ac:dyDescent="0.15">
      <c r="A36" s="31" t="s">
        <v>15</v>
      </c>
      <c r="B36" s="51" t="e">
        <f>#REF!</f>
        <v>#REF!</v>
      </c>
      <c r="C36" s="51" t="e">
        <f>#REF!</f>
        <v>#REF!</v>
      </c>
      <c r="D36" s="125">
        <v>0.35</v>
      </c>
      <c r="E36" s="125">
        <v>3.4000000000000002E-2</v>
      </c>
      <c r="F36" s="125">
        <v>9.5000000000000001E-2</v>
      </c>
      <c r="G36" s="125">
        <v>9.5000000000000001E-2</v>
      </c>
      <c r="H36" s="125">
        <v>9.5000000000000001E-2</v>
      </c>
      <c r="I36" s="125">
        <v>9.5000000000000001E-2</v>
      </c>
      <c r="J36" s="125">
        <v>9.5000000000000001E-2</v>
      </c>
      <c r="K36" s="51">
        <v>0.08</v>
      </c>
      <c r="L36" s="51">
        <v>0.06</v>
      </c>
      <c r="M36" s="51">
        <v>0.05</v>
      </c>
      <c r="N36" s="51">
        <v>0.04</v>
      </c>
      <c r="O36" s="51">
        <v>3.5000000000000003E-2</v>
      </c>
      <c r="P36" s="51">
        <v>3.5000000000000003E-2</v>
      </c>
      <c r="Q36" s="51">
        <v>3.5000000000000003E-2</v>
      </c>
      <c r="R36" s="51">
        <v>3.5000000000000003E-2</v>
      </c>
      <c r="S36" s="51">
        <v>3.5000000000000003E-2</v>
      </c>
      <c r="T36" s="51">
        <v>3.5000000000000003E-2</v>
      </c>
      <c r="U36" s="51">
        <v>3.5000000000000003E-2</v>
      </c>
      <c r="V36" s="51">
        <v>3.5000000000000003E-2</v>
      </c>
      <c r="W36" s="51">
        <v>3.5000000000000003E-2</v>
      </c>
      <c r="X36" s="51">
        <v>3.5000000000000003E-2</v>
      </c>
      <c r="Y36" s="51">
        <v>3.5000000000000003E-2</v>
      </c>
      <c r="Z36" s="51">
        <v>3.5000000000000003E-2</v>
      </c>
      <c r="AA36" s="51">
        <v>3.5000000000000003E-2</v>
      </c>
      <c r="AB36" s="51">
        <v>3.5000000000000003E-2</v>
      </c>
      <c r="AC36" s="51">
        <v>3.5000000000000003E-2</v>
      </c>
    </row>
    <row r="37" spans="1:30" s="7" customFormat="1" x14ac:dyDescent="0.15">
      <c r="A37" s="82" t="s">
        <v>94</v>
      </c>
      <c r="B37" s="62" t="e">
        <f>#REF!</f>
        <v>#REF!</v>
      </c>
      <c r="C37" s="62" t="e">
        <f>#REF!</f>
        <v>#REF!</v>
      </c>
      <c r="D37" s="1" t="e">
        <f>#REF!*(1+D36)</f>
        <v>#REF!</v>
      </c>
      <c r="E37" s="1" t="e">
        <f t="shared" ref="E37:AC37" si="4">D37*(1+E36)</f>
        <v>#REF!</v>
      </c>
      <c r="F37" s="1" t="e">
        <f t="shared" si="4"/>
        <v>#REF!</v>
      </c>
      <c r="G37" s="1" t="e">
        <f t="shared" si="4"/>
        <v>#REF!</v>
      </c>
      <c r="H37" s="1" t="e">
        <f t="shared" si="4"/>
        <v>#REF!</v>
      </c>
      <c r="I37" s="1" t="e">
        <f t="shared" si="4"/>
        <v>#REF!</v>
      </c>
      <c r="J37" s="1" t="e">
        <f t="shared" si="4"/>
        <v>#REF!</v>
      </c>
      <c r="K37" s="1" t="e">
        <f t="shared" si="4"/>
        <v>#REF!</v>
      </c>
      <c r="L37" s="1" t="e">
        <f t="shared" si="4"/>
        <v>#REF!</v>
      </c>
      <c r="M37" s="1" t="e">
        <f t="shared" si="4"/>
        <v>#REF!</v>
      </c>
      <c r="N37" s="1" t="e">
        <f t="shared" si="4"/>
        <v>#REF!</v>
      </c>
      <c r="O37" s="1" t="e">
        <f t="shared" si="4"/>
        <v>#REF!</v>
      </c>
      <c r="P37" s="1" t="e">
        <f t="shared" si="4"/>
        <v>#REF!</v>
      </c>
      <c r="Q37" s="1" t="e">
        <f t="shared" si="4"/>
        <v>#REF!</v>
      </c>
      <c r="R37" s="1" t="e">
        <f t="shared" si="4"/>
        <v>#REF!</v>
      </c>
      <c r="S37" s="1" t="e">
        <f t="shared" si="4"/>
        <v>#REF!</v>
      </c>
      <c r="T37" s="1" t="e">
        <f t="shared" si="4"/>
        <v>#REF!</v>
      </c>
      <c r="U37" s="1" t="e">
        <f t="shared" si="4"/>
        <v>#REF!</v>
      </c>
      <c r="V37" s="1" t="e">
        <f t="shared" si="4"/>
        <v>#REF!</v>
      </c>
      <c r="W37" s="1" t="e">
        <f t="shared" si="4"/>
        <v>#REF!</v>
      </c>
      <c r="X37" s="1" t="e">
        <f t="shared" si="4"/>
        <v>#REF!</v>
      </c>
      <c r="Y37" s="1" t="e">
        <f t="shared" si="4"/>
        <v>#REF!</v>
      </c>
      <c r="Z37" s="1" t="e">
        <f t="shared" si="4"/>
        <v>#REF!</v>
      </c>
      <c r="AA37" s="1" t="e">
        <f t="shared" si="4"/>
        <v>#REF!</v>
      </c>
      <c r="AB37" s="1" t="e">
        <f t="shared" si="4"/>
        <v>#REF!</v>
      </c>
      <c r="AC37" s="1" t="e">
        <f t="shared" si="4"/>
        <v>#REF!</v>
      </c>
    </row>
    <row r="38" spans="1:30" s="15" customFormat="1" x14ac:dyDescent="0.15">
      <c r="A38" s="31" t="s">
        <v>95</v>
      </c>
      <c r="B38" s="68" t="e">
        <f>+#REF!</f>
        <v>#REF!</v>
      </c>
      <c r="C38" s="68" t="e">
        <f>+#REF!</f>
        <v>#REF!</v>
      </c>
      <c r="D38" s="125">
        <f>108166.4/365513.2</f>
        <v>0.29593021537936248</v>
      </c>
      <c r="E38" s="125">
        <f>108162.8/377959.8</f>
        <v>0.28617540807249875</v>
      </c>
      <c r="F38" s="125">
        <v>0.27</v>
      </c>
      <c r="G38" s="125">
        <v>0.27500000000000002</v>
      </c>
      <c r="H38" s="125">
        <v>0.26</v>
      </c>
      <c r="I38" s="125">
        <v>0.255</v>
      </c>
      <c r="J38" s="125">
        <v>0.25</v>
      </c>
      <c r="K38" s="51">
        <v>0.25</v>
      </c>
      <c r="L38" s="51">
        <v>0.25</v>
      </c>
      <c r="M38" s="51">
        <v>0.25</v>
      </c>
      <c r="N38" s="51">
        <v>0.25</v>
      </c>
      <c r="O38" s="51">
        <v>0.25</v>
      </c>
      <c r="P38" s="51">
        <v>0.25</v>
      </c>
      <c r="Q38" s="51">
        <v>0.25</v>
      </c>
      <c r="R38" s="51">
        <v>0.25</v>
      </c>
      <c r="S38" s="51">
        <v>0.25</v>
      </c>
      <c r="T38" s="51">
        <v>0.25</v>
      </c>
      <c r="U38" s="51">
        <v>0.25</v>
      </c>
      <c r="V38" s="51">
        <v>0.25</v>
      </c>
      <c r="W38" s="51">
        <v>0.25</v>
      </c>
      <c r="X38" s="51">
        <v>0.25</v>
      </c>
      <c r="Y38" s="51">
        <v>0.25</v>
      </c>
      <c r="Z38" s="51">
        <v>0.25</v>
      </c>
      <c r="AA38" s="51">
        <v>0.25</v>
      </c>
      <c r="AB38" s="51">
        <v>0.25</v>
      </c>
      <c r="AC38" s="51">
        <v>0.25</v>
      </c>
    </row>
    <row r="39" spans="1:30" x14ac:dyDescent="0.15">
      <c r="A39" s="71" t="s">
        <v>101</v>
      </c>
      <c r="B39" s="62">
        <v>63930</v>
      </c>
      <c r="C39" s="62">
        <v>66288</v>
      </c>
      <c r="D39" s="1" t="e">
        <f t="shared" ref="D39:AC39" si="5">D37*D38</f>
        <v>#REF!</v>
      </c>
      <c r="E39" s="1" t="e">
        <f t="shared" si="5"/>
        <v>#REF!</v>
      </c>
      <c r="F39" s="1" t="e">
        <f t="shared" si="5"/>
        <v>#REF!</v>
      </c>
      <c r="G39" s="1" t="e">
        <f t="shared" si="5"/>
        <v>#REF!</v>
      </c>
      <c r="H39" s="1" t="e">
        <f t="shared" si="5"/>
        <v>#REF!</v>
      </c>
      <c r="I39" s="1" t="e">
        <f t="shared" si="5"/>
        <v>#REF!</v>
      </c>
      <c r="J39" s="1" t="e">
        <f t="shared" si="5"/>
        <v>#REF!</v>
      </c>
      <c r="K39" s="1" t="e">
        <f t="shared" si="5"/>
        <v>#REF!</v>
      </c>
      <c r="L39" s="1" t="e">
        <f t="shared" si="5"/>
        <v>#REF!</v>
      </c>
      <c r="M39" s="1" t="e">
        <f t="shared" si="5"/>
        <v>#REF!</v>
      </c>
      <c r="N39" s="1" t="e">
        <f t="shared" si="5"/>
        <v>#REF!</v>
      </c>
      <c r="O39" s="1" t="e">
        <f t="shared" si="5"/>
        <v>#REF!</v>
      </c>
      <c r="P39" s="1" t="e">
        <f t="shared" si="5"/>
        <v>#REF!</v>
      </c>
      <c r="Q39" s="1" t="e">
        <f t="shared" si="5"/>
        <v>#REF!</v>
      </c>
      <c r="R39" s="1" t="e">
        <f t="shared" si="5"/>
        <v>#REF!</v>
      </c>
      <c r="S39" s="1" t="e">
        <f t="shared" si="5"/>
        <v>#REF!</v>
      </c>
      <c r="T39" s="1" t="e">
        <f t="shared" si="5"/>
        <v>#REF!</v>
      </c>
      <c r="U39" s="1" t="e">
        <f t="shared" si="5"/>
        <v>#REF!</v>
      </c>
      <c r="V39" s="1" t="e">
        <f t="shared" si="5"/>
        <v>#REF!</v>
      </c>
      <c r="W39" s="1" t="e">
        <f t="shared" si="5"/>
        <v>#REF!</v>
      </c>
      <c r="X39" s="1" t="e">
        <f t="shared" si="5"/>
        <v>#REF!</v>
      </c>
      <c r="Y39" s="1" t="e">
        <f t="shared" si="5"/>
        <v>#REF!</v>
      </c>
      <c r="Z39" s="1" t="e">
        <f t="shared" si="5"/>
        <v>#REF!</v>
      </c>
      <c r="AA39" s="1" t="e">
        <f t="shared" si="5"/>
        <v>#REF!</v>
      </c>
      <c r="AB39" s="1" t="e">
        <f t="shared" si="5"/>
        <v>#REF!</v>
      </c>
      <c r="AC39" s="1" t="e">
        <f t="shared" si="5"/>
        <v>#REF!</v>
      </c>
    </row>
    <row r="40" spans="1:30" x14ac:dyDescent="0.15">
      <c r="A40" s="71" t="s">
        <v>102</v>
      </c>
      <c r="B40" s="62" t="e">
        <f>#REF!</f>
        <v>#REF!</v>
      </c>
      <c r="C40" s="62" t="e">
        <f>#REF!</f>
        <v>#REF!</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15">
      <c r="A41" s="82" t="s">
        <v>103</v>
      </c>
      <c r="B41" s="62" t="e">
        <f>+B39+B40</f>
        <v>#REF!</v>
      </c>
      <c r="C41" s="62" t="e">
        <f>+C39+C40</f>
        <v>#REF!</v>
      </c>
      <c r="D41" s="1" t="e">
        <f>D39+D40</f>
        <v>#REF!</v>
      </c>
      <c r="E41" s="1" t="e">
        <f t="shared" ref="E41:AC41" si="7">E39+E40</f>
        <v>#REF!</v>
      </c>
      <c r="F41" s="1" t="e">
        <f t="shared" si="7"/>
        <v>#REF!</v>
      </c>
      <c r="G41" s="1" t="e">
        <f t="shared" si="7"/>
        <v>#REF!</v>
      </c>
      <c r="H41" s="1" t="e">
        <f t="shared" si="7"/>
        <v>#REF!</v>
      </c>
      <c r="I41" s="1" t="e">
        <f t="shared" si="7"/>
        <v>#REF!</v>
      </c>
      <c r="J41" s="1" t="e">
        <f t="shared" si="7"/>
        <v>#REF!</v>
      </c>
      <c r="K41" s="1" t="e">
        <f t="shared" si="7"/>
        <v>#REF!</v>
      </c>
      <c r="L41" s="1" t="e">
        <f t="shared" si="7"/>
        <v>#REF!</v>
      </c>
      <c r="M41" s="1" t="e">
        <f t="shared" si="7"/>
        <v>#REF!</v>
      </c>
      <c r="N41" s="1" t="e">
        <f t="shared" si="7"/>
        <v>#REF!</v>
      </c>
      <c r="O41" s="1" t="e">
        <f t="shared" si="7"/>
        <v>#REF!</v>
      </c>
      <c r="P41" s="1" t="e">
        <f t="shared" si="7"/>
        <v>#REF!</v>
      </c>
      <c r="Q41" s="1" t="e">
        <f t="shared" si="7"/>
        <v>#REF!</v>
      </c>
      <c r="R41" s="1" t="e">
        <f t="shared" si="7"/>
        <v>#REF!</v>
      </c>
      <c r="S41" s="1" t="e">
        <f t="shared" si="7"/>
        <v>#REF!</v>
      </c>
      <c r="T41" s="1" t="e">
        <f t="shared" si="7"/>
        <v>#REF!</v>
      </c>
      <c r="U41" s="1" t="e">
        <f t="shared" si="7"/>
        <v>#REF!</v>
      </c>
      <c r="V41" s="1" t="e">
        <f t="shared" si="7"/>
        <v>#REF!</v>
      </c>
      <c r="W41" s="1" t="e">
        <f t="shared" si="7"/>
        <v>#REF!</v>
      </c>
      <c r="X41" s="1" t="e">
        <f t="shared" si="7"/>
        <v>#REF!</v>
      </c>
      <c r="Y41" s="1" t="e">
        <f t="shared" si="7"/>
        <v>#REF!</v>
      </c>
      <c r="Z41" s="1" t="e">
        <f t="shared" si="7"/>
        <v>#REF!</v>
      </c>
      <c r="AA41" s="1" t="e">
        <f t="shared" si="7"/>
        <v>#REF!</v>
      </c>
      <c r="AB41" s="1" t="e">
        <f t="shared" si="7"/>
        <v>#REF!</v>
      </c>
      <c r="AC41" s="1" t="e">
        <f t="shared" si="7"/>
        <v>#REF!</v>
      </c>
    </row>
    <row r="42" spans="1:30" s="15" customFormat="1" x14ac:dyDescent="0.15">
      <c r="A42" s="32" t="s">
        <v>104</v>
      </c>
      <c r="B42" s="33">
        <v>-1385</v>
      </c>
      <c r="C42" s="33">
        <v>-890</v>
      </c>
      <c r="D42" s="33">
        <f t="shared" ref="D42:AC42" si="8">(C48)*$H$60</f>
        <v>-1124.3600000000001</v>
      </c>
      <c r="E42" s="33">
        <f t="shared" si="8"/>
        <v>-1113.1164000000001</v>
      </c>
      <c r="F42" s="33">
        <f t="shared" si="8"/>
        <v>-1113.1164000000001</v>
      </c>
      <c r="G42" s="33">
        <f t="shared" si="8"/>
        <v>-1113.1164000000001</v>
      </c>
      <c r="H42" s="33">
        <f t="shared" si="8"/>
        <v>-1113.1164000000001</v>
      </c>
      <c r="I42" s="33">
        <f t="shared" si="8"/>
        <v>-1113.1164000000001</v>
      </c>
      <c r="J42" s="33">
        <f t="shared" si="8"/>
        <v>-1113.1164000000001</v>
      </c>
      <c r="K42" s="33">
        <f t="shared" si="8"/>
        <v>-1113.1164000000001</v>
      </c>
      <c r="L42" s="33">
        <f t="shared" si="8"/>
        <v>-1113.1164000000001</v>
      </c>
      <c r="M42" s="33">
        <f t="shared" si="8"/>
        <v>-1113.1164000000001</v>
      </c>
      <c r="N42" s="33">
        <f t="shared" si="8"/>
        <v>-1113.1164000000001</v>
      </c>
      <c r="O42" s="33">
        <f t="shared" si="8"/>
        <v>-1113.1164000000001</v>
      </c>
      <c r="P42" s="33">
        <f t="shared" si="8"/>
        <v>-1113.1164000000001</v>
      </c>
      <c r="Q42" s="33">
        <f t="shared" si="8"/>
        <v>-1113.1164000000001</v>
      </c>
      <c r="R42" s="33">
        <f t="shared" si="8"/>
        <v>-1113.1164000000001</v>
      </c>
      <c r="S42" s="33">
        <f t="shared" si="8"/>
        <v>-1113.1164000000001</v>
      </c>
      <c r="T42" s="33">
        <f t="shared" si="8"/>
        <v>-1113.1164000000001</v>
      </c>
      <c r="U42" s="33">
        <f t="shared" si="8"/>
        <v>-1113.1164000000001</v>
      </c>
      <c r="V42" s="33">
        <f t="shared" si="8"/>
        <v>-1113.1164000000001</v>
      </c>
      <c r="W42" s="33">
        <f t="shared" si="8"/>
        <v>-1113.1164000000001</v>
      </c>
      <c r="X42" s="33">
        <f t="shared" si="8"/>
        <v>-1113.1164000000001</v>
      </c>
      <c r="Y42" s="33">
        <f t="shared" si="8"/>
        <v>-1113.1164000000001</v>
      </c>
      <c r="Z42" s="33">
        <f t="shared" si="8"/>
        <v>-1113.1164000000001</v>
      </c>
      <c r="AA42" s="33">
        <f t="shared" si="8"/>
        <v>-1113.1164000000001</v>
      </c>
      <c r="AB42" s="33">
        <f t="shared" si="8"/>
        <v>-1113.1164000000001</v>
      </c>
      <c r="AC42" s="33">
        <f t="shared" si="8"/>
        <v>-1113.1164000000001</v>
      </c>
    </row>
    <row r="43" spans="1:30" x14ac:dyDescent="0.15">
      <c r="A43" s="82" t="s">
        <v>105</v>
      </c>
      <c r="B43" s="62">
        <f>-422-2817</f>
        <v>-3239</v>
      </c>
      <c r="C43" s="62">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15">
      <c r="A44" s="82" t="s">
        <v>106</v>
      </c>
      <c r="B44" s="62">
        <f>B39-B42-B43</f>
        <v>68554</v>
      </c>
      <c r="C44" s="62">
        <f>C39-C42-C43</f>
        <v>70725</v>
      </c>
      <c r="D44" s="1" t="e">
        <f>D39-D42-D43</f>
        <v>#REF!</v>
      </c>
      <c r="E44" s="1" t="e">
        <f t="shared" ref="E44:AC44" si="10">E39-E42-E43</f>
        <v>#REF!</v>
      </c>
      <c r="F44" s="1" t="e">
        <f t="shared" si="10"/>
        <v>#REF!</v>
      </c>
      <c r="G44" s="1" t="e">
        <f t="shared" si="10"/>
        <v>#REF!</v>
      </c>
      <c r="H44" s="1" t="e">
        <f t="shared" si="10"/>
        <v>#REF!</v>
      </c>
      <c r="I44" s="1" t="e">
        <f t="shared" si="10"/>
        <v>#REF!</v>
      </c>
      <c r="J44" s="1" t="e">
        <f t="shared" si="10"/>
        <v>#REF!</v>
      </c>
      <c r="K44" s="1" t="e">
        <f t="shared" si="10"/>
        <v>#REF!</v>
      </c>
      <c r="L44" s="1" t="e">
        <f t="shared" si="10"/>
        <v>#REF!</v>
      </c>
      <c r="M44" s="1" t="e">
        <f t="shared" si="10"/>
        <v>#REF!</v>
      </c>
      <c r="N44" s="1" t="e">
        <f t="shared" si="10"/>
        <v>#REF!</v>
      </c>
      <c r="O44" s="1" t="e">
        <f t="shared" si="10"/>
        <v>#REF!</v>
      </c>
      <c r="P44" s="1" t="e">
        <f t="shared" si="10"/>
        <v>#REF!</v>
      </c>
      <c r="Q44" s="1" t="e">
        <f t="shared" si="10"/>
        <v>#REF!</v>
      </c>
      <c r="R44" s="1" t="e">
        <f t="shared" si="10"/>
        <v>#REF!</v>
      </c>
      <c r="S44" s="1" t="e">
        <f t="shared" si="10"/>
        <v>#REF!</v>
      </c>
      <c r="T44" s="1" t="e">
        <f t="shared" si="10"/>
        <v>#REF!</v>
      </c>
      <c r="U44" s="1" t="e">
        <f t="shared" si="10"/>
        <v>#REF!</v>
      </c>
      <c r="V44" s="1" t="e">
        <f t="shared" si="10"/>
        <v>#REF!</v>
      </c>
      <c r="W44" s="1" t="e">
        <f t="shared" si="10"/>
        <v>#REF!</v>
      </c>
      <c r="X44" s="1" t="e">
        <f t="shared" si="10"/>
        <v>#REF!</v>
      </c>
      <c r="Y44" s="1" t="e">
        <f t="shared" si="10"/>
        <v>#REF!</v>
      </c>
      <c r="Z44" s="1" t="e">
        <f t="shared" si="10"/>
        <v>#REF!</v>
      </c>
      <c r="AA44" s="1" t="e">
        <f t="shared" si="10"/>
        <v>#REF!</v>
      </c>
      <c r="AB44" s="1" t="e">
        <f t="shared" si="10"/>
        <v>#REF!</v>
      </c>
      <c r="AC44" s="1" t="e">
        <f t="shared" si="10"/>
        <v>#REF!</v>
      </c>
    </row>
    <row r="45" spans="1:30" x14ac:dyDescent="0.15">
      <c r="A45" s="82" t="s">
        <v>107</v>
      </c>
      <c r="B45" s="62">
        <v>10481</v>
      </c>
      <c r="C45" s="62">
        <v>9680</v>
      </c>
      <c r="D45" s="1" t="e">
        <f>$H$61*D44</f>
        <v>#REF!</v>
      </c>
      <c r="E45" s="1" t="e">
        <f>$H$61*E44</f>
        <v>#REF!</v>
      </c>
      <c r="F45" s="1" t="e">
        <f>$H$61*F44</f>
        <v>#REF!</v>
      </c>
      <c r="G45" s="1" t="e">
        <f t="shared" ref="G45:AC45" si="11">$I$61*G44</f>
        <v>#REF!</v>
      </c>
      <c r="H45" s="1" t="e">
        <f t="shared" si="11"/>
        <v>#REF!</v>
      </c>
      <c r="I45" s="1" t="e">
        <f t="shared" si="11"/>
        <v>#REF!</v>
      </c>
      <c r="J45" s="1" t="e">
        <f t="shared" si="11"/>
        <v>#REF!</v>
      </c>
      <c r="K45" s="1" t="e">
        <f t="shared" si="11"/>
        <v>#REF!</v>
      </c>
      <c r="L45" s="1" t="e">
        <f t="shared" si="11"/>
        <v>#REF!</v>
      </c>
      <c r="M45" s="1" t="e">
        <f t="shared" si="11"/>
        <v>#REF!</v>
      </c>
      <c r="N45" s="1" t="e">
        <f t="shared" si="11"/>
        <v>#REF!</v>
      </c>
      <c r="O45" s="1" t="e">
        <f t="shared" si="11"/>
        <v>#REF!</v>
      </c>
      <c r="P45" s="1" t="e">
        <f t="shared" si="11"/>
        <v>#REF!</v>
      </c>
      <c r="Q45" s="1" t="e">
        <f t="shared" si="11"/>
        <v>#REF!</v>
      </c>
      <c r="R45" s="1" t="e">
        <f t="shared" si="11"/>
        <v>#REF!</v>
      </c>
      <c r="S45" s="1" t="e">
        <f t="shared" si="11"/>
        <v>#REF!</v>
      </c>
      <c r="T45" s="1" t="e">
        <f t="shared" si="11"/>
        <v>#REF!</v>
      </c>
      <c r="U45" s="1" t="e">
        <f t="shared" si="11"/>
        <v>#REF!</v>
      </c>
      <c r="V45" s="1" t="e">
        <f t="shared" si="11"/>
        <v>#REF!</v>
      </c>
      <c r="W45" s="1" t="e">
        <f t="shared" si="11"/>
        <v>#REF!</v>
      </c>
      <c r="X45" s="1" t="e">
        <f t="shared" si="11"/>
        <v>#REF!</v>
      </c>
      <c r="Y45" s="1" t="e">
        <f t="shared" si="11"/>
        <v>#REF!</v>
      </c>
      <c r="Z45" s="1" t="e">
        <f t="shared" si="11"/>
        <v>#REF!</v>
      </c>
      <c r="AA45" s="1" t="e">
        <f t="shared" si="11"/>
        <v>#REF!</v>
      </c>
      <c r="AB45" s="1" t="e">
        <f t="shared" si="11"/>
        <v>#REF!</v>
      </c>
      <c r="AC45" s="1" t="e">
        <f t="shared" si="11"/>
        <v>#REF!</v>
      </c>
    </row>
    <row r="46" spans="1:30" x14ac:dyDescent="0.15">
      <c r="A46" s="82" t="s">
        <v>97</v>
      </c>
      <c r="B46" s="62">
        <f t="shared" ref="B46:AC46" si="12">B44-B45</f>
        <v>58073</v>
      </c>
      <c r="C46" s="62">
        <f t="shared" si="12"/>
        <v>61045</v>
      </c>
      <c r="D46" s="90" t="e">
        <f>D44-D45</f>
        <v>#REF!</v>
      </c>
      <c r="E46" s="90" t="e">
        <f t="shared" si="12"/>
        <v>#REF!</v>
      </c>
      <c r="F46" s="90" t="e">
        <f t="shared" si="12"/>
        <v>#REF!</v>
      </c>
      <c r="G46" s="90" t="e">
        <f t="shared" si="12"/>
        <v>#REF!</v>
      </c>
      <c r="H46" s="90" t="e">
        <f t="shared" si="12"/>
        <v>#REF!</v>
      </c>
      <c r="I46" s="90" t="e">
        <f t="shared" si="12"/>
        <v>#REF!</v>
      </c>
      <c r="J46" s="90" t="e">
        <f t="shared" si="12"/>
        <v>#REF!</v>
      </c>
      <c r="K46" s="90" t="e">
        <f t="shared" si="12"/>
        <v>#REF!</v>
      </c>
      <c r="L46" s="90" t="e">
        <f t="shared" si="12"/>
        <v>#REF!</v>
      </c>
      <c r="M46" s="90" t="e">
        <f t="shared" si="12"/>
        <v>#REF!</v>
      </c>
      <c r="N46" s="90" t="e">
        <f t="shared" si="12"/>
        <v>#REF!</v>
      </c>
      <c r="O46" s="90" t="e">
        <f t="shared" si="12"/>
        <v>#REF!</v>
      </c>
      <c r="P46" s="90" t="e">
        <f t="shared" si="12"/>
        <v>#REF!</v>
      </c>
      <c r="Q46" s="90" t="e">
        <f t="shared" si="12"/>
        <v>#REF!</v>
      </c>
      <c r="R46" s="90" t="e">
        <f t="shared" si="12"/>
        <v>#REF!</v>
      </c>
      <c r="S46" s="90" t="e">
        <f t="shared" si="12"/>
        <v>#REF!</v>
      </c>
      <c r="T46" s="90" t="e">
        <f t="shared" si="12"/>
        <v>#REF!</v>
      </c>
      <c r="U46" s="90" t="e">
        <f t="shared" si="12"/>
        <v>#REF!</v>
      </c>
      <c r="V46" s="90" t="e">
        <f t="shared" si="12"/>
        <v>#REF!</v>
      </c>
      <c r="W46" s="90" t="e">
        <f t="shared" si="12"/>
        <v>#REF!</v>
      </c>
      <c r="X46" s="90" t="e">
        <f t="shared" si="12"/>
        <v>#REF!</v>
      </c>
      <c r="Y46" s="90" t="e">
        <f t="shared" si="12"/>
        <v>#REF!</v>
      </c>
      <c r="Z46" s="90" t="e">
        <f t="shared" si="12"/>
        <v>#REF!</v>
      </c>
      <c r="AA46" s="90" t="e">
        <f t="shared" si="12"/>
        <v>#REF!</v>
      </c>
      <c r="AB46" s="90" t="e">
        <f t="shared" si="12"/>
        <v>#REF!</v>
      </c>
      <c r="AC46" s="90" t="e">
        <f t="shared" si="12"/>
        <v>#REF!</v>
      </c>
    </row>
    <row r="47" spans="1:30" x14ac:dyDescent="0.15">
      <c r="A47" s="82" t="s">
        <v>108</v>
      </c>
      <c r="B47" s="62" t="e">
        <f>#REF!</f>
        <v>#REF!</v>
      </c>
      <c r="C47" s="62" t="e">
        <f>#REF!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5" customFormat="1" x14ac:dyDescent="0.15">
      <c r="A48" s="32" t="s">
        <v>109</v>
      </c>
      <c r="B48" s="33">
        <v>108047</v>
      </c>
      <c r="C48" s="33">
        <v>112436</v>
      </c>
      <c r="D48" s="33">
        <f>C48*0.99</f>
        <v>111311.64</v>
      </c>
      <c r="E48" s="33">
        <f>D48</f>
        <v>111311.64</v>
      </c>
      <c r="F48" s="33">
        <f t="shared" ref="F48:AC48" si="14">E48</f>
        <v>111311.64</v>
      </c>
      <c r="G48" s="33">
        <f t="shared" si="14"/>
        <v>111311.64</v>
      </c>
      <c r="H48" s="33">
        <f t="shared" si="14"/>
        <v>111311.64</v>
      </c>
      <c r="I48" s="33">
        <f t="shared" si="14"/>
        <v>111311.64</v>
      </c>
      <c r="J48" s="33">
        <f t="shared" si="14"/>
        <v>111311.64</v>
      </c>
      <c r="K48" s="33">
        <f t="shared" si="14"/>
        <v>111311.64</v>
      </c>
      <c r="L48" s="33">
        <f t="shared" si="14"/>
        <v>111311.64</v>
      </c>
      <c r="M48" s="33">
        <f t="shared" si="14"/>
        <v>111311.64</v>
      </c>
      <c r="N48" s="33">
        <f t="shared" si="14"/>
        <v>111311.64</v>
      </c>
      <c r="O48" s="33">
        <f t="shared" si="14"/>
        <v>111311.64</v>
      </c>
      <c r="P48" s="33">
        <f t="shared" si="14"/>
        <v>111311.64</v>
      </c>
      <c r="Q48" s="33">
        <f t="shared" si="14"/>
        <v>111311.64</v>
      </c>
      <c r="R48" s="33">
        <f t="shared" si="14"/>
        <v>111311.64</v>
      </c>
      <c r="S48" s="33">
        <f t="shared" si="14"/>
        <v>111311.64</v>
      </c>
      <c r="T48" s="33">
        <f t="shared" si="14"/>
        <v>111311.64</v>
      </c>
      <c r="U48" s="33">
        <f t="shared" si="14"/>
        <v>111311.64</v>
      </c>
      <c r="V48" s="33">
        <f t="shared" si="14"/>
        <v>111311.64</v>
      </c>
      <c r="W48" s="33">
        <f t="shared" si="14"/>
        <v>111311.64</v>
      </c>
      <c r="X48" s="33">
        <f t="shared" si="14"/>
        <v>111311.64</v>
      </c>
      <c r="Y48" s="33">
        <f t="shared" si="14"/>
        <v>111311.64</v>
      </c>
      <c r="Z48" s="33">
        <f t="shared" si="14"/>
        <v>111311.64</v>
      </c>
      <c r="AA48" s="33">
        <f t="shared" si="14"/>
        <v>111311.64</v>
      </c>
      <c r="AB48" s="33">
        <f t="shared" si="14"/>
        <v>111311.64</v>
      </c>
      <c r="AC48" s="33">
        <f t="shared" si="14"/>
        <v>111311.64</v>
      </c>
    </row>
    <row r="49" spans="1:29" s="15" customFormat="1" x14ac:dyDescent="0.15">
      <c r="A49" s="82" t="s">
        <v>43</v>
      </c>
      <c r="B49" s="545" t="e">
        <f>B48/B41</f>
        <v>#REF!</v>
      </c>
      <c r="C49" s="545" t="e">
        <f t="shared" ref="C49:E49" si="15">C48/C41</f>
        <v>#REF!</v>
      </c>
      <c r="D49" s="546" t="e">
        <f t="shared" si="15"/>
        <v>#REF!</v>
      </c>
      <c r="E49" s="546" t="e">
        <f t="shared" si="15"/>
        <v>#REF!</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15">
      <c r="A50" s="82" t="s">
        <v>110</v>
      </c>
      <c r="B50" s="547" t="e">
        <f>#REF!</f>
        <v>#REF!</v>
      </c>
      <c r="C50" s="547" t="e">
        <f>#REF!</f>
        <v>#REF!</v>
      </c>
      <c r="D50" s="1" t="e">
        <f t="shared" ref="D50:AC50" si="16">D41-D42-D43-D45-D47+D48-C48</f>
        <v>#REF!</v>
      </c>
      <c r="E50" s="1" t="e">
        <f t="shared" si="16"/>
        <v>#REF!</v>
      </c>
      <c r="F50" s="1" t="e">
        <f t="shared" si="16"/>
        <v>#REF!</v>
      </c>
      <c r="G50" s="1" t="e">
        <f t="shared" si="16"/>
        <v>#REF!</v>
      </c>
      <c r="H50" s="1" t="e">
        <f t="shared" si="16"/>
        <v>#REF!</v>
      </c>
      <c r="I50" s="1" t="e">
        <f t="shared" si="16"/>
        <v>#REF!</v>
      </c>
      <c r="J50" s="1" t="e">
        <f t="shared" si="16"/>
        <v>#REF!</v>
      </c>
      <c r="K50" s="1" t="e">
        <f t="shared" si="16"/>
        <v>#REF!</v>
      </c>
      <c r="L50" s="1" t="e">
        <f t="shared" si="16"/>
        <v>#REF!</v>
      </c>
      <c r="M50" s="1" t="e">
        <f t="shared" si="16"/>
        <v>#REF!</v>
      </c>
      <c r="N50" s="1" t="e">
        <f t="shared" si="16"/>
        <v>#REF!</v>
      </c>
      <c r="O50" s="1" t="e">
        <f t="shared" si="16"/>
        <v>#REF!</v>
      </c>
      <c r="P50" s="1" t="e">
        <f t="shared" si="16"/>
        <v>#REF!</v>
      </c>
      <c r="Q50" s="1" t="e">
        <f t="shared" si="16"/>
        <v>#REF!</v>
      </c>
      <c r="R50" s="1" t="e">
        <f t="shared" si="16"/>
        <v>#REF!</v>
      </c>
      <c r="S50" s="1" t="e">
        <f t="shared" si="16"/>
        <v>#REF!</v>
      </c>
      <c r="T50" s="1" t="e">
        <f t="shared" si="16"/>
        <v>#REF!</v>
      </c>
      <c r="U50" s="1" t="e">
        <f t="shared" si="16"/>
        <v>#REF!</v>
      </c>
      <c r="V50" s="1" t="e">
        <f t="shared" si="16"/>
        <v>#REF!</v>
      </c>
      <c r="W50" s="1" t="e">
        <f t="shared" si="16"/>
        <v>#REF!</v>
      </c>
      <c r="X50" s="1" t="e">
        <f t="shared" si="16"/>
        <v>#REF!</v>
      </c>
      <c r="Y50" s="1" t="e">
        <f t="shared" si="16"/>
        <v>#REF!</v>
      </c>
      <c r="Z50" s="1" t="e">
        <f t="shared" si="16"/>
        <v>#REF!</v>
      </c>
      <c r="AA50" s="1" t="e">
        <f t="shared" si="16"/>
        <v>#REF!</v>
      </c>
      <c r="AB50" s="1" t="e">
        <f t="shared" si="16"/>
        <v>#REF!</v>
      </c>
      <c r="AC50" s="1" t="e">
        <f t="shared" si="16"/>
        <v>#REF!</v>
      </c>
    </row>
    <row r="51" spans="1:29" x14ac:dyDescent="0.15">
      <c r="A51" s="82" t="s">
        <v>111</v>
      </c>
      <c r="B51" s="547">
        <v>0</v>
      </c>
      <c r="C51" s="547">
        <v>0</v>
      </c>
      <c r="D51" s="1" t="e">
        <f t="shared" ref="D51:AC51" si="17">C51*(1+$B$59)+D50</f>
        <v>#REF!</v>
      </c>
      <c r="E51" s="1" t="e">
        <f t="shared" si="17"/>
        <v>#REF!</v>
      </c>
      <c r="F51" s="1" t="e">
        <f t="shared" si="17"/>
        <v>#REF!</v>
      </c>
      <c r="G51" s="1" t="e">
        <f t="shared" si="17"/>
        <v>#REF!</v>
      </c>
      <c r="H51" s="1" t="e">
        <f t="shared" si="17"/>
        <v>#REF!</v>
      </c>
      <c r="I51" s="1" t="e">
        <f t="shared" si="17"/>
        <v>#REF!</v>
      </c>
      <c r="J51" s="1" t="e">
        <f t="shared" si="17"/>
        <v>#REF!</v>
      </c>
      <c r="K51" s="1" t="e">
        <f t="shared" si="17"/>
        <v>#REF!</v>
      </c>
      <c r="L51" s="1" t="e">
        <f t="shared" si="17"/>
        <v>#REF!</v>
      </c>
      <c r="M51" s="1" t="e">
        <f t="shared" si="17"/>
        <v>#REF!</v>
      </c>
      <c r="N51" s="1" t="e">
        <f t="shared" si="17"/>
        <v>#REF!</v>
      </c>
      <c r="O51" s="1" t="e">
        <f t="shared" si="17"/>
        <v>#REF!</v>
      </c>
      <c r="P51" s="1" t="e">
        <f t="shared" si="17"/>
        <v>#REF!</v>
      </c>
      <c r="Q51" s="1" t="e">
        <f t="shared" si="17"/>
        <v>#REF!</v>
      </c>
      <c r="R51" s="1" t="e">
        <f t="shared" si="17"/>
        <v>#REF!</v>
      </c>
      <c r="S51" s="1" t="e">
        <f t="shared" si="17"/>
        <v>#REF!</v>
      </c>
      <c r="T51" s="1" t="e">
        <f t="shared" si="17"/>
        <v>#REF!</v>
      </c>
      <c r="U51" s="1" t="e">
        <f t="shared" si="17"/>
        <v>#REF!</v>
      </c>
      <c r="V51" s="1" t="e">
        <f t="shared" si="17"/>
        <v>#REF!</v>
      </c>
      <c r="W51" s="1" t="e">
        <f t="shared" si="17"/>
        <v>#REF!</v>
      </c>
      <c r="X51" s="1" t="e">
        <f t="shared" si="17"/>
        <v>#REF!</v>
      </c>
      <c r="Y51" s="1" t="e">
        <f t="shared" si="17"/>
        <v>#REF!</v>
      </c>
      <c r="Z51" s="1" t="e">
        <f t="shared" si="17"/>
        <v>#REF!</v>
      </c>
      <c r="AA51" s="1" t="e">
        <f t="shared" si="17"/>
        <v>#REF!</v>
      </c>
      <c r="AB51" s="1" t="e">
        <f t="shared" si="17"/>
        <v>#REF!</v>
      </c>
      <c r="AC51" s="1" t="e">
        <f t="shared" si="17"/>
        <v>#REF!</v>
      </c>
    </row>
    <row r="52" spans="1:29" x14ac:dyDescent="0.15">
      <c r="A52" s="82"/>
      <c r="B52" s="136"/>
      <c r="C52" s="136"/>
      <c r="K52" s="1"/>
      <c r="L52" s="1"/>
      <c r="M52" s="1"/>
      <c r="N52" s="1"/>
      <c r="O52" s="1"/>
      <c r="P52" s="1"/>
      <c r="Q52" s="1"/>
      <c r="R52" s="1"/>
      <c r="S52" s="1"/>
      <c r="T52" s="1"/>
      <c r="U52" s="1"/>
      <c r="V52" s="1"/>
      <c r="W52" s="1"/>
      <c r="X52" s="1"/>
      <c r="Y52" s="1"/>
      <c r="Z52" s="1"/>
      <c r="AA52" s="1"/>
      <c r="AB52" s="1" t="e">
        <f>AB51-AB48</f>
        <v>#REF!</v>
      </c>
      <c r="AC52" s="1" t="e">
        <f>AC50/(B59-AC36)</f>
        <v>#REF!</v>
      </c>
    </row>
    <row r="53" spans="1:29" x14ac:dyDescent="0.15">
      <c r="A53" s="548" t="s">
        <v>112</v>
      </c>
      <c r="B53" s="549"/>
      <c r="C53" s="67" t="e">
        <f>1000000*C46/#REF!</f>
        <v>#REF!</v>
      </c>
      <c r="D53" s="67" t="e">
        <f>1000000*D46/#REF!</f>
        <v>#REF!</v>
      </c>
      <c r="E53" s="67" t="e">
        <f>1000000*E46/#REF!</f>
        <v>#REF!</v>
      </c>
      <c r="F53" s="67" t="e">
        <f>1000000*F46/#REF!</f>
        <v>#REF!</v>
      </c>
      <c r="G53" s="1"/>
      <c r="H53"/>
      <c r="I53"/>
      <c r="J53"/>
      <c r="K53" s="1"/>
      <c r="L53" s="1"/>
      <c r="M53" s="1"/>
      <c r="N53" s="1"/>
      <c r="O53" s="1"/>
      <c r="P53" s="1"/>
      <c r="Q53" s="1"/>
      <c r="R53" s="1"/>
      <c r="S53" s="1"/>
      <c r="T53" s="1"/>
      <c r="U53" s="1"/>
      <c r="V53" s="1"/>
      <c r="W53" s="1"/>
      <c r="X53" s="1"/>
      <c r="Y53" s="1"/>
      <c r="Z53" s="1"/>
      <c r="AA53" s="1"/>
      <c r="AB53" s="1"/>
      <c r="AC53" s="1"/>
    </row>
    <row r="54" spans="1:29" x14ac:dyDescent="0.15">
      <c r="A54" s="82" t="s">
        <v>113</v>
      </c>
      <c r="B54" s="1"/>
      <c r="C54" s="69">
        <v>3.3</v>
      </c>
      <c r="D54" s="69">
        <v>5.6</v>
      </c>
      <c r="E54" s="69">
        <v>5.6</v>
      </c>
      <c r="F54" s="63"/>
      <c r="G54" s="1"/>
      <c r="H54"/>
      <c r="I54"/>
      <c r="J54"/>
      <c r="K54" s="1"/>
      <c r="L54" s="1"/>
      <c r="M54" s="1"/>
      <c r="N54" s="1"/>
      <c r="O54" s="1"/>
      <c r="P54" s="1"/>
      <c r="Q54" s="1"/>
      <c r="R54" s="1"/>
      <c r="S54" s="1"/>
      <c r="T54" s="1"/>
      <c r="U54" s="1"/>
      <c r="V54" s="1"/>
      <c r="W54" s="1"/>
      <c r="X54" s="1"/>
      <c r="Y54" s="1"/>
      <c r="Z54" s="1"/>
      <c r="AA54" s="1"/>
      <c r="AB54" s="1"/>
      <c r="AC54" s="1"/>
    </row>
    <row r="55" spans="1:29" x14ac:dyDescent="0.15">
      <c r="A55" s="550" t="s">
        <v>114</v>
      </c>
      <c r="B55" s="90"/>
      <c r="C55" s="90"/>
      <c r="D55" s="58" t="e">
        <f>$B$61/D46</f>
        <v>#REF!</v>
      </c>
      <c r="E55" s="58" t="e">
        <f>$B$61/E46</f>
        <v>#REF!</v>
      </c>
      <c r="F55" s="63" t="e">
        <f>$B$61/F46</f>
        <v>#REF!</v>
      </c>
      <c r="G55" s="1"/>
      <c r="H55"/>
      <c r="I55"/>
      <c r="J55"/>
      <c r="K55" s="1"/>
      <c r="L55" s="1"/>
      <c r="M55" s="1"/>
      <c r="N55" s="1"/>
      <c r="O55" s="1"/>
      <c r="P55" s="1"/>
      <c r="Q55" s="1"/>
      <c r="R55" s="1"/>
      <c r="S55" s="1"/>
      <c r="T55" s="1"/>
      <c r="U55" s="1"/>
      <c r="V55" s="1"/>
      <c r="W55" s="1"/>
      <c r="X55" s="1"/>
      <c r="Y55" s="1"/>
      <c r="Z55" s="1"/>
      <c r="AA55" s="1"/>
      <c r="AB55" s="1"/>
      <c r="AC55" s="1"/>
    </row>
    <row r="56" spans="1:29" x14ac:dyDescent="0.15">
      <c r="A56" s="551" t="s">
        <v>115</v>
      </c>
      <c r="B56" s="64"/>
      <c r="C56" s="64"/>
      <c r="D56" s="65" t="e">
        <f>($B$61+D48-D51)/D41</f>
        <v>#REF!</v>
      </c>
      <c r="E56" s="65" t="e">
        <f>($B$61+E48-E51)/E41</f>
        <v>#REF!</v>
      </c>
      <c r="F56" s="66" t="e">
        <f>($B$61+F48-F51)/F41</f>
        <v>#REF!</v>
      </c>
      <c r="G56" s="1"/>
      <c r="H56"/>
      <c r="I56"/>
      <c r="J56"/>
      <c r="K56" s="1"/>
      <c r="L56" s="6"/>
      <c r="M56" s="1"/>
      <c r="N56" s="1"/>
      <c r="O56" s="1"/>
      <c r="P56" s="1"/>
      <c r="Q56" s="1"/>
      <c r="R56" s="1"/>
      <c r="S56" s="1"/>
      <c r="T56" s="1"/>
      <c r="U56" s="1"/>
      <c r="V56" s="1"/>
      <c r="W56" s="1"/>
      <c r="X56" s="1"/>
      <c r="Y56" s="1"/>
      <c r="Z56" s="1"/>
      <c r="AA56" s="1"/>
      <c r="AB56"/>
      <c r="AC56"/>
    </row>
    <row r="57" spans="1:29" x14ac:dyDescent="0.15">
      <c r="A57" s="82"/>
      <c r="B57" s="1"/>
      <c r="C57" s="1"/>
      <c r="D57" s="58"/>
      <c r="E57" s="58"/>
      <c r="F57" s="58"/>
      <c r="G57" s="1"/>
      <c r="H57" s="1"/>
      <c r="I57" s="1"/>
      <c r="J57" s="1"/>
      <c r="K57" s="1"/>
      <c r="L57" s="1"/>
      <c r="M57" s="1"/>
      <c r="N57" s="1"/>
      <c r="O57" s="1"/>
      <c r="P57" s="1"/>
      <c r="Q57" s="1"/>
      <c r="R57" s="1"/>
      <c r="S57" s="1"/>
      <c r="T57" s="1"/>
      <c r="U57" s="1"/>
      <c r="V57" s="1"/>
      <c r="W57" s="1"/>
      <c r="X57" s="1"/>
      <c r="Y57" s="1"/>
      <c r="Z57" s="1"/>
      <c r="AA57" s="1"/>
      <c r="AB57"/>
      <c r="AC57"/>
    </row>
    <row r="58" spans="1:29" x14ac:dyDescent="0.15">
      <c r="A58" s="7"/>
      <c r="B58" s="90"/>
      <c r="C58" s="36" t="s">
        <v>116</v>
      </c>
      <c r="D58" s="36" t="s">
        <v>117</v>
      </c>
      <c r="E58" s="36" t="s">
        <v>118</v>
      </c>
      <c r="F58"/>
      <c r="G58"/>
      <c r="H58" s="36" t="s">
        <v>119</v>
      </c>
      <c r="I58" s="36" t="s">
        <v>120</v>
      </c>
      <c r="J58" s="1"/>
      <c r="K58" s="1"/>
      <c r="L58" s="1"/>
      <c r="M58" s="1"/>
      <c r="N58" s="1"/>
      <c r="O58" s="1"/>
      <c r="P58" s="1"/>
      <c r="Q58" s="1"/>
      <c r="R58" s="1"/>
      <c r="S58" s="1"/>
      <c r="T58" s="1"/>
      <c r="U58" s="1"/>
      <c r="V58" s="1"/>
      <c r="W58" s="1"/>
      <c r="X58" s="1"/>
      <c r="Y58" s="1"/>
      <c r="Z58" s="1"/>
      <c r="AA58" s="1"/>
      <c r="AB58" s="1"/>
      <c r="AC58" s="1"/>
    </row>
    <row r="59" spans="1:29" x14ac:dyDescent="0.15">
      <c r="A59" s="37" t="s">
        <v>121</v>
      </c>
      <c r="B59" s="34">
        <f>SUM(C59:E59)</f>
        <v>8.3000000000000004E-2</v>
      </c>
      <c r="C59" s="35">
        <v>3.0700000000000002E-2</v>
      </c>
      <c r="D59" s="35">
        <v>5.2299999999999999E-2</v>
      </c>
      <c r="E59" s="34">
        <v>0</v>
      </c>
      <c r="F59"/>
      <c r="G59" s="71" t="s">
        <v>122</v>
      </c>
      <c r="H59" s="5">
        <v>1</v>
      </c>
      <c r="I59" s="5">
        <v>1</v>
      </c>
      <c r="J59" s="1"/>
    </row>
    <row r="60" spans="1:29" x14ac:dyDescent="0.15">
      <c r="A60" s="37"/>
      <c r="C60" s="35"/>
      <c r="D60" s="35"/>
      <c r="E60" s="75"/>
      <c r="F60"/>
      <c r="G60" t="s">
        <v>123</v>
      </c>
      <c r="H60" s="677">
        <v>-0.01</v>
      </c>
      <c r="I60" s="677"/>
    </row>
    <row r="61" spans="1:29" x14ac:dyDescent="0.15">
      <c r="A61" s="552" t="s">
        <v>124</v>
      </c>
      <c r="B61" s="4" t="e">
        <f>C62+C63</f>
        <v>#REF!</v>
      </c>
      <c r="C61" s="181" t="s">
        <v>98</v>
      </c>
      <c r="D61" s="174">
        <f>D31</f>
        <v>1E-3</v>
      </c>
      <c r="E61" s="175">
        <f>D32</f>
        <v>5.0000000000000001E-3</v>
      </c>
      <c r="F61"/>
      <c r="G61" t="s">
        <v>125</v>
      </c>
      <c r="H61" s="3">
        <v>0.21</v>
      </c>
      <c r="I61" s="3">
        <v>0.23</v>
      </c>
      <c r="AA61" s="3"/>
      <c r="AB61" s="3"/>
      <c r="AC61" s="3"/>
    </row>
    <row r="62" spans="1:29" x14ac:dyDescent="0.15">
      <c r="A62" s="552" t="s">
        <v>126</v>
      </c>
      <c r="B62" s="3" t="e">
        <f>C62/B61</f>
        <v>#REF!</v>
      </c>
      <c r="C62" s="172" t="e">
        <f>AB52/(1+B59)^25</f>
        <v>#REF!</v>
      </c>
      <c r="D62" s="176" t="e">
        <f>SUMPRODUCT(E50:AB50,E31:AB31)</f>
        <v>#REF!</v>
      </c>
      <c r="E62" s="177" t="e">
        <f>SUMPRODUCT(E50:AB50,E32:AB32)</f>
        <v>#REF!</v>
      </c>
      <c r="F62"/>
      <c r="G62" s="553" t="s">
        <v>127</v>
      </c>
      <c r="H62" s="678">
        <v>1.2</v>
      </c>
      <c r="I62" s="678"/>
    </row>
    <row r="63" spans="1:29" x14ac:dyDescent="0.15">
      <c r="A63" s="552" t="s">
        <v>128</v>
      </c>
      <c r="B63" s="3" t="e">
        <f>1-B62</f>
        <v>#REF!</v>
      </c>
      <c r="C63" s="172" t="e">
        <f>AC52/(1+B59)^25</f>
        <v>#REF!</v>
      </c>
      <c r="D63" s="178" t="e">
        <f>(AC50/($B$59+D31-$AC$36))*AC31</f>
        <v>#REF!</v>
      </c>
      <c r="E63" s="179" t="e">
        <f>(AC50/($B$59+D32-$AC$36))*AC32</f>
        <v>#REF!</v>
      </c>
      <c r="F63"/>
      <c r="G63" t="s">
        <v>129</v>
      </c>
      <c r="H63" s="675" t="e">
        <f>SUM(40:40)</f>
        <v>#REF!</v>
      </c>
      <c r="I63" s="675"/>
    </row>
    <row r="64" spans="1:29" x14ac:dyDescent="0.15">
      <c r="A64" s="37" t="s">
        <v>130</v>
      </c>
      <c r="B64" s="38" t="e">
        <f>1000000*B61/#REF!</f>
        <v>#REF!</v>
      </c>
      <c r="C64" s="4"/>
      <c r="D64" s="38" t="e">
        <f>1000000*SUM(D62:D63)/#REF!</f>
        <v>#REF!</v>
      </c>
      <c r="E64" s="180" t="e">
        <f>1000000*SUM(E62:E63)/#REF!</f>
        <v>#REF!</v>
      </c>
      <c r="F64"/>
      <c r="G64" t="s">
        <v>131</v>
      </c>
      <c r="H64" s="675" t="e">
        <f>SUM(47:47)</f>
        <v>#REF!</v>
      </c>
      <c r="I64" s="675"/>
    </row>
    <row r="65" spans="1:29" x14ac:dyDescent="0.15">
      <c r="B65" s="39" t="e">
        <f>B64/#REF!-1</f>
        <v>#REF!</v>
      </c>
      <c r="C65" s="2"/>
      <c r="D65" s="10" t="e">
        <f>D64/B64-1</f>
        <v>#REF!</v>
      </c>
      <c r="E65" s="74" t="e">
        <f>E64/B64-1</f>
        <v>#REF!</v>
      </c>
      <c r="F65"/>
      <c r="G65" s="71" t="s">
        <v>132</v>
      </c>
      <c r="H65" s="675" t="e">
        <f>SUM(47:47)+(#REF!*#REF!)</f>
        <v>#REF!</v>
      </c>
      <c r="I65" s="675"/>
    </row>
    <row r="66" spans="1:29" x14ac:dyDescent="0.15">
      <c r="B66" s="4"/>
      <c r="C66" s="4"/>
      <c r="G66" s="2"/>
      <c r="I66" s="6"/>
    </row>
    <row r="67" spans="1:29" x14ac:dyDescent="0.15">
      <c r="A67" t="s">
        <v>133</v>
      </c>
      <c r="B67" s="182" t="e">
        <f>B62*D68+B63*D69</f>
        <v>#REF!</v>
      </c>
      <c r="C67" s="71"/>
      <c r="E67" s="183">
        <v>1</v>
      </c>
      <c r="F67" s="183">
        <v>2</v>
      </c>
      <c r="G67" s="183">
        <v>3</v>
      </c>
      <c r="H67" s="4">
        <v>4</v>
      </c>
      <c r="I67" s="183">
        <v>5</v>
      </c>
      <c r="J67" s="183">
        <v>6</v>
      </c>
      <c r="K67" s="183">
        <v>7</v>
      </c>
      <c r="L67" s="4">
        <v>8</v>
      </c>
      <c r="M67" s="183">
        <v>9</v>
      </c>
      <c r="N67" s="183">
        <v>10</v>
      </c>
      <c r="O67" s="183">
        <v>11</v>
      </c>
      <c r="P67" s="4">
        <v>12</v>
      </c>
      <c r="Q67" s="183">
        <v>13</v>
      </c>
      <c r="R67" s="183">
        <v>14</v>
      </c>
      <c r="S67" s="183">
        <v>15</v>
      </c>
      <c r="T67" s="4">
        <v>16</v>
      </c>
      <c r="U67" s="183">
        <v>17</v>
      </c>
      <c r="V67" s="183">
        <v>18</v>
      </c>
      <c r="W67" s="183">
        <v>19</v>
      </c>
      <c r="X67" s="4">
        <v>20</v>
      </c>
      <c r="Y67" s="183">
        <v>21</v>
      </c>
      <c r="Z67" s="183">
        <v>22</v>
      </c>
      <c r="AA67" s="183">
        <v>23</v>
      </c>
      <c r="AB67" s="4">
        <v>24</v>
      </c>
      <c r="AC67" s="183">
        <v>25</v>
      </c>
    </row>
    <row r="68" spans="1:29" x14ac:dyDescent="0.15">
      <c r="A68" s="171">
        <v>1E-3</v>
      </c>
      <c r="B68" s="184" t="e">
        <f>-$B$67*A68</f>
        <v>#REF!</v>
      </c>
      <c r="C68" s="71"/>
      <c r="D68" s="172" t="e">
        <f>SUM(E68:AB68)/SUMPRODUCT(E50:AB50,E33:AB33)</f>
        <v>#REF!</v>
      </c>
      <c r="E68" s="185" t="e">
        <f>E67*E50*E33</f>
        <v>#REF!</v>
      </c>
      <c r="F68" s="185" t="e">
        <f t="shared" ref="F68:AC68" si="18">F67*F50*F33</f>
        <v>#REF!</v>
      </c>
      <c r="G68" s="185" t="e">
        <f t="shared" si="18"/>
        <v>#REF!</v>
      </c>
      <c r="H68" s="185" t="e">
        <f t="shared" si="18"/>
        <v>#REF!</v>
      </c>
      <c r="I68" s="185" t="e">
        <f t="shared" si="18"/>
        <v>#REF!</v>
      </c>
      <c r="J68" s="185" t="e">
        <f t="shared" si="18"/>
        <v>#REF!</v>
      </c>
      <c r="K68" s="185" t="e">
        <f t="shared" si="18"/>
        <v>#REF!</v>
      </c>
      <c r="L68" s="185" t="e">
        <f t="shared" si="18"/>
        <v>#REF!</v>
      </c>
      <c r="M68" s="185" t="e">
        <f t="shared" si="18"/>
        <v>#REF!</v>
      </c>
      <c r="N68" s="185" t="e">
        <f t="shared" si="18"/>
        <v>#REF!</v>
      </c>
      <c r="O68" s="185" t="e">
        <f t="shared" si="18"/>
        <v>#REF!</v>
      </c>
      <c r="P68" s="185" t="e">
        <f t="shared" si="18"/>
        <v>#REF!</v>
      </c>
      <c r="Q68" s="185" t="e">
        <f t="shared" si="18"/>
        <v>#REF!</v>
      </c>
      <c r="R68" s="185" t="e">
        <f t="shared" si="18"/>
        <v>#REF!</v>
      </c>
      <c r="S68" s="185" t="e">
        <f t="shared" si="18"/>
        <v>#REF!</v>
      </c>
      <c r="T68" s="185" t="e">
        <f t="shared" si="18"/>
        <v>#REF!</v>
      </c>
      <c r="U68" s="185" t="e">
        <f t="shared" si="18"/>
        <v>#REF!</v>
      </c>
      <c r="V68" s="185" t="e">
        <f t="shared" si="18"/>
        <v>#REF!</v>
      </c>
      <c r="W68" s="185" t="e">
        <f t="shared" si="18"/>
        <v>#REF!</v>
      </c>
      <c r="X68" s="185" t="e">
        <f t="shared" si="18"/>
        <v>#REF!</v>
      </c>
      <c r="Y68" s="185" t="e">
        <f t="shared" si="18"/>
        <v>#REF!</v>
      </c>
      <c r="Z68" s="185" t="e">
        <f t="shared" si="18"/>
        <v>#REF!</v>
      </c>
      <c r="AA68" s="185" t="e">
        <f t="shared" si="18"/>
        <v>#REF!</v>
      </c>
      <c r="AB68" s="185" t="e">
        <f t="shared" si="18"/>
        <v>#REF!</v>
      </c>
      <c r="AC68" s="185" t="e">
        <f t="shared" si="18"/>
        <v>#REF!</v>
      </c>
    </row>
    <row r="69" spans="1:29" ht="15" x14ac:dyDescent="0.2">
      <c r="A69" s="171">
        <v>5.0000000000000001E-3</v>
      </c>
      <c r="B69" s="184" t="e">
        <f>-$B$67*A69</f>
        <v>#REF!</v>
      </c>
      <c r="C69" s="71"/>
      <c r="D69" s="186">
        <f>(1+B59)/B59+AC67</f>
        <v>38.048192771084338</v>
      </c>
      <c r="E69" s="3"/>
      <c r="F69" s="39"/>
      <c r="H69" s="6"/>
    </row>
    <row r="70" spans="1:29" x14ac:dyDescent="0.15">
      <c r="D70" s="80"/>
      <c r="E70" s="10"/>
      <c r="F70" s="9"/>
      <c r="H70" s="6"/>
    </row>
    <row r="71" spans="1:29" x14ac:dyDescent="0.15">
      <c r="C71" s="71"/>
      <c r="D71" s="81"/>
      <c r="E71" s="81"/>
      <c r="F71" s="81"/>
    </row>
    <row r="72" spans="1:29" x14ac:dyDescent="0.15">
      <c r="C72" s="71"/>
      <c r="D72" s="39"/>
      <c r="E72" s="3"/>
      <c r="F72" s="3"/>
    </row>
    <row r="73" spans="1:29" x14ac:dyDescent="0.15">
      <c r="C73" s="71"/>
      <c r="D73" s="3"/>
      <c r="E73" s="39"/>
      <c r="F73" s="3"/>
    </row>
    <row r="74" spans="1:29" x14ac:dyDescent="0.15">
      <c r="C74" s="71"/>
      <c r="D74" s="3"/>
      <c r="E74" s="3"/>
      <c r="F74" s="3"/>
      <c r="J74" s="9"/>
    </row>
    <row r="75" spans="1:29" x14ac:dyDescent="0.15">
      <c r="C75" s="71"/>
      <c r="D75" s="3"/>
      <c r="E75" s="3"/>
      <c r="F75" s="3"/>
    </row>
    <row r="76" spans="1:29" x14ac:dyDescent="0.15">
      <c r="C76" s="71"/>
      <c r="D76" s="3"/>
      <c r="E76" s="3"/>
      <c r="F76" s="3"/>
    </row>
    <row r="77" spans="1:29" x14ac:dyDescent="0.15">
      <c r="C77" s="71"/>
      <c r="D77" s="3"/>
      <c r="E77" s="3"/>
      <c r="F77" s="3"/>
    </row>
    <row r="78" spans="1:29" x14ac:dyDescent="0.15">
      <c r="C78" s="71"/>
      <c r="D78" s="3"/>
      <c r="E78" s="3"/>
      <c r="F78" s="39"/>
    </row>
    <row r="79" spans="1:29" x14ac:dyDescent="0.15">
      <c r="F79" s="8"/>
    </row>
    <row r="81" spans="4:9" x14ac:dyDescent="0.15">
      <c r="G81" s="10"/>
    </row>
    <row r="82" spans="4:9" x14ac:dyDescent="0.15">
      <c r="D82" s="3"/>
      <c r="E82" s="3"/>
      <c r="F82" s="3"/>
      <c r="G82" s="9"/>
    </row>
    <row r="83" spans="4:9" x14ac:dyDescent="0.15">
      <c r="D83" s="3"/>
      <c r="E83" s="3"/>
      <c r="F83" s="3"/>
      <c r="G83" s="9"/>
    </row>
    <row r="84" spans="4:9" x14ac:dyDescent="0.15">
      <c r="D84" s="3"/>
      <c r="E84" s="3"/>
      <c r="F84" s="3"/>
      <c r="H84" s="9"/>
    </row>
    <row r="85" spans="4:9" x14ac:dyDescent="0.15">
      <c r="I85" s="10"/>
    </row>
    <row r="86" spans="4:9" x14ac:dyDescent="0.15">
      <c r="D86" s="3"/>
      <c r="E86" s="3"/>
      <c r="F86" s="3"/>
    </row>
    <row r="87" spans="4:9" x14ac:dyDescent="0.15">
      <c r="D87" s="3"/>
      <c r="E87" s="3"/>
      <c r="F87" s="3"/>
    </row>
    <row r="88" spans="4:9" x14ac:dyDescent="0.15">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33"/>
  <sheetViews>
    <sheetView showGridLines="0" topLeftCell="B1" zoomScale="71" zoomScaleNormal="130" workbookViewId="0">
      <selection activeCell="G23" sqref="G23"/>
    </sheetView>
  </sheetViews>
  <sheetFormatPr baseColWidth="10" defaultColWidth="11.5" defaultRowHeight="13" x14ac:dyDescent="0.15"/>
  <cols>
    <col min="1" max="1" width="1.1640625" style="11" customWidth="1"/>
    <col min="2" max="2" width="59.5" style="11" customWidth="1"/>
    <col min="3" max="3" width="8.33203125" style="11" bestFit="1" customWidth="1"/>
    <col min="4" max="4" width="9.5" style="11" bestFit="1" customWidth="1"/>
    <col min="5" max="5" width="12.5" style="11" bestFit="1" customWidth="1"/>
    <col min="6" max="6" width="10.5" style="11" bestFit="1" customWidth="1"/>
    <col min="7" max="7" width="9.83203125" style="11" bestFit="1" customWidth="1"/>
    <col min="8" max="8" width="121.5" style="70" customWidth="1"/>
    <col min="9" max="9" width="2.83203125" style="11" customWidth="1"/>
    <col min="10" max="10" width="7.1640625" style="11" customWidth="1"/>
    <col min="11" max="11" width="3.83203125" style="11" customWidth="1"/>
    <col min="12" max="12" width="13.33203125" style="11" bestFit="1" customWidth="1"/>
    <col min="13" max="13" width="18.6640625" style="11" customWidth="1"/>
    <col min="14" max="16384" width="11.5" style="11"/>
  </cols>
  <sheetData>
    <row r="1" spans="2:13" ht="6" customHeight="1" thickBot="1" x14ac:dyDescent="0.2">
      <c r="B1" s="71"/>
      <c r="C1" s="71"/>
      <c r="D1" s="71"/>
      <c r="E1" s="71"/>
      <c r="F1" s="71"/>
      <c r="G1" s="71"/>
      <c r="H1" s="553"/>
      <c r="I1" s="71"/>
      <c r="J1" s="71"/>
      <c r="K1" s="71"/>
      <c r="L1" s="71"/>
      <c r="M1" s="71"/>
    </row>
    <row r="2" spans="2:13" ht="20" x14ac:dyDescent="0.15">
      <c r="B2" s="691" t="s">
        <v>134</v>
      </c>
      <c r="C2" s="692"/>
      <c r="D2" s="692"/>
      <c r="E2" s="692"/>
      <c r="F2" s="692"/>
      <c r="G2" s="692"/>
      <c r="H2" s="693"/>
      <c r="I2" s="71"/>
      <c r="J2" s="688" t="s">
        <v>135</v>
      </c>
      <c r="K2" s="689"/>
      <c r="L2" s="689"/>
      <c r="M2" s="690"/>
    </row>
    <row r="3" spans="2:13" x14ac:dyDescent="0.15">
      <c r="B3" s="18"/>
      <c r="C3" s="16" t="s">
        <v>136</v>
      </c>
      <c r="D3" s="16" t="s">
        <v>137</v>
      </c>
      <c r="E3" s="16" t="s">
        <v>138</v>
      </c>
      <c r="F3" s="16" t="s">
        <v>139</v>
      </c>
      <c r="G3" s="16" t="s">
        <v>140</v>
      </c>
      <c r="H3" s="471" t="s">
        <v>141</v>
      </c>
      <c r="I3" s="71"/>
      <c r="J3" s="694" t="s">
        <v>142</v>
      </c>
      <c r="K3" s="695"/>
      <c r="L3" s="17" t="s">
        <v>143</v>
      </c>
      <c r="M3" s="21" t="s">
        <v>144</v>
      </c>
    </row>
    <row r="4" spans="2:13" ht="14" x14ac:dyDescent="0.15">
      <c r="B4" s="19" t="s">
        <v>145</v>
      </c>
      <c r="C4" s="288"/>
      <c r="D4" s="288"/>
      <c r="E4" s="288"/>
      <c r="F4" s="288"/>
      <c r="G4" s="288"/>
      <c r="H4" s="472"/>
      <c r="I4" s="71"/>
      <c r="J4" s="45" t="s">
        <v>146</v>
      </c>
      <c r="K4" s="46">
        <v>0</v>
      </c>
      <c r="L4" s="47" t="s">
        <v>147</v>
      </c>
      <c r="M4" s="696" t="s">
        <v>148</v>
      </c>
    </row>
    <row r="5" spans="2:13" ht="14" x14ac:dyDescent="0.15">
      <c r="B5" s="42" t="s">
        <v>149</v>
      </c>
      <c r="C5" s="95" t="s">
        <v>150</v>
      </c>
      <c r="D5" s="95" t="s">
        <v>151</v>
      </c>
      <c r="E5" s="95" t="s">
        <v>152</v>
      </c>
      <c r="F5" s="96" t="s">
        <v>151</v>
      </c>
      <c r="G5" s="285"/>
      <c r="H5" s="473" t="s">
        <v>153</v>
      </c>
      <c r="I5" s="71"/>
      <c r="J5" s="45" t="s">
        <v>154</v>
      </c>
      <c r="K5" s="46">
        <v>1</v>
      </c>
      <c r="L5" s="47" t="s">
        <v>155</v>
      </c>
      <c r="M5" s="696"/>
    </row>
    <row r="6" spans="2:13" s="53" customFormat="1" ht="14" x14ac:dyDescent="0.15">
      <c r="B6" s="52" t="s">
        <v>156</v>
      </c>
      <c r="C6" s="95" t="s">
        <v>157</v>
      </c>
      <c r="D6" s="95" t="s">
        <v>151</v>
      </c>
      <c r="E6" s="95" t="s">
        <v>158</v>
      </c>
      <c r="F6" s="96" t="s">
        <v>159</v>
      </c>
      <c r="G6" s="286"/>
      <c r="H6" s="474" t="s">
        <v>160</v>
      </c>
      <c r="I6" s="554"/>
      <c r="J6" s="54" t="s">
        <v>161</v>
      </c>
      <c r="K6" s="55">
        <v>2</v>
      </c>
      <c r="L6" s="56" t="s">
        <v>158</v>
      </c>
      <c r="M6" s="696"/>
    </row>
    <row r="7" spans="2:13" ht="29" thickBot="1" x14ac:dyDescent="0.2">
      <c r="B7" s="42" t="s">
        <v>162</v>
      </c>
      <c r="C7" s="95" t="s">
        <v>158</v>
      </c>
      <c r="D7" s="95" t="s">
        <v>151</v>
      </c>
      <c r="E7" s="95" t="s">
        <v>152</v>
      </c>
      <c r="F7" s="96" t="s">
        <v>151</v>
      </c>
      <c r="G7" s="285"/>
      <c r="H7" s="474" t="s">
        <v>163</v>
      </c>
      <c r="I7" s="71"/>
      <c r="J7" s="48" t="s">
        <v>164</v>
      </c>
      <c r="K7" s="49">
        <v>3</v>
      </c>
      <c r="L7" s="50" t="s">
        <v>165</v>
      </c>
      <c r="M7" s="697"/>
    </row>
    <row r="8" spans="2:13" ht="15" thickBot="1" x14ac:dyDescent="0.2">
      <c r="B8" s="42" t="s">
        <v>166</v>
      </c>
      <c r="C8" s="95" t="s">
        <v>158</v>
      </c>
      <c r="D8" s="95" t="s">
        <v>151</v>
      </c>
      <c r="E8" s="95" t="s">
        <v>158</v>
      </c>
      <c r="F8" s="96" t="s">
        <v>151</v>
      </c>
      <c r="G8" s="286"/>
      <c r="H8" s="473" t="s">
        <v>167</v>
      </c>
      <c r="I8" s="71"/>
      <c r="J8" s="71"/>
      <c r="K8" s="71"/>
      <c r="L8" s="71"/>
      <c r="M8" s="71"/>
    </row>
    <row r="9" spans="2:13" ht="14" x14ac:dyDescent="0.15">
      <c r="B9" s="43" t="s">
        <v>168</v>
      </c>
      <c r="C9" s="95" t="s">
        <v>157</v>
      </c>
      <c r="D9" s="95" t="s">
        <v>159</v>
      </c>
      <c r="E9" s="95" t="s">
        <v>158</v>
      </c>
      <c r="F9" s="96" t="s">
        <v>159</v>
      </c>
      <c r="G9" s="398"/>
      <c r="H9" s="475" t="s">
        <v>169</v>
      </c>
      <c r="I9" s="71"/>
      <c r="J9" s="698" t="s">
        <v>170</v>
      </c>
      <c r="K9" s="699"/>
      <c r="L9" s="700"/>
      <c r="M9" s="71"/>
    </row>
    <row r="10" spans="2:13" ht="14" x14ac:dyDescent="0.15">
      <c r="B10" s="19" t="s">
        <v>171</v>
      </c>
      <c r="C10" s="291"/>
      <c r="D10" s="292"/>
      <c r="E10" s="292"/>
      <c r="F10" s="292"/>
      <c r="G10" s="99"/>
      <c r="H10" s="476"/>
      <c r="I10" s="71"/>
      <c r="J10" s="679"/>
      <c r="K10" s="680"/>
      <c r="L10" s="681"/>
      <c r="M10" s="71"/>
    </row>
    <row r="11" spans="2:13" ht="14" x14ac:dyDescent="0.15">
      <c r="B11" s="42" t="s">
        <v>172</v>
      </c>
      <c r="C11" s="95" t="s">
        <v>158</v>
      </c>
      <c r="D11" s="95" t="s">
        <v>159</v>
      </c>
      <c r="E11" s="95" t="s">
        <v>158</v>
      </c>
      <c r="F11" s="96" t="s">
        <v>159</v>
      </c>
      <c r="G11" s="290"/>
      <c r="H11" s="477" t="s">
        <v>173</v>
      </c>
      <c r="I11" s="71"/>
      <c r="J11" s="682"/>
      <c r="K11" s="683"/>
      <c r="L11" s="684"/>
      <c r="M11" s="71"/>
    </row>
    <row r="12" spans="2:13" ht="29" thickBot="1" x14ac:dyDescent="0.2">
      <c r="B12" s="42" t="s">
        <v>174</v>
      </c>
      <c r="C12" s="95" t="s">
        <v>150</v>
      </c>
      <c r="D12" s="95" t="s">
        <v>159</v>
      </c>
      <c r="E12" s="95" t="s">
        <v>152</v>
      </c>
      <c r="F12" s="97" t="s">
        <v>175</v>
      </c>
      <c r="G12" s="287"/>
      <c r="H12" s="478" t="s">
        <v>176</v>
      </c>
      <c r="I12" s="71"/>
      <c r="J12" s="685"/>
      <c r="K12" s="686"/>
      <c r="L12" s="687"/>
      <c r="M12" s="71"/>
    </row>
    <row r="13" spans="2:13" ht="14" x14ac:dyDescent="0.15">
      <c r="B13" s="44" t="s">
        <v>177</v>
      </c>
      <c r="C13" s="95" t="s">
        <v>150</v>
      </c>
      <c r="D13" s="95" t="s">
        <v>50</v>
      </c>
      <c r="E13" s="95" t="s">
        <v>178</v>
      </c>
      <c r="F13" s="96" t="s">
        <v>151</v>
      </c>
      <c r="G13" s="287"/>
      <c r="H13" s="478" t="s">
        <v>179</v>
      </c>
      <c r="I13" s="71"/>
      <c r="J13" s="71"/>
      <c r="K13" s="71"/>
      <c r="L13" s="71"/>
      <c r="M13" s="71"/>
    </row>
    <row r="14" spans="2:13" ht="28" x14ac:dyDescent="0.15">
      <c r="B14" s="44" t="s">
        <v>180</v>
      </c>
      <c r="C14" s="95" t="s">
        <v>158</v>
      </c>
      <c r="D14" s="95" t="s">
        <v>151</v>
      </c>
      <c r="E14" s="95" t="s">
        <v>158</v>
      </c>
      <c r="F14" s="96" t="s">
        <v>151</v>
      </c>
      <c r="G14" s="287"/>
      <c r="H14" s="478" t="s">
        <v>181</v>
      </c>
      <c r="I14" s="71"/>
      <c r="J14" s="71"/>
      <c r="K14" s="71"/>
      <c r="L14" s="71"/>
      <c r="M14" s="71"/>
    </row>
    <row r="15" spans="2:13" ht="28" x14ac:dyDescent="0.15">
      <c r="B15" s="42" t="s">
        <v>182</v>
      </c>
      <c r="C15" s="95" t="s">
        <v>150</v>
      </c>
      <c r="D15" s="95" t="s">
        <v>151</v>
      </c>
      <c r="E15" s="95" t="s">
        <v>152</v>
      </c>
      <c r="F15" s="96" t="s">
        <v>151</v>
      </c>
      <c r="G15" s="289"/>
      <c r="H15" s="478" t="s">
        <v>183</v>
      </c>
      <c r="I15" s="71"/>
      <c r="J15" s="71"/>
      <c r="K15" s="71"/>
      <c r="L15" s="71"/>
      <c r="M15" s="71"/>
    </row>
    <row r="16" spans="2:13" ht="28" x14ac:dyDescent="0.15">
      <c r="B16" s="42" t="s">
        <v>184</v>
      </c>
      <c r="C16" s="98" t="s">
        <v>158</v>
      </c>
      <c r="D16" s="98" t="s">
        <v>151</v>
      </c>
      <c r="E16" s="98" t="s">
        <v>152</v>
      </c>
      <c r="F16" s="98" t="s">
        <v>151</v>
      </c>
      <c r="G16" s="287"/>
      <c r="H16" s="478" t="s">
        <v>185</v>
      </c>
      <c r="I16" s="71"/>
      <c r="J16" s="71"/>
      <c r="K16" s="71"/>
      <c r="L16" s="71"/>
      <c r="M16" s="71"/>
    </row>
    <row r="17" spans="2:8" ht="28" x14ac:dyDescent="0.15">
      <c r="B17" s="42" t="s">
        <v>186</v>
      </c>
      <c r="C17" s="99"/>
      <c r="D17" s="95" t="s">
        <v>151</v>
      </c>
      <c r="E17" s="310" t="s">
        <v>152</v>
      </c>
      <c r="F17" s="96" t="s">
        <v>151</v>
      </c>
      <c r="G17" s="287"/>
      <c r="H17" s="478" t="s">
        <v>187</v>
      </c>
    </row>
    <row r="18" spans="2:8" ht="28" x14ac:dyDescent="0.15">
      <c r="B18" s="42" t="s">
        <v>188</v>
      </c>
      <c r="C18" s="95" t="s">
        <v>157</v>
      </c>
      <c r="D18" s="95" t="s">
        <v>151</v>
      </c>
      <c r="E18" s="95" t="s">
        <v>158</v>
      </c>
      <c r="F18" s="96" t="s">
        <v>159</v>
      </c>
      <c r="G18" s="287"/>
      <c r="H18" s="478" t="s">
        <v>189</v>
      </c>
    </row>
    <row r="19" spans="2:8" ht="28" x14ac:dyDescent="0.15">
      <c r="B19" s="42" t="s">
        <v>190</v>
      </c>
      <c r="C19" s="95" t="s">
        <v>150</v>
      </c>
      <c r="D19" s="95" t="s">
        <v>151</v>
      </c>
      <c r="E19" s="95" t="s">
        <v>178</v>
      </c>
      <c r="F19" s="96" t="s">
        <v>151</v>
      </c>
      <c r="G19" s="287"/>
      <c r="H19" s="478" t="s">
        <v>191</v>
      </c>
    </row>
    <row r="20" spans="2:8" ht="14" x14ac:dyDescent="0.15">
      <c r="B20" s="42" t="s">
        <v>192</v>
      </c>
      <c r="C20" s="95" t="s">
        <v>158</v>
      </c>
      <c r="D20" s="95" t="s">
        <v>151</v>
      </c>
      <c r="E20" s="95" t="s">
        <v>152</v>
      </c>
      <c r="F20" s="96" t="s">
        <v>151</v>
      </c>
      <c r="G20" s="287"/>
      <c r="H20" s="478" t="s">
        <v>193</v>
      </c>
    </row>
    <row r="21" spans="2:8" ht="42" x14ac:dyDescent="0.15">
      <c r="B21" s="43" t="s">
        <v>194</v>
      </c>
      <c r="C21" s="100" t="s">
        <v>150</v>
      </c>
      <c r="D21" s="100" t="s">
        <v>151</v>
      </c>
      <c r="E21" s="100" t="s">
        <v>158</v>
      </c>
      <c r="F21" s="101" t="s">
        <v>151</v>
      </c>
      <c r="G21" s="402"/>
      <c r="H21" s="475" t="s">
        <v>195</v>
      </c>
    </row>
    <row r="22" spans="2:8" ht="14" x14ac:dyDescent="0.15">
      <c r="B22" s="20" t="s">
        <v>196</v>
      </c>
      <c r="C22" s="293"/>
      <c r="D22" s="293"/>
      <c r="E22" s="99"/>
      <c r="F22" s="293"/>
      <c r="G22" s="99"/>
      <c r="H22" s="479"/>
    </row>
    <row r="23" spans="2:8" ht="14" x14ac:dyDescent="0.15">
      <c r="B23" s="42" t="s">
        <v>197</v>
      </c>
      <c r="C23" s="99"/>
      <c r="D23" s="99"/>
      <c r="E23" s="97" t="s">
        <v>158</v>
      </c>
      <c r="F23" s="97" t="s">
        <v>151</v>
      </c>
      <c r="G23" s="284"/>
      <c r="H23" s="480" t="s">
        <v>198</v>
      </c>
    </row>
    <row r="24" spans="2:8" x14ac:dyDescent="0.15">
      <c r="B24" s="42" t="s">
        <v>199</v>
      </c>
      <c r="C24" s="99"/>
      <c r="D24" s="99"/>
      <c r="E24" s="97" t="s">
        <v>152</v>
      </c>
      <c r="F24" s="97" t="s">
        <v>151</v>
      </c>
      <c r="G24" s="284"/>
      <c r="H24" s="481">
        <v>0.90910000000000002</v>
      </c>
    </row>
    <row r="25" spans="2:8" ht="14" x14ac:dyDescent="0.15">
      <c r="B25" s="42" t="s">
        <v>200</v>
      </c>
      <c r="C25" s="99"/>
      <c r="D25" s="99"/>
      <c r="E25" s="397" t="s">
        <v>152</v>
      </c>
      <c r="F25" s="97" t="s">
        <v>151</v>
      </c>
      <c r="G25" s="287"/>
      <c r="H25" s="478" t="s">
        <v>201</v>
      </c>
    </row>
    <row r="26" spans="2:8" ht="14" x14ac:dyDescent="0.15">
      <c r="B26" s="42" t="s">
        <v>202</v>
      </c>
      <c r="C26" s="99"/>
      <c r="D26" s="99"/>
      <c r="E26" s="97" t="s">
        <v>152</v>
      </c>
      <c r="F26" s="97" t="s">
        <v>151</v>
      </c>
      <c r="G26" s="287"/>
      <c r="H26" s="478" t="s">
        <v>203</v>
      </c>
    </row>
    <row r="27" spans="2:8" ht="14" x14ac:dyDescent="0.15">
      <c r="B27" s="42" t="s">
        <v>204</v>
      </c>
      <c r="C27" s="99"/>
      <c r="D27" s="99"/>
      <c r="E27" s="97" t="s">
        <v>152</v>
      </c>
      <c r="F27" s="97" t="s">
        <v>151</v>
      </c>
      <c r="G27" s="284"/>
      <c r="H27" s="478" t="s">
        <v>205</v>
      </c>
    </row>
    <row r="28" spans="2:8" ht="14" x14ac:dyDescent="0.15">
      <c r="B28" s="42" t="s">
        <v>206</v>
      </c>
      <c r="C28" s="99"/>
      <c r="D28" s="99"/>
      <c r="E28" s="97" t="s">
        <v>158</v>
      </c>
      <c r="F28" s="97" t="s">
        <v>159</v>
      </c>
      <c r="G28" s="294"/>
      <c r="H28" s="478" t="s">
        <v>207</v>
      </c>
    </row>
    <row r="29" spans="2:8" ht="14" x14ac:dyDescent="0.15">
      <c r="B29" s="42" t="s">
        <v>208</v>
      </c>
      <c r="C29" s="99"/>
      <c r="D29" s="99"/>
      <c r="E29" s="97" t="s">
        <v>152</v>
      </c>
      <c r="F29" s="97" t="s">
        <v>151</v>
      </c>
      <c r="G29" s="396"/>
      <c r="H29" s="477" t="s">
        <v>209</v>
      </c>
    </row>
    <row r="30" spans="2:8" ht="14" x14ac:dyDescent="0.15">
      <c r="B30" s="42" t="s">
        <v>210</v>
      </c>
      <c r="C30" s="99"/>
      <c r="D30" s="99"/>
      <c r="E30" s="97" t="s">
        <v>178</v>
      </c>
      <c r="F30" s="97" t="s">
        <v>151</v>
      </c>
      <c r="G30" s="287"/>
      <c r="H30" s="477" t="s">
        <v>211</v>
      </c>
    </row>
    <row r="31" spans="2:8" ht="14" x14ac:dyDescent="0.15">
      <c r="B31" s="44" t="s">
        <v>212</v>
      </c>
      <c r="C31" s="99"/>
      <c r="D31" s="97" t="s">
        <v>151</v>
      </c>
      <c r="E31" s="97" t="s">
        <v>152</v>
      </c>
      <c r="F31" s="97" t="s">
        <v>151</v>
      </c>
      <c r="G31" s="284"/>
      <c r="H31" s="478" t="s">
        <v>213</v>
      </c>
    </row>
    <row r="32" spans="2:8" ht="29" thickBot="1" x14ac:dyDescent="0.2">
      <c r="B32" s="540" t="s">
        <v>214</v>
      </c>
      <c r="C32" s="311" t="s">
        <v>150</v>
      </c>
      <c r="D32" s="102" t="s">
        <v>151</v>
      </c>
      <c r="E32" s="103" t="s">
        <v>152</v>
      </c>
      <c r="F32" s="103" t="s">
        <v>151</v>
      </c>
      <c r="G32" s="539"/>
      <c r="H32" s="482" t="s">
        <v>215</v>
      </c>
    </row>
    <row r="33" spans="2:2" ht="15.75" customHeight="1" x14ac:dyDescent="0.2">
      <c r="B33" s="57"/>
    </row>
  </sheetData>
  <mergeCells count="8">
    <mergeCell ref="J10:L10"/>
    <mergeCell ref="J11:L11"/>
    <mergeCell ref="J12:L12"/>
    <mergeCell ref="J2:M2"/>
    <mergeCell ref="B2:H2"/>
    <mergeCell ref="J3:K3"/>
    <mergeCell ref="M4:M7"/>
    <mergeCell ref="J9:L9"/>
  </mergeCells>
  <phoneticPr fontId="66"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G76"/>
  <sheetViews>
    <sheetView topLeftCell="A25" zoomScale="82" zoomScaleNormal="60" workbookViewId="0">
      <selection activeCell="F79" sqref="F79"/>
    </sheetView>
  </sheetViews>
  <sheetFormatPr baseColWidth="10" defaultColWidth="11.5" defaultRowHeight="15" x14ac:dyDescent="0.2"/>
  <cols>
    <col min="1" max="1" width="14.5" style="193" customWidth="1"/>
    <col min="2" max="2" width="6.6640625" style="193" customWidth="1"/>
    <col min="3" max="3" width="35.5" style="193" customWidth="1"/>
    <col min="4" max="5" width="12.5" style="193" customWidth="1"/>
    <col min="6" max="6" width="22" style="194" customWidth="1"/>
    <col min="7" max="7" width="19.33203125" style="194" customWidth="1"/>
    <col min="8" max="8" width="11.6640625" style="194" customWidth="1"/>
    <col min="9" max="9" width="11.1640625" style="194" customWidth="1"/>
    <col min="10" max="10" width="10.5" style="194" customWidth="1"/>
    <col min="11" max="11" width="10.6640625" style="194" customWidth="1"/>
    <col min="12" max="12" width="10.83203125" style="194" customWidth="1"/>
    <col min="13" max="13" width="11.1640625" style="194" customWidth="1"/>
    <col min="14" max="16" width="10.6640625" style="194" customWidth="1"/>
    <col min="17" max="17" width="10.1640625" style="194" customWidth="1"/>
    <col min="18" max="20" width="10.6640625" style="194" customWidth="1"/>
    <col min="21" max="21" width="10" style="194" bestFit="1" customWidth="1"/>
    <col min="22" max="22" width="9.83203125" style="194" bestFit="1" customWidth="1"/>
    <col min="23" max="23" width="11.6640625" style="194" customWidth="1"/>
    <col min="24" max="25" width="9.83203125" style="194" bestFit="1" customWidth="1"/>
    <col min="26" max="26" width="12.6640625" style="194" customWidth="1"/>
    <col min="27" max="28" width="10" style="194" bestFit="1" customWidth="1"/>
    <col min="29" max="29" width="10.5" style="194" bestFit="1" customWidth="1"/>
    <col min="30" max="30" width="11.5" style="193"/>
    <col min="31" max="31" width="12.5" style="193" bestFit="1" customWidth="1"/>
    <col min="32" max="32" width="11.5" style="193"/>
    <col min="33" max="33" width="143.1640625" style="193" customWidth="1"/>
    <col min="34" max="16384" width="11.5" style="193"/>
  </cols>
  <sheetData>
    <row r="1" spans="1:33" ht="20" x14ac:dyDescent="0.2">
      <c r="C1" s="708" t="s">
        <v>216</v>
      </c>
      <c r="D1" s="708"/>
      <c r="E1" s="708"/>
      <c r="F1" s="708"/>
      <c r="G1" s="708"/>
      <c r="H1" s="708"/>
      <c r="I1" s="708"/>
      <c r="J1" s="708"/>
      <c r="K1" s="708"/>
      <c r="L1" s="708"/>
    </row>
    <row r="2" spans="1:33" ht="20" x14ac:dyDescent="0.2">
      <c r="C2" s="511"/>
      <c r="D2" s="509"/>
      <c r="E2" s="509"/>
      <c r="F2" s="509"/>
      <c r="G2" s="509"/>
      <c r="H2" s="509"/>
      <c r="I2" s="509"/>
      <c r="J2" s="509"/>
      <c r="K2" s="509"/>
      <c r="L2" s="509"/>
    </row>
    <row r="3" spans="1:33" ht="16" x14ac:dyDescent="0.2">
      <c r="C3" s="195"/>
      <c r="D3" s="195"/>
      <c r="E3" s="195"/>
      <c r="F3" s="195"/>
      <c r="G3" s="195"/>
      <c r="H3" s="701" t="s">
        <v>217</v>
      </c>
      <c r="I3" s="701"/>
      <c r="J3" s="701"/>
      <c r="K3" s="701"/>
      <c r="L3" s="701"/>
      <c r="M3" s="701" t="s">
        <v>218</v>
      </c>
      <c r="N3" s="701"/>
      <c r="O3" s="701"/>
      <c r="P3" s="701"/>
      <c r="Q3" s="701"/>
      <c r="R3" s="701"/>
      <c r="S3" s="701"/>
      <c r="T3" s="701"/>
      <c r="U3" s="701"/>
      <c r="V3" s="701"/>
      <c r="W3" s="701" t="s">
        <v>219</v>
      </c>
      <c r="X3" s="701"/>
      <c r="Y3" s="701"/>
      <c r="Z3" s="701"/>
      <c r="AA3" s="701"/>
      <c r="AB3" s="701"/>
      <c r="AC3" s="701"/>
      <c r="AD3" s="701"/>
      <c r="AE3" s="701"/>
      <c r="AF3" s="701"/>
    </row>
    <row r="4" spans="1:33" ht="16" thickBot="1" x14ac:dyDescent="0.25">
      <c r="D4" s="510">
        <f t="shared" ref="D4:AF4" si="0">D20/D7</f>
        <v>8.2521083683468575E-3</v>
      </c>
      <c r="E4" s="510">
        <f t="shared" si="0"/>
        <v>1.0966775786345606E-2</v>
      </c>
      <c r="F4" s="510">
        <f t="shared" si="0"/>
        <v>1.1157694665695432E-2</v>
      </c>
      <c r="G4" s="510">
        <f t="shared" si="0"/>
        <v>1.7965736085748408E-2</v>
      </c>
      <c r="H4" s="510">
        <f t="shared" si="0"/>
        <v>2.2252363960934253E-2</v>
      </c>
      <c r="I4" s="510">
        <f t="shared" si="0"/>
        <v>0.02</v>
      </c>
      <c r="J4" s="510">
        <f t="shared" si="0"/>
        <v>0.02</v>
      </c>
      <c r="K4" s="510">
        <f t="shared" si="0"/>
        <v>0.02</v>
      </c>
      <c r="L4" s="510">
        <f t="shared" si="0"/>
        <v>0.02</v>
      </c>
      <c r="M4" s="510">
        <f t="shared" si="0"/>
        <v>1.0000000000000002E-2</v>
      </c>
      <c r="N4" s="510">
        <f t="shared" si="0"/>
        <v>0.01</v>
      </c>
      <c r="O4" s="510">
        <f t="shared" si="0"/>
        <v>0.01</v>
      </c>
      <c r="P4" s="510">
        <f t="shared" si="0"/>
        <v>0.01</v>
      </c>
      <c r="Q4" s="510">
        <f t="shared" si="0"/>
        <v>0.01</v>
      </c>
      <c r="R4" s="510">
        <f t="shared" si="0"/>
        <v>0.01</v>
      </c>
      <c r="S4" s="510">
        <f t="shared" si="0"/>
        <v>0.01</v>
      </c>
      <c r="T4" s="510">
        <f t="shared" si="0"/>
        <v>0.01</v>
      </c>
      <c r="U4" s="510">
        <f t="shared" si="0"/>
        <v>0.01</v>
      </c>
      <c r="V4" s="510">
        <f t="shared" si="0"/>
        <v>0.01</v>
      </c>
      <c r="W4" s="510">
        <f t="shared" si="0"/>
        <v>1.4999999999999999E-2</v>
      </c>
      <c r="X4" s="510">
        <f t="shared" si="0"/>
        <v>1.4999999999999999E-2</v>
      </c>
      <c r="Y4" s="510">
        <f t="shared" si="0"/>
        <v>1.4999999999999999E-2</v>
      </c>
      <c r="Z4" s="510">
        <f t="shared" si="0"/>
        <v>1.4999999999999999E-2</v>
      </c>
      <c r="AA4" s="510">
        <f t="shared" si="0"/>
        <v>1.4999999999999999E-2</v>
      </c>
      <c r="AB4" s="510">
        <f t="shared" si="0"/>
        <v>1.4999999999999998E-2</v>
      </c>
      <c r="AC4" s="510">
        <f t="shared" si="0"/>
        <v>1.4999999999999999E-2</v>
      </c>
      <c r="AD4" s="510">
        <f t="shared" si="0"/>
        <v>1.4999999999999999E-2</v>
      </c>
      <c r="AE4" s="510">
        <f t="shared" si="0"/>
        <v>1.5000000000000001E-2</v>
      </c>
      <c r="AF4" s="510">
        <f t="shared" si="0"/>
        <v>1.4999999999999998E-2</v>
      </c>
    </row>
    <row r="5" spans="1:33" x14ac:dyDescent="0.2">
      <c r="A5" s="196" t="s">
        <v>220</v>
      </c>
      <c r="B5" s="196" t="s">
        <v>221</v>
      </c>
      <c r="C5" s="197" t="s">
        <v>222</v>
      </c>
      <c r="D5" s="198" t="s">
        <v>100</v>
      </c>
      <c r="E5" s="198" t="s">
        <v>16</v>
      </c>
      <c r="F5" s="198" t="s">
        <v>17</v>
      </c>
      <c r="G5" s="493" t="s">
        <v>18</v>
      </c>
      <c r="H5" s="517">
        <v>2024</v>
      </c>
      <c r="I5" s="518">
        <f t="shared" ref="I5:AF5" si="1">+H5+1</f>
        <v>2025</v>
      </c>
      <c r="J5" s="518">
        <f t="shared" si="1"/>
        <v>2026</v>
      </c>
      <c r="K5" s="518">
        <f t="shared" si="1"/>
        <v>2027</v>
      </c>
      <c r="L5" s="527">
        <f t="shared" si="1"/>
        <v>2028</v>
      </c>
      <c r="M5" s="517">
        <f t="shared" si="1"/>
        <v>2029</v>
      </c>
      <c r="N5" s="518">
        <f t="shared" si="1"/>
        <v>2030</v>
      </c>
      <c r="O5" s="518">
        <f t="shared" si="1"/>
        <v>2031</v>
      </c>
      <c r="P5" s="518">
        <f t="shared" si="1"/>
        <v>2032</v>
      </c>
      <c r="Q5" s="518">
        <f t="shared" si="1"/>
        <v>2033</v>
      </c>
      <c r="R5" s="518">
        <f t="shared" si="1"/>
        <v>2034</v>
      </c>
      <c r="S5" s="518">
        <f t="shared" si="1"/>
        <v>2035</v>
      </c>
      <c r="T5" s="518">
        <f t="shared" si="1"/>
        <v>2036</v>
      </c>
      <c r="U5" s="518">
        <f t="shared" si="1"/>
        <v>2037</v>
      </c>
      <c r="V5" s="527">
        <f t="shared" si="1"/>
        <v>2038</v>
      </c>
      <c r="W5" s="517">
        <f t="shared" si="1"/>
        <v>2039</v>
      </c>
      <c r="X5" s="518">
        <f t="shared" si="1"/>
        <v>2040</v>
      </c>
      <c r="Y5" s="518">
        <f t="shared" si="1"/>
        <v>2041</v>
      </c>
      <c r="Z5" s="518">
        <f t="shared" si="1"/>
        <v>2042</v>
      </c>
      <c r="AA5" s="518">
        <f t="shared" si="1"/>
        <v>2043</v>
      </c>
      <c r="AB5" s="518">
        <f t="shared" si="1"/>
        <v>2044</v>
      </c>
      <c r="AC5" s="518">
        <f t="shared" si="1"/>
        <v>2045</v>
      </c>
      <c r="AD5" s="518">
        <f t="shared" si="1"/>
        <v>2046</v>
      </c>
      <c r="AE5" s="518">
        <f t="shared" si="1"/>
        <v>2047</v>
      </c>
      <c r="AF5" s="519">
        <f t="shared" si="1"/>
        <v>2048</v>
      </c>
      <c r="AG5" s="193" t="s">
        <v>223</v>
      </c>
    </row>
    <row r="6" spans="1:33" s="202" customFormat="1" ht="14" x14ac:dyDescent="0.15">
      <c r="A6" s="709" t="s">
        <v>224</v>
      </c>
      <c r="B6" s="200">
        <v>1</v>
      </c>
      <c r="C6" s="201" t="s">
        <v>225</v>
      </c>
      <c r="D6" s="559">
        <f>Cifras_en_Millones!F6</f>
        <v>0.19479082533866521</v>
      </c>
      <c r="E6" s="559">
        <f>Cifras_en_Millones!E6</f>
        <v>0.29244468137921698</v>
      </c>
      <c r="F6" s="559">
        <f>Cifras_en_Millones!D6</f>
        <v>0.13057011783933103</v>
      </c>
      <c r="G6" s="560">
        <f>Cifras_en_Millones!C6</f>
        <v>3.9800729929752698E-2</v>
      </c>
      <c r="H6" s="561">
        <v>0.1031884359</v>
      </c>
      <c r="I6" s="562">
        <v>0.18</v>
      </c>
      <c r="J6" s="562">
        <v>0.16</v>
      </c>
      <c r="K6" s="562">
        <v>0.14000000000000001</v>
      </c>
      <c r="L6" s="563">
        <v>0.13</v>
      </c>
      <c r="M6" s="561">
        <v>0.11</v>
      </c>
      <c r="N6" s="562">
        <v>0.1</v>
      </c>
      <c r="O6" s="562">
        <v>0.09</v>
      </c>
      <c r="P6" s="562">
        <v>0.08</v>
      </c>
      <c r="Q6" s="562">
        <v>7.0000000000000007E-2</v>
      </c>
      <c r="R6" s="562">
        <v>7.0000000000000007E-2</v>
      </c>
      <c r="S6" s="562">
        <v>7.0000000000000007E-2</v>
      </c>
      <c r="T6" s="562">
        <v>0.06</v>
      </c>
      <c r="U6" s="562">
        <v>0.06</v>
      </c>
      <c r="V6" s="563">
        <v>0.05</v>
      </c>
      <c r="W6" s="561">
        <v>0.05</v>
      </c>
      <c r="X6" s="562">
        <v>0.05</v>
      </c>
      <c r="Y6" s="562">
        <v>0.05</v>
      </c>
      <c r="Z6" s="562">
        <v>0.04</v>
      </c>
      <c r="AA6" s="562">
        <v>0.04</v>
      </c>
      <c r="AB6" s="562">
        <v>0.04</v>
      </c>
      <c r="AC6" s="562">
        <v>0.04</v>
      </c>
      <c r="AD6" s="562">
        <v>0.03</v>
      </c>
      <c r="AE6" s="562">
        <v>0.03</v>
      </c>
      <c r="AF6" s="564">
        <v>0.03</v>
      </c>
    </row>
    <row r="7" spans="1:33" s="205" customFormat="1" x14ac:dyDescent="0.2">
      <c r="A7" s="709"/>
      <c r="B7" s="200">
        <v>2</v>
      </c>
      <c r="C7" s="203" t="s">
        <v>226</v>
      </c>
      <c r="D7" s="565">
        <f>Cifras_Originales!E6</f>
        <v>1091.721</v>
      </c>
      <c r="E7" s="565">
        <f>Cifras_Originales!D6</f>
        <v>1410.989</v>
      </c>
      <c r="F7" s="565">
        <f>Cifras_Originales!C6</f>
        <v>1595.222</v>
      </c>
      <c r="G7" s="566">
        <f>Cifras_Originales!B6</f>
        <v>1658.713</v>
      </c>
      <c r="H7" s="728">
        <f t="shared" ref="H7:AF8" si="2">G7*(1+H6)</f>
        <v>1829.8730000769965</v>
      </c>
      <c r="I7" s="729">
        <f t="shared" si="2"/>
        <v>2159.2501400908559</v>
      </c>
      <c r="J7" s="729">
        <f t="shared" si="2"/>
        <v>2504.7301625053929</v>
      </c>
      <c r="K7" s="729">
        <f t="shared" si="2"/>
        <v>2855.3923852561484</v>
      </c>
      <c r="L7" s="730">
        <f t="shared" si="2"/>
        <v>3226.5933953394474</v>
      </c>
      <c r="M7" s="728">
        <f t="shared" si="2"/>
        <v>3581.5186688267868</v>
      </c>
      <c r="N7" s="729">
        <f t="shared" si="2"/>
        <v>3939.6705357094656</v>
      </c>
      <c r="O7" s="729">
        <f t="shared" si="2"/>
        <v>4294.2408839233176</v>
      </c>
      <c r="P7" s="729">
        <f t="shared" si="2"/>
        <v>4637.7801546371829</v>
      </c>
      <c r="Q7" s="729">
        <f t="shared" si="2"/>
        <v>4962.4247654617857</v>
      </c>
      <c r="R7" s="729">
        <f t="shared" si="2"/>
        <v>5309.794499044111</v>
      </c>
      <c r="S7" s="729">
        <f t="shared" si="2"/>
        <v>5681.4801139771989</v>
      </c>
      <c r="T7" s="729">
        <f t="shared" si="2"/>
        <v>6022.3689208158312</v>
      </c>
      <c r="U7" s="729">
        <f t="shared" si="2"/>
        <v>6383.7110560647816</v>
      </c>
      <c r="V7" s="730">
        <f t="shared" si="2"/>
        <v>6702.8966088680208</v>
      </c>
      <c r="W7" s="728">
        <f t="shared" si="2"/>
        <v>7038.0414393114224</v>
      </c>
      <c r="X7" s="731">
        <f t="shared" si="2"/>
        <v>7389.9435112769943</v>
      </c>
      <c r="Y7" s="729">
        <f t="shared" si="2"/>
        <v>7759.4406868408441</v>
      </c>
      <c r="Z7" s="729">
        <f t="shared" si="2"/>
        <v>8069.8183143144779</v>
      </c>
      <c r="AA7" s="729">
        <f t="shared" si="2"/>
        <v>8392.6110468870575</v>
      </c>
      <c r="AB7" s="729">
        <f t="shared" si="2"/>
        <v>8728.3154887625406</v>
      </c>
      <c r="AC7" s="729">
        <f t="shared" si="2"/>
        <v>9077.4481083130431</v>
      </c>
      <c r="AD7" s="729">
        <f t="shared" si="2"/>
        <v>9349.771551562435</v>
      </c>
      <c r="AE7" s="729">
        <f t="shared" si="2"/>
        <v>9630.2646981093076</v>
      </c>
      <c r="AF7" s="732">
        <f t="shared" si="2"/>
        <v>9919.1726390525873</v>
      </c>
    </row>
    <row r="8" spans="1:33" s="202" customFormat="1" x14ac:dyDescent="0.2">
      <c r="A8" s="709"/>
      <c r="B8" s="200">
        <v>3</v>
      </c>
      <c r="C8" s="201" t="s">
        <v>227</v>
      </c>
      <c r="D8" s="571">
        <v>0.19719999999999999</v>
      </c>
      <c r="E8" s="571">
        <v>0.19819999999999999</v>
      </c>
      <c r="F8" s="571">
        <v>0.1608</v>
      </c>
      <c r="G8" s="572">
        <v>0.13980000000000001</v>
      </c>
      <c r="H8" s="737">
        <v>0.16</v>
      </c>
      <c r="I8" s="738">
        <v>0.16</v>
      </c>
      <c r="J8" s="738">
        <v>0.16</v>
      </c>
      <c r="K8" s="738">
        <v>0.16</v>
      </c>
      <c r="L8" s="739">
        <v>0.16</v>
      </c>
      <c r="M8" s="737">
        <v>0.16</v>
      </c>
      <c r="N8" s="740">
        <v>0.16</v>
      </c>
      <c r="O8" s="740">
        <v>0.16</v>
      </c>
      <c r="P8" s="740">
        <v>0.16</v>
      </c>
      <c r="Q8" s="740">
        <v>0.16</v>
      </c>
      <c r="R8" s="740">
        <v>0.16</v>
      </c>
      <c r="S8" s="740">
        <v>0.16</v>
      </c>
      <c r="T8" s="740">
        <v>0.16</v>
      </c>
      <c r="U8" s="740">
        <v>0.16</v>
      </c>
      <c r="V8" s="740">
        <v>0.16</v>
      </c>
      <c r="W8" s="737">
        <v>0.16</v>
      </c>
      <c r="X8" s="738">
        <v>0.16</v>
      </c>
      <c r="Y8" s="738">
        <v>0.16</v>
      </c>
      <c r="Z8" s="738">
        <v>0.16</v>
      </c>
      <c r="AA8" s="738">
        <v>0.16</v>
      </c>
      <c r="AB8" s="738">
        <v>0.16</v>
      </c>
      <c r="AC8" s="738">
        <v>0.16</v>
      </c>
      <c r="AD8" s="738">
        <v>0.16</v>
      </c>
      <c r="AE8" s="738">
        <v>0.16</v>
      </c>
      <c r="AF8" s="739">
        <v>0.16</v>
      </c>
    </row>
    <row r="9" spans="1:33" x14ac:dyDescent="0.2">
      <c r="A9" s="709"/>
      <c r="B9" s="200">
        <v>4</v>
      </c>
      <c r="C9" s="206" t="s">
        <v>101</v>
      </c>
      <c r="D9" s="565">
        <f>D7*D8</f>
        <v>215.2873812</v>
      </c>
      <c r="E9" s="565">
        <f>E7*E8</f>
        <v>279.65801979999998</v>
      </c>
      <c r="F9" s="565">
        <f>F7*F8</f>
        <v>256.51169759999999</v>
      </c>
      <c r="G9" s="566">
        <f t="shared" ref="G9:AF9" si="3">G8*G7</f>
        <v>231.88807740000001</v>
      </c>
      <c r="H9" s="733">
        <f t="shared" si="3"/>
        <v>292.77968001231943</v>
      </c>
      <c r="I9" s="734">
        <f t="shared" si="3"/>
        <v>345.48002241453696</v>
      </c>
      <c r="J9" s="734">
        <f t="shared" si="3"/>
        <v>400.75682600086287</v>
      </c>
      <c r="K9" s="734">
        <f t="shared" si="3"/>
        <v>456.86278164098377</v>
      </c>
      <c r="L9" s="735">
        <f t="shared" si="3"/>
        <v>516.25494325431157</v>
      </c>
      <c r="M9" s="733">
        <f t="shared" si="3"/>
        <v>573.04298701228595</v>
      </c>
      <c r="N9" s="734">
        <f t="shared" si="3"/>
        <v>630.34728571351457</v>
      </c>
      <c r="O9" s="734">
        <f t="shared" si="3"/>
        <v>687.07854142773078</v>
      </c>
      <c r="P9" s="734">
        <f t="shared" si="3"/>
        <v>742.04482474194924</v>
      </c>
      <c r="Q9" s="734">
        <f t="shared" si="3"/>
        <v>793.98796247388577</v>
      </c>
      <c r="R9" s="734">
        <f t="shared" si="3"/>
        <v>849.56711984705782</v>
      </c>
      <c r="S9" s="734">
        <f t="shared" si="3"/>
        <v>909.03681823635179</v>
      </c>
      <c r="T9" s="734">
        <f t="shared" si="3"/>
        <v>963.57902733053299</v>
      </c>
      <c r="U9" s="734">
        <f t="shared" si="3"/>
        <v>1021.393768970365</v>
      </c>
      <c r="V9" s="735">
        <f t="shared" si="3"/>
        <v>1072.4634574188833</v>
      </c>
      <c r="W9" s="733">
        <f t="shared" si="3"/>
        <v>1126.0866302898276</v>
      </c>
      <c r="X9" s="734">
        <f t="shared" si="3"/>
        <v>1182.3909618043192</v>
      </c>
      <c r="Y9" s="734">
        <f t="shared" si="3"/>
        <v>1241.5105098945351</v>
      </c>
      <c r="Z9" s="734">
        <f t="shared" si="3"/>
        <v>1291.1709302903164</v>
      </c>
      <c r="AA9" s="734">
        <f t="shared" si="3"/>
        <v>1342.8177675019292</v>
      </c>
      <c r="AB9" s="734">
        <f t="shared" si="3"/>
        <v>1396.5304782020064</v>
      </c>
      <c r="AC9" s="734">
        <f t="shared" si="3"/>
        <v>1452.391697330087</v>
      </c>
      <c r="AD9" s="734">
        <f t="shared" si="3"/>
        <v>1495.9634482499896</v>
      </c>
      <c r="AE9" s="734">
        <f>AE8*AE7</f>
        <v>1540.8423516974892</v>
      </c>
      <c r="AF9" s="736">
        <f t="shared" si="3"/>
        <v>1587.067622248414</v>
      </c>
    </row>
    <row r="10" spans="1:33" x14ac:dyDescent="0.2">
      <c r="A10" s="709"/>
      <c r="B10" s="200" t="s">
        <v>228</v>
      </c>
      <c r="C10" s="208" t="s">
        <v>229</v>
      </c>
      <c r="D10" s="300">
        <f>Cifras_Originales!E11</f>
        <v>-30.535</v>
      </c>
      <c r="E10" s="300">
        <f>Cifras_Originales!D11</f>
        <v>-32.07</v>
      </c>
      <c r="F10" s="300">
        <f>Cifras_Originales!C11</f>
        <v>-39.847000000000001</v>
      </c>
      <c r="G10" s="494">
        <f>Cifras_Originales!B11</f>
        <v>-46.433999999999997</v>
      </c>
      <c r="H10" s="506">
        <v>-48.131999999999998</v>
      </c>
      <c r="I10" s="496" cm="1">
        <f t="array" ref="I10">H10*0.7+0.3*(-$D$51*AVERAGE(-1*(E23:H23)))</f>
        <v>-44.074709999999996</v>
      </c>
      <c r="J10" s="496" cm="1">
        <f t="array" ref="J10">I10*0.7+0.3*(-$D$51*AVERAGE(-1*(F23:I23)))</f>
        <v>-42.595812252163533</v>
      </c>
      <c r="K10" s="496" cm="1">
        <f t="array" ref="K10">J10*0.7+0.3*(-$D$51*AVERAGE(-1*(G23:J23)))</f>
        <v>-44.002293121187719</v>
      </c>
      <c r="L10" s="508" cm="1">
        <f t="array" ref="L10">K10*0.7+0.3*(-$D$51*AVERAGE(-1*(H23:K23)))</f>
        <v>-47.846296022965717</v>
      </c>
      <c r="M10" s="506" cm="1">
        <f t="array" ref="M10">L10*0.7+0.3*(-$D$51*AVERAGE(-1*(I23:L23)))</f>
        <v>-52.835146165821328</v>
      </c>
      <c r="N10" s="496" cm="1">
        <f t="array" ref="N10">M10*0.7+0.3*(-$D$51*AVERAGE(-1*(J23:M23)))</f>
        <v>-62.110791419489033</v>
      </c>
      <c r="O10" s="496" cm="1">
        <f t="array" ref="O10">N10*0.7+0.3*(-$D$51*AVERAGE(-1*(K23:N23)))</f>
        <v>-74.732339250962269</v>
      </c>
      <c r="P10" s="496" cm="1">
        <f t="array" ref="P10">O10*0.7+0.3*(-$D$51*AVERAGE(-1*(L23:O23)))</f>
        <v>-90.022166826125428</v>
      </c>
      <c r="Q10" s="496" cm="1">
        <f t="array" ref="Q10">P10*0.7+0.3*(-$D$51*AVERAGE(-1*(M23:P23)))</f>
        <v>-107.43918443464902</v>
      </c>
      <c r="R10" s="496" cm="1">
        <f t="array" ref="R10">Q10*0.7+0.3*(-$D$51*AVERAGE(-1*(N23:Q23)))</f>
        <v>-123.35954322153005</v>
      </c>
      <c r="S10" s="496" cm="1">
        <f t="array" ref="S10">R10*0.7+0.3*(-$D$51*AVERAGE(-1*(O23:R23)))</f>
        <v>-138.20312907335028</v>
      </c>
      <c r="T10" s="496" cm="1">
        <f t="array" ref="T10">S10*0.7+0.3*(-$D$51*AVERAGE(-1*(P23:S23)))</f>
        <v>-152.33918509076994</v>
      </c>
      <c r="U10" s="496" cm="1">
        <f t="array" ref="U10">T10*0.7+0.3*(-$D$51*AVERAGE(-1*(Q23:T23)))</f>
        <v>-165.97281397164605</v>
      </c>
      <c r="V10" s="508" cm="1">
        <f t="array" ref="V10">U10*0.7+0.3*(-$D$51*AVERAGE(-1*(R23:U23)))</f>
        <v>-179.35382717288741</v>
      </c>
      <c r="W10" s="506" cm="1">
        <f t="array" ref="W10">V10*0.7+0.3*(-$F$51*AVERAGE(-1*(S23:V23)))</f>
        <v>-192.48191211028092</v>
      </c>
      <c r="X10" s="496" cm="1">
        <f t="array" ref="X10">W10*0.7+0.3*(-$F$51*AVERAGE(-1*(T23:W23)))</f>
        <v>-211.66852444023903</v>
      </c>
      <c r="Y10" s="496" cm="1">
        <f t="array" ref="Y10">X10*0.7+0.3*(-$F$51*AVERAGE(-1*(U23:X23)))</f>
        <v>-235.44255362560415</v>
      </c>
      <c r="Z10" s="496" cm="1">
        <f t="array" ref="Z10">Y10*0.7+0.3*(-$F$51*AVERAGE(-1*(V23:Y23)))</f>
        <v>-262.78234067661185</v>
      </c>
      <c r="AA10" s="496" cm="1">
        <f t="array" ref="AA10">Z10*0.7+0.3*(-$F$51*AVERAGE(-1*(W23:Z23)))</f>
        <v>-292.87371669990574</v>
      </c>
      <c r="AB10" s="496" cm="1">
        <f t="array" ref="AB10">AA10*0.7+0.3*(-$F$51*AVERAGE(-1*(X23:AA23)))</f>
        <v>-318.81413050348374</v>
      </c>
      <c r="AC10" s="496" cm="1">
        <f t="array" ref="AC10">AB10*0.7+0.3*(-$F$51*AVERAGE(-1*(Y23:AB23)))</f>
        <v>-341.79055928493631</v>
      </c>
      <c r="AD10" s="496" cm="1">
        <f t="array" ref="AD10">AC10*0.7+0.3*(-$F$51*AVERAGE(-1*(Z23:AC23)))</f>
        <v>-362.61888614925306</v>
      </c>
      <c r="AE10" s="496" cm="1">
        <f t="array" ref="AE10">AD10*0.7+0.3*(-$F$51*AVERAGE(-1*(AA23:AD23)))</f>
        <v>-381.8065466083674</v>
      </c>
      <c r="AF10" s="507" cm="1">
        <f t="array" ref="AF10">AE10*0.7+0.3*(-$F$51*AVERAGE(-1*(AB23:AE23)))</f>
        <v>-399.69346207414753</v>
      </c>
    </row>
    <row r="11" spans="1:33" x14ac:dyDescent="0.2">
      <c r="A11" s="709"/>
      <c r="B11" s="200" t="s">
        <v>230</v>
      </c>
      <c r="C11" s="208" t="s">
        <v>231</v>
      </c>
      <c r="D11" s="300">
        <f>-D20</f>
        <v>-9.0090000000000003</v>
      </c>
      <c r="E11" s="300">
        <f>-E20</f>
        <v>-15.474</v>
      </c>
      <c r="F11" s="300">
        <f>-F20</f>
        <v>-17.798999999999999</v>
      </c>
      <c r="G11" s="494">
        <f>-G20</f>
        <v>-29.8</v>
      </c>
      <c r="H11" s="506">
        <v>-40.719000000000001</v>
      </c>
      <c r="I11" s="496">
        <f t="shared" ref="H11:K11" si="4">-$D$52*I7</f>
        <v>-43.18500280181712</v>
      </c>
      <c r="J11" s="496">
        <f>-$D$52*J7</f>
        <v>-50.094603250107859</v>
      </c>
      <c r="K11" s="496">
        <f t="shared" si="4"/>
        <v>-57.107847705122971</v>
      </c>
      <c r="L11" s="508">
        <f>-$D$52*L7</f>
        <v>-64.531867906788946</v>
      </c>
      <c r="M11" s="506">
        <f>-$E$52*M7</f>
        <v>-35.815186688267872</v>
      </c>
      <c r="N11" s="496">
        <f>-$E$52*N7</f>
        <v>-39.39670535709466</v>
      </c>
      <c r="O11" s="496">
        <f t="shared" ref="O11:T11" si="5">-$E$52*O7</f>
        <v>-42.942408839233174</v>
      </c>
      <c r="P11" s="496">
        <f t="shared" si="5"/>
        <v>-46.377801546371828</v>
      </c>
      <c r="Q11" s="496">
        <f t="shared" si="5"/>
        <v>-49.624247654617861</v>
      </c>
      <c r="R11" s="496">
        <f t="shared" si="5"/>
        <v>-53.097944990441114</v>
      </c>
      <c r="S11" s="496">
        <f t="shared" si="5"/>
        <v>-56.814801139771987</v>
      </c>
      <c r="T11" s="496">
        <f t="shared" si="5"/>
        <v>-60.223689208158312</v>
      </c>
      <c r="U11" s="496">
        <f>-$E$52*U7</f>
        <v>-63.837110560647815</v>
      </c>
      <c r="V11" s="508">
        <f t="shared" ref="V11" si="6">-$E$52*V7</f>
        <v>-67.028966088680207</v>
      </c>
      <c r="W11" s="506">
        <f t="shared" ref="W11:AF11" si="7">-$F$52*W7</f>
        <v>-105.57062158967133</v>
      </c>
      <c r="X11" s="496">
        <f t="shared" si="7"/>
        <v>-110.8491526691549</v>
      </c>
      <c r="Y11" s="496">
        <f t="shared" si="7"/>
        <v>-116.39161030261266</v>
      </c>
      <c r="Z11" s="496">
        <f t="shared" si="7"/>
        <v>-121.04727471471716</v>
      </c>
      <c r="AA11" s="496">
        <f t="shared" si="7"/>
        <v>-125.88916570330586</v>
      </c>
      <c r="AB11" s="496">
        <f t="shared" si="7"/>
        <v>-130.92473233143809</v>
      </c>
      <c r="AC11" s="496">
        <f t="shared" si="7"/>
        <v>-136.16172162469564</v>
      </c>
      <c r="AD11" s="496">
        <f t="shared" si="7"/>
        <v>-140.24657327343652</v>
      </c>
      <c r="AE11" s="496">
        <f t="shared" si="7"/>
        <v>-144.45397047163962</v>
      </c>
      <c r="AF11" s="507">
        <f t="shared" si="7"/>
        <v>-148.78758958578879</v>
      </c>
    </row>
    <row r="12" spans="1:33" s="205" customFormat="1" x14ac:dyDescent="0.2">
      <c r="A12" s="709"/>
      <c r="B12" s="200">
        <v>6</v>
      </c>
      <c r="C12" s="209" t="s">
        <v>103</v>
      </c>
      <c r="D12" s="301">
        <f>-D10+D9</f>
        <v>245.8223812</v>
      </c>
      <c r="E12" s="301">
        <f>-E10+E9</f>
        <v>311.72801979999997</v>
      </c>
      <c r="F12" s="301">
        <f>-F10+F9</f>
        <v>296.35869759999997</v>
      </c>
      <c r="G12" s="574">
        <f>-G10+G9</f>
        <v>278.32207740000001</v>
      </c>
      <c r="H12" s="573">
        <f t="shared" ref="H12:AF12" si="8">-H10+H9</f>
        <v>340.91168001231944</v>
      </c>
      <c r="I12" s="513">
        <f t="shared" si="8"/>
        <v>389.55473241453694</v>
      </c>
      <c r="J12" s="513">
        <f t="shared" si="8"/>
        <v>443.35263825302638</v>
      </c>
      <c r="K12" s="513">
        <f t="shared" si="8"/>
        <v>500.8650747621715</v>
      </c>
      <c r="L12" s="528">
        <f t="shared" si="8"/>
        <v>564.10123927727727</v>
      </c>
      <c r="M12" s="573">
        <f t="shared" si="8"/>
        <v>625.8781331781073</v>
      </c>
      <c r="N12" s="513">
        <f t="shared" si="8"/>
        <v>692.4580771330036</v>
      </c>
      <c r="O12" s="513">
        <f t="shared" si="8"/>
        <v>761.81088067869302</v>
      </c>
      <c r="P12" s="513">
        <f t="shared" si="8"/>
        <v>832.06699156807463</v>
      </c>
      <c r="Q12" s="513">
        <f t="shared" si="8"/>
        <v>901.42714690853484</v>
      </c>
      <c r="R12" s="513">
        <f t="shared" si="8"/>
        <v>972.92666306858791</v>
      </c>
      <c r="S12" s="513">
        <f t="shared" si="8"/>
        <v>1047.2399473097021</v>
      </c>
      <c r="T12" s="513">
        <f t="shared" si="8"/>
        <v>1115.918212421303</v>
      </c>
      <c r="U12" s="513">
        <f t="shared" si="8"/>
        <v>1187.3665829420111</v>
      </c>
      <c r="V12" s="528">
        <f t="shared" si="8"/>
        <v>1251.8172845917707</v>
      </c>
      <c r="W12" s="573">
        <f t="shared" si="8"/>
        <v>1318.5685424001085</v>
      </c>
      <c r="X12" s="513">
        <f t="shared" si="8"/>
        <v>1394.0594862445582</v>
      </c>
      <c r="Y12" s="513">
        <f t="shared" si="8"/>
        <v>1476.9530635201393</v>
      </c>
      <c r="Z12" s="513">
        <f t="shared" si="8"/>
        <v>1553.9532709669284</v>
      </c>
      <c r="AA12" s="513">
        <f t="shared" si="8"/>
        <v>1635.691484201835</v>
      </c>
      <c r="AB12" s="513">
        <f t="shared" si="8"/>
        <v>1715.3446087054901</v>
      </c>
      <c r="AC12" s="513">
        <f t="shared" si="8"/>
        <v>1794.1822566150233</v>
      </c>
      <c r="AD12" s="513">
        <f t="shared" si="8"/>
        <v>1858.5823343992427</v>
      </c>
      <c r="AE12" s="513">
        <f t="shared" si="8"/>
        <v>1922.6488983058566</v>
      </c>
      <c r="AF12" s="520">
        <f t="shared" si="8"/>
        <v>1986.7610843225616</v>
      </c>
    </row>
    <row r="13" spans="1:33" s="202" customFormat="1" ht="14" x14ac:dyDescent="0.15">
      <c r="A13" s="709"/>
      <c r="B13" s="200">
        <v>7</v>
      </c>
      <c r="C13" s="203" t="s">
        <v>232</v>
      </c>
      <c r="D13" s="575">
        <f>Cifras_Originales!E9</f>
        <v>-9.1549999999999994</v>
      </c>
      <c r="E13" s="575">
        <f>Cifras_Originales!D9</f>
        <v>-3.339</v>
      </c>
      <c r="F13" s="575">
        <f>Cifras_Originales!C9</f>
        <v>-4.4660000000000002</v>
      </c>
      <c r="G13" s="576">
        <f>Cifras_Originales!B9</f>
        <v>-0.94199999999999995</v>
      </c>
      <c r="H13" s="577">
        <f>-$D$54*G38+G37*$D$55</f>
        <v>-3.5222600000000002</v>
      </c>
      <c r="I13" s="578">
        <f t="shared" ref="I13:L13" si="9">-$D$54*H38+H37*$D$55</f>
        <v>-3.5222600000000002</v>
      </c>
      <c r="J13" s="578">
        <f t="shared" si="9"/>
        <v>-3.4378600000000001</v>
      </c>
      <c r="K13" s="578">
        <f t="shared" si="9"/>
        <v>-9.3534600000000001</v>
      </c>
      <c r="L13" s="579">
        <f t="shared" si="9"/>
        <v>-8.66906</v>
      </c>
      <c r="M13" s="577">
        <f t="shared" ref="M13:V13" si="10">-$E$54*L38+L37*$E$55</f>
        <v>-4.5547199317250371</v>
      </c>
      <c r="N13" s="578">
        <f t="shared" si="10"/>
        <v>-3.3424452301266068</v>
      </c>
      <c r="O13" s="578">
        <f t="shared" si="10"/>
        <v>-1.6066142037339324</v>
      </c>
      <c r="P13" s="578">
        <f t="shared" si="10"/>
        <v>1.4076074699487728</v>
      </c>
      <c r="Q13" s="578">
        <f t="shared" si="10"/>
        <v>1.7253310999021065</v>
      </c>
      <c r="R13" s="578">
        <f t="shared" si="10"/>
        <v>2.2732944378936795</v>
      </c>
      <c r="S13" s="578">
        <f t="shared" si="10"/>
        <v>2.5010553134995344</v>
      </c>
      <c r="T13" s="578">
        <f t="shared" si="10"/>
        <v>3.1580183833921955</v>
      </c>
      <c r="U13" s="578">
        <f t="shared" si="10"/>
        <v>4.1776177383108664</v>
      </c>
      <c r="V13" s="579">
        <f t="shared" si="10"/>
        <v>5.2753978160472892</v>
      </c>
      <c r="W13" s="577">
        <f t="shared" ref="W13:AF13" si="11">-$F$54*V38+V37*$F$55</f>
        <v>13.48029970913937</v>
      </c>
      <c r="X13" s="578">
        <f t="shared" ref="X13:AE13" si="12">-$F$54*W38+W37*$F$55</f>
        <v>15.623977241889762</v>
      </c>
      <c r="Y13" s="578">
        <f t="shared" si="12"/>
        <v>18.148062049576023</v>
      </c>
      <c r="Z13" s="578">
        <f t="shared" si="12"/>
        <v>21.111599332112874</v>
      </c>
      <c r="AA13" s="578">
        <f t="shared" si="12"/>
        <v>24.67556430131193</v>
      </c>
      <c r="AB13" s="578">
        <f t="shared" si="12"/>
        <v>28.432465986245184</v>
      </c>
      <c r="AC13" s="578">
        <f t="shared" si="12"/>
        <v>32.450094453547038</v>
      </c>
      <c r="AD13" s="578">
        <f t="shared" si="12"/>
        <v>36.708901609895833</v>
      </c>
      <c r="AE13" s="578">
        <f t="shared" si="12"/>
        <v>41.227505196024623</v>
      </c>
      <c r="AF13" s="580">
        <f t="shared" si="11"/>
        <v>45.822157099826754</v>
      </c>
    </row>
    <row r="14" spans="1:33" x14ac:dyDescent="0.2">
      <c r="A14" s="709"/>
      <c r="B14" s="200">
        <v>8</v>
      </c>
      <c r="C14" s="203" t="s">
        <v>233</v>
      </c>
      <c r="D14" s="301">
        <f>Cifras_Originales!E10</f>
        <v>0.123</v>
      </c>
      <c r="E14" s="301">
        <f>Cifras_Originales!D10</f>
        <v>3.1890000000000001</v>
      </c>
      <c r="F14" s="301">
        <f>Cifras_Originales!C10</f>
        <v>5.718</v>
      </c>
      <c r="G14" s="574">
        <f>Cifras_Originales!B10</f>
        <v>1.43</v>
      </c>
      <c r="H14" s="573">
        <f t="shared" ref="H14:AF14" si="13">AVERAGE(E14:G14)*(1+H6)</f>
        <v>3.8012196206327662</v>
      </c>
      <c r="I14" s="513">
        <f t="shared" si="13"/>
        <v>4.3066930507822212</v>
      </c>
      <c r="J14" s="513">
        <f t="shared" si="13"/>
        <v>3.6879928996137945</v>
      </c>
      <c r="K14" s="513">
        <f t="shared" si="13"/>
        <v>4.482444116990937</v>
      </c>
      <c r="L14" s="528">
        <f t="shared" si="13"/>
        <v>4.6997189920490845</v>
      </c>
      <c r="M14" s="573">
        <f t="shared" si="13"/>
        <v>4.7619577232019115</v>
      </c>
      <c r="N14" s="513">
        <f t="shared" si="13"/>
        <v>5.1128443051553765</v>
      </c>
      <c r="O14" s="513">
        <f t="shared" si="13"/>
        <v>5.295409304080982</v>
      </c>
      <c r="P14" s="513">
        <f t="shared" si="13"/>
        <v>5.4612760796777771</v>
      </c>
      <c r="Q14" s="513">
        <f t="shared" si="13"/>
        <v>5.6601322557127087</v>
      </c>
      <c r="R14" s="513">
        <f t="shared" si="13"/>
        <v>5.8553316247448244</v>
      </c>
      <c r="S14" s="513">
        <f t="shared" si="13"/>
        <v>6.0550372524482619</v>
      </c>
      <c r="T14" s="513">
        <f t="shared" si="13"/>
        <v>6.2082437336267144</v>
      </c>
      <c r="U14" s="513">
        <f t="shared" si="13"/>
        <v>6.4019097891563312</v>
      </c>
      <c r="V14" s="528">
        <f t="shared" si="13"/>
        <v>6.5328167713309586</v>
      </c>
      <c r="W14" s="573">
        <f t="shared" si="13"/>
        <v>6.7000396029399019</v>
      </c>
      <c r="X14" s="513">
        <f t="shared" si="13"/>
        <v>6.8721681571995168</v>
      </c>
      <c r="Y14" s="513">
        <f t="shared" si="13"/>
        <v>7.0367585860146322</v>
      </c>
      <c r="Z14" s="513">
        <f t="shared" si="13"/>
        <v>7.1444416666667383</v>
      </c>
      <c r="AA14" s="513">
        <f t="shared" si="13"/>
        <v>7.2985010487587081</v>
      </c>
      <c r="AB14" s="513">
        <f t="shared" si="13"/>
        <v>7.4462964511658942</v>
      </c>
      <c r="AC14" s="513">
        <f t="shared" si="13"/>
        <v>7.5882695777516647</v>
      </c>
      <c r="AD14" s="513">
        <f t="shared" si="13"/>
        <v>7.6676863633355179</v>
      </c>
      <c r="AE14" s="513">
        <f t="shared" si="13"/>
        <v>7.7944399880068911</v>
      </c>
      <c r="AF14" s="520">
        <f t="shared" si="13"/>
        <v>7.9139692689889651</v>
      </c>
    </row>
    <row r="15" spans="1:33" x14ac:dyDescent="0.2">
      <c r="A15" s="709"/>
      <c r="B15" s="200">
        <v>9</v>
      </c>
      <c r="C15" s="209" t="s">
        <v>234</v>
      </c>
      <c r="D15" s="301">
        <f>D9+D13+D14</f>
        <v>206.25538119999999</v>
      </c>
      <c r="E15" s="301">
        <f>E9+E13+E14</f>
        <v>279.5080198</v>
      </c>
      <c r="F15" s="301">
        <f>F9+F13+F14</f>
        <v>257.7636976</v>
      </c>
      <c r="G15" s="574">
        <f t="shared" ref="G15:AF15" si="14">G9+G13+G14</f>
        <v>232.37607740000001</v>
      </c>
      <c r="H15" s="573">
        <f t="shared" si="14"/>
        <v>293.05863963295218</v>
      </c>
      <c r="I15" s="513">
        <f t="shared" si="14"/>
        <v>346.26445546531914</v>
      </c>
      <c r="J15" s="513">
        <f t="shared" si="14"/>
        <v>401.00695890047666</v>
      </c>
      <c r="K15" s="513">
        <f t="shared" si="14"/>
        <v>451.99176575797475</v>
      </c>
      <c r="L15" s="528">
        <f t="shared" si="14"/>
        <v>512.28560224636067</v>
      </c>
      <c r="M15" s="573">
        <f t="shared" si="14"/>
        <v>573.25022480376288</v>
      </c>
      <c r="N15" s="513">
        <f t="shared" si="14"/>
        <v>632.11768478854333</v>
      </c>
      <c r="O15" s="513">
        <f t="shared" si="14"/>
        <v>690.76733652807786</v>
      </c>
      <c r="P15" s="513">
        <f t="shared" si="14"/>
        <v>748.91370829157574</v>
      </c>
      <c r="Q15" s="513">
        <f t="shared" si="14"/>
        <v>801.37342582950055</v>
      </c>
      <c r="R15" s="513">
        <f t="shared" si="14"/>
        <v>857.69574590969637</v>
      </c>
      <c r="S15" s="513">
        <f t="shared" si="14"/>
        <v>917.59291080229957</v>
      </c>
      <c r="T15" s="513">
        <f t="shared" si="14"/>
        <v>972.94528944755189</v>
      </c>
      <c r="U15" s="513">
        <f t="shared" si="14"/>
        <v>1031.9732964978323</v>
      </c>
      <c r="V15" s="528">
        <f t="shared" si="14"/>
        <v>1084.2716720062615</v>
      </c>
      <c r="W15" s="573">
        <f t="shared" si="14"/>
        <v>1146.2669696019068</v>
      </c>
      <c r="X15" s="513">
        <f t="shared" si="14"/>
        <v>1204.8871072034085</v>
      </c>
      <c r="Y15" s="513">
        <f t="shared" si="14"/>
        <v>1266.6953305301258</v>
      </c>
      <c r="Z15" s="513">
        <f t="shared" si="14"/>
        <v>1319.4269712890962</v>
      </c>
      <c r="AA15" s="513">
        <f t="shared" si="14"/>
        <v>1374.7918328519997</v>
      </c>
      <c r="AB15" s="513">
        <f t="shared" si="14"/>
        <v>1432.4092406394175</v>
      </c>
      <c r="AC15" s="513">
        <f t="shared" si="14"/>
        <v>1492.4300613613857</v>
      </c>
      <c r="AD15" s="513">
        <f t="shared" si="14"/>
        <v>1540.3400362232207</v>
      </c>
      <c r="AE15" s="513">
        <f t="shared" si="14"/>
        <v>1589.8642968815207</v>
      </c>
      <c r="AF15" s="520">
        <f t="shared" si="14"/>
        <v>1640.8037486172295</v>
      </c>
    </row>
    <row r="16" spans="1:33" x14ac:dyDescent="0.2">
      <c r="A16" s="709"/>
      <c r="B16" s="200">
        <v>10</v>
      </c>
      <c r="C16" s="203" t="s">
        <v>235</v>
      </c>
      <c r="D16" s="295">
        <v>-49.4</v>
      </c>
      <c r="E16" s="295">
        <v>-55.808</v>
      </c>
      <c r="F16" s="295">
        <v>-26.484000000000002</v>
      </c>
      <c r="G16" s="495">
        <v>-56.061</v>
      </c>
      <c r="H16" s="506">
        <f>(-1*$D$53)*H15</f>
        <v>-58.61172792659044</v>
      </c>
      <c r="I16" s="496">
        <f>(-1*$D$53)*I15</f>
        <v>-69.252891093063838</v>
      </c>
      <c r="J16" s="496">
        <f>(-1*$D$53)*J15</f>
        <v>-80.201391780095335</v>
      </c>
      <c r="K16" s="496">
        <f>(-1*$D$53)*K15</f>
        <v>-90.398353151594961</v>
      </c>
      <c r="L16" s="508">
        <f>(-1*$E$53)*L15</f>
        <v>-102.45712044927214</v>
      </c>
      <c r="M16" s="506">
        <f t="shared" ref="M16:V16" si="15">(-1*$E$53)*M15</f>
        <v>-114.65004496075258</v>
      </c>
      <c r="N16" s="496">
        <f t="shared" si="15"/>
        <v>-126.42353695770868</v>
      </c>
      <c r="O16" s="496">
        <f t="shared" si="15"/>
        <v>-138.15346730561558</v>
      </c>
      <c r="P16" s="496">
        <f t="shared" si="15"/>
        <v>-149.78274165831516</v>
      </c>
      <c r="Q16" s="496">
        <f t="shared" si="15"/>
        <v>-160.27468516590011</v>
      </c>
      <c r="R16" s="496">
        <f t="shared" si="15"/>
        <v>-171.53914918193928</v>
      </c>
      <c r="S16" s="496">
        <f t="shared" si="15"/>
        <v>-183.51858216045991</v>
      </c>
      <c r="T16" s="496">
        <f t="shared" si="15"/>
        <v>-194.5890578895104</v>
      </c>
      <c r="U16" s="496">
        <f t="shared" si="15"/>
        <v>-206.39465929956646</v>
      </c>
      <c r="V16" s="508">
        <f t="shared" si="15"/>
        <v>-216.85433440125232</v>
      </c>
      <c r="W16" s="506">
        <f t="shared" ref="W16:AF16" si="16">(-1*$F$53)*W15</f>
        <v>-229.25339392038137</v>
      </c>
      <c r="X16" s="496">
        <f t="shared" si="16"/>
        <v>-240.97742144068172</v>
      </c>
      <c r="Y16" s="496">
        <f t="shared" si="16"/>
        <v>-253.33906610602517</v>
      </c>
      <c r="Z16" s="496">
        <f t="shared" si="16"/>
        <v>-263.88539425781926</v>
      </c>
      <c r="AA16" s="496">
        <f t="shared" si="16"/>
        <v>-274.95836657039996</v>
      </c>
      <c r="AB16" s="496">
        <f t="shared" si="16"/>
        <v>-286.4818481278835</v>
      </c>
      <c r="AC16" s="496">
        <f t="shared" si="16"/>
        <v>-298.48601227227715</v>
      </c>
      <c r="AD16" s="496">
        <f t="shared" si="16"/>
        <v>-308.06800724464415</v>
      </c>
      <c r="AE16" s="496">
        <f t="shared" si="16"/>
        <v>-317.97285937630414</v>
      </c>
      <c r="AF16" s="507">
        <f t="shared" si="16"/>
        <v>-328.16074972344592</v>
      </c>
    </row>
    <row r="17" spans="1:33" x14ac:dyDescent="0.2">
      <c r="A17" s="709"/>
      <c r="B17" s="200">
        <v>11</v>
      </c>
      <c r="C17" s="209" t="s">
        <v>77</v>
      </c>
      <c r="D17" s="301">
        <f>D15+D16</f>
        <v>156.85538119999998</v>
      </c>
      <c r="E17" s="301">
        <f>E15+E16</f>
        <v>223.70001980000001</v>
      </c>
      <c r="F17" s="301">
        <f>F15+F16</f>
        <v>231.27969759999999</v>
      </c>
      <c r="G17" s="574">
        <f t="shared" ref="G17:AF17" si="17">G15+G16</f>
        <v>176.31507740000001</v>
      </c>
      <c r="H17" s="573">
        <f t="shared" si="17"/>
        <v>234.44691170636173</v>
      </c>
      <c r="I17" s="513">
        <f t="shared" si="17"/>
        <v>277.01156437225529</v>
      </c>
      <c r="J17" s="513">
        <f t="shared" si="17"/>
        <v>320.80556712038134</v>
      </c>
      <c r="K17" s="513">
        <f t="shared" si="17"/>
        <v>361.59341260637979</v>
      </c>
      <c r="L17" s="528">
        <f t="shared" si="17"/>
        <v>409.82848179708856</v>
      </c>
      <c r="M17" s="573">
        <f t="shared" si="17"/>
        <v>458.60017984301032</v>
      </c>
      <c r="N17" s="513">
        <f t="shared" si="17"/>
        <v>505.69414783083465</v>
      </c>
      <c r="O17" s="513">
        <f t="shared" si="17"/>
        <v>552.61386922246231</v>
      </c>
      <c r="P17" s="513">
        <f t="shared" si="17"/>
        <v>599.13096663326064</v>
      </c>
      <c r="Q17" s="513">
        <f t="shared" si="17"/>
        <v>641.09874066360044</v>
      </c>
      <c r="R17" s="513">
        <f t="shared" si="17"/>
        <v>686.15659672775712</v>
      </c>
      <c r="S17" s="513">
        <f t="shared" si="17"/>
        <v>734.07432864183966</v>
      </c>
      <c r="T17" s="513">
        <f t="shared" si="17"/>
        <v>778.35623155804149</v>
      </c>
      <c r="U17" s="513">
        <f t="shared" si="17"/>
        <v>825.57863719826582</v>
      </c>
      <c r="V17" s="528">
        <f t="shared" si="17"/>
        <v>867.41733760500915</v>
      </c>
      <c r="W17" s="573">
        <f t="shared" si="17"/>
        <v>917.01357568152548</v>
      </c>
      <c r="X17" s="513">
        <f t="shared" si="17"/>
        <v>963.90968576272678</v>
      </c>
      <c r="Y17" s="513">
        <f t="shared" si="17"/>
        <v>1013.3562644241007</v>
      </c>
      <c r="Z17" s="513">
        <f t="shared" si="17"/>
        <v>1055.541577031277</v>
      </c>
      <c r="AA17" s="513">
        <f t="shared" si="17"/>
        <v>1099.8334662815998</v>
      </c>
      <c r="AB17" s="513">
        <f t="shared" si="17"/>
        <v>1145.927392511534</v>
      </c>
      <c r="AC17" s="513">
        <f t="shared" si="17"/>
        <v>1193.9440490891086</v>
      </c>
      <c r="AD17" s="513">
        <f t="shared" si="17"/>
        <v>1232.2720289785766</v>
      </c>
      <c r="AE17" s="513">
        <f t="shared" si="17"/>
        <v>1271.8914375052166</v>
      </c>
      <c r="AF17" s="520">
        <f t="shared" si="17"/>
        <v>1312.6429988937837</v>
      </c>
    </row>
    <row r="18" spans="1:33" x14ac:dyDescent="0.2">
      <c r="C18" s="210"/>
      <c r="D18" s="581"/>
      <c r="E18" s="581"/>
      <c r="F18" s="581"/>
      <c r="G18" s="581"/>
      <c r="H18" s="582"/>
      <c r="I18" s="583"/>
      <c r="J18" s="583"/>
      <c r="K18" s="583"/>
      <c r="L18" s="584"/>
      <c r="M18" s="582"/>
      <c r="N18" s="583"/>
      <c r="O18" s="583"/>
      <c r="P18" s="583"/>
      <c r="Q18" s="583"/>
      <c r="R18" s="583"/>
      <c r="S18" s="583"/>
      <c r="T18" s="583"/>
      <c r="U18" s="583"/>
      <c r="V18" s="584"/>
      <c r="W18" s="582"/>
      <c r="X18" s="583"/>
      <c r="Y18" s="583"/>
      <c r="Z18" s="583"/>
      <c r="AA18" s="583"/>
      <c r="AB18" s="583"/>
      <c r="AC18" s="583"/>
      <c r="AD18" s="583"/>
      <c r="AE18" s="583"/>
      <c r="AF18" s="585"/>
    </row>
    <row r="19" spans="1:33" x14ac:dyDescent="0.2">
      <c r="A19" s="702" t="s">
        <v>236</v>
      </c>
      <c r="B19" s="200">
        <v>12</v>
      </c>
      <c r="C19" s="203" t="s">
        <v>237</v>
      </c>
      <c r="D19" s="301">
        <f>155.801+30.535+0.935-3.827+1.051+1.064-0.074</f>
        <v>185.48499999999996</v>
      </c>
      <c r="E19" s="301">
        <f>212.602+32.07+0.679+5.147+2.473+1.022</f>
        <v>253.99299999999999</v>
      </c>
      <c r="F19" s="301">
        <f>89.693+39.847+0.601-0.403+1.229+97.176+2.039</f>
        <v>230.18200000000002</v>
      </c>
      <c r="G19" s="574">
        <f>169.885+46.434+0.604+25.561+2.927+0.33+1.895-6.163</f>
        <v>241.47300000000001</v>
      </c>
      <c r="H19" s="577">
        <f t="shared" ref="H19:AF19" si="18">H12+H13+H14+H16</f>
        <v>282.57891170636174</v>
      </c>
      <c r="I19" s="578">
        <f t="shared" si="18"/>
        <v>321.08627437225528</v>
      </c>
      <c r="J19" s="578">
        <f t="shared" si="18"/>
        <v>363.40137937254485</v>
      </c>
      <c r="K19" s="578">
        <f t="shared" si="18"/>
        <v>405.59570572756752</v>
      </c>
      <c r="L19" s="579">
        <f t="shared" si="18"/>
        <v>457.67477782005426</v>
      </c>
      <c r="M19" s="577">
        <f t="shared" si="18"/>
        <v>511.43532600883168</v>
      </c>
      <c r="N19" s="578">
        <f t="shared" si="18"/>
        <v>567.80493925032374</v>
      </c>
      <c r="O19" s="578">
        <f t="shared" si="18"/>
        <v>627.34620847342455</v>
      </c>
      <c r="P19" s="578">
        <f t="shared" si="18"/>
        <v>689.15313345938603</v>
      </c>
      <c r="Q19" s="578">
        <f t="shared" si="18"/>
        <v>748.5379250982495</v>
      </c>
      <c r="R19" s="578">
        <f t="shared" si="18"/>
        <v>809.51613994928721</v>
      </c>
      <c r="S19" s="578">
        <f t="shared" si="18"/>
        <v>872.27745771519005</v>
      </c>
      <c r="T19" s="578">
        <f t="shared" si="18"/>
        <v>930.69541664881137</v>
      </c>
      <c r="U19" s="578">
        <f t="shared" si="18"/>
        <v>991.55145116991184</v>
      </c>
      <c r="V19" s="579">
        <f t="shared" si="18"/>
        <v>1046.7711647778965</v>
      </c>
      <c r="W19" s="577">
        <f t="shared" si="18"/>
        <v>1109.4954877918065</v>
      </c>
      <c r="X19" s="578">
        <f t="shared" si="18"/>
        <v>1175.5782102029657</v>
      </c>
      <c r="Y19" s="578">
        <f t="shared" si="18"/>
        <v>1248.7988180497048</v>
      </c>
      <c r="Z19" s="578">
        <f t="shared" si="18"/>
        <v>1318.323917707889</v>
      </c>
      <c r="AA19" s="578">
        <f t="shared" si="18"/>
        <v>1392.7071829815056</v>
      </c>
      <c r="AB19" s="578">
        <f t="shared" si="18"/>
        <v>1464.7415230150177</v>
      </c>
      <c r="AC19" s="578">
        <f t="shared" si="18"/>
        <v>1535.7346083740449</v>
      </c>
      <c r="AD19" s="578">
        <f t="shared" si="18"/>
        <v>1594.8909151278297</v>
      </c>
      <c r="AE19" s="578">
        <f t="shared" si="18"/>
        <v>1653.697984113584</v>
      </c>
      <c r="AF19" s="580">
        <f t="shared" si="18"/>
        <v>1712.3364609679313</v>
      </c>
    </row>
    <row r="20" spans="1:33" x14ac:dyDescent="0.2">
      <c r="A20" s="703"/>
      <c r="B20" s="200">
        <v>13</v>
      </c>
      <c r="C20" s="211" t="s">
        <v>238</v>
      </c>
      <c r="D20" s="302">
        <v>9.0090000000000003</v>
      </c>
      <c r="E20" s="302">
        <v>15.474</v>
      </c>
      <c r="F20" s="302">
        <v>17.798999999999999</v>
      </c>
      <c r="G20" s="500">
        <v>29.8</v>
      </c>
      <c r="H20" s="586">
        <f>-H11</f>
        <v>40.719000000000001</v>
      </c>
      <c r="I20" s="587">
        <f t="shared" ref="I20:AF20" si="19">-I11</f>
        <v>43.18500280181712</v>
      </c>
      <c r="J20" s="587">
        <f t="shared" si="19"/>
        <v>50.094603250107859</v>
      </c>
      <c r="K20" s="587">
        <f t="shared" si="19"/>
        <v>57.107847705122971</v>
      </c>
      <c r="L20" s="588">
        <f t="shared" si="19"/>
        <v>64.531867906788946</v>
      </c>
      <c r="M20" s="586">
        <f t="shared" si="19"/>
        <v>35.815186688267872</v>
      </c>
      <c r="N20" s="587">
        <f t="shared" si="19"/>
        <v>39.39670535709466</v>
      </c>
      <c r="O20" s="587">
        <f t="shared" si="19"/>
        <v>42.942408839233174</v>
      </c>
      <c r="P20" s="587">
        <f t="shared" si="19"/>
        <v>46.377801546371828</v>
      </c>
      <c r="Q20" s="587">
        <f t="shared" si="19"/>
        <v>49.624247654617861</v>
      </c>
      <c r="R20" s="587">
        <f t="shared" si="19"/>
        <v>53.097944990441114</v>
      </c>
      <c r="S20" s="587">
        <f t="shared" si="19"/>
        <v>56.814801139771987</v>
      </c>
      <c r="T20" s="587">
        <f t="shared" si="19"/>
        <v>60.223689208158312</v>
      </c>
      <c r="U20" s="587">
        <f t="shared" si="19"/>
        <v>63.837110560647815</v>
      </c>
      <c r="V20" s="588">
        <f t="shared" si="19"/>
        <v>67.028966088680207</v>
      </c>
      <c r="W20" s="586">
        <f t="shared" si="19"/>
        <v>105.57062158967133</v>
      </c>
      <c r="X20" s="587">
        <f t="shared" si="19"/>
        <v>110.8491526691549</v>
      </c>
      <c r="Y20" s="587">
        <f t="shared" si="19"/>
        <v>116.39161030261266</v>
      </c>
      <c r="Z20" s="587">
        <f t="shared" si="19"/>
        <v>121.04727471471716</v>
      </c>
      <c r="AA20" s="587">
        <f t="shared" si="19"/>
        <v>125.88916570330586</v>
      </c>
      <c r="AB20" s="587">
        <f t="shared" si="19"/>
        <v>130.92473233143809</v>
      </c>
      <c r="AC20" s="587">
        <f t="shared" si="19"/>
        <v>136.16172162469564</v>
      </c>
      <c r="AD20" s="587">
        <f t="shared" si="19"/>
        <v>140.24657327343652</v>
      </c>
      <c r="AE20" s="587">
        <f t="shared" si="19"/>
        <v>144.45397047163962</v>
      </c>
      <c r="AF20" s="589">
        <f t="shared" si="19"/>
        <v>148.78758958578879</v>
      </c>
    </row>
    <row r="21" spans="1:33" x14ac:dyDescent="0.2">
      <c r="A21" s="703"/>
      <c r="B21" s="200">
        <v>14</v>
      </c>
      <c r="C21" s="211" t="s">
        <v>239</v>
      </c>
      <c r="D21" s="303">
        <f>16.353+46.052+1.982+89.125+14.943+3.478</f>
        <v>171.93300000000002</v>
      </c>
      <c r="E21" s="303">
        <f>-44.681-179.803-10.587+112.773-3.781+3.132</f>
        <v>-122.94699999999997</v>
      </c>
      <c r="F21" s="304">
        <f>30.448-91.624-2.187-86.242+0.439+2.079</f>
        <v>-147.08699999999999</v>
      </c>
      <c r="G21" s="501">
        <f>-15.683+33.675-7.933-15.144+18.156+1.598</f>
        <v>14.668999999999997</v>
      </c>
      <c r="H21" s="577">
        <v>-16.692</v>
      </c>
      <c r="I21" s="578">
        <f t="shared" ref="I21:K21" si="20">$D$57*(I7-H7)</f>
        <v>-98.813142004157811</v>
      </c>
      <c r="J21" s="578">
        <f t="shared" si="20"/>
        <v>-103.64400672436109</v>
      </c>
      <c r="K21" s="578">
        <f t="shared" si="20"/>
        <v>-105.19866682522665</v>
      </c>
      <c r="L21" s="579">
        <f>$E$57*(L7-K7)</f>
        <v>-92.800252520824756</v>
      </c>
      <c r="M21" s="577">
        <f t="shared" ref="M21:V21" si="21">$E$57*(M7-L7)</f>
        <v>-88.731318371834845</v>
      </c>
      <c r="N21" s="578">
        <f t="shared" si="21"/>
        <v>-89.537966720669715</v>
      </c>
      <c r="O21" s="578">
        <f t="shared" si="21"/>
        <v>-88.642587053462989</v>
      </c>
      <c r="P21" s="578">
        <f t="shared" si="21"/>
        <v>-85.884817678466334</v>
      </c>
      <c r="Q21" s="578">
        <f t="shared" si="21"/>
        <v>-81.161152706150688</v>
      </c>
      <c r="R21" s="578">
        <f t="shared" si="21"/>
        <v>-86.842433395581338</v>
      </c>
      <c r="S21" s="578">
        <f t="shared" si="21"/>
        <v>-92.921403733271973</v>
      </c>
      <c r="T21" s="578">
        <f t="shared" si="21"/>
        <v>-85.222201709658066</v>
      </c>
      <c r="U21" s="578">
        <f t="shared" si="21"/>
        <v>-90.3355338122376</v>
      </c>
      <c r="V21" s="579">
        <f t="shared" si="21"/>
        <v>-79.796388200809815</v>
      </c>
      <c r="W21" s="577">
        <f t="shared" ref="W21:AF21" si="22">$F$57*(W7-V7)</f>
        <v>-67.02896608868032</v>
      </c>
      <c r="X21" s="578">
        <f t="shared" si="22"/>
        <v>-70.380414393114378</v>
      </c>
      <c r="Y21" s="578">
        <f t="shared" si="22"/>
        <v>-73.899435112769979</v>
      </c>
      <c r="Z21" s="578">
        <f t="shared" si="22"/>
        <v>-62.075525494726755</v>
      </c>
      <c r="AA21" s="578">
        <f t="shared" si="22"/>
        <v>-64.558546514515911</v>
      </c>
      <c r="AB21" s="578">
        <f t="shared" si="22"/>
        <v>-67.140888375096623</v>
      </c>
      <c r="AC21" s="578">
        <f t="shared" si="22"/>
        <v>-69.826523910100519</v>
      </c>
      <c r="AD21" s="578">
        <f t="shared" si="22"/>
        <v>-54.464688649878376</v>
      </c>
      <c r="AE21" s="578">
        <f t="shared" si="22"/>
        <v>-56.098629309374523</v>
      </c>
      <c r="AF21" s="580">
        <f t="shared" si="22"/>
        <v>-57.781588188655952</v>
      </c>
    </row>
    <row r="22" spans="1:33" x14ac:dyDescent="0.2">
      <c r="A22" s="703"/>
      <c r="B22" s="200">
        <v>15</v>
      </c>
      <c r="C22" s="213" t="s">
        <v>240</v>
      </c>
      <c r="D22" s="590">
        <f>D19+D20+D21</f>
        <v>366.42700000000002</v>
      </c>
      <c r="E22" s="590">
        <f>E19+E20+E21</f>
        <v>146.52000000000001</v>
      </c>
      <c r="F22" s="590">
        <f>F19+F20+F21</f>
        <v>100.89400000000003</v>
      </c>
      <c r="G22" s="591">
        <f t="shared" ref="G22:AF22" si="23">G19+G20+G21</f>
        <v>285.94200000000001</v>
      </c>
      <c r="H22" s="592">
        <f t="shared" si="23"/>
        <v>306.60591170636172</v>
      </c>
      <c r="I22" s="761">
        <f t="shared" si="23"/>
        <v>265.45813516991461</v>
      </c>
      <c r="J22" s="761">
        <f t="shared" si="23"/>
        <v>309.85197589829164</v>
      </c>
      <c r="K22" s="761">
        <f t="shared" si="23"/>
        <v>357.50488660746385</v>
      </c>
      <c r="L22" s="594">
        <f t="shared" si="23"/>
        <v>429.40639320601849</v>
      </c>
      <c r="M22" s="592">
        <f t="shared" si="23"/>
        <v>458.51919432526472</v>
      </c>
      <c r="N22" s="593">
        <f t="shared" si="23"/>
        <v>517.6636778867487</v>
      </c>
      <c r="O22" s="593">
        <f t="shared" si="23"/>
        <v>581.64603025919473</v>
      </c>
      <c r="P22" s="593">
        <f t="shared" si="23"/>
        <v>649.64611732729156</v>
      </c>
      <c r="Q22" s="593">
        <f t="shared" si="23"/>
        <v>717.00102004671669</v>
      </c>
      <c r="R22" s="593">
        <f t="shared" si="23"/>
        <v>775.77165154414695</v>
      </c>
      <c r="S22" s="593">
        <f t="shared" si="23"/>
        <v>836.17085512169001</v>
      </c>
      <c r="T22" s="593">
        <f t="shared" si="23"/>
        <v>905.69690414731167</v>
      </c>
      <c r="U22" s="593">
        <f t="shared" si="23"/>
        <v>965.05302791832196</v>
      </c>
      <c r="V22" s="594">
        <f t="shared" si="23"/>
        <v>1034.0037426657668</v>
      </c>
      <c r="W22" s="592">
        <f t="shared" si="23"/>
        <v>1148.0371432927975</v>
      </c>
      <c r="X22" s="593">
        <f t="shared" si="23"/>
        <v>1216.0469484790062</v>
      </c>
      <c r="Y22" s="593">
        <f t="shared" si="23"/>
        <v>1291.2909932395476</v>
      </c>
      <c r="Z22" s="593">
        <f t="shared" si="23"/>
        <v>1377.2956669278794</v>
      </c>
      <c r="AA22" s="593">
        <f t="shared" si="23"/>
        <v>1454.0378021702957</v>
      </c>
      <c r="AB22" s="593">
        <f t="shared" si="23"/>
        <v>1528.5253669713591</v>
      </c>
      <c r="AC22" s="593">
        <f t="shared" si="23"/>
        <v>1602.06980608864</v>
      </c>
      <c r="AD22" s="593">
        <f t="shared" si="23"/>
        <v>1680.6727997513879</v>
      </c>
      <c r="AE22" s="593">
        <f t="shared" si="23"/>
        <v>1742.0533252758491</v>
      </c>
      <c r="AF22" s="595">
        <f t="shared" si="23"/>
        <v>1803.3424623650642</v>
      </c>
    </row>
    <row r="23" spans="1:33" x14ac:dyDescent="0.2">
      <c r="A23" s="703"/>
      <c r="B23" s="200">
        <v>16</v>
      </c>
      <c r="C23" s="211" t="s">
        <v>241</v>
      </c>
      <c r="D23" s="305">
        <f>Cifras_Originales!E13</f>
        <v>-15.566000000000001</v>
      </c>
      <c r="E23" s="305">
        <f>Cifras_Originales!D13</f>
        <v>-56.121000000000002</v>
      </c>
      <c r="F23" s="305">
        <f>Cifras_Originales!C13</f>
        <v>-45.929000000000002</v>
      </c>
      <c r="G23" s="502">
        <f>Cifras_Originales!B13</f>
        <v>-50.671999999999997</v>
      </c>
      <c r="H23" s="760">
        <f>-41.832-36.164</f>
        <v>-77.996000000000009</v>
      </c>
      <c r="I23" s="762">
        <f t="shared" ref="I23:L23" si="24">-$D$58*I7</f>
        <v>-86.37000560363424</v>
      </c>
      <c r="J23" s="764">
        <f t="shared" si="24"/>
        <v>-100.18920650021572</v>
      </c>
      <c r="K23" s="765">
        <f t="shared" si="24"/>
        <v>-114.21569541024594</v>
      </c>
      <c r="L23" s="742">
        <f t="shared" si="24"/>
        <v>-129.06373581357789</v>
      </c>
      <c r="M23" s="506">
        <f t="shared" ref="M23:V23" si="25">-$E$58*M7</f>
        <v>-214.8911201296072</v>
      </c>
      <c r="N23" s="496">
        <f t="shared" si="25"/>
        <v>-236.38023214256793</v>
      </c>
      <c r="O23" s="496">
        <f t="shared" si="25"/>
        <v>-257.65445303539906</v>
      </c>
      <c r="P23" s="496">
        <f t="shared" si="25"/>
        <v>-278.26680927823094</v>
      </c>
      <c r="Q23" s="496">
        <f t="shared" si="25"/>
        <v>-297.74548592770714</v>
      </c>
      <c r="R23" s="496">
        <f t="shared" si="25"/>
        <v>-318.58766994264664</v>
      </c>
      <c r="S23" s="496">
        <f t="shared" si="25"/>
        <v>-340.88880683863192</v>
      </c>
      <c r="T23" s="496">
        <f t="shared" si="25"/>
        <v>-361.34213524894983</v>
      </c>
      <c r="U23" s="496">
        <f t="shared" si="25"/>
        <v>-383.02266336388686</v>
      </c>
      <c r="V23" s="508">
        <f t="shared" si="25"/>
        <v>-402.17379653208121</v>
      </c>
      <c r="W23" s="506">
        <f>-$F$58*W7</f>
        <v>-563.04331514491378</v>
      </c>
      <c r="X23" s="496">
        <f t="shared" ref="X23:AF23" si="26">-$F$58*X7</f>
        <v>-591.1954809021596</v>
      </c>
      <c r="Y23" s="496">
        <f t="shared" si="26"/>
        <v>-620.75525494726753</v>
      </c>
      <c r="Z23" s="496">
        <f t="shared" si="26"/>
        <v>-645.5854651451582</v>
      </c>
      <c r="AA23" s="496">
        <f t="shared" si="26"/>
        <v>-671.40888375096461</v>
      </c>
      <c r="AB23" s="496">
        <f t="shared" si="26"/>
        <v>-698.2652391010032</v>
      </c>
      <c r="AC23" s="496">
        <f t="shared" si="26"/>
        <v>-726.19584866504351</v>
      </c>
      <c r="AD23" s="496">
        <f t="shared" si="26"/>
        <v>-747.9817241249948</v>
      </c>
      <c r="AE23" s="496">
        <f t="shared" si="26"/>
        <v>-770.42117584874461</v>
      </c>
      <c r="AF23" s="507">
        <f t="shared" si="26"/>
        <v>-793.53381112420698</v>
      </c>
    </row>
    <row r="24" spans="1:33" x14ac:dyDescent="0.2">
      <c r="A24" s="703"/>
      <c r="B24" s="200">
        <v>17</v>
      </c>
      <c r="C24" s="211" t="s">
        <v>242</v>
      </c>
      <c r="D24" s="305">
        <v>-7.3780000000000001</v>
      </c>
      <c r="E24" s="305">
        <v>-9.6349999999999998</v>
      </c>
      <c r="F24" s="305">
        <v>-10.981</v>
      </c>
      <c r="G24" s="502">
        <v>-22.152000000000001</v>
      </c>
      <c r="H24" s="573">
        <v>-53.451999999999998</v>
      </c>
      <c r="I24" s="763">
        <f t="shared" ref="H24:AF24" si="27">(1+I6)*AVERAGE(F24:H24)</f>
        <v>-34.056766666666668</v>
      </c>
      <c r="J24" s="734">
        <f t="shared" si="27"/>
        <v>-42.402163111111108</v>
      </c>
      <c r="K24" s="763">
        <f t="shared" si="27"/>
        <v>-49.366153315555557</v>
      </c>
      <c r="L24" s="528">
        <f t="shared" si="27"/>
        <v>-47.394114631822212</v>
      </c>
      <c r="M24" s="573">
        <f t="shared" si="27"/>
        <v>-51.490099491640891</v>
      </c>
      <c r="N24" s="513">
        <f t="shared" si="27"/>
        <v>-54.358468060973507</v>
      </c>
      <c r="O24" s="513">
        <f t="shared" si="27"/>
        <v>-55.678174527011969</v>
      </c>
      <c r="P24" s="513">
        <f t="shared" si="27"/>
        <v>-58.149627148665488</v>
      </c>
      <c r="Q24" s="513">
        <f t="shared" si="27"/>
        <v>-59.986436206072177</v>
      </c>
      <c r="R24" s="513">
        <f t="shared" si="27"/>
        <v>-61.993744844490699</v>
      </c>
      <c r="S24" s="513">
        <f t="shared" si="27"/>
        <v>-64.246298257724789</v>
      </c>
      <c r="T24" s="513">
        <f t="shared" si="27"/>
        <v>-65.800022688928308</v>
      </c>
      <c r="U24" s="513">
        <f t="shared" si="27"/>
        <v>-67.854156579537459</v>
      </c>
      <c r="V24" s="528">
        <f t="shared" si="27"/>
        <v>-69.265167134166703</v>
      </c>
      <c r="W24" s="573">
        <f t="shared" si="27"/>
        <v>-71.021771240921368</v>
      </c>
      <c r="X24" s="513">
        <f t="shared" si="27"/>
        <v>-72.849383234118932</v>
      </c>
      <c r="Y24" s="513">
        <f t="shared" si="27"/>
        <v>-74.597712563222458</v>
      </c>
      <c r="Z24" s="513">
        <f t="shared" si="27"/>
        <v>-75.735873906597774</v>
      </c>
      <c r="AA24" s="513">
        <f t="shared" si="27"/>
        <v>-77.370096164032233</v>
      </c>
      <c r="AB24" s="513">
        <f t="shared" si="27"/>
        <v>-78.937276646402182</v>
      </c>
      <c r="AC24" s="513">
        <f t="shared" si="27"/>
        <v>-80.441658861904486</v>
      </c>
      <c r="AD24" s="513">
        <f t="shared" si="27"/>
        <v>-81.28383420750302</v>
      </c>
      <c r="AE24" s="513">
        <f t="shared" si="27"/>
        <v>-82.62755093576132</v>
      </c>
      <c r="AF24" s="520">
        <f t="shared" si="27"/>
        <v>-83.894545108441292</v>
      </c>
    </row>
    <row r="25" spans="1:33" x14ac:dyDescent="0.2">
      <c r="A25" s="703"/>
      <c r="B25" s="200">
        <v>18</v>
      </c>
      <c r="C25" s="213" t="s">
        <v>243</v>
      </c>
      <c r="D25" s="306">
        <f>D23+D24</f>
        <v>-22.944000000000003</v>
      </c>
      <c r="E25" s="306">
        <f>E23+E24</f>
        <v>-65.756</v>
      </c>
      <c r="F25" s="306">
        <f>F23+F24</f>
        <v>-56.910000000000004</v>
      </c>
      <c r="G25" s="503">
        <f t="shared" ref="G25:AF25" si="28">G23+G24</f>
        <v>-72.823999999999998</v>
      </c>
      <c r="H25" s="521">
        <v>131.44800000000001</v>
      </c>
      <c r="I25" s="514">
        <f t="shared" si="28"/>
        <v>-120.42677227030092</v>
      </c>
      <c r="J25" s="514">
        <f t="shared" si="28"/>
        <v>-142.59136961132683</v>
      </c>
      <c r="K25" s="514">
        <f t="shared" si="28"/>
        <v>-163.58184872580151</v>
      </c>
      <c r="L25" s="529">
        <f t="shared" si="28"/>
        <v>-176.45785044540011</v>
      </c>
      <c r="M25" s="521">
        <f t="shared" si="28"/>
        <v>-266.38121962124808</v>
      </c>
      <c r="N25" s="514">
        <f t="shared" si="28"/>
        <v>-290.73870020354144</v>
      </c>
      <c r="O25" s="514">
        <f t="shared" si="28"/>
        <v>-313.33262756241101</v>
      </c>
      <c r="P25" s="514">
        <f t="shared" si="28"/>
        <v>-336.41643642689644</v>
      </c>
      <c r="Q25" s="514">
        <f t="shared" si="28"/>
        <v>-357.73192213377934</v>
      </c>
      <c r="R25" s="514">
        <f t="shared" si="28"/>
        <v>-380.58141478713736</v>
      </c>
      <c r="S25" s="514">
        <f t="shared" si="28"/>
        <v>-405.13510509635671</v>
      </c>
      <c r="T25" s="514">
        <f t="shared" si="28"/>
        <v>-427.14215793787815</v>
      </c>
      <c r="U25" s="514">
        <f t="shared" si="28"/>
        <v>-450.87681994342432</v>
      </c>
      <c r="V25" s="529">
        <f t="shared" si="28"/>
        <v>-471.4389636662479</v>
      </c>
      <c r="W25" s="521">
        <f t="shared" si="28"/>
        <v>-634.06508638583512</v>
      </c>
      <c r="X25" s="514">
        <f t="shared" si="28"/>
        <v>-664.04486413627853</v>
      </c>
      <c r="Y25" s="514">
        <f t="shared" si="28"/>
        <v>-695.35296751048998</v>
      </c>
      <c r="Z25" s="514">
        <f t="shared" si="28"/>
        <v>-721.32133905175601</v>
      </c>
      <c r="AA25" s="514">
        <f t="shared" si="28"/>
        <v>-748.77897991499685</v>
      </c>
      <c r="AB25" s="514">
        <f t="shared" si="28"/>
        <v>-777.20251574740541</v>
      </c>
      <c r="AC25" s="514">
        <f t="shared" si="28"/>
        <v>-806.63750752694796</v>
      </c>
      <c r="AD25" s="514">
        <f t="shared" si="28"/>
        <v>-829.26555833249779</v>
      </c>
      <c r="AE25" s="514">
        <f t="shared" si="28"/>
        <v>-853.0487267845059</v>
      </c>
      <c r="AF25" s="522">
        <f t="shared" si="28"/>
        <v>-877.4283562326483</v>
      </c>
    </row>
    <row r="26" spans="1:33" s="202" customFormat="1" x14ac:dyDescent="0.2">
      <c r="A26" s="703"/>
      <c r="B26" s="200">
        <v>19</v>
      </c>
      <c r="C26" s="211" t="s">
        <v>244</v>
      </c>
      <c r="D26" s="303">
        <v>-0.185</v>
      </c>
      <c r="E26" s="303">
        <v>-1.1080000000000001</v>
      </c>
      <c r="F26" s="303">
        <v>-2.0630000000000002</v>
      </c>
      <c r="G26" s="501">
        <v>-2.13</v>
      </c>
      <c r="H26" s="577">
        <v>0</v>
      </c>
      <c r="I26" s="578">
        <v>0</v>
      </c>
      <c r="J26" s="578">
        <v>-300</v>
      </c>
      <c r="K26" s="578">
        <v>0</v>
      </c>
      <c r="L26" s="579">
        <v>0</v>
      </c>
      <c r="M26" s="577">
        <v>0</v>
      </c>
      <c r="N26" s="578">
        <v>0</v>
      </c>
      <c r="O26" s="578">
        <v>0</v>
      </c>
      <c r="P26" s="578">
        <v>0</v>
      </c>
      <c r="Q26" s="578">
        <v>0</v>
      </c>
      <c r="R26" s="578">
        <v>0</v>
      </c>
      <c r="S26" s="578">
        <v>0</v>
      </c>
      <c r="T26" s="578">
        <v>0</v>
      </c>
      <c r="U26" s="578">
        <v>0</v>
      </c>
      <c r="V26" s="579">
        <v>0</v>
      </c>
      <c r="W26" s="577">
        <v>0</v>
      </c>
      <c r="X26" s="578">
        <v>0</v>
      </c>
      <c r="Y26" s="578">
        <v>0</v>
      </c>
      <c r="Z26" s="578">
        <v>0</v>
      </c>
      <c r="AA26" s="578">
        <v>0</v>
      </c>
      <c r="AB26" s="578">
        <v>0</v>
      </c>
      <c r="AC26" s="578">
        <v>0</v>
      </c>
      <c r="AD26" s="578">
        <v>0</v>
      </c>
      <c r="AE26" s="578">
        <v>0</v>
      </c>
      <c r="AF26" s="580">
        <v>0</v>
      </c>
      <c r="AG26" s="214"/>
    </row>
    <row r="27" spans="1:33" x14ac:dyDescent="0.2">
      <c r="A27" s="703"/>
      <c r="B27" s="200">
        <v>20</v>
      </c>
      <c r="C27" s="215" t="s">
        <v>245</v>
      </c>
      <c r="D27" s="303">
        <v>-165</v>
      </c>
      <c r="E27" s="303">
        <v>-22.5</v>
      </c>
      <c r="F27" s="303">
        <v>-22.5</v>
      </c>
      <c r="G27" s="501">
        <v>-7.734</v>
      </c>
      <c r="H27" s="596">
        <v>-4.2190000000000003</v>
      </c>
      <c r="I27" s="597">
        <f t="shared" ref="H27:AF27" si="29">(I38-H38)</f>
        <v>-4.2199999999999989</v>
      </c>
      <c r="J27" s="597">
        <f t="shared" si="29"/>
        <v>295.77999999999997</v>
      </c>
      <c r="K27" s="597">
        <f t="shared" si="29"/>
        <v>-34.220000000000027</v>
      </c>
      <c r="L27" s="598">
        <f t="shared" si="29"/>
        <v>-115.38999999999999</v>
      </c>
      <c r="M27" s="596">
        <f t="shared" si="29"/>
        <v>-50</v>
      </c>
      <c r="N27" s="597">
        <f t="shared" si="29"/>
        <v>-90</v>
      </c>
      <c r="O27" s="597">
        <f t="shared" si="29"/>
        <v>-178.06299999999999</v>
      </c>
      <c r="P27" s="597">
        <f t="shared" si="29"/>
        <v>2.9999999999859028E-3</v>
      </c>
      <c r="Q27" s="597">
        <f t="shared" si="29"/>
        <v>0</v>
      </c>
      <c r="R27" s="597">
        <f t="shared" si="29"/>
        <v>-2.9999999999859028E-3</v>
      </c>
      <c r="S27" s="597">
        <f t="shared" si="29"/>
        <v>0</v>
      </c>
      <c r="T27" s="597">
        <f t="shared" si="29"/>
        <v>0</v>
      </c>
      <c r="U27" s="597">
        <f t="shared" si="29"/>
        <v>0</v>
      </c>
      <c r="V27" s="598">
        <f t="shared" si="29"/>
        <v>0</v>
      </c>
      <c r="W27" s="596">
        <f t="shared" ref="W27:AE27" si="30">(W38-V38)</f>
        <v>0</v>
      </c>
      <c r="X27" s="597">
        <f t="shared" si="30"/>
        <v>0</v>
      </c>
      <c r="Y27" s="597">
        <f t="shared" si="30"/>
        <v>0</v>
      </c>
      <c r="Z27" s="597">
        <f t="shared" si="30"/>
        <v>0</v>
      </c>
      <c r="AA27" s="597">
        <f t="shared" si="30"/>
        <v>0</v>
      </c>
      <c r="AB27" s="597">
        <f t="shared" si="30"/>
        <v>0</v>
      </c>
      <c r="AC27" s="597">
        <f t="shared" si="30"/>
        <v>0</v>
      </c>
      <c r="AD27" s="597">
        <f t="shared" si="30"/>
        <v>0</v>
      </c>
      <c r="AE27" s="597">
        <f t="shared" si="30"/>
        <v>0</v>
      </c>
      <c r="AF27" s="599">
        <f t="shared" si="29"/>
        <v>0</v>
      </c>
    </row>
    <row r="28" spans="1:33" x14ac:dyDescent="0.2">
      <c r="A28" s="703"/>
      <c r="B28" s="200">
        <v>21</v>
      </c>
      <c r="C28" s="211" t="s">
        <v>246</v>
      </c>
      <c r="D28" s="212">
        <v>0</v>
      </c>
      <c r="E28" s="212">
        <v>0</v>
      </c>
      <c r="F28" s="305">
        <v>-100</v>
      </c>
      <c r="G28" s="504">
        <v>0</v>
      </c>
      <c r="H28" s="600">
        <v>-200</v>
      </c>
      <c r="I28" s="601">
        <v>-250</v>
      </c>
      <c r="J28" s="601">
        <v>-300</v>
      </c>
      <c r="K28" s="601">
        <v>-200</v>
      </c>
      <c r="L28" s="602">
        <v>-150</v>
      </c>
      <c r="M28" s="600">
        <v>-100</v>
      </c>
      <c r="N28" s="601">
        <v>-150</v>
      </c>
      <c r="O28" s="601">
        <v>-200</v>
      </c>
      <c r="P28" s="601">
        <v>-250</v>
      </c>
      <c r="Q28" s="601">
        <v>-250</v>
      </c>
      <c r="R28" s="601">
        <v>-150</v>
      </c>
      <c r="S28" s="601">
        <v>-100</v>
      </c>
      <c r="T28" s="601">
        <v>-75</v>
      </c>
      <c r="U28" s="601">
        <v>-75</v>
      </c>
      <c r="V28" s="602">
        <v>-50</v>
      </c>
      <c r="W28" s="600">
        <v>-50</v>
      </c>
      <c r="X28" s="601">
        <v>-50</v>
      </c>
      <c r="Y28" s="601">
        <v>-50</v>
      </c>
      <c r="Z28" s="601">
        <v>-50</v>
      </c>
      <c r="AA28" s="601">
        <v>-50</v>
      </c>
      <c r="AB28" s="601">
        <v>-50</v>
      </c>
      <c r="AC28" s="601">
        <v>-50</v>
      </c>
      <c r="AD28" s="601">
        <v>-50</v>
      </c>
      <c r="AE28" s="601">
        <v>-50</v>
      </c>
      <c r="AF28" s="603">
        <v>-50</v>
      </c>
    </row>
    <row r="29" spans="1:33" x14ac:dyDescent="0.2">
      <c r="A29" s="703"/>
      <c r="B29" s="200">
        <v>22</v>
      </c>
      <c r="C29" s="215" t="s">
        <v>247</v>
      </c>
      <c r="D29" s="212">
        <v>0</v>
      </c>
      <c r="E29" s="212">
        <v>0</v>
      </c>
      <c r="F29" s="212">
        <v>0</v>
      </c>
      <c r="G29" s="504">
        <v>0</v>
      </c>
      <c r="H29" s="506">
        <v>0</v>
      </c>
      <c r="I29" s="496">
        <v>0</v>
      </c>
      <c r="J29" s="496">
        <v>0</v>
      </c>
      <c r="K29" s="496">
        <v>0</v>
      </c>
      <c r="L29" s="508">
        <v>0</v>
      </c>
      <c r="M29" s="506">
        <v>0</v>
      </c>
      <c r="N29" s="496">
        <v>0</v>
      </c>
      <c r="O29" s="496">
        <v>0</v>
      </c>
      <c r="P29" s="496">
        <v>0</v>
      </c>
      <c r="Q29" s="496">
        <v>0</v>
      </c>
      <c r="R29" s="496">
        <v>-200</v>
      </c>
      <c r="S29" s="743">
        <v>-200</v>
      </c>
      <c r="T29" s="742">
        <v>-200</v>
      </c>
      <c r="U29" s="496">
        <v>-220</v>
      </c>
      <c r="V29" s="508">
        <v>-220</v>
      </c>
      <c r="W29" s="745">
        <v>-250</v>
      </c>
      <c r="X29" s="496">
        <v>-250</v>
      </c>
      <c r="Y29" s="496">
        <v>-250</v>
      </c>
      <c r="Z29" s="496">
        <v>-250</v>
      </c>
      <c r="AA29" s="496">
        <v>-280</v>
      </c>
      <c r="AB29" s="496">
        <v>-300</v>
      </c>
      <c r="AC29" s="744">
        <v>-320</v>
      </c>
      <c r="AD29" s="742">
        <v>-350</v>
      </c>
      <c r="AE29" s="496">
        <v>-380</v>
      </c>
      <c r="AF29" s="507">
        <v>-400</v>
      </c>
    </row>
    <row r="30" spans="1:33" x14ac:dyDescent="0.2">
      <c r="A30" s="703"/>
      <c r="B30" s="200">
        <v>23</v>
      </c>
      <c r="C30" s="211" t="s">
        <v>248</v>
      </c>
      <c r="D30" s="304">
        <f>3.022-1.028+50-50</f>
        <v>1.9939999999999998</v>
      </c>
      <c r="E30" s="304">
        <f>4.095-3.506-0</f>
        <v>0.58899999999999997</v>
      </c>
      <c r="F30" s="304">
        <f>3.821-1.861-0</f>
        <v>1.9600000000000002</v>
      </c>
      <c r="G30" s="505">
        <f>1.573-2.481-2.824</f>
        <v>-3.7319999999999998</v>
      </c>
      <c r="H30" s="604">
        <f>-1.169</f>
        <v>-1.169</v>
      </c>
      <c r="I30" s="605">
        <f>(1+I6)*(AVERAGE(E30:F30,H30))</f>
        <v>0.54280000000000017</v>
      </c>
      <c r="J30" s="605">
        <f>(1+J6)*AVERAGE(F30,H30:I30)</f>
        <v>0.51573600000000008</v>
      </c>
      <c r="K30" s="605">
        <f>(1+K6)*AVERAGE(H30:J30)</f>
        <v>-4.1976319999999921E-2</v>
      </c>
      <c r="L30" s="606">
        <f t="shared" ref="L30:AF30" si="31">(1+L6)*AVERAGE(I30:K30)</f>
        <v>0.38290414613333346</v>
      </c>
      <c r="M30" s="604">
        <f t="shared" si="31"/>
        <v>0.31696561566933346</v>
      </c>
      <c r="N30" s="605">
        <f t="shared" si="31"/>
        <v>0.24122759532764457</v>
      </c>
      <c r="O30" s="605">
        <f t="shared" si="31"/>
        <v>0.34193203975734654</v>
      </c>
      <c r="P30" s="605">
        <f t="shared" si="31"/>
        <v>0.32404509027155687</v>
      </c>
      <c r="Q30" s="605">
        <f t="shared" si="31"/>
        <v>0.32356968537716885</v>
      </c>
      <c r="R30" s="605">
        <f t="shared" si="31"/>
        <v>0.3529383641614991</v>
      </c>
      <c r="S30" s="741">
        <f t="shared" si="31"/>
        <v>0.35686395319898018</v>
      </c>
      <c r="T30" s="605">
        <f t="shared" si="31"/>
        <v>0.36512477430063567</v>
      </c>
      <c r="U30" s="605">
        <f t="shared" si="31"/>
        <v>0.37980757238692725</v>
      </c>
      <c r="V30" s="606">
        <f t="shared" si="31"/>
        <v>0.38562870496029011</v>
      </c>
      <c r="W30" s="604">
        <f t="shared" si="31"/>
        <v>0.39569636807674857</v>
      </c>
      <c r="X30" s="605">
        <f t="shared" si="31"/>
        <v>0.40639642589838815</v>
      </c>
      <c r="Y30" s="605">
        <f t="shared" si="31"/>
        <v>0.41570252462739943</v>
      </c>
      <c r="Z30" s="605">
        <f t="shared" si="31"/>
        <v>0.42216904378221254</v>
      </c>
      <c r="AA30" s="605">
        <f t="shared" si="31"/>
        <v>0.43134623802677341</v>
      </c>
      <c r="AB30" s="605">
        <f t="shared" si="31"/>
        <v>0.43999550623128031</v>
      </c>
      <c r="AC30" s="605">
        <f t="shared" si="31"/>
        <v>0.44841707318729235</v>
      </c>
      <c r="AD30" s="605">
        <f t="shared" si="31"/>
        <v>0.45311719398956884</v>
      </c>
      <c r="AE30" s="605">
        <f t="shared" si="31"/>
        <v>0.46059188887012864</v>
      </c>
      <c r="AF30" s="607">
        <f t="shared" si="31"/>
        <v>0.46766331357613311</v>
      </c>
    </row>
    <row r="31" spans="1:33" x14ac:dyDescent="0.2">
      <c r="A31" s="704"/>
      <c r="B31" s="200">
        <v>24</v>
      </c>
      <c r="C31" s="213" t="s">
        <v>249</v>
      </c>
      <c r="D31" s="306">
        <f>SUM(D26:D30)</f>
        <v>-163.191</v>
      </c>
      <c r="E31" s="306">
        <f>SUM(E26:E30)</f>
        <v>-23.019000000000002</v>
      </c>
      <c r="F31" s="306">
        <f>SUM(F26:F30)</f>
        <v>-122.60300000000001</v>
      </c>
      <c r="G31" s="503">
        <f t="shared" ref="G31:AF31" si="32">SUM(G26:G30)</f>
        <v>-13.596</v>
      </c>
      <c r="H31" s="521">
        <f t="shared" si="32"/>
        <v>-205.38800000000001</v>
      </c>
      <c r="I31" s="514">
        <f t="shared" si="32"/>
        <v>-253.6772</v>
      </c>
      <c r="J31" s="514">
        <f t="shared" si="32"/>
        <v>-303.70426400000002</v>
      </c>
      <c r="K31" s="514">
        <f t="shared" si="32"/>
        <v>-234.26197632000003</v>
      </c>
      <c r="L31" s="529">
        <f t="shared" si="32"/>
        <v>-265.00709585386664</v>
      </c>
      <c r="M31" s="521">
        <f t="shared" si="32"/>
        <v>-149.68303438433065</v>
      </c>
      <c r="N31" s="514">
        <f t="shared" si="32"/>
        <v>-239.75877240467236</v>
      </c>
      <c r="O31" s="514">
        <f t="shared" si="32"/>
        <v>-377.72106796024264</v>
      </c>
      <c r="P31" s="514">
        <f t="shared" si="32"/>
        <v>-249.67295490972845</v>
      </c>
      <c r="Q31" s="514">
        <f t="shared" si="32"/>
        <v>-249.67643031462282</v>
      </c>
      <c r="R31" s="514">
        <f t="shared" si="32"/>
        <v>-349.65006163583848</v>
      </c>
      <c r="S31" s="514">
        <f t="shared" si="32"/>
        <v>-299.64313604680103</v>
      </c>
      <c r="T31" s="514">
        <f t="shared" si="32"/>
        <v>-274.63487522569937</v>
      </c>
      <c r="U31" s="514">
        <f t="shared" si="32"/>
        <v>-294.62019242761306</v>
      </c>
      <c r="V31" s="529">
        <f t="shared" si="32"/>
        <v>-269.61437129503969</v>
      </c>
      <c r="W31" s="521">
        <f t="shared" si="32"/>
        <v>-299.60430363192324</v>
      </c>
      <c r="X31" s="514">
        <f t="shared" si="32"/>
        <v>-299.59360357410162</v>
      </c>
      <c r="Y31" s="514">
        <f t="shared" si="32"/>
        <v>-299.58429747537258</v>
      </c>
      <c r="Z31" s="514">
        <f t="shared" si="32"/>
        <v>-299.57783095621778</v>
      </c>
      <c r="AA31" s="514">
        <f t="shared" si="32"/>
        <v>-329.56865376197322</v>
      </c>
      <c r="AB31" s="514">
        <f t="shared" si="32"/>
        <v>-349.5600044937687</v>
      </c>
      <c r="AC31" s="514">
        <f t="shared" si="32"/>
        <v>-369.55158292681273</v>
      </c>
      <c r="AD31" s="514">
        <f t="shared" si="32"/>
        <v>-399.54688280601044</v>
      </c>
      <c r="AE31" s="514">
        <f t="shared" si="32"/>
        <v>-429.53940811112989</v>
      </c>
      <c r="AF31" s="522">
        <f t="shared" si="32"/>
        <v>-449.53233668642389</v>
      </c>
    </row>
    <row r="32" spans="1:33" x14ac:dyDescent="0.2">
      <c r="C32" s="210"/>
      <c r="D32" s="581"/>
      <c r="E32" s="581"/>
      <c r="F32" s="581"/>
      <c r="G32" s="581"/>
      <c r="H32" s="582"/>
      <c r="I32" s="583"/>
      <c r="J32" s="583"/>
      <c r="K32" s="583"/>
      <c r="L32" s="584"/>
      <c r="M32" s="582"/>
      <c r="N32" s="583"/>
      <c r="O32" s="583"/>
      <c r="P32" s="583"/>
      <c r="Q32" s="583"/>
      <c r="R32" s="583"/>
      <c r="S32" s="583"/>
      <c r="T32" s="583"/>
      <c r="U32" s="583"/>
      <c r="V32" s="584"/>
      <c r="W32" s="582"/>
      <c r="X32" s="583"/>
      <c r="Y32" s="583"/>
      <c r="Z32" s="583"/>
      <c r="AA32" s="583"/>
      <c r="AB32" s="583"/>
      <c r="AC32" s="583"/>
      <c r="AD32" s="583"/>
      <c r="AE32" s="583"/>
      <c r="AF32" s="585"/>
    </row>
    <row r="33" spans="1:32" x14ac:dyDescent="0.2">
      <c r="A33" s="710" t="s">
        <v>250</v>
      </c>
      <c r="B33" s="200">
        <v>25</v>
      </c>
      <c r="C33" s="216" t="s">
        <v>251</v>
      </c>
      <c r="D33" s="608">
        <f>D22+D25+D26+D27+D30</f>
        <v>180.292</v>
      </c>
      <c r="E33" s="608">
        <f>E22+E25+E26+E27+E30</f>
        <v>57.745000000000005</v>
      </c>
      <c r="F33" s="608">
        <f>F22+F25+F26+F27+F30</f>
        <v>21.381000000000029</v>
      </c>
      <c r="G33" s="609">
        <f>G22+G25+G26+G27+G30</f>
        <v>199.52199999999999</v>
      </c>
      <c r="H33" s="523">
        <f t="shared" ref="H33:AF33" si="33">H22+H25+H26+H27+H30</f>
        <v>432.66591170636178</v>
      </c>
      <c r="I33" s="515">
        <f>I22+I25+I26+I27+I30</f>
        <v>141.3541628996137</v>
      </c>
      <c r="J33" s="515">
        <f t="shared" si="33"/>
        <v>163.55634228696479</v>
      </c>
      <c r="K33" s="515">
        <f t="shared" si="33"/>
        <v>159.66106156166231</v>
      </c>
      <c r="L33" s="530">
        <f t="shared" si="33"/>
        <v>137.94144690675174</v>
      </c>
      <c r="M33" s="523">
        <f t="shared" si="33"/>
        <v>142.45494031968599</v>
      </c>
      <c r="N33" s="515">
        <f t="shared" si="33"/>
        <v>137.1662052785349</v>
      </c>
      <c r="O33" s="515">
        <f t="shared" si="33"/>
        <v>90.59233473654109</v>
      </c>
      <c r="P33" s="515">
        <f t="shared" si="33"/>
        <v>313.55672599066668</v>
      </c>
      <c r="Q33" s="515">
        <f t="shared" si="33"/>
        <v>359.59266759831451</v>
      </c>
      <c r="R33" s="515">
        <f t="shared" si="33"/>
        <v>395.5401751211711</v>
      </c>
      <c r="S33" s="515">
        <f t="shared" si="33"/>
        <v>431.39261397853227</v>
      </c>
      <c r="T33" s="515">
        <f t="shared" si="33"/>
        <v>478.91987098373414</v>
      </c>
      <c r="U33" s="515">
        <f t="shared" si="33"/>
        <v>514.55601554728446</v>
      </c>
      <c r="V33" s="530">
        <f t="shared" si="33"/>
        <v>562.95040770447918</v>
      </c>
      <c r="W33" s="523">
        <f t="shared" si="33"/>
        <v>514.36775327503915</v>
      </c>
      <c r="X33" s="515">
        <f t="shared" si="33"/>
        <v>552.40848076862608</v>
      </c>
      <c r="Y33" s="515">
        <f t="shared" si="33"/>
        <v>596.35372825368495</v>
      </c>
      <c r="Z33" s="515">
        <f t="shared" si="33"/>
        <v>656.39649691990564</v>
      </c>
      <c r="AA33" s="515">
        <f t="shared" si="33"/>
        <v>705.69016849332559</v>
      </c>
      <c r="AB33" s="515">
        <f t="shared" si="33"/>
        <v>751.76284673018495</v>
      </c>
      <c r="AC33" s="515">
        <f t="shared" si="33"/>
        <v>795.88071563487938</v>
      </c>
      <c r="AD33" s="515">
        <f t="shared" si="33"/>
        <v>851.86035861287962</v>
      </c>
      <c r="AE33" s="515">
        <f t="shared" si="33"/>
        <v>889.46519038021336</v>
      </c>
      <c r="AF33" s="524">
        <f t="shared" si="33"/>
        <v>926.38176944599206</v>
      </c>
    </row>
    <row r="34" spans="1:32" x14ac:dyDescent="0.2">
      <c r="A34" s="711"/>
      <c r="B34" s="200">
        <v>26</v>
      </c>
      <c r="C34" s="216" t="s">
        <v>252</v>
      </c>
      <c r="D34" s="610">
        <f>-1*(D28+D29)</f>
        <v>0</v>
      </c>
      <c r="E34" s="610">
        <f>-1*(E28+E29)</f>
        <v>0</v>
      </c>
      <c r="F34" s="608">
        <f>-1*(F28+F29)</f>
        <v>100</v>
      </c>
      <c r="G34" s="611">
        <f t="shared" ref="G34:AE34" si="34">-1*(G28+G29)</f>
        <v>0</v>
      </c>
      <c r="H34" s="612">
        <f t="shared" si="34"/>
        <v>200</v>
      </c>
      <c r="I34" s="613">
        <f t="shared" si="34"/>
        <v>250</v>
      </c>
      <c r="J34" s="613">
        <f t="shared" si="34"/>
        <v>300</v>
      </c>
      <c r="K34" s="613">
        <f t="shared" si="34"/>
        <v>200</v>
      </c>
      <c r="L34" s="614">
        <f t="shared" si="34"/>
        <v>150</v>
      </c>
      <c r="M34" s="612">
        <f t="shared" si="34"/>
        <v>100</v>
      </c>
      <c r="N34" s="613">
        <f t="shared" si="34"/>
        <v>150</v>
      </c>
      <c r="O34" s="613">
        <f t="shared" si="34"/>
        <v>200</v>
      </c>
      <c r="P34" s="613">
        <f t="shared" si="34"/>
        <v>250</v>
      </c>
      <c r="Q34" s="613">
        <f t="shared" si="34"/>
        <v>250</v>
      </c>
      <c r="R34" s="613">
        <f t="shared" si="34"/>
        <v>350</v>
      </c>
      <c r="S34" s="613">
        <f t="shared" si="34"/>
        <v>300</v>
      </c>
      <c r="T34" s="613">
        <f t="shared" si="34"/>
        <v>275</v>
      </c>
      <c r="U34" s="613">
        <f t="shared" si="34"/>
        <v>295</v>
      </c>
      <c r="V34" s="614">
        <f t="shared" si="34"/>
        <v>270</v>
      </c>
      <c r="W34" s="612">
        <f t="shared" si="34"/>
        <v>300</v>
      </c>
      <c r="X34" s="613">
        <f t="shared" si="34"/>
        <v>300</v>
      </c>
      <c r="Y34" s="613">
        <f t="shared" si="34"/>
        <v>300</v>
      </c>
      <c r="Z34" s="613">
        <f t="shared" si="34"/>
        <v>300</v>
      </c>
      <c r="AA34" s="613">
        <f t="shared" si="34"/>
        <v>330</v>
      </c>
      <c r="AB34" s="613">
        <f t="shared" si="34"/>
        <v>350</v>
      </c>
      <c r="AC34" s="613">
        <f t="shared" si="34"/>
        <v>370</v>
      </c>
      <c r="AD34" s="613">
        <f t="shared" si="34"/>
        <v>400</v>
      </c>
      <c r="AE34" s="613">
        <f t="shared" si="34"/>
        <v>430</v>
      </c>
      <c r="AF34" s="615">
        <f>-1*(AF28+AF29)</f>
        <v>450</v>
      </c>
    </row>
    <row r="35" spans="1:32" x14ac:dyDescent="0.2">
      <c r="A35" s="712"/>
      <c r="B35" s="200">
        <v>27</v>
      </c>
      <c r="C35" s="216" t="s">
        <v>253</v>
      </c>
      <c r="D35" s="302">
        <f>D33-D34</f>
        <v>180.292</v>
      </c>
      <c r="E35" s="302">
        <f>E33-E34</f>
        <v>57.745000000000005</v>
      </c>
      <c r="F35" s="302">
        <f>F33-F34</f>
        <v>-78.618999999999971</v>
      </c>
      <c r="G35" s="500">
        <f>G33-G34</f>
        <v>199.52199999999999</v>
      </c>
      <c r="H35" s="525">
        <f t="shared" ref="H35:AF35" si="35">H33-H34</f>
        <v>232.66591170636178</v>
      </c>
      <c r="I35" s="516">
        <f t="shared" si="35"/>
        <v>-108.6458371003863</v>
      </c>
      <c r="J35" s="516">
        <f t="shared" si="35"/>
        <v>-136.44365771303521</v>
      </c>
      <c r="K35" s="516">
        <f t="shared" si="35"/>
        <v>-40.338938438337692</v>
      </c>
      <c r="L35" s="531">
        <f t="shared" si="35"/>
        <v>-12.058553093248264</v>
      </c>
      <c r="M35" s="525">
        <f t="shared" si="35"/>
        <v>42.454940319685988</v>
      </c>
      <c r="N35" s="516">
        <f t="shared" si="35"/>
        <v>-12.833794721465097</v>
      </c>
      <c r="O35" s="516">
        <f t="shared" si="35"/>
        <v>-109.40766526345891</v>
      </c>
      <c r="P35" s="516">
        <f t="shared" si="35"/>
        <v>63.556725990666678</v>
      </c>
      <c r="Q35" s="516">
        <f t="shared" si="35"/>
        <v>109.59266759831451</v>
      </c>
      <c r="R35" s="516">
        <f t="shared" si="35"/>
        <v>45.540175121171103</v>
      </c>
      <c r="S35" s="516">
        <f t="shared" si="35"/>
        <v>131.39261397853227</v>
      </c>
      <c r="T35" s="516">
        <f t="shared" si="35"/>
        <v>203.91987098373414</v>
      </c>
      <c r="U35" s="516">
        <f t="shared" si="35"/>
        <v>219.55601554728446</v>
      </c>
      <c r="V35" s="531">
        <f t="shared" si="35"/>
        <v>292.95040770447918</v>
      </c>
      <c r="W35" s="525">
        <f t="shared" si="35"/>
        <v>214.36775327503915</v>
      </c>
      <c r="X35" s="516">
        <f t="shared" si="35"/>
        <v>252.40848076862608</v>
      </c>
      <c r="Y35" s="516">
        <f t="shared" si="35"/>
        <v>296.35372825368495</v>
      </c>
      <c r="Z35" s="516">
        <f t="shared" si="35"/>
        <v>356.39649691990564</v>
      </c>
      <c r="AA35" s="516">
        <f t="shared" si="35"/>
        <v>375.69016849332559</v>
      </c>
      <c r="AB35" s="516">
        <f t="shared" si="35"/>
        <v>401.76284673018495</v>
      </c>
      <c r="AC35" s="516">
        <f t="shared" si="35"/>
        <v>425.88071563487938</v>
      </c>
      <c r="AD35" s="516">
        <f t="shared" si="35"/>
        <v>451.86035861287962</v>
      </c>
      <c r="AE35" s="516">
        <f t="shared" si="35"/>
        <v>459.46519038021336</v>
      </c>
      <c r="AF35" s="526">
        <f t="shared" si="35"/>
        <v>476.38176944599206</v>
      </c>
    </row>
    <row r="36" spans="1:32" x14ac:dyDescent="0.2">
      <c r="D36" s="557"/>
      <c r="E36" s="557"/>
      <c r="F36" s="509"/>
      <c r="G36" s="509"/>
      <c r="H36" s="616"/>
      <c r="I36" s="617"/>
      <c r="J36" s="617"/>
      <c r="K36" s="617"/>
      <c r="L36" s="618"/>
      <c r="M36" s="616"/>
      <c r="N36" s="617"/>
      <c r="O36" s="617"/>
      <c r="P36" s="617"/>
      <c r="Q36" s="617"/>
      <c r="R36" s="617"/>
      <c r="S36" s="617"/>
      <c r="T36" s="617"/>
      <c r="U36" s="617"/>
      <c r="V36" s="618"/>
      <c r="W36" s="616"/>
      <c r="X36" s="617"/>
      <c r="Y36" s="617"/>
      <c r="Z36" s="617"/>
      <c r="AA36" s="617"/>
      <c r="AB36" s="617"/>
      <c r="AC36" s="617"/>
      <c r="AD36" s="619"/>
      <c r="AE36" s="619"/>
      <c r="AF36" s="620"/>
    </row>
    <row r="37" spans="1:32" x14ac:dyDescent="0.2">
      <c r="A37" s="713" t="s">
        <v>254</v>
      </c>
      <c r="B37" s="217">
        <v>28</v>
      </c>
      <c r="C37" s="216" t="s">
        <v>255</v>
      </c>
      <c r="D37" s="621">
        <f>Cifras_Originales!E22</f>
        <v>253.28299999999999</v>
      </c>
      <c r="E37" s="622">
        <v>312.18900000000002</v>
      </c>
      <c r="F37" s="622">
        <v>234.74100000000001</v>
      </c>
      <c r="G37" s="622">
        <v>438.96</v>
      </c>
      <c r="H37" s="573">
        <v>358.79500000000002</v>
      </c>
      <c r="I37" s="513">
        <f t="shared" ref="H37:AF37" si="36">H37+I35</f>
        <v>250.14916289961371</v>
      </c>
      <c r="J37" s="513">
        <f>I37+J35+300</f>
        <v>413.70550518657853</v>
      </c>
      <c r="K37" s="513">
        <f t="shared" si="36"/>
        <v>373.36656674824087</v>
      </c>
      <c r="L37" s="528">
        <f t="shared" si="36"/>
        <v>361.30801365499258</v>
      </c>
      <c r="M37" s="573">
        <f t="shared" si="36"/>
        <v>403.76295397467857</v>
      </c>
      <c r="N37" s="513">
        <f t="shared" si="36"/>
        <v>390.92915925321347</v>
      </c>
      <c r="O37" s="513">
        <f t="shared" si="36"/>
        <v>281.52149398975456</v>
      </c>
      <c r="P37" s="513">
        <f t="shared" si="36"/>
        <v>345.07821998042124</v>
      </c>
      <c r="Q37" s="513">
        <f t="shared" si="36"/>
        <v>454.67088757873574</v>
      </c>
      <c r="R37" s="513">
        <f t="shared" si="36"/>
        <v>500.21106269990685</v>
      </c>
      <c r="S37" s="513">
        <f t="shared" si="36"/>
        <v>631.60367667843911</v>
      </c>
      <c r="T37" s="513">
        <f t="shared" si="36"/>
        <v>835.52354766217331</v>
      </c>
      <c r="U37" s="513">
        <f t="shared" si="36"/>
        <v>1055.0795632094578</v>
      </c>
      <c r="V37" s="528">
        <f t="shared" si="36"/>
        <v>1348.0299709139369</v>
      </c>
      <c r="W37" s="573">
        <f t="shared" si="36"/>
        <v>1562.3977241889761</v>
      </c>
      <c r="X37" s="731">
        <f t="shared" si="36"/>
        <v>1814.8062049576022</v>
      </c>
      <c r="Y37" s="513">
        <f t="shared" si="36"/>
        <v>2111.1599332112874</v>
      </c>
      <c r="Z37" s="513">
        <f t="shared" si="36"/>
        <v>2467.5564301311929</v>
      </c>
      <c r="AA37" s="513">
        <f t="shared" si="36"/>
        <v>2843.2465986245184</v>
      </c>
      <c r="AB37" s="513">
        <f t="shared" si="36"/>
        <v>3245.0094453547035</v>
      </c>
      <c r="AC37" s="513">
        <f t="shared" si="36"/>
        <v>3670.8901609895829</v>
      </c>
      <c r="AD37" s="513">
        <f t="shared" si="36"/>
        <v>4122.7505196024622</v>
      </c>
      <c r="AE37" s="513">
        <f t="shared" si="36"/>
        <v>4582.2157099826754</v>
      </c>
      <c r="AF37" s="520">
        <f t="shared" si="36"/>
        <v>5058.5974794286676</v>
      </c>
    </row>
    <row r="38" spans="1:32" x14ac:dyDescent="0.2">
      <c r="A38" s="713"/>
      <c r="B38" s="218">
        <v>29</v>
      </c>
      <c r="C38" s="216" t="s">
        <v>256</v>
      </c>
      <c r="D38" s="621">
        <f>Cifras_en_Millones!F60</f>
        <v>178.50699999999998</v>
      </c>
      <c r="E38" s="621">
        <f>Cifras_en_Millones!E60</f>
        <v>186.40799999999999</v>
      </c>
      <c r="F38" s="621">
        <f>Cifras_en_Millones!D60</f>
        <v>164.077</v>
      </c>
      <c r="G38" s="623">
        <f>Cifras_en_Millones!C60</f>
        <v>176.113</v>
      </c>
      <c r="H38" s="624">
        <f t="shared" ref="H38" si="37">G38</f>
        <v>176.113</v>
      </c>
      <c r="I38" s="532">
        <v>171.893</v>
      </c>
      <c r="J38" s="532">
        <v>467.673</v>
      </c>
      <c r="K38" s="532">
        <v>433.45299999999997</v>
      </c>
      <c r="L38" s="536">
        <v>318.06299999999999</v>
      </c>
      <c r="M38" s="624">
        <v>268.06299999999999</v>
      </c>
      <c r="N38" s="532">
        <v>178.06299999999999</v>
      </c>
      <c r="O38" s="532">
        <v>0</v>
      </c>
      <c r="P38" s="532">
        <v>2.9999999999859028E-3</v>
      </c>
      <c r="Q38" s="532">
        <v>2.9999999999859028E-3</v>
      </c>
      <c r="R38" s="532">
        <v>0</v>
      </c>
      <c r="S38" s="532">
        <v>0</v>
      </c>
      <c r="T38" s="532">
        <v>0</v>
      </c>
      <c r="U38" s="532">
        <v>0</v>
      </c>
      <c r="V38" s="536">
        <v>0</v>
      </c>
      <c r="W38" s="746">
        <v>0</v>
      </c>
      <c r="X38" s="747">
        <v>0</v>
      </c>
      <c r="Y38" s="748">
        <v>0</v>
      </c>
      <c r="Z38" s="749">
        <v>0</v>
      </c>
      <c r="AA38" s="750">
        <v>0</v>
      </c>
      <c r="AB38" s="751">
        <v>0</v>
      </c>
      <c r="AC38" s="532">
        <v>0</v>
      </c>
      <c r="AD38" s="532">
        <v>0</v>
      </c>
      <c r="AE38" s="532">
        <v>0</v>
      </c>
      <c r="AF38" s="534">
        <v>0</v>
      </c>
    </row>
    <row r="39" spans="1:32" x14ac:dyDescent="0.2">
      <c r="A39" s="713"/>
      <c r="B39" s="220">
        <v>30</v>
      </c>
      <c r="C39" s="216" t="s">
        <v>257</v>
      </c>
      <c r="D39" s="625"/>
      <c r="E39" s="625"/>
      <c r="F39" s="621"/>
      <c r="G39" s="623">
        <f t="shared" ref="G39" si="38">1/((1+$D$48)^G4)</f>
        <v>0.99853542901620285</v>
      </c>
      <c r="H39" s="624">
        <f>1/((1+$D$48)^H4)</f>
        <v>0.99818629918427937</v>
      </c>
      <c r="I39" s="532">
        <f>1/((1+$D$48)^I3)</f>
        <v>1</v>
      </c>
      <c r="J39" s="532">
        <f>1/((1+$D$48)^J3)</f>
        <v>1</v>
      </c>
      <c r="K39" s="532">
        <f>1/((1+$D$48)^K3)</f>
        <v>1</v>
      </c>
      <c r="L39" s="536">
        <f>1/((1+$D$48)^L3)</f>
        <v>1</v>
      </c>
      <c r="M39" s="624">
        <f t="shared" ref="M39:V39" si="39">1/((1+$E$48)^M4)</f>
        <v>0.99960786977162996</v>
      </c>
      <c r="N39" s="532">
        <f t="shared" si="39"/>
        <v>0.99960786977162996</v>
      </c>
      <c r="O39" s="532">
        <f t="shared" si="39"/>
        <v>0.99960786977162996</v>
      </c>
      <c r="P39" s="532">
        <f t="shared" si="39"/>
        <v>0.99960786977162996</v>
      </c>
      <c r="Q39" s="532">
        <f t="shared" si="39"/>
        <v>0.99960786977162996</v>
      </c>
      <c r="R39" s="532">
        <f t="shared" si="39"/>
        <v>0.99960786977162996</v>
      </c>
      <c r="S39" s="532">
        <f t="shared" si="39"/>
        <v>0.99960786977162996</v>
      </c>
      <c r="T39" s="532">
        <f t="shared" si="39"/>
        <v>0.99960786977162996</v>
      </c>
      <c r="U39" s="532">
        <f t="shared" si="39"/>
        <v>0.99960786977162996</v>
      </c>
      <c r="V39" s="536">
        <f t="shared" si="39"/>
        <v>0.99960786977162996</v>
      </c>
      <c r="W39" s="624">
        <f t="shared" ref="W39:AF39" si="40">1/((1+$F$48)^W4)</f>
        <v>0.99941186232350743</v>
      </c>
      <c r="X39" s="532">
        <f t="shared" si="40"/>
        <v>0.99941186232350743</v>
      </c>
      <c r="Y39" s="532">
        <f t="shared" si="40"/>
        <v>0.99941186232350743</v>
      </c>
      <c r="Z39" s="532">
        <f t="shared" si="40"/>
        <v>0.99941186232350743</v>
      </c>
      <c r="AA39" s="532">
        <f t="shared" si="40"/>
        <v>0.99941186232350743</v>
      </c>
      <c r="AB39" s="532">
        <f t="shared" si="40"/>
        <v>0.99941186232350743</v>
      </c>
      <c r="AC39" s="532">
        <f t="shared" si="40"/>
        <v>0.99941186232350743</v>
      </c>
      <c r="AD39" s="532">
        <f t="shared" si="40"/>
        <v>0.99941186232350743</v>
      </c>
      <c r="AE39" s="532">
        <f t="shared" si="40"/>
        <v>0.99941186232350743</v>
      </c>
      <c r="AF39" s="534">
        <f t="shared" si="40"/>
        <v>0.99941186232350743</v>
      </c>
    </row>
    <row r="40" spans="1:32" x14ac:dyDescent="0.2">
      <c r="A40" s="221"/>
      <c r="B40" s="221"/>
      <c r="C40" s="221"/>
      <c r="D40" s="626"/>
      <c r="E40" s="626"/>
      <c r="F40" s="627">
        <f>1/((1+$D$49+0.001)^F$4)</f>
        <v>0.99998884794264986</v>
      </c>
      <c r="G40" s="628">
        <f>1/((1+$D$48+0.001)^G$4)</f>
        <v>0.99851890273632726</v>
      </c>
      <c r="H40" s="629">
        <f>1/((1+$D$48+0.001)^H$4)</f>
        <v>0.99816583692842165</v>
      </c>
      <c r="I40" s="533">
        <f>1/((1+$D$48+0.001)^I$3)</f>
        <v>1</v>
      </c>
      <c r="J40" s="533">
        <f>1/((1+$D$48+0.001)^J$3)</f>
        <v>1</v>
      </c>
      <c r="K40" s="533">
        <f>1/((1+$D$48+0.001)^K$3)</f>
        <v>1</v>
      </c>
      <c r="L40" s="537">
        <f>1/((1+$D$48+0.001)^L$3)</f>
        <v>1</v>
      </c>
      <c r="M40" s="629">
        <f t="shared" ref="M40:V40" si="41">1/((1+$E$48+0.001)^M$4)</f>
        <v>0.99959826282167086</v>
      </c>
      <c r="N40" s="533">
        <f t="shared" si="41"/>
        <v>0.99959826282167086</v>
      </c>
      <c r="O40" s="533">
        <f t="shared" si="41"/>
        <v>0.99959826282167086</v>
      </c>
      <c r="P40" s="533">
        <f t="shared" si="41"/>
        <v>0.99959826282167086</v>
      </c>
      <c r="Q40" s="533">
        <f t="shared" si="41"/>
        <v>0.99959826282167086</v>
      </c>
      <c r="R40" s="533">
        <f t="shared" si="41"/>
        <v>0.99959826282167086</v>
      </c>
      <c r="S40" s="533">
        <f t="shared" si="41"/>
        <v>0.99959826282167086</v>
      </c>
      <c r="T40" s="533">
        <f t="shared" si="41"/>
        <v>0.99959826282167086</v>
      </c>
      <c r="U40" s="533">
        <f t="shared" si="41"/>
        <v>0.99959826282167086</v>
      </c>
      <c r="V40" s="537">
        <f t="shared" si="41"/>
        <v>0.99959826282167086</v>
      </c>
      <c r="W40" s="629">
        <f t="shared" ref="W40:AE40" si="42">1/((1+$F$48+0.001)^W$4)</f>
        <v>0.99939745475884434</v>
      </c>
      <c r="X40" s="533">
        <f t="shared" si="42"/>
        <v>0.99939745475884434</v>
      </c>
      <c r="Y40" s="533">
        <f t="shared" si="42"/>
        <v>0.99939745475884434</v>
      </c>
      <c r="Z40" s="533">
        <f t="shared" si="42"/>
        <v>0.99939745475884434</v>
      </c>
      <c r="AA40" s="533">
        <f t="shared" si="42"/>
        <v>0.99939745475884434</v>
      </c>
      <c r="AB40" s="533">
        <f t="shared" si="42"/>
        <v>0.99939745475884434</v>
      </c>
      <c r="AC40" s="533">
        <f t="shared" si="42"/>
        <v>0.99939745475884434</v>
      </c>
      <c r="AD40" s="533">
        <f t="shared" si="42"/>
        <v>0.99939745475884434</v>
      </c>
      <c r="AE40" s="533">
        <f t="shared" si="42"/>
        <v>0.99939745475884434</v>
      </c>
      <c r="AF40" s="630"/>
    </row>
    <row r="41" spans="1:32" ht="16" thickBot="1" x14ac:dyDescent="0.25">
      <c r="A41" s="221"/>
      <c r="B41" s="221"/>
      <c r="C41" s="221"/>
      <c r="D41" s="626"/>
      <c r="E41" s="626"/>
      <c r="F41" s="627">
        <f>1/((1+$D$49+0.005)^F$4)</f>
        <v>0.99994435208309018</v>
      </c>
      <c r="G41" s="628">
        <f>1/((1+$D$48+0.005)^G$4)</f>
        <v>0.9984529521670007</v>
      </c>
      <c r="H41" s="631">
        <f>1/((1+$D$48+0.005)^H$4)</f>
        <v>0.99808418006822808</v>
      </c>
      <c r="I41" s="535">
        <f>1/((1+$D$48+0.005)^I$3)</f>
        <v>1</v>
      </c>
      <c r="J41" s="535">
        <f>1/((1+$D$48+0.005)^J$3)</f>
        <v>1</v>
      </c>
      <c r="K41" s="535">
        <f>1/((1+$D$48+0.005)^K$3)</f>
        <v>1</v>
      </c>
      <c r="L41" s="538">
        <f>1/((1+$D$48+0.005)^L$3)</f>
        <v>1</v>
      </c>
      <c r="M41" s="631">
        <f t="shared" ref="M41:V41" si="43">1/((1+$E$48+0.005)^M$4)</f>
        <v>0.99955992800593008</v>
      </c>
      <c r="N41" s="535">
        <f t="shared" si="43"/>
        <v>0.99955992800593008</v>
      </c>
      <c r="O41" s="535">
        <f t="shared" si="43"/>
        <v>0.99955992800593008</v>
      </c>
      <c r="P41" s="535">
        <f t="shared" si="43"/>
        <v>0.99955992800593008</v>
      </c>
      <c r="Q41" s="535">
        <f t="shared" si="43"/>
        <v>0.99955992800593008</v>
      </c>
      <c r="R41" s="535">
        <f t="shared" si="43"/>
        <v>0.99955992800593008</v>
      </c>
      <c r="S41" s="535">
        <f t="shared" si="43"/>
        <v>0.99955992800593008</v>
      </c>
      <c r="T41" s="535">
        <f t="shared" si="43"/>
        <v>0.99955992800593008</v>
      </c>
      <c r="U41" s="535">
        <f t="shared" si="43"/>
        <v>0.99955992800593008</v>
      </c>
      <c r="V41" s="538">
        <f t="shared" si="43"/>
        <v>0.99955992800593008</v>
      </c>
      <c r="W41" s="631">
        <f t="shared" ref="W41:AE41" si="44">1/((1+$F$48+0.005)^W$4)</f>
        <v>0.9993399646379828</v>
      </c>
      <c r="X41" s="535">
        <f t="shared" si="44"/>
        <v>0.9993399646379828</v>
      </c>
      <c r="Y41" s="535">
        <f t="shared" si="44"/>
        <v>0.9993399646379828</v>
      </c>
      <c r="Z41" s="535">
        <f t="shared" si="44"/>
        <v>0.9993399646379828</v>
      </c>
      <c r="AA41" s="535">
        <f t="shared" si="44"/>
        <v>0.9993399646379828</v>
      </c>
      <c r="AB41" s="535">
        <f t="shared" si="44"/>
        <v>0.9993399646379828</v>
      </c>
      <c r="AC41" s="535">
        <f t="shared" si="44"/>
        <v>0.9993399646379828</v>
      </c>
      <c r="AD41" s="535">
        <f t="shared" si="44"/>
        <v>0.9993399646379828</v>
      </c>
      <c r="AE41" s="535">
        <f t="shared" si="44"/>
        <v>0.9993399646379828</v>
      </c>
      <c r="AF41" s="632"/>
    </row>
    <row r="42" spans="1:32" x14ac:dyDescent="0.2">
      <c r="A42" s="221"/>
      <c r="B42" s="221"/>
      <c r="C42" s="221"/>
      <c r="D42" s="222"/>
      <c r="E42" s="222"/>
      <c r="F42" s="273"/>
      <c r="G42" s="273"/>
      <c r="H42" s="274"/>
      <c r="I42" s="512"/>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21"/>
    </row>
    <row r="43" spans="1:32" x14ac:dyDescent="0.2">
      <c r="C43" s="224" t="s">
        <v>112</v>
      </c>
      <c r="D43" s="225"/>
      <c r="E43" s="226"/>
      <c r="F43" s="282" t="s">
        <v>258</v>
      </c>
      <c r="G43" s="282" t="s">
        <v>258</v>
      </c>
      <c r="H43" s="225">
        <f ca="1">1000000*H17/OP!C8</f>
        <v>2.7638746591543191</v>
      </c>
      <c r="I43" s="555">
        <f ca="1">1000000*I17/OP!$C8</f>
        <v>3.2656657214580678</v>
      </c>
      <c r="J43" s="555">
        <f ca="1">1000000*J17/OP!$C8</f>
        <v>3.7819494870982866</v>
      </c>
    </row>
    <row r="44" spans="1:32" x14ac:dyDescent="0.2">
      <c r="C44" s="227" t="s">
        <v>113</v>
      </c>
      <c r="D44" s="205"/>
      <c r="E44" s="205"/>
      <c r="F44" s="228"/>
      <c r="G44" s="228"/>
      <c r="H44" s="228"/>
      <c r="I44" s="229"/>
      <c r="J44" s="229"/>
    </row>
    <row r="45" spans="1:32" x14ac:dyDescent="0.2">
      <c r="C45" s="230" t="s">
        <v>114</v>
      </c>
      <c r="D45" s="231"/>
      <c r="E45" s="231"/>
      <c r="F45" s="281" t="s">
        <v>258</v>
      </c>
      <c r="G45" s="281" t="s">
        <v>258</v>
      </c>
      <c r="H45" s="232">
        <f t="shared" ref="H45:I45" si="45">$D$65/H17</f>
        <v>119.55708116230024</v>
      </c>
      <c r="I45" s="233">
        <f t="shared" si="45"/>
        <v>101.18634763370736</v>
      </c>
    </row>
    <row r="46" spans="1:32" x14ac:dyDescent="0.2">
      <c r="A46" s="221"/>
      <c r="B46" s="221"/>
      <c r="C46" s="221"/>
      <c r="D46" s="222"/>
      <c r="E46" s="222"/>
      <c r="F46" s="222"/>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1"/>
      <c r="AE46" s="221"/>
      <c r="AF46" s="221"/>
    </row>
    <row r="47" spans="1:32" x14ac:dyDescent="0.2">
      <c r="A47" s="705" t="s">
        <v>259</v>
      </c>
      <c r="C47" s="224"/>
      <c r="D47" s="226" t="s">
        <v>260</v>
      </c>
      <c r="E47" s="226" t="s">
        <v>261</v>
      </c>
      <c r="F47" s="226" t="s">
        <v>262</v>
      </c>
      <c r="G47" s="234" t="s">
        <v>263</v>
      </c>
    </row>
    <row r="48" spans="1:32" x14ac:dyDescent="0.2">
      <c r="A48" s="707"/>
      <c r="C48" s="235" t="s">
        <v>264</v>
      </c>
      <c r="D48" s="236">
        <f>SUM(E48:G48)</f>
        <v>8.5000000000000006E-2</v>
      </c>
      <c r="E48" s="389">
        <v>0.04</v>
      </c>
      <c r="F48" s="236">
        <v>0.04</v>
      </c>
      <c r="G48" s="936">
        <v>5.0000000000000001E-3</v>
      </c>
      <c r="H48" s="194" t="s">
        <v>258</v>
      </c>
      <c r="I48" s="255"/>
      <c r="AE48" s="237"/>
    </row>
    <row r="49" spans="1:31" x14ac:dyDescent="0.2">
      <c r="D49" s="238"/>
      <c r="E49" s="238"/>
      <c r="F49" s="238"/>
      <c r="G49" s="239"/>
      <c r="I49" s="255"/>
      <c r="AE49" s="237"/>
    </row>
    <row r="50" spans="1:31" x14ac:dyDescent="0.2">
      <c r="C50" s="224"/>
      <c r="D50" s="240" t="s">
        <v>265</v>
      </c>
      <c r="E50" s="240" t="s">
        <v>266</v>
      </c>
      <c r="F50" s="240" t="s">
        <v>267</v>
      </c>
      <c r="G50" s="234" t="s">
        <v>268</v>
      </c>
    </row>
    <row r="51" spans="1:31" x14ac:dyDescent="0.2">
      <c r="A51" s="702" t="s">
        <v>269</v>
      </c>
      <c r="C51" s="241" t="s">
        <v>270</v>
      </c>
      <c r="D51" s="242">
        <v>0.6</v>
      </c>
      <c r="E51" s="242">
        <v>0.6</v>
      </c>
      <c r="F51" s="242">
        <v>0.6</v>
      </c>
      <c r="G51" s="313" t="s">
        <v>271</v>
      </c>
      <c r="H51" s="499">
        <f>SUM(H23:AG23)/SUM(H10:AG10)</f>
        <v>2.384448524953144</v>
      </c>
      <c r="I51" s="207"/>
      <c r="AE51" s="205"/>
    </row>
    <row r="52" spans="1:31" x14ac:dyDescent="0.2">
      <c r="A52" s="703"/>
      <c r="C52" s="243" t="s">
        <v>272</v>
      </c>
      <c r="D52" s="639">
        <v>0.02</v>
      </c>
      <c r="E52" s="244">
        <v>0.01</v>
      </c>
      <c r="F52" s="497">
        <v>1.4999999999999999E-2</v>
      </c>
      <c r="G52" s="314" t="s">
        <v>273</v>
      </c>
      <c r="H52" s="498">
        <f>-SUM(E11:G11)/SUM(E7:G7)</f>
        <v>1.3520691869792519E-2</v>
      </c>
      <c r="I52" s="207"/>
      <c r="AE52" s="205"/>
    </row>
    <row r="53" spans="1:31" x14ac:dyDescent="0.2">
      <c r="A53" s="703"/>
      <c r="C53" s="243" t="s">
        <v>274</v>
      </c>
      <c r="D53" s="244">
        <v>0.2</v>
      </c>
      <c r="E53" s="244">
        <v>0.2</v>
      </c>
      <c r="F53" s="497">
        <v>0.2</v>
      </c>
      <c r="G53" s="315" t="s">
        <v>275</v>
      </c>
      <c r="I53" s="207"/>
      <c r="AE53" s="205"/>
    </row>
    <row r="54" spans="1:31" x14ac:dyDescent="0.2">
      <c r="A54" s="703"/>
      <c r="C54" s="388" t="s">
        <v>276</v>
      </c>
      <c r="D54" s="244">
        <v>0.02</v>
      </c>
      <c r="E54" s="244">
        <v>0.02</v>
      </c>
      <c r="F54" s="497">
        <v>0.01</v>
      </c>
      <c r="G54" s="315" t="s">
        <v>277</v>
      </c>
    </row>
    <row r="55" spans="1:31" x14ac:dyDescent="0.2">
      <c r="A55" s="703"/>
      <c r="C55" s="243" t="s">
        <v>278</v>
      </c>
      <c r="D55" s="244">
        <v>0</v>
      </c>
      <c r="E55" s="244">
        <v>5.0000000000000001E-3</v>
      </c>
      <c r="F55" s="497">
        <v>0.01</v>
      </c>
      <c r="G55" s="314" t="s">
        <v>279</v>
      </c>
    </row>
    <row r="56" spans="1:31" x14ac:dyDescent="0.2">
      <c r="A56" s="703"/>
      <c r="C56" s="388" t="s">
        <v>280</v>
      </c>
      <c r="D56" s="244">
        <v>0.02</v>
      </c>
      <c r="E56" s="639">
        <v>0.01</v>
      </c>
      <c r="F56" s="497">
        <v>1.4999999999999999E-2</v>
      </c>
      <c r="G56" s="314" t="s">
        <v>273</v>
      </c>
      <c r="J56" s="207"/>
    </row>
    <row r="57" spans="1:31" x14ac:dyDescent="0.2">
      <c r="A57" s="703"/>
      <c r="C57" s="243" t="s">
        <v>281</v>
      </c>
      <c r="D57" s="244">
        <v>-0.3</v>
      </c>
      <c r="E57" s="244">
        <v>-0.25</v>
      </c>
      <c r="F57" s="497">
        <v>-0.2</v>
      </c>
      <c r="G57" s="314" t="s">
        <v>282</v>
      </c>
    </row>
    <row r="58" spans="1:31" x14ac:dyDescent="0.2">
      <c r="A58" s="703"/>
      <c r="C58" s="243" t="s">
        <v>283</v>
      </c>
      <c r="D58" s="244">
        <v>0.04</v>
      </c>
      <c r="E58" s="244">
        <v>0.06</v>
      </c>
      <c r="F58" s="497">
        <v>0.08</v>
      </c>
      <c r="G58" s="314" t="s">
        <v>273</v>
      </c>
    </row>
    <row r="59" spans="1:31" x14ac:dyDescent="0.2">
      <c r="A59" s="703"/>
      <c r="C59" s="243" t="s">
        <v>284</v>
      </c>
      <c r="D59" s="244">
        <v>0</v>
      </c>
      <c r="E59" s="244">
        <v>0.6</v>
      </c>
      <c r="F59" s="497">
        <v>0.8</v>
      </c>
      <c r="G59" s="314" t="s">
        <v>285</v>
      </c>
    </row>
    <row r="60" spans="1:31" x14ac:dyDescent="0.2">
      <c r="A60" s="704"/>
      <c r="C60" s="245" t="s">
        <v>248</v>
      </c>
      <c r="D60" s="236">
        <v>-0.01</v>
      </c>
      <c r="E60" s="236">
        <v>0.01</v>
      </c>
      <c r="F60" s="236">
        <v>0.01</v>
      </c>
      <c r="G60" s="316" t="s">
        <v>286</v>
      </c>
    </row>
    <row r="61" spans="1:31" x14ac:dyDescent="0.2">
      <c r="D61" s="205"/>
      <c r="E61" s="205"/>
      <c r="F61" s="205"/>
    </row>
    <row r="62" spans="1:31" x14ac:dyDescent="0.2">
      <c r="A62" s="705" t="s">
        <v>287</v>
      </c>
      <c r="C62" s="219"/>
      <c r="D62" s="246" t="s">
        <v>288</v>
      </c>
      <c r="E62" s="246" t="s">
        <v>289</v>
      </c>
      <c r="F62" s="194" t="s">
        <v>223</v>
      </c>
      <c r="AE62" s="237">
        <f>((AE37-AE38)*AE39)</f>
        <v>4579.5207362818182</v>
      </c>
    </row>
    <row r="63" spans="1:31" x14ac:dyDescent="0.2">
      <c r="A63" s="706"/>
      <c r="C63" s="219" t="s">
        <v>290</v>
      </c>
      <c r="D63" s="204">
        <f>SUMPRODUCT(G34:AE34,G39:AE39)+((AE37-AE38)*AE39)</f>
        <v>11196.389734317854</v>
      </c>
      <c r="E63" s="247">
        <f>D63/D65</f>
        <v>0.39944610191545088</v>
      </c>
      <c r="F63" s="205" t="s">
        <v>291</v>
      </c>
      <c r="AE63" s="237">
        <f>AE55+AE62</f>
        <v>4579.5207362818182</v>
      </c>
    </row>
    <row r="64" spans="1:31" x14ac:dyDescent="0.2">
      <c r="A64" s="706"/>
      <c r="C64" s="219" t="s">
        <v>292</v>
      </c>
      <c r="D64" s="204">
        <f>(AF33/(D48-AF6))*AF39</f>
        <v>16833.398716810272</v>
      </c>
      <c r="E64" s="247">
        <f>D64/D65</f>
        <v>0.60055389808454906</v>
      </c>
      <c r="F64" s="248" t="s">
        <v>293</v>
      </c>
    </row>
    <row r="65" spans="1:32" x14ac:dyDescent="0.2">
      <c r="A65" s="706"/>
      <c r="C65" s="219" t="s">
        <v>294</v>
      </c>
      <c r="D65" s="204">
        <f>D63+D64</f>
        <v>28029.788451128126</v>
      </c>
      <c r="E65" s="246"/>
      <c r="F65" s="193" t="s">
        <v>295</v>
      </c>
    </row>
    <row r="66" spans="1:32" x14ac:dyDescent="0.2">
      <c r="A66" s="706"/>
      <c r="C66" s="249" t="s">
        <v>296</v>
      </c>
      <c r="D66" s="935">
        <f ca="1">D67/D68-1</f>
        <v>7.9019608552515592</v>
      </c>
      <c r="E66" s="250"/>
      <c r="F66" s="248" t="s">
        <v>297</v>
      </c>
    </row>
    <row r="67" spans="1:32" x14ac:dyDescent="0.2">
      <c r="A67" s="707"/>
      <c r="C67" s="249" t="s">
        <v>298</v>
      </c>
      <c r="D67" s="251">
        <f ca="1">1000000*D65/OP!C8</f>
        <v>330.44078694693786</v>
      </c>
      <c r="E67" s="252"/>
      <c r="F67" s="248" t="s">
        <v>299</v>
      </c>
    </row>
    <row r="68" spans="1:32" x14ac:dyDescent="0.2">
      <c r="C68" s="249" t="s">
        <v>300</v>
      </c>
      <c r="D68" s="251">
        <f ca="1">OP!C7</f>
        <v>37.119999999999997</v>
      </c>
      <c r="E68" s="252"/>
      <c r="F68" s="248" t="s">
        <v>300</v>
      </c>
    </row>
    <row r="69" spans="1:32" x14ac:dyDescent="0.2">
      <c r="D69" s="556"/>
    </row>
    <row r="70" spans="1:32" x14ac:dyDescent="0.2">
      <c r="C70" s="253"/>
      <c r="D70" s="254"/>
      <c r="E70" s="510"/>
      <c r="AD70" s="194"/>
      <c r="AE70" s="194"/>
      <c r="AF70" s="194"/>
    </row>
    <row r="71" spans="1:32" x14ac:dyDescent="0.2">
      <c r="C71" s="253"/>
      <c r="D71" s="254"/>
      <c r="E71" s="510"/>
      <c r="F71" s="254"/>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E71" s="255"/>
      <c r="AF71" s="255"/>
    </row>
    <row r="72" spans="1:32" x14ac:dyDescent="0.2">
      <c r="C72" s="557"/>
      <c r="D72" s="254"/>
      <c r="F72" s="254"/>
      <c r="AF72" s="237"/>
    </row>
    <row r="73" spans="1:32" x14ac:dyDescent="0.2">
      <c r="C73" s="558"/>
      <c r="D73" s="272"/>
    </row>
    <row r="74" spans="1:32" x14ac:dyDescent="0.2">
      <c r="C74" s="558"/>
      <c r="D74" s="237"/>
    </row>
    <row r="75" spans="1:32" x14ac:dyDescent="0.2">
      <c r="C75" s="558"/>
      <c r="D75" s="272"/>
    </row>
    <row r="76" spans="1:32" x14ac:dyDescent="0.2">
      <c r="C76" s="557"/>
      <c r="E76" s="193" t="s">
        <v>258</v>
      </c>
      <c r="F76" s="193" t="s">
        <v>258</v>
      </c>
      <c r="G76" s="193" t="s">
        <v>258</v>
      </c>
    </row>
  </sheetData>
  <mergeCells count="11">
    <mergeCell ref="M3:V3"/>
    <mergeCell ref="W3:AF3"/>
    <mergeCell ref="A51:A60"/>
    <mergeCell ref="A62:A67"/>
    <mergeCell ref="C1:L1"/>
    <mergeCell ref="A6:A17"/>
    <mergeCell ref="A19:A31"/>
    <mergeCell ref="A33:A35"/>
    <mergeCell ref="A37:A39"/>
    <mergeCell ref="A47:A48"/>
    <mergeCell ref="H3:L3"/>
  </mergeCells>
  <phoneticPr fontId="66"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zoomScale="133" zoomScaleNormal="85" zoomScaleSheetLayoutView="130" workbookViewId="0">
      <selection activeCell="J16" sqref="J16"/>
    </sheetView>
  </sheetViews>
  <sheetFormatPr baseColWidth="10" defaultColWidth="11.5" defaultRowHeight="12" x14ac:dyDescent="0.15"/>
  <cols>
    <col min="1" max="1" width="36.1640625" style="131" customWidth="1"/>
    <col min="2" max="11" width="12.5" style="131" customWidth="1"/>
    <col min="12" max="13" width="12.5" style="187" customWidth="1"/>
    <col min="14" max="14" width="12.33203125" style="187" bestFit="1" customWidth="1"/>
    <col min="15" max="16384" width="11.5" style="130"/>
  </cols>
  <sheetData>
    <row r="1" spans="1:15" ht="16" x14ac:dyDescent="0.2">
      <c r="A1" s="714" t="str">
        <f>Cifras_Originales!G3</f>
        <v>YETI HOLDINGS, INC. ((XNYS:YETI))</v>
      </c>
      <c r="B1" s="714"/>
      <c r="C1" s="714"/>
      <c r="D1" s="714"/>
      <c r="E1" s="714"/>
      <c r="F1" s="714"/>
      <c r="G1" s="714"/>
      <c r="H1" s="714"/>
      <c r="I1" s="714"/>
      <c r="J1" s="714"/>
      <c r="K1" s="714"/>
      <c r="L1" s="714"/>
      <c r="M1" s="129"/>
      <c r="N1" s="129"/>
    </row>
    <row r="2" spans="1:15" ht="12" customHeight="1" x14ac:dyDescent="0.15">
      <c r="A2" s="715" t="str">
        <f>Cifras_Originales!C2</f>
        <v>Cifras en Millones de USD</v>
      </c>
      <c r="B2" s="715"/>
      <c r="C2" s="715"/>
      <c r="D2" s="715"/>
      <c r="E2" s="715"/>
      <c r="F2" s="715"/>
      <c r="G2" s="715"/>
      <c r="H2" s="715"/>
      <c r="I2" s="715"/>
      <c r="J2" s="715"/>
      <c r="K2" s="715"/>
      <c r="L2" s="715"/>
      <c r="M2" s="131"/>
      <c r="N2" s="131"/>
    </row>
    <row r="3" spans="1:15" ht="12" customHeight="1" x14ac:dyDescent="0.15">
      <c r="G3" s="132"/>
    </row>
    <row r="4" spans="1:15" x14ac:dyDescent="0.15">
      <c r="A4" s="133" t="s">
        <v>301</v>
      </c>
      <c r="B4" s="134">
        <v>2024</v>
      </c>
      <c r="C4" s="134">
        <f>Cifras_Originales!B5</f>
        <v>2023</v>
      </c>
      <c r="D4" s="134">
        <f>Cifras_Originales!C5</f>
        <v>2022</v>
      </c>
      <c r="E4" s="134">
        <f>Cifras_Originales!D5</f>
        <v>2021</v>
      </c>
      <c r="F4" s="134">
        <f>Cifras_Originales!E5</f>
        <v>2020</v>
      </c>
      <c r="G4" s="134">
        <f>Cifras_Originales!F5</f>
        <v>2019</v>
      </c>
      <c r="H4" s="134">
        <f>Cifras_Originales!G5</f>
        <v>2018</v>
      </c>
      <c r="I4" s="134">
        <f>Cifras_Originales!H5</f>
        <v>2017</v>
      </c>
      <c r="J4" s="134">
        <f>Cifras_Originales!I5</f>
        <v>2016</v>
      </c>
      <c r="K4" s="134">
        <f>Cifras_Originales!J5</f>
        <v>2015</v>
      </c>
      <c r="L4" s="134">
        <f>Cifras_Originales!K5</f>
        <v>2014</v>
      </c>
      <c r="M4" s="134">
        <f>Cifras_Originales!L5</f>
        <v>2013</v>
      </c>
      <c r="N4" s="134"/>
      <c r="O4" s="134"/>
    </row>
    <row r="5" spans="1:15" ht="12" customHeight="1" x14ac:dyDescent="0.15">
      <c r="A5" s="131" t="s">
        <v>302</v>
      </c>
      <c r="B5" s="135"/>
      <c r="C5" s="135">
        <f>Cifras_Originales!B6</f>
        <v>1658.713</v>
      </c>
      <c r="D5" s="135">
        <f>Cifras_Originales!C6</f>
        <v>1595.222</v>
      </c>
      <c r="E5" s="135">
        <f>Cifras_Originales!D6</f>
        <v>1410.989</v>
      </c>
      <c r="F5" s="135">
        <f>Cifras_Originales!E6</f>
        <v>1091.721</v>
      </c>
      <c r="G5" s="135">
        <f>Cifras_Originales!F6</f>
        <v>913.73400000000004</v>
      </c>
      <c r="H5" s="135">
        <f>Cifras_Originales!G6</f>
        <v>778.83299999999997</v>
      </c>
      <c r="I5" s="135">
        <f>Cifras_Originales!H6</f>
        <v>639.23900000000003</v>
      </c>
      <c r="J5" s="135">
        <f>Cifras_Originales!I6</f>
        <v>818.91399999999999</v>
      </c>
      <c r="K5" s="135">
        <f>Cifras_Originales!J6</f>
        <v>468.94600000000003</v>
      </c>
      <c r="L5" s="135">
        <f>Cifras_Originales!K6</f>
        <v>147.69999999999999</v>
      </c>
      <c r="M5" s="135">
        <f>Cifras_Originales!L6</f>
        <v>89.9</v>
      </c>
      <c r="N5" s="135"/>
      <c r="O5" s="135"/>
    </row>
    <row r="6" spans="1:15" ht="12" customHeight="1" x14ac:dyDescent="0.15">
      <c r="A6" s="131" t="s">
        <v>303</v>
      </c>
      <c r="B6" s="136">
        <f>B5/C5-1</f>
        <v>-1</v>
      </c>
      <c r="C6" s="136">
        <f>C5/D5-1</f>
        <v>3.9800729929752698E-2</v>
      </c>
      <c r="D6" s="136">
        <f>D5/E5-1</f>
        <v>0.13057011783933103</v>
      </c>
      <c r="E6" s="136">
        <f t="shared" ref="E6:L6" si="0">E5/F5-1</f>
        <v>0.29244468137921698</v>
      </c>
      <c r="F6" s="136">
        <f t="shared" si="0"/>
        <v>0.19479082533866521</v>
      </c>
      <c r="G6" s="136">
        <f t="shared" si="0"/>
        <v>0.17320914753226946</v>
      </c>
      <c r="H6" s="136">
        <f t="shared" si="0"/>
        <v>0.21837528686453722</v>
      </c>
      <c r="I6" s="136">
        <f t="shared" si="0"/>
        <v>-0.21940643339837873</v>
      </c>
      <c r="J6" s="136">
        <f t="shared" si="0"/>
        <v>0.74628635279968258</v>
      </c>
      <c r="K6" s="136">
        <f t="shared" si="0"/>
        <v>2.1749898442789442</v>
      </c>
      <c r="L6" s="136">
        <f t="shared" si="0"/>
        <v>0.6429365962180198</v>
      </c>
      <c r="M6" s="136"/>
      <c r="N6" s="136"/>
      <c r="O6" s="136"/>
    </row>
    <row r="7" spans="1:15" ht="12" customHeight="1" x14ac:dyDescent="0.15">
      <c r="A7" s="131" t="s">
        <v>304</v>
      </c>
      <c r="B7" s="135"/>
      <c r="C7" s="135">
        <f>Cifras_Originales!B7</f>
        <v>943.18600000000004</v>
      </c>
      <c r="D7" s="135">
        <f>Cifras_Originales!C7</f>
        <v>763.40099999999995</v>
      </c>
      <c r="E7" s="135">
        <f>Cifras_Originales!D7</f>
        <v>816.11300000000006</v>
      </c>
      <c r="F7" s="135">
        <f>Cifras_Originales!E7</f>
        <v>628.803</v>
      </c>
      <c r="G7" s="135">
        <f>Cifras_Originales!F7</f>
        <v>475.31400000000002</v>
      </c>
      <c r="H7" s="135">
        <f>Cifras_Originales!G7</f>
        <v>383.12799999999999</v>
      </c>
      <c r="I7" s="135">
        <f>Cifras_Originales!H7</f>
        <v>294.601</v>
      </c>
      <c r="J7" s="135">
        <f>Cifras_Originales!I7</f>
        <v>413.96100000000001</v>
      </c>
      <c r="K7" s="135">
        <f>Cifras_Originales!J7</f>
        <v>218.70099999999999</v>
      </c>
      <c r="L7" s="135">
        <f>Cifras_Originales!K7</f>
        <v>67.2</v>
      </c>
      <c r="M7" s="135">
        <f>Cifras_Originales!L7</f>
        <v>44.4</v>
      </c>
      <c r="N7" s="135"/>
      <c r="O7" s="135"/>
    </row>
    <row r="8" spans="1:15" ht="12" customHeight="1" x14ac:dyDescent="0.15">
      <c r="A8" s="131" t="s">
        <v>305</v>
      </c>
      <c r="B8" s="136" t="e">
        <f>B7/B5</f>
        <v>#DIV/0!</v>
      </c>
      <c r="C8" s="136">
        <f>C7/C5</f>
        <v>0.56862519314673488</v>
      </c>
      <c r="D8" s="136">
        <f>D7/D5</f>
        <v>0.4785547089997505</v>
      </c>
      <c r="E8" s="136">
        <f t="shared" ref="E8:M8" si="1">E7/E5</f>
        <v>0.57839784718378384</v>
      </c>
      <c r="F8" s="136">
        <f t="shared" si="1"/>
        <v>0.57597408128999994</v>
      </c>
      <c r="G8" s="136">
        <f t="shared" si="1"/>
        <v>0.52018858880155494</v>
      </c>
      <c r="H8" s="136">
        <f t="shared" si="1"/>
        <v>0.49192574017793289</v>
      </c>
      <c r="I8" s="136">
        <f t="shared" si="1"/>
        <v>0.46086205628880589</v>
      </c>
      <c r="J8" s="136">
        <f t="shared" si="1"/>
        <v>0.50549996702950495</v>
      </c>
      <c r="K8" s="136">
        <f t="shared" si="1"/>
        <v>0.46636712969083854</v>
      </c>
      <c r="L8" s="136">
        <f t="shared" si="1"/>
        <v>0.45497630331753558</v>
      </c>
      <c r="M8" s="136">
        <f t="shared" si="1"/>
        <v>0.49388209121245824</v>
      </c>
      <c r="N8" s="136"/>
      <c r="O8" s="136"/>
    </row>
    <row r="9" spans="1:15" ht="12" customHeight="1" x14ac:dyDescent="0.15">
      <c r="A9" s="131" t="s">
        <v>306</v>
      </c>
      <c r="B9" s="135">
        <f>B5-B11</f>
        <v>0</v>
      </c>
      <c r="C9" s="135">
        <f>C5-C11</f>
        <v>1433.2549999999999</v>
      </c>
      <c r="D9" s="135">
        <f>D5-D11</f>
        <v>1468.8609999999999</v>
      </c>
      <c r="E9" s="135">
        <f t="shared" ref="E9:M9" si="2">E5-E11</f>
        <v>1136.0509999999999</v>
      </c>
      <c r="F9" s="135">
        <f t="shared" si="2"/>
        <v>877.48800000000006</v>
      </c>
      <c r="G9" s="135">
        <f t="shared" si="2"/>
        <v>823.96300000000008</v>
      </c>
      <c r="H9" s="135">
        <f t="shared" si="2"/>
        <v>676.67699999999991</v>
      </c>
      <c r="I9" s="135">
        <f t="shared" si="2"/>
        <v>575.27200000000005</v>
      </c>
      <c r="J9" s="135">
        <f t="shared" si="2"/>
        <v>730.70699999999999</v>
      </c>
      <c r="K9" s="135">
        <f t="shared" si="2"/>
        <v>341.04600000000005</v>
      </c>
      <c r="L9" s="135">
        <f t="shared" si="2"/>
        <v>121.99999999999999</v>
      </c>
      <c r="M9" s="135">
        <f t="shared" si="2"/>
        <v>74.7</v>
      </c>
      <c r="N9" s="135"/>
      <c r="O9" s="135"/>
    </row>
    <row r="10" spans="1:15" ht="12" customHeight="1" x14ac:dyDescent="0.15">
      <c r="A10" s="131" t="s">
        <v>305</v>
      </c>
      <c r="B10" s="136" t="e">
        <f>B9/B5</f>
        <v>#DIV/0!</v>
      </c>
      <c r="C10" s="136">
        <f>C9/C5</f>
        <v>0.86407654609326623</v>
      </c>
      <c r="D10" s="136">
        <f>D9/D5</f>
        <v>0.92078782765032074</v>
      </c>
      <c r="E10" s="136">
        <f t="shared" ref="E10:M10" si="3">E9/E5</f>
        <v>0.80514518539832691</v>
      </c>
      <c r="F10" s="136">
        <f t="shared" si="3"/>
        <v>0.80376579730535558</v>
      </c>
      <c r="G10" s="136">
        <f t="shared" si="3"/>
        <v>0.90175368323822913</v>
      </c>
      <c r="H10" s="136">
        <f t="shared" si="3"/>
        <v>0.86883452550161577</v>
      </c>
      <c r="I10" s="136">
        <f t="shared" si="3"/>
        <v>0.89993257607874366</v>
      </c>
      <c r="J10" s="136">
        <f t="shared" si="3"/>
        <v>0.89228783486422258</v>
      </c>
      <c r="K10" s="136">
        <f t="shared" si="3"/>
        <v>0.72726070805593823</v>
      </c>
      <c r="L10" s="136">
        <f t="shared" si="3"/>
        <v>0.82599864590385919</v>
      </c>
      <c r="M10" s="136">
        <f t="shared" si="3"/>
        <v>0.83092324805339268</v>
      </c>
      <c r="N10" s="136"/>
      <c r="O10" s="136"/>
    </row>
    <row r="11" spans="1:15" ht="12" customHeight="1" x14ac:dyDescent="0.15">
      <c r="A11" s="131" t="s">
        <v>307</v>
      </c>
      <c r="B11" s="135"/>
      <c r="C11" s="135">
        <f>Cifras_Originales!B8</f>
        <v>225.458</v>
      </c>
      <c r="D11" s="135">
        <f>Cifras_Originales!C8</f>
        <v>126.361</v>
      </c>
      <c r="E11" s="135">
        <f>Cifras_Originales!D8</f>
        <v>274.93799999999999</v>
      </c>
      <c r="F11" s="135">
        <f>Cifras_Originales!E8</f>
        <v>214.233</v>
      </c>
      <c r="G11" s="135">
        <f>Cifras_Originales!F8</f>
        <v>89.771000000000001</v>
      </c>
      <c r="H11" s="135">
        <f>Cifras_Originales!G8</f>
        <v>102.15600000000001</v>
      </c>
      <c r="I11" s="135">
        <f>Cifras_Originales!H8</f>
        <v>63.966999999999999</v>
      </c>
      <c r="J11" s="135">
        <f>Cifras_Originales!I8</f>
        <v>88.206999999999994</v>
      </c>
      <c r="K11" s="135">
        <f>Cifras_Originales!J8</f>
        <v>127.9</v>
      </c>
      <c r="L11" s="135">
        <f>Cifras_Originales!K8</f>
        <v>25.7</v>
      </c>
      <c r="M11" s="135">
        <f>Cifras_Originales!L8</f>
        <v>15.2</v>
      </c>
      <c r="N11" s="135"/>
      <c r="O11" s="135"/>
    </row>
    <row r="12" spans="1:15" ht="12" customHeight="1" x14ac:dyDescent="0.15">
      <c r="A12" s="131" t="s">
        <v>305</v>
      </c>
      <c r="B12" s="136" t="e">
        <f>B11/B5</f>
        <v>#DIV/0!</v>
      </c>
      <c r="C12" s="136">
        <f>C11/C5</f>
        <v>0.13592345390673372</v>
      </c>
      <c r="D12" s="136">
        <f>D11/D5</f>
        <v>7.9212172349679227E-2</v>
      </c>
      <c r="E12" s="136">
        <f t="shared" ref="E12:M12" si="4">E11/E5</f>
        <v>0.194854814601673</v>
      </c>
      <c r="F12" s="136">
        <f t="shared" si="4"/>
        <v>0.19623420269464451</v>
      </c>
      <c r="G12" s="136">
        <f t="shared" si="4"/>
        <v>9.8246316761770924E-2</v>
      </c>
      <c r="H12" s="136">
        <f t="shared" si="4"/>
        <v>0.13116547449838414</v>
      </c>
      <c r="I12" s="136">
        <f t="shared" si="4"/>
        <v>0.10006742392125637</v>
      </c>
      <c r="J12" s="136">
        <f t="shared" si="4"/>
        <v>0.10771216513577737</v>
      </c>
      <c r="K12" s="136">
        <f t="shared" si="4"/>
        <v>0.27273929194406177</v>
      </c>
      <c r="L12" s="136">
        <f t="shared" si="4"/>
        <v>0.17400135409614084</v>
      </c>
      <c r="M12" s="136">
        <f t="shared" si="4"/>
        <v>0.16907675194660732</v>
      </c>
      <c r="N12" s="136"/>
      <c r="O12" s="136"/>
    </row>
    <row r="13" spans="1:15" ht="12" customHeight="1" x14ac:dyDescent="0.15">
      <c r="A13" s="131" t="s">
        <v>308</v>
      </c>
      <c r="B13" s="137">
        <f>B11/C11-1</f>
        <v>-1</v>
      </c>
      <c r="C13" s="137">
        <f>C11/D11-1</f>
        <v>0.78423722509318528</v>
      </c>
      <c r="D13" s="137">
        <f>D11/E11-1</f>
        <v>-0.54040183605030956</v>
      </c>
      <c r="E13" s="137">
        <f t="shared" ref="E13:L13" si="5">E11/F11-1</f>
        <v>0.28335970648779596</v>
      </c>
      <c r="F13" s="137">
        <f t="shared" si="5"/>
        <v>1.3864388276837731</v>
      </c>
      <c r="G13" s="137">
        <f t="shared" si="5"/>
        <v>-0.12123614863542043</v>
      </c>
      <c r="H13" s="137">
        <f t="shared" si="5"/>
        <v>0.59701095877561872</v>
      </c>
      <c r="I13" s="137">
        <f t="shared" si="5"/>
        <v>-0.27480812180439196</v>
      </c>
      <c r="J13" s="137">
        <f t="shared" si="5"/>
        <v>-0.31034401876466</v>
      </c>
      <c r="K13" s="137">
        <f t="shared" si="5"/>
        <v>3.9766536964980546</v>
      </c>
      <c r="L13" s="137">
        <f t="shared" si="5"/>
        <v>0.69078947368421062</v>
      </c>
      <c r="M13" s="137"/>
      <c r="N13" s="137"/>
      <c r="O13" s="137"/>
    </row>
    <row r="14" spans="1:15" ht="12" customHeight="1" x14ac:dyDescent="0.15">
      <c r="A14" s="131" t="s">
        <v>309</v>
      </c>
      <c r="B14" s="135"/>
      <c r="C14" s="135">
        <f>Cifras_Originales!B9</f>
        <v>-0.94199999999999995</v>
      </c>
      <c r="D14" s="135">
        <f>Cifras_Originales!C9</f>
        <v>-4.4660000000000002</v>
      </c>
      <c r="E14" s="135">
        <f>Cifras_Originales!D9</f>
        <v>-3.339</v>
      </c>
      <c r="F14" s="135">
        <f>Cifras_Originales!E9</f>
        <v>-9.1549999999999994</v>
      </c>
      <c r="G14" s="135">
        <f>Cifras_Originales!F9</f>
        <v>-21.779</v>
      </c>
      <c r="H14" s="135">
        <f>Cifras_Originales!G9</f>
        <v>-3.1280000000000001</v>
      </c>
      <c r="I14" s="135">
        <f>Cifras_Originales!H9</f>
        <v>-32.606999999999999</v>
      </c>
      <c r="J14" s="135">
        <f>Cifras_Originales!I9</f>
        <v>21.7</v>
      </c>
      <c r="K14" s="135">
        <f>Cifras_Originales!J9</f>
        <v>6.1</v>
      </c>
      <c r="L14" s="135">
        <f>Cifras_Originales!K9</f>
        <v>3.5</v>
      </c>
      <c r="M14" s="135">
        <f>Cifras_Originales!L9</f>
        <v>3.9</v>
      </c>
      <c r="N14" s="135"/>
      <c r="O14" s="135"/>
    </row>
    <row r="15" spans="1:15" ht="12" customHeight="1" x14ac:dyDescent="0.15">
      <c r="A15" s="131" t="s">
        <v>310</v>
      </c>
      <c r="B15" s="135"/>
      <c r="C15" s="135">
        <f>Cifras_Originales!B10</f>
        <v>1.43</v>
      </c>
      <c r="D15" s="135">
        <f>Cifras_Originales!C10</f>
        <v>5.718</v>
      </c>
      <c r="E15" s="135">
        <f>Cifras_Originales!D10</f>
        <v>3.1890000000000001</v>
      </c>
      <c r="F15" s="135">
        <f>Cifras_Originales!E10</f>
        <v>0.123</v>
      </c>
      <c r="G15" s="135">
        <f>Cifras_Originales!F10</f>
        <v>-0.73399999999999999</v>
      </c>
      <c r="H15" s="135">
        <f>Cifras_Originales!G10</f>
        <v>-1.2609999999999999</v>
      </c>
      <c r="I15" s="135">
        <f>Cifras_Originales!H10</f>
        <v>0.69899999999999995</v>
      </c>
      <c r="J15" s="135">
        <f>Cifras_Originales!I10</f>
        <v>-1.242</v>
      </c>
      <c r="K15" s="135">
        <f>Cifras_Originales!J10</f>
        <v>6.5</v>
      </c>
      <c r="L15" s="135">
        <f>Cifras_Originales!K10</f>
        <v>0.2</v>
      </c>
      <c r="M15" s="135">
        <f>Cifras_Originales!L10</f>
        <v>0.2</v>
      </c>
      <c r="N15" s="135"/>
      <c r="O15" s="135"/>
    </row>
    <row r="16" spans="1:15" ht="12" customHeight="1" x14ac:dyDescent="0.15">
      <c r="A16" s="131" t="s">
        <v>311</v>
      </c>
      <c r="B16" s="135">
        <f>B11-B14-B15</f>
        <v>0</v>
      </c>
      <c r="C16" s="387">
        <f>C11-C14-C15</f>
        <v>224.97</v>
      </c>
      <c r="D16" s="135">
        <f>D11-D14-D15</f>
        <v>125.10899999999999</v>
      </c>
      <c r="E16" s="135">
        <f t="shared" ref="E16:M16" si="6">E11-E14-E15</f>
        <v>275.08799999999997</v>
      </c>
      <c r="F16" s="135">
        <f t="shared" si="6"/>
        <v>223.26500000000001</v>
      </c>
      <c r="G16" s="135">
        <f t="shared" si="6"/>
        <v>112.28399999999999</v>
      </c>
      <c r="H16" s="135">
        <f t="shared" si="6"/>
        <v>106.545</v>
      </c>
      <c r="I16" s="135">
        <f t="shared" si="6"/>
        <v>95.875</v>
      </c>
      <c r="J16" s="135">
        <f t="shared" si="6"/>
        <v>67.748999999999995</v>
      </c>
      <c r="K16" s="135">
        <f t="shared" si="6"/>
        <v>115.30000000000001</v>
      </c>
      <c r="L16" s="135">
        <f t="shared" si="6"/>
        <v>22</v>
      </c>
      <c r="M16" s="135">
        <f t="shared" si="6"/>
        <v>11.1</v>
      </c>
      <c r="N16" s="135"/>
      <c r="O16" s="135"/>
    </row>
    <row r="17" spans="1:15" ht="12" customHeight="1" x14ac:dyDescent="0.15">
      <c r="A17" s="131" t="s">
        <v>312</v>
      </c>
      <c r="B17" s="135"/>
      <c r="C17" s="135">
        <f>Cifras_Originales!B11</f>
        <v>-46.433999999999997</v>
      </c>
      <c r="D17" s="135">
        <f>Cifras_Originales!C11</f>
        <v>-39.847000000000001</v>
      </c>
      <c r="E17" s="135">
        <f>Cifras_Originales!D11</f>
        <v>-32.07</v>
      </c>
      <c r="F17" s="135">
        <f>Cifras_Originales!E11</f>
        <v>-30.535</v>
      </c>
      <c r="G17" s="135">
        <f>Cifras_Originales!F11</f>
        <v>-28.959</v>
      </c>
      <c r="H17" s="135">
        <f>Cifras_Originales!G11</f>
        <v>-24.777000000000001</v>
      </c>
      <c r="I17" s="135">
        <f>Cifras_Originales!H11</f>
        <v>-20.768999999999998</v>
      </c>
      <c r="J17" s="135">
        <f>Cifras_Originales!I11</f>
        <v>-11.675000000000001</v>
      </c>
      <c r="K17" s="135">
        <f>Cifras_Originales!J11</f>
        <v>-7.5</v>
      </c>
      <c r="L17" s="135">
        <f>Cifras_Originales!K11</f>
        <v>-6.8</v>
      </c>
      <c r="M17" s="135">
        <f>Cifras_Originales!L11</f>
        <v>-5.7</v>
      </c>
      <c r="N17" s="135"/>
      <c r="O17" s="135"/>
    </row>
    <row r="18" spans="1:15" ht="12" customHeight="1" x14ac:dyDescent="0.15">
      <c r="A18" s="131" t="s">
        <v>313</v>
      </c>
      <c r="B18" s="135"/>
      <c r="C18" s="135">
        <f>Cifras_Originales!B12</f>
        <v>31.698000000000036</v>
      </c>
      <c r="D18" s="135">
        <f>Cifras_Originales!C12</f>
        <v>-28.036999999999978</v>
      </c>
      <c r="E18" s="135">
        <f>Cifras_Originales!D12</f>
        <v>290.56399999999996</v>
      </c>
      <c r="F18" s="135">
        <f>Cifras_Originales!E12</f>
        <v>-23.061999999999998</v>
      </c>
      <c r="G18" s="135">
        <f>Cifras_Originales!F12</f>
        <v>78.722999999999985</v>
      </c>
      <c r="H18" s="135">
        <f>Cifras_Originales!G12</f>
        <v>-9.1040000000000134</v>
      </c>
      <c r="I18" s="135">
        <f>Cifras_Originales!H12</f>
        <v>-20.126999999999988</v>
      </c>
      <c r="J18" s="135">
        <f>Cifras_Originales!I12</f>
        <v>125.51900000000001</v>
      </c>
      <c r="K18" s="135">
        <f>Cifras_Originales!J12</f>
        <v>129.69999999999999</v>
      </c>
      <c r="L18" s="135" t="str">
        <f>Cifras_Originales!K12</f>
        <v>N/A</v>
      </c>
      <c r="M18" s="135" t="str">
        <f>Cifras_Originales!L12</f>
        <v>N/A</v>
      </c>
      <c r="N18" s="135"/>
      <c r="O18" s="135"/>
    </row>
    <row r="19" spans="1:15" ht="12" customHeight="1" x14ac:dyDescent="0.15">
      <c r="A19" s="131" t="s">
        <v>314</v>
      </c>
      <c r="B19" s="135">
        <f>B11-B15+B17</f>
        <v>0</v>
      </c>
      <c r="C19" s="135">
        <f>C11-C15+C17</f>
        <v>177.59399999999999</v>
      </c>
      <c r="D19" s="135">
        <f>D11-D15+D17</f>
        <v>80.795999999999992</v>
      </c>
      <c r="E19" s="135">
        <f t="shared" ref="E19:M19" si="7">E11-E15+E17</f>
        <v>239.67899999999997</v>
      </c>
      <c r="F19" s="135">
        <f t="shared" si="7"/>
        <v>183.57500000000002</v>
      </c>
      <c r="G19" s="135">
        <f t="shared" si="7"/>
        <v>61.545999999999992</v>
      </c>
      <c r="H19" s="135">
        <f t="shared" si="7"/>
        <v>78.64</v>
      </c>
      <c r="I19" s="135">
        <f t="shared" si="7"/>
        <v>42.499000000000002</v>
      </c>
      <c r="J19" s="135">
        <f t="shared" si="7"/>
        <v>77.774000000000001</v>
      </c>
      <c r="K19" s="135">
        <f t="shared" si="7"/>
        <v>113.9</v>
      </c>
      <c r="L19" s="135">
        <f t="shared" si="7"/>
        <v>18.7</v>
      </c>
      <c r="M19" s="135">
        <f t="shared" si="7"/>
        <v>9.3000000000000007</v>
      </c>
      <c r="N19" s="135"/>
      <c r="O19" s="135"/>
    </row>
    <row r="20" spans="1:15" ht="13" x14ac:dyDescent="0.15">
      <c r="A20" s="131" t="s">
        <v>305</v>
      </c>
      <c r="B20" s="136" t="e">
        <f>B19/B5</f>
        <v>#DIV/0!</v>
      </c>
      <c r="C20" s="136">
        <f>C19/C5</f>
        <v>0.10706734679236252</v>
      </c>
      <c r="D20" s="136">
        <f>D19/D5</f>
        <v>5.0648749829177379E-2</v>
      </c>
      <c r="E20" s="136">
        <f t="shared" ref="E20:M20" si="8">E19/E5</f>
        <v>0.16986595926686882</v>
      </c>
      <c r="F20" s="136">
        <f t="shared" si="8"/>
        <v>0.16815193625477573</v>
      </c>
      <c r="G20" s="136">
        <f t="shared" si="8"/>
        <v>6.7356582988046837E-2</v>
      </c>
      <c r="H20" s="136">
        <f t="shared" si="8"/>
        <v>0.10097158184103652</v>
      </c>
      <c r="I20" s="136">
        <f t="shared" si="8"/>
        <v>6.6483740823072429E-2</v>
      </c>
      <c r="J20" s="136">
        <f t="shared" si="8"/>
        <v>9.4972121614723889E-2</v>
      </c>
      <c r="K20" s="136">
        <f t="shared" si="8"/>
        <v>0.24288510830671334</v>
      </c>
      <c r="L20" s="136">
        <f t="shared" si="8"/>
        <v>0.12660798916723087</v>
      </c>
      <c r="M20" s="136">
        <f t="shared" si="8"/>
        <v>0.10344827586206896</v>
      </c>
      <c r="N20" s="136"/>
      <c r="O20" s="136"/>
    </row>
    <row r="21" spans="1:15" ht="12" customHeight="1" x14ac:dyDescent="0.15">
      <c r="A21" s="131" t="s">
        <v>315</v>
      </c>
      <c r="B21" s="135"/>
      <c r="C21" s="135">
        <f>Cifras_Originales!B15</f>
        <v>55.085000000000008</v>
      </c>
      <c r="D21" s="135">
        <f>Cifras_Originales!C15</f>
        <v>35.416000000000011</v>
      </c>
      <c r="E21" s="135">
        <f>Cifras_Originales!D15</f>
        <v>62.485999999999983</v>
      </c>
      <c r="F21" s="135">
        <f>Cifras_Originales!E15</f>
        <v>67.464000000000013</v>
      </c>
      <c r="G21" s="135">
        <f>Cifras_Originales!F15</f>
        <v>61.85</v>
      </c>
      <c r="H21" s="135">
        <f>Cifras_Originales!G15</f>
        <v>48.782000000000011</v>
      </c>
      <c r="I21" s="135">
        <f>Cifras_Originales!H15</f>
        <v>80.474000000000004</v>
      </c>
      <c r="J21" s="135">
        <f>Cifras_Originales!I15</f>
        <v>19.771999999999998</v>
      </c>
      <c r="K21" s="135">
        <f>Cifras_Originales!J15</f>
        <v>41.1</v>
      </c>
      <c r="L21" s="135">
        <f>Cifras_Originales!K15</f>
        <v>7.8</v>
      </c>
      <c r="M21" s="135">
        <f>Cifras_Originales!L15</f>
        <v>3.7999999999999994</v>
      </c>
      <c r="N21" s="135"/>
      <c r="O21" s="135"/>
    </row>
    <row r="22" spans="1:15" ht="12" customHeight="1" x14ac:dyDescent="0.15">
      <c r="A22" s="131" t="s">
        <v>316</v>
      </c>
      <c r="B22" s="138" t="e">
        <f>+B21/B16</f>
        <v>#DIV/0!</v>
      </c>
      <c r="C22" s="138">
        <f>+C21/C16</f>
        <v>0.24485486953816069</v>
      </c>
      <c r="D22" s="138">
        <f>+D21/D16</f>
        <v>0.28308115323437971</v>
      </c>
      <c r="E22" s="138">
        <f t="shared" ref="E22:M22" si="9">+E21/E16</f>
        <v>0.22714913046007093</v>
      </c>
      <c r="F22" s="138">
        <f t="shared" si="9"/>
        <v>0.30217006696078652</v>
      </c>
      <c r="G22" s="138">
        <f t="shared" si="9"/>
        <v>0.55083538171066226</v>
      </c>
      <c r="H22" s="138">
        <f t="shared" si="9"/>
        <v>0.4578534891360459</v>
      </c>
      <c r="I22" s="138">
        <f t="shared" si="9"/>
        <v>0.83936375488917869</v>
      </c>
      <c r="J22" s="138">
        <f t="shared" si="9"/>
        <v>0.29184194600658314</v>
      </c>
      <c r="K22" s="138">
        <f t="shared" si="9"/>
        <v>0.35646140503035556</v>
      </c>
      <c r="L22" s="138">
        <f t="shared" si="9"/>
        <v>0.35454545454545455</v>
      </c>
      <c r="M22" s="138">
        <f t="shared" si="9"/>
        <v>0.34234234234234229</v>
      </c>
      <c r="N22" s="138"/>
      <c r="O22" s="138"/>
    </row>
    <row r="23" spans="1:15" ht="12" customHeight="1" x14ac:dyDescent="0.15">
      <c r="A23" s="131" t="s">
        <v>97</v>
      </c>
      <c r="B23" s="135"/>
      <c r="C23" s="135">
        <f>Cifras_Originales!B16</f>
        <v>169.88499999999999</v>
      </c>
      <c r="D23" s="135">
        <f>Cifras_Originales!C16</f>
        <v>89.692999999999998</v>
      </c>
      <c r="E23" s="135">
        <f>Cifras_Originales!D16</f>
        <v>212.602</v>
      </c>
      <c r="F23" s="135">
        <f>Cifras_Originales!E16</f>
        <v>155.80099999999999</v>
      </c>
      <c r="G23" s="135">
        <f>Cifras_Originales!F16</f>
        <v>50.433999999999997</v>
      </c>
      <c r="H23" s="135">
        <f>Cifras_Originales!G16</f>
        <v>57.762999999999998</v>
      </c>
      <c r="I23" s="135">
        <f>Cifras_Originales!H16</f>
        <v>15.401</v>
      </c>
      <c r="J23" s="135">
        <f>Cifras_Originales!I16</f>
        <v>47.976999999999997</v>
      </c>
      <c r="K23" s="135">
        <f>Cifras_Originales!J16</f>
        <v>74.2</v>
      </c>
      <c r="L23" s="135">
        <f>Cifras_Originales!K16</f>
        <v>14.2</v>
      </c>
      <c r="M23" s="135">
        <f>Cifras_Originales!L16</f>
        <v>7.3</v>
      </c>
      <c r="N23" s="135"/>
      <c r="O23" s="135"/>
    </row>
    <row r="24" spans="1:15" ht="12" customHeight="1" x14ac:dyDescent="0.15">
      <c r="A24" s="131" t="s">
        <v>305</v>
      </c>
      <c r="B24" s="136" t="e">
        <f>B23/B5</f>
        <v>#DIV/0!</v>
      </c>
      <c r="C24" s="136">
        <f>C23/C5</f>
        <v>0.10241976761501236</v>
      </c>
      <c r="D24" s="136">
        <f>D23/D5</f>
        <v>5.6226029982033847E-2</v>
      </c>
      <c r="E24" s="136">
        <f t="shared" ref="E24:M24" si="10">E23/E5</f>
        <v>0.15067587344763142</v>
      </c>
      <c r="F24" s="136">
        <f t="shared" si="10"/>
        <v>0.14271137039591617</v>
      </c>
      <c r="G24" s="136">
        <f t="shared" si="10"/>
        <v>5.5195494531231182E-2</v>
      </c>
      <c r="H24" s="136">
        <f t="shared" si="10"/>
        <v>7.4166092089061456E-2</v>
      </c>
      <c r="I24" s="136">
        <f t="shared" si="10"/>
        <v>2.409271023826769E-2</v>
      </c>
      <c r="J24" s="136">
        <f t="shared" si="10"/>
        <v>5.8586127481029752E-2</v>
      </c>
      <c r="K24" s="136">
        <f t="shared" si="10"/>
        <v>0.15822717327794672</v>
      </c>
      <c r="L24" s="136">
        <f t="shared" si="10"/>
        <v>9.6140825998645901E-2</v>
      </c>
      <c r="M24" s="136">
        <f t="shared" si="10"/>
        <v>8.1201334816462731E-2</v>
      </c>
      <c r="N24" s="136"/>
      <c r="O24" s="136"/>
    </row>
    <row r="25" spans="1:15" ht="12" customHeight="1" x14ac:dyDescent="0.15">
      <c r="A25" s="139" t="s">
        <v>317</v>
      </c>
      <c r="B25" s="140">
        <f>B23/C23-1</f>
        <v>-1</v>
      </c>
      <c r="C25" s="140">
        <f>C23/D23-1</f>
        <v>0.89407200115951069</v>
      </c>
      <c r="D25" s="140">
        <f>D23/E23-1</f>
        <v>-0.57811779757481119</v>
      </c>
      <c r="E25" s="140">
        <f t="shared" ref="E25:L25" si="11">E23/F23-1</f>
        <v>0.36457403996123272</v>
      </c>
      <c r="F25" s="140">
        <f t="shared" si="11"/>
        <v>2.0892056945711226</v>
      </c>
      <c r="G25" s="140">
        <f t="shared" si="11"/>
        <v>-0.12688052905839375</v>
      </c>
      <c r="H25" s="140">
        <f t="shared" si="11"/>
        <v>2.7506006103499772</v>
      </c>
      <c r="I25" s="140">
        <f t="shared" si="11"/>
        <v>-0.67899201700814971</v>
      </c>
      <c r="J25" s="140">
        <f t="shared" si="11"/>
        <v>-0.35340970350404322</v>
      </c>
      <c r="K25" s="140">
        <f t="shared" si="11"/>
        <v>4.2253521126760569</v>
      </c>
      <c r="L25" s="140">
        <f t="shared" si="11"/>
        <v>0.9452054794520548</v>
      </c>
      <c r="M25" s="140"/>
      <c r="N25" s="136"/>
      <c r="O25" s="136"/>
    </row>
    <row r="26" spans="1:15" ht="12" customHeight="1" x14ac:dyDescent="0.15">
      <c r="A26" s="131" t="s">
        <v>318</v>
      </c>
      <c r="B26" s="135">
        <f>B40-C40</f>
        <v>-438.96</v>
      </c>
      <c r="C26" s="135">
        <f>C40-D40</f>
        <v>204.21899999999997</v>
      </c>
      <c r="D26" s="135">
        <f>D40-E40</f>
        <v>-77.448000000000008</v>
      </c>
      <c r="E26" s="135">
        <f t="shared" ref="E26:M26" si="12">E40-F40</f>
        <v>58.906000000000034</v>
      </c>
      <c r="F26" s="135">
        <f t="shared" si="12"/>
        <v>180.76799999999997</v>
      </c>
      <c r="G26" s="135">
        <f t="shared" si="12"/>
        <v>-7.5360000000000014</v>
      </c>
      <c r="H26" s="135">
        <f t="shared" si="12"/>
        <v>26.401000000000003</v>
      </c>
      <c r="I26" s="135">
        <f t="shared" si="12"/>
        <v>32.358999999999995</v>
      </c>
      <c r="J26" s="135">
        <f t="shared" si="12"/>
        <v>-19.008999999999997</v>
      </c>
      <c r="K26" s="135">
        <f t="shared" si="12"/>
        <v>31.4</v>
      </c>
      <c r="L26" s="135" t="e">
        <f t="shared" si="12"/>
        <v>#VALUE!</v>
      </c>
      <c r="M26" s="135" t="e">
        <f t="shared" si="12"/>
        <v>#VALUE!</v>
      </c>
      <c r="N26" s="136"/>
      <c r="O26" s="136"/>
    </row>
    <row r="27" spans="1:15" ht="12" customHeight="1" x14ac:dyDescent="0.15">
      <c r="A27" s="141" t="s">
        <v>319</v>
      </c>
      <c r="B27" s="142"/>
      <c r="C27" s="142">
        <f>Cifras_Originales!B17</f>
        <v>0</v>
      </c>
      <c r="D27" s="142">
        <f>Cifras_Originales!C17</f>
        <v>0</v>
      </c>
      <c r="E27" s="142">
        <f>Cifras_Originales!D17</f>
        <v>0</v>
      </c>
      <c r="F27" s="142">
        <f>Cifras_Originales!E17</f>
        <v>0</v>
      </c>
      <c r="G27" s="142">
        <f>Cifras_Originales!F17</f>
        <v>0</v>
      </c>
      <c r="H27" s="142">
        <f>Cifras_Originales!G17</f>
        <v>0</v>
      </c>
      <c r="I27" s="142">
        <f>Cifras_Originales!H17</f>
        <v>0</v>
      </c>
      <c r="J27" s="142">
        <f>Cifras_Originales!I17</f>
        <v>0</v>
      </c>
      <c r="K27" s="142" t="str">
        <f>Cifras_Originales!J17</f>
        <v>N/A</v>
      </c>
      <c r="L27" s="142" t="str">
        <f>Cifras_Originales!K17</f>
        <v>N/A</v>
      </c>
      <c r="M27" s="142" t="str">
        <f>Cifras_Originales!L17</f>
        <v>N/A</v>
      </c>
      <c r="N27" s="136"/>
      <c r="O27" s="136"/>
    </row>
    <row r="28" spans="1:15" ht="12" customHeight="1" x14ac:dyDescent="0.15">
      <c r="A28" s="256"/>
      <c r="B28" s="257" t="e">
        <f>B27/C27-1</f>
        <v>#DIV/0!</v>
      </c>
      <c r="C28" s="257" t="e">
        <f>C27/D27-1</f>
        <v>#DIV/0!</v>
      </c>
      <c r="D28" s="257" t="e">
        <f t="shared" ref="D28:L28" si="13">D27/E27-1</f>
        <v>#DIV/0!</v>
      </c>
      <c r="E28" s="257" t="e">
        <f t="shared" si="13"/>
        <v>#DIV/0!</v>
      </c>
      <c r="F28" s="257" t="e">
        <f t="shared" si="13"/>
        <v>#DIV/0!</v>
      </c>
      <c r="G28" s="257" t="e">
        <f t="shared" si="13"/>
        <v>#DIV/0!</v>
      </c>
      <c r="H28" s="257" t="e">
        <f t="shared" si="13"/>
        <v>#DIV/0!</v>
      </c>
      <c r="I28" s="257" t="e">
        <f t="shared" si="13"/>
        <v>#DIV/0!</v>
      </c>
      <c r="J28" s="257" t="e">
        <f t="shared" si="13"/>
        <v>#VALUE!</v>
      </c>
      <c r="K28" s="257" t="e">
        <f t="shared" si="13"/>
        <v>#VALUE!</v>
      </c>
      <c r="L28" s="257" t="e">
        <f t="shared" si="13"/>
        <v>#VALUE!</v>
      </c>
      <c r="M28" s="135"/>
      <c r="N28" s="136"/>
      <c r="O28" s="136"/>
    </row>
    <row r="29" spans="1:15" ht="12" customHeight="1" x14ac:dyDescent="0.15">
      <c r="A29" s="143" t="s">
        <v>320</v>
      </c>
      <c r="B29" s="144"/>
      <c r="C29" s="144">
        <f>Cifras_Originales!B18</f>
        <v>0</v>
      </c>
      <c r="D29" s="144">
        <f>Cifras_Originales!C18</f>
        <v>0</v>
      </c>
      <c r="E29" s="144">
        <f>Cifras_Originales!D18</f>
        <v>0</v>
      </c>
      <c r="F29" s="144">
        <f>Cifras_Originales!E18</f>
        <v>0</v>
      </c>
      <c r="G29" s="144">
        <f>Cifras_Originales!F18</f>
        <v>0</v>
      </c>
      <c r="H29" s="144">
        <f>Cifras_Originales!G18</f>
        <v>0</v>
      </c>
      <c r="I29" s="144">
        <f>Cifras_Originales!H18</f>
        <v>0</v>
      </c>
      <c r="J29" s="144">
        <f>Cifras_Originales!I18</f>
        <v>0</v>
      </c>
      <c r="K29" s="144" t="str">
        <f>Cifras_Originales!J18</f>
        <v>N/A</v>
      </c>
      <c r="L29" s="144" t="str">
        <f>Cifras_Originales!K18</f>
        <v>N/A</v>
      </c>
      <c r="M29" s="144" t="str">
        <f>Cifras_Originales!L18</f>
        <v>N/A</v>
      </c>
      <c r="N29" s="136"/>
      <c r="O29" s="136"/>
    </row>
    <row r="30" spans="1:15" ht="12" customHeight="1" x14ac:dyDescent="0.15">
      <c r="A30" s="131" t="s">
        <v>110</v>
      </c>
      <c r="B30" s="135" t="e">
        <f>SUM(B26:B29)</f>
        <v>#DIV/0!</v>
      </c>
      <c r="C30" s="135" t="e">
        <f>SUM(C26:C29)</f>
        <v>#DIV/0!</v>
      </c>
      <c r="D30" s="135" t="e">
        <f>SUM(D26:D29)</f>
        <v>#DIV/0!</v>
      </c>
      <c r="E30" s="135" t="e">
        <f t="shared" ref="E30:M30" si="14">SUM(E26:E29)</f>
        <v>#DIV/0!</v>
      </c>
      <c r="F30" s="135" t="e">
        <f t="shared" si="14"/>
        <v>#DIV/0!</v>
      </c>
      <c r="G30" s="135" t="e">
        <f t="shared" si="14"/>
        <v>#DIV/0!</v>
      </c>
      <c r="H30" s="135" t="e">
        <f t="shared" si="14"/>
        <v>#DIV/0!</v>
      </c>
      <c r="I30" s="135" t="e">
        <f t="shared" si="14"/>
        <v>#DIV/0!</v>
      </c>
      <c r="J30" s="135" t="e">
        <f t="shared" si="14"/>
        <v>#VALUE!</v>
      </c>
      <c r="K30" s="135" t="e">
        <f t="shared" si="14"/>
        <v>#VALUE!</v>
      </c>
      <c r="L30" s="135" t="e">
        <f t="shared" si="14"/>
        <v>#VALUE!</v>
      </c>
      <c r="M30" s="135" t="e">
        <f t="shared" si="14"/>
        <v>#VALUE!</v>
      </c>
      <c r="N30" s="136"/>
      <c r="O30" s="136"/>
    </row>
    <row r="31" spans="1:15" ht="12" customHeight="1" x14ac:dyDescent="0.15">
      <c r="A31" s="145" t="s">
        <v>321</v>
      </c>
      <c r="B31" s="146" t="e">
        <f>B30-(B60-C60)</f>
        <v>#DIV/0!</v>
      </c>
      <c r="C31" s="146" t="e">
        <f>C30-(C60-D60)</f>
        <v>#DIV/0!</v>
      </c>
      <c r="D31" s="146" t="e">
        <f>D30-(D60-E60)</f>
        <v>#DIV/0!</v>
      </c>
      <c r="E31" s="146" t="e">
        <f t="shared" ref="E31:M31" si="15">E30-(E60-F60)</f>
        <v>#DIV/0!</v>
      </c>
      <c r="F31" s="146" t="e">
        <f t="shared" si="15"/>
        <v>#DIV/0!</v>
      </c>
      <c r="G31" s="146" t="e">
        <f t="shared" si="15"/>
        <v>#DIV/0!</v>
      </c>
      <c r="H31" s="146" t="e">
        <f t="shared" si="15"/>
        <v>#DIV/0!</v>
      </c>
      <c r="I31" s="146" t="e">
        <f t="shared" si="15"/>
        <v>#DIV/0!</v>
      </c>
      <c r="J31" s="146" t="e">
        <f t="shared" si="15"/>
        <v>#VALUE!</v>
      </c>
      <c r="K31" s="146" t="e">
        <f t="shared" si="15"/>
        <v>#VALUE!</v>
      </c>
      <c r="L31" s="146" t="e">
        <f t="shared" si="15"/>
        <v>#VALUE!</v>
      </c>
      <c r="M31" s="146" t="e">
        <f t="shared" si="15"/>
        <v>#VALUE!</v>
      </c>
      <c r="N31" s="146"/>
      <c r="O31" s="146"/>
    </row>
    <row r="32" spans="1:15" ht="12" customHeight="1" x14ac:dyDescent="0.15">
      <c r="A32" s="147" t="s">
        <v>322</v>
      </c>
      <c r="B32" s="148" t="e">
        <f>B31+B34</f>
        <v>#DIV/0!</v>
      </c>
      <c r="C32" s="148" t="e">
        <f>C31+C34</f>
        <v>#DIV/0!</v>
      </c>
      <c r="D32" s="148" t="e">
        <f>D31+D34</f>
        <v>#DIV/0!</v>
      </c>
      <c r="E32" s="148" t="e">
        <f t="shared" ref="E32:M32" si="16">E31+E34</f>
        <v>#DIV/0!</v>
      </c>
      <c r="F32" s="148" t="e">
        <f t="shared" si="16"/>
        <v>#DIV/0!</v>
      </c>
      <c r="G32" s="148" t="e">
        <f t="shared" si="16"/>
        <v>#DIV/0!</v>
      </c>
      <c r="H32" s="148" t="e">
        <f t="shared" si="16"/>
        <v>#DIV/0!</v>
      </c>
      <c r="I32" s="148" t="e">
        <f t="shared" si="16"/>
        <v>#DIV/0!</v>
      </c>
      <c r="J32" s="148" t="e">
        <f t="shared" si="16"/>
        <v>#VALUE!</v>
      </c>
      <c r="K32" s="148" t="e">
        <f t="shared" si="16"/>
        <v>#VALUE!</v>
      </c>
      <c r="L32" s="148" t="e">
        <f t="shared" si="16"/>
        <v>#VALUE!</v>
      </c>
      <c r="M32" s="148" t="e">
        <f t="shared" si="16"/>
        <v>#VALUE!</v>
      </c>
      <c r="N32" s="135"/>
      <c r="O32" s="135"/>
    </row>
    <row r="33" spans="1:15" ht="12" customHeight="1" x14ac:dyDescent="0.15">
      <c r="A33" s="131" t="s">
        <v>323</v>
      </c>
      <c r="B33" s="135"/>
      <c r="C33" s="135">
        <f>Cifras_Originales!B13</f>
        <v>-50.671999999999997</v>
      </c>
      <c r="D33" s="135">
        <f>Cifras_Originales!C13</f>
        <v>-45.929000000000002</v>
      </c>
      <c r="E33" s="135">
        <f>Cifras_Originales!D13</f>
        <v>-56.121000000000002</v>
      </c>
      <c r="F33" s="135">
        <f>Cifras_Originales!E13</f>
        <v>-15.566000000000001</v>
      </c>
      <c r="G33" s="135">
        <f>Cifras_Originales!F13</f>
        <v>-32.076999999999998</v>
      </c>
      <c r="H33" s="135">
        <f>Cifras_Originales!G13</f>
        <v>-20.86</v>
      </c>
      <c r="I33" s="135">
        <f>Cifras_Originales!H13</f>
        <v>-42.197000000000003</v>
      </c>
      <c r="J33" s="135">
        <f>Cifras_Originales!I13</f>
        <v>-35.588000000000001</v>
      </c>
      <c r="K33" s="135">
        <f>Cifras_Originales!J13</f>
        <v>-8.9</v>
      </c>
      <c r="L33" s="135">
        <f>Cifras_Originales!K13</f>
        <v>-3.8</v>
      </c>
      <c r="M33" s="135">
        <f>Cifras_Originales!L13</f>
        <v>-4.7</v>
      </c>
      <c r="N33" s="136"/>
      <c r="O33" s="136"/>
    </row>
    <row r="34" spans="1:15" ht="12" customHeight="1" x14ac:dyDescent="0.15">
      <c r="A34" s="149" t="s">
        <v>96</v>
      </c>
      <c r="B34" s="135"/>
      <c r="C34" s="135">
        <f>Cifras_Originales!B14</f>
        <v>0</v>
      </c>
      <c r="D34" s="135">
        <f>Cifras_Originales!C14</f>
        <v>0</v>
      </c>
      <c r="E34" s="135">
        <f>Cifras_Originales!D14</f>
        <v>0</v>
      </c>
      <c r="F34" s="135">
        <f>Cifras_Originales!E14</f>
        <v>0</v>
      </c>
      <c r="G34" s="135">
        <f>Cifras_Originales!F14</f>
        <v>0</v>
      </c>
      <c r="H34" s="135">
        <f>Cifras_Originales!G14</f>
        <v>0</v>
      </c>
      <c r="I34" s="135">
        <f>Cifras_Originales!H14</f>
        <v>0</v>
      </c>
      <c r="J34" s="135">
        <f>Cifras_Originales!I14</f>
        <v>0</v>
      </c>
      <c r="K34" s="135">
        <f>Cifras_Originales!J14</f>
        <v>0</v>
      </c>
      <c r="L34" s="135">
        <f>Cifras_Originales!K14</f>
        <v>0</v>
      </c>
      <c r="M34" s="135">
        <f>Cifras_Originales!L14</f>
        <v>0</v>
      </c>
      <c r="N34" s="136"/>
      <c r="O34" s="136"/>
    </row>
    <row r="35" spans="1:15" ht="12" customHeight="1" x14ac:dyDescent="0.15">
      <c r="A35" s="149" t="s">
        <v>324</v>
      </c>
      <c r="B35" s="135">
        <f t="shared" ref="B35:M35" si="17">+B34+B33</f>
        <v>0</v>
      </c>
      <c r="C35" s="135">
        <f t="shared" si="17"/>
        <v>-50.671999999999997</v>
      </c>
      <c r="D35" s="135">
        <f t="shared" si="17"/>
        <v>-45.929000000000002</v>
      </c>
      <c r="E35" s="135">
        <f t="shared" si="17"/>
        <v>-56.121000000000002</v>
      </c>
      <c r="F35" s="135">
        <f t="shared" si="17"/>
        <v>-15.566000000000001</v>
      </c>
      <c r="G35" s="135">
        <f t="shared" si="17"/>
        <v>-32.076999999999998</v>
      </c>
      <c r="H35" s="135">
        <f t="shared" si="17"/>
        <v>-20.86</v>
      </c>
      <c r="I35" s="135">
        <f t="shared" si="17"/>
        <v>-42.197000000000003</v>
      </c>
      <c r="J35" s="135">
        <f t="shared" si="17"/>
        <v>-35.588000000000001</v>
      </c>
      <c r="K35" s="135">
        <f t="shared" si="17"/>
        <v>-8.9</v>
      </c>
      <c r="L35" s="135">
        <f t="shared" si="17"/>
        <v>-3.8</v>
      </c>
      <c r="M35" s="135">
        <f t="shared" si="17"/>
        <v>-4.7</v>
      </c>
      <c r="N35" s="135"/>
      <c r="O35" s="135"/>
    </row>
    <row r="36" spans="1:15" ht="12" customHeight="1" x14ac:dyDescent="0.15">
      <c r="A36" s="149"/>
      <c r="B36" s="136" t="e">
        <f>+B35/B5</f>
        <v>#DIV/0!</v>
      </c>
      <c r="C36" s="136">
        <f>+C35/C5</f>
        <v>-3.0548985870370582E-2</v>
      </c>
      <c r="D36" s="136">
        <f t="shared" ref="D36:M36" si="18">+D35/D5</f>
        <v>-2.8791603927227686E-2</v>
      </c>
      <c r="E36" s="136">
        <f t="shared" si="18"/>
        <v>-3.9774229281730758E-2</v>
      </c>
      <c r="F36" s="136">
        <f t="shared" si="18"/>
        <v>-1.425822165186893E-2</v>
      </c>
      <c r="G36" s="136">
        <f t="shared" si="18"/>
        <v>-3.5105402666421516E-2</v>
      </c>
      <c r="H36" s="136">
        <f t="shared" si="18"/>
        <v>-2.6783662222838529E-2</v>
      </c>
      <c r="I36" s="136">
        <f t="shared" si="18"/>
        <v>-6.6011304066241269E-2</v>
      </c>
      <c r="J36" s="136">
        <f t="shared" si="18"/>
        <v>-4.3457554761550055E-2</v>
      </c>
      <c r="K36" s="136">
        <f t="shared" si="18"/>
        <v>-1.8978731026600078E-2</v>
      </c>
      <c r="L36" s="136">
        <f t="shared" si="18"/>
        <v>-2.5727826675693975E-2</v>
      </c>
      <c r="M36" s="136">
        <f t="shared" si="18"/>
        <v>-5.2280311457174634E-2</v>
      </c>
      <c r="N36" s="135"/>
      <c r="O36" s="135"/>
    </row>
    <row r="37" spans="1:15" ht="12" customHeight="1" x14ac:dyDescent="0.15">
      <c r="A37" s="149" t="s">
        <v>325</v>
      </c>
      <c r="B37" s="135" t="e">
        <f t="shared" ref="B37:M37" si="19">SUM(B27:B29)</f>
        <v>#DIV/0!</v>
      </c>
      <c r="C37" s="135" t="e">
        <f t="shared" si="19"/>
        <v>#DIV/0!</v>
      </c>
      <c r="D37" s="135" t="e">
        <f t="shared" si="19"/>
        <v>#DIV/0!</v>
      </c>
      <c r="E37" s="135" t="e">
        <f t="shared" si="19"/>
        <v>#DIV/0!</v>
      </c>
      <c r="F37" s="135" t="e">
        <f t="shared" si="19"/>
        <v>#DIV/0!</v>
      </c>
      <c r="G37" s="135" t="e">
        <f t="shared" si="19"/>
        <v>#DIV/0!</v>
      </c>
      <c r="H37" s="135" t="e">
        <f t="shared" si="19"/>
        <v>#DIV/0!</v>
      </c>
      <c r="I37" s="135" t="e">
        <f t="shared" si="19"/>
        <v>#DIV/0!</v>
      </c>
      <c r="J37" s="135" t="e">
        <f t="shared" si="19"/>
        <v>#VALUE!</v>
      </c>
      <c r="K37" s="135" t="e">
        <f t="shared" si="19"/>
        <v>#VALUE!</v>
      </c>
      <c r="L37" s="135" t="e">
        <f t="shared" si="19"/>
        <v>#VALUE!</v>
      </c>
      <c r="M37" s="135">
        <f t="shared" si="19"/>
        <v>0</v>
      </c>
      <c r="N37" s="135"/>
      <c r="O37" s="135"/>
    </row>
    <row r="38" spans="1:15" ht="12" customHeight="1" x14ac:dyDescent="0.15">
      <c r="A38" s="134"/>
      <c r="B38" s="128"/>
      <c r="C38" s="128"/>
      <c r="D38" s="128"/>
      <c r="E38" s="128"/>
      <c r="F38" s="128"/>
      <c r="G38" s="128"/>
      <c r="H38" s="128"/>
      <c r="I38" s="128"/>
      <c r="J38" s="128"/>
      <c r="K38" s="128"/>
      <c r="L38" s="128"/>
      <c r="M38" s="128"/>
      <c r="N38" s="128"/>
      <c r="O38" s="128"/>
    </row>
    <row r="39" spans="1:15" ht="12" customHeight="1" x14ac:dyDescent="0.15">
      <c r="A39" s="150" t="s">
        <v>326</v>
      </c>
      <c r="B39" s="151"/>
      <c r="C39" s="151"/>
      <c r="D39" s="151"/>
      <c r="E39" s="151"/>
      <c r="F39" s="151"/>
      <c r="G39" s="151"/>
      <c r="H39" s="151"/>
      <c r="I39" s="151"/>
      <c r="J39" s="151"/>
      <c r="K39" s="151"/>
      <c r="L39" s="151"/>
      <c r="M39" s="151"/>
      <c r="N39" s="151"/>
      <c r="O39" s="151"/>
    </row>
    <row r="40" spans="1:15" ht="12" customHeight="1" x14ac:dyDescent="0.15">
      <c r="A40" s="131" t="s">
        <v>327</v>
      </c>
      <c r="B40" s="135"/>
      <c r="C40" s="135">
        <f>Cifras_Originales!B22</f>
        <v>438.96</v>
      </c>
      <c r="D40" s="135">
        <f>Cifras_Originales!C22</f>
        <v>234.74100000000001</v>
      </c>
      <c r="E40" s="135">
        <f>Cifras_Originales!D22</f>
        <v>312.18900000000002</v>
      </c>
      <c r="F40" s="135">
        <f>Cifras_Originales!E22</f>
        <v>253.28299999999999</v>
      </c>
      <c r="G40" s="135">
        <f>Cifras_Originales!F22</f>
        <v>72.515000000000001</v>
      </c>
      <c r="H40" s="135">
        <f>Cifras_Originales!G22</f>
        <v>80.051000000000002</v>
      </c>
      <c r="I40" s="135">
        <f>Cifras_Originales!H22</f>
        <v>53.65</v>
      </c>
      <c r="J40" s="135">
        <f>Cifras_Originales!I22</f>
        <v>21.291</v>
      </c>
      <c r="K40" s="135">
        <f>Cifras_Originales!J22</f>
        <v>40.299999999999997</v>
      </c>
      <c r="L40" s="135">
        <f>Cifras_Originales!K22</f>
        <v>8.9</v>
      </c>
      <c r="M40" s="135" t="str">
        <f>Cifras_Originales!L22</f>
        <v>N/A</v>
      </c>
      <c r="N40" s="135"/>
      <c r="O40" s="135"/>
    </row>
    <row r="41" spans="1:15" ht="12" customHeight="1" x14ac:dyDescent="0.15">
      <c r="A41" s="131" t="s">
        <v>328</v>
      </c>
      <c r="B41" s="135"/>
      <c r="C41" s="135">
        <f>Cifras_Originales!B23</f>
        <v>95.774000000000001</v>
      </c>
      <c r="D41" s="135">
        <f>Cifras_Originales!C23</f>
        <v>79.445999999999998</v>
      </c>
      <c r="E41" s="135">
        <f>Cifras_Originales!D23</f>
        <v>109.53</v>
      </c>
      <c r="F41" s="135">
        <f>Cifras_Originales!E23</f>
        <v>65.417000000000002</v>
      </c>
      <c r="G41" s="135">
        <f>Cifras_Originales!F23</f>
        <v>82.688000000000002</v>
      </c>
      <c r="H41" s="135">
        <f>Cifras_Originales!G23</f>
        <v>59.328000000000003</v>
      </c>
      <c r="I41" s="135">
        <f>Cifras_Originales!H23</f>
        <v>67.152000000000001</v>
      </c>
      <c r="J41" s="135">
        <f>Cifras_Originales!I23</f>
        <v>37.200000000000003</v>
      </c>
      <c r="K41" s="135">
        <f>Cifras_Originales!J23</f>
        <v>64</v>
      </c>
      <c r="L41" s="135">
        <f>Cifras_Originales!K23</f>
        <v>16.899999999999999</v>
      </c>
      <c r="M41" s="135" t="str">
        <f>Cifras_Originales!L23</f>
        <v>N/A</v>
      </c>
      <c r="N41" s="135"/>
      <c r="O41" s="135"/>
    </row>
    <row r="42" spans="1:15" ht="12" customHeight="1" x14ac:dyDescent="0.15">
      <c r="A42" s="131" t="s">
        <v>329</v>
      </c>
      <c r="B42" s="135"/>
      <c r="C42" s="135">
        <f>Cifras_Originales!B24</f>
        <v>337.20800000000003</v>
      </c>
      <c r="D42" s="135">
        <f>Cifras_Originales!C24</f>
        <v>371.41199999999998</v>
      </c>
      <c r="E42" s="135">
        <f>Cifras_Originales!D24</f>
        <v>318.86399999999998</v>
      </c>
      <c r="F42" s="135">
        <f>Cifras_Originales!E24</f>
        <v>140.11099999999999</v>
      </c>
      <c r="G42" s="135">
        <f>Cifras_Originales!F24</f>
        <v>185.7</v>
      </c>
      <c r="H42" s="135">
        <f>Cifras_Originales!G24</f>
        <v>145.423</v>
      </c>
      <c r="I42" s="135">
        <f>Cifras_Originales!H24</f>
        <v>175.09800000000001</v>
      </c>
      <c r="J42" s="135">
        <f>Cifras_Originales!I24</f>
        <v>246.119</v>
      </c>
      <c r="K42" s="135">
        <f>Cifras_Originales!J24</f>
        <v>88.3</v>
      </c>
      <c r="L42" s="135">
        <f>Cifras_Originales!K24</f>
        <v>17.7</v>
      </c>
      <c r="M42" s="135" t="str">
        <f>Cifras_Originales!L24</f>
        <v>N/A</v>
      </c>
      <c r="N42" s="135"/>
      <c r="O42" s="135"/>
    </row>
    <row r="43" spans="1:15" ht="12" customHeight="1" x14ac:dyDescent="0.15">
      <c r="A43" s="131" t="s">
        <v>330</v>
      </c>
      <c r="B43" s="135"/>
      <c r="C43" s="135">
        <f>Cifras_Originales!B25</f>
        <v>130.714</v>
      </c>
      <c r="D43" s="135">
        <f>Cifras_Originales!C25</f>
        <v>124.587</v>
      </c>
      <c r="E43" s="135">
        <f>Cifras_Originales!D25</f>
        <v>119.044</v>
      </c>
      <c r="F43" s="135">
        <f>Cifras_Originales!E25</f>
        <v>78.075000000000003</v>
      </c>
      <c r="G43" s="135">
        <f>Cifras_Originales!F25</f>
        <v>82.61</v>
      </c>
      <c r="H43" s="135">
        <f>Cifras_Originales!G25</f>
        <v>74.096999999999994</v>
      </c>
      <c r="I43" s="135">
        <f>Cifras_Originales!H25</f>
        <v>73.783000000000001</v>
      </c>
      <c r="J43" s="135">
        <f>Cifras_Originales!I25</f>
        <v>47.1</v>
      </c>
      <c r="K43" s="135">
        <f>Cifras_Originales!J25</f>
        <v>14.8</v>
      </c>
      <c r="L43" s="135">
        <f>Cifras_Originales!K25</f>
        <v>9.1</v>
      </c>
      <c r="M43" s="135" t="str">
        <f>Cifras_Originales!L25</f>
        <v>N/A</v>
      </c>
      <c r="N43" s="135"/>
      <c r="O43" s="135"/>
    </row>
    <row r="44" spans="1:15" ht="12" customHeight="1" x14ac:dyDescent="0.15">
      <c r="A44" s="131" t="s">
        <v>331</v>
      </c>
      <c r="B44" s="135">
        <f>B45-SUM(B40:B43)</f>
        <v>0</v>
      </c>
      <c r="C44" s="135">
        <f>Cifras_Originales!B26</f>
        <v>294.53600000000006</v>
      </c>
      <c r="D44" s="135">
        <f>Cifras_Originales!C26</f>
        <v>266.57900000000018</v>
      </c>
      <c r="E44" s="135">
        <f>Cifras_Originales!D26</f>
        <v>236.73699999999997</v>
      </c>
      <c r="F44" s="135">
        <f>Cifras_Originales!E26</f>
        <v>200.18100000000004</v>
      </c>
      <c r="G44" s="135">
        <f>Cifras_Originales!F26</f>
        <v>206.02599999999995</v>
      </c>
      <c r="H44" s="135">
        <f>Cifras_Originales!G26</f>
        <v>155.31399999999996</v>
      </c>
      <c r="I44" s="135">
        <f>Cifras_Originales!H26</f>
        <v>146.74400000000003</v>
      </c>
      <c r="J44" s="135">
        <f>Cifras_Originales!I26</f>
        <v>184.39699999999993</v>
      </c>
      <c r="K44" s="135">
        <f>Cifras_Originales!J26</f>
        <v>138.6</v>
      </c>
      <c r="L44" s="135">
        <f>Cifras_Originales!K26</f>
        <v>128.9</v>
      </c>
      <c r="M44" s="135" t="e">
        <f>Cifras_Originales!L26</f>
        <v>#VALUE!</v>
      </c>
      <c r="N44" s="135"/>
      <c r="O44" s="135"/>
    </row>
    <row r="45" spans="1:15" ht="12" customHeight="1" x14ac:dyDescent="0.15">
      <c r="A45" s="131" t="s">
        <v>332</v>
      </c>
      <c r="B45" s="152"/>
      <c r="C45" s="152">
        <f>Cifras_Originales!B27</f>
        <v>1297.192</v>
      </c>
      <c r="D45" s="152">
        <f>Cifras_Originales!C27</f>
        <v>1076.7650000000001</v>
      </c>
      <c r="E45" s="152">
        <f>Cifras_Originales!D27</f>
        <v>1096.364</v>
      </c>
      <c r="F45" s="152">
        <f>Cifras_Originales!E27</f>
        <v>737.06700000000001</v>
      </c>
      <c r="G45" s="152">
        <f>Cifras_Originales!F27</f>
        <v>629.53899999999999</v>
      </c>
      <c r="H45" s="152">
        <f>Cifras_Originales!G27</f>
        <v>514.21299999999997</v>
      </c>
      <c r="I45" s="152">
        <f>Cifras_Originales!H27</f>
        <v>516.42700000000002</v>
      </c>
      <c r="J45" s="152">
        <f>Cifras_Originales!I27</f>
        <v>536.10699999999997</v>
      </c>
      <c r="K45" s="152">
        <f>Cifras_Originales!J27</f>
        <v>346</v>
      </c>
      <c r="L45" s="152">
        <f>Cifras_Originales!K27</f>
        <v>181.5</v>
      </c>
      <c r="M45" s="152" t="str">
        <f>Cifras_Originales!L27</f>
        <v>N/A</v>
      </c>
      <c r="N45" s="152"/>
      <c r="O45" s="152"/>
    </row>
    <row r="46" spans="1:15" ht="12" customHeight="1" x14ac:dyDescent="0.15">
      <c r="B46" s="127"/>
      <c r="C46" s="127"/>
      <c r="D46" s="127"/>
      <c r="E46" s="127"/>
      <c r="F46" s="127"/>
      <c r="G46" s="127"/>
      <c r="H46" s="127"/>
      <c r="I46" s="127"/>
      <c r="J46" s="127"/>
      <c r="K46" s="127"/>
      <c r="L46" s="127"/>
      <c r="M46" s="127"/>
      <c r="N46" s="127"/>
      <c r="O46" s="127"/>
    </row>
    <row r="47" spans="1:15" ht="12" customHeight="1" x14ac:dyDescent="0.15">
      <c r="B47" s="127"/>
      <c r="C47" s="127"/>
      <c r="D47" s="127"/>
      <c r="E47" s="127"/>
      <c r="F47" s="127"/>
      <c r="G47" s="127"/>
      <c r="H47" s="127"/>
      <c r="I47" s="127"/>
      <c r="J47" s="127"/>
      <c r="K47" s="127"/>
      <c r="L47" s="127"/>
      <c r="M47" s="127"/>
      <c r="N47" s="127"/>
      <c r="O47" s="127"/>
    </row>
    <row r="48" spans="1:15" ht="12" customHeight="1" x14ac:dyDescent="0.15">
      <c r="A48" s="150" t="s">
        <v>333</v>
      </c>
      <c r="B48" s="151"/>
      <c r="C48" s="151"/>
      <c r="D48" s="151"/>
      <c r="E48" s="151"/>
      <c r="F48" s="151"/>
      <c r="G48" s="151"/>
      <c r="H48" s="151"/>
      <c r="I48" s="151"/>
      <c r="J48" s="151"/>
      <c r="K48" s="151"/>
      <c r="L48" s="151"/>
      <c r="M48" s="151"/>
      <c r="N48" s="151"/>
      <c r="O48" s="151"/>
    </row>
    <row r="49" spans="1:15" ht="12" customHeight="1" x14ac:dyDescent="0.15">
      <c r="A49" s="131" t="s">
        <v>334</v>
      </c>
      <c r="B49" s="135"/>
      <c r="C49" s="135">
        <f>Cifras_Originales!B31</f>
        <v>398.35300000000001</v>
      </c>
      <c r="D49" s="135">
        <f>Cifras_Originales!C31</f>
        <v>409.04</v>
      </c>
      <c r="E49" s="135">
        <f>Cifras_Originales!D31</f>
        <v>403.71300000000002</v>
      </c>
      <c r="F49" s="135">
        <f>Cifras_Originales!E31</f>
        <v>287.75900000000001</v>
      </c>
      <c r="G49" s="135">
        <f>Cifras_Originales!F31</f>
        <v>170.31200000000001</v>
      </c>
      <c r="H49" s="135">
        <f>Cifras_Originales!G31</f>
        <v>187.33799999999999</v>
      </c>
      <c r="I49" s="135">
        <f>Cifras_Originales!H31</f>
        <v>151.898</v>
      </c>
      <c r="J49" s="135">
        <f>Cifras_Originales!I31</f>
        <v>137.9</v>
      </c>
      <c r="K49" s="135">
        <f>Cifras_Originales!J31</f>
        <v>81.8</v>
      </c>
      <c r="L49" s="135">
        <f>Cifras_Originales!K31</f>
        <v>21.8</v>
      </c>
      <c r="M49" s="135" t="str">
        <f>Cifras_Originales!L31</f>
        <v>N/A</v>
      </c>
      <c r="N49" s="135"/>
      <c r="O49" s="135"/>
    </row>
    <row r="50" spans="1:15" ht="12" customHeight="1" x14ac:dyDescent="0.15">
      <c r="A50" s="131" t="s">
        <v>335</v>
      </c>
      <c r="B50" s="135"/>
      <c r="C50" s="135">
        <f>Cifras_Originales!B32</f>
        <v>6.5789999999999997</v>
      </c>
      <c r="D50" s="135">
        <f>Cifras_Originales!C32</f>
        <v>24.611000000000001</v>
      </c>
      <c r="E50" s="135">
        <f>Cifras_Originales!D32</f>
        <v>24.56</v>
      </c>
      <c r="F50" s="135">
        <f>Cifras_Originales!E32</f>
        <v>22.696999999999999</v>
      </c>
      <c r="G50" s="135">
        <f>Cifras_Originales!F32</f>
        <v>15.185</v>
      </c>
      <c r="H50" s="135">
        <f>Cifras_Originales!G32</f>
        <v>43.637999999999998</v>
      </c>
      <c r="I50" s="135">
        <f>Cifras_Originales!H32</f>
        <v>47.05</v>
      </c>
      <c r="J50" s="135">
        <f>Cifras_Originales!I32</f>
        <v>45.6</v>
      </c>
      <c r="K50" s="135">
        <f>Cifras_Originales!J32</f>
        <v>2</v>
      </c>
      <c r="L50" s="135">
        <f>Cifras_Originales!K32</f>
        <v>2</v>
      </c>
      <c r="M50" s="135" t="str">
        <f>Cifras_Originales!L32</f>
        <v>N/A</v>
      </c>
      <c r="N50" s="135"/>
      <c r="O50" s="135"/>
    </row>
    <row r="51" spans="1:15" ht="12" customHeight="1" x14ac:dyDescent="0.15">
      <c r="A51" s="131" t="s">
        <v>336</v>
      </c>
      <c r="B51" s="135"/>
      <c r="C51" s="135">
        <f>Cifras_Originales!B33</f>
        <v>14.726000000000001</v>
      </c>
      <c r="D51" s="135">
        <f>Cifras_Originales!C33</f>
        <v>12.076000000000001</v>
      </c>
      <c r="E51" s="135">
        <f>Cifras_Originales!D33</f>
        <v>10.167</v>
      </c>
      <c r="F51" s="135">
        <f>Cifras_Originales!E33</f>
        <v>8.2469999999999999</v>
      </c>
      <c r="G51" s="135">
        <f>Cifras_Originales!F33</f>
        <v>7.7679999999999998</v>
      </c>
      <c r="H51" s="135">
        <f>Cifras_Originales!G33</f>
        <v>0</v>
      </c>
      <c r="I51" s="135">
        <f>Cifras_Originales!H33</f>
        <v>0</v>
      </c>
      <c r="J51" s="135" t="str">
        <f>Cifras_Originales!I33</f>
        <v>N/A</v>
      </c>
      <c r="K51" s="135" t="str">
        <f>Cifras_Originales!J33</f>
        <v>N/A</v>
      </c>
      <c r="L51" s="135" t="str">
        <f>Cifras_Originales!K33</f>
        <v>N/A</v>
      </c>
      <c r="M51" s="135" t="str">
        <f>Cifras_Originales!L33</f>
        <v>N/A</v>
      </c>
      <c r="N51" s="135"/>
      <c r="O51" s="135"/>
    </row>
    <row r="52" spans="1:15" ht="12" customHeight="1" x14ac:dyDescent="0.15">
      <c r="A52" s="131" t="s">
        <v>337</v>
      </c>
      <c r="B52" s="135"/>
      <c r="C52" s="135">
        <f>Cifras_Originales!B34</f>
        <v>377.048</v>
      </c>
      <c r="D52" s="135">
        <f>Cifras_Originales!C34</f>
        <v>372.35300000000001</v>
      </c>
      <c r="E52" s="135">
        <f>Cifras_Originales!D34</f>
        <v>368.98600000000005</v>
      </c>
      <c r="F52" s="135">
        <f>Cifras_Originales!E34</f>
        <v>256.815</v>
      </c>
      <c r="G52" s="135">
        <f>Cifras_Originales!F34</f>
        <v>147.35900000000001</v>
      </c>
      <c r="H52" s="135">
        <f>Cifras_Originales!G34</f>
        <v>143.69999999999999</v>
      </c>
      <c r="I52" s="135">
        <f>Cifras_Originales!H34</f>
        <v>104.848</v>
      </c>
      <c r="J52" s="135" t="e">
        <f>Cifras_Originales!I34</f>
        <v>#VALUE!</v>
      </c>
      <c r="K52" s="135" t="e">
        <f>Cifras_Originales!J34</f>
        <v>#VALUE!</v>
      </c>
      <c r="L52" s="135" t="e">
        <f>Cifras_Originales!K34</f>
        <v>#VALUE!</v>
      </c>
      <c r="M52" s="135" t="e">
        <f>Cifras_Originales!L34</f>
        <v>#VALUE!</v>
      </c>
      <c r="N52" s="135"/>
      <c r="O52" s="135"/>
    </row>
    <row r="53" spans="1:15" ht="12" customHeight="1" x14ac:dyDescent="0.15">
      <c r="A53" s="131" t="s">
        <v>338</v>
      </c>
      <c r="B53" s="135"/>
      <c r="C53" s="135">
        <f>Cifras_Originales!B35</f>
        <v>175.22899999999998</v>
      </c>
      <c r="D53" s="135">
        <f>Cifras_Originales!C35</f>
        <v>141.24799999999999</v>
      </c>
      <c r="E53" s="135">
        <f>Cifras_Originales!D35</f>
        <v>174.82800000000003</v>
      </c>
      <c r="F53" s="135">
        <f>Cifras_Originales!E35</f>
        <v>160.88999999999999</v>
      </c>
      <c r="G53" s="135">
        <f>Cifras_Originales!F35</f>
        <v>337.22199999999998</v>
      </c>
      <c r="H53" s="135">
        <f>Cifras_Originales!G35</f>
        <v>297.904</v>
      </c>
      <c r="I53" s="135">
        <f>Cifras_Originales!H35</f>
        <v>440.76</v>
      </c>
      <c r="J53" s="135">
        <f>Cifras_Originales!I35</f>
        <v>493.30000000000007</v>
      </c>
      <c r="K53" s="135">
        <f>Cifras_Originales!J35</f>
        <v>63.3</v>
      </c>
      <c r="L53" s="135">
        <f>Cifras_Originales!K35</f>
        <v>35.200000000000003</v>
      </c>
      <c r="M53" s="135" t="str">
        <f>Cifras_Originales!L35</f>
        <v>N/A</v>
      </c>
      <c r="N53" s="135"/>
      <c r="O53" s="135"/>
    </row>
    <row r="54" spans="1:15" ht="12" customHeight="1" x14ac:dyDescent="0.15">
      <c r="A54" s="131" t="s">
        <v>339</v>
      </c>
      <c r="B54" s="135"/>
      <c r="C54" s="135">
        <f>Cifras_Originales!B36</f>
        <v>78.644999999999996</v>
      </c>
      <c r="D54" s="135">
        <f>Cifras_Originales!C36</f>
        <v>71.741</v>
      </c>
      <c r="E54" s="135">
        <f>Cifras_Originales!D36</f>
        <v>95.741</v>
      </c>
      <c r="F54" s="135">
        <f>Cifras_Originales!E36</f>
        <v>111.017</v>
      </c>
      <c r="G54" s="135">
        <f>Cifras_Originales!F36</f>
        <v>281.71499999999997</v>
      </c>
      <c r="H54" s="135">
        <f>Cifras_Originales!G36</f>
        <v>284.37599999999998</v>
      </c>
      <c r="I54" s="135">
        <f>Cifras_Originales!H36</f>
        <v>428.63200000000001</v>
      </c>
      <c r="J54" s="135">
        <f>Cifras_Originales!I36</f>
        <v>491.7</v>
      </c>
      <c r="K54" s="135">
        <f>Cifras_Originales!J36</f>
        <v>59.7</v>
      </c>
      <c r="L54" s="135">
        <f>Cifras_Originales!K36</f>
        <v>26.7</v>
      </c>
      <c r="M54" s="135" t="str">
        <f>Cifras_Originales!L36</f>
        <v>N/A</v>
      </c>
      <c r="N54" s="135"/>
      <c r="O54" s="135"/>
    </row>
    <row r="55" spans="1:15" ht="12" customHeight="1" x14ac:dyDescent="0.15">
      <c r="A55" s="131" t="s">
        <v>340</v>
      </c>
      <c r="B55" s="135"/>
      <c r="C55" s="135">
        <f>Cifras_Originales!B37</f>
        <v>76.162999999999997</v>
      </c>
      <c r="D55" s="135">
        <f>Cifras_Originales!C37</f>
        <v>55.649000000000001</v>
      </c>
      <c r="E55" s="135">
        <f>Cifras_Originales!D37</f>
        <v>55.94</v>
      </c>
      <c r="F55" s="135">
        <f>Cifras_Originales!E37</f>
        <v>36.545999999999999</v>
      </c>
      <c r="G55" s="135">
        <f>Cifras_Originales!F37</f>
        <v>42.2</v>
      </c>
      <c r="H55" s="135">
        <f>Cifras_Originales!G37</f>
        <v>0</v>
      </c>
      <c r="I55" s="135">
        <f>Cifras_Originales!H37</f>
        <v>0</v>
      </c>
      <c r="J55" s="135" t="str">
        <f>Cifras_Originales!I37</f>
        <v>N/A</v>
      </c>
      <c r="K55" s="135" t="str">
        <f>Cifras_Originales!J37</f>
        <v>N/A</v>
      </c>
      <c r="L55" s="135" t="str">
        <f>Cifras_Originales!K37</f>
        <v>N/A</v>
      </c>
      <c r="M55" s="135" t="str">
        <f>Cifras_Originales!L37</f>
        <v>N/A</v>
      </c>
      <c r="N55" s="135"/>
      <c r="O55" s="135"/>
    </row>
    <row r="56" spans="1:15" ht="12" customHeight="1" x14ac:dyDescent="0.15">
      <c r="A56" s="131" t="s">
        <v>341</v>
      </c>
      <c r="B56" s="135">
        <f>B53-SUM(B54:B55)</f>
        <v>0</v>
      </c>
      <c r="C56" s="135">
        <f>Cifras_Originales!B38</f>
        <v>20.420999999999992</v>
      </c>
      <c r="D56" s="135">
        <f>Cifras_Originales!C38</f>
        <v>13.85799999999999</v>
      </c>
      <c r="E56" s="135">
        <f>Cifras_Originales!D38</f>
        <v>23.147000000000034</v>
      </c>
      <c r="F56" s="135">
        <f>Cifras_Originales!E38</f>
        <v>13.326999999999991</v>
      </c>
      <c r="G56" s="135">
        <f>Cifras_Originales!F38</f>
        <v>13.307000000000002</v>
      </c>
      <c r="H56" s="135">
        <f>Cifras_Originales!G38</f>
        <v>13.52800000000002</v>
      </c>
      <c r="I56" s="135">
        <f>Cifras_Originales!H38</f>
        <v>12.127999999999986</v>
      </c>
      <c r="J56" s="135" t="e">
        <f>Cifras_Originales!I38</f>
        <v>#VALUE!</v>
      </c>
      <c r="K56" s="135" t="e">
        <f>Cifras_Originales!J38</f>
        <v>#VALUE!</v>
      </c>
      <c r="L56" s="135" t="e">
        <f>Cifras_Originales!K38</f>
        <v>#VALUE!</v>
      </c>
      <c r="M56" s="135" t="e">
        <f>Cifras_Originales!L38</f>
        <v>#VALUE!</v>
      </c>
      <c r="N56" s="135"/>
      <c r="O56" s="135"/>
    </row>
    <row r="57" spans="1:15" ht="12" customHeight="1" x14ac:dyDescent="0.15">
      <c r="A57" s="131" t="s">
        <v>342</v>
      </c>
      <c r="B57" s="152"/>
      <c r="C57" s="152">
        <f>Cifras_Originales!B39</f>
        <v>573.58199999999999</v>
      </c>
      <c r="D57" s="152">
        <f>Cifras_Originales!C39</f>
        <v>550.28800000000001</v>
      </c>
      <c r="E57" s="152">
        <f>Cifras_Originales!D39</f>
        <v>578.54100000000005</v>
      </c>
      <c r="F57" s="152">
        <f>Cifras_Originales!E39</f>
        <v>448.649</v>
      </c>
      <c r="G57" s="152">
        <f>Cifras_Originales!F39</f>
        <v>507.53399999999999</v>
      </c>
      <c r="H57" s="152">
        <f>Cifras_Originales!G39</f>
        <v>485.24200000000002</v>
      </c>
      <c r="I57" s="152">
        <f>Cifras_Originales!H39</f>
        <v>592.65800000000002</v>
      </c>
      <c r="J57" s="152">
        <f>Cifras_Originales!I39</f>
        <v>631.20000000000005</v>
      </c>
      <c r="K57" s="152">
        <f>Cifras_Originales!J39</f>
        <v>145.1</v>
      </c>
      <c r="L57" s="152">
        <f>Cifras_Originales!K39</f>
        <v>57</v>
      </c>
      <c r="M57" s="152" t="e">
        <f>Cifras_Originales!L39</f>
        <v>#VALUE!</v>
      </c>
      <c r="N57" s="152"/>
      <c r="O57" s="152"/>
    </row>
    <row r="58" spans="1:15" ht="12" customHeight="1" x14ac:dyDescent="0.15">
      <c r="B58" s="127"/>
      <c r="C58" s="127"/>
      <c r="D58" s="127"/>
      <c r="E58" s="127"/>
      <c r="F58" s="127"/>
      <c r="G58" s="127"/>
      <c r="H58" s="127"/>
      <c r="I58" s="127"/>
      <c r="J58" s="127"/>
      <c r="K58" s="127"/>
      <c r="L58" s="127"/>
      <c r="M58" s="127"/>
      <c r="N58" s="127"/>
      <c r="O58" s="127"/>
    </row>
    <row r="59" spans="1:15" ht="12" customHeight="1" x14ac:dyDescent="0.15">
      <c r="A59" s="131" t="s">
        <v>343</v>
      </c>
      <c r="B59" s="135">
        <f>B60-B40</f>
        <v>0</v>
      </c>
      <c r="C59" s="135">
        <f t="shared" ref="C59:M59" si="20">C60-C40</f>
        <v>-262.84699999999998</v>
      </c>
      <c r="D59" s="135">
        <f t="shared" si="20"/>
        <v>-70.664000000000016</v>
      </c>
      <c r="E59" s="135">
        <f t="shared" si="20"/>
        <v>-125.78100000000003</v>
      </c>
      <c r="F59" s="135">
        <f t="shared" si="20"/>
        <v>-74.77600000000001</v>
      </c>
      <c r="G59" s="135">
        <f t="shared" si="20"/>
        <v>274.35299999999995</v>
      </c>
      <c r="H59" s="135">
        <f t="shared" si="20"/>
        <v>247.96299999999997</v>
      </c>
      <c r="I59" s="135">
        <f t="shared" si="20"/>
        <v>422.03200000000004</v>
      </c>
      <c r="J59" s="135" t="e">
        <f t="shared" si="20"/>
        <v>#VALUE!</v>
      </c>
      <c r="K59" s="135" t="e">
        <f t="shared" si="20"/>
        <v>#VALUE!</v>
      </c>
      <c r="L59" s="135" t="e">
        <f t="shared" si="20"/>
        <v>#VALUE!</v>
      </c>
      <c r="M59" s="135" t="e">
        <f t="shared" si="20"/>
        <v>#VALUE!</v>
      </c>
      <c r="N59" s="127"/>
      <c r="O59" s="127"/>
    </row>
    <row r="60" spans="1:15" ht="12" customHeight="1" x14ac:dyDescent="0.15">
      <c r="A60" s="131" t="s">
        <v>344</v>
      </c>
      <c r="B60" s="135">
        <f>B50+B51+B54+B55</f>
        <v>0</v>
      </c>
      <c r="C60" s="135">
        <f t="shared" ref="C60:M60" si="21">C50+C51+C54+C55</f>
        <v>176.113</v>
      </c>
      <c r="D60" s="135">
        <f t="shared" si="21"/>
        <v>164.077</v>
      </c>
      <c r="E60" s="135">
        <f t="shared" si="21"/>
        <v>186.40799999999999</v>
      </c>
      <c r="F60" s="135">
        <f t="shared" si="21"/>
        <v>178.50699999999998</v>
      </c>
      <c r="G60" s="135">
        <f t="shared" si="21"/>
        <v>346.86799999999994</v>
      </c>
      <c r="H60" s="135">
        <f t="shared" si="21"/>
        <v>328.01399999999995</v>
      </c>
      <c r="I60" s="135">
        <f t="shared" si="21"/>
        <v>475.68200000000002</v>
      </c>
      <c r="J60" s="135" t="e">
        <f t="shared" si="21"/>
        <v>#VALUE!</v>
      </c>
      <c r="K60" s="135" t="e">
        <f t="shared" si="21"/>
        <v>#VALUE!</v>
      </c>
      <c r="L60" s="135" t="e">
        <f t="shared" si="21"/>
        <v>#VALUE!</v>
      </c>
      <c r="M60" s="135" t="e">
        <f t="shared" si="21"/>
        <v>#VALUE!</v>
      </c>
      <c r="N60" s="135"/>
      <c r="O60" s="135"/>
    </row>
    <row r="61" spans="1:15" ht="12" customHeight="1" x14ac:dyDescent="0.15">
      <c r="B61" s="137" t="e">
        <f>B60/B45</f>
        <v>#DIV/0!</v>
      </c>
      <c r="C61" s="137">
        <f>C60/C45</f>
        <v>0.13576479040882153</v>
      </c>
      <c r="D61" s="137">
        <f>D60/D45</f>
        <v>0.15237958143141725</v>
      </c>
      <c r="E61" s="137">
        <f t="shared" ref="E61:M61" si="22">E60/E45</f>
        <v>0.17002382420437007</v>
      </c>
      <c r="F61" s="137">
        <f t="shared" si="22"/>
        <v>0.24218558150073191</v>
      </c>
      <c r="G61" s="137">
        <f t="shared" si="22"/>
        <v>0.55098730976158738</v>
      </c>
      <c r="H61" s="137">
        <f t="shared" si="22"/>
        <v>0.6378951912923243</v>
      </c>
      <c r="I61" s="137">
        <f t="shared" si="22"/>
        <v>0.92110211123740626</v>
      </c>
      <c r="J61" s="137" t="e">
        <f t="shared" si="22"/>
        <v>#VALUE!</v>
      </c>
      <c r="K61" s="137" t="e">
        <f t="shared" si="22"/>
        <v>#VALUE!</v>
      </c>
      <c r="L61" s="137" t="e">
        <f t="shared" si="22"/>
        <v>#VALUE!</v>
      </c>
      <c r="M61" s="137" t="e">
        <f t="shared" si="22"/>
        <v>#VALUE!</v>
      </c>
      <c r="N61" s="137"/>
      <c r="O61" s="137"/>
    </row>
    <row r="62" spans="1:15" ht="12" customHeight="1" x14ac:dyDescent="0.15">
      <c r="B62" s="127"/>
      <c r="C62" s="127"/>
      <c r="D62" s="127"/>
      <c r="E62" s="127"/>
      <c r="F62" s="127"/>
      <c r="G62" s="127"/>
      <c r="H62" s="127"/>
      <c r="I62" s="127"/>
      <c r="J62" s="127"/>
      <c r="K62" s="127"/>
      <c r="L62" s="127"/>
      <c r="M62" s="127"/>
      <c r="N62" s="127"/>
      <c r="O62" s="127"/>
    </row>
    <row r="63" spans="1:15" s="153" customFormat="1" ht="12" customHeight="1" x14ac:dyDescent="0.15">
      <c r="A63" s="150" t="s">
        <v>345</v>
      </c>
      <c r="B63" s="152">
        <v>0</v>
      </c>
      <c r="C63" s="152">
        <f>Cifras_Originales!B42</f>
        <v>0</v>
      </c>
      <c r="D63" s="152">
        <f>Cifras_Originales!C42</f>
        <v>0</v>
      </c>
      <c r="E63" s="152">
        <f>Cifras_Originales!D42</f>
        <v>0</v>
      </c>
      <c r="F63" s="152">
        <f>Cifras_Originales!E42</f>
        <v>0</v>
      </c>
      <c r="G63" s="152">
        <f>Cifras_Originales!F42</f>
        <v>0</v>
      </c>
      <c r="H63" s="152">
        <f>Cifras_Originales!G42</f>
        <v>0</v>
      </c>
      <c r="I63" s="152">
        <f>Cifras_Originales!H42</f>
        <v>0</v>
      </c>
      <c r="J63" s="152">
        <f>Cifras_Originales!I42</f>
        <v>2.2000000000000002</v>
      </c>
      <c r="K63" s="152">
        <f>Cifras_Originales!J42</f>
        <v>0</v>
      </c>
      <c r="L63" s="152">
        <f>Cifras_Originales!K42</f>
        <v>0</v>
      </c>
      <c r="M63" s="152" t="str">
        <f>Cifras_Originales!L42</f>
        <v>N/A</v>
      </c>
      <c r="N63" s="152"/>
      <c r="O63" s="152"/>
    </row>
    <row r="64" spans="1:15" ht="12" customHeight="1" x14ac:dyDescent="0.15">
      <c r="B64" s="127"/>
      <c r="C64" s="127"/>
      <c r="D64" s="127"/>
      <c r="E64" s="127"/>
      <c r="F64" s="127"/>
      <c r="G64" s="127"/>
      <c r="H64" s="127"/>
      <c r="I64" s="127"/>
      <c r="J64" s="127"/>
      <c r="K64" s="127"/>
      <c r="L64" s="127"/>
      <c r="M64" s="127"/>
      <c r="N64" s="127"/>
      <c r="O64" s="127"/>
    </row>
    <row r="65" spans="1:242" ht="12" customHeight="1" x14ac:dyDescent="0.15">
      <c r="B65" s="127"/>
      <c r="C65" s="127"/>
      <c r="D65" s="127"/>
      <c r="E65" s="127"/>
      <c r="F65" s="127"/>
      <c r="G65" s="127"/>
      <c r="H65" s="127"/>
      <c r="I65" s="127"/>
      <c r="J65" s="127"/>
      <c r="K65" s="127"/>
      <c r="L65" s="127"/>
      <c r="M65" s="127"/>
      <c r="N65" s="127"/>
      <c r="O65" s="127"/>
    </row>
    <row r="66" spans="1:242" ht="12" customHeight="1" x14ac:dyDescent="0.15">
      <c r="A66" s="150" t="s">
        <v>346</v>
      </c>
      <c r="B66" s="135">
        <f>B45-B57-B63</f>
        <v>0</v>
      </c>
      <c r="C66" s="135">
        <f>C45-C57-C63</f>
        <v>723.61</v>
      </c>
      <c r="D66" s="135">
        <f>D45-D57-D63</f>
        <v>526.47700000000009</v>
      </c>
      <c r="E66" s="135">
        <f t="shared" ref="E66:M66" si="23">E45-E57-E63</f>
        <v>517.82299999999998</v>
      </c>
      <c r="F66" s="135">
        <f t="shared" si="23"/>
        <v>288.41800000000001</v>
      </c>
      <c r="G66" s="135">
        <f t="shared" si="23"/>
        <v>122.005</v>
      </c>
      <c r="H66" s="135">
        <f t="shared" si="23"/>
        <v>28.970999999999947</v>
      </c>
      <c r="I66" s="135">
        <f t="shared" si="23"/>
        <v>-76.230999999999995</v>
      </c>
      <c r="J66" s="135">
        <f t="shared" si="23"/>
        <v>-97.293000000000077</v>
      </c>
      <c r="K66" s="135">
        <f t="shared" si="23"/>
        <v>200.9</v>
      </c>
      <c r="L66" s="135">
        <f t="shared" si="23"/>
        <v>124.5</v>
      </c>
      <c r="M66" s="135" t="e">
        <f t="shared" si="23"/>
        <v>#VALUE!</v>
      </c>
      <c r="N66" s="135"/>
      <c r="O66" s="135"/>
    </row>
    <row r="67" spans="1:242" ht="12" customHeight="1" x14ac:dyDescent="0.15">
      <c r="L67" s="131"/>
      <c r="M67" s="131"/>
      <c r="N67" s="131"/>
      <c r="O67" s="131"/>
    </row>
    <row r="68" spans="1:242" ht="12" customHeight="1" x14ac:dyDescent="0.15">
      <c r="L68" s="131"/>
      <c r="M68" s="131"/>
      <c r="N68" s="131"/>
      <c r="O68" s="131"/>
    </row>
    <row r="69" spans="1:242" ht="12" customHeight="1" x14ac:dyDescent="0.15">
      <c r="A69" s="134" t="s">
        <v>347</v>
      </c>
      <c r="B69" s="134"/>
      <c r="C69" s="134"/>
      <c r="D69" s="134"/>
      <c r="E69" s="134"/>
      <c r="F69" s="134"/>
      <c r="G69" s="134"/>
      <c r="H69" s="134"/>
      <c r="I69" s="134"/>
      <c r="J69" s="134"/>
      <c r="K69" s="134"/>
      <c r="L69" s="134"/>
      <c r="M69" s="134"/>
      <c r="N69" s="134"/>
      <c r="O69" s="134"/>
    </row>
    <row r="70" spans="1:242" ht="12" customHeight="1" x14ac:dyDescent="0.15">
      <c r="A70" s="131" t="s">
        <v>348</v>
      </c>
      <c r="B70" s="135"/>
      <c r="C70" s="135">
        <f>Cifras_Originales!B47</f>
        <v>0</v>
      </c>
      <c r="D70" s="135">
        <f>Cifras_Originales!C47</f>
        <v>0</v>
      </c>
      <c r="E70" s="135">
        <f>Cifras_Originales!D47</f>
        <v>0</v>
      </c>
      <c r="F70" s="135">
        <f>Cifras_Originales!E47</f>
        <v>0</v>
      </c>
      <c r="G70" s="135">
        <f>Cifras_Originales!F47</f>
        <v>0</v>
      </c>
      <c r="H70" s="135">
        <f>Cifras_Originales!G47</f>
        <v>0</v>
      </c>
      <c r="I70" s="135">
        <f>Cifras_Originales!H47</f>
        <v>0</v>
      </c>
      <c r="J70" s="135">
        <f>Cifras_Originales!I47</f>
        <v>0</v>
      </c>
      <c r="K70" s="135">
        <f>Cifras_Originales!J47</f>
        <v>0</v>
      </c>
      <c r="L70" s="135">
        <f>Cifras_Originales!K47</f>
        <v>0</v>
      </c>
      <c r="M70" s="135">
        <f>Cifras_Originales!L47</f>
        <v>0</v>
      </c>
      <c r="N70" s="135"/>
      <c r="O70" s="135"/>
    </row>
    <row r="71" spans="1:242" ht="12" customHeight="1" x14ac:dyDescent="0.15">
      <c r="A71" s="131" t="s">
        <v>349</v>
      </c>
      <c r="B71" s="135"/>
      <c r="C71" s="135">
        <f>+Cifras_Originales!B48</f>
        <v>0</v>
      </c>
      <c r="D71" s="135">
        <f>+Cifras_Originales!C48</f>
        <v>0</v>
      </c>
      <c r="E71" s="135">
        <f>+Cifras_Originales!D48</f>
        <v>0</v>
      </c>
      <c r="F71" s="135">
        <f>+Cifras_Originales!E48</f>
        <v>0</v>
      </c>
      <c r="G71" s="135">
        <f>+Cifras_Originales!F48</f>
        <v>0</v>
      </c>
      <c r="H71" s="135">
        <f>+Cifras_Originales!G48</f>
        <v>0</v>
      </c>
      <c r="I71" s="135">
        <f>+Cifras_Originales!H48</f>
        <v>0</v>
      </c>
      <c r="J71" s="135">
        <f>+Cifras_Originales!I48</f>
        <v>0</v>
      </c>
      <c r="K71" s="135">
        <f>+Cifras_Originales!J48</f>
        <v>0</v>
      </c>
      <c r="L71" s="135">
        <f>+Cifras_Originales!K48</f>
        <v>0</v>
      </c>
      <c r="M71" s="135">
        <f>+Cifras_Originales!L48</f>
        <v>0</v>
      </c>
      <c r="N71" s="135"/>
      <c r="O71" s="135"/>
    </row>
    <row r="72" spans="1:242" ht="12" customHeight="1" x14ac:dyDescent="0.15">
      <c r="A72" s="131" t="s">
        <v>49</v>
      </c>
      <c r="B72" s="137"/>
      <c r="C72" s="137">
        <f>Cifras_Originales!B49</f>
        <v>0</v>
      </c>
      <c r="D72" s="137">
        <f>Cifras_Originales!C49</f>
        <v>0</v>
      </c>
      <c r="E72" s="137">
        <f>Cifras_Originales!D49</f>
        <v>0</v>
      </c>
      <c r="F72" s="137">
        <f>Cifras_Originales!E49</f>
        <v>0</v>
      </c>
      <c r="G72" s="137">
        <f>Cifras_Originales!F49</f>
        <v>0</v>
      </c>
      <c r="H72" s="137">
        <f>Cifras_Originales!G49</f>
        <v>0</v>
      </c>
      <c r="I72" s="137">
        <f>Cifras_Originales!H49</f>
        <v>0</v>
      </c>
      <c r="J72" s="137">
        <f>Cifras_Originales!I49</f>
        <v>0</v>
      </c>
      <c r="K72" s="137">
        <f>Cifras_Originales!J49</f>
        <v>0</v>
      </c>
      <c r="L72" s="137">
        <f>Cifras_Originales!K49</f>
        <v>0</v>
      </c>
      <c r="M72" s="137">
        <f>Cifras_Originales!L49</f>
        <v>0</v>
      </c>
      <c r="N72" s="137"/>
      <c r="O72" s="137"/>
    </row>
    <row r="73" spans="1:242" ht="12" customHeight="1" x14ac:dyDescent="0.15">
      <c r="A73" s="131" t="s">
        <v>350</v>
      </c>
      <c r="B73" s="136"/>
      <c r="C73" s="136">
        <f>Cifras_Originales!B50</f>
        <v>0</v>
      </c>
      <c r="D73" s="136">
        <f>Cifras_Originales!C50</f>
        <v>0</v>
      </c>
      <c r="E73" s="136">
        <f>Cifras_Originales!D50</f>
        <v>0</v>
      </c>
      <c r="F73" s="136">
        <f>Cifras_Originales!E50</f>
        <v>0</v>
      </c>
      <c r="G73" s="136">
        <f>Cifras_Originales!F50</f>
        <v>0</v>
      </c>
      <c r="H73" s="136">
        <f>Cifras_Originales!G50</f>
        <v>0</v>
      </c>
      <c r="I73" s="136">
        <f>Cifras_Originales!H50</f>
        <v>0</v>
      </c>
      <c r="J73" s="136">
        <f>Cifras_Originales!I50</f>
        <v>0</v>
      </c>
      <c r="K73" s="136">
        <f>Cifras_Originales!J50</f>
        <v>0</v>
      </c>
      <c r="L73" s="136">
        <f>Cifras_Originales!K50</f>
        <v>0</v>
      </c>
      <c r="M73" s="136">
        <f>Cifras_Originales!L50</f>
        <v>0</v>
      </c>
      <c r="N73" s="136"/>
      <c r="O73" s="136"/>
    </row>
    <row r="74" spans="1:242" ht="12" customHeight="1" x14ac:dyDescent="0.15">
      <c r="A74" s="131" t="s">
        <v>351</v>
      </c>
      <c r="B74" s="135"/>
      <c r="C74" s="135">
        <f>+Cifras_Originales!B51</f>
        <v>0</v>
      </c>
      <c r="D74" s="135">
        <f>+Cifras_Originales!C51</f>
        <v>0</v>
      </c>
      <c r="E74" s="135">
        <f>+Cifras_Originales!D51</f>
        <v>0</v>
      </c>
      <c r="F74" s="135">
        <f>+Cifras_Originales!E51</f>
        <v>0</v>
      </c>
      <c r="G74" s="135">
        <f>+Cifras_Originales!F51</f>
        <v>0</v>
      </c>
      <c r="H74" s="135">
        <f>+Cifras_Originales!G51</f>
        <v>0</v>
      </c>
      <c r="I74" s="135">
        <f>+Cifras_Originales!H51</f>
        <v>0</v>
      </c>
      <c r="J74" s="135">
        <f>+Cifras_Originales!I51</f>
        <v>0</v>
      </c>
      <c r="K74" s="135">
        <f>+Cifras_Originales!J51</f>
        <v>0</v>
      </c>
      <c r="L74" s="135">
        <f>+Cifras_Originales!K51</f>
        <v>0</v>
      </c>
      <c r="M74" s="135">
        <f>+Cifras_Originales!L51</f>
        <v>0</v>
      </c>
      <c r="N74" s="135"/>
      <c r="O74" s="135"/>
    </row>
    <row r="75" spans="1:242" ht="12" customHeight="1" x14ac:dyDescent="0.15">
      <c r="A75" s="131" t="str">
        <f>Cifras_Originales!A52</f>
        <v>Vol. Diario en Millones USD</v>
      </c>
      <c r="B75" s="135"/>
      <c r="C75" s="135">
        <f>Cifras_Originales!B52</f>
        <v>0</v>
      </c>
      <c r="D75" s="135">
        <f>Cifras_Originales!C52</f>
        <v>0</v>
      </c>
      <c r="E75" s="135">
        <f>Cifras_Originales!D52</f>
        <v>0</v>
      </c>
      <c r="F75" s="135">
        <f>Cifras_Originales!E52</f>
        <v>0</v>
      </c>
      <c r="G75" s="135">
        <f>Cifras_Originales!F52</f>
        <v>0</v>
      </c>
      <c r="H75" s="135">
        <f>Cifras_Originales!G52</f>
        <v>0</v>
      </c>
      <c r="I75" s="135">
        <f>Cifras_Originales!H52</f>
        <v>0</v>
      </c>
      <c r="J75" s="135">
        <f>Cifras_Originales!I52</f>
        <v>0</v>
      </c>
      <c r="K75" s="135">
        <f>Cifras_Originales!J52</f>
        <v>0</v>
      </c>
      <c r="L75" s="135">
        <f>Cifras_Originales!K52</f>
        <v>0</v>
      </c>
      <c r="M75" s="135">
        <f>Cifras_Originales!L52</f>
        <v>0</v>
      </c>
      <c r="N75" s="135"/>
      <c r="O75" s="135"/>
      <c r="IH75" s="131">
        <f>Cifras_Originales!GM52</f>
        <v>0</v>
      </c>
    </row>
    <row r="76" spans="1:242" ht="12" customHeight="1" x14ac:dyDescent="0.15">
      <c r="C76" s="154"/>
      <c r="D76" s="154"/>
      <c r="E76" s="154"/>
      <c r="F76" s="154"/>
      <c r="G76" s="154"/>
      <c r="H76" s="154"/>
      <c r="I76" s="154"/>
      <c r="J76" s="154"/>
      <c r="K76" s="154"/>
      <c r="L76" s="154"/>
      <c r="M76" s="154"/>
      <c r="N76" s="154"/>
      <c r="IH76" s="131"/>
    </row>
    <row r="77" spans="1:242" ht="12" customHeight="1" x14ac:dyDescent="0.15">
      <c r="B77" s="134">
        <f>+Cifras_Originales!B53</f>
        <v>2021</v>
      </c>
      <c r="C77" s="134">
        <f>+Cifras_Originales!C53</f>
        <v>2022</v>
      </c>
      <c r="D77" s="134">
        <f>+Cifras_Originales!D53</f>
        <v>2023</v>
      </c>
      <c r="H77" s="134"/>
      <c r="I77" s="154"/>
      <c r="J77" s="154"/>
      <c r="K77" s="154"/>
      <c r="L77" s="154"/>
      <c r="M77" s="154"/>
      <c r="N77" s="154"/>
      <c r="IH77" s="131"/>
    </row>
    <row r="78" spans="1:242" ht="12" customHeight="1" x14ac:dyDescent="0.15">
      <c r="A78" s="131" t="str">
        <f>Cifras_Originales!A54</f>
        <v>Posicion en Corto (%)</v>
      </c>
      <c r="B78" s="136">
        <f>Cifras_Originales!B54</f>
        <v>0</v>
      </c>
      <c r="C78" s="155"/>
      <c r="D78" s="155"/>
      <c r="H78" s="154"/>
      <c r="I78" s="154"/>
      <c r="J78" s="154"/>
      <c r="K78" s="154"/>
      <c r="L78" s="154"/>
      <c r="M78" s="154"/>
      <c r="N78" s="154"/>
      <c r="IH78" s="131"/>
    </row>
    <row r="79" spans="1:242" ht="12" customHeight="1" x14ac:dyDescent="0.15">
      <c r="A79" s="131" t="str">
        <f>Cifras_Originales!A55</f>
        <v>EPS</v>
      </c>
      <c r="B79" s="155">
        <f>Cifras_Originales!B55</f>
        <v>0</v>
      </c>
      <c r="C79" s="155">
        <f>Cifras_Originales!C55</f>
        <v>0</v>
      </c>
      <c r="D79" s="155">
        <f>Cifras_Originales!D55</f>
        <v>0</v>
      </c>
    </row>
    <row r="80" spans="1:242" ht="12" customHeight="1" x14ac:dyDescent="0.15"/>
    <row r="81" spans="1:8" x14ac:dyDescent="0.15">
      <c r="A81" s="150" t="str">
        <f>+Cifras_Originales!A57</f>
        <v>BONOS DE LA EMISORA A 3, 5 Y 10</v>
      </c>
      <c r="B81" s="134" t="s">
        <v>352</v>
      </c>
      <c r="C81" s="134" t="s">
        <v>353</v>
      </c>
      <c r="D81" s="134" t="s">
        <v>354</v>
      </c>
      <c r="E81" s="134" t="s">
        <v>355</v>
      </c>
      <c r="H81" s="134"/>
    </row>
    <row r="82" spans="1:8" ht="13" x14ac:dyDescent="0.15">
      <c r="A82" s="131">
        <f>+Cifras_Originales!A58</f>
        <v>0</v>
      </c>
      <c r="B82" s="155">
        <f>+Cifras_Originales!B58</f>
        <v>0</v>
      </c>
      <c r="C82" s="126">
        <f>+Cifras_Originales!C58</f>
        <v>0</v>
      </c>
      <c r="D82" s="136">
        <f>+Cifras_Originales!D58</f>
        <v>0</v>
      </c>
      <c r="E82" s="126">
        <f>+Cifras_Originales!E58</f>
        <v>0</v>
      </c>
    </row>
    <row r="83" spans="1:8" ht="13" x14ac:dyDescent="0.15">
      <c r="A83" s="131">
        <f>+Cifras_Originales!A59</f>
        <v>0</v>
      </c>
      <c r="B83" s="155">
        <f>+Cifras_Originales!B59</f>
        <v>0</v>
      </c>
      <c r="C83" s="126">
        <f>+Cifras_Originales!C59</f>
        <v>0</v>
      </c>
      <c r="D83" s="136">
        <f>+Cifras_Originales!D59</f>
        <v>0</v>
      </c>
      <c r="E83" s="126">
        <f>+Cifras_Originales!E59</f>
        <v>0</v>
      </c>
    </row>
    <row r="84" spans="1:8" ht="13" x14ac:dyDescent="0.15">
      <c r="A84" s="131">
        <f>+Cifras_Originales!A60</f>
        <v>0</v>
      </c>
      <c r="B84" s="155">
        <f>+Cifras_Originales!B60</f>
        <v>0</v>
      </c>
      <c r="C84" s="126">
        <f>+Cifras_Originales!C60</f>
        <v>0</v>
      </c>
      <c r="D84" s="136">
        <f>+Cifras_Originales!D60</f>
        <v>0</v>
      </c>
      <c r="E84" s="126">
        <f>+Cifras_Originales!E60</f>
        <v>0</v>
      </c>
    </row>
    <row r="85" spans="1:8" ht="13" x14ac:dyDescent="0.15">
      <c r="A85" s="131">
        <f>+Cifras_Originales!A61</f>
        <v>0</v>
      </c>
      <c r="B85" s="155">
        <f>+Cifras_Originales!B61</f>
        <v>0</v>
      </c>
      <c r="C85" s="126">
        <f>+Cifras_Originales!C61</f>
        <v>0</v>
      </c>
      <c r="D85" s="136">
        <f>+Cifras_Originales!D61</f>
        <v>0</v>
      </c>
      <c r="E85" s="126">
        <f>+Cifras_Originales!E61</f>
        <v>0</v>
      </c>
    </row>
    <row r="86" spans="1:8" ht="13" x14ac:dyDescent="0.15">
      <c r="C86" s="155"/>
      <c r="D86" s="155"/>
      <c r="E86" s="126"/>
      <c r="F86" s="156"/>
      <c r="G86" s="126"/>
    </row>
    <row r="87" spans="1:8" ht="13" x14ac:dyDescent="0.15">
      <c r="C87" s="155"/>
      <c r="D87" s="155"/>
      <c r="E87" s="126"/>
      <c r="F87" s="156"/>
      <c r="G87" s="126"/>
    </row>
    <row r="88" spans="1:8" ht="13" x14ac:dyDescent="0.15">
      <c r="C88" s="155"/>
      <c r="D88" s="155"/>
      <c r="E88" s="126"/>
      <c r="F88" s="156"/>
      <c r="G88" s="126"/>
    </row>
    <row r="89" spans="1:8" ht="13" x14ac:dyDescent="0.15">
      <c r="C89" s="155"/>
      <c r="D89" s="155"/>
      <c r="E89" s="126"/>
      <c r="F89" s="156"/>
      <c r="G89" s="126"/>
    </row>
    <row r="90" spans="1:8" ht="13" x14ac:dyDescent="0.15">
      <c r="C90" s="155"/>
      <c r="D90" s="155"/>
      <c r="E90" s="126"/>
      <c r="F90" s="156"/>
      <c r="G90" s="126"/>
    </row>
    <row r="91" spans="1:8" ht="13" x14ac:dyDescent="0.15">
      <c r="C91" s="155"/>
      <c r="D91" s="155"/>
      <c r="E91" s="126"/>
      <c r="F91" s="156"/>
      <c r="G91" s="126"/>
    </row>
    <row r="92" spans="1:8" ht="13" x14ac:dyDescent="0.15">
      <c r="C92" s="155"/>
      <c r="D92" s="155"/>
      <c r="E92" s="126"/>
      <c r="F92" s="156"/>
      <c r="G92" s="126"/>
    </row>
    <row r="93" spans="1:8" ht="13" x14ac:dyDescent="0.15">
      <c r="C93" s="155"/>
      <c r="D93" s="155"/>
      <c r="E93" s="126"/>
      <c r="F93" s="156"/>
      <c r="G93" s="126"/>
    </row>
    <row r="94" spans="1:8" ht="13" x14ac:dyDescent="0.15">
      <c r="C94" s="155"/>
      <c r="D94" s="155"/>
      <c r="E94" s="126"/>
      <c r="F94" s="156"/>
      <c r="G94" s="126"/>
    </row>
  </sheetData>
  <mergeCells count="2">
    <mergeCell ref="A1:L1"/>
    <mergeCell ref="A2:L2"/>
  </mergeCells>
  <phoneticPr fontId="66" type="noConversion"/>
  <printOptions horizontalCentered="1" verticalCentered="1"/>
  <pageMargins left="0.25" right="0.25" top="0.75" bottom="0.75" header="0.3" footer="0.3"/>
  <pageSetup paperSize="122" scale="55"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X64"/>
  <sheetViews>
    <sheetView tabSelected="1" topLeftCell="A5" zoomScale="112" zoomScaleNormal="130" workbookViewId="0">
      <selection activeCell="B22" sqref="B22"/>
    </sheetView>
  </sheetViews>
  <sheetFormatPr baseColWidth="10" defaultColWidth="11.5" defaultRowHeight="14" x14ac:dyDescent="0.15"/>
  <cols>
    <col min="1" max="1" width="34.1640625" style="157" customWidth="1"/>
    <col min="2" max="2" width="14.5" style="157" customWidth="1"/>
    <col min="3" max="7" width="14.5" style="157" bestFit="1" customWidth="1"/>
    <col min="8" max="8" width="15.1640625" style="157" bestFit="1" customWidth="1"/>
    <col min="9" max="10" width="14.5" style="157" bestFit="1" customWidth="1"/>
    <col min="11" max="12" width="14.5" style="158" bestFit="1" customWidth="1"/>
    <col min="13" max="15" width="14.5" style="157" customWidth="1"/>
    <col min="16" max="16" width="11.5" style="157" customWidth="1"/>
    <col min="17" max="17" width="17.1640625" style="157" customWidth="1"/>
    <col min="18" max="18" width="18.1640625" style="157" bestFit="1" customWidth="1"/>
    <col min="19" max="29" width="14.83203125" style="157" customWidth="1"/>
    <col min="30" max="16384" width="11.5" style="157"/>
  </cols>
  <sheetData>
    <row r="1" spans="1:30" x14ac:dyDescent="0.15">
      <c r="A1" s="157" t="s">
        <v>356</v>
      </c>
    </row>
    <row r="2" spans="1:30" x14ac:dyDescent="0.15">
      <c r="A2" s="157" t="s">
        <v>357</v>
      </c>
      <c r="B2" s="188"/>
      <c r="C2" s="716" t="str">
        <f>"Cifras en "&amp;A2&amp;" de "&amp;A1</f>
        <v>Cifras en Millones de USD</v>
      </c>
      <c r="D2" s="716"/>
      <c r="E2" s="716"/>
      <c r="F2" s="716"/>
      <c r="G2" s="716"/>
      <c r="H2" s="716"/>
      <c r="I2" s="716"/>
      <c r="J2" s="716"/>
      <c r="K2" s="716"/>
      <c r="L2" s="716"/>
    </row>
    <row r="3" spans="1:30" x14ac:dyDescent="0.15">
      <c r="A3" s="157" t="s">
        <v>358</v>
      </c>
      <c r="D3" s="162"/>
      <c r="G3" s="157" t="str">
        <f>A3&amp;" ("&amp;A4&amp;")"</f>
        <v>YETI HOLDINGS, INC. ((XNYS:YETI))</v>
      </c>
    </row>
    <row r="4" spans="1:30" x14ac:dyDescent="0.15">
      <c r="A4" s="157" t="s">
        <v>359</v>
      </c>
      <c r="D4" s="162"/>
      <c r="K4" s="157"/>
      <c r="L4" s="157"/>
    </row>
    <row r="5" spans="1:30" x14ac:dyDescent="0.15">
      <c r="A5" s="189" t="s">
        <v>360</v>
      </c>
      <c r="B5" s="189">
        <v>2023</v>
      </c>
      <c r="C5" s="189">
        <f>B5-1</f>
        <v>2022</v>
      </c>
      <c r="D5" s="189">
        <f>C5-1</f>
        <v>2021</v>
      </c>
      <c r="E5" s="189">
        <f t="shared" ref="E5:M5" si="0">D5-1</f>
        <v>2020</v>
      </c>
      <c r="F5" s="189">
        <f t="shared" si="0"/>
        <v>2019</v>
      </c>
      <c r="G5" s="189">
        <f t="shared" si="0"/>
        <v>2018</v>
      </c>
      <c r="H5" s="189">
        <f t="shared" si="0"/>
        <v>2017</v>
      </c>
      <c r="I5" s="189">
        <f t="shared" si="0"/>
        <v>2016</v>
      </c>
      <c r="J5" s="189">
        <f t="shared" si="0"/>
        <v>2015</v>
      </c>
      <c r="K5" s="189">
        <f t="shared" si="0"/>
        <v>2014</v>
      </c>
      <c r="L5" s="189">
        <f t="shared" si="0"/>
        <v>2013</v>
      </c>
      <c r="M5" s="189">
        <f t="shared" si="0"/>
        <v>2012</v>
      </c>
      <c r="S5" s="258"/>
    </row>
    <row r="6" spans="1:30" x14ac:dyDescent="0.15">
      <c r="A6" s="160" t="s">
        <v>302</v>
      </c>
      <c r="B6" s="268">
        <v>1658.713</v>
      </c>
      <c r="C6" s="268">
        <v>1595.222</v>
      </c>
      <c r="D6" s="268">
        <v>1410.989</v>
      </c>
      <c r="E6" s="268">
        <v>1091.721</v>
      </c>
      <c r="F6" s="268">
        <v>913.73400000000004</v>
      </c>
      <c r="G6" s="268">
        <v>778.83299999999997</v>
      </c>
      <c r="H6" s="268">
        <v>639.23900000000003</v>
      </c>
      <c r="I6" s="268">
        <v>818.91399999999999</v>
      </c>
      <c r="J6" s="268">
        <v>468.94600000000003</v>
      </c>
      <c r="K6" s="268">
        <v>147.69999999999999</v>
      </c>
      <c r="L6" s="268">
        <v>89.9</v>
      </c>
      <c r="M6" s="268" t="s">
        <v>50</v>
      </c>
      <c r="N6" s="158"/>
      <c r="O6" s="158"/>
      <c r="P6" s="158"/>
    </row>
    <row r="7" spans="1:30" x14ac:dyDescent="0.15">
      <c r="A7" s="160" t="s">
        <v>304</v>
      </c>
      <c r="B7" s="268">
        <v>943.18600000000004</v>
      </c>
      <c r="C7" s="268">
        <v>763.40099999999995</v>
      </c>
      <c r="D7" s="268">
        <v>816.11300000000006</v>
      </c>
      <c r="E7" s="268">
        <v>628.803</v>
      </c>
      <c r="F7" s="268">
        <v>475.31400000000002</v>
      </c>
      <c r="G7" s="268">
        <v>383.12799999999999</v>
      </c>
      <c r="H7" s="268">
        <v>294.601</v>
      </c>
      <c r="I7" s="268">
        <v>413.96100000000001</v>
      </c>
      <c r="J7" s="268">
        <v>218.70099999999999</v>
      </c>
      <c r="K7" s="268">
        <v>67.2</v>
      </c>
      <c r="L7" s="268">
        <v>44.4</v>
      </c>
      <c r="M7" s="268" t="s">
        <v>50</v>
      </c>
      <c r="N7" s="158"/>
      <c r="O7" s="158"/>
      <c r="P7" s="259"/>
      <c r="S7" s="260"/>
      <c r="T7" s="258"/>
    </row>
    <row r="8" spans="1:30" x14ac:dyDescent="0.15">
      <c r="A8" s="160" t="s">
        <v>307</v>
      </c>
      <c r="B8" s="268">
        <v>225.458</v>
      </c>
      <c r="C8" s="268">
        <v>126.361</v>
      </c>
      <c r="D8" s="268">
        <v>274.93799999999999</v>
      </c>
      <c r="E8" s="268">
        <v>214.233</v>
      </c>
      <c r="F8" s="268">
        <v>89.771000000000001</v>
      </c>
      <c r="G8" s="268">
        <v>102.15600000000001</v>
      </c>
      <c r="H8" s="268">
        <v>63.966999999999999</v>
      </c>
      <c r="I8" s="268">
        <v>88.206999999999994</v>
      </c>
      <c r="J8" s="268">
        <v>127.9</v>
      </c>
      <c r="K8" s="268">
        <v>25.7</v>
      </c>
      <c r="L8" s="268">
        <v>15.2</v>
      </c>
      <c r="M8" s="268" t="s">
        <v>50</v>
      </c>
      <c r="N8" s="158"/>
      <c r="O8" s="158"/>
      <c r="P8" s="261"/>
    </row>
    <row r="9" spans="1:30" x14ac:dyDescent="0.15">
      <c r="A9" s="160" t="s">
        <v>361</v>
      </c>
      <c r="B9" s="268">
        <v>-0.94199999999999995</v>
      </c>
      <c r="C9" s="268">
        <v>-4.4660000000000002</v>
      </c>
      <c r="D9" s="268">
        <v>-3.339</v>
      </c>
      <c r="E9" s="268">
        <v>-9.1549999999999994</v>
      </c>
      <c r="F9" s="268">
        <v>-21.779</v>
      </c>
      <c r="G9" s="268">
        <v>-3.1280000000000001</v>
      </c>
      <c r="H9" s="268">
        <v>-32.606999999999999</v>
      </c>
      <c r="I9" s="268">
        <v>21.7</v>
      </c>
      <c r="J9" s="268">
        <v>6.1</v>
      </c>
      <c r="K9" s="268">
        <v>3.5</v>
      </c>
      <c r="L9" s="268">
        <v>3.9</v>
      </c>
      <c r="M9" s="268" t="s">
        <v>50</v>
      </c>
      <c r="N9" s="158"/>
      <c r="O9" s="158"/>
      <c r="P9" s="158"/>
      <c r="R9" s="189">
        <f>B5</f>
        <v>2023</v>
      </c>
      <c r="S9" s="189">
        <f>C5</f>
        <v>2022</v>
      </c>
      <c r="T9" s="189">
        <f t="shared" ref="T9:AB9" si="1">D5</f>
        <v>2021</v>
      </c>
      <c r="U9" s="189">
        <f t="shared" si="1"/>
        <v>2020</v>
      </c>
      <c r="V9" s="189">
        <f t="shared" si="1"/>
        <v>2019</v>
      </c>
      <c r="W9" s="189">
        <f t="shared" si="1"/>
        <v>2018</v>
      </c>
      <c r="X9" s="189">
        <f t="shared" si="1"/>
        <v>2017</v>
      </c>
      <c r="Y9" s="189">
        <f t="shared" si="1"/>
        <v>2016</v>
      </c>
      <c r="Z9" s="189">
        <f t="shared" si="1"/>
        <v>2015</v>
      </c>
      <c r="AA9" s="189">
        <f t="shared" si="1"/>
        <v>2014</v>
      </c>
      <c r="AB9" s="189">
        <f t="shared" si="1"/>
        <v>2013</v>
      </c>
      <c r="AC9" s="189"/>
    </row>
    <row r="10" spans="1:30" x14ac:dyDescent="0.15">
      <c r="A10" s="160" t="s">
        <v>362</v>
      </c>
      <c r="B10" s="268">
        <v>1.43</v>
      </c>
      <c r="C10" s="268">
        <v>5.718</v>
      </c>
      <c r="D10" s="268">
        <v>3.1890000000000001</v>
      </c>
      <c r="E10" s="268">
        <v>0.123</v>
      </c>
      <c r="F10" s="268">
        <v>-0.73399999999999999</v>
      </c>
      <c r="G10" s="268">
        <v>-1.2609999999999999</v>
      </c>
      <c r="H10" s="268">
        <v>0.69899999999999995</v>
      </c>
      <c r="I10" s="268">
        <v>-1.242</v>
      </c>
      <c r="J10" s="268">
        <v>6.5</v>
      </c>
      <c r="K10" s="268">
        <v>0.2</v>
      </c>
      <c r="L10" s="268">
        <v>0.2</v>
      </c>
      <c r="M10" s="268" t="s">
        <v>50</v>
      </c>
      <c r="N10" s="158"/>
      <c r="O10" s="158"/>
      <c r="P10" s="158"/>
      <c r="Q10" s="157" t="s">
        <v>363</v>
      </c>
      <c r="R10" s="307">
        <f>B24</f>
        <v>337.20800000000003</v>
      </c>
      <c r="S10" s="307">
        <f>C24</f>
        <v>371.41199999999998</v>
      </c>
      <c r="T10" s="307">
        <f t="shared" ref="T10:AB10" si="2">D24</f>
        <v>318.86399999999998</v>
      </c>
      <c r="U10" s="307">
        <f t="shared" si="2"/>
        <v>140.11099999999999</v>
      </c>
      <c r="V10" s="307">
        <f t="shared" si="2"/>
        <v>185.7</v>
      </c>
      <c r="W10" s="307">
        <f t="shared" si="2"/>
        <v>145.423</v>
      </c>
      <c r="X10" s="307">
        <f t="shared" si="2"/>
        <v>175.09800000000001</v>
      </c>
      <c r="Y10" s="307">
        <f t="shared" si="2"/>
        <v>246.119</v>
      </c>
      <c r="Z10" s="307">
        <f t="shared" si="2"/>
        <v>88.3</v>
      </c>
      <c r="AA10" s="307">
        <f t="shared" si="2"/>
        <v>17.7</v>
      </c>
      <c r="AB10" s="307" t="str">
        <f t="shared" si="2"/>
        <v>N/A</v>
      </c>
      <c r="AC10" s="307"/>
      <c r="AD10" s="162"/>
    </row>
    <row r="11" spans="1:30" x14ac:dyDescent="0.15">
      <c r="A11" s="160" t="s">
        <v>364</v>
      </c>
      <c r="B11" s="268">
        <v>-46.433999999999997</v>
      </c>
      <c r="C11" s="268">
        <v>-39.847000000000001</v>
      </c>
      <c r="D11" s="268">
        <v>-32.07</v>
      </c>
      <c r="E11" s="268">
        <v>-30.535</v>
      </c>
      <c r="F11" s="268">
        <v>-28.959</v>
      </c>
      <c r="G11" s="268">
        <v>-24.777000000000001</v>
      </c>
      <c r="H11" s="268">
        <v>-20.768999999999998</v>
      </c>
      <c r="I11" s="268">
        <v>-11.675000000000001</v>
      </c>
      <c r="J11" s="268">
        <v>-7.5</v>
      </c>
      <c r="K11" s="268">
        <v>-6.8</v>
      </c>
      <c r="L11" s="268">
        <v>-5.7</v>
      </c>
      <c r="M11" s="268" t="s">
        <v>50</v>
      </c>
      <c r="N11" s="158"/>
      <c r="O11" s="158"/>
      <c r="P11" s="158"/>
      <c r="Q11" s="157" t="s">
        <v>365</v>
      </c>
      <c r="R11" s="307">
        <f>B23</f>
        <v>95.774000000000001</v>
      </c>
      <c r="S11" s="307">
        <f>C23</f>
        <v>79.445999999999998</v>
      </c>
      <c r="T11" s="307">
        <f t="shared" ref="T11:AB11" si="3">D23</f>
        <v>109.53</v>
      </c>
      <c r="U11" s="307">
        <f t="shared" si="3"/>
        <v>65.417000000000002</v>
      </c>
      <c r="V11" s="307">
        <f t="shared" si="3"/>
        <v>82.688000000000002</v>
      </c>
      <c r="W11" s="307">
        <f t="shared" si="3"/>
        <v>59.328000000000003</v>
      </c>
      <c r="X11" s="307">
        <f t="shared" si="3"/>
        <v>67.152000000000001</v>
      </c>
      <c r="Y11" s="307">
        <f t="shared" si="3"/>
        <v>37.200000000000003</v>
      </c>
      <c r="Z11" s="307">
        <f t="shared" si="3"/>
        <v>64</v>
      </c>
      <c r="AA11" s="307">
        <f t="shared" si="3"/>
        <v>16.899999999999999</v>
      </c>
      <c r="AB11" s="307" t="str">
        <f t="shared" si="3"/>
        <v>N/A</v>
      </c>
      <c r="AC11" s="307"/>
      <c r="AD11" s="162"/>
    </row>
    <row r="12" spans="1:30" x14ac:dyDescent="0.15">
      <c r="A12" s="160" t="s">
        <v>313</v>
      </c>
      <c r="B12" s="268">
        <f t="shared" ref="B12:J12" si="4">R17</f>
        <v>31.698000000000036</v>
      </c>
      <c r="C12" s="268">
        <f t="shared" si="4"/>
        <v>-28.036999999999978</v>
      </c>
      <c r="D12" s="268">
        <f t="shared" si="4"/>
        <v>290.56399999999996</v>
      </c>
      <c r="E12" s="268">
        <f t="shared" si="4"/>
        <v>-23.061999999999998</v>
      </c>
      <c r="F12" s="268">
        <f t="shared" si="4"/>
        <v>78.722999999999985</v>
      </c>
      <c r="G12" s="268">
        <f t="shared" si="4"/>
        <v>-9.1040000000000134</v>
      </c>
      <c r="H12" s="268">
        <f t="shared" si="4"/>
        <v>-20.126999999999988</v>
      </c>
      <c r="I12" s="268">
        <f t="shared" si="4"/>
        <v>125.51900000000001</v>
      </c>
      <c r="J12" s="268">
        <f t="shared" si="4"/>
        <v>129.69999999999999</v>
      </c>
      <c r="K12" s="268" t="s">
        <v>50</v>
      </c>
      <c r="L12" s="268" t="s">
        <v>50</v>
      </c>
      <c r="M12" s="268" t="s">
        <v>50</v>
      </c>
      <c r="N12" s="158"/>
      <c r="O12" s="158"/>
      <c r="P12" s="158"/>
      <c r="Q12" s="157" t="s">
        <v>366</v>
      </c>
      <c r="R12" s="307">
        <v>190.392</v>
      </c>
      <c r="S12" s="307">
        <v>140.81800000000001</v>
      </c>
      <c r="T12" s="307">
        <v>191.31899999999999</v>
      </c>
      <c r="U12" s="307">
        <v>123.621</v>
      </c>
      <c r="V12" s="307">
        <v>83.822999999999993</v>
      </c>
      <c r="W12" s="307">
        <v>68.736999999999995</v>
      </c>
      <c r="X12" s="307">
        <v>40.341999999999999</v>
      </c>
      <c r="Y12" s="307">
        <v>19.399999999999999</v>
      </c>
      <c r="Z12" s="307">
        <v>24.9</v>
      </c>
      <c r="AA12" s="307">
        <v>12.9</v>
      </c>
      <c r="AB12" s="307" t="s">
        <v>50</v>
      </c>
      <c r="AC12" s="307"/>
      <c r="AD12" s="162"/>
    </row>
    <row r="13" spans="1:30" x14ac:dyDescent="0.15">
      <c r="A13" s="160" t="s">
        <v>323</v>
      </c>
      <c r="B13" s="268">
        <v>-50.671999999999997</v>
      </c>
      <c r="C13" s="268">
        <v>-45.929000000000002</v>
      </c>
      <c r="D13" s="268">
        <v>-56.121000000000002</v>
      </c>
      <c r="E13" s="268">
        <v>-15.566000000000001</v>
      </c>
      <c r="F13" s="268">
        <v>-32.076999999999998</v>
      </c>
      <c r="G13" s="268">
        <v>-20.86</v>
      </c>
      <c r="H13" s="268">
        <v>-42.197000000000003</v>
      </c>
      <c r="I13" s="268">
        <v>-35.588000000000001</v>
      </c>
      <c r="J13" s="268">
        <v>-8.9</v>
      </c>
      <c r="K13" s="268">
        <v>-3.8</v>
      </c>
      <c r="L13" s="268">
        <v>-4.7</v>
      </c>
      <c r="M13" s="268" t="s">
        <v>50</v>
      </c>
      <c r="N13" s="158"/>
      <c r="R13" s="307"/>
      <c r="S13" s="307"/>
      <c r="T13" s="307"/>
      <c r="U13" s="307"/>
      <c r="V13" s="307"/>
      <c r="W13" s="307"/>
      <c r="X13" s="307"/>
      <c r="Y13" s="307"/>
      <c r="Z13" s="307"/>
      <c r="AA13" s="307"/>
      <c r="AB13" s="307"/>
      <c r="AC13" s="307"/>
    </row>
    <row r="14" spans="1:30" x14ac:dyDescent="0.15">
      <c r="A14" s="160" t="s">
        <v>96</v>
      </c>
      <c r="B14" s="268">
        <v>0</v>
      </c>
      <c r="C14" s="268">
        <v>0</v>
      </c>
      <c r="D14" s="268">
        <v>0</v>
      </c>
      <c r="E14" s="268">
        <v>0</v>
      </c>
      <c r="F14" s="268">
        <v>0</v>
      </c>
      <c r="G14" s="268">
        <v>0</v>
      </c>
      <c r="H14" s="268">
        <v>0</v>
      </c>
      <c r="I14" s="268">
        <v>0</v>
      </c>
      <c r="J14" s="268">
        <v>0</v>
      </c>
      <c r="K14" s="268">
        <v>0</v>
      </c>
      <c r="L14" s="268">
        <v>0</v>
      </c>
      <c r="M14" s="268" t="s">
        <v>50</v>
      </c>
      <c r="N14" s="158"/>
      <c r="O14" s="158"/>
      <c r="P14" s="158"/>
      <c r="R14" s="307">
        <f>(R10-S10)</f>
        <v>-34.203999999999951</v>
      </c>
      <c r="S14" s="307">
        <f>(S10-T10)</f>
        <v>52.548000000000002</v>
      </c>
      <c r="T14" s="307">
        <f t="shared" ref="T14:AB14" si="5">(T10-U10)</f>
        <v>178.75299999999999</v>
      </c>
      <c r="U14" s="307">
        <f t="shared" si="5"/>
        <v>-45.588999999999999</v>
      </c>
      <c r="V14" s="307">
        <f t="shared" si="5"/>
        <v>40.276999999999987</v>
      </c>
      <c r="W14" s="307">
        <f t="shared" si="5"/>
        <v>-29.675000000000011</v>
      </c>
      <c r="X14" s="307">
        <f t="shared" si="5"/>
        <v>-71.020999999999987</v>
      </c>
      <c r="Y14" s="307">
        <f t="shared" si="5"/>
        <v>157.81900000000002</v>
      </c>
      <c r="Z14" s="307">
        <f t="shared" si="5"/>
        <v>70.599999999999994</v>
      </c>
      <c r="AA14" s="307" t="e">
        <f t="shared" si="5"/>
        <v>#VALUE!</v>
      </c>
      <c r="AB14" s="307" t="e">
        <f t="shared" si="5"/>
        <v>#VALUE!</v>
      </c>
      <c r="AC14" s="307"/>
      <c r="AD14" s="262"/>
    </row>
    <row r="15" spans="1:30" x14ac:dyDescent="0.15">
      <c r="A15" s="160" t="s">
        <v>315</v>
      </c>
      <c r="B15" s="268">
        <f>-(B16-B8+B9+B10)</f>
        <v>55.085000000000008</v>
      </c>
      <c r="C15" s="268">
        <f t="shared" ref="C15:E15" si="6">-(C16-C8+C9+C10)</f>
        <v>35.416000000000011</v>
      </c>
      <c r="D15" s="268">
        <f t="shared" si="6"/>
        <v>62.485999999999983</v>
      </c>
      <c r="E15" s="268">
        <f t="shared" si="6"/>
        <v>67.464000000000013</v>
      </c>
      <c r="F15" s="268">
        <f t="shared" ref="F15" si="7">-(F16-F8+F9+F10)</f>
        <v>61.85</v>
      </c>
      <c r="G15" s="268">
        <f t="shared" ref="G15:H15" si="8">-(G16-G8+G9+G10)</f>
        <v>48.782000000000011</v>
      </c>
      <c r="H15" s="268">
        <f t="shared" si="8"/>
        <v>80.474000000000004</v>
      </c>
      <c r="I15" s="268">
        <f t="shared" ref="I15" si="9">-(I16-I8+I9+I10)</f>
        <v>19.771999999999998</v>
      </c>
      <c r="J15" s="268">
        <f t="shared" ref="J15" si="10">-(J16-J8+J9+J10)</f>
        <v>41.1</v>
      </c>
      <c r="K15" s="268">
        <f t="shared" ref="K15:L15" si="11">-(K16-K8+K9+K10)</f>
        <v>7.8</v>
      </c>
      <c r="L15" s="268">
        <f t="shared" si="11"/>
        <v>3.7999999999999994</v>
      </c>
      <c r="M15" s="268" t="s">
        <v>50</v>
      </c>
      <c r="N15" s="158"/>
      <c r="O15" s="158"/>
      <c r="P15" s="158"/>
      <c r="Q15" s="162"/>
      <c r="R15" s="307">
        <f t="shared" ref="R15:AB16" si="12">(R11-S11)</f>
        <v>16.328000000000003</v>
      </c>
      <c r="S15" s="307">
        <f t="shared" si="12"/>
        <v>-30.084000000000003</v>
      </c>
      <c r="T15" s="307">
        <f t="shared" si="12"/>
        <v>44.113</v>
      </c>
      <c r="U15" s="307">
        <f t="shared" si="12"/>
        <v>-17.271000000000001</v>
      </c>
      <c r="V15" s="307">
        <f t="shared" si="12"/>
        <v>23.36</v>
      </c>
      <c r="W15" s="307">
        <f t="shared" si="12"/>
        <v>-7.8239999999999981</v>
      </c>
      <c r="X15" s="307">
        <f t="shared" si="12"/>
        <v>29.951999999999998</v>
      </c>
      <c r="Y15" s="307">
        <f t="shared" si="12"/>
        <v>-26.799999999999997</v>
      </c>
      <c r="Z15" s="307">
        <f t="shared" si="12"/>
        <v>47.1</v>
      </c>
      <c r="AA15" s="307" t="e">
        <f t="shared" si="12"/>
        <v>#VALUE!</v>
      </c>
      <c r="AB15" s="307" t="e">
        <f t="shared" si="12"/>
        <v>#VALUE!</v>
      </c>
      <c r="AC15" s="307"/>
      <c r="AD15" s="262"/>
    </row>
    <row r="16" spans="1:30" x14ac:dyDescent="0.15">
      <c r="A16" s="160" t="s">
        <v>97</v>
      </c>
      <c r="B16" s="268">
        <v>169.88499999999999</v>
      </c>
      <c r="C16" s="268">
        <v>89.692999999999998</v>
      </c>
      <c r="D16" s="268">
        <v>212.602</v>
      </c>
      <c r="E16" s="268">
        <v>155.80099999999999</v>
      </c>
      <c r="F16" s="268">
        <v>50.433999999999997</v>
      </c>
      <c r="G16" s="268">
        <v>57.762999999999998</v>
      </c>
      <c r="H16" s="268">
        <v>15.401</v>
      </c>
      <c r="I16" s="268">
        <v>47.976999999999997</v>
      </c>
      <c r="J16" s="268">
        <v>74.2</v>
      </c>
      <c r="K16" s="268">
        <v>14.2</v>
      </c>
      <c r="L16" s="268">
        <v>7.3</v>
      </c>
      <c r="M16" s="268" t="s">
        <v>50</v>
      </c>
      <c r="N16" s="158"/>
      <c r="O16" s="158"/>
      <c r="P16" s="158"/>
      <c r="Q16" s="162"/>
      <c r="R16" s="307">
        <f t="shared" si="12"/>
        <v>49.573999999999984</v>
      </c>
      <c r="S16" s="307">
        <f t="shared" si="12"/>
        <v>-50.500999999999976</v>
      </c>
      <c r="T16" s="307">
        <f t="shared" si="12"/>
        <v>67.697999999999993</v>
      </c>
      <c r="U16" s="307">
        <f t="shared" si="12"/>
        <v>39.798000000000002</v>
      </c>
      <c r="V16" s="307">
        <f t="shared" si="12"/>
        <v>15.085999999999999</v>
      </c>
      <c r="W16" s="307">
        <f t="shared" si="12"/>
        <v>28.394999999999996</v>
      </c>
      <c r="X16" s="307">
        <f t="shared" si="12"/>
        <v>20.942</v>
      </c>
      <c r="Y16" s="307">
        <f t="shared" si="12"/>
        <v>-5.5</v>
      </c>
      <c r="Z16" s="307">
        <f t="shared" si="12"/>
        <v>11.999999999999998</v>
      </c>
      <c r="AA16" s="307" t="e">
        <f t="shared" si="12"/>
        <v>#VALUE!</v>
      </c>
      <c r="AB16" s="307" t="e">
        <f t="shared" si="12"/>
        <v>#VALUE!</v>
      </c>
      <c r="AC16" s="307"/>
      <c r="AD16" s="262"/>
    </row>
    <row r="17" spans="1:102" x14ac:dyDescent="0.15">
      <c r="A17" s="160" t="s">
        <v>319</v>
      </c>
      <c r="B17" s="268">
        <v>0</v>
      </c>
      <c r="C17" s="268">
        <v>0</v>
      </c>
      <c r="D17" s="268">
        <v>0</v>
      </c>
      <c r="E17" s="268">
        <v>0</v>
      </c>
      <c r="F17" s="268">
        <v>0</v>
      </c>
      <c r="G17" s="268">
        <v>0</v>
      </c>
      <c r="H17" s="268">
        <v>0</v>
      </c>
      <c r="I17" s="268">
        <v>0</v>
      </c>
      <c r="J17" s="268" t="s">
        <v>50</v>
      </c>
      <c r="K17" s="268" t="s">
        <v>50</v>
      </c>
      <c r="L17" s="268" t="s">
        <v>50</v>
      </c>
      <c r="M17" s="268" t="s">
        <v>50</v>
      </c>
      <c r="N17" s="158"/>
      <c r="O17" s="158"/>
      <c r="P17" s="158"/>
      <c r="Q17" s="165" t="s">
        <v>367</v>
      </c>
      <c r="R17" s="308">
        <f>SUM(R14:R16)</f>
        <v>31.698000000000036</v>
      </c>
      <c r="S17" s="308">
        <f>SUM(S14:S16)</f>
        <v>-28.036999999999978</v>
      </c>
      <c r="T17" s="308">
        <f t="shared" ref="T17:AB17" si="13">SUM(T14:T16)</f>
        <v>290.56399999999996</v>
      </c>
      <c r="U17" s="308">
        <f t="shared" si="13"/>
        <v>-23.061999999999998</v>
      </c>
      <c r="V17" s="308">
        <f t="shared" si="13"/>
        <v>78.722999999999985</v>
      </c>
      <c r="W17" s="308">
        <f t="shared" si="13"/>
        <v>-9.1040000000000134</v>
      </c>
      <c r="X17" s="308">
        <f t="shared" si="13"/>
        <v>-20.126999999999988</v>
      </c>
      <c r="Y17" s="308">
        <f t="shared" si="13"/>
        <v>125.51900000000001</v>
      </c>
      <c r="Z17" s="308">
        <f t="shared" si="13"/>
        <v>129.69999999999999</v>
      </c>
      <c r="AA17" s="308" t="e">
        <f t="shared" si="13"/>
        <v>#VALUE!</v>
      </c>
      <c r="AB17" s="308" t="e">
        <f t="shared" si="13"/>
        <v>#VALUE!</v>
      </c>
      <c r="AC17" s="307"/>
      <c r="AD17" s="262"/>
    </row>
    <row r="18" spans="1:102" x14ac:dyDescent="0.15">
      <c r="A18" s="160" t="s">
        <v>368</v>
      </c>
      <c r="B18" s="268">
        <v>0</v>
      </c>
      <c r="C18" s="268">
        <v>0</v>
      </c>
      <c r="D18" s="268">
        <v>0</v>
      </c>
      <c r="E18" s="268">
        <v>0</v>
      </c>
      <c r="F18" s="268">
        <v>0</v>
      </c>
      <c r="G18" s="268">
        <v>0</v>
      </c>
      <c r="H18" s="268">
        <v>0</v>
      </c>
      <c r="I18" s="268">
        <v>0</v>
      </c>
      <c r="J18" s="268" t="s">
        <v>50</v>
      </c>
      <c r="K18" s="268" t="s">
        <v>50</v>
      </c>
      <c r="L18" s="268" t="s">
        <v>50</v>
      </c>
      <c r="M18" s="268" t="s">
        <v>50</v>
      </c>
      <c r="N18" s="158"/>
      <c r="O18" s="158"/>
      <c r="P18" s="158"/>
      <c r="S18" s="262"/>
    </row>
    <row r="19" spans="1:102" x14ac:dyDescent="0.15">
      <c r="B19" s="297">
        <f t="shared" ref="B19:M19" si="14">B8-B9-B10-B15</f>
        <v>169.88499999999999</v>
      </c>
      <c r="C19" s="297">
        <f t="shared" si="14"/>
        <v>89.692999999999984</v>
      </c>
      <c r="D19" s="297">
        <f t="shared" si="14"/>
        <v>212.60199999999998</v>
      </c>
      <c r="E19" s="297">
        <f t="shared" si="14"/>
        <v>155.80099999999999</v>
      </c>
      <c r="F19" s="297">
        <f t="shared" si="14"/>
        <v>50.43399999999999</v>
      </c>
      <c r="G19" s="297">
        <f t="shared" si="14"/>
        <v>57.762999999999991</v>
      </c>
      <c r="H19" s="297">
        <f t="shared" si="14"/>
        <v>15.400999999999996</v>
      </c>
      <c r="I19" s="297">
        <f t="shared" si="14"/>
        <v>47.976999999999997</v>
      </c>
      <c r="J19" s="158">
        <f t="shared" si="14"/>
        <v>74.200000000000017</v>
      </c>
      <c r="K19" s="158">
        <f t="shared" si="14"/>
        <v>14.2</v>
      </c>
      <c r="L19" s="158">
        <f t="shared" si="14"/>
        <v>7.3000000000000007</v>
      </c>
      <c r="M19" s="158" t="e">
        <f t="shared" si="14"/>
        <v>#VALUE!</v>
      </c>
      <c r="S19" s="262"/>
    </row>
    <row r="20" spans="1:102" x14ac:dyDescent="0.15">
      <c r="A20" s="189" t="s">
        <v>369</v>
      </c>
      <c r="B20" s="163">
        <f t="shared" ref="B20:M20" si="15">B16-B19</f>
        <v>0</v>
      </c>
      <c r="C20" s="163">
        <f t="shared" si="15"/>
        <v>0</v>
      </c>
      <c r="D20" s="163">
        <f t="shared" si="15"/>
        <v>0</v>
      </c>
      <c r="E20" s="163">
        <f t="shared" si="15"/>
        <v>0</v>
      </c>
      <c r="F20" s="163">
        <f t="shared" si="15"/>
        <v>0</v>
      </c>
      <c r="G20" s="163">
        <f t="shared" si="15"/>
        <v>0</v>
      </c>
      <c r="H20" s="163">
        <f t="shared" si="15"/>
        <v>0</v>
      </c>
      <c r="I20" s="163">
        <f t="shared" si="15"/>
        <v>0</v>
      </c>
      <c r="J20" s="163">
        <f t="shared" si="15"/>
        <v>0</v>
      </c>
      <c r="K20" s="163">
        <f t="shared" si="15"/>
        <v>0</v>
      </c>
      <c r="L20" s="163">
        <f t="shared" si="15"/>
        <v>0</v>
      </c>
      <c r="M20" s="163" t="e">
        <f t="shared" si="15"/>
        <v>#VALUE!</v>
      </c>
      <c r="Q20" s="162"/>
      <c r="S20" s="262"/>
    </row>
    <row r="21" spans="1:102" x14ac:dyDescent="0.15">
      <c r="A21" s="159" t="s">
        <v>326</v>
      </c>
      <c r="B21" s="165"/>
      <c r="C21" s="165"/>
      <c r="D21" s="165"/>
      <c r="E21" s="165"/>
      <c r="F21" s="165"/>
      <c r="G21" s="165"/>
      <c r="H21" s="165"/>
      <c r="I21" s="165"/>
      <c r="J21" s="165"/>
      <c r="K21" s="164"/>
      <c r="L21" s="164"/>
      <c r="Q21" s="162"/>
      <c r="S21" s="262"/>
    </row>
    <row r="22" spans="1:102" x14ac:dyDescent="0.15">
      <c r="A22" s="160" t="s">
        <v>327</v>
      </c>
      <c r="B22" s="270">
        <v>438.96</v>
      </c>
      <c r="C22" s="270">
        <v>234.74100000000001</v>
      </c>
      <c r="D22" s="270">
        <v>312.18900000000002</v>
      </c>
      <c r="E22" s="270">
        <v>253.28299999999999</v>
      </c>
      <c r="F22" s="270">
        <v>72.515000000000001</v>
      </c>
      <c r="G22" s="270">
        <v>80.051000000000002</v>
      </c>
      <c r="H22" s="270">
        <v>53.65</v>
      </c>
      <c r="I22" s="270">
        <v>21.291</v>
      </c>
      <c r="J22" s="161">
        <v>40.299999999999997</v>
      </c>
      <c r="K22" s="161">
        <v>8.9</v>
      </c>
      <c r="L22" s="161" t="s">
        <v>50</v>
      </c>
      <c r="M22" s="161" t="s">
        <v>50</v>
      </c>
      <c r="N22" s="158"/>
      <c r="O22" s="158"/>
      <c r="P22" s="158"/>
      <c r="Q22" s="162"/>
      <c r="R22" s="162"/>
      <c r="S22" s="162"/>
      <c r="T22" s="162"/>
      <c r="U22" s="162"/>
      <c r="V22" s="162"/>
      <c r="W22" s="162"/>
      <c r="X22" s="162"/>
      <c r="Y22" s="162"/>
      <c r="Z22" s="162"/>
      <c r="AA22" s="162"/>
      <c r="AB22" s="162"/>
      <c r="AC22" s="162"/>
    </row>
    <row r="23" spans="1:102" s="167" customFormat="1" x14ac:dyDescent="0.15">
      <c r="A23" s="166" t="s">
        <v>328</v>
      </c>
      <c r="B23" s="270">
        <v>95.774000000000001</v>
      </c>
      <c r="C23" s="270">
        <v>79.445999999999998</v>
      </c>
      <c r="D23" s="270">
        <v>109.53</v>
      </c>
      <c r="E23" s="270">
        <v>65.417000000000002</v>
      </c>
      <c r="F23" s="270">
        <v>82.688000000000002</v>
      </c>
      <c r="G23" s="270">
        <v>59.328000000000003</v>
      </c>
      <c r="H23" s="270">
        <v>67.152000000000001</v>
      </c>
      <c r="I23" s="270">
        <v>37.200000000000003</v>
      </c>
      <c r="J23" s="161">
        <v>64</v>
      </c>
      <c r="K23" s="161">
        <v>16.899999999999999</v>
      </c>
      <c r="L23" s="161" t="s">
        <v>50</v>
      </c>
      <c r="M23" s="161" t="s">
        <v>50</v>
      </c>
      <c r="N23" s="158"/>
      <c r="O23" s="158"/>
      <c r="P23" s="158"/>
      <c r="Q23" s="162"/>
      <c r="R23" s="162"/>
      <c r="S23" s="162"/>
      <c r="T23" s="162"/>
      <c r="U23" s="162"/>
      <c r="V23" s="162"/>
      <c r="W23" s="162"/>
      <c r="X23" s="162"/>
      <c r="Y23" s="162"/>
      <c r="Z23" s="162"/>
      <c r="AA23" s="162"/>
      <c r="AB23" s="162"/>
      <c r="AC23" s="162"/>
      <c r="AD23" s="157"/>
      <c r="AE23" s="157"/>
      <c r="AF23" s="157"/>
      <c r="AG23" s="157"/>
      <c r="AH23" s="157"/>
      <c r="AI23" s="157"/>
      <c r="AJ23" s="157"/>
      <c r="AK23" s="157"/>
      <c r="AL23" s="157"/>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c r="CQ23" s="157"/>
      <c r="CR23" s="157"/>
      <c r="CS23" s="157"/>
      <c r="CT23" s="157"/>
      <c r="CU23" s="157"/>
      <c r="CV23" s="157"/>
      <c r="CW23" s="157"/>
      <c r="CX23" s="157"/>
    </row>
    <row r="24" spans="1:102" x14ac:dyDescent="0.15">
      <c r="A24" s="160" t="s">
        <v>329</v>
      </c>
      <c r="B24" s="270">
        <v>337.20800000000003</v>
      </c>
      <c r="C24" s="270">
        <v>371.41199999999998</v>
      </c>
      <c r="D24" s="270">
        <v>318.86399999999998</v>
      </c>
      <c r="E24" s="270">
        <v>140.11099999999999</v>
      </c>
      <c r="F24" s="270">
        <v>185.7</v>
      </c>
      <c r="G24" s="270">
        <v>145.423</v>
      </c>
      <c r="H24" s="270">
        <v>175.09800000000001</v>
      </c>
      <c r="I24" s="270">
        <v>246.119</v>
      </c>
      <c r="J24" s="161">
        <v>88.3</v>
      </c>
      <c r="K24" s="161">
        <v>17.7</v>
      </c>
      <c r="L24" s="161" t="s">
        <v>50</v>
      </c>
      <c r="M24" s="161" t="s">
        <v>50</v>
      </c>
      <c r="N24" s="158"/>
      <c r="O24" s="158"/>
      <c r="P24" s="158"/>
      <c r="Q24" s="162"/>
      <c r="R24" s="162"/>
      <c r="S24" s="162"/>
      <c r="T24" s="162"/>
      <c r="U24" s="162"/>
      <c r="V24" s="162"/>
      <c r="W24" s="162"/>
      <c r="X24" s="162"/>
      <c r="Y24" s="162"/>
      <c r="Z24" s="162"/>
      <c r="AA24" s="162"/>
      <c r="AB24" s="162"/>
      <c r="AC24" s="162"/>
    </row>
    <row r="25" spans="1:102" x14ac:dyDescent="0.15">
      <c r="A25" s="160" t="s">
        <v>370</v>
      </c>
      <c r="B25" s="270">
        <v>130.714</v>
      </c>
      <c r="C25" s="270">
        <v>124.587</v>
      </c>
      <c r="D25" s="270">
        <v>119.044</v>
      </c>
      <c r="E25" s="270">
        <v>78.075000000000003</v>
      </c>
      <c r="F25" s="270">
        <v>82.61</v>
      </c>
      <c r="G25" s="270">
        <v>74.096999999999994</v>
      </c>
      <c r="H25" s="270">
        <v>73.783000000000001</v>
      </c>
      <c r="I25" s="270">
        <v>47.1</v>
      </c>
      <c r="J25" s="161">
        <v>14.8</v>
      </c>
      <c r="K25" s="161">
        <v>9.1</v>
      </c>
      <c r="L25" s="161" t="s">
        <v>50</v>
      </c>
      <c r="M25" s="161" t="s">
        <v>50</v>
      </c>
      <c r="N25" s="158"/>
      <c r="O25" s="158"/>
      <c r="P25" s="158"/>
      <c r="Q25" s="162"/>
      <c r="R25" s="162"/>
      <c r="S25" s="162"/>
      <c r="T25" s="162"/>
      <c r="U25" s="162"/>
      <c r="V25" s="162"/>
      <c r="W25" s="162"/>
      <c r="X25" s="162"/>
      <c r="Y25" s="162"/>
      <c r="Z25" s="162"/>
      <c r="AA25" s="162"/>
      <c r="AB25" s="162"/>
      <c r="AC25" s="162"/>
    </row>
    <row r="26" spans="1:102" x14ac:dyDescent="0.15">
      <c r="A26" s="157" t="s">
        <v>331</v>
      </c>
      <c r="B26" s="297">
        <f>B27-SUM(B22:B25)</f>
        <v>294.53600000000006</v>
      </c>
      <c r="C26" s="297">
        <f t="shared" ref="C26" si="16">C27-SUM(C22:C25)</f>
        <v>266.57900000000018</v>
      </c>
      <c r="D26" s="297">
        <f>D27-SUM(D22:D25)</f>
        <v>236.73699999999997</v>
      </c>
      <c r="E26" s="297">
        <f>E27-SUM(E22:E25)</f>
        <v>200.18100000000004</v>
      </c>
      <c r="F26" s="297">
        <f>F27-SUM(F22:F25)</f>
        <v>206.02599999999995</v>
      </c>
      <c r="G26" s="297">
        <f t="shared" ref="G26:M26" si="17">G27-SUM(G22:G25)</f>
        <v>155.31399999999996</v>
      </c>
      <c r="H26" s="297">
        <f t="shared" si="17"/>
        <v>146.74400000000003</v>
      </c>
      <c r="I26" s="297">
        <f t="shared" si="17"/>
        <v>184.39699999999993</v>
      </c>
      <c r="J26" s="158">
        <f t="shared" si="17"/>
        <v>138.6</v>
      </c>
      <c r="K26" s="158">
        <f t="shared" si="17"/>
        <v>128.9</v>
      </c>
      <c r="L26" s="158" t="e">
        <f t="shared" si="17"/>
        <v>#VALUE!</v>
      </c>
      <c r="M26" s="158" t="e">
        <f t="shared" si="17"/>
        <v>#VALUE!</v>
      </c>
      <c r="N26" s="158"/>
      <c r="O26" s="158"/>
      <c r="P26" s="158"/>
      <c r="Q26" s="162"/>
      <c r="R26" s="162"/>
      <c r="S26" s="162"/>
      <c r="T26" s="162"/>
      <c r="U26" s="162"/>
      <c r="V26" s="162"/>
      <c r="W26" s="162"/>
      <c r="X26" s="162"/>
      <c r="Y26" s="162"/>
      <c r="Z26" s="162"/>
    </row>
    <row r="27" spans="1:102" x14ac:dyDescent="0.15">
      <c r="A27" s="160" t="s">
        <v>332</v>
      </c>
      <c r="B27" s="298">
        <v>1297.192</v>
      </c>
      <c r="C27" s="298">
        <v>1076.7650000000001</v>
      </c>
      <c r="D27" s="298">
        <v>1096.364</v>
      </c>
      <c r="E27" s="298">
        <v>737.06700000000001</v>
      </c>
      <c r="F27" s="298">
        <v>629.53899999999999</v>
      </c>
      <c r="G27" s="298">
        <v>514.21299999999997</v>
      </c>
      <c r="H27" s="298">
        <v>516.42700000000002</v>
      </c>
      <c r="I27" s="298">
        <v>536.10699999999997</v>
      </c>
      <c r="J27" s="161">
        <v>346</v>
      </c>
      <c r="K27" s="161">
        <v>181.5</v>
      </c>
      <c r="L27" s="161" t="s">
        <v>50</v>
      </c>
      <c r="M27" s="161" t="s">
        <v>50</v>
      </c>
      <c r="N27" s="158"/>
      <c r="O27" s="158"/>
      <c r="P27" s="158"/>
      <c r="Q27" s="162"/>
      <c r="R27" s="162"/>
      <c r="S27" s="162"/>
      <c r="T27" s="162"/>
      <c r="U27" s="162"/>
      <c r="V27" s="162"/>
      <c r="W27" s="162"/>
      <c r="X27" s="162"/>
      <c r="Y27" s="162"/>
      <c r="Z27" s="162"/>
    </row>
    <row r="28" spans="1:102" x14ac:dyDescent="0.15">
      <c r="B28" s="162"/>
      <c r="C28" s="162"/>
      <c r="D28" s="162"/>
      <c r="E28" s="162"/>
      <c r="F28" s="162"/>
      <c r="G28" s="162"/>
      <c r="H28" s="162"/>
      <c r="I28" s="162"/>
      <c r="J28" s="162"/>
      <c r="K28" s="162"/>
      <c r="L28" s="162"/>
      <c r="Q28" s="162"/>
      <c r="R28" s="162"/>
      <c r="S28" s="162"/>
      <c r="T28" s="162"/>
      <c r="U28" s="162"/>
      <c r="V28" s="162"/>
      <c r="W28" s="162"/>
      <c r="X28" s="162"/>
      <c r="Y28" s="162"/>
      <c r="Z28" s="162"/>
    </row>
    <row r="29" spans="1:102" x14ac:dyDescent="0.15">
      <c r="B29" s="162"/>
      <c r="C29" s="162"/>
      <c r="D29" s="162"/>
      <c r="E29" s="162"/>
      <c r="F29" s="162"/>
      <c r="G29" s="162"/>
      <c r="H29" s="162"/>
      <c r="I29" s="162"/>
      <c r="J29" s="162"/>
      <c r="K29" s="162"/>
      <c r="L29" s="162"/>
      <c r="Q29" s="162"/>
      <c r="R29" s="162"/>
      <c r="S29" s="162"/>
      <c r="T29" s="162"/>
      <c r="U29" s="162"/>
      <c r="V29" s="162"/>
      <c r="W29" s="162"/>
      <c r="X29" s="162"/>
      <c r="Y29" s="162"/>
      <c r="Z29" s="162"/>
    </row>
    <row r="30" spans="1:102" x14ac:dyDescent="0.15">
      <c r="A30" s="159" t="s">
        <v>333</v>
      </c>
      <c r="B30" s="165"/>
      <c r="C30" s="165"/>
      <c r="D30" s="165"/>
      <c r="E30" s="165"/>
      <c r="F30" s="165"/>
      <c r="G30" s="165"/>
      <c r="H30" s="165"/>
      <c r="I30" s="165"/>
      <c r="J30" s="165"/>
      <c r="K30" s="164"/>
      <c r="L30" s="164"/>
      <c r="Q30" s="162"/>
      <c r="R30" s="162"/>
      <c r="S30" s="162"/>
      <c r="T30" s="162"/>
      <c r="U30" s="162"/>
      <c r="V30" s="162"/>
      <c r="W30" s="162"/>
      <c r="X30" s="162"/>
      <c r="Y30" s="162"/>
      <c r="Z30" s="162"/>
    </row>
    <row r="31" spans="1:102" s="159" customFormat="1" x14ac:dyDescent="0.15">
      <c r="A31" s="169" t="s">
        <v>334</v>
      </c>
      <c r="B31" s="298">
        <v>398.35300000000001</v>
      </c>
      <c r="C31" s="298">
        <v>409.04</v>
      </c>
      <c r="D31" s="298">
        <v>403.71300000000002</v>
      </c>
      <c r="E31" s="298">
        <v>287.75900000000001</v>
      </c>
      <c r="F31" s="298">
        <v>170.31200000000001</v>
      </c>
      <c r="G31" s="298">
        <v>187.33799999999999</v>
      </c>
      <c r="H31" s="298">
        <v>151.898</v>
      </c>
      <c r="I31" s="161">
        <v>137.9</v>
      </c>
      <c r="J31" s="161">
        <v>81.8</v>
      </c>
      <c r="K31" s="161">
        <v>21.8</v>
      </c>
      <c r="L31" s="161" t="s">
        <v>50</v>
      </c>
      <c r="M31" s="161" t="s">
        <v>50</v>
      </c>
      <c r="N31" s="158"/>
      <c r="O31" s="164"/>
      <c r="P31" s="164"/>
      <c r="Q31" s="162"/>
      <c r="R31" s="162"/>
      <c r="S31" s="162"/>
      <c r="T31" s="162"/>
      <c r="U31" s="162"/>
      <c r="V31" s="162"/>
      <c r="W31" s="162"/>
      <c r="X31" s="162"/>
      <c r="Y31" s="162"/>
      <c r="Z31" s="162"/>
    </row>
    <row r="32" spans="1:102" x14ac:dyDescent="0.15">
      <c r="A32" s="160" t="s">
        <v>335</v>
      </c>
      <c r="B32" s="270">
        <v>6.5789999999999997</v>
      </c>
      <c r="C32" s="270">
        <v>24.611000000000001</v>
      </c>
      <c r="D32" s="270">
        <v>24.56</v>
      </c>
      <c r="E32" s="270">
        <v>22.696999999999999</v>
      </c>
      <c r="F32" s="270">
        <v>15.185</v>
      </c>
      <c r="G32" s="270">
        <v>43.637999999999998</v>
      </c>
      <c r="H32" s="270">
        <v>47.05</v>
      </c>
      <c r="I32" s="161">
        <v>45.6</v>
      </c>
      <c r="J32" s="161">
        <v>2</v>
      </c>
      <c r="K32" s="161">
        <v>2</v>
      </c>
      <c r="L32" s="161" t="s">
        <v>50</v>
      </c>
      <c r="M32" s="161" t="s">
        <v>50</v>
      </c>
      <c r="N32" s="158"/>
      <c r="O32" s="158"/>
      <c r="P32" s="158"/>
      <c r="Q32" s="162"/>
      <c r="R32" s="162"/>
      <c r="S32" s="162"/>
      <c r="T32" s="162"/>
      <c r="U32" s="162"/>
      <c r="V32" s="162"/>
      <c r="W32" s="162"/>
      <c r="X32" s="162"/>
      <c r="Y32" s="162"/>
      <c r="Z32" s="162"/>
    </row>
    <row r="33" spans="1:26" x14ac:dyDescent="0.15">
      <c r="A33" s="160" t="s">
        <v>336</v>
      </c>
      <c r="B33" s="270">
        <v>14.726000000000001</v>
      </c>
      <c r="C33" s="270">
        <v>12.076000000000001</v>
      </c>
      <c r="D33" s="270">
        <v>10.167</v>
      </c>
      <c r="E33" s="270">
        <v>8.2469999999999999</v>
      </c>
      <c r="F33" s="270">
        <v>7.7679999999999998</v>
      </c>
      <c r="G33" s="161">
        <v>0</v>
      </c>
      <c r="H33" s="161">
        <v>0</v>
      </c>
      <c r="I33" s="161" t="s">
        <v>50</v>
      </c>
      <c r="J33" s="161" t="s">
        <v>50</v>
      </c>
      <c r="K33" s="161" t="s">
        <v>50</v>
      </c>
      <c r="L33" s="161" t="s">
        <v>50</v>
      </c>
      <c r="M33" s="161" t="s">
        <v>50</v>
      </c>
      <c r="N33" s="158"/>
      <c r="O33" s="158"/>
      <c r="P33" s="158"/>
      <c r="Q33" s="162"/>
      <c r="R33" s="162"/>
      <c r="S33" s="162"/>
      <c r="T33" s="162"/>
      <c r="U33" s="162"/>
      <c r="V33" s="162"/>
      <c r="W33" s="162"/>
      <c r="X33" s="162"/>
      <c r="Y33" s="162"/>
      <c r="Z33" s="162"/>
    </row>
    <row r="34" spans="1:26" x14ac:dyDescent="0.15">
      <c r="A34" s="157" t="s">
        <v>337</v>
      </c>
      <c r="B34" s="297">
        <f>B31-B32-B33</f>
        <v>377.048</v>
      </c>
      <c r="C34" s="297">
        <f>C31-C32-C33</f>
        <v>372.35300000000001</v>
      </c>
      <c r="D34" s="297">
        <f t="shared" ref="D34:M34" si="18">D31-D32-D33</f>
        <v>368.98600000000005</v>
      </c>
      <c r="E34" s="297">
        <f t="shared" si="18"/>
        <v>256.815</v>
      </c>
      <c r="F34" s="297">
        <f t="shared" si="18"/>
        <v>147.35900000000001</v>
      </c>
      <c r="G34" s="297">
        <f t="shared" si="18"/>
        <v>143.69999999999999</v>
      </c>
      <c r="H34" s="297">
        <f t="shared" si="18"/>
        <v>104.848</v>
      </c>
      <c r="I34" s="158" t="e">
        <f t="shared" si="18"/>
        <v>#VALUE!</v>
      </c>
      <c r="J34" s="158" t="e">
        <f t="shared" si="18"/>
        <v>#VALUE!</v>
      </c>
      <c r="K34" s="158" t="e">
        <f t="shared" si="18"/>
        <v>#VALUE!</v>
      </c>
      <c r="L34" s="158" t="e">
        <f t="shared" si="18"/>
        <v>#VALUE!</v>
      </c>
      <c r="M34" s="158" t="e">
        <f t="shared" si="18"/>
        <v>#VALUE!</v>
      </c>
      <c r="N34" s="158"/>
      <c r="O34" s="158"/>
      <c r="P34" s="158"/>
      <c r="Q34" s="162"/>
      <c r="R34" s="162"/>
      <c r="S34" s="162"/>
      <c r="T34" s="162"/>
      <c r="U34" s="162"/>
      <c r="V34" s="162"/>
      <c r="W34" s="162"/>
      <c r="X34" s="162"/>
      <c r="Y34" s="162"/>
      <c r="Z34" s="162"/>
    </row>
    <row r="35" spans="1:26" s="159" customFormat="1" x14ac:dyDescent="0.15">
      <c r="A35" s="169" t="s">
        <v>338</v>
      </c>
      <c r="B35" s="298">
        <f>B39-B31</f>
        <v>175.22899999999998</v>
      </c>
      <c r="C35" s="298">
        <f>C39-C31</f>
        <v>141.24799999999999</v>
      </c>
      <c r="D35" s="298">
        <f t="shared" ref="D35:K35" si="19">D39-D31</f>
        <v>174.82800000000003</v>
      </c>
      <c r="E35" s="298">
        <f t="shared" si="19"/>
        <v>160.88999999999999</v>
      </c>
      <c r="F35" s="298">
        <f t="shared" si="19"/>
        <v>337.22199999999998</v>
      </c>
      <c r="G35" s="298">
        <f t="shared" si="19"/>
        <v>297.904</v>
      </c>
      <c r="H35" s="298">
        <f t="shared" si="19"/>
        <v>440.76</v>
      </c>
      <c r="I35" s="298">
        <f t="shared" si="19"/>
        <v>493.30000000000007</v>
      </c>
      <c r="J35" s="298">
        <f t="shared" si="19"/>
        <v>63.3</v>
      </c>
      <c r="K35" s="298">
        <f t="shared" si="19"/>
        <v>35.200000000000003</v>
      </c>
      <c r="L35" s="161" t="s">
        <v>50</v>
      </c>
      <c r="M35" s="161" t="s">
        <v>50</v>
      </c>
      <c r="N35" s="158"/>
      <c r="O35" s="164"/>
      <c r="P35" s="164"/>
      <c r="Q35" s="162"/>
      <c r="R35" s="162"/>
      <c r="S35" s="162"/>
      <c r="T35" s="162"/>
      <c r="U35" s="162"/>
      <c r="V35" s="162"/>
      <c r="W35" s="162"/>
      <c r="X35" s="162"/>
      <c r="Y35" s="162"/>
      <c r="Z35" s="162"/>
    </row>
    <row r="36" spans="1:26" x14ac:dyDescent="0.15">
      <c r="A36" s="160" t="s">
        <v>339</v>
      </c>
      <c r="B36" s="270">
        <v>78.644999999999996</v>
      </c>
      <c r="C36" s="270">
        <v>71.741</v>
      </c>
      <c r="D36" s="270">
        <v>95.741</v>
      </c>
      <c r="E36" s="270">
        <v>111.017</v>
      </c>
      <c r="F36" s="270">
        <v>281.71499999999997</v>
      </c>
      <c r="G36" s="270">
        <v>284.37599999999998</v>
      </c>
      <c r="H36" s="270">
        <v>428.63200000000001</v>
      </c>
      <c r="I36" s="161">
        <v>491.7</v>
      </c>
      <c r="J36" s="161">
        <v>59.7</v>
      </c>
      <c r="K36" s="161">
        <v>26.7</v>
      </c>
      <c r="L36" s="161" t="s">
        <v>50</v>
      </c>
      <c r="M36" s="161" t="s">
        <v>50</v>
      </c>
      <c r="N36" s="158"/>
      <c r="O36" s="158"/>
      <c r="P36" s="158"/>
      <c r="Q36" s="162"/>
      <c r="R36" s="162"/>
      <c r="S36" s="162"/>
      <c r="T36" s="162"/>
      <c r="U36" s="162"/>
      <c r="V36" s="162"/>
      <c r="W36" s="162"/>
      <c r="X36" s="162"/>
      <c r="Y36" s="162"/>
      <c r="Z36" s="162"/>
    </row>
    <row r="37" spans="1:26" x14ac:dyDescent="0.15">
      <c r="A37" s="160" t="s">
        <v>340</v>
      </c>
      <c r="B37" s="270">
        <v>76.162999999999997</v>
      </c>
      <c r="C37" s="270">
        <v>55.649000000000001</v>
      </c>
      <c r="D37" s="270">
        <v>55.94</v>
      </c>
      <c r="E37" s="270">
        <v>36.545999999999999</v>
      </c>
      <c r="F37" s="270">
        <v>42.2</v>
      </c>
      <c r="G37" s="161">
        <v>0</v>
      </c>
      <c r="H37" s="161">
        <v>0</v>
      </c>
      <c r="I37" s="161" t="s">
        <v>50</v>
      </c>
      <c r="J37" s="161" t="s">
        <v>50</v>
      </c>
      <c r="K37" s="161" t="s">
        <v>50</v>
      </c>
      <c r="L37" s="161" t="s">
        <v>50</v>
      </c>
      <c r="M37" s="161" t="s">
        <v>50</v>
      </c>
      <c r="N37" s="158"/>
      <c r="O37" s="158"/>
      <c r="P37" s="158"/>
      <c r="Q37" s="162"/>
      <c r="R37" s="158"/>
    </row>
    <row r="38" spans="1:26" x14ac:dyDescent="0.15">
      <c r="A38" s="157" t="s">
        <v>341</v>
      </c>
      <c r="B38" s="297">
        <f>B35-B36-B37</f>
        <v>20.420999999999992</v>
      </c>
      <c r="C38" s="297">
        <f>C35-C36-C37</f>
        <v>13.85799999999999</v>
      </c>
      <c r="D38" s="297">
        <f t="shared" ref="D38:M38" si="20">D35-D36-D37</f>
        <v>23.147000000000034</v>
      </c>
      <c r="E38" s="297">
        <f t="shared" si="20"/>
        <v>13.326999999999991</v>
      </c>
      <c r="F38" s="297">
        <f t="shared" si="20"/>
        <v>13.307000000000002</v>
      </c>
      <c r="G38" s="297">
        <f t="shared" si="20"/>
        <v>13.52800000000002</v>
      </c>
      <c r="H38" s="297">
        <f t="shared" si="20"/>
        <v>12.127999999999986</v>
      </c>
      <c r="I38" s="297" t="e">
        <f t="shared" si="20"/>
        <v>#VALUE!</v>
      </c>
      <c r="J38" s="297" t="e">
        <f t="shared" si="20"/>
        <v>#VALUE!</v>
      </c>
      <c r="K38" s="297" t="e">
        <f t="shared" si="20"/>
        <v>#VALUE!</v>
      </c>
      <c r="L38" s="158" t="e">
        <f t="shared" si="20"/>
        <v>#VALUE!</v>
      </c>
      <c r="M38" s="158" t="e">
        <f t="shared" si="20"/>
        <v>#VALUE!</v>
      </c>
      <c r="N38" s="158"/>
      <c r="O38" s="158"/>
      <c r="P38" s="158"/>
      <c r="Q38" s="158"/>
      <c r="R38" s="158"/>
    </row>
    <row r="39" spans="1:26" s="159" customFormat="1" x14ac:dyDescent="0.15">
      <c r="A39" s="159" t="s">
        <v>342</v>
      </c>
      <c r="B39" s="299">
        <v>573.58199999999999</v>
      </c>
      <c r="C39" s="299">
        <v>550.28800000000001</v>
      </c>
      <c r="D39" s="299">
        <v>578.54100000000005</v>
      </c>
      <c r="E39" s="299">
        <v>448.649</v>
      </c>
      <c r="F39" s="299">
        <v>507.53399999999999</v>
      </c>
      <c r="G39" s="299">
        <v>485.24200000000002</v>
      </c>
      <c r="H39" s="299">
        <v>592.65800000000002</v>
      </c>
      <c r="I39" s="164">
        <v>631.20000000000005</v>
      </c>
      <c r="J39" s="164">
        <v>145.1</v>
      </c>
      <c r="K39" s="164">
        <v>57</v>
      </c>
      <c r="L39" s="164" t="e">
        <f>L35+L31</f>
        <v>#VALUE!</v>
      </c>
      <c r="M39" s="164" t="e">
        <f>M35+M31</f>
        <v>#VALUE!</v>
      </c>
      <c r="N39" s="164"/>
      <c r="O39" s="164"/>
      <c r="P39" s="189"/>
      <c r="Q39" s="164"/>
      <c r="R39" s="164"/>
    </row>
    <row r="40" spans="1:26" x14ac:dyDescent="0.15">
      <c r="B40" s="162"/>
      <c r="C40" s="162"/>
      <c r="D40" s="162"/>
      <c r="E40" s="162"/>
      <c r="F40" s="162"/>
      <c r="G40" s="162"/>
      <c r="H40" s="162"/>
      <c r="I40" s="162"/>
      <c r="J40" s="162"/>
      <c r="K40" s="162"/>
      <c r="L40" s="162"/>
      <c r="P40" s="189"/>
    </row>
    <row r="41" spans="1:26" x14ac:dyDescent="0.15">
      <c r="B41" s="162"/>
      <c r="C41" s="162"/>
      <c r="D41" s="162"/>
      <c r="E41" s="162"/>
      <c r="F41" s="162"/>
      <c r="G41" s="162"/>
      <c r="H41" s="162"/>
      <c r="I41" s="162"/>
      <c r="J41" s="162"/>
      <c r="K41" s="162"/>
      <c r="L41" s="162"/>
      <c r="P41" s="189"/>
    </row>
    <row r="42" spans="1:26" s="159" customFormat="1" x14ac:dyDescent="0.15">
      <c r="A42" s="169" t="s">
        <v>345</v>
      </c>
      <c r="B42" s="168">
        <v>0</v>
      </c>
      <c r="C42" s="168">
        <v>0</v>
      </c>
      <c r="D42" s="168">
        <v>0</v>
      </c>
      <c r="E42" s="168">
        <v>0</v>
      </c>
      <c r="F42" s="168">
        <v>0</v>
      </c>
      <c r="G42" s="168">
        <v>0</v>
      </c>
      <c r="H42" s="168">
        <v>0</v>
      </c>
      <c r="I42" s="161">
        <v>2.2000000000000002</v>
      </c>
      <c r="J42" s="161">
        <v>0</v>
      </c>
      <c r="K42" s="161">
        <v>0</v>
      </c>
      <c r="L42" s="161" t="s">
        <v>50</v>
      </c>
      <c r="M42" s="161" t="s">
        <v>50</v>
      </c>
      <c r="N42" s="158"/>
      <c r="O42" s="158"/>
      <c r="P42" s="164"/>
      <c r="Q42" s="162"/>
      <c r="R42" s="162"/>
      <c r="S42" s="162"/>
      <c r="T42" s="162"/>
      <c r="U42" s="162"/>
      <c r="V42" s="162"/>
      <c r="W42" s="162"/>
      <c r="X42" s="162"/>
      <c r="Y42" s="162"/>
      <c r="Z42" s="162"/>
    </row>
    <row r="43" spans="1:26" x14ac:dyDescent="0.15">
      <c r="B43" s="162"/>
      <c r="C43" s="162"/>
      <c r="D43" s="162"/>
      <c r="E43" s="162"/>
      <c r="F43" s="158"/>
      <c r="G43" s="158"/>
      <c r="H43" s="158"/>
      <c r="I43" s="158"/>
      <c r="J43" s="158"/>
      <c r="M43" s="158"/>
      <c r="N43" s="158"/>
      <c r="O43" s="158"/>
      <c r="P43" s="164"/>
      <c r="Q43" s="158"/>
      <c r="R43" s="158"/>
    </row>
    <row r="44" spans="1:26" x14ac:dyDescent="0.15">
      <c r="A44" s="159" t="s">
        <v>346</v>
      </c>
      <c r="B44" s="299">
        <f>B27-B39-B42</f>
        <v>723.61</v>
      </c>
      <c r="C44" s="299">
        <f>C27-C39-C42</f>
        <v>526.47700000000009</v>
      </c>
      <c r="D44" s="299">
        <f>D27-D39-D42</f>
        <v>517.82299999999998</v>
      </c>
      <c r="E44" s="299">
        <f>E27-E39-E42</f>
        <v>288.41800000000001</v>
      </c>
      <c r="F44" s="299">
        <f>F27-F39-F42</f>
        <v>122.005</v>
      </c>
      <c r="G44" s="299">
        <f t="shared" ref="G44:J44" si="21">G27-G39-G42</f>
        <v>28.970999999999947</v>
      </c>
      <c r="H44" s="299">
        <f t="shared" si="21"/>
        <v>-76.230999999999995</v>
      </c>
      <c r="I44" s="299">
        <f t="shared" si="21"/>
        <v>-97.293000000000077</v>
      </c>
      <c r="J44" s="164">
        <f t="shared" si="21"/>
        <v>200.9</v>
      </c>
      <c r="K44" s="164">
        <f>K27-K39-K42</f>
        <v>124.5</v>
      </c>
      <c r="L44" s="164" t="e">
        <f t="shared" ref="L44:M44" si="22">L27-L39-L42</f>
        <v>#VALUE!</v>
      </c>
      <c r="M44" s="164" t="e">
        <f t="shared" si="22"/>
        <v>#VALUE!</v>
      </c>
      <c r="N44" s="164"/>
      <c r="O44" s="164"/>
      <c r="P44" s="164"/>
      <c r="Q44" s="164"/>
      <c r="R44" s="164"/>
    </row>
    <row r="45" spans="1:26" x14ac:dyDescent="0.15">
      <c r="B45" s="262"/>
      <c r="C45" s="262"/>
      <c r="D45" s="262"/>
      <c r="E45" s="262"/>
      <c r="F45" s="262"/>
      <c r="G45" s="262"/>
      <c r="H45" s="262"/>
      <c r="I45" s="262"/>
      <c r="P45" s="189"/>
    </row>
    <row r="46" spans="1:26" x14ac:dyDescent="0.15">
      <c r="A46" s="189" t="s">
        <v>347</v>
      </c>
      <c r="B46" s="189"/>
      <c r="C46" s="189"/>
      <c r="D46" s="189"/>
      <c r="E46" s="189"/>
      <c r="F46" s="189"/>
      <c r="G46" s="189"/>
      <c r="H46" s="189"/>
      <c r="I46" s="189"/>
      <c r="J46" s="189"/>
      <c r="K46" s="164"/>
      <c r="L46" s="164"/>
      <c r="P46" s="189"/>
    </row>
    <row r="47" spans="1:26" x14ac:dyDescent="0.15">
      <c r="A47" s="160" t="s">
        <v>371</v>
      </c>
      <c r="B47" s="161"/>
      <c r="C47" s="161"/>
      <c r="D47" s="161"/>
      <c r="E47" s="161"/>
      <c r="F47" s="161"/>
      <c r="G47" s="161"/>
      <c r="H47" s="161"/>
      <c r="I47" s="161"/>
      <c r="J47" s="161"/>
      <c r="K47" s="161"/>
      <c r="L47" s="161"/>
      <c r="M47" s="161"/>
      <c r="N47" s="158"/>
      <c r="O47" s="158"/>
      <c r="P47" s="164"/>
      <c r="Q47" s="158"/>
      <c r="R47" s="158"/>
    </row>
    <row r="48" spans="1:26" x14ac:dyDescent="0.15">
      <c r="A48" s="160" t="s">
        <v>349</v>
      </c>
      <c r="B48" s="161"/>
      <c r="C48" s="161"/>
      <c r="D48" s="161"/>
      <c r="E48" s="161"/>
      <c r="F48" s="161"/>
      <c r="G48" s="161"/>
      <c r="H48" s="161"/>
      <c r="I48" s="161"/>
      <c r="J48" s="161"/>
      <c r="K48" s="161"/>
      <c r="L48" s="161"/>
      <c r="M48" s="161"/>
      <c r="N48" s="158"/>
      <c r="O48" s="158"/>
      <c r="P48" s="164"/>
      <c r="Q48" s="158"/>
      <c r="R48" s="158"/>
    </row>
    <row r="49" spans="1:18" x14ac:dyDescent="0.15">
      <c r="A49" s="160" t="s">
        <v>49</v>
      </c>
      <c r="B49" s="263"/>
      <c r="C49" s="263"/>
      <c r="D49" s="263"/>
      <c r="E49" s="263"/>
      <c r="F49" s="263"/>
      <c r="G49" s="263"/>
      <c r="H49" s="263"/>
      <c r="I49" s="263"/>
      <c r="J49" s="263"/>
      <c r="K49" s="263"/>
      <c r="L49" s="263"/>
      <c r="M49" s="263"/>
      <c r="N49" s="267"/>
      <c r="O49" s="264"/>
      <c r="P49" s="265"/>
      <c r="Q49" s="264"/>
      <c r="R49" s="264"/>
    </row>
    <row r="50" spans="1:18" x14ac:dyDescent="0.15">
      <c r="A50" s="160" t="s">
        <v>350</v>
      </c>
      <c r="B50" s="263"/>
      <c r="C50" s="263"/>
      <c r="D50" s="263"/>
      <c r="E50" s="263"/>
      <c r="F50" s="263"/>
      <c r="G50" s="263"/>
      <c r="H50" s="263"/>
      <c r="I50" s="263"/>
      <c r="J50" s="263"/>
      <c r="K50" s="263"/>
      <c r="L50" s="263"/>
      <c r="M50" s="263"/>
      <c r="N50" s="267"/>
      <c r="O50" s="264"/>
      <c r="P50" s="266"/>
      <c r="Q50" s="264"/>
      <c r="R50" s="267"/>
    </row>
    <row r="51" spans="1:18" x14ac:dyDescent="0.15">
      <c r="A51" s="160" t="s">
        <v>351</v>
      </c>
      <c r="B51" s="161"/>
      <c r="C51" s="161"/>
      <c r="D51" s="161"/>
      <c r="E51" s="161"/>
      <c r="F51" s="161"/>
      <c r="G51" s="161"/>
      <c r="H51" s="161"/>
      <c r="I51" s="161"/>
      <c r="J51" s="161"/>
      <c r="K51" s="161"/>
      <c r="L51" s="161"/>
      <c r="M51" s="161"/>
      <c r="N51" s="158"/>
      <c r="O51" s="164"/>
      <c r="P51" s="164"/>
      <c r="Q51" s="164"/>
      <c r="R51" s="164"/>
    </row>
    <row r="52" spans="1:18" x14ac:dyDescent="0.15">
      <c r="A52" s="160" t="str">
        <f>"Vol. Diario en Millones "&amp;A1</f>
        <v>Vol. Diario en Millones USD</v>
      </c>
      <c r="B52" s="268"/>
      <c r="C52" s="268"/>
      <c r="D52" s="268"/>
      <c r="E52" s="268"/>
      <c r="F52" s="268"/>
      <c r="G52" s="268"/>
      <c r="H52" s="268"/>
      <c r="I52" s="268"/>
      <c r="J52" s="268"/>
      <c r="K52" s="268"/>
      <c r="L52" s="268"/>
      <c r="M52" s="268"/>
      <c r="N52" s="158"/>
      <c r="P52" s="189"/>
    </row>
    <row r="53" spans="1:18" x14ac:dyDescent="0.15">
      <c r="B53" s="189">
        <v>2021</v>
      </c>
      <c r="C53" s="189">
        <f>B53+1</f>
        <v>2022</v>
      </c>
      <c r="D53" s="189">
        <f>C53+1</f>
        <v>2023</v>
      </c>
      <c r="E53" s="269"/>
      <c r="G53" s="269"/>
      <c r="H53" s="269"/>
      <c r="I53" s="269"/>
      <c r="J53" s="269"/>
      <c r="K53" s="269"/>
      <c r="L53" s="269"/>
      <c r="P53" s="189"/>
    </row>
    <row r="54" spans="1:18" x14ac:dyDescent="0.15">
      <c r="A54" s="160" t="s">
        <v>372</v>
      </c>
      <c r="B54" s="263"/>
      <c r="C54" s="263"/>
      <c r="D54" s="263"/>
      <c r="K54" s="157"/>
      <c r="L54" s="157"/>
      <c r="P54" s="189"/>
    </row>
    <row r="55" spans="1:18" x14ac:dyDescent="0.15">
      <c r="A55" s="160" t="s">
        <v>112</v>
      </c>
      <c r="B55" s="268"/>
      <c r="C55" s="268"/>
      <c r="D55" s="268"/>
      <c r="K55" s="157"/>
      <c r="L55" s="157"/>
      <c r="P55" s="189"/>
    </row>
    <row r="56" spans="1:18" x14ac:dyDescent="0.15">
      <c r="P56" s="189"/>
    </row>
    <row r="57" spans="1:18" x14ac:dyDescent="0.15">
      <c r="A57" s="189" t="s">
        <v>373</v>
      </c>
      <c r="B57" s="189" t="s">
        <v>352</v>
      </c>
      <c r="C57" s="189" t="s">
        <v>351</v>
      </c>
      <c r="D57" s="189" t="s">
        <v>374</v>
      </c>
      <c r="E57" s="189" t="s">
        <v>355</v>
      </c>
      <c r="J57" s="158"/>
      <c r="L57" s="127"/>
      <c r="P57" s="189"/>
    </row>
    <row r="58" spans="1:18" x14ac:dyDescent="0.15">
      <c r="A58" s="160"/>
      <c r="B58" s="270"/>
      <c r="C58" s="161"/>
      <c r="D58" s="271"/>
      <c r="E58" s="161"/>
      <c r="J58" s="158"/>
      <c r="L58" s="127"/>
      <c r="P58" s="189"/>
    </row>
    <row r="59" spans="1:18" x14ac:dyDescent="0.15">
      <c r="A59" s="160"/>
      <c r="B59" s="270"/>
      <c r="C59" s="161"/>
      <c r="D59" s="271"/>
      <c r="E59" s="161"/>
      <c r="J59" s="158"/>
      <c r="L59" s="127"/>
      <c r="P59" s="189"/>
    </row>
    <row r="60" spans="1:18" x14ac:dyDescent="0.15">
      <c r="A60" s="160"/>
      <c r="B60" s="270"/>
      <c r="C60" s="161"/>
      <c r="D60" s="271"/>
      <c r="E60" s="161"/>
      <c r="J60" s="158"/>
      <c r="L60" s="127"/>
      <c r="P60" s="189"/>
    </row>
    <row r="61" spans="1:18" x14ac:dyDescent="0.15">
      <c r="A61" s="160"/>
      <c r="B61" s="270"/>
      <c r="C61" s="161"/>
      <c r="D61" s="271"/>
      <c r="E61" s="161"/>
      <c r="J61" s="158"/>
      <c r="L61" s="127"/>
      <c r="P61" s="189"/>
    </row>
    <row r="62" spans="1:18" x14ac:dyDescent="0.15">
      <c r="P62" s="189"/>
    </row>
    <row r="63" spans="1:18" x14ac:dyDescent="0.15">
      <c r="P63" s="189"/>
    </row>
    <row r="64" spans="1:18" x14ac:dyDescent="0.15">
      <c r="P64" s="189"/>
    </row>
  </sheetData>
  <mergeCells count="1">
    <mergeCell ref="C2:L2"/>
  </mergeCells>
  <phoneticPr fontId="66" type="noConversion"/>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B671-01D3-F442-8B38-4FBB4402BA7A}">
  <dimension ref="A2:AP196"/>
  <sheetViews>
    <sheetView zoomScale="108" zoomScaleNormal="90" workbookViewId="0">
      <selection activeCell="L195" sqref="L195"/>
    </sheetView>
  </sheetViews>
  <sheetFormatPr baseColWidth="10" defaultColWidth="11.5" defaultRowHeight="13" x14ac:dyDescent="0.15"/>
  <cols>
    <col min="1" max="1" width="20.83203125" customWidth="1"/>
    <col min="2" max="2" width="24.83203125" customWidth="1"/>
    <col min="3" max="3" width="27.6640625" customWidth="1"/>
    <col min="4" max="4" width="10.83203125" customWidth="1"/>
    <col min="6" max="6" width="25" customWidth="1"/>
    <col min="7" max="7" width="10.5" customWidth="1"/>
    <col min="12" max="12" width="9" customWidth="1"/>
    <col min="13" max="13" width="15.83203125" customWidth="1"/>
    <col min="14" max="14" width="15" customWidth="1"/>
    <col min="15" max="15" width="17" customWidth="1"/>
    <col min="16" max="16" width="18.1640625" customWidth="1"/>
    <col min="17" max="17" width="17.33203125" customWidth="1"/>
    <col min="18" max="18" width="21.1640625" customWidth="1"/>
    <col min="19" max="19" width="20.1640625" customWidth="1"/>
    <col min="20" max="20" width="21.6640625" customWidth="1"/>
  </cols>
  <sheetData>
    <row r="2" spans="1:42" ht="16" x14ac:dyDescent="0.2">
      <c r="A2" s="352"/>
      <c r="B2" s="351" t="s">
        <v>375</v>
      </c>
      <c r="C2" s="352"/>
      <c r="D2" s="352"/>
      <c r="E2" s="352"/>
      <c r="F2" s="352"/>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row>
    <row r="4" spans="1:42" x14ac:dyDescent="0.15">
      <c r="B4" s="71" t="s">
        <v>376</v>
      </c>
      <c r="C4" s="71"/>
    </row>
    <row r="6" spans="1:42" x14ac:dyDescent="0.15">
      <c r="B6" s="71"/>
      <c r="C6" s="71"/>
    </row>
    <row r="7" spans="1:42" ht="14" x14ac:dyDescent="0.15">
      <c r="L7" s="356"/>
    </row>
    <row r="8" spans="1:42" ht="14" x14ac:dyDescent="0.15">
      <c r="C8" s="717" t="s">
        <v>377</v>
      </c>
      <c r="D8" s="717"/>
      <c r="E8" s="717"/>
      <c r="F8" s="717"/>
      <c r="G8" s="717"/>
      <c r="H8" s="717"/>
      <c r="I8" s="717"/>
      <c r="J8" s="717"/>
      <c r="K8" s="717"/>
      <c r="L8" s="717"/>
      <c r="N8" s="356"/>
      <c r="P8" s="71"/>
      <c r="Q8" s="71"/>
      <c r="R8" s="71"/>
      <c r="T8" s="71"/>
    </row>
    <row r="9" spans="1:42" ht="16" x14ac:dyDescent="0.15">
      <c r="B9" s="353"/>
      <c r="C9" s="355">
        <v>2023</v>
      </c>
      <c r="D9" s="355">
        <v>2022</v>
      </c>
      <c r="E9" s="355">
        <v>2021</v>
      </c>
      <c r="F9" s="355">
        <v>2020</v>
      </c>
      <c r="G9" s="355">
        <v>2019</v>
      </c>
      <c r="H9" s="355">
        <v>2018</v>
      </c>
      <c r="I9" s="355">
        <v>2017</v>
      </c>
      <c r="J9" s="355">
        <v>2016</v>
      </c>
      <c r="K9" s="355">
        <v>2015</v>
      </c>
      <c r="L9" s="355">
        <v>2016</v>
      </c>
      <c r="N9" s="333" t="s">
        <v>378</v>
      </c>
      <c r="O9" s="333" t="s">
        <v>379</v>
      </c>
      <c r="P9" s="333" t="s">
        <v>380</v>
      </c>
      <c r="R9" s="340" t="s">
        <v>381</v>
      </c>
      <c r="S9" s="340" t="s">
        <v>382</v>
      </c>
      <c r="T9" s="71"/>
      <c r="V9" s="71"/>
    </row>
    <row r="10" spans="1:42" ht="16" x14ac:dyDescent="0.15">
      <c r="B10" s="354" t="s">
        <v>383</v>
      </c>
      <c r="C10" s="363">
        <f>(Cifras_Originales!B6-Cifras_Originales!C6)/Cifras_Originales!C6</f>
        <v>3.9800729929752712E-2</v>
      </c>
      <c r="D10" s="364">
        <f>(Cifras_Originales!C6-Cifras_Originales!D6)/Cifras_Originales!D6</f>
        <v>0.13057011783933109</v>
      </c>
      <c r="E10" s="364">
        <f>(Cifras_Originales!D6-Cifras_Originales!E6)/Cifras_Originales!E6</f>
        <v>0.29244468137921686</v>
      </c>
      <c r="F10" s="364">
        <f>(Cifras_Originales!E6-Cifras_Originales!F6)/Cifras_Originales!F6</f>
        <v>0.19479082533866526</v>
      </c>
      <c r="G10" s="364">
        <f>(Cifras_Originales!F6-Cifras_Originales!G6)/Cifras_Originales!G6</f>
        <v>0.17320914753226951</v>
      </c>
      <c r="H10" s="364">
        <f>(Cifras_Originales!G6-Cifras_Originales!H6)/Cifras_Originales!H6</f>
        <v>0.21837528686453725</v>
      </c>
      <c r="I10" s="364">
        <f>(Cifras_Originales!H6-Cifras_Originales!I6)/Cifras_Originales!I6</f>
        <v>-0.21940643339837879</v>
      </c>
      <c r="J10" s="382">
        <f>(Cifras_Originales!I6-Cifras_Originales!J6)/Cifras_Originales!J6</f>
        <v>0.74628635279968258</v>
      </c>
      <c r="K10" s="359">
        <f>(Cifras_Originales!J6-Cifras_Originales!K6)/Cifras_Originales!K6</f>
        <v>2.1749898442789442</v>
      </c>
      <c r="L10" s="404">
        <f>(Cifras_Originales!K6-Cifras_Originales!L6)/Cifras_Originales!L6</f>
        <v>0.6429365962180198</v>
      </c>
      <c r="N10" s="345">
        <f>AVERAGE(C10:L10)</f>
        <v>0.43939971487820406</v>
      </c>
      <c r="O10" s="336">
        <f>AVERAGE(C10:G10)</f>
        <v>0.16616310040384707</v>
      </c>
      <c r="P10" s="336">
        <f>AVERAGE(C10:E10)</f>
        <v>0.15427184304943356</v>
      </c>
      <c r="R10" s="361" t="s">
        <v>384</v>
      </c>
      <c r="S10" s="361" t="s">
        <v>384</v>
      </c>
      <c r="T10" s="71"/>
    </row>
    <row r="11" spans="1:42" ht="16" x14ac:dyDescent="0.15">
      <c r="B11" s="354" t="s">
        <v>385</v>
      </c>
      <c r="C11" s="365">
        <v>0.13980000000000001</v>
      </c>
      <c r="D11" s="366">
        <v>0.16800000000000001</v>
      </c>
      <c r="E11" s="366">
        <v>0.19819999999999999</v>
      </c>
      <c r="F11" s="366">
        <v>0.19719999999999999</v>
      </c>
      <c r="G11" s="366">
        <v>0.1012</v>
      </c>
      <c r="H11" s="366">
        <v>0.1361</v>
      </c>
      <c r="I11" s="366">
        <v>0.10009999999999999</v>
      </c>
      <c r="J11" s="366">
        <v>0.11210000000000001</v>
      </c>
      <c r="K11" s="357">
        <v>0.2888</v>
      </c>
      <c r="L11" s="358">
        <v>0.18029999999999999</v>
      </c>
      <c r="N11" s="338">
        <f>AVERAGE(C11:L11)</f>
        <v>0.16217999999999999</v>
      </c>
      <c r="O11" s="347">
        <f>AVERAGE(C11:G11)</f>
        <v>0.16088</v>
      </c>
      <c r="P11" s="339">
        <f>AVERAGE(C11:E11)</f>
        <v>0.16866666666666666</v>
      </c>
      <c r="R11" s="362">
        <v>0.16</v>
      </c>
      <c r="S11" s="362">
        <v>0.16</v>
      </c>
    </row>
    <row r="13" spans="1:42" ht="16" x14ac:dyDescent="0.2">
      <c r="A13" s="352"/>
      <c r="B13" s="351" t="s">
        <v>386</v>
      </c>
      <c r="C13" s="352"/>
      <c r="D13" s="352"/>
      <c r="E13" s="352"/>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352"/>
      <c r="AL13" s="352"/>
      <c r="AM13" s="352"/>
      <c r="AN13" s="352"/>
      <c r="AO13" s="352"/>
      <c r="AP13" s="352"/>
    </row>
    <row r="15" spans="1:42" ht="14" x14ac:dyDescent="0.15">
      <c r="D15" s="717" t="s">
        <v>377</v>
      </c>
      <c r="E15" s="717"/>
      <c r="F15" s="717"/>
      <c r="G15" s="717"/>
      <c r="H15" s="717"/>
      <c r="I15" s="717"/>
      <c r="J15" s="717"/>
      <c r="K15" s="717"/>
      <c r="L15" s="717"/>
      <c r="M15" s="717"/>
    </row>
    <row r="16" spans="1:42" ht="16" x14ac:dyDescent="0.15">
      <c r="B16" s="354" t="s">
        <v>387</v>
      </c>
      <c r="C16" s="318"/>
      <c r="D16" s="318">
        <v>2023</v>
      </c>
      <c r="E16" s="318">
        <v>2022</v>
      </c>
      <c r="F16" s="318">
        <v>2021</v>
      </c>
      <c r="G16" s="318">
        <v>2020</v>
      </c>
      <c r="H16" s="318">
        <v>2019</v>
      </c>
      <c r="I16" s="318">
        <v>2018</v>
      </c>
      <c r="J16" s="318">
        <v>2017</v>
      </c>
      <c r="K16" s="318">
        <v>2016</v>
      </c>
      <c r="L16" s="318">
        <v>2015</v>
      </c>
      <c r="M16" s="318">
        <v>2014</v>
      </c>
      <c r="O16" s="333" t="s">
        <v>388</v>
      </c>
      <c r="P16" s="333" t="s">
        <v>380</v>
      </c>
      <c r="R16" s="340" t="s">
        <v>265</v>
      </c>
      <c r="S16" s="340" t="s">
        <v>267</v>
      </c>
      <c r="T16" s="340" t="s">
        <v>268</v>
      </c>
      <c r="V16" s="71"/>
    </row>
    <row r="17" spans="1:22" ht="15" x14ac:dyDescent="0.2">
      <c r="B17" s="319" t="s">
        <v>389</v>
      </c>
      <c r="C17" s="323" t="s">
        <v>270</v>
      </c>
      <c r="D17" s="326">
        <f t="shared" ref="D17:L17" si="0">C56/C63</f>
        <v>0.81307230817808662</v>
      </c>
      <c r="E17" s="327">
        <f t="shared" si="0"/>
        <v>0.71414574669598718</v>
      </c>
      <c r="F17" s="327">
        <f t="shared" si="0"/>
        <v>0.45793909588211185</v>
      </c>
      <c r="G17" s="327">
        <f t="shared" si="0"/>
        <v>1.580367467557497</v>
      </c>
      <c r="H17" s="327">
        <f t="shared" si="0"/>
        <v>0.72325965645166324</v>
      </c>
      <c r="I17" s="327">
        <f t="shared" si="0"/>
        <v>0.93480345158197509</v>
      </c>
      <c r="J17" s="364">
        <f t="shared" si="0"/>
        <v>0.3649548546105173</v>
      </c>
      <c r="K17" s="382">
        <f t="shared" si="0"/>
        <v>0.15173654040687873</v>
      </c>
      <c r="L17" s="329">
        <f t="shared" si="0"/>
        <v>0.34831460674157305</v>
      </c>
      <c r="M17" s="330">
        <f>L56/L62</f>
        <v>-0.13333333333333333</v>
      </c>
      <c r="O17" s="335">
        <f>AVERAGE(D17:M17)</f>
        <v>0.59552603947729565</v>
      </c>
      <c r="P17" s="345">
        <f>AVERAGE(D17:F17)</f>
        <v>0.6617190502520619</v>
      </c>
      <c r="R17" s="348">
        <v>0.65</v>
      </c>
      <c r="S17" s="348">
        <v>0.55000000000000004</v>
      </c>
      <c r="T17" s="341" t="s">
        <v>271</v>
      </c>
      <c r="V17" s="71"/>
    </row>
    <row r="18" spans="1:22" ht="15" x14ac:dyDescent="0.2">
      <c r="B18" s="320" t="s">
        <v>390</v>
      </c>
      <c r="C18" s="324" t="s">
        <v>272</v>
      </c>
      <c r="D18" s="328">
        <f>C57/Cifras_Originales!B6</f>
        <v>1.7965736085748408E-2</v>
      </c>
      <c r="E18" s="329">
        <f>D57/Cifras_Originales!C6</f>
        <v>1.1157694665695432E-2</v>
      </c>
      <c r="F18" s="329">
        <f>E57/Cifras_Originales!D6</f>
        <v>1.0966775786345606E-2</v>
      </c>
      <c r="G18" s="329">
        <f>F57/Cifras_Originales!E6</f>
        <v>8.2521083683468575E-3</v>
      </c>
      <c r="H18" s="329">
        <f>G57/Cifras_Originales!F6</f>
        <v>5.7237664353083056E-2</v>
      </c>
      <c r="I18" s="329">
        <f>H57/Cifras_Originales!G6</f>
        <v>1.6948434388373373E-2</v>
      </c>
      <c r="J18" s="329">
        <f>I57/Cifras_Originales!H6</f>
        <v>2.0962425634230702E-2</v>
      </c>
      <c r="K18" s="329">
        <f>J57/Cifras_Originales!I6</f>
        <v>0.1423836935258159</v>
      </c>
      <c r="L18" s="329">
        <f>K57/Cifras_Originales!J6</f>
        <v>1.2794650130292186E-3</v>
      </c>
      <c r="M18" s="329">
        <f>L57/Cifras_Originales!K6</f>
        <v>1.3540961408259988E-3</v>
      </c>
      <c r="O18" s="337">
        <f>AVERAGE(D18:M18)</f>
        <v>2.8850809396149452E-2</v>
      </c>
      <c r="P18" s="346">
        <f t="shared" ref="P18:P26" si="1">AVERAGE(D18:F18)</f>
        <v>1.3363402179263149E-2</v>
      </c>
      <c r="R18" s="349">
        <v>0.01</v>
      </c>
      <c r="S18" s="349">
        <v>0.02</v>
      </c>
      <c r="T18" s="342" t="s">
        <v>273</v>
      </c>
      <c r="V18" s="71"/>
    </row>
    <row r="19" spans="1:22" ht="15" x14ac:dyDescent="0.2">
      <c r="B19" s="321" t="s">
        <v>391</v>
      </c>
      <c r="C19" s="324" t="s">
        <v>274</v>
      </c>
      <c r="D19" s="328">
        <f xml:space="preserve"> C58/DCFF!G15</f>
        <v>-0.24125116762126736</v>
      </c>
      <c r="E19" s="329">
        <f>D58/DCFF!F15</f>
        <v>-0.10274526726062919</v>
      </c>
      <c r="F19" s="329">
        <f>E58/DCFF!E15</f>
        <v>-0.19966511171998938</v>
      </c>
      <c r="G19" s="329">
        <f>F58/DCFF!D15</f>
        <v>-0.23950890256821092</v>
      </c>
      <c r="H19" s="329">
        <f>G58/G67</f>
        <v>-0.14983434861600942</v>
      </c>
      <c r="I19" s="329">
        <f>H58/H67</f>
        <v>-0.11123938242057346</v>
      </c>
      <c r="J19" s="329">
        <f>I58/I67</f>
        <v>-0.17374706649282923</v>
      </c>
      <c r="K19" s="329">
        <f>J58/J67</f>
        <v>-0.24350174910330782</v>
      </c>
      <c r="L19" s="329">
        <f>Assumptions!K58/Assumptions!K67</f>
        <v>-0.35646140503035556</v>
      </c>
      <c r="M19" s="329">
        <f>L58/L67</f>
        <v>0.35000000000000003</v>
      </c>
      <c r="O19" s="337">
        <f>AVERAGE(D19:M19)</f>
        <v>-0.14679544008331721</v>
      </c>
      <c r="P19" s="346">
        <f t="shared" si="1"/>
        <v>-0.18122051553396198</v>
      </c>
      <c r="R19" s="349">
        <v>0.2</v>
      </c>
      <c r="S19" s="349">
        <v>0.2</v>
      </c>
      <c r="T19" s="343" t="s">
        <v>275</v>
      </c>
      <c r="V19" s="71"/>
    </row>
    <row r="20" spans="1:22" ht="15" x14ac:dyDescent="0.2">
      <c r="B20" s="321" t="s">
        <v>392</v>
      </c>
      <c r="C20" s="324" t="s">
        <v>276</v>
      </c>
      <c r="D20" s="328">
        <f t="shared" ref="D20:J20" si="2">C59/C73</f>
        <v>5.3488385298075666E-3</v>
      </c>
      <c r="E20" s="329">
        <f t="shared" si="2"/>
        <v>2.7218927698580545E-2</v>
      </c>
      <c r="F20" s="329">
        <f t="shared" si="2"/>
        <v>1.7912321359598301E-2</v>
      </c>
      <c r="G20" s="329">
        <f t="shared" si="2"/>
        <v>5.1286504170704794E-2</v>
      </c>
      <c r="H20" s="329">
        <f t="shared" si="2"/>
        <v>6.2787573370850017E-2</v>
      </c>
      <c r="I20" s="329">
        <f t="shared" si="2"/>
        <v>9.5361783338516054E-3</v>
      </c>
      <c r="J20" s="329">
        <f t="shared" si="2"/>
        <v>6.8547895442753762E-2</v>
      </c>
      <c r="K20" s="382" t="s">
        <v>50</v>
      </c>
      <c r="L20" s="296" t="s">
        <v>50</v>
      </c>
      <c r="M20" s="406" t="s">
        <v>50</v>
      </c>
      <c r="O20" s="337">
        <f>AVERAGE(D20:J20)</f>
        <v>3.4662605558020941E-2</v>
      </c>
      <c r="P20" s="346">
        <f t="shared" si="1"/>
        <v>1.6826695862662139E-2</v>
      </c>
      <c r="R20" s="349">
        <v>0.02</v>
      </c>
      <c r="S20" s="349">
        <v>0.03</v>
      </c>
      <c r="T20" s="343" t="s">
        <v>277</v>
      </c>
      <c r="V20" s="71"/>
    </row>
    <row r="21" spans="1:22" ht="15" x14ac:dyDescent="0.2">
      <c r="B21" s="320" t="s">
        <v>393</v>
      </c>
      <c r="C21" s="324" t="s">
        <v>278</v>
      </c>
      <c r="D21" s="403" t="s">
        <v>50</v>
      </c>
      <c r="E21" s="329">
        <f>D60/Cifras_Originales!C22</f>
        <v>0</v>
      </c>
      <c r="F21" s="329">
        <f>E60/Cifras_Originales!D22</f>
        <v>0</v>
      </c>
      <c r="G21" s="329">
        <f>F60/Cifras_Originales!E22</f>
        <v>0</v>
      </c>
      <c r="H21" s="329">
        <f>G60/Cifras_Originales!F22</f>
        <v>0</v>
      </c>
      <c r="I21" s="329">
        <f>H60/Cifras_Originales!G22</f>
        <v>0</v>
      </c>
      <c r="J21" s="329">
        <f>I60/Cifras_Originales!H22</f>
        <v>0</v>
      </c>
      <c r="K21" s="329">
        <f>J60/Cifras_Originales!I22</f>
        <v>0</v>
      </c>
      <c r="L21" s="329">
        <f>K60/Cifras_Originales!J22</f>
        <v>0</v>
      </c>
      <c r="M21" s="330">
        <f>L60/Cifras_Originales!K22</f>
        <v>0</v>
      </c>
      <c r="O21" s="337">
        <f>AVERAGE(E21:M21)</f>
        <v>0</v>
      </c>
      <c r="P21" s="346">
        <f t="shared" si="1"/>
        <v>0</v>
      </c>
      <c r="R21" s="349">
        <v>0</v>
      </c>
      <c r="S21" s="349">
        <v>0</v>
      </c>
      <c r="T21" s="342" t="s">
        <v>279</v>
      </c>
      <c r="V21" s="71"/>
    </row>
    <row r="22" spans="1:22" ht="15" x14ac:dyDescent="0.2">
      <c r="B22" s="320" t="s">
        <v>390</v>
      </c>
      <c r="C22" s="449" t="s">
        <v>280</v>
      </c>
      <c r="D22" s="448">
        <v>1.7965736085748408E-2</v>
      </c>
      <c r="E22" s="447">
        <v>1.1157694665695432E-2</v>
      </c>
      <c r="F22" s="447">
        <v>1.0966775786345606E-2</v>
      </c>
      <c r="G22" s="447">
        <v>8.2521083683468575E-3</v>
      </c>
      <c r="H22" s="447">
        <v>5.7237664353083056E-2</v>
      </c>
      <c r="I22" s="447">
        <v>1.6948434388373373E-2</v>
      </c>
      <c r="J22" s="447">
        <v>2.0962425634230702E-2</v>
      </c>
      <c r="K22" s="447">
        <v>0.1423836935258159</v>
      </c>
      <c r="L22" s="447">
        <v>1.2794650130292186E-3</v>
      </c>
      <c r="M22" s="452">
        <v>1.3540961408259988E-3</v>
      </c>
      <c r="O22" s="458">
        <f>AVERAGE(D22:M22)</f>
        <v>2.8850809396149452E-2</v>
      </c>
      <c r="P22" s="346">
        <f t="shared" si="1"/>
        <v>1.3363402179263149E-2</v>
      </c>
      <c r="R22" s="349">
        <v>0.01</v>
      </c>
      <c r="S22" s="349">
        <v>0.02</v>
      </c>
      <c r="T22" s="342" t="s">
        <v>273</v>
      </c>
      <c r="V22" s="71"/>
    </row>
    <row r="23" spans="1:22" ht="15" x14ac:dyDescent="0.2">
      <c r="B23" s="320" t="s">
        <v>394</v>
      </c>
      <c r="C23" s="324" t="s">
        <v>281</v>
      </c>
      <c r="D23" s="328">
        <f t="shared" ref="D23:I23" si="3">C62/C83</f>
        <v>-1.2709235834344224</v>
      </c>
      <c r="E23" s="329">
        <f t="shared" si="3"/>
        <v>-2.0849209049158017</v>
      </c>
      <c r="F23" s="329">
        <f t="shared" si="3"/>
        <v>-1.0469098588191219</v>
      </c>
      <c r="G23" s="329">
        <f t="shared" si="3"/>
        <v>2.2409285230175682</v>
      </c>
      <c r="H23" s="329">
        <f t="shared" si="3"/>
        <v>-1.8836969339622631</v>
      </c>
      <c r="I23" s="329">
        <f t="shared" si="3"/>
        <v>2.6724915235291924</v>
      </c>
      <c r="J23" s="450" t="s">
        <v>395</v>
      </c>
      <c r="K23" s="450" t="s">
        <v>395</v>
      </c>
      <c r="L23" s="450" t="s">
        <v>395</v>
      </c>
      <c r="M23" s="451" t="s">
        <v>395</v>
      </c>
      <c r="O23" s="337">
        <f>AVERAGE(D23:I23)</f>
        <v>-0.22883853909747476</v>
      </c>
      <c r="P23" s="346">
        <f t="shared" si="1"/>
        <v>-1.4675847823897819</v>
      </c>
      <c r="R23" s="349">
        <v>-0.3</v>
      </c>
      <c r="S23" s="349">
        <v>-0.3</v>
      </c>
      <c r="T23" s="342" t="s">
        <v>282</v>
      </c>
      <c r="V23" s="71"/>
    </row>
    <row r="24" spans="1:22" ht="15" x14ac:dyDescent="0.2">
      <c r="B24" s="320" t="s">
        <v>390</v>
      </c>
      <c r="C24" s="324" t="s">
        <v>283</v>
      </c>
      <c r="D24" s="328">
        <f>C63/Cifras_Originales!B6</f>
        <v>3.0548985870370582E-2</v>
      </c>
      <c r="E24" s="329">
        <f>D63/Cifras_Originales!C6</f>
        <v>2.8791603927227686E-2</v>
      </c>
      <c r="F24" s="329">
        <f>E63/Cifras_Originales!D6</f>
        <v>3.9774229281730758E-2</v>
      </c>
      <c r="G24" s="329">
        <f>F63/Cifras_Originales!E6</f>
        <v>1.425822165186893E-2</v>
      </c>
      <c r="H24" s="329">
        <f>G63/Cifras_Originales!F6</f>
        <v>3.5105402666421516E-2</v>
      </c>
      <c r="I24" s="329">
        <f>H63/Cifras_Originales!G6</f>
        <v>2.6783662222838529E-2</v>
      </c>
      <c r="J24" s="329">
        <f>I63/Cifras_Originales!H6</f>
        <v>6.6011304066241269E-2</v>
      </c>
      <c r="K24" s="329">
        <f>Assumptions!J63/Cifras_Originales!I6</f>
        <v>4.3457554761550055E-2</v>
      </c>
      <c r="L24" s="171">
        <f>K63/Cifras_Originales!J6</f>
        <v>1.8978731026600078E-2</v>
      </c>
      <c r="M24" s="370">
        <f>L63/Cifras_Originales!K6</f>
        <v>2.5727826675693975E-2</v>
      </c>
      <c r="O24" s="337">
        <f>AVERAGE(D24:M24)</f>
        <v>3.2943752215054342E-2</v>
      </c>
      <c r="P24" s="346">
        <f t="shared" si="1"/>
        <v>3.3038273026443007E-2</v>
      </c>
      <c r="R24" s="349">
        <v>0.03</v>
      </c>
      <c r="S24" s="349">
        <v>0.04</v>
      </c>
      <c r="T24" s="342" t="s">
        <v>273</v>
      </c>
      <c r="V24" s="71"/>
    </row>
    <row r="25" spans="1:22" ht="15" x14ac:dyDescent="0.2">
      <c r="B25" s="320" t="s">
        <v>285</v>
      </c>
      <c r="C25" s="324" t="s">
        <v>284</v>
      </c>
      <c r="D25" s="328">
        <v>0</v>
      </c>
      <c r="E25" s="329">
        <v>0</v>
      </c>
      <c r="F25" s="329">
        <v>0</v>
      </c>
      <c r="G25" s="329">
        <v>0</v>
      </c>
      <c r="H25" s="329">
        <v>0</v>
      </c>
      <c r="I25" s="329">
        <v>0</v>
      </c>
      <c r="J25" s="329">
        <v>0</v>
      </c>
      <c r="K25" s="329">
        <v>0</v>
      </c>
      <c r="L25" s="329">
        <v>0</v>
      </c>
      <c r="M25" s="330">
        <v>0</v>
      </c>
      <c r="O25" s="337">
        <f>AVERAGE(D25:M25)</f>
        <v>0</v>
      </c>
      <c r="P25" s="346">
        <f t="shared" si="1"/>
        <v>0</v>
      </c>
      <c r="R25" s="349">
        <v>0</v>
      </c>
      <c r="S25" s="349">
        <v>0</v>
      </c>
      <c r="T25" s="342" t="s">
        <v>285</v>
      </c>
      <c r="V25" s="71"/>
    </row>
    <row r="26" spans="1:22" ht="15" x14ac:dyDescent="0.2">
      <c r="B26" s="322" t="s">
        <v>392</v>
      </c>
      <c r="C26" s="325" t="s">
        <v>248</v>
      </c>
      <c r="D26" s="331">
        <f>C65/Cifras_en_Millones!C60</f>
        <v>-2.1190939907900039E-2</v>
      </c>
      <c r="E26" s="332">
        <f>D65/Cifras_en_Millones!D60</f>
        <v>1.194561090219836E-2</v>
      </c>
      <c r="F26" s="332">
        <f>E65/Cifras_en_Millones!E60</f>
        <v>3.1597356336637915E-3</v>
      </c>
      <c r="G26" s="332">
        <f>F65/Cifras_en_Millones!F60</f>
        <v>1.1170430291249082E-2</v>
      </c>
      <c r="H26" s="332">
        <f>G65/Cifras_en_Millones!G60</f>
        <v>-3.485475742933912E-2</v>
      </c>
      <c r="I26" s="332">
        <f>H65/Cifras_en_Millones!H60</f>
        <v>0.11672672507880762</v>
      </c>
      <c r="J26" s="332">
        <f>I65/Cifras_en_Millones!I60</f>
        <v>-8.1483007555467717E-3</v>
      </c>
      <c r="K26" s="366" t="s">
        <v>50</v>
      </c>
      <c r="L26" s="405" t="s">
        <v>50</v>
      </c>
      <c r="M26" s="407" t="s">
        <v>50</v>
      </c>
      <c r="O26" s="338">
        <f>AVERAGE(D26:J26)</f>
        <v>1.1258357687590415E-2</v>
      </c>
      <c r="P26" s="347">
        <f t="shared" si="1"/>
        <v>-2.0285311240126288E-3</v>
      </c>
      <c r="R26" s="350">
        <v>-0.01</v>
      </c>
      <c r="S26" s="350">
        <v>0.01</v>
      </c>
      <c r="T26" s="344" t="s">
        <v>286</v>
      </c>
      <c r="V26" s="71"/>
    </row>
    <row r="27" spans="1:22" x14ac:dyDescent="0.15">
      <c r="A27" s="71"/>
      <c r="B27" s="71"/>
      <c r="C27" s="71"/>
      <c r="D27" s="71"/>
      <c r="E27" s="71"/>
      <c r="F27" s="71"/>
      <c r="G27" s="71"/>
      <c r="H27" s="71"/>
      <c r="I27" s="71"/>
      <c r="J27" s="71"/>
      <c r="K27" s="71"/>
      <c r="L27" s="71"/>
      <c r="M27" s="71"/>
      <c r="O27" s="71"/>
      <c r="P27" s="71"/>
      <c r="Q27" s="71"/>
      <c r="S27" s="71"/>
      <c r="T27" s="71"/>
      <c r="V27" s="71"/>
    </row>
    <row r="28" spans="1:22" x14ac:dyDescent="0.15">
      <c r="A28" s="71"/>
      <c r="B28" s="71"/>
      <c r="C28" s="71"/>
      <c r="D28" s="71"/>
      <c r="E28" s="71"/>
      <c r="F28" s="71"/>
      <c r="G28" s="71"/>
      <c r="H28" s="71"/>
      <c r="I28" s="71"/>
      <c r="J28" s="71"/>
      <c r="K28" s="71"/>
      <c r="L28" s="71"/>
      <c r="M28" s="71"/>
      <c r="O28" s="71"/>
      <c r="P28" s="71"/>
      <c r="Q28" s="71"/>
      <c r="S28" s="71"/>
      <c r="T28" s="71"/>
      <c r="V28" s="71"/>
    </row>
    <row r="29" spans="1:22" x14ac:dyDescent="0.15">
      <c r="A29" s="71"/>
      <c r="B29" s="71"/>
      <c r="C29" s="71"/>
      <c r="D29" s="71"/>
      <c r="E29" s="71"/>
      <c r="F29" s="71"/>
      <c r="G29" s="71"/>
      <c r="H29" s="71"/>
      <c r="I29" s="71"/>
      <c r="J29" s="71"/>
      <c r="K29" s="71"/>
      <c r="L29" s="71"/>
      <c r="M29" s="71"/>
      <c r="O29" s="71"/>
      <c r="P29" s="71"/>
      <c r="Q29" s="71"/>
      <c r="S29" s="71"/>
      <c r="T29" s="71"/>
      <c r="V29" s="71"/>
    </row>
    <row r="30" spans="1:22" x14ac:dyDescent="0.15">
      <c r="A30" s="71"/>
      <c r="B30" s="71"/>
      <c r="C30" s="71"/>
      <c r="D30" s="71"/>
      <c r="E30" s="71"/>
      <c r="F30" s="71"/>
      <c r="G30" s="71"/>
      <c r="H30" s="71"/>
      <c r="I30" s="71"/>
      <c r="J30" s="71"/>
      <c r="K30" s="71"/>
      <c r="L30" s="71"/>
      <c r="M30" s="71"/>
      <c r="O30" s="71"/>
      <c r="P30" s="71"/>
      <c r="Q30" s="71"/>
      <c r="S30" s="71"/>
      <c r="T30" s="71"/>
      <c r="V30" s="71"/>
    </row>
    <row r="31" spans="1:22" x14ac:dyDescent="0.15">
      <c r="A31" s="71"/>
      <c r="B31" s="71"/>
      <c r="C31" s="71"/>
      <c r="D31" s="71"/>
      <c r="E31" s="71"/>
      <c r="F31" s="71"/>
      <c r="G31" s="71"/>
      <c r="H31" s="71"/>
      <c r="I31" s="71"/>
      <c r="J31" s="15"/>
      <c r="K31" s="71"/>
      <c r="L31" s="71"/>
      <c r="M31" s="71"/>
      <c r="O31" s="71"/>
      <c r="P31" s="71"/>
      <c r="Q31" s="71"/>
      <c r="S31" s="71"/>
      <c r="T31" s="71"/>
      <c r="V31" s="71"/>
    </row>
    <row r="34" spans="1:29" ht="16" x14ac:dyDescent="0.15">
      <c r="B34" s="386" t="s">
        <v>396</v>
      </c>
    </row>
    <row r="36" spans="1:29" ht="16" x14ac:dyDescent="0.2">
      <c r="A36" s="352"/>
      <c r="B36" s="351" t="s">
        <v>397</v>
      </c>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row>
    <row r="37" spans="1:29" ht="14" thickBot="1" x14ac:dyDescent="0.2">
      <c r="B37" s="367"/>
    </row>
    <row r="38" spans="1:29" ht="16" x14ac:dyDescent="0.2">
      <c r="A38" s="360"/>
      <c r="B38" s="718" t="s">
        <v>398</v>
      </c>
      <c r="C38" s="380" t="s">
        <v>399</v>
      </c>
      <c r="D38" s="483">
        <v>2024</v>
      </c>
      <c r="E38" s="484">
        <v>2025</v>
      </c>
      <c r="F38" s="484">
        <v>2026</v>
      </c>
      <c r="G38" s="484">
        <v>2027</v>
      </c>
      <c r="H38" s="484">
        <v>2028</v>
      </c>
      <c r="I38" s="483">
        <v>2029</v>
      </c>
      <c r="J38" s="484">
        <v>2030</v>
      </c>
      <c r="K38" s="484">
        <v>2031</v>
      </c>
      <c r="L38" s="484">
        <v>2032</v>
      </c>
      <c r="M38" s="484">
        <v>2033</v>
      </c>
      <c r="N38" s="484">
        <v>2034</v>
      </c>
      <c r="O38" s="484">
        <v>2035</v>
      </c>
      <c r="P38" s="484">
        <v>2036</v>
      </c>
      <c r="Q38" s="484">
        <v>2037</v>
      </c>
      <c r="R38" s="484">
        <v>2038</v>
      </c>
      <c r="S38" s="483">
        <v>2039</v>
      </c>
      <c r="T38" s="484">
        <v>2040</v>
      </c>
      <c r="U38" s="484">
        <v>2041</v>
      </c>
      <c r="V38" s="484">
        <v>2042</v>
      </c>
      <c r="W38" s="484">
        <v>2043</v>
      </c>
      <c r="X38" s="484">
        <v>2044</v>
      </c>
      <c r="Y38" s="484">
        <v>2045</v>
      </c>
      <c r="Z38" s="484">
        <v>2046</v>
      </c>
      <c r="AA38" s="484">
        <v>2047</v>
      </c>
      <c r="AB38" s="485">
        <v>2048</v>
      </c>
      <c r="AC38" s="71"/>
    </row>
    <row r="39" spans="1:29" ht="14" x14ac:dyDescent="0.15">
      <c r="B39" s="719"/>
      <c r="C39" s="371" t="s">
        <v>400</v>
      </c>
      <c r="D39" s="486">
        <v>0.1031884359</v>
      </c>
      <c r="E39" s="384">
        <v>0.18</v>
      </c>
      <c r="F39" s="384">
        <v>0.16</v>
      </c>
      <c r="G39" s="384">
        <v>0.14000000000000001</v>
      </c>
      <c r="H39" s="384">
        <v>0.13</v>
      </c>
      <c r="I39" s="486">
        <v>0.11</v>
      </c>
      <c r="J39" s="384">
        <v>0.1</v>
      </c>
      <c r="K39" s="384">
        <v>0.09</v>
      </c>
      <c r="L39" s="384">
        <v>0.08</v>
      </c>
      <c r="M39" s="384">
        <v>7.0000000000000007E-2</v>
      </c>
      <c r="N39" s="384">
        <v>7.0000000000000007E-2</v>
      </c>
      <c r="O39" s="384">
        <v>7.0000000000000007E-2</v>
      </c>
      <c r="P39" s="384">
        <v>0.06</v>
      </c>
      <c r="Q39" s="384">
        <v>0.06</v>
      </c>
      <c r="R39" s="384">
        <v>0.05</v>
      </c>
      <c r="S39" s="486">
        <v>0.05</v>
      </c>
      <c r="T39" s="384">
        <v>0.05</v>
      </c>
      <c r="U39" s="384">
        <v>0.05</v>
      </c>
      <c r="V39" s="384">
        <v>0.04</v>
      </c>
      <c r="W39" s="384">
        <v>0.04</v>
      </c>
      <c r="X39" s="384">
        <v>0.04</v>
      </c>
      <c r="Y39" s="384">
        <v>0.04</v>
      </c>
      <c r="Z39" s="384">
        <v>0.03</v>
      </c>
      <c r="AA39" s="384">
        <v>0.03</v>
      </c>
      <c r="AB39" s="487">
        <v>0.03</v>
      </c>
      <c r="AC39" s="71"/>
    </row>
    <row r="40" spans="1:29" ht="14" x14ac:dyDescent="0.15">
      <c r="B40" s="719"/>
      <c r="C40" s="372" t="s">
        <v>401</v>
      </c>
      <c r="D40" s="488">
        <f>Cifras_Originales!$B$6*(1+Assumptions!D39)</f>
        <v>1829.8730000769965</v>
      </c>
      <c r="E40" s="390">
        <f>D40*(1+Assumptions!E39)</f>
        <v>2159.2501400908559</v>
      </c>
      <c r="F40" s="390">
        <f>E40*(1+Assumptions!F39)</f>
        <v>2504.7301625053929</v>
      </c>
      <c r="G40" s="390">
        <f>F40*(1+Assumptions!G39)</f>
        <v>2855.3923852561484</v>
      </c>
      <c r="H40" s="390">
        <f>G40*(1+Assumptions!H39)</f>
        <v>3226.5933953394474</v>
      </c>
      <c r="I40" s="488">
        <f>H40*(1+Assumptions!I39)</f>
        <v>3581.5186688267868</v>
      </c>
      <c r="J40" s="390">
        <f>I40*(1+Assumptions!J39)</f>
        <v>3939.6705357094656</v>
      </c>
      <c r="K40" s="390">
        <f>J40*(1+Assumptions!K39)</f>
        <v>4294.2408839233176</v>
      </c>
      <c r="L40" s="390">
        <f>K40*(1+Assumptions!L39)</f>
        <v>4637.7801546371829</v>
      </c>
      <c r="M40" s="390">
        <f>L40*(1+Assumptions!M39)</f>
        <v>4962.4247654617857</v>
      </c>
      <c r="N40" s="390">
        <f>M40*(1+Assumptions!N39)</f>
        <v>5309.794499044111</v>
      </c>
      <c r="O40" s="390">
        <f>N40*(1+Assumptions!O39)</f>
        <v>5681.4801139771989</v>
      </c>
      <c r="P40" s="390">
        <f>O40*(1+Assumptions!P39)</f>
        <v>6022.3689208158312</v>
      </c>
      <c r="Q40" s="390">
        <f>P40*(1+Assumptions!Q39)</f>
        <v>6383.7110560647816</v>
      </c>
      <c r="R40" s="390">
        <f>Q40*(1+Assumptions!R39)</f>
        <v>6702.8966088680208</v>
      </c>
      <c r="S40" s="488">
        <f>R40*(1+Assumptions!S39)</f>
        <v>7038.0414393114224</v>
      </c>
      <c r="T40" s="390">
        <f>S40*(1+Assumptions!T39)</f>
        <v>7389.9435112769943</v>
      </c>
      <c r="U40" s="390">
        <f>T40*(1+Assumptions!U39)</f>
        <v>7759.4406868408441</v>
      </c>
      <c r="V40" s="390">
        <f>U40*(1+Assumptions!V39)</f>
        <v>8069.8183143144779</v>
      </c>
      <c r="W40" s="390">
        <f>V40*(1+Assumptions!W39)</f>
        <v>8392.6110468870575</v>
      </c>
      <c r="X40" s="390">
        <f>W40*(1+Assumptions!X39)</f>
        <v>8728.3154887625406</v>
      </c>
      <c r="Y40" s="390">
        <f>X40*(1+Assumptions!Y39)</f>
        <v>9077.4481083130431</v>
      </c>
      <c r="Z40" s="390">
        <f>Y40*(1+Assumptions!Z39)</f>
        <v>9349.771551562435</v>
      </c>
      <c r="AA40" s="390">
        <f>Z40*(1+Assumptions!AA39)</f>
        <v>9630.2646981093076</v>
      </c>
      <c r="AB40" s="489">
        <f>AA40*(1+Assumptions!AB39)</f>
        <v>9919.1726390525873</v>
      </c>
      <c r="AC40" s="71"/>
    </row>
    <row r="41" spans="1:29" ht="15" thickBot="1" x14ac:dyDescent="0.2">
      <c r="B41" s="720"/>
      <c r="C41" s="373" t="s">
        <v>402</v>
      </c>
      <c r="D41" s="490">
        <v>0.16</v>
      </c>
      <c r="E41" s="491">
        <v>0.16</v>
      </c>
      <c r="F41" s="491">
        <v>0.16</v>
      </c>
      <c r="G41" s="491">
        <v>0.16</v>
      </c>
      <c r="H41" s="491">
        <v>0.16</v>
      </c>
      <c r="I41" s="490">
        <v>0.16</v>
      </c>
      <c r="J41" s="491">
        <v>0.16</v>
      </c>
      <c r="K41" s="491">
        <v>0.16</v>
      </c>
      <c r="L41" s="491">
        <v>0.16</v>
      </c>
      <c r="M41" s="491">
        <v>0.16</v>
      </c>
      <c r="N41" s="491">
        <v>0.16</v>
      </c>
      <c r="O41" s="491">
        <v>0.16</v>
      </c>
      <c r="P41" s="491">
        <v>0.16</v>
      </c>
      <c r="Q41" s="491">
        <v>0.16</v>
      </c>
      <c r="R41" s="491">
        <v>0.16</v>
      </c>
      <c r="S41" s="490">
        <v>0.16</v>
      </c>
      <c r="T41" s="491">
        <v>0.16</v>
      </c>
      <c r="U41" s="491">
        <v>0.16</v>
      </c>
      <c r="V41" s="491">
        <v>0.16</v>
      </c>
      <c r="W41" s="491">
        <v>0.16</v>
      </c>
      <c r="X41" s="491">
        <v>0.16</v>
      </c>
      <c r="Y41" s="491">
        <v>0.16</v>
      </c>
      <c r="Z41" s="491">
        <v>0.16</v>
      </c>
      <c r="AA41" s="491">
        <v>0.16</v>
      </c>
      <c r="AB41" s="492">
        <v>0.16</v>
      </c>
      <c r="AC41" s="280"/>
    </row>
    <row r="42" spans="1:29" ht="14" x14ac:dyDescent="0.15">
      <c r="B42" s="368"/>
      <c r="C42" s="312"/>
      <c r="E42" s="379"/>
      <c r="F42" s="379"/>
      <c r="G42" s="379"/>
      <c r="H42" s="379"/>
      <c r="I42" s="379"/>
      <c r="J42" s="379"/>
      <c r="K42" s="379"/>
      <c r="L42" s="379"/>
      <c r="M42" s="379"/>
      <c r="N42" s="379"/>
      <c r="O42" s="379"/>
      <c r="P42" s="379"/>
      <c r="Q42" s="379"/>
      <c r="R42" s="379"/>
      <c r="S42" s="379"/>
      <c r="T42" s="379"/>
      <c r="U42" s="379"/>
      <c r="V42" s="379"/>
      <c r="W42" s="379"/>
      <c r="X42" s="379"/>
      <c r="Y42" s="379"/>
      <c r="Z42" s="379"/>
      <c r="AA42" s="379"/>
      <c r="AB42" s="379"/>
    </row>
    <row r="43" spans="1:29" ht="16" x14ac:dyDescent="0.2">
      <c r="B43" s="721" t="s">
        <v>403</v>
      </c>
      <c r="C43" s="374" t="s">
        <v>399</v>
      </c>
      <c r="D43" s="375">
        <v>2024</v>
      </c>
      <c r="E43" s="375">
        <v>2025</v>
      </c>
      <c r="F43" s="375">
        <v>2026</v>
      </c>
      <c r="G43" s="375">
        <v>2027</v>
      </c>
      <c r="H43" s="375">
        <v>2028</v>
      </c>
      <c r="I43" s="375">
        <v>2029</v>
      </c>
      <c r="J43" s="375">
        <v>2030</v>
      </c>
      <c r="K43" s="375">
        <v>2031</v>
      </c>
      <c r="L43" s="375">
        <v>2032</v>
      </c>
      <c r="M43" s="375">
        <v>2033</v>
      </c>
      <c r="N43" s="375">
        <v>2034</v>
      </c>
      <c r="O43" s="375">
        <v>2035</v>
      </c>
      <c r="P43" s="375">
        <v>2036</v>
      </c>
      <c r="Q43" s="375">
        <v>2037</v>
      </c>
      <c r="R43" s="375">
        <v>2038</v>
      </c>
      <c r="S43" s="375">
        <v>2039</v>
      </c>
      <c r="T43" s="375">
        <v>2040</v>
      </c>
      <c r="U43" s="375">
        <v>2041</v>
      </c>
      <c r="V43" s="375">
        <v>2042</v>
      </c>
      <c r="W43" s="375">
        <v>2043</v>
      </c>
      <c r="X43" s="375">
        <v>2044</v>
      </c>
      <c r="Y43" s="375">
        <v>2045</v>
      </c>
      <c r="Z43" s="375">
        <v>2046</v>
      </c>
      <c r="AA43" s="375">
        <v>2047</v>
      </c>
      <c r="AB43" s="376">
        <v>2048</v>
      </c>
      <c r="AC43" s="71"/>
    </row>
    <row r="44" spans="1:29" ht="14" x14ac:dyDescent="0.15">
      <c r="B44" s="722"/>
      <c r="C44" s="372" t="s">
        <v>400</v>
      </c>
      <c r="D44" s="377">
        <v>0.13</v>
      </c>
      <c r="E44" s="377">
        <v>0.21</v>
      </c>
      <c r="F44" s="377">
        <v>0.19</v>
      </c>
      <c r="G44" s="383">
        <v>0.18</v>
      </c>
      <c r="H44" s="377">
        <v>0.16</v>
      </c>
      <c r="I44" s="377">
        <v>0.14000000000000001</v>
      </c>
      <c r="J44" s="377">
        <v>0.13</v>
      </c>
      <c r="K44" s="377">
        <v>0.12</v>
      </c>
      <c r="L44" s="377">
        <v>0.11</v>
      </c>
      <c r="M44" s="377">
        <v>0.1</v>
      </c>
      <c r="N44" s="377">
        <v>0.09</v>
      </c>
      <c r="O44" s="377">
        <v>0.09</v>
      </c>
      <c r="P44" s="377">
        <v>0.08</v>
      </c>
      <c r="Q44" s="377">
        <v>0.08</v>
      </c>
      <c r="R44" s="377">
        <v>7.0000000000000007E-2</v>
      </c>
      <c r="S44" s="377">
        <v>7.0000000000000007E-2</v>
      </c>
      <c r="T44" s="377">
        <v>7.0000000000000007E-2</v>
      </c>
      <c r="U44" s="377">
        <v>7.0000000000000007E-2</v>
      </c>
      <c r="V44" s="377">
        <v>0.06</v>
      </c>
      <c r="W44" s="377">
        <v>0.06</v>
      </c>
      <c r="X44" s="377">
        <v>0.06</v>
      </c>
      <c r="Y44" s="377">
        <v>0.06</v>
      </c>
      <c r="Z44" s="377">
        <v>0.05</v>
      </c>
      <c r="AA44" s="377">
        <v>0.05</v>
      </c>
      <c r="AB44" s="378">
        <v>0.05</v>
      </c>
      <c r="AC44" s="71"/>
    </row>
    <row r="45" spans="1:29" ht="14" x14ac:dyDescent="0.15">
      <c r="B45" s="722"/>
      <c r="C45" s="372" t="s">
        <v>401</v>
      </c>
      <c r="D45" s="390">
        <f>Cifras_Originales!$B$6*(1+D44)</f>
        <v>1874.3456899999999</v>
      </c>
      <c r="E45" s="390">
        <f>Cifras_Originales!$B$6*(1+E44)</f>
        <v>2007.0427299999999</v>
      </c>
      <c r="F45" s="390">
        <f>Cifras_Originales!$B$6*(1+F44)</f>
        <v>1973.8684699999999</v>
      </c>
      <c r="G45" s="390">
        <f>Cifras_Originales!$B$6*(1+G44)</f>
        <v>1957.2813399999998</v>
      </c>
      <c r="H45" s="390">
        <f>Cifras_Originales!$B$6*(1+H44)</f>
        <v>1924.1070799999998</v>
      </c>
      <c r="I45" s="390">
        <f>Cifras_Originales!$B$6*(1+I44)</f>
        <v>1890.9328200000002</v>
      </c>
      <c r="J45" s="390">
        <f>Cifras_Originales!$B$6*(1+J44)</f>
        <v>1874.3456899999999</v>
      </c>
      <c r="K45" s="390">
        <f>Cifras_Originales!$B$6*(1+K44)</f>
        <v>1857.7585600000002</v>
      </c>
      <c r="L45" s="390">
        <f>Cifras_Originales!$B$6*(1+L44)</f>
        <v>1841.1714300000001</v>
      </c>
      <c r="M45" s="390">
        <f>Cifras_Originales!$B$6*(1+M44)</f>
        <v>1824.5843000000002</v>
      </c>
      <c r="N45" s="390">
        <f>Cifras_Originales!$B$6*(1+N44)</f>
        <v>1807.9971700000001</v>
      </c>
      <c r="O45" s="390">
        <f>Cifras_Originales!$B$6*(1+O44)</f>
        <v>1807.9971700000001</v>
      </c>
      <c r="P45" s="390">
        <f>Cifras_Originales!$B$6*(1+P44)</f>
        <v>1791.41004</v>
      </c>
      <c r="Q45" s="390">
        <f>Cifras_Originales!$B$6*(1+Q44)</f>
        <v>1791.41004</v>
      </c>
      <c r="R45" s="390">
        <f>Cifras_Originales!$B$6*(1+R44)</f>
        <v>1774.8229100000001</v>
      </c>
      <c r="S45" s="390">
        <f>Cifras_Originales!$B$6*(1+S44)</f>
        <v>1774.8229100000001</v>
      </c>
      <c r="T45" s="390">
        <f>Cifras_Originales!$B$6*(1+T44)</f>
        <v>1774.8229100000001</v>
      </c>
      <c r="U45" s="390">
        <f>Cifras_Originales!$B$6*(1+U44)</f>
        <v>1774.8229100000001</v>
      </c>
      <c r="V45" s="390">
        <f>Cifras_Originales!$B$6*(1+V44)</f>
        <v>1758.23578</v>
      </c>
      <c r="W45" s="390">
        <f>Cifras_Originales!$B$6*(1+W44)</f>
        <v>1758.23578</v>
      </c>
      <c r="X45" s="390">
        <f>Cifras_Originales!$B$6*(1+X44)</f>
        <v>1758.23578</v>
      </c>
      <c r="Y45" s="390">
        <f>Cifras_Originales!$B$6*(1+Y44)</f>
        <v>1758.23578</v>
      </c>
      <c r="Z45" s="390">
        <f>Cifras_Originales!$B$6*(1+Z44)</f>
        <v>1741.6486500000001</v>
      </c>
      <c r="AA45" s="390">
        <f>Cifras_Originales!$B$6*(1+AA44)</f>
        <v>1741.6486500000001</v>
      </c>
      <c r="AB45" s="391">
        <f>Cifras_Originales!$B$6*(1+AB44)</f>
        <v>1741.6486500000001</v>
      </c>
      <c r="AC45" s="71"/>
    </row>
    <row r="46" spans="1:29" ht="14" x14ac:dyDescent="0.15">
      <c r="B46" s="723"/>
      <c r="C46" s="373" t="s">
        <v>402</v>
      </c>
      <c r="D46" s="379">
        <v>0.16</v>
      </c>
      <c r="E46" s="379">
        <v>0.16</v>
      </c>
      <c r="F46" s="379">
        <v>0.16</v>
      </c>
      <c r="G46" s="379">
        <v>0.16</v>
      </c>
      <c r="H46" s="379">
        <v>0.16</v>
      </c>
      <c r="I46" s="379">
        <v>0.16</v>
      </c>
      <c r="J46" s="379">
        <v>0.16</v>
      </c>
      <c r="K46" s="379">
        <v>0.16</v>
      </c>
      <c r="L46" s="379">
        <v>0.16</v>
      </c>
      <c r="M46" s="379">
        <v>0.16</v>
      </c>
      <c r="N46" s="379">
        <v>0.16</v>
      </c>
      <c r="O46" s="379">
        <v>0.16</v>
      </c>
      <c r="P46" s="379">
        <v>0.16</v>
      </c>
      <c r="Q46" s="379">
        <v>0.16</v>
      </c>
      <c r="R46" s="379">
        <v>0.16</v>
      </c>
      <c r="S46" s="379">
        <v>0.16</v>
      </c>
      <c r="T46" s="379">
        <v>0.16</v>
      </c>
      <c r="U46" s="379">
        <v>0.16</v>
      </c>
      <c r="V46" s="379">
        <v>0.16</v>
      </c>
      <c r="W46" s="379">
        <v>0.16</v>
      </c>
      <c r="X46" s="379">
        <v>0.16</v>
      </c>
      <c r="Y46" s="379">
        <v>0.16</v>
      </c>
      <c r="Z46" s="379">
        <v>0.16</v>
      </c>
      <c r="AA46" s="379">
        <v>0.16</v>
      </c>
      <c r="AB46" s="379">
        <v>0.16</v>
      </c>
      <c r="AC46" s="71"/>
    </row>
    <row r="47" spans="1:29" ht="14" x14ac:dyDescent="0.15">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c r="AB47" s="312"/>
    </row>
    <row r="48" spans="1:29" ht="16" x14ac:dyDescent="0.2">
      <c r="B48" s="724" t="s">
        <v>404</v>
      </c>
      <c r="C48" s="374" t="s">
        <v>399</v>
      </c>
      <c r="D48" s="375">
        <v>2024</v>
      </c>
      <c r="E48" s="375">
        <v>2025</v>
      </c>
      <c r="F48" s="375">
        <v>2026</v>
      </c>
      <c r="G48" s="375">
        <v>2027</v>
      </c>
      <c r="H48" s="375">
        <v>2028</v>
      </c>
      <c r="I48" s="375">
        <v>2029</v>
      </c>
      <c r="J48" s="375">
        <v>2030</v>
      </c>
      <c r="K48" s="375">
        <v>2031</v>
      </c>
      <c r="L48" s="375">
        <v>2032</v>
      </c>
      <c r="M48" s="375">
        <v>2033</v>
      </c>
      <c r="N48" s="375">
        <v>2034</v>
      </c>
      <c r="O48" s="375">
        <v>2035</v>
      </c>
      <c r="P48" s="375">
        <v>2036</v>
      </c>
      <c r="Q48" s="375">
        <v>2037</v>
      </c>
      <c r="R48" s="375">
        <v>2038</v>
      </c>
      <c r="S48" s="375">
        <v>2039</v>
      </c>
      <c r="T48" s="375">
        <v>2040</v>
      </c>
      <c r="U48" s="375">
        <v>2041</v>
      </c>
      <c r="V48" s="375">
        <v>2042</v>
      </c>
      <c r="W48" s="375">
        <v>2043</v>
      </c>
      <c r="X48" s="375">
        <v>2044</v>
      </c>
      <c r="Y48" s="375">
        <v>2045</v>
      </c>
      <c r="Z48" s="375">
        <v>2046</v>
      </c>
      <c r="AA48" s="375">
        <v>2047</v>
      </c>
      <c r="AB48" s="376">
        <v>2048</v>
      </c>
      <c r="AC48" s="71"/>
    </row>
    <row r="49" spans="2:29" ht="14" x14ac:dyDescent="0.15">
      <c r="B49" s="725"/>
      <c r="C49" s="372" t="s">
        <v>400</v>
      </c>
      <c r="D49" s="377">
        <v>0.08</v>
      </c>
      <c r="E49" s="377">
        <v>0.14000000000000001</v>
      </c>
      <c r="F49" s="377">
        <v>0.13</v>
      </c>
      <c r="G49" s="377">
        <v>0.12</v>
      </c>
      <c r="H49" s="377">
        <v>0.11</v>
      </c>
      <c r="I49" s="377">
        <v>0.09</v>
      </c>
      <c r="J49" s="377">
        <v>0.08</v>
      </c>
      <c r="K49" s="377">
        <v>7.0000000000000007E-2</v>
      </c>
      <c r="L49" s="377">
        <v>0.06</v>
      </c>
      <c r="M49" s="377">
        <v>0.05</v>
      </c>
      <c r="N49" s="377">
        <v>0.05</v>
      </c>
      <c r="O49" s="377">
        <v>0.05</v>
      </c>
      <c r="P49" s="377">
        <v>0.04</v>
      </c>
      <c r="Q49" s="377">
        <v>0.04</v>
      </c>
      <c r="R49" s="377">
        <v>0.03</v>
      </c>
      <c r="S49" s="377">
        <v>0.03</v>
      </c>
      <c r="T49" s="377">
        <v>0.03</v>
      </c>
      <c r="U49" s="377">
        <v>0.03</v>
      </c>
      <c r="V49" s="377">
        <v>0.02</v>
      </c>
      <c r="W49" s="377">
        <v>0.02</v>
      </c>
      <c r="X49" s="377">
        <v>0.02</v>
      </c>
      <c r="Y49" s="377">
        <v>0.02</v>
      </c>
      <c r="Z49" s="377">
        <v>1.4999999999999999E-2</v>
      </c>
      <c r="AA49" s="377">
        <v>1.4999999999999999E-2</v>
      </c>
      <c r="AB49" s="378">
        <v>1.4999999999999999E-2</v>
      </c>
      <c r="AC49" s="71"/>
    </row>
    <row r="50" spans="2:29" ht="14" x14ac:dyDescent="0.15">
      <c r="B50" s="725"/>
      <c r="C50" s="372" t="s">
        <v>401</v>
      </c>
      <c r="D50" s="390">
        <f>Cifras_Originales!$B$6*(1+D49)</f>
        <v>1791.41004</v>
      </c>
      <c r="E50" s="390">
        <f>Cifras_Originales!$B$6*(1+E49)</f>
        <v>1890.9328200000002</v>
      </c>
      <c r="F50" s="390">
        <f>Cifras_Originales!$B$6*(1+F49)</f>
        <v>1874.3456899999999</v>
      </c>
      <c r="G50" s="390">
        <f>Cifras_Originales!$B$6*(1+G49)</f>
        <v>1857.7585600000002</v>
      </c>
      <c r="H50" s="390">
        <f>Cifras_Originales!$B$6*(1+H49)</f>
        <v>1841.1714300000001</v>
      </c>
      <c r="I50" s="390">
        <f>Cifras_Originales!$B$6*(1+I49)</f>
        <v>1807.9971700000001</v>
      </c>
      <c r="J50" s="390">
        <f>Cifras_Originales!$B$6*(1+J49)</f>
        <v>1791.41004</v>
      </c>
      <c r="K50" s="390">
        <f>Cifras_Originales!$B$6*(1+K49)</f>
        <v>1774.8229100000001</v>
      </c>
      <c r="L50" s="390">
        <f>Cifras_Originales!$B$6*(1+L49)</f>
        <v>1758.23578</v>
      </c>
      <c r="M50" s="390">
        <f>Cifras_Originales!$B$6*(1+M49)</f>
        <v>1741.6486500000001</v>
      </c>
      <c r="N50" s="390">
        <f>Cifras_Originales!$B$6*(1+N49)</f>
        <v>1741.6486500000001</v>
      </c>
      <c r="O50" s="390">
        <f>Cifras_Originales!$B$6*(1+O49)</f>
        <v>1741.6486500000001</v>
      </c>
      <c r="P50" s="390">
        <f>Cifras_Originales!$B$6*(1+P49)</f>
        <v>1725.06152</v>
      </c>
      <c r="Q50" s="390">
        <f>Cifras_Originales!$B$6*(1+Q49)</f>
        <v>1725.06152</v>
      </c>
      <c r="R50" s="390">
        <f>Cifras_Originales!$B$6*(1+R49)</f>
        <v>1708.4743900000001</v>
      </c>
      <c r="S50" s="390">
        <f>Cifras_Originales!$B$6*(1+S49)</f>
        <v>1708.4743900000001</v>
      </c>
      <c r="T50" s="390">
        <f>Cifras_Originales!$B$6*(1+T49)</f>
        <v>1708.4743900000001</v>
      </c>
      <c r="U50" s="390">
        <f>Cifras_Originales!$B$6*(1+U49)</f>
        <v>1708.4743900000001</v>
      </c>
      <c r="V50" s="390">
        <f>Cifras_Originales!$B$6*(1+V49)</f>
        <v>1691.88726</v>
      </c>
      <c r="W50" s="390">
        <f>Cifras_Originales!$B$6*(1+W49)</f>
        <v>1691.88726</v>
      </c>
      <c r="X50" s="390">
        <f>Cifras_Originales!$B$6*(1+X49)</f>
        <v>1691.88726</v>
      </c>
      <c r="Y50" s="390">
        <f>Cifras_Originales!$B$6*(1+Y49)</f>
        <v>1691.88726</v>
      </c>
      <c r="Z50" s="390">
        <f>Cifras_Originales!$B$6*(1+Z49)</f>
        <v>1683.5936949999998</v>
      </c>
      <c r="AA50" s="390">
        <f>Cifras_Originales!$B$6*(1+AA49)</f>
        <v>1683.5936949999998</v>
      </c>
      <c r="AB50" s="391">
        <f>Cifras_Originales!$B$6*(1+AB49)</f>
        <v>1683.5936949999998</v>
      </c>
      <c r="AC50" s="71"/>
    </row>
    <row r="51" spans="2:29" ht="14" x14ac:dyDescent="0.15">
      <c r="B51" s="726"/>
      <c r="C51" s="373" t="s">
        <v>402</v>
      </c>
      <c r="D51" s="379">
        <v>0.16</v>
      </c>
      <c r="E51" s="379">
        <v>0.16</v>
      </c>
      <c r="F51" s="379">
        <v>0.16</v>
      </c>
      <c r="G51" s="379">
        <v>0.16</v>
      </c>
      <c r="H51" s="379">
        <v>0.16</v>
      </c>
      <c r="I51" s="379">
        <v>0.16</v>
      </c>
      <c r="J51" s="379">
        <v>0.16</v>
      </c>
      <c r="K51" s="379">
        <v>0.16</v>
      </c>
      <c r="L51" s="379">
        <v>0.16</v>
      </c>
      <c r="M51" s="379">
        <v>0.16</v>
      </c>
      <c r="N51" s="379">
        <v>0.16</v>
      </c>
      <c r="O51" s="379">
        <v>0.16</v>
      </c>
      <c r="P51" s="379">
        <v>0.16</v>
      </c>
      <c r="Q51" s="379">
        <v>0.16</v>
      </c>
      <c r="R51" s="379">
        <v>0.16</v>
      </c>
      <c r="S51" s="379">
        <v>0.16</v>
      </c>
      <c r="T51" s="379">
        <v>0.16</v>
      </c>
      <c r="U51" s="379">
        <v>0.16</v>
      </c>
      <c r="V51" s="379">
        <v>0.16</v>
      </c>
      <c r="W51" s="379">
        <v>0.16</v>
      </c>
      <c r="X51" s="379">
        <v>0.16</v>
      </c>
      <c r="Y51" s="379">
        <v>0.16</v>
      </c>
      <c r="Z51" s="379">
        <v>0.16</v>
      </c>
      <c r="AA51" s="379">
        <v>0.16</v>
      </c>
      <c r="AB51" s="379">
        <v>0.16</v>
      </c>
      <c r="AC51" s="71"/>
    </row>
    <row r="53" spans="2:29" x14ac:dyDescent="0.15">
      <c r="B53" s="71"/>
    </row>
    <row r="54" spans="2:29" x14ac:dyDescent="0.15">
      <c r="B54" s="71"/>
    </row>
    <row r="55" spans="2:29" ht="16" x14ac:dyDescent="0.2">
      <c r="C55" s="317">
        <v>2023</v>
      </c>
      <c r="D55" s="317">
        <v>2022</v>
      </c>
      <c r="E55" s="317">
        <v>2021</v>
      </c>
      <c r="F55" s="317">
        <v>2020</v>
      </c>
      <c r="G55" s="317">
        <v>2019</v>
      </c>
      <c r="H55" s="317">
        <v>2018</v>
      </c>
      <c r="I55" s="317">
        <v>2017</v>
      </c>
      <c r="J55" s="317">
        <v>2016</v>
      </c>
      <c r="K55" s="317">
        <v>2015</v>
      </c>
      <c r="L55" s="317">
        <v>2014</v>
      </c>
      <c r="N55" s="79"/>
    </row>
    <row r="56" spans="2:29" ht="14" x14ac:dyDescent="0.15">
      <c r="B56" s="424" t="s">
        <v>405</v>
      </c>
      <c r="C56" s="427">
        <v>41.2</v>
      </c>
      <c r="D56" s="428">
        <v>32.799999999999997</v>
      </c>
      <c r="E56" s="428">
        <v>25.7</v>
      </c>
      <c r="F56" s="428">
        <v>24.6</v>
      </c>
      <c r="G56" s="428">
        <v>23.2</v>
      </c>
      <c r="H56" s="428">
        <v>19.5</v>
      </c>
      <c r="I56" s="409">
        <v>15.4</v>
      </c>
      <c r="J56" s="409">
        <v>5.4</v>
      </c>
      <c r="K56" s="428">
        <v>3.1</v>
      </c>
      <c r="L56" s="429">
        <v>2.4</v>
      </c>
      <c r="N56" s="309"/>
    </row>
    <row r="57" spans="2:29" ht="14" x14ac:dyDescent="0.15">
      <c r="B57" s="425" t="s">
        <v>272</v>
      </c>
      <c r="C57" s="430">
        <v>29.8</v>
      </c>
      <c r="D57" s="269">
        <v>17.798999999999999</v>
      </c>
      <c r="E57" s="269">
        <v>15.474</v>
      </c>
      <c r="F57" s="269">
        <v>9.0090000000000003</v>
      </c>
      <c r="G57" s="269">
        <v>52.3</v>
      </c>
      <c r="H57" s="269">
        <v>13.2</v>
      </c>
      <c r="I57" s="312">
        <v>13.4</v>
      </c>
      <c r="J57" s="312">
        <v>116.6</v>
      </c>
      <c r="K57" s="269">
        <v>0.6</v>
      </c>
      <c r="L57" s="431">
        <v>0.2</v>
      </c>
      <c r="N57" s="269"/>
    </row>
    <row r="58" spans="2:29" ht="14" x14ac:dyDescent="0.15">
      <c r="B58" s="425" t="s">
        <v>406</v>
      </c>
      <c r="C58" s="430">
        <v>-56.061</v>
      </c>
      <c r="D58" s="269">
        <v>-26.484000000000002</v>
      </c>
      <c r="E58" s="269">
        <v>-55.808</v>
      </c>
      <c r="F58" s="269">
        <v>-49.4</v>
      </c>
      <c r="G58" s="269">
        <v>-16.824000000000002</v>
      </c>
      <c r="H58" s="269">
        <v>-11.852</v>
      </c>
      <c r="I58" s="312">
        <v>-16.658000000000001</v>
      </c>
      <c r="J58" s="312">
        <v>-16.497</v>
      </c>
      <c r="K58" s="269">
        <v>-41.1</v>
      </c>
      <c r="L58" s="431">
        <v>7.7</v>
      </c>
      <c r="N58" s="269"/>
    </row>
    <row r="59" spans="2:29" ht="14" x14ac:dyDescent="0.15">
      <c r="B59" s="425" t="s">
        <v>407</v>
      </c>
      <c r="C59" s="430">
        <v>0.94199999999999995</v>
      </c>
      <c r="D59" s="269">
        <v>4.4660000000000002</v>
      </c>
      <c r="E59" s="269">
        <v>3.339</v>
      </c>
      <c r="F59" s="269">
        <v>9.1549999999999994</v>
      </c>
      <c r="G59" s="269">
        <v>21.779</v>
      </c>
      <c r="H59" s="269">
        <v>3.1280000000000001</v>
      </c>
      <c r="I59" s="269">
        <v>32.606999999999999</v>
      </c>
      <c r="J59" s="269">
        <v>21.7</v>
      </c>
      <c r="K59" s="269">
        <v>6.1</v>
      </c>
      <c r="L59" s="431">
        <v>3.5</v>
      </c>
      <c r="N59" s="269"/>
    </row>
    <row r="60" spans="2:29" ht="14" x14ac:dyDescent="0.15">
      <c r="B60" s="425" t="s">
        <v>408</v>
      </c>
      <c r="C60" s="432" t="s">
        <v>395</v>
      </c>
      <c r="D60" s="269">
        <v>0</v>
      </c>
      <c r="E60" s="269">
        <v>0</v>
      </c>
      <c r="F60" s="269">
        <v>0</v>
      </c>
      <c r="G60" s="269">
        <v>0</v>
      </c>
      <c r="H60" s="269">
        <v>0</v>
      </c>
      <c r="I60" s="269">
        <v>0</v>
      </c>
      <c r="J60" s="269">
        <v>0</v>
      </c>
      <c r="K60" s="269">
        <v>0</v>
      </c>
      <c r="L60" s="431">
        <v>0</v>
      </c>
      <c r="N60" s="269"/>
    </row>
    <row r="61" spans="2:29" ht="14" x14ac:dyDescent="0.15">
      <c r="B61" s="425" t="s">
        <v>280</v>
      </c>
      <c r="C61" s="432" t="s">
        <v>395</v>
      </c>
      <c r="D61" s="433" t="s">
        <v>395</v>
      </c>
      <c r="E61" s="433" t="s">
        <v>395</v>
      </c>
      <c r="F61" s="433" t="s">
        <v>395</v>
      </c>
      <c r="G61" s="433" t="s">
        <v>395</v>
      </c>
      <c r="H61" s="433" t="s">
        <v>395</v>
      </c>
      <c r="I61" s="433" t="s">
        <v>395</v>
      </c>
      <c r="J61" s="433" t="s">
        <v>395</v>
      </c>
      <c r="K61" s="433" t="s">
        <v>395</v>
      </c>
      <c r="L61" s="434" t="s">
        <v>395</v>
      </c>
    </row>
    <row r="62" spans="2:29" ht="14" x14ac:dyDescent="0.15">
      <c r="B62" s="425" t="s">
        <v>281</v>
      </c>
      <c r="C62" s="430">
        <v>14.668999999999997</v>
      </c>
      <c r="D62" s="269">
        <v>-147.08699999999999</v>
      </c>
      <c r="E62" s="269">
        <v>-122.94699999999997</v>
      </c>
      <c r="F62" s="269">
        <v>171.93300000000002</v>
      </c>
      <c r="G62" s="269">
        <v>-63.894999999999996</v>
      </c>
      <c r="H62" s="269">
        <v>71.72699999999999</v>
      </c>
      <c r="I62" s="312">
        <v>86.738</v>
      </c>
      <c r="J62" s="435">
        <v>-135.4</v>
      </c>
      <c r="K62" s="269">
        <v>-79.3</v>
      </c>
      <c r="L62" s="431">
        <v>-18</v>
      </c>
      <c r="N62" s="269"/>
    </row>
    <row r="63" spans="2:29" ht="14" x14ac:dyDescent="0.15">
      <c r="B63" s="425" t="s">
        <v>283</v>
      </c>
      <c r="C63" s="430">
        <v>50.671999999999997</v>
      </c>
      <c r="D63" s="269">
        <v>45.929000000000002</v>
      </c>
      <c r="E63" s="269">
        <v>56.121000000000002</v>
      </c>
      <c r="F63" s="269">
        <v>15.566000000000001</v>
      </c>
      <c r="G63" s="269">
        <v>32.076999999999998</v>
      </c>
      <c r="H63" s="269">
        <v>20.86</v>
      </c>
      <c r="I63" s="312">
        <v>42.197000000000003</v>
      </c>
      <c r="J63" s="312">
        <v>35.588000000000001</v>
      </c>
      <c r="K63" s="269">
        <v>8.9</v>
      </c>
      <c r="L63" s="431">
        <v>3.8</v>
      </c>
      <c r="N63" s="269"/>
    </row>
    <row r="64" spans="2:29" ht="14" x14ac:dyDescent="0.15">
      <c r="B64" s="425" t="s">
        <v>284</v>
      </c>
      <c r="C64" s="430">
        <v>0</v>
      </c>
      <c r="D64" s="269">
        <v>0</v>
      </c>
      <c r="E64" s="269">
        <v>0</v>
      </c>
      <c r="F64" s="269">
        <v>0</v>
      </c>
      <c r="G64" s="269">
        <v>0</v>
      </c>
      <c r="H64" s="269">
        <v>0</v>
      </c>
      <c r="I64" s="436">
        <v>0</v>
      </c>
      <c r="J64" s="436">
        <v>0</v>
      </c>
      <c r="K64" s="269">
        <v>0</v>
      </c>
      <c r="L64" s="431">
        <v>0</v>
      </c>
      <c r="N64" s="269"/>
    </row>
    <row r="65" spans="2:15" ht="14" x14ac:dyDescent="0.15">
      <c r="B65" s="426" t="s">
        <v>248</v>
      </c>
      <c r="C65" s="437">
        <v>-3.7319999999999998</v>
      </c>
      <c r="D65" s="438">
        <v>1.9600000000000002</v>
      </c>
      <c r="E65" s="438">
        <v>0.58899999999999997</v>
      </c>
      <c r="F65" s="438">
        <v>1.9939999999999998</v>
      </c>
      <c r="G65" s="438">
        <v>-12.09</v>
      </c>
      <c r="H65" s="438">
        <v>38.287999999999997</v>
      </c>
      <c r="I65" s="439">
        <v>-3.8759999999999999</v>
      </c>
      <c r="J65" s="439">
        <v>-23.630000000000006</v>
      </c>
      <c r="K65" s="466" t="s">
        <v>395</v>
      </c>
      <c r="L65" s="467" t="s">
        <v>395</v>
      </c>
    </row>
    <row r="66" spans="2:15" ht="14" x14ac:dyDescent="0.15">
      <c r="B66" s="269"/>
      <c r="C66" s="269"/>
      <c r="D66" s="269"/>
      <c r="E66" s="269"/>
      <c r="F66" s="440"/>
      <c r="G66" s="441"/>
      <c r="H66" s="441"/>
      <c r="I66" s="368"/>
      <c r="J66" s="368"/>
      <c r="K66" s="368"/>
      <c r="L66" s="442"/>
    </row>
    <row r="67" spans="2:15" ht="16" x14ac:dyDescent="0.15">
      <c r="F67" s="443" t="s">
        <v>409</v>
      </c>
      <c r="G67" s="444">
        <f>Cifras_en_Millones!G16</f>
        <v>112.28399999999999</v>
      </c>
      <c r="H67" s="444">
        <f>Cifras_en_Millones!H16</f>
        <v>106.545</v>
      </c>
      <c r="I67" s="444">
        <f>Cifras_en_Millones!I16</f>
        <v>95.875</v>
      </c>
      <c r="J67" s="444">
        <f>Cifras_en_Millones!J16</f>
        <v>67.748999999999995</v>
      </c>
      <c r="K67" s="444">
        <f>Cifras_en_Millones!K16</f>
        <v>115.30000000000001</v>
      </c>
      <c r="L67" s="463">
        <f>Cifras_en_Millones!L16</f>
        <v>22</v>
      </c>
    </row>
    <row r="70" spans="2:15" ht="14" x14ac:dyDescent="0.15">
      <c r="C70" s="727" t="s">
        <v>410</v>
      </c>
      <c r="D70" s="727"/>
      <c r="E70" s="727"/>
      <c r="F70" s="727"/>
      <c r="G70" s="727"/>
      <c r="H70" s="727"/>
      <c r="I70" s="727"/>
      <c r="J70" s="727"/>
      <c r="K70" s="727"/>
      <c r="L70" s="727"/>
      <c r="M70" s="71"/>
    </row>
    <row r="71" spans="2:15" ht="16" x14ac:dyDescent="0.2">
      <c r="C71" s="317">
        <v>2023</v>
      </c>
      <c r="D71" s="317">
        <v>2022</v>
      </c>
      <c r="E71" s="317">
        <v>2021</v>
      </c>
      <c r="F71" s="317">
        <v>2020</v>
      </c>
      <c r="G71" s="317">
        <v>2019</v>
      </c>
      <c r="H71" s="317">
        <v>2018</v>
      </c>
      <c r="I71" s="317">
        <v>2017</v>
      </c>
      <c r="J71" s="317">
        <v>2016</v>
      </c>
      <c r="K71" s="317">
        <v>2015</v>
      </c>
      <c r="L71" s="317">
        <v>2014</v>
      </c>
    </row>
    <row r="72" spans="2:15" ht="16" x14ac:dyDescent="0.2">
      <c r="B72" s="317" t="s">
        <v>411</v>
      </c>
      <c r="C72" s="369">
        <v>9.9</v>
      </c>
      <c r="D72" s="409">
        <v>24.6</v>
      </c>
      <c r="E72" s="409">
        <v>23.6</v>
      </c>
      <c r="F72" s="409">
        <v>165.2</v>
      </c>
      <c r="G72" s="409">
        <v>33</v>
      </c>
      <c r="H72" s="409">
        <v>151.80000000000001</v>
      </c>
      <c r="I72" s="409">
        <v>65.599999999999994</v>
      </c>
      <c r="J72" s="409">
        <v>485.5</v>
      </c>
      <c r="K72" s="464">
        <v>33</v>
      </c>
      <c r="L72" s="465">
        <v>1.5</v>
      </c>
      <c r="O72" s="334"/>
    </row>
    <row r="73" spans="2:15" ht="16" x14ac:dyDescent="0.2">
      <c r="B73" s="317" t="s">
        <v>412</v>
      </c>
      <c r="C73" s="410">
        <f>Cifras_Originales!B32+Cifras_Originales!B33+Cifras_Originales!B36+Cifras_Originales!B37</f>
        <v>176.113</v>
      </c>
      <c r="D73" s="408">
        <f>Cifras_Originales!C32+Cifras_Originales!C33+Cifras_Originales!C36+Cifras_Originales!C37</f>
        <v>164.077</v>
      </c>
      <c r="E73" s="408">
        <f>Cifras_Originales!D32+Cifras_Originales!D33+Cifras_Originales!D36+Cifras_Originales!D37</f>
        <v>186.40799999999999</v>
      </c>
      <c r="F73" s="408">
        <f>Cifras_Originales!E32+Cifras_Originales!E33+Cifras_Originales!E36+Cifras_Originales!E37</f>
        <v>178.50699999999998</v>
      </c>
      <c r="G73" s="408">
        <f>Cifras_Originales!F32+Cifras_Originales!F33+Cifras_Originales!F36+Cifras_Originales!F37</f>
        <v>346.86799999999994</v>
      </c>
      <c r="H73" s="408">
        <f>Cifras_Originales!G32+Cifras_Originales!G36</f>
        <v>328.01399999999995</v>
      </c>
      <c r="I73" s="408">
        <f>Cifras_Originales!H32+Cifras_Originales!H36</f>
        <v>475.68200000000002</v>
      </c>
      <c r="J73" s="459" t="s">
        <v>395</v>
      </c>
      <c r="K73" s="459" t="s">
        <v>395</v>
      </c>
      <c r="L73" s="460" t="s">
        <v>395</v>
      </c>
      <c r="N73" s="333" t="s">
        <v>413</v>
      </c>
      <c r="O73" s="333" t="s">
        <v>380</v>
      </c>
    </row>
    <row r="74" spans="2:15" ht="16" x14ac:dyDescent="0.2">
      <c r="B74" s="317" t="s">
        <v>289</v>
      </c>
      <c r="C74" s="411">
        <f t="shared" ref="C74:I74" si="4">C72/C73</f>
        <v>5.6213908115812013E-2</v>
      </c>
      <c r="D74" s="393">
        <f t="shared" si="4"/>
        <v>0.1499296062214692</v>
      </c>
      <c r="E74" s="393">
        <f t="shared" si="4"/>
        <v>0.12660400841165617</v>
      </c>
      <c r="F74" s="393">
        <f t="shared" si="4"/>
        <v>0.92545390376847969</v>
      </c>
      <c r="G74" s="393">
        <f t="shared" si="4"/>
        <v>9.5137055018047229E-2</v>
      </c>
      <c r="H74" s="393">
        <f t="shared" si="4"/>
        <v>0.46278512502515146</v>
      </c>
      <c r="I74" s="393">
        <f t="shared" si="4"/>
        <v>0.13790725736941906</v>
      </c>
      <c r="J74" s="461" t="s">
        <v>395</v>
      </c>
      <c r="K74" s="461" t="s">
        <v>395</v>
      </c>
      <c r="L74" s="462" t="s">
        <v>395</v>
      </c>
      <c r="N74" s="412">
        <f>AVERAGE(C74:I74)</f>
        <v>0.27914726627571923</v>
      </c>
      <c r="O74" s="412">
        <f>AVERAGE(C74:E74)</f>
        <v>0.11091584091631246</v>
      </c>
    </row>
    <row r="75" spans="2:15" ht="14" x14ac:dyDescent="0.15">
      <c r="O75" s="334"/>
    </row>
    <row r="76" spans="2:15" ht="14" x14ac:dyDescent="0.15">
      <c r="C76" s="727" t="s">
        <v>414</v>
      </c>
      <c r="D76" s="727"/>
      <c r="E76" s="727"/>
      <c r="F76" s="727"/>
      <c r="G76" s="727"/>
      <c r="H76" s="727"/>
      <c r="I76" s="727"/>
      <c r="J76" s="416"/>
      <c r="K76" s="416"/>
      <c r="L76" s="416"/>
      <c r="O76" s="334"/>
    </row>
    <row r="77" spans="2:15" ht="16" x14ac:dyDescent="0.2">
      <c r="C77" s="317">
        <v>2023</v>
      </c>
      <c r="D77" s="317">
        <v>2022</v>
      </c>
      <c r="E77" s="317">
        <v>2021</v>
      </c>
      <c r="F77" s="317">
        <v>2020</v>
      </c>
      <c r="G77" s="317">
        <v>2019</v>
      </c>
      <c r="H77" s="317">
        <v>2018</v>
      </c>
      <c r="I77" s="317">
        <v>2017</v>
      </c>
      <c r="J77" s="413"/>
      <c r="L77" s="413"/>
      <c r="O77" s="334"/>
    </row>
    <row r="78" spans="2:15" ht="16" x14ac:dyDescent="0.2">
      <c r="B78" s="317" t="s">
        <v>415</v>
      </c>
      <c r="C78" s="418"/>
      <c r="D78" s="419"/>
      <c r="E78" s="419"/>
      <c r="F78" s="419"/>
      <c r="G78" s="419"/>
      <c r="H78" s="419"/>
      <c r="I78" s="420"/>
      <c r="J78" s="312"/>
      <c r="K78" s="312"/>
      <c r="L78" s="312"/>
      <c r="O78" s="334"/>
    </row>
    <row r="79" spans="2:15" ht="14" x14ac:dyDescent="0.15">
      <c r="B79" s="417" t="s">
        <v>30</v>
      </c>
      <c r="C79" s="421">
        <v>597.5</v>
      </c>
      <c r="D79" s="390">
        <v>612.5</v>
      </c>
      <c r="E79" s="390">
        <v>551.9</v>
      </c>
      <c r="F79" s="390">
        <v>446.6</v>
      </c>
      <c r="G79" s="390">
        <v>368.9</v>
      </c>
      <c r="H79" s="390">
        <v>331.2</v>
      </c>
      <c r="I79" s="391">
        <v>312.2</v>
      </c>
      <c r="J79" s="414"/>
      <c r="K79" s="414"/>
      <c r="L79" s="414"/>
      <c r="O79" s="334"/>
    </row>
    <row r="80" spans="2:15" ht="14" x14ac:dyDescent="0.15">
      <c r="B80" s="417" t="s">
        <v>416</v>
      </c>
      <c r="C80" s="421">
        <v>10.23</v>
      </c>
      <c r="D80" s="390">
        <v>9.4719999999999995</v>
      </c>
      <c r="E80" s="390">
        <v>8.3239999999999998</v>
      </c>
      <c r="F80" s="390">
        <v>6.2859999999999996</v>
      </c>
      <c r="G80" s="390">
        <v>5.2619999999999996</v>
      </c>
      <c r="H80" s="390">
        <v>4.242</v>
      </c>
      <c r="I80" s="391">
        <v>3.1030000000000002</v>
      </c>
      <c r="J80" s="415"/>
      <c r="K80" s="415"/>
      <c r="L80" s="415"/>
      <c r="O80" s="334"/>
    </row>
    <row r="81" spans="1:28" ht="14" x14ac:dyDescent="0.15">
      <c r="B81" s="373" t="s">
        <v>32</v>
      </c>
      <c r="C81" s="421">
        <v>38.200000000000003</v>
      </c>
      <c r="D81" s="390">
        <v>35.5</v>
      </c>
      <c r="E81" s="390">
        <v>26.7</v>
      </c>
      <c r="F81" s="390">
        <v>16.600000000000001</v>
      </c>
      <c r="G81" s="390">
        <v>18.600000000000001</v>
      </c>
      <c r="H81" s="390">
        <v>23.4</v>
      </c>
      <c r="I81" s="391">
        <v>16.7</v>
      </c>
    </row>
    <row r="82" spans="1:28" ht="16" x14ac:dyDescent="0.2">
      <c r="B82" s="317" t="s">
        <v>417</v>
      </c>
      <c r="C82" s="390">
        <f>C79+C80+C81</f>
        <v>645.93000000000006</v>
      </c>
      <c r="D82" s="390">
        <f t="shared" ref="D82:I82" si="5">D79+D80+D81</f>
        <v>657.47199999999998</v>
      </c>
      <c r="E82" s="390">
        <f t="shared" si="5"/>
        <v>586.92399999999998</v>
      </c>
      <c r="F82" s="390">
        <f t="shared" si="5"/>
        <v>469.48600000000005</v>
      </c>
      <c r="G82" s="390">
        <f t="shared" si="5"/>
        <v>392.762</v>
      </c>
      <c r="H82" s="390">
        <f t="shared" si="5"/>
        <v>358.84199999999998</v>
      </c>
      <c r="I82" s="391">
        <f t="shared" si="5"/>
        <v>332.00299999999999</v>
      </c>
    </row>
    <row r="83" spans="1:28" ht="14" x14ac:dyDescent="0.15">
      <c r="B83" s="446" t="s">
        <v>418</v>
      </c>
      <c r="C83" s="422">
        <f>C82-D82</f>
        <v>-11.541999999999916</v>
      </c>
      <c r="D83" s="422">
        <f t="shared" ref="D83:H83" si="6">D82-E82</f>
        <v>70.548000000000002</v>
      </c>
      <c r="E83" s="422">
        <f t="shared" si="6"/>
        <v>117.43799999999993</v>
      </c>
      <c r="F83" s="422">
        <f t="shared" si="6"/>
        <v>76.724000000000046</v>
      </c>
      <c r="G83" s="422">
        <f t="shared" si="6"/>
        <v>33.920000000000016</v>
      </c>
      <c r="H83" s="422">
        <f t="shared" si="6"/>
        <v>26.838999999999999</v>
      </c>
      <c r="I83" s="453" t="s">
        <v>395</v>
      </c>
    </row>
    <row r="84" spans="1:28" ht="14" x14ac:dyDescent="0.15">
      <c r="B84" s="445"/>
      <c r="C84" s="390"/>
      <c r="D84" s="390"/>
      <c r="E84" s="390"/>
      <c r="F84" s="390"/>
      <c r="G84" s="390"/>
      <c r="H84" s="390"/>
      <c r="I84" s="390"/>
    </row>
    <row r="85" spans="1:28" ht="14" x14ac:dyDescent="0.15">
      <c r="C85" s="727" t="s">
        <v>410</v>
      </c>
      <c r="D85" s="727"/>
      <c r="E85" s="727"/>
      <c r="F85" s="727"/>
      <c r="G85" s="727"/>
      <c r="H85" s="727"/>
      <c r="I85" s="727"/>
      <c r="J85" s="727"/>
      <c r="K85" s="727"/>
      <c r="L85" s="727"/>
    </row>
    <row r="86" spans="1:28" ht="16" x14ac:dyDescent="0.2">
      <c r="C86" s="317">
        <v>2023</v>
      </c>
      <c r="D86" s="317">
        <v>2022</v>
      </c>
      <c r="E86" s="317">
        <v>2021</v>
      </c>
      <c r="F86" s="317">
        <v>2020</v>
      </c>
      <c r="G86" s="317">
        <v>2019</v>
      </c>
      <c r="H86" s="317">
        <v>2018</v>
      </c>
      <c r="I86" s="317">
        <v>2017</v>
      </c>
      <c r="J86" s="317">
        <v>2016</v>
      </c>
      <c r="K86" s="317">
        <v>2015</v>
      </c>
      <c r="L86" s="317">
        <v>2014</v>
      </c>
    </row>
    <row r="87" spans="1:28" ht="16" x14ac:dyDescent="0.2">
      <c r="B87" s="317" t="s">
        <v>419</v>
      </c>
      <c r="C87" s="454">
        <v>438.96</v>
      </c>
      <c r="D87" s="454">
        <v>234.74100000000001</v>
      </c>
      <c r="E87" s="454">
        <v>312.18900000000002</v>
      </c>
      <c r="F87" s="454">
        <v>253.28299999999999</v>
      </c>
      <c r="G87" s="454">
        <v>72.515000000000001</v>
      </c>
      <c r="H87" s="454">
        <v>80.051000000000002</v>
      </c>
      <c r="I87" s="454">
        <v>53.65</v>
      </c>
      <c r="J87" s="454">
        <v>21.291</v>
      </c>
      <c r="K87" s="455">
        <v>40.299999999999997</v>
      </c>
      <c r="L87" s="456">
        <v>8.9</v>
      </c>
      <c r="N87" s="333" t="s">
        <v>378</v>
      </c>
      <c r="O87" s="333" t="s">
        <v>380</v>
      </c>
    </row>
    <row r="88" spans="1:28" ht="16" x14ac:dyDescent="0.2">
      <c r="B88" s="317" t="s">
        <v>420</v>
      </c>
      <c r="C88" s="423">
        <f>C87/Cifras_Originales!B6</f>
        <v>0.26463890980537319</v>
      </c>
      <c r="D88" s="379">
        <f>D87/Cifras_Originales!C6</f>
        <v>0.14715255933030011</v>
      </c>
      <c r="E88" s="379">
        <f>E87/Cifras_Originales!D6</f>
        <v>0.22125544564840691</v>
      </c>
      <c r="F88" s="379">
        <f>F87/Cifras_Originales!E6</f>
        <v>0.23200341479187447</v>
      </c>
      <c r="G88" s="379">
        <f>G87/Cifras_Originales!F6</f>
        <v>7.9361170756478361E-2</v>
      </c>
      <c r="H88" s="379">
        <f>H87/Cifras_Originales!G6</f>
        <v>0.10278326675936947</v>
      </c>
      <c r="I88" s="379">
        <f>I87/Cifras_Originales!H6</f>
        <v>8.3927920543020673E-2</v>
      </c>
      <c r="J88" s="379">
        <f>J87/Cifras_Originales!I6</f>
        <v>2.5999067057102455E-2</v>
      </c>
      <c r="K88" s="379">
        <f>K87/Cifras_Originales!J6</f>
        <v>8.5937400041795842E-2</v>
      </c>
      <c r="L88" s="381">
        <f>L87/Cifras_Originales!K6</f>
        <v>6.0257278266756947E-2</v>
      </c>
      <c r="N88" s="412">
        <f>AVERAGE(C88:L88)</f>
        <v>0.13033164330004784</v>
      </c>
      <c r="O88" s="412">
        <f>AVERAGE(C88:E88)</f>
        <v>0.21101563826136008</v>
      </c>
      <c r="P88" s="76"/>
    </row>
    <row r="89" spans="1:28" ht="16" x14ac:dyDescent="0.2">
      <c r="B89" s="413"/>
      <c r="C89" s="415"/>
      <c r="D89" s="415"/>
      <c r="E89" s="415"/>
      <c r="F89" s="415"/>
      <c r="G89" s="415"/>
      <c r="H89" s="415"/>
      <c r="I89" s="415"/>
      <c r="J89" s="457"/>
      <c r="K89" s="457"/>
      <c r="L89" s="457"/>
    </row>
    <row r="91" spans="1:28" ht="16" x14ac:dyDescent="0.2">
      <c r="A91" s="352"/>
      <c r="B91" s="351" t="s">
        <v>421</v>
      </c>
      <c r="C91" s="385"/>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row>
    <row r="134" spans="2:27" x14ac:dyDescent="0.15">
      <c r="C134" s="199">
        <v>2024</v>
      </c>
      <c r="D134" s="199">
        <f t="shared" ref="D134:AA134" si="7">+C134+1</f>
        <v>2025</v>
      </c>
      <c r="E134" s="199">
        <f t="shared" si="7"/>
        <v>2026</v>
      </c>
      <c r="F134" s="199">
        <f t="shared" si="7"/>
        <v>2027</v>
      </c>
      <c r="G134" s="199">
        <f t="shared" si="7"/>
        <v>2028</v>
      </c>
      <c r="H134" s="199">
        <f t="shared" si="7"/>
        <v>2029</v>
      </c>
      <c r="I134" s="199">
        <f t="shared" si="7"/>
        <v>2030</v>
      </c>
      <c r="J134" s="199">
        <f t="shared" si="7"/>
        <v>2031</v>
      </c>
      <c r="K134" s="199">
        <f t="shared" si="7"/>
        <v>2032</v>
      </c>
      <c r="L134" s="199">
        <f t="shared" si="7"/>
        <v>2033</v>
      </c>
      <c r="M134" s="199">
        <f t="shared" si="7"/>
        <v>2034</v>
      </c>
      <c r="N134" s="199">
        <f t="shared" si="7"/>
        <v>2035</v>
      </c>
      <c r="O134" s="199">
        <f t="shared" si="7"/>
        <v>2036</v>
      </c>
      <c r="P134" s="199">
        <f t="shared" si="7"/>
        <v>2037</v>
      </c>
      <c r="Q134" s="199">
        <f t="shared" si="7"/>
        <v>2038</v>
      </c>
      <c r="R134" s="199">
        <f t="shared" si="7"/>
        <v>2039</v>
      </c>
      <c r="S134" s="199">
        <f t="shared" si="7"/>
        <v>2040</v>
      </c>
      <c r="T134" s="199">
        <f t="shared" si="7"/>
        <v>2041</v>
      </c>
      <c r="U134" s="199">
        <f t="shared" si="7"/>
        <v>2042</v>
      </c>
      <c r="V134" s="199">
        <f t="shared" si="7"/>
        <v>2043</v>
      </c>
      <c r="W134" s="199">
        <f t="shared" si="7"/>
        <v>2044</v>
      </c>
      <c r="X134" s="199">
        <f t="shared" si="7"/>
        <v>2045</v>
      </c>
      <c r="Y134" s="199">
        <f t="shared" si="7"/>
        <v>2046</v>
      </c>
      <c r="Z134" s="199">
        <f t="shared" si="7"/>
        <v>2047</v>
      </c>
      <c r="AA134" s="199">
        <f t="shared" si="7"/>
        <v>2048</v>
      </c>
    </row>
    <row r="135" spans="2:27" x14ac:dyDescent="0.15">
      <c r="B135" s="71" t="s">
        <v>430</v>
      </c>
      <c r="D135">
        <v>4.22</v>
      </c>
      <c r="E135">
        <v>4.22</v>
      </c>
      <c r="F135">
        <f>4.22+30</f>
        <v>34.22</v>
      </c>
      <c r="G135">
        <f>65.39+50</f>
        <v>115.39</v>
      </c>
      <c r="H135" s="182">
        <v>50</v>
      </c>
      <c r="I135" s="182">
        <v>90</v>
      </c>
      <c r="J135" s="182">
        <v>178.06</v>
      </c>
      <c r="K135" s="182"/>
      <c r="L135" s="182"/>
      <c r="M135" s="182">
        <f ca="1">L137-M137</f>
        <v>2.9999999999859028E-3</v>
      </c>
      <c r="N135" s="182">
        <f t="shared" ref="I135:AA135" ca="1" si="8">M137-N137</f>
        <v>0</v>
      </c>
      <c r="O135" s="182">
        <f t="shared" ca="1" si="8"/>
        <v>0</v>
      </c>
      <c r="P135" s="182">
        <f t="shared" ca="1" si="8"/>
        <v>0</v>
      </c>
      <c r="Q135" s="182">
        <f t="shared" ca="1" si="8"/>
        <v>0</v>
      </c>
      <c r="R135" s="182">
        <f ca="1">Q137-R137</f>
        <v>0</v>
      </c>
      <c r="S135" s="182">
        <f t="shared" ca="1" si="8"/>
        <v>0</v>
      </c>
      <c r="T135" s="182">
        <f t="shared" ca="1" si="8"/>
        <v>0</v>
      </c>
      <c r="U135" s="182">
        <f t="shared" ca="1" si="8"/>
        <v>0</v>
      </c>
      <c r="V135" s="182">
        <f t="shared" ca="1" si="8"/>
        <v>0</v>
      </c>
      <c r="W135" s="182">
        <f t="shared" ca="1" si="8"/>
        <v>0</v>
      </c>
      <c r="X135" s="182">
        <f t="shared" ca="1" si="8"/>
        <v>0</v>
      </c>
      <c r="Y135" s="182">
        <f t="shared" ca="1" si="8"/>
        <v>0</v>
      </c>
      <c r="Z135" s="182">
        <f t="shared" ca="1" si="8"/>
        <v>0</v>
      </c>
      <c r="AA135" s="182">
        <f t="shared" ca="1" si="8"/>
        <v>0</v>
      </c>
    </row>
    <row r="136" spans="2:27" x14ac:dyDescent="0.15">
      <c r="B136" s="71" t="s">
        <v>423</v>
      </c>
      <c r="G136" s="469"/>
      <c r="I136" s="469"/>
      <c r="J136" s="469"/>
      <c r="K136" s="469"/>
      <c r="L136" s="469"/>
      <c r="M136" s="469"/>
      <c r="N136" s="469"/>
    </row>
    <row r="137" spans="2:27" x14ac:dyDescent="0.15">
      <c r="B137" s="71" t="s">
        <v>412</v>
      </c>
      <c r="C137" s="182">
        <f>DCFF!G38</f>
        <v>176.113</v>
      </c>
      <c r="D137" s="182">
        <f>C137-D135</f>
        <v>171.893</v>
      </c>
      <c r="E137" s="182">
        <f>D137-E135+E142</f>
        <v>467.673</v>
      </c>
      <c r="F137" s="182">
        <f t="shared" ref="E137:AA137" si="9">E137-F135</f>
        <v>433.45299999999997</v>
      </c>
      <c r="G137" s="182">
        <f t="shared" si="9"/>
        <v>318.06299999999999</v>
      </c>
      <c r="H137" s="182">
        <f t="shared" si="9"/>
        <v>268.06299999999999</v>
      </c>
      <c r="I137" s="182">
        <f t="shared" si="9"/>
        <v>178.06299999999999</v>
      </c>
      <c r="J137" s="182">
        <f t="shared" si="9"/>
        <v>2.9999999999859028E-3</v>
      </c>
      <c r="K137" s="182">
        <f t="shared" si="9"/>
        <v>2.9999999999859028E-3</v>
      </c>
      <c r="L137" s="182">
        <f t="shared" si="9"/>
        <v>2.9999999999859028E-3</v>
      </c>
      <c r="M137" s="182">
        <f t="shared" ca="1" si="9"/>
        <v>2.9999999999859028E-3</v>
      </c>
      <c r="N137" s="182">
        <f t="shared" ca="1" si="9"/>
        <v>2.9999999999859028E-3</v>
      </c>
      <c r="O137" s="182">
        <f t="shared" ca="1" si="9"/>
        <v>2.9999999999859028E-3</v>
      </c>
      <c r="P137" s="182">
        <f t="shared" ca="1" si="9"/>
        <v>2.9999999999859028E-3</v>
      </c>
      <c r="Q137" s="182">
        <f t="shared" ca="1" si="9"/>
        <v>2.9999999999859028E-3</v>
      </c>
      <c r="R137" s="182">
        <f t="shared" ca="1" si="9"/>
        <v>2.9999999999859028E-3</v>
      </c>
      <c r="S137" s="182">
        <f t="shared" ca="1" si="9"/>
        <v>2.9999999999859028E-3</v>
      </c>
      <c r="T137" s="182">
        <f t="shared" ca="1" si="9"/>
        <v>2.9999999999859028E-3</v>
      </c>
      <c r="U137" s="182">
        <f t="shared" ca="1" si="9"/>
        <v>2.9999999999859028E-3</v>
      </c>
      <c r="V137" s="182">
        <f t="shared" ca="1" si="9"/>
        <v>2.9999999999859028E-3</v>
      </c>
      <c r="W137" s="182">
        <f t="shared" ca="1" si="9"/>
        <v>2.9999999999859028E-3</v>
      </c>
      <c r="X137" s="182">
        <f t="shared" ca="1" si="9"/>
        <v>2.9999999999859028E-3</v>
      </c>
      <c r="Y137" s="182">
        <f t="shared" ca="1" si="9"/>
        <v>2.9999999999859028E-3</v>
      </c>
      <c r="Z137" s="182">
        <f t="shared" ca="1" si="9"/>
        <v>2.9999999999859028E-3</v>
      </c>
      <c r="AA137" s="182">
        <f t="shared" ca="1" si="9"/>
        <v>2.9999999999859028E-3</v>
      </c>
    </row>
    <row r="138" spans="2:27" x14ac:dyDescent="0.15">
      <c r="B138" s="71" t="s">
        <v>407</v>
      </c>
    </row>
    <row r="139" spans="2:27" x14ac:dyDescent="0.15">
      <c r="B139" s="71" t="s">
        <v>424</v>
      </c>
      <c r="C139" s="12">
        <f>DCFF!H37/DCFF!H7</f>
        <v>0.19607644901307511</v>
      </c>
      <c r="D139" s="12">
        <f>DCFF!I37/DCFF!I7</f>
        <v>0.11585001582497897</v>
      </c>
      <c r="E139" s="12">
        <f>DCFF!J37/DCFF!J7</f>
        <v>0.16516969028422748</v>
      </c>
      <c r="F139" s="12">
        <f>DCFF!K37/DCFF!K7</f>
        <v>0.13075840948379755</v>
      </c>
      <c r="G139" s="12">
        <f>DCFF!L37/DCFF!L7</f>
        <v>0.11197816687310919</v>
      </c>
      <c r="H139" s="12">
        <f>DCFF!M37/DCFF!M7</f>
        <v>0.11273512476397084</v>
      </c>
      <c r="I139" s="12">
        <f>DCFF!N37/DCFF!N7</f>
        <v>9.9228896353084003E-2</v>
      </c>
      <c r="J139" s="12">
        <f>DCFF!O37/DCFF!O7</f>
        <v>6.5557918523785758E-2</v>
      </c>
      <c r="K139" s="12">
        <f>DCFF!P37/DCFF!P7</f>
        <v>7.440590292650838E-2</v>
      </c>
      <c r="L139" s="12">
        <f>DCFF!Q37/DCFF!Q7</f>
        <v>9.1622726603982213E-2</v>
      </c>
      <c r="M139" s="12">
        <f>DCFF!R37/DCFF!R7</f>
        <v>9.4205352540471521E-2</v>
      </c>
      <c r="N139" s="12">
        <f>DCFF!S37/DCFF!S7</f>
        <v>0.11116886163600394</v>
      </c>
      <c r="O139" s="12">
        <f>DCFF!T37/DCFF!T7</f>
        <v>0.13873669292730537</v>
      </c>
      <c r="P139" s="12">
        <f>DCFF!U37/DCFF!U7</f>
        <v>0.16527683567493079</v>
      </c>
      <c r="Q139" s="12">
        <f>DCFF!V37/DCFF!V7</f>
        <v>0.20111155662620178</v>
      </c>
      <c r="R139" s="12">
        <f>DCFF!W37/DCFF!W7</f>
        <v>0.22199325446737292</v>
      </c>
      <c r="S139" s="12">
        <f>DCFF!X37/DCFF!X7</f>
        <v>0.24557781831325537</v>
      </c>
      <c r="T139" s="12">
        <f>DCFF!Y37/DCFF!Y7</f>
        <v>0.27207630271490851</v>
      </c>
      <c r="U139" s="12">
        <f>DCFF!Z37/DCFF!Z7</f>
        <v>0.30577595851869055</v>
      </c>
      <c r="V139" s="12">
        <f>DCFF!AA37/DCFF!AA7</f>
        <v>0.33877974122000093</v>
      </c>
      <c r="W139" s="12">
        <f>DCFF!AB37/DCFF!AB7</f>
        <v>0.37177957757514168</v>
      </c>
      <c r="X139" s="12">
        <f>DCFF!AC37/DCFF!AC7</f>
        <v>0.40439671118888748</v>
      </c>
      <c r="Y139" s="12">
        <f>DCFF!AD37/DCFF!AD7</f>
        <v>0.44094665809385597</v>
      </c>
      <c r="Z139" s="12">
        <f>DCFF!AE37/DCFF!AE7</f>
        <v>0.47581409791179402</v>
      </c>
      <c r="AA139" s="12">
        <f>DCFF!AF37/DCFF!AF7</f>
        <v>0.509981796214793</v>
      </c>
    </row>
    <row r="140" spans="2:27" x14ac:dyDescent="0.15">
      <c r="B140" s="71" t="s">
        <v>429</v>
      </c>
      <c r="C140" s="121">
        <f>DCFF!H7*C139</f>
        <v>358.79500000000002</v>
      </c>
      <c r="D140" s="121">
        <f>DCFF!I7*D139</f>
        <v>250.14916289961371</v>
      </c>
      <c r="E140" s="121">
        <f>DCFF!J7*E139</f>
        <v>413.70550518657853</v>
      </c>
      <c r="F140" s="121">
        <f>DCFF!K7*F139</f>
        <v>373.36656674824087</v>
      </c>
      <c r="G140" s="121">
        <f>DCFF!L7*G139</f>
        <v>361.30801365499258</v>
      </c>
      <c r="H140" s="121">
        <f>DCFF!M7*H139</f>
        <v>403.76295397467857</v>
      </c>
      <c r="I140" s="121">
        <f>DCFF!N7*I139</f>
        <v>390.92915925321347</v>
      </c>
      <c r="J140" s="121">
        <f>DCFF!O7*J139</f>
        <v>281.52149398975456</v>
      </c>
      <c r="K140" s="121">
        <f>DCFF!P7*K139</f>
        <v>345.07821998042124</v>
      </c>
      <c r="L140" s="121">
        <f>DCFF!Q7*L139</f>
        <v>454.67088757873574</v>
      </c>
      <c r="M140" s="121">
        <f>DCFF!R7*M139</f>
        <v>500.21106269990685</v>
      </c>
      <c r="N140" s="121">
        <f>DCFF!S7*N139</f>
        <v>631.60367667843911</v>
      </c>
      <c r="O140" s="121">
        <f>DCFF!T7*O139</f>
        <v>835.52354766217343</v>
      </c>
      <c r="P140" s="121">
        <f>DCFF!U7*P139</f>
        <v>1055.0795632094578</v>
      </c>
      <c r="Q140" s="121">
        <f>DCFF!V7*Q139</f>
        <v>1348.0299709139369</v>
      </c>
      <c r="R140" s="121">
        <f>DCFF!W7*R139</f>
        <v>1562.3977241889761</v>
      </c>
      <c r="S140" s="121">
        <f>DCFF!X7*S139</f>
        <v>1814.8062049576022</v>
      </c>
      <c r="T140" s="121">
        <f>DCFF!Y7*T139</f>
        <v>2111.1599332112874</v>
      </c>
      <c r="U140" s="121">
        <f>DCFF!Z7*U139</f>
        <v>2467.5564301311929</v>
      </c>
      <c r="V140" s="121">
        <f>DCFF!AA7*V139</f>
        <v>2843.2465986245184</v>
      </c>
      <c r="W140" s="121">
        <f>DCFF!AB7*W139</f>
        <v>3245.0094453547035</v>
      </c>
      <c r="X140" s="121">
        <f>DCFF!AC7*X139</f>
        <v>3670.8901609895829</v>
      </c>
      <c r="Y140" s="121">
        <f>DCFF!AD7*Y139</f>
        <v>4122.7505196024622</v>
      </c>
      <c r="Z140" s="121">
        <f>DCFF!AE7*Z139</f>
        <v>4582.2157099826754</v>
      </c>
      <c r="AA140" s="121">
        <f>DCFF!AF7*AA139</f>
        <v>5058.5974794286667</v>
      </c>
    </row>
    <row r="141" spans="2:27" x14ac:dyDescent="0.15">
      <c r="B141" s="71" t="s">
        <v>422</v>
      </c>
      <c r="D141" s="121"/>
      <c r="E141" s="121"/>
      <c r="F141" s="121"/>
      <c r="G141" s="121"/>
    </row>
    <row r="142" spans="2:27" x14ac:dyDescent="0.15">
      <c r="E142">
        <v>300</v>
      </c>
    </row>
    <row r="151" spans="2:28" x14ac:dyDescent="0.15">
      <c r="E151" s="468"/>
      <c r="F151" s="468"/>
      <c r="L151" s="468"/>
      <c r="M151" s="468"/>
      <c r="N151" s="468"/>
      <c r="O151" s="468"/>
      <c r="P151" s="470"/>
    </row>
    <row r="152" spans="2:28" x14ac:dyDescent="0.15">
      <c r="E152" s="468"/>
      <c r="F152" s="469"/>
      <c r="L152" s="468"/>
      <c r="M152" s="468"/>
      <c r="N152" s="468"/>
      <c r="O152" s="468"/>
      <c r="P152" s="470"/>
    </row>
    <row r="153" spans="2:28" x14ac:dyDescent="0.15">
      <c r="E153" s="468"/>
      <c r="F153" s="469"/>
      <c r="L153" s="468"/>
      <c r="N153" s="468"/>
      <c r="O153" s="468"/>
      <c r="P153" s="470"/>
    </row>
    <row r="155" spans="2:28" x14ac:dyDescent="0.15">
      <c r="B155" s="71" t="s">
        <v>423</v>
      </c>
    </row>
    <row r="156" spans="2:28" x14ac:dyDescent="0.15">
      <c r="B156" s="71" t="s">
        <v>425</v>
      </c>
      <c r="C156" s="71" t="s">
        <v>426</v>
      </c>
      <c r="D156" s="71" t="s">
        <v>427</v>
      </c>
    </row>
    <row r="157" spans="2:28" x14ac:dyDescent="0.15">
      <c r="B157">
        <v>2025</v>
      </c>
    </row>
    <row r="159" spans="2:28" ht="14" thickBot="1" x14ac:dyDescent="0.2"/>
    <row r="160" spans="2:28" ht="16" x14ac:dyDescent="0.2">
      <c r="B160" s="633"/>
      <c r="C160" s="634">
        <v>2024</v>
      </c>
      <c r="D160" s="635">
        <f t="shared" ref="D160:AA160" si="10">+C160+1</f>
        <v>2025</v>
      </c>
      <c r="E160" s="635">
        <f t="shared" si="10"/>
        <v>2026</v>
      </c>
      <c r="F160" s="635">
        <f t="shared" si="10"/>
        <v>2027</v>
      </c>
      <c r="G160" s="636">
        <f t="shared" si="10"/>
        <v>2028</v>
      </c>
      <c r="H160" s="634">
        <f t="shared" si="10"/>
        <v>2029</v>
      </c>
      <c r="I160" s="635">
        <f t="shared" si="10"/>
        <v>2030</v>
      </c>
      <c r="J160" s="635">
        <f t="shared" si="10"/>
        <v>2031</v>
      </c>
      <c r="K160" s="635">
        <f t="shared" si="10"/>
        <v>2032</v>
      </c>
      <c r="L160" s="635">
        <f t="shared" si="10"/>
        <v>2033</v>
      </c>
      <c r="M160" s="635">
        <f t="shared" si="10"/>
        <v>2034</v>
      </c>
      <c r="N160" s="635">
        <f t="shared" si="10"/>
        <v>2035</v>
      </c>
      <c r="O160" s="635">
        <f t="shared" si="10"/>
        <v>2036</v>
      </c>
      <c r="P160" s="635">
        <f t="shared" si="10"/>
        <v>2037</v>
      </c>
      <c r="Q160" s="636">
        <f t="shared" si="10"/>
        <v>2038</v>
      </c>
      <c r="R160" s="634">
        <f t="shared" si="10"/>
        <v>2039</v>
      </c>
      <c r="S160" s="635">
        <f t="shared" si="10"/>
        <v>2040</v>
      </c>
      <c r="T160" s="635">
        <f t="shared" si="10"/>
        <v>2041</v>
      </c>
      <c r="U160" s="635">
        <f t="shared" si="10"/>
        <v>2042</v>
      </c>
      <c r="V160" s="635">
        <f t="shared" si="10"/>
        <v>2043</v>
      </c>
      <c r="W160" s="635">
        <f t="shared" si="10"/>
        <v>2044</v>
      </c>
      <c r="X160" s="635">
        <f t="shared" si="10"/>
        <v>2045</v>
      </c>
      <c r="Y160" s="635">
        <f t="shared" si="10"/>
        <v>2046</v>
      </c>
      <c r="Z160" s="635">
        <f t="shared" si="10"/>
        <v>2047</v>
      </c>
      <c r="AA160" s="637">
        <f t="shared" si="10"/>
        <v>2048</v>
      </c>
      <c r="AB160" s="633"/>
    </row>
    <row r="161" spans="2:27" ht="16" x14ac:dyDescent="0.2">
      <c r="B161" s="633" t="s">
        <v>428</v>
      </c>
      <c r="C161" s="312">
        <v>-200</v>
      </c>
      <c r="D161" s="312">
        <v>-250</v>
      </c>
      <c r="E161" s="638">
        <v>-300</v>
      </c>
      <c r="F161" s="312">
        <v>-200</v>
      </c>
      <c r="G161" s="312">
        <v>-150</v>
      </c>
      <c r="H161" s="312">
        <v>-100</v>
      </c>
      <c r="I161" s="312">
        <v>-75</v>
      </c>
      <c r="J161" s="312">
        <v>-50</v>
      </c>
      <c r="K161" s="312">
        <v>-50</v>
      </c>
      <c r="L161" s="638">
        <v>-50</v>
      </c>
      <c r="M161" s="638">
        <v>-50</v>
      </c>
      <c r="N161" s="638">
        <v>-50</v>
      </c>
      <c r="O161" s="638">
        <v>-50</v>
      </c>
      <c r="P161" s="638">
        <v>-50</v>
      </c>
      <c r="Q161" s="638">
        <v>-50</v>
      </c>
      <c r="R161" s="638">
        <v>-50</v>
      </c>
      <c r="S161" s="638">
        <v>-50</v>
      </c>
      <c r="T161" s="638">
        <v>-50</v>
      </c>
      <c r="U161" s="638">
        <v>-50</v>
      </c>
      <c r="V161" s="638">
        <v>-50</v>
      </c>
      <c r="W161" s="638">
        <v>-50</v>
      </c>
      <c r="X161" s="638">
        <v>-50</v>
      </c>
      <c r="Y161" s="638">
        <v>-50</v>
      </c>
      <c r="Z161" s="638">
        <v>-50</v>
      </c>
      <c r="AA161" s="638">
        <v>-50</v>
      </c>
    </row>
    <row r="162" spans="2:27" ht="16" x14ac:dyDescent="0.2">
      <c r="B162" s="633" t="s">
        <v>284</v>
      </c>
      <c r="E162" s="468"/>
      <c r="F162" s="468"/>
      <c r="L162" s="468"/>
      <c r="M162" s="468"/>
      <c r="N162" s="468"/>
      <c r="O162" s="468"/>
      <c r="P162" s="470"/>
    </row>
    <row r="163" spans="2:27" ht="16" x14ac:dyDescent="0.2">
      <c r="B163" s="633"/>
      <c r="E163" s="468"/>
      <c r="F163" s="468"/>
      <c r="L163" s="468"/>
      <c r="M163" s="468"/>
      <c r="N163" s="468"/>
      <c r="O163" s="468"/>
      <c r="P163" s="470"/>
    </row>
    <row r="164" spans="2:27" x14ac:dyDescent="0.15">
      <c r="L164" s="468"/>
      <c r="N164" s="468"/>
      <c r="O164" s="468"/>
      <c r="P164" s="470"/>
    </row>
    <row r="165" spans="2:27" x14ac:dyDescent="0.15">
      <c r="L165" s="468"/>
      <c r="N165" s="468"/>
      <c r="O165" s="468"/>
      <c r="P165" s="470"/>
    </row>
    <row r="166" spans="2:27" x14ac:dyDescent="0.15">
      <c r="L166" s="468"/>
      <c r="N166" s="468"/>
      <c r="O166" s="468"/>
      <c r="P166" s="470"/>
    </row>
    <row r="167" spans="2:27" x14ac:dyDescent="0.15">
      <c r="L167" s="468"/>
      <c r="N167" s="468"/>
      <c r="O167" s="468"/>
      <c r="P167" s="470"/>
    </row>
    <row r="168" spans="2:27" x14ac:dyDescent="0.15">
      <c r="L168" s="468"/>
      <c r="N168" s="468"/>
      <c r="O168" s="468"/>
      <c r="P168" s="470"/>
    </row>
    <row r="169" spans="2:27" x14ac:dyDescent="0.15">
      <c r="L169" s="468"/>
      <c r="N169" s="468"/>
      <c r="O169" s="468"/>
    </row>
    <row r="171" spans="2:27" ht="15" x14ac:dyDescent="0.2">
      <c r="B171" s="224"/>
      <c r="C171" s="240" t="s">
        <v>265</v>
      </c>
      <c r="D171" s="240" t="s">
        <v>266</v>
      </c>
      <c r="E171" s="240" t="s">
        <v>267</v>
      </c>
      <c r="F171" s="234" t="s">
        <v>268</v>
      </c>
    </row>
    <row r="172" spans="2:27" ht="15" x14ac:dyDescent="0.2">
      <c r="B172" s="241" t="s">
        <v>270</v>
      </c>
      <c r="C172" s="242">
        <v>0.65</v>
      </c>
      <c r="D172" s="242">
        <v>0.55000000000000004</v>
      </c>
      <c r="E172" s="242">
        <v>0.55000000000000004</v>
      </c>
      <c r="F172" s="313" t="s">
        <v>271</v>
      </c>
    </row>
    <row r="173" spans="2:27" ht="15" x14ac:dyDescent="0.2">
      <c r="B173" s="243" t="s">
        <v>272</v>
      </c>
      <c r="C173" s="244">
        <v>0.01</v>
      </c>
      <c r="D173" s="244">
        <v>0.02</v>
      </c>
      <c r="E173" s="497">
        <v>0.02</v>
      </c>
      <c r="F173" s="314" t="s">
        <v>273</v>
      </c>
    </row>
    <row r="174" spans="2:27" ht="15" x14ac:dyDescent="0.2">
      <c r="B174" s="243" t="s">
        <v>274</v>
      </c>
      <c r="C174" s="244">
        <v>0.2</v>
      </c>
      <c r="D174" s="244">
        <v>0.2</v>
      </c>
      <c r="E174" s="497">
        <v>0.2</v>
      </c>
      <c r="F174" s="315" t="s">
        <v>275</v>
      </c>
    </row>
    <row r="175" spans="2:27" ht="15" x14ac:dyDescent="0.2">
      <c r="B175" s="388" t="s">
        <v>276</v>
      </c>
      <c r="C175" s="244">
        <v>0.02</v>
      </c>
      <c r="D175" s="244">
        <v>0.03</v>
      </c>
      <c r="E175" s="497">
        <v>0.03</v>
      </c>
      <c r="F175" s="315" t="s">
        <v>277</v>
      </c>
    </row>
    <row r="176" spans="2:27" ht="15" x14ac:dyDescent="0.2">
      <c r="B176" s="243" t="s">
        <v>278</v>
      </c>
      <c r="C176" s="244">
        <v>0</v>
      </c>
      <c r="D176" s="244">
        <v>0</v>
      </c>
      <c r="E176" s="497">
        <v>0</v>
      </c>
      <c r="F176" s="314" t="s">
        <v>279</v>
      </c>
    </row>
    <row r="177" spans="2:26" ht="15" x14ac:dyDescent="0.2">
      <c r="B177" s="388" t="s">
        <v>280</v>
      </c>
      <c r="C177" s="244">
        <v>0.01</v>
      </c>
      <c r="D177" s="244">
        <v>0.02</v>
      </c>
      <c r="E177" s="497">
        <v>0.02</v>
      </c>
      <c r="F177" s="314" t="s">
        <v>273</v>
      </c>
    </row>
    <row r="178" spans="2:26" ht="15" x14ac:dyDescent="0.2">
      <c r="B178" s="243" t="s">
        <v>281</v>
      </c>
      <c r="C178" s="244">
        <v>-0.3</v>
      </c>
      <c r="D178" s="244">
        <v>-0.3</v>
      </c>
      <c r="E178" s="497">
        <v>-0.3</v>
      </c>
      <c r="F178" s="314" t="s">
        <v>282</v>
      </c>
    </row>
    <row r="179" spans="2:26" ht="15" x14ac:dyDescent="0.2">
      <c r="B179" s="243" t="s">
        <v>283</v>
      </c>
      <c r="C179" s="244">
        <v>0.08</v>
      </c>
      <c r="D179" s="244">
        <v>0.06</v>
      </c>
      <c r="E179" s="497">
        <v>0.04</v>
      </c>
      <c r="F179" s="314" t="s">
        <v>273</v>
      </c>
    </row>
    <row r="180" spans="2:26" ht="15" x14ac:dyDescent="0.2">
      <c r="B180" s="243" t="s">
        <v>284</v>
      </c>
      <c r="C180" s="244">
        <v>0</v>
      </c>
      <c r="D180" s="244">
        <v>0</v>
      </c>
      <c r="E180" s="497">
        <v>0</v>
      </c>
      <c r="F180" s="314" t="s">
        <v>285</v>
      </c>
    </row>
    <row r="181" spans="2:26" ht="15" x14ac:dyDescent="0.2">
      <c r="B181" s="245" t="s">
        <v>248</v>
      </c>
      <c r="C181" s="236">
        <v>-0.01</v>
      </c>
      <c r="D181" s="236">
        <v>0.01</v>
      </c>
      <c r="E181" s="236">
        <v>0.01</v>
      </c>
      <c r="F181" s="316" t="s">
        <v>286</v>
      </c>
    </row>
    <row r="187" spans="2:26" ht="15" x14ac:dyDescent="0.2">
      <c r="B187" s="567">
        <v>1829.8730000769965</v>
      </c>
      <c r="C187" s="568">
        <v>2159.2501400908559</v>
      </c>
      <c r="D187" s="568">
        <v>2504.7301625053929</v>
      </c>
      <c r="E187" s="568">
        <v>2855.3923852561484</v>
      </c>
      <c r="F187" s="569">
        <v>3226.5933953394474</v>
      </c>
      <c r="G187" s="567">
        <v>3581.5186688267868</v>
      </c>
      <c r="H187" s="568">
        <v>3939.6705357094656</v>
      </c>
      <c r="I187" s="568">
        <v>4294.2408839233176</v>
      </c>
      <c r="J187" s="568">
        <v>4637.7801546371829</v>
      </c>
      <c r="K187" s="568">
        <v>4962.4247654617857</v>
      </c>
      <c r="L187" s="568">
        <v>5309.794499044111</v>
      </c>
      <c r="M187" s="568">
        <v>5681.4801139771989</v>
      </c>
      <c r="N187" s="568">
        <v>6022.3689208158312</v>
      </c>
      <c r="O187" s="568">
        <v>6383.7110560647816</v>
      </c>
      <c r="P187" s="569">
        <v>6702.8966088680208</v>
      </c>
      <c r="Q187" s="567">
        <v>7038.0414393114224</v>
      </c>
      <c r="R187" s="513">
        <v>7389.9435112769943</v>
      </c>
      <c r="S187" s="568">
        <v>7759.4406868408441</v>
      </c>
      <c r="T187" s="568">
        <v>8069.8183143144779</v>
      </c>
      <c r="U187" s="568">
        <v>8392.6110468870575</v>
      </c>
      <c r="V187" s="568">
        <v>8728.3154887625406</v>
      </c>
      <c r="W187" s="568">
        <v>9077.4481083130431</v>
      </c>
      <c r="X187" s="568">
        <v>9349.771551562435</v>
      </c>
      <c r="Y187" s="568">
        <v>9630.2646981093076</v>
      </c>
      <c r="Z187" s="570">
        <v>9919.1726390525873</v>
      </c>
    </row>
    <row r="188" spans="2:26" ht="15" x14ac:dyDescent="0.2">
      <c r="B188">
        <v>0</v>
      </c>
      <c r="C188">
        <v>0</v>
      </c>
      <c r="D188">
        <v>0</v>
      </c>
      <c r="E188">
        <v>0</v>
      </c>
      <c r="F188">
        <v>0</v>
      </c>
      <c r="G188">
        <v>0</v>
      </c>
      <c r="H188">
        <v>0</v>
      </c>
      <c r="I188">
        <v>0</v>
      </c>
      <c r="J188">
        <v>0</v>
      </c>
      <c r="K188">
        <v>0</v>
      </c>
      <c r="L188" s="496">
        <v>200</v>
      </c>
      <c r="M188" s="743">
        <v>200</v>
      </c>
      <c r="N188" s="742">
        <v>200</v>
      </c>
      <c r="O188" s="496">
        <v>220</v>
      </c>
      <c r="P188" s="508">
        <v>220</v>
      </c>
      <c r="Q188" s="745">
        <v>250</v>
      </c>
      <c r="R188" s="496">
        <v>250</v>
      </c>
      <c r="S188" s="496">
        <v>250</v>
      </c>
      <c r="T188" s="496">
        <v>250</v>
      </c>
      <c r="U188" s="496">
        <v>280</v>
      </c>
      <c r="V188" s="496">
        <v>300</v>
      </c>
      <c r="W188" s="744">
        <v>320</v>
      </c>
      <c r="X188" s="742">
        <v>350</v>
      </c>
      <c r="Y188" s="496">
        <v>380</v>
      </c>
      <c r="Z188" s="507">
        <v>400</v>
      </c>
    </row>
    <row r="189" spans="2:26" ht="14" x14ac:dyDescent="0.15">
      <c r="B189" s="561">
        <v>0.1031884359</v>
      </c>
      <c r="C189" s="562">
        <v>0.18</v>
      </c>
      <c r="D189" s="562">
        <v>0.16</v>
      </c>
      <c r="E189" s="562">
        <v>0.14000000000000001</v>
      </c>
      <c r="F189" s="563">
        <v>0.13</v>
      </c>
      <c r="G189" s="561">
        <v>0.11</v>
      </c>
      <c r="H189" s="562">
        <v>0.1</v>
      </c>
      <c r="I189" s="562">
        <v>0.09</v>
      </c>
      <c r="J189" s="562">
        <v>0.08</v>
      </c>
      <c r="K189" s="562">
        <v>7.0000000000000007E-2</v>
      </c>
      <c r="L189" s="562">
        <v>7.0000000000000007E-2</v>
      </c>
      <c r="M189" s="562">
        <v>7.0000000000000007E-2</v>
      </c>
      <c r="N189" s="562">
        <v>0.06</v>
      </c>
      <c r="O189" s="562">
        <v>0.06</v>
      </c>
      <c r="P189" s="563">
        <v>0.05</v>
      </c>
      <c r="Q189" s="561">
        <v>0.05</v>
      </c>
      <c r="R189" s="562">
        <v>0.05</v>
      </c>
      <c r="S189" s="562">
        <v>0.05</v>
      </c>
      <c r="T189" s="562">
        <v>0.04</v>
      </c>
      <c r="U189" s="562">
        <v>0.04</v>
      </c>
      <c r="V189" s="562">
        <v>0.04</v>
      </c>
      <c r="W189" s="562">
        <v>0.04</v>
      </c>
      <c r="X189" s="562">
        <v>0.03</v>
      </c>
      <c r="Y189" s="562">
        <v>0.03</v>
      </c>
      <c r="Z189" s="564">
        <v>0.03</v>
      </c>
    </row>
    <row r="190" spans="2:26" x14ac:dyDescent="0.15">
      <c r="L190" s="173" t="s">
        <v>258</v>
      </c>
      <c r="M190" s="171"/>
      <c r="N190" s="171"/>
      <c r="O190" s="171"/>
      <c r="P190" s="171"/>
      <c r="Q190" s="171"/>
      <c r="R190" s="171"/>
      <c r="S190" s="171"/>
      <c r="T190" s="171"/>
      <c r="U190" s="171"/>
      <c r="V190" s="171"/>
      <c r="W190" s="171"/>
      <c r="X190" s="171"/>
      <c r="Y190" s="171"/>
      <c r="Z190" s="171"/>
    </row>
    <row r="191" spans="2:26" x14ac:dyDescent="0.15">
      <c r="M191" s="171"/>
      <c r="N191" s="171"/>
      <c r="O191" s="171"/>
      <c r="P191" s="171"/>
      <c r="Q191" s="171"/>
      <c r="R191" s="171"/>
      <c r="S191" s="171"/>
      <c r="T191" s="171"/>
      <c r="U191" s="171"/>
      <c r="V191" s="171"/>
      <c r="W191" s="171"/>
      <c r="X191" s="171"/>
      <c r="Y191" s="171"/>
      <c r="Z191" s="171"/>
    </row>
    <row r="192" spans="2:26" x14ac:dyDescent="0.15">
      <c r="L192" s="121">
        <f>K187*L189</f>
        <v>347.36973358232501</v>
      </c>
      <c r="M192" s="121">
        <f t="shared" ref="M192:Z192" si="11">L187*M189</f>
        <v>371.68561493308783</v>
      </c>
      <c r="N192" s="121">
        <f t="shared" si="11"/>
        <v>340.88880683863192</v>
      </c>
      <c r="O192" s="121">
        <f t="shared" si="11"/>
        <v>361.34213524894983</v>
      </c>
      <c r="P192" s="121">
        <f t="shared" si="11"/>
        <v>319.18555280323909</v>
      </c>
      <c r="Q192" s="121">
        <f t="shared" si="11"/>
        <v>335.14483044340108</v>
      </c>
      <c r="R192" s="121">
        <f>Q187*R189</f>
        <v>351.90207196557117</v>
      </c>
      <c r="S192" s="121">
        <f t="shared" si="11"/>
        <v>369.49717556384974</v>
      </c>
      <c r="T192" s="121">
        <f t="shared" si="11"/>
        <v>310.37762747363377</v>
      </c>
      <c r="U192" s="121">
        <f>T187*U189</f>
        <v>322.7927325725791</v>
      </c>
      <c r="V192" s="121">
        <f t="shared" si="11"/>
        <v>335.7044418754823</v>
      </c>
      <c r="W192" s="121">
        <f t="shared" si="11"/>
        <v>349.1326195505016</v>
      </c>
      <c r="X192" s="121">
        <f t="shared" si="11"/>
        <v>272.32344324939129</v>
      </c>
      <c r="Y192" s="121">
        <f t="shared" si="11"/>
        <v>280.49314654687305</v>
      </c>
      <c r="Z192" s="121">
        <f t="shared" si="11"/>
        <v>288.90794094327924</v>
      </c>
    </row>
    <row r="194" spans="12:26" x14ac:dyDescent="0.15">
      <c r="L194" s="171">
        <f>L188/L192</f>
        <v>0.57575540026892102</v>
      </c>
      <c r="M194" s="171">
        <f>L188/M192</f>
        <v>0.53808915912983268</v>
      </c>
      <c r="N194" s="171">
        <f>M188/N192</f>
        <v>0.58670157537520706</v>
      </c>
      <c r="O194" s="171">
        <f>N188/O192</f>
        <v>0.55349205224076137</v>
      </c>
      <c r="P194" s="171">
        <f>O188/P192</f>
        <v>0.68925425373377813</v>
      </c>
      <c r="Q194" s="171">
        <f>P188/Q192</f>
        <v>0.65643262260359814</v>
      </c>
      <c r="R194" s="171">
        <f>Q188/R192</f>
        <v>0.71042491623766024</v>
      </c>
      <c r="S194" s="171">
        <f>R188/S192</f>
        <v>0.67659515832158124</v>
      </c>
      <c r="T194" s="171">
        <f>S188/T192</f>
        <v>0.80547042657331103</v>
      </c>
      <c r="U194" s="171">
        <f>T188/U192</f>
        <v>0.77449079478202987</v>
      </c>
      <c r="V194" s="171">
        <f>U188/V192</f>
        <v>0.83406700976526282</v>
      </c>
      <c r="W194" s="171">
        <f>V188/W192</f>
        <v>0.85927233148893833</v>
      </c>
      <c r="X194" s="171">
        <f>W188/X192</f>
        <v>1.1750732738310266</v>
      </c>
      <c r="Y194" s="171">
        <f>X188/Y192</f>
        <v>1.2478023235462963</v>
      </c>
      <c r="Z194" s="171">
        <f>Y188/Z192</f>
        <v>1.3152978722540711</v>
      </c>
    </row>
    <row r="196" spans="12:26" x14ac:dyDescent="0.15">
      <c r="L196" s="171">
        <f>AVERAGE(L194:P194)</f>
        <v>0.58865848814970012</v>
      </c>
      <c r="Q196" s="171">
        <f>AVERAGE(Q194:Z194)</f>
        <v>0.90549267294037761</v>
      </c>
    </row>
  </sheetData>
  <mergeCells count="8">
    <mergeCell ref="C76:I76"/>
    <mergeCell ref="C85:L85"/>
    <mergeCell ref="C70:L70"/>
    <mergeCell ref="C8:L8"/>
    <mergeCell ref="D15:M15"/>
    <mergeCell ref="B38:B41"/>
    <mergeCell ref="B43:B46"/>
    <mergeCell ref="B48:B51"/>
  </mergeCells>
  <phoneticPr fontId="66" type="noConversion"/>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F95F15-C902-4F29-BCC3-173A7BFB5290}">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terms/"/>
    <ds:schemaRef ds:uri="8c89d0e4-a8d9-42ba-a773-c59a56f7723e"/>
    <ds:schemaRef ds:uri="6ba73c8a-1af7-4183-b158-1cd1291da2b6"/>
    <ds:schemaRef ds:uri="http://purl.org/dc/dcmitype/"/>
  </ds:schemaRefs>
</ds:datastoreItem>
</file>

<file path=customXml/itemProps2.xml><?xml version="1.0" encoding="utf-8"?>
<ds:datastoreItem xmlns:ds="http://schemas.openxmlformats.org/officeDocument/2006/customXml" ds:itemID="{97FB3ED4-AE09-4A5F-AFD9-51C7AB84015B}">
  <ds:schemaRefs>
    <ds:schemaRef ds:uri="http://schemas.microsoft.com/sharepoint/v3/contenttype/forms"/>
  </ds:schemaRefs>
</ds:datastoreItem>
</file>

<file path=customXml/itemProps3.xml><?xml version="1.0" encoding="utf-8"?>
<ds:datastoreItem xmlns:ds="http://schemas.openxmlformats.org/officeDocument/2006/customXml" ds:itemID="{6206C075-38B2-4794-9284-163FF9CCDD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COVID-19 impact</vt:lpstr>
      <vt:lpstr>OP</vt:lpstr>
      <vt:lpstr>Segments</vt:lpstr>
      <vt:lpstr>Peers</vt:lpstr>
      <vt:lpstr>Acuerdo</vt:lpstr>
      <vt:lpstr>DCF</vt:lpstr>
      <vt:lpstr>ESG</vt:lpstr>
      <vt:lpstr>DCFF</vt:lpstr>
      <vt:lpstr>Cifras_en_Millones</vt:lpstr>
      <vt:lpstr>Cifras_Originales</vt:lpstr>
      <vt:lpstr>Assumptions</vt:lpstr>
      <vt:lpstr>Cifras_en_Millones!Print_Area</vt:lpstr>
      <vt:lpstr>OP!Print_Area</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Gabriela de Almeida Rito Major</cp:lastModifiedBy>
  <cp:revision/>
  <dcterms:created xsi:type="dcterms:W3CDTF">2000-04-19T14:51:26Z</dcterms:created>
  <dcterms:modified xsi:type="dcterms:W3CDTF">2025-02-26T12:27:20Z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