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hdisegutl.sharepoint.com/sites/LIS-GENERAL-SecuritiesResearch/Shared Documents/Securities Research/One Pagers/24-25/Team 10 (Maria Pilar)/"/>
    </mc:Choice>
  </mc:AlternateContent>
  <xr:revisionPtr revIDLastSave="45" documentId="11_ACEC97DE5A4321A612194BFFC2F50950DC1BDF3B" xr6:coauthVersionLast="47" xr6:coauthVersionMax="47" xr10:uidLastSave="{6762B7AF-D1EE-4B06-B515-C7084829A93B}"/>
  <bookViews>
    <workbookView xWindow="-110" yWindow="-110" windowWidth="19420" windowHeight="10300" tabRatio="644" activeTab="9" xr2:uid="{00000000-000D-0000-FFFF-FFFF00000000}"/>
  </bookViews>
  <sheets>
    <sheet name="OP" sheetId="1" r:id="rId1"/>
    <sheet name="COVID-19 impact" sheetId="12" state="hidden" r:id="rId2"/>
    <sheet name="Segments" sheetId="3" r:id="rId3"/>
    <sheet name="Peers" sheetId="10" r:id="rId4"/>
    <sheet name="Acuerdo" sheetId="11" state="hidden" r:id="rId5"/>
    <sheet name="ESG" sheetId="7" r:id="rId6"/>
    <sheet name="DCF" sheetId="4" state="hidden" r:id="rId7"/>
    <sheet name="DCFF" sheetId="16" r:id="rId8"/>
    <sheet name="Cifras_en_Millones" sheetId="17" r:id="rId9"/>
    <sheet name="Cifras_Originales" sheetId="18" r:id="rId10"/>
    <sheet name="Q" sheetId="19" r:id="rId11"/>
  </sheets>
  <externalReferences>
    <externalReference r:id="rId12"/>
  </externalReferences>
  <definedNames>
    <definedName name="_xlnm.Print_Area" localSheetId="8">Cifras_en_Millones!$A$1:$L$88</definedName>
    <definedName name="_xlnm.Print_Area" localSheetId="0">OP!$A$1:$M$51</definedName>
    <definedName name="_xlnm.Print_Area" localSheetId="2">Segments!#REF!</definedName>
    <definedName name="Benchmark">[1]ControlsH!$B$3</definedName>
    <definedName name="BestConsOv">#REF!</definedName>
    <definedName name="Broker_Name">OFFSET(#REF!,0,0,[1]ControlsH!$E$5, 1)</definedName>
    <definedName name="calCODE">[1]ControlsH!$C$4</definedName>
    <definedName name="Chart_Benchmark_100_Size">OFFSET(#REF!, 0, 0, [1]ControlsH!$E$3, 1)</definedName>
    <definedName name="Chart_Date_Size">OFFSET(#REF!, 0, 0, [1]ControlsH!$E$3, 1)</definedName>
    <definedName name="Chart_Date_VAL1_Size">OFFSET(#REF!, 0, 0, [1]ControlsH!$I$3, 1)</definedName>
    <definedName name="Chart_Date_VAL2_Size">OFFSET(#REF!, 0, 0, [1]ControlsH!$I$5, 1)</definedName>
    <definedName name="Chart_Peer_100_Size">OFFSET(#REF!, 0, 0, [1]ControlsH!$E$3, 1)</definedName>
    <definedName name="Chart_Price_100_Size">OFFSET(#REF!, 0, 0, [1]ControlsH!$E$3, 1)</definedName>
    <definedName name="Chart_Price_Size">OFFSET(#REF!, 0, 0, [1]ControlsH!$E$3, 1)</definedName>
    <definedName name="Chart_VAL1_FY1_Size">OFFSET(#REF!, 0, 0, [1]ControlsH!$F$3, 1)</definedName>
    <definedName name="Chart_VAL1_FY2_Size">OFFSET(#REF!, 0, 0, [1]ControlsH!$G$3, 1)</definedName>
    <definedName name="Chart_VAL1_FY3_Size">OFFSET(#REF!, 0, 0, [1]ControlsH!$H$3, 1)</definedName>
    <definedName name="Chart_VAL2_FY1_Size">OFFSET(#REF!, 0, 0, [1]ControlsH!$F$5, 1)</definedName>
    <definedName name="Chart_VAL2_FY2_Size">OFFSET(#REF!, 0, 0, [1]ControlsH!$G$5, 1)</definedName>
    <definedName name="Chart_VAL2_FY3_Size">OFFSET(#REF!, 0, 0, [1]ControlsH!$H$5, 1)</definedName>
    <definedName name="Chart_Volume_Size">OFFSET(#REF!, 0, 0, [1]ControlsH!$E$3, 1)</definedName>
    <definedName name="compNAME">[1]ControlsH!$B$6</definedName>
    <definedName name="CURRENCY">[1]ControlsH!$B$9</definedName>
    <definedName name="currPRICE">[1]Overview!$E$19</definedName>
    <definedName name="custBenchmark">[1]Overview!$C$9</definedName>
    <definedName name="custED">#REF!</definedName>
    <definedName name="custSD">#REF!</definedName>
    <definedName name="dayCODE">[1]ControlsH!$C$5</definedName>
    <definedName name="ED">[1]ControlsH!$B$5</definedName>
    <definedName name="ESTBrokersItem">#REF!</definedName>
    <definedName name="ESTBrokersPeriod">#REF!</definedName>
    <definedName name="ESTDetailBroker">#REF!</definedName>
    <definedName name="ESTDetailBroker2">#REF!</definedName>
    <definedName name="ESTDetailPeriod">#REF!</definedName>
    <definedName name="EstDetPerO">#REF!</definedName>
    <definedName name="EstDetPerT">#REF!</definedName>
    <definedName name="FinancialsPeriod">#REF!</definedName>
    <definedName name="fundTICKER">[1]ControlsH!$B$15</definedName>
    <definedName name="GraphValRatio1">#REF!</definedName>
    <definedName name="GraphValRatio2">#REF!</definedName>
    <definedName name="Index1">#REF!</definedName>
    <definedName name="Lang">[1]Overview!$D$11</definedName>
    <definedName name="newCrncy">[1]ControlsH!$B$21:$B$199</definedName>
    <definedName name="newEstBrokerPeriod">#REF!</definedName>
    <definedName name="newEstBrokersItem">#REF!</definedName>
    <definedName name="newEstDetailBroker">#REF!</definedName>
    <definedName name="newEstDetailBroker2">#REF!</definedName>
    <definedName name="newEstDetailPeriod">#REF!</definedName>
    <definedName name="newFinancialsPeriod">#REF!</definedName>
    <definedName name="newOverviewCon">#REF!</definedName>
    <definedName name="newOverviewYear">#REF!</definedName>
    <definedName name="newOwners">#REF!</definedName>
    <definedName name="newPeersRatio">#REF!</definedName>
    <definedName name="newPeriod">#REF!</definedName>
    <definedName name="newValRatio1">#REF!</definedName>
    <definedName name="newValRatio2">#REF!</definedName>
    <definedName name="OverviewValRatioPeriod">[1]Overview!$D$30</definedName>
    <definedName name="PeerDate1">[1]Peers!$S$11</definedName>
    <definedName name="peerHist1">#REF!</definedName>
    <definedName name="PeerIndex">[1]ControlsH!$F$35:$F$36</definedName>
    <definedName name="Peers">OFFSET([1]Peers!$C$18,0,0,MAX(COUNTA([1]Peers!$C$18:$C$47),1),1)</definedName>
    <definedName name="peersWEIGHT">[1]ControlsH!$B$13</definedName>
    <definedName name="PERIODICITY">[1]ControlsH!$C$3</definedName>
    <definedName name="salesGEOG">OFFSET([1]Overview!$W$16, 0, 0,#REF!, 1)</definedName>
    <definedName name="salesPROD">OFFSET([1]Overview!$Q$16, 0, 0,#REF!, 1)</definedName>
    <definedName name="SD">[1]ControlsH!$B$4</definedName>
    <definedName name="shBroker1">#REF!</definedName>
    <definedName name="shBrokerRange">#REF!</definedName>
    <definedName name="shOverviewYear">#REF!</definedName>
    <definedName name="shPeer1">#REF!</definedName>
    <definedName name="shPeerRange">#REF!</definedName>
    <definedName name="shPeersDate1">#REF!</definedName>
    <definedName name="startingDate">#REF!</definedName>
    <definedName name="Target_Price">OFFSET(#REF!,0,0,[1]ControlsH!$E$5, 1)</definedName>
    <definedName name="TICKER">[1]Overview!$D$8</definedName>
    <definedName name="Top20OwnerType">[1]Owners!$E$24</definedName>
    <definedName name="ViewConsolidatedOrParent">[1]Overview!$O$13</definedName>
    <definedName name="ViewYear">[1]Overview!$U$13</definedName>
    <definedName name="YTDdt">[1]ControlsH!$G$34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0" l="1"/>
  <c r="E10" i="16" l="1"/>
  <c r="F10" i="16"/>
  <c r="G10" i="16"/>
  <c r="D10" i="16"/>
  <c r="AE8" i="16"/>
  <c r="AF8" i="16"/>
  <c r="G51" i="16"/>
  <c r="H9" i="16" a="1"/>
  <c r="H9" i="16" s="1"/>
  <c r="C5" i="18" l="1"/>
  <c r="C2" i="18"/>
  <c r="J22" i="3"/>
  <c r="J23" i="3"/>
  <c r="J24" i="3"/>
  <c r="J25" i="3"/>
  <c r="J26" i="3"/>
  <c r="J9" i="3"/>
  <c r="J10" i="3"/>
  <c r="J11" i="3"/>
  <c r="J12" i="3"/>
  <c r="J13" i="3"/>
  <c r="J18" i="1"/>
  <c r="J11" i="1"/>
  <c r="F8" i="1"/>
  <c r="F9" i="1"/>
  <c r="F10" i="1"/>
  <c r="F11" i="1"/>
  <c r="F12" i="1"/>
  <c r="F15" i="1"/>
  <c r="F16" i="1"/>
  <c r="F17" i="1"/>
  <c r="F18" i="1"/>
  <c r="F19" i="1"/>
  <c r="C9" i="1"/>
  <c r="C12" i="1" s="1"/>
  <c r="B11" i="10" l="1"/>
  <c r="L11" i="1"/>
  <c r="H5" i="16" l="1"/>
  <c r="I3" i="16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C38" i="19"/>
  <c r="AB38" i="19"/>
  <c r="AA38" i="19"/>
  <c r="Z38" i="19"/>
  <c r="AC41" i="19"/>
  <c r="AB41" i="19"/>
  <c r="AA41" i="19"/>
  <c r="Z41" i="19"/>
  <c r="C25" i="19"/>
  <c r="C36" i="19" s="1"/>
  <c r="D25" i="19"/>
  <c r="D36" i="19" s="1"/>
  <c r="E25" i="19"/>
  <c r="E36" i="19" s="1"/>
  <c r="F25" i="19"/>
  <c r="F36" i="19" s="1"/>
  <c r="G25" i="19"/>
  <c r="G36" i="19" s="1"/>
  <c r="H25" i="19"/>
  <c r="H36" i="19" s="1"/>
  <c r="I25" i="19"/>
  <c r="I36" i="19" s="1"/>
  <c r="J25" i="19"/>
  <c r="J36" i="19" s="1"/>
  <c r="K25" i="19"/>
  <c r="K36" i="19" s="1"/>
  <c r="L25" i="19"/>
  <c r="L36" i="19" s="1"/>
  <c r="M25" i="19"/>
  <c r="M36" i="19" s="1"/>
  <c r="N25" i="19"/>
  <c r="N36" i="19" s="1"/>
  <c r="O25" i="19"/>
  <c r="O36" i="19" s="1"/>
  <c r="P25" i="19"/>
  <c r="P36" i="19" s="1"/>
  <c r="Q25" i="19"/>
  <c r="Q36" i="19" s="1"/>
  <c r="R25" i="19"/>
  <c r="R36" i="19" s="1"/>
  <c r="S25" i="19"/>
  <c r="S36" i="19" s="1"/>
  <c r="T25" i="19"/>
  <c r="T36" i="19" s="1"/>
  <c r="U25" i="19"/>
  <c r="U36" i="19" s="1"/>
  <c r="V25" i="19"/>
  <c r="V36" i="19" s="1"/>
  <c r="W25" i="19"/>
  <c r="X25" i="19"/>
  <c r="X36" i="19" s="1"/>
  <c r="AD34" i="19"/>
  <c r="AC34" i="19"/>
  <c r="AB34" i="19"/>
  <c r="AA34" i="19"/>
  <c r="Z34" i="19"/>
  <c r="AD33" i="19"/>
  <c r="AC33" i="19"/>
  <c r="AB33" i="19"/>
  <c r="AA33" i="19"/>
  <c r="Z33" i="19"/>
  <c r="AD31" i="19"/>
  <c r="AC31" i="19"/>
  <c r="AB31" i="19"/>
  <c r="AA31" i="19"/>
  <c r="Z31" i="19"/>
  <c r="AD30" i="19"/>
  <c r="AC30" i="19"/>
  <c r="AB30" i="19"/>
  <c r="AA30" i="19"/>
  <c r="Z30" i="19"/>
  <c r="AF5" i="19"/>
  <c r="AG5" i="19" s="1"/>
  <c r="AH5" i="19" s="1"/>
  <c r="AI5" i="19" s="1"/>
  <c r="AJ5" i="19" s="1"/>
  <c r="AK5" i="19" s="1"/>
  <c r="AL5" i="19" s="1"/>
  <c r="AM5" i="19" s="1"/>
  <c r="AN5" i="19" s="1"/>
  <c r="AO5" i="19" s="1"/>
  <c r="AP5" i="19" s="1"/>
  <c r="AQ5" i="19" s="1"/>
  <c r="AR5" i="19" s="1"/>
  <c r="AS5" i="19" s="1"/>
  <c r="AT5" i="19" s="1"/>
  <c r="AU5" i="19" s="1"/>
  <c r="AV5" i="19" s="1"/>
  <c r="AW5" i="19" s="1"/>
  <c r="AX5" i="19" s="1"/>
  <c r="AY5" i="19" s="1"/>
  <c r="AZ5" i="19" s="1"/>
  <c r="BA5" i="19" s="1"/>
  <c r="BB5" i="19" s="1"/>
  <c r="AF6" i="19"/>
  <c r="Z27" i="19"/>
  <c r="Z10" i="19" s="1"/>
  <c r="AA27" i="19"/>
  <c r="Z26" i="19"/>
  <c r="AA26" i="19"/>
  <c r="AB27" i="19"/>
  <c r="AB26" i="19"/>
  <c r="AB25" i="19" s="1"/>
  <c r="AC27" i="19"/>
  <c r="AC26" i="19"/>
  <c r="AD27" i="19"/>
  <c r="AE27" i="19" s="1"/>
  <c r="AD26" i="19"/>
  <c r="AE26" i="19" s="1"/>
  <c r="C40" i="19"/>
  <c r="C42" i="19" s="1"/>
  <c r="D40" i="19"/>
  <c r="D42" i="19" s="1"/>
  <c r="E53" i="19"/>
  <c r="E54" i="19"/>
  <c r="E55" i="19"/>
  <c r="E56" i="19"/>
  <c r="E57" i="19"/>
  <c r="E52" i="19"/>
  <c r="I53" i="19"/>
  <c r="I54" i="19"/>
  <c r="I55" i="19"/>
  <c r="I56" i="19"/>
  <c r="I57" i="19"/>
  <c r="I52" i="19"/>
  <c r="J57" i="19"/>
  <c r="F57" i="19"/>
  <c r="F56" i="19"/>
  <c r="F55" i="19"/>
  <c r="F54" i="19"/>
  <c r="F53" i="19"/>
  <c r="F52" i="19"/>
  <c r="G57" i="19"/>
  <c r="G56" i="19"/>
  <c r="G55" i="19"/>
  <c r="G54" i="19"/>
  <c r="G53" i="19"/>
  <c r="G52" i="19"/>
  <c r="H57" i="19"/>
  <c r="H56" i="19"/>
  <c r="H55" i="19"/>
  <c r="H54" i="19"/>
  <c r="H53" i="19"/>
  <c r="H52" i="19"/>
  <c r="J52" i="19"/>
  <c r="K52" i="19"/>
  <c r="J53" i="19"/>
  <c r="K53" i="19"/>
  <c r="J54" i="19"/>
  <c r="K54" i="19"/>
  <c r="J55" i="19"/>
  <c r="K55" i="19"/>
  <c r="J56" i="19"/>
  <c r="K56" i="19"/>
  <c r="K57" i="19"/>
  <c r="L53" i="19"/>
  <c r="L54" i="19"/>
  <c r="L55" i="19"/>
  <c r="L56" i="19"/>
  <c r="L57" i="19"/>
  <c r="L52" i="19"/>
  <c r="E40" i="19"/>
  <c r="E42" i="19" s="1"/>
  <c r="I40" i="19"/>
  <c r="I42" i="19" s="1"/>
  <c r="F40" i="19"/>
  <c r="F42" i="19" s="1"/>
  <c r="J40" i="19"/>
  <c r="J42" i="19" s="1"/>
  <c r="G40" i="19"/>
  <c r="G42" i="19" s="1"/>
  <c r="K40" i="19"/>
  <c r="K42" i="19" s="1"/>
  <c r="H40" i="19"/>
  <c r="H42" i="19" s="1"/>
  <c r="L40" i="19"/>
  <c r="L42" i="19" s="1"/>
  <c r="M53" i="19"/>
  <c r="N53" i="19"/>
  <c r="O53" i="19"/>
  <c r="P53" i="19"/>
  <c r="M54" i="19"/>
  <c r="N54" i="19"/>
  <c r="O54" i="19"/>
  <c r="P54" i="19"/>
  <c r="M55" i="19"/>
  <c r="N55" i="19"/>
  <c r="O55" i="19"/>
  <c r="P55" i="19"/>
  <c r="M56" i="19"/>
  <c r="N56" i="19"/>
  <c r="O56" i="19"/>
  <c r="P56" i="19"/>
  <c r="M57" i="19"/>
  <c r="N57" i="19"/>
  <c r="O57" i="19"/>
  <c r="P57" i="19"/>
  <c r="M52" i="19"/>
  <c r="N52" i="19"/>
  <c r="O52" i="19"/>
  <c r="P52" i="19"/>
  <c r="M40" i="19"/>
  <c r="M42" i="19" s="1"/>
  <c r="N40" i="19"/>
  <c r="N42" i="19" s="1"/>
  <c r="O40" i="19"/>
  <c r="O42" i="19" s="1"/>
  <c r="Q53" i="19"/>
  <c r="R53" i="19"/>
  <c r="S53" i="19"/>
  <c r="T53" i="19"/>
  <c r="U53" i="19"/>
  <c r="V53" i="19"/>
  <c r="W53" i="19"/>
  <c r="Q54" i="19"/>
  <c r="R54" i="19"/>
  <c r="S54" i="19"/>
  <c r="T54" i="19"/>
  <c r="U54" i="19"/>
  <c r="V54" i="19"/>
  <c r="W54" i="19"/>
  <c r="Q55" i="19"/>
  <c r="R55" i="19"/>
  <c r="S55" i="19"/>
  <c r="T55" i="19"/>
  <c r="U55" i="19"/>
  <c r="V55" i="19"/>
  <c r="W55" i="19"/>
  <c r="Q56" i="19"/>
  <c r="R56" i="19"/>
  <c r="S56" i="19"/>
  <c r="T56" i="19"/>
  <c r="U56" i="19"/>
  <c r="V56" i="19"/>
  <c r="W56" i="19"/>
  <c r="Q57" i="19"/>
  <c r="R57" i="19"/>
  <c r="S57" i="19"/>
  <c r="T57" i="19"/>
  <c r="U57" i="19"/>
  <c r="V57" i="19"/>
  <c r="W57" i="19"/>
  <c r="W52" i="19"/>
  <c r="V52" i="19"/>
  <c r="U52" i="19"/>
  <c r="T52" i="19"/>
  <c r="S52" i="19"/>
  <c r="R52" i="19"/>
  <c r="Q52" i="19"/>
  <c r="AC52" i="19" s="1"/>
  <c r="P40" i="19"/>
  <c r="P42" i="19" s="1"/>
  <c r="T40" i="19"/>
  <c r="T42" i="19" s="1"/>
  <c r="Q40" i="19"/>
  <c r="Q42" i="19" s="1"/>
  <c r="U40" i="19"/>
  <c r="U42" i="19" s="1"/>
  <c r="V40" i="19"/>
  <c r="V42" i="19" s="1"/>
  <c r="R40" i="19"/>
  <c r="R42" i="19" s="1"/>
  <c r="S40" i="19"/>
  <c r="S42" i="19" s="1"/>
  <c r="W40" i="19"/>
  <c r="W42" i="19" s="1"/>
  <c r="C39" i="1"/>
  <c r="W36" i="19" l="1"/>
  <c r="U22" i="19"/>
  <c r="U21" i="19"/>
  <c r="AC54" i="19"/>
  <c r="AA57" i="19"/>
  <c r="Z55" i="19"/>
  <c r="Z22" i="19" s="1"/>
  <c r="AA55" i="19"/>
  <c r="AB56" i="19"/>
  <c r="AB54" i="19"/>
  <c r="AA54" i="19"/>
  <c r="AC25" i="19"/>
  <c r="AC19" i="19" s="1"/>
  <c r="AC56" i="19"/>
  <c r="AB55" i="19"/>
  <c r="AB22" i="19" s="1"/>
  <c r="AB53" i="19"/>
  <c r="Z52" i="19"/>
  <c r="Z53" i="19"/>
  <c r="AA52" i="19"/>
  <c r="AB52" i="19"/>
  <c r="AB19" i="19" s="1"/>
  <c r="AA53" i="19"/>
  <c r="AB36" i="19"/>
  <c r="AC55" i="19"/>
  <c r="AC53" i="19"/>
  <c r="Z57" i="19"/>
  <c r="AB57" i="19"/>
  <c r="Z54" i="19"/>
  <c r="AC57" i="19"/>
  <c r="AA56" i="19"/>
  <c r="Z56" i="19"/>
  <c r="Z40" i="19"/>
  <c r="Z17" i="19" s="1"/>
  <c r="AA40" i="19"/>
  <c r="AA17" i="19" s="1"/>
  <c r="AB40" i="19"/>
  <c r="AB17" i="19" s="1"/>
  <c r="AC40" i="19"/>
  <c r="AC17" i="19" s="1"/>
  <c r="AE25" i="19"/>
  <c r="I5" i="16" s="1"/>
  <c r="AA25" i="19"/>
  <c r="AB12" i="19"/>
  <c r="AB13" i="19"/>
  <c r="Z25" i="19"/>
  <c r="AC9" i="19"/>
  <c r="AB10" i="19"/>
  <c r="AA9" i="19"/>
  <c r="AA10" i="19"/>
  <c r="AC10" i="19"/>
  <c r="Z9" i="19"/>
  <c r="AB9" i="19"/>
  <c r="AF27" i="19"/>
  <c r="AG6" i="19"/>
  <c r="AH6" i="19" s="1"/>
  <c r="AI6" i="19" s="1"/>
  <c r="AJ6" i="19" s="1"/>
  <c r="AK6" i="19" s="1"/>
  <c r="AL6" i="19" s="1"/>
  <c r="AM6" i="19" s="1"/>
  <c r="AN6" i="19" s="1"/>
  <c r="AO6" i="19" s="1"/>
  <c r="AP6" i="19" s="1"/>
  <c r="AQ6" i="19" s="1"/>
  <c r="AR6" i="19" s="1"/>
  <c r="AS6" i="19" s="1"/>
  <c r="AT6" i="19" s="1"/>
  <c r="AU6" i="19" s="1"/>
  <c r="AV6" i="19" s="1"/>
  <c r="AW6" i="19" s="1"/>
  <c r="AX6" i="19" s="1"/>
  <c r="AY6" i="19" s="1"/>
  <c r="AZ6" i="19" s="1"/>
  <c r="BA6" i="19" s="1"/>
  <c r="BB6" i="19" s="1"/>
  <c r="AD9" i="19"/>
  <c r="AE9" i="19" s="1"/>
  <c r="AD10" i="19"/>
  <c r="AE10" i="19" s="1"/>
  <c r="AF26" i="19"/>
  <c r="AD25" i="19"/>
  <c r="AD36" i="19" s="1"/>
  <c r="L41" i="1"/>
  <c r="K41" i="1"/>
  <c r="K42" i="1" s="1"/>
  <c r="C42" i="1"/>
  <c r="C41" i="1"/>
  <c r="N37" i="1"/>
  <c r="D38" i="1"/>
  <c r="C38" i="1"/>
  <c r="W10" i="3"/>
  <c r="X10" i="3"/>
  <c r="Y10" i="3"/>
  <c r="AC22" i="19" l="1"/>
  <c r="AC12" i="19"/>
  <c r="AA22" i="19"/>
  <c r="AA19" i="19"/>
  <c r="AC36" i="19"/>
  <c r="Z21" i="19"/>
  <c r="Z20" i="19"/>
  <c r="Z19" i="19"/>
  <c r="AC21" i="19"/>
  <c r="AC23" i="19" s="1"/>
  <c r="AC20" i="19"/>
  <c r="AB20" i="19"/>
  <c r="AB21" i="19"/>
  <c r="AB23" i="19" s="1"/>
  <c r="AA21" i="19"/>
  <c r="AA23" i="19" s="1"/>
  <c r="AA20" i="19"/>
  <c r="AC13" i="19"/>
  <c r="Z13" i="19"/>
  <c r="Z36" i="19"/>
  <c r="AA12" i="19"/>
  <c r="AA36" i="19"/>
  <c r="AA13" i="19"/>
  <c r="AD12" i="19"/>
  <c r="AE12" i="19" s="1"/>
  <c r="AD13" i="19"/>
  <c r="AE13" i="19" s="1"/>
  <c r="Z12" i="19"/>
  <c r="AF10" i="19"/>
  <c r="AE31" i="19"/>
  <c r="AF9" i="19"/>
  <c r="AE30" i="19"/>
  <c r="AF25" i="19"/>
  <c r="J5" i="16" s="1"/>
  <c r="AG27" i="19"/>
  <c r="AH27" i="19" s="1"/>
  <c r="AI27" i="19" s="1"/>
  <c r="AJ27" i="19" s="1"/>
  <c r="AK27" i="19" s="1"/>
  <c r="AL27" i="19" s="1"/>
  <c r="AM27" i="19" s="1"/>
  <c r="AN27" i="19" s="1"/>
  <c r="AO27" i="19" s="1"/>
  <c r="AP27" i="19" s="1"/>
  <c r="AQ27" i="19" s="1"/>
  <c r="AR27" i="19" s="1"/>
  <c r="AS27" i="19" s="1"/>
  <c r="AT27" i="19" s="1"/>
  <c r="AU27" i="19" s="1"/>
  <c r="AV27" i="19" s="1"/>
  <c r="AW27" i="19" s="1"/>
  <c r="AX27" i="19" s="1"/>
  <c r="AY27" i="19" s="1"/>
  <c r="AZ27" i="19" s="1"/>
  <c r="BA27" i="19" s="1"/>
  <c r="BB27" i="19" s="1"/>
  <c r="AG26" i="19"/>
  <c r="AH26" i="19" s="1"/>
  <c r="B60" i="17"/>
  <c r="B59" i="17" s="1"/>
  <c r="B66" i="17"/>
  <c r="B56" i="17"/>
  <c r="B35" i="17"/>
  <c r="B36" i="17" s="1"/>
  <c r="B24" i="17"/>
  <c r="B19" i="17"/>
  <c r="B20" i="17" s="1"/>
  <c r="B16" i="17"/>
  <c r="B22" i="17" s="1"/>
  <c r="B12" i="17"/>
  <c r="B9" i="17"/>
  <c r="B10" i="17" s="1"/>
  <c r="B8" i="17"/>
  <c r="D67" i="16"/>
  <c r="C53" i="18"/>
  <c r="D53" i="18" s="1"/>
  <c r="D77" i="17" s="1"/>
  <c r="A52" i="18"/>
  <c r="K44" i="18"/>
  <c r="J44" i="18"/>
  <c r="M39" i="18"/>
  <c r="L39" i="18"/>
  <c r="L44" i="18" s="1"/>
  <c r="K39" i="18"/>
  <c r="J39" i="18"/>
  <c r="I39" i="18"/>
  <c r="I44" i="18" s="1"/>
  <c r="H39" i="18"/>
  <c r="H44" i="18" s="1"/>
  <c r="G39" i="18"/>
  <c r="H57" i="17" s="1"/>
  <c r="F39" i="18"/>
  <c r="G57" i="17" s="1"/>
  <c r="E39" i="18"/>
  <c r="E44" i="18" s="1"/>
  <c r="D39" i="18"/>
  <c r="D44" i="18" s="1"/>
  <c r="C39" i="18"/>
  <c r="C44" i="18" s="1"/>
  <c r="B39" i="18"/>
  <c r="B44" i="18" s="1"/>
  <c r="M38" i="18"/>
  <c r="L38" i="18"/>
  <c r="K38" i="18"/>
  <c r="L56" i="17" s="1"/>
  <c r="J38" i="18"/>
  <c r="K56" i="17" s="1"/>
  <c r="I38" i="18"/>
  <c r="H38" i="18"/>
  <c r="G38" i="18"/>
  <c r="F38" i="18"/>
  <c r="E38" i="18"/>
  <c r="F56" i="17" s="1"/>
  <c r="D38" i="18"/>
  <c r="E56" i="17" s="1"/>
  <c r="C38" i="18"/>
  <c r="D56" i="17" s="1"/>
  <c r="B38" i="18"/>
  <c r="C56" i="17" s="1"/>
  <c r="M34" i="18"/>
  <c r="L34" i="18"/>
  <c r="K34" i="18"/>
  <c r="J34" i="18"/>
  <c r="I34" i="18"/>
  <c r="H34" i="18"/>
  <c r="I52" i="17" s="1"/>
  <c r="G34" i="18"/>
  <c r="H52" i="17" s="1"/>
  <c r="F34" i="18"/>
  <c r="G52" i="17" s="1"/>
  <c r="E34" i="18"/>
  <c r="F52" i="17" s="1"/>
  <c r="D34" i="18"/>
  <c r="E52" i="17" s="1"/>
  <c r="C34" i="18"/>
  <c r="D52" i="17" s="1"/>
  <c r="B34" i="18"/>
  <c r="C52" i="17" s="1"/>
  <c r="M26" i="18"/>
  <c r="L26" i="18"/>
  <c r="M44" i="17" s="1"/>
  <c r="K26" i="18"/>
  <c r="L44" i="17" s="1"/>
  <c r="J26" i="18"/>
  <c r="K44" i="17" s="1"/>
  <c r="I26" i="18"/>
  <c r="J44" i="17" s="1"/>
  <c r="H26" i="18"/>
  <c r="I44" i="17" s="1"/>
  <c r="G26" i="18"/>
  <c r="F26" i="18"/>
  <c r="E26" i="18"/>
  <c r="F44" i="17" s="1"/>
  <c r="D26" i="18"/>
  <c r="E44" i="17" s="1"/>
  <c r="C26" i="18"/>
  <c r="D44" i="17" s="1"/>
  <c r="B26" i="18"/>
  <c r="C44" i="17" s="1"/>
  <c r="M19" i="18"/>
  <c r="M20" i="18" s="1"/>
  <c r="L19" i="18"/>
  <c r="L20" i="18" s="1"/>
  <c r="H19" i="18"/>
  <c r="H20" i="18" s="1"/>
  <c r="G19" i="18"/>
  <c r="G20" i="18" s="1"/>
  <c r="J29" i="17"/>
  <c r="I29" i="17"/>
  <c r="AB16" i="18"/>
  <c r="AA16" i="18"/>
  <c r="Z16" i="18"/>
  <c r="Y16" i="18"/>
  <c r="X16" i="18"/>
  <c r="W16" i="18"/>
  <c r="V16" i="18"/>
  <c r="U16" i="18"/>
  <c r="T16" i="18"/>
  <c r="S16" i="18"/>
  <c r="M33" i="17"/>
  <c r="E33" i="17"/>
  <c r="AC11" i="18"/>
  <c r="AB11" i="18"/>
  <c r="AB15" i="18" s="1"/>
  <c r="AA11" i="18"/>
  <c r="AA15" i="18" s="1"/>
  <c r="Z11" i="18"/>
  <c r="Y11" i="18"/>
  <c r="X11" i="18"/>
  <c r="W11" i="18"/>
  <c r="W15" i="18" s="1"/>
  <c r="V11" i="18"/>
  <c r="V15" i="18" s="1"/>
  <c r="U11" i="18"/>
  <c r="U15" i="18" s="1"/>
  <c r="T11" i="18"/>
  <c r="T15" i="18" s="1"/>
  <c r="S11" i="18"/>
  <c r="S15" i="18" s="1"/>
  <c r="AC10" i="18"/>
  <c r="AB10" i="18"/>
  <c r="AA10" i="18"/>
  <c r="Z10" i="18"/>
  <c r="Z14" i="18" s="1"/>
  <c r="Y10" i="18"/>
  <c r="X10" i="18"/>
  <c r="W10" i="18"/>
  <c r="V10" i="18"/>
  <c r="V14" i="18" s="1"/>
  <c r="V17" i="18" s="1"/>
  <c r="U10" i="18"/>
  <c r="T10" i="18"/>
  <c r="T14" i="18" s="1"/>
  <c r="S10" i="18"/>
  <c r="S9" i="18"/>
  <c r="K19" i="18"/>
  <c r="K20" i="18" s="1"/>
  <c r="J19" i="18"/>
  <c r="J20" i="18" s="1"/>
  <c r="I19" i="18"/>
  <c r="I20" i="18" s="1"/>
  <c r="F19" i="18"/>
  <c r="F20" i="18" s="1"/>
  <c r="E14" i="17"/>
  <c r="D14" i="17"/>
  <c r="E7" i="17"/>
  <c r="D7" i="17"/>
  <c r="D5" i="18"/>
  <c r="E5" i="18" s="1"/>
  <c r="G3" i="18"/>
  <c r="E85" i="17"/>
  <c r="D85" i="17"/>
  <c r="C85" i="17"/>
  <c r="B85" i="17"/>
  <c r="A85" i="17"/>
  <c r="E84" i="17"/>
  <c r="D84" i="17"/>
  <c r="C84" i="17"/>
  <c r="B84" i="17"/>
  <c r="A84" i="17"/>
  <c r="E83" i="17"/>
  <c r="D83" i="17"/>
  <c r="C83" i="17"/>
  <c r="B83" i="17"/>
  <c r="A83" i="17"/>
  <c r="E82" i="17"/>
  <c r="D82" i="17"/>
  <c r="C82" i="17"/>
  <c r="B82" i="17"/>
  <c r="A82" i="17"/>
  <c r="A81" i="17"/>
  <c r="D79" i="17"/>
  <c r="C79" i="17"/>
  <c r="B79" i="17"/>
  <c r="A79" i="17"/>
  <c r="B78" i="17"/>
  <c r="A78" i="17"/>
  <c r="C77" i="17"/>
  <c r="B77" i="17"/>
  <c r="IH75" i="17"/>
  <c r="M75" i="17"/>
  <c r="L75" i="17"/>
  <c r="K75" i="17"/>
  <c r="J75" i="17"/>
  <c r="I75" i="17"/>
  <c r="H75" i="17"/>
  <c r="G75" i="17"/>
  <c r="F75" i="17"/>
  <c r="E75" i="17"/>
  <c r="D75" i="17"/>
  <c r="C75" i="17"/>
  <c r="A75" i="17"/>
  <c r="M74" i="17"/>
  <c r="L74" i="17"/>
  <c r="K74" i="17"/>
  <c r="J74" i="17"/>
  <c r="I74" i="17"/>
  <c r="H74" i="17"/>
  <c r="G74" i="17"/>
  <c r="F74" i="17"/>
  <c r="E74" i="17"/>
  <c r="D74" i="17"/>
  <c r="C74" i="17"/>
  <c r="M73" i="17"/>
  <c r="L73" i="17"/>
  <c r="K73" i="17"/>
  <c r="J73" i="17"/>
  <c r="I73" i="17"/>
  <c r="H73" i="17"/>
  <c r="G73" i="17"/>
  <c r="F73" i="17"/>
  <c r="E73" i="17"/>
  <c r="D73" i="17"/>
  <c r="C73" i="17"/>
  <c r="M72" i="17"/>
  <c r="L72" i="17"/>
  <c r="K72" i="17"/>
  <c r="J72" i="17"/>
  <c r="I72" i="17"/>
  <c r="H72" i="17"/>
  <c r="G72" i="17"/>
  <c r="F72" i="17"/>
  <c r="E72" i="17"/>
  <c r="D72" i="17"/>
  <c r="C72" i="17"/>
  <c r="M71" i="17"/>
  <c r="L71" i="17"/>
  <c r="K71" i="17"/>
  <c r="J71" i="17"/>
  <c r="I71" i="17"/>
  <c r="H71" i="17"/>
  <c r="G71" i="17"/>
  <c r="F71" i="17"/>
  <c r="E71" i="17"/>
  <c r="D71" i="17"/>
  <c r="C71" i="17"/>
  <c r="M70" i="17"/>
  <c r="L70" i="17"/>
  <c r="K70" i="17"/>
  <c r="J70" i="17"/>
  <c r="I70" i="17"/>
  <c r="H70" i="17"/>
  <c r="G70" i="17"/>
  <c r="F70" i="17"/>
  <c r="E70" i="17"/>
  <c r="D70" i="17"/>
  <c r="C70" i="17"/>
  <c r="M63" i="17"/>
  <c r="L63" i="17"/>
  <c r="K63" i="17"/>
  <c r="J63" i="17"/>
  <c r="I63" i="17"/>
  <c r="H63" i="17"/>
  <c r="G63" i="17"/>
  <c r="F63" i="17"/>
  <c r="E63" i="17"/>
  <c r="D63" i="17"/>
  <c r="C63" i="17"/>
  <c r="L57" i="17"/>
  <c r="K57" i="17"/>
  <c r="D57" i="17"/>
  <c r="C57" i="17"/>
  <c r="M56" i="17"/>
  <c r="J56" i="17"/>
  <c r="I56" i="17"/>
  <c r="H56" i="17"/>
  <c r="G56" i="17"/>
  <c r="M55" i="17"/>
  <c r="L55" i="17"/>
  <c r="K55" i="17"/>
  <c r="J55" i="17"/>
  <c r="I55" i="17"/>
  <c r="H55" i="17"/>
  <c r="G55" i="17"/>
  <c r="F55" i="17"/>
  <c r="E55" i="17"/>
  <c r="D55" i="17"/>
  <c r="C55" i="17"/>
  <c r="M54" i="17"/>
  <c r="L54" i="17"/>
  <c r="K54" i="17"/>
  <c r="J54" i="17"/>
  <c r="I54" i="17"/>
  <c r="H54" i="17"/>
  <c r="G54" i="17"/>
  <c r="F54" i="17"/>
  <c r="E54" i="17"/>
  <c r="D54" i="17"/>
  <c r="C54" i="17"/>
  <c r="M53" i="17"/>
  <c r="L53" i="17"/>
  <c r="K53" i="17"/>
  <c r="J53" i="17"/>
  <c r="I53" i="17"/>
  <c r="H53" i="17"/>
  <c r="G53" i="17"/>
  <c r="F53" i="17"/>
  <c r="E53" i="17"/>
  <c r="D53" i="17"/>
  <c r="C53" i="17"/>
  <c r="M52" i="17"/>
  <c r="L52" i="17"/>
  <c r="K52" i="17"/>
  <c r="J52" i="17"/>
  <c r="M51" i="17"/>
  <c r="L51" i="17"/>
  <c r="K51" i="17"/>
  <c r="J51" i="17"/>
  <c r="I51" i="17"/>
  <c r="H51" i="17"/>
  <c r="G51" i="17"/>
  <c r="F51" i="17"/>
  <c r="E51" i="17"/>
  <c r="D51" i="17"/>
  <c r="C51" i="17"/>
  <c r="M50" i="17"/>
  <c r="L50" i="17"/>
  <c r="L60" i="17" s="1"/>
  <c r="L59" i="17" s="1"/>
  <c r="K50" i="17"/>
  <c r="J50" i="17"/>
  <c r="I50" i="17"/>
  <c r="H50" i="17"/>
  <c r="G50" i="17"/>
  <c r="F50" i="17"/>
  <c r="E50" i="17"/>
  <c r="D50" i="17"/>
  <c r="D60" i="17" s="1"/>
  <c r="F37" i="16" s="1"/>
  <c r="C50" i="17"/>
  <c r="C60" i="17" s="1"/>
  <c r="G37" i="16" s="1"/>
  <c r="M49" i="17"/>
  <c r="L49" i="17"/>
  <c r="K49" i="17"/>
  <c r="J49" i="17"/>
  <c r="I49" i="17"/>
  <c r="H49" i="17"/>
  <c r="G49" i="17"/>
  <c r="F49" i="17"/>
  <c r="E49" i="17"/>
  <c r="D49" i="17"/>
  <c r="C49" i="17"/>
  <c r="M45" i="17"/>
  <c r="L45" i="17"/>
  <c r="K45" i="17"/>
  <c r="J45" i="17"/>
  <c r="I45" i="17"/>
  <c r="H45" i="17"/>
  <c r="G45" i="17"/>
  <c r="F45" i="17"/>
  <c r="E45" i="17"/>
  <c r="D45" i="17"/>
  <c r="C45" i="17"/>
  <c r="H44" i="17"/>
  <c r="G44" i="17"/>
  <c r="M43" i="17"/>
  <c r="L43" i="17"/>
  <c r="K43" i="17"/>
  <c r="J43" i="17"/>
  <c r="I43" i="17"/>
  <c r="H43" i="17"/>
  <c r="G43" i="17"/>
  <c r="F43" i="17"/>
  <c r="E43" i="17"/>
  <c r="D43" i="17"/>
  <c r="C43" i="17"/>
  <c r="M42" i="17"/>
  <c r="L42" i="17"/>
  <c r="K42" i="17"/>
  <c r="J42" i="17"/>
  <c r="I42" i="17"/>
  <c r="H42" i="17"/>
  <c r="G42" i="17"/>
  <c r="F42" i="17"/>
  <c r="E42" i="17"/>
  <c r="D42" i="17"/>
  <c r="C42" i="17"/>
  <c r="M41" i="17"/>
  <c r="L41" i="17"/>
  <c r="K41" i="17"/>
  <c r="J41" i="17"/>
  <c r="I41" i="17"/>
  <c r="H41" i="17"/>
  <c r="G41" i="17"/>
  <c r="F41" i="17"/>
  <c r="E41" i="17"/>
  <c r="D41" i="17"/>
  <c r="C41" i="17"/>
  <c r="M40" i="17"/>
  <c r="M26" i="17" s="1"/>
  <c r="L40" i="17"/>
  <c r="K40" i="17"/>
  <c r="J40" i="17"/>
  <c r="I40" i="17"/>
  <c r="I26" i="17" s="1"/>
  <c r="H40" i="17"/>
  <c r="G40" i="17"/>
  <c r="F40" i="17"/>
  <c r="E40" i="17"/>
  <c r="D40" i="17"/>
  <c r="C40" i="17"/>
  <c r="M34" i="17"/>
  <c r="L34" i="17"/>
  <c r="K34" i="17"/>
  <c r="J34" i="17"/>
  <c r="I34" i="17"/>
  <c r="H34" i="17"/>
  <c r="G34" i="17"/>
  <c r="F34" i="17"/>
  <c r="E34" i="17"/>
  <c r="D34" i="17"/>
  <c r="C34" i="17"/>
  <c r="L33" i="17"/>
  <c r="K33" i="17"/>
  <c r="J33" i="17"/>
  <c r="I33" i="17"/>
  <c r="H33" i="17"/>
  <c r="G33" i="17"/>
  <c r="F33" i="17"/>
  <c r="D33" i="17"/>
  <c r="C33" i="17"/>
  <c r="M29" i="17"/>
  <c r="L29" i="17"/>
  <c r="K29" i="17"/>
  <c r="H29" i="17"/>
  <c r="G29" i="17"/>
  <c r="F29" i="17"/>
  <c r="E29" i="17"/>
  <c r="D29" i="17"/>
  <c r="C29" i="17"/>
  <c r="M27" i="17"/>
  <c r="L27" i="17"/>
  <c r="K27" i="17"/>
  <c r="J27" i="17"/>
  <c r="I27" i="17"/>
  <c r="H27" i="17"/>
  <c r="G27" i="17"/>
  <c r="F27" i="17"/>
  <c r="E27" i="17"/>
  <c r="D27" i="17"/>
  <c r="C27" i="17"/>
  <c r="B28" i="17" s="1"/>
  <c r="B37" i="17" s="1"/>
  <c r="M23" i="17"/>
  <c r="L23" i="17"/>
  <c r="K23" i="17"/>
  <c r="J23" i="17"/>
  <c r="I23" i="17"/>
  <c r="H23" i="17"/>
  <c r="G23" i="17"/>
  <c r="F23" i="17"/>
  <c r="E23" i="17"/>
  <c r="D23" i="17"/>
  <c r="C23" i="17"/>
  <c r="M21" i="17"/>
  <c r="L21" i="17"/>
  <c r="K21" i="17"/>
  <c r="J21" i="17"/>
  <c r="I21" i="17"/>
  <c r="H21" i="17"/>
  <c r="G21" i="17"/>
  <c r="F21" i="17"/>
  <c r="E21" i="17"/>
  <c r="D21" i="17"/>
  <c r="C21" i="17"/>
  <c r="M18" i="17"/>
  <c r="L18" i="17"/>
  <c r="K18" i="17"/>
  <c r="J18" i="17"/>
  <c r="I18" i="17"/>
  <c r="H18" i="17"/>
  <c r="G18" i="17"/>
  <c r="F18" i="17"/>
  <c r="E18" i="17"/>
  <c r="D18" i="17"/>
  <c r="C18" i="17"/>
  <c r="M17" i="17"/>
  <c r="L17" i="17"/>
  <c r="K17" i="17"/>
  <c r="J17" i="17"/>
  <c r="I17" i="17"/>
  <c r="H17" i="17"/>
  <c r="G17" i="17"/>
  <c r="F17" i="17"/>
  <c r="E17" i="17"/>
  <c r="D17" i="17"/>
  <c r="C17" i="17"/>
  <c r="M15" i="17"/>
  <c r="L15" i="17"/>
  <c r="K15" i="17"/>
  <c r="J15" i="17"/>
  <c r="I15" i="17"/>
  <c r="H15" i="17"/>
  <c r="G15" i="17"/>
  <c r="F15" i="17"/>
  <c r="E15" i="17"/>
  <c r="D15" i="17"/>
  <c r="C15" i="17"/>
  <c r="M14" i="17"/>
  <c r="K14" i="17"/>
  <c r="J14" i="17"/>
  <c r="I14" i="17"/>
  <c r="H14" i="17"/>
  <c r="G14" i="17"/>
  <c r="F14" i="17"/>
  <c r="C14" i="17"/>
  <c r="M11" i="17"/>
  <c r="L11" i="17"/>
  <c r="L13" i="17" s="1"/>
  <c r="K11" i="17"/>
  <c r="J11" i="17"/>
  <c r="I11" i="17"/>
  <c r="H11" i="17"/>
  <c r="G11" i="17"/>
  <c r="M7" i="17"/>
  <c r="L7" i="17"/>
  <c r="K7" i="17"/>
  <c r="J7" i="17"/>
  <c r="I7" i="17"/>
  <c r="H7" i="17"/>
  <c r="G7" i="17"/>
  <c r="F7" i="17"/>
  <c r="M5" i="17"/>
  <c r="L5" i="17"/>
  <c r="K5" i="17"/>
  <c r="J5" i="17"/>
  <c r="I5" i="17"/>
  <c r="H5" i="17"/>
  <c r="G5" i="17"/>
  <c r="F5" i="17"/>
  <c r="E5" i="17"/>
  <c r="D5" i="17"/>
  <c r="C5" i="17"/>
  <c r="B6" i="17" s="1"/>
  <c r="E4" i="17"/>
  <c r="D4" i="17"/>
  <c r="C4" i="17"/>
  <c r="A2" i="17"/>
  <c r="A1" i="17"/>
  <c r="F3" i="16"/>
  <c r="F39" i="16" s="1"/>
  <c r="E3" i="16"/>
  <c r="D3" i="16"/>
  <c r="W14" i="18" l="1"/>
  <c r="X14" i="18"/>
  <c r="Y15" i="18"/>
  <c r="I28" i="17"/>
  <c r="Y14" i="18"/>
  <c r="K60" i="17"/>
  <c r="K59" i="17" s="1"/>
  <c r="E57" i="17"/>
  <c r="AB14" i="18"/>
  <c r="F57" i="17"/>
  <c r="F66" i="17" s="1"/>
  <c r="Z23" i="19"/>
  <c r="I35" i="17"/>
  <c r="X15" i="18"/>
  <c r="J60" i="17"/>
  <c r="J59" i="17" s="1"/>
  <c r="E60" i="17"/>
  <c r="E37" i="16" s="1"/>
  <c r="M60" i="17"/>
  <c r="M59" i="17" s="1"/>
  <c r="F60" i="17"/>
  <c r="G60" i="17"/>
  <c r="G59" i="17" s="1"/>
  <c r="H60" i="17"/>
  <c r="H59" i="17" s="1"/>
  <c r="I60" i="17"/>
  <c r="I61" i="17" s="1"/>
  <c r="J57" i="17"/>
  <c r="I57" i="17"/>
  <c r="I66" i="17" s="1"/>
  <c r="D59" i="17"/>
  <c r="C59" i="17"/>
  <c r="M57" i="17"/>
  <c r="M66" i="17" s="1"/>
  <c r="G66" i="17"/>
  <c r="X17" i="18"/>
  <c r="S14" i="18"/>
  <c r="AA14" i="18"/>
  <c r="T17" i="18"/>
  <c r="AB17" i="18"/>
  <c r="W17" i="18"/>
  <c r="J26" i="17"/>
  <c r="U14" i="18"/>
  <c r="U17" i="18" s="1"/>
  <c r="Z15" i="18"/>
  <c r="B25" i="17"/>
  <c r="J17" i="1"/>
  <c r="H19" i="17"/>
  <c r="H20" i="17" s="1"/>
  <c r="AG25" i="19"/>
  <c r="K5" i="16" s="1"/>
  <c r="AF13" i="19"/>
  <c r="AE34" i="19"/>
  <c r="AF12" i="19"/>
  <c r="AE33" i="19"/>
  <c r="AG9" i="19"/>
  <c r="AF30" i="19"/>
  <c r="AG10" i="19"/>
  <c r="AF31" i="19"/>
  <c r="AH25" i="19"/>
  <c r="AI26" i="19"/>
  <c r="F40" i="16"/>
  <c r="B26" i="17"/>
  <c r="B30" i="17" s="1"/>
  <c r="B31" i="17" s="1"/>
  <c r="B32" i="17" s="1"/>
  <c r="I6" i="17"/>
  <c r="H28" i="17"/>
  <c r="H37" i="17" s="1"/>
  <c r="E8" i="17"/>
  <c r="B44" i="17"/>
  <c r="B61" i="17"/>
  <c r="M24" i="17"/>
  <c r="J19" i="17"/>
  <c r="J20" i="17" s="1"/>
  <c r="C35" i="17"/>
  <c r="D24" i="17"/>
  <c r="L24" i="17"/>
  <c r="M12" i="17"/>
  <c r="F25" i="17"/>
  <c r="H25" i="17"/>
  <c r="J9" i="17"/>
  <c r="J10" i="17" s="1"/>
  <c r="G26" i="17"/>
  <c r="D66" i="17"/>
  <c r="L66" i="17"/>
  <c r="C36" i="17"/>
  <c r="K35" i="17"/>
  <c r="K36" i="17" s="1"/>
  <c r="F8" i="17"/>
  <c r="G19" i="17"/>
  <c r="G20" i="17" s="1"/>
  <c r="F35" i="17"/>
  <c r="F36" i="17" s="1"/>
  <c r="L26" i="17"/>
  <c r="H6" i="17"/>
  <c r="H8" i="17"/>
  <c r="J25" i="17"/>
  <c r="H35" i="17"/>
  <c r="H36" i="17" s="1"/>
  <c r="E26" i="17"/>
  <c r="J66" i="17"/>
  <c r="F61" i="17"/>
  <c r="H9" i="17"/>
  <c r="H10" i="17" s="1"/>
  <c r="G8" i="17"/>
  <c r="I9" i="17"/>
  <c r="I10" i="17" s="1"/>
  <c r="G12" i="17"/>
  <c r="I24" i="17"/>
  <c r="D35" i="17"/>
  <c r="D36" i="17" s="1"/>
  <c r="L35" i="17"/>
  <c r="L36" i="17" s="1"/>
  <c r="E66" i="17"/>
  <c r="D8" i="17"/>
  <c r="I25" i="17"/>
  <c r="K9" i="17"/>
  <c r="K10" i="17" s="1"/>
  <c r="I8" i="17"/>
  <c r="C24" i="17"/>
  <c r="K24" i="17"/>
  <c r="M37" i="17"/>
  <c r="L8" i="17"/>
  <c r="J8" i="17"/>
  <c r="I19" i="17"/>
  <c r="I20" i="17" s="1"/>
  <c r="D25" i="17"/>
  <c r="L25" i="17"/>
  <c r="F26" i="17"/>
  <c r="G35" i="17"/>
  <c r="G36" i="17" s="1"/>
  <c r="J61" i="17"/>
  <c r="M35" i="17"/>
  <c r="M36" i="17" s="1"/>
  <c r="H12" i="17"/>
  <c r="M9" i="17"/>
  <c r="M10" i="17" s="1"/>
  <c r="E25" i="17"/>
  <c r="J28" i="17"/>
  <c r="D26" i="17"/>
  <c r="C61" i="17"/>
  <c r="K61" i="17"/>
  <c r="E35" i="17"/>
  <c r="E36" i="17" s="1"/>
  <c r="J24" i="17"/>
  <c r="K16" i="17"/>
  <c r="K22" i="17" s="1"/>
  <c r="K19" i="17"/>
  <c r="K20" i="17" s="1"/>
  <c r="H26" i="17"/>
  <c r="I36" i="17"/>
  <c r="M30" i="17"/>
  <c r="M31" i="17" s="1"/>
  <c r="M32" i="17" s="1"/>
  <c r="D61" i="17"/>
  <c r="L61" i="17"/>
  <c r="G9" i="17"/>
  <c r="G10" i="17" s="1"/>
  <c r="M8" i="17"/>
  <c r="L12" i="17"/>
  <c r="M16" i="17"/>
  <c r="M22" i="17" s="1"/>
  <c r="L19" i="17"/>
  <c r="L20" i="17" s="1"/>
  <c r="G25" i="17"/>
  <c r="E24" i="17"/>
  <c r="J35" i="17"/>
  <c r="J36" i="17" s="1"/>
  <c r="C66" i="17"/>
  <c r="K66" i="17"/>
  <c r="E61" i="17"/>
  <c r="M61" i="17"/>
  <c r="E19" i="18"/>
  <c r="E20" i="18" s="1"/>
  <c r="F11" i="17"/>
  <c r="F9" i="17" s="1"/>
  <c r="F10" i="17" s="1"/>
  <c r="H66" i="17"/>
  <c r="C7" i="17"/>
  <c r="C8" i="17" s="1"/>
  <c r="Y17" i="18"/>
  <c r="I30" i="17"/>
  <c r="I37" i="17"/>
  <c r="F5" i="18"/>
  <c r="U9" i="18"/>
  <c r="F4" i="17"/>
  <c r="S17" i="18"/>
  <c r="AA17" i="18"/>
  <c r="Z17" i="18"/>
  <c r="J6" i="17"/>
  <c r="I12" i="17"/>
  <c r="L14" i="17"/>
  <c r="L16" i="17" s="1"/>
  <c r="L22" i="17" s="1"/>
  <c r="M19" i="17"/>
  <c r="M20" i="17" s="1"/>
  <c r="F24" i="17"/>
  <c r="C25" i="17"/>
  <c r="K25" i="17"/>
  <c r="C28" i="17"/>
  <c r="C37" i="17" s="1"/>
  <c r="K28" i="17"/>
  <c r="K37" i="17" s="1"/>
  <c r="T9" i="18"/>
  <c r="K8" i="17"/>
  <c r="C6" i="17"/>
  <c r="G5" i="16" s="1"/>
  <c r="K6" i="17"/>
  <c r="J12" i="17"/>
  <c r="G13" i="17"/>
  <c r="G16" i="17"/>
  <c r="G22" i="17" s="1"/>
  <c r="G24" i="17"/>
  <c r="D28" i="17"/>
  <c r="L28" i="17"/>
  <c r="D6" i="17"/>
  <c r="F5" i="16" s="1"/>
  <c r="L6" i="17"/>
  <c r="L9" i="17"/>
  <c r="L10" i="17" s="1"/>
  <c r="K12" i="17"/>
  <c r="H13" i="17"/>
  <c r="H16" i="17"/>
  <c r="H22" i="17" s="1"/>
  <c r="H24" i="17"/>
  <c r="C26" i="17"/>
  <c r="K26" i="17"/>
  <c r="E28" i="17"/>
  <c r="E30" i="17" s="1"/>
  <c r="E31" i="17" s="1"/>
  <c r="E32" i="17" s="1"/>
  <c r="F44" i="18"/>
  <c r="E6" i="17"/>
  <c r="E5" i="16" s="1"/>
  <c r="I13" i="17"/>
  <c r="I16" i="17"/>
  <c r="I22" i="17" s="1"/>
  <c r="F28" i="17"/>
  <c r="G44" i="18"/>
  <c r="F6" i="17"/>
  <c r="D5" i="16" s="1"/>
  <c r="J13" i="17"/>
  <c r="J16" i="17"/>
  <c r="J22" i="17" s="1"/>
  <c r="G28" i="17"/>
  <c r="G37" i="17" s="1"/>
  <c r="G6" i="17"/>
  <c r="K13" i="17"/>
  <c r="F59" i="17" l="1"/>
  <c r="D37" i="16"/>
  <c r="I59" i="17"/>
  <c r="E59" i="17"/>
  <c r="H61" i="17"/>
  <c r="G61" i="17"/>
  <c r="L30" i="17"/>
  <c r="L31" i="17" s="1"/>
  <c r="L32" i="17" s="1"/>
  <c r="J30" i="17"/>
  <c r="F30" i="17"/>
  <c r="F31" i="17" s="1"/>
  <c r="F32" i="17" s="1"/>
  <c r="C30" i="17"/>
  <c r="C31" i="17" s="1"/>
  <c r="C32" i="17" s="1"/>
  <c r="L5" i="16"/>
  <c r="AE36" i="19"/>
  <c r="AF33" i="19"/>
  <c r="AG12" i="19"/>
  <c r="AG13" i="19"/>
  <c r="AF34" i="19"/>
  <c r="AH10" i="19"/>
  <c r="AG31" i="19"/>
  <c r="AH9" i="19"/>
  <c r="AG30" i="19"/>
  <c r="AJ26" i="19"/>
  <c r="AI25" i="19"/>
  <c r="M5" i="16" s="1"/>
  <c r="H30" i="17"/>
  <c r="H31" i="17" s="1"/>
  <c r="H32" i="17" s="1"/>
  <c r="J31" i="17"/>
  <c r="J32" i="17" s="1"/>
  <c r="D30" i="17"/>
  <c r="D31" i="17" s="1"/>
  <c r="D32" i="17" s="1"/>
  <c r="I31" i="17"/>
  <c r="I32" i="17" s="1"/>
  <c r="J37" i="17"/>
  <c r="L37" i="17"/>
  <c r="B19" i="18"/>
  <c r="B20" i="18" s="1"/>
  <c r="C11" i="17"/>
  <c r="B13" i="17" s="1"/>
  <c r="D37" i="17"/>
  <c r="F12" i="17"/>
  <c r="F19" i="17"/>
  <c r="F20" i="17" s="1"/>
  <c r="F16" i="17"/>
  <c r="F22" i="17" s="1"/>
  <c r="F13" i="17"/>
  <c r="G5" i="18"/>
  <c r="G4" i="17"/>
  <c r="V9" i="18"/>
  <c r="C19" i="18"/>
  <c r="C20" i="18" s="1"/>
  <c r="D11" i="17"/>
  <c r="E37" i="17"/>
  <c r="F37" i="17"/>
  <c r="D19" i="18"/>
  <c r="D20" i="18" s="1"/>
  <c r="E11" i="17"/>
  <c r="K30" i="17"/>
  <c r="K31" i="17" s="1"/>
  <c r="K32" i="17" s="1"/>
  <c r="G30" i="17"/>
  <c r="G31" i="17" s="1"/>
  <c r="G32" i="17" s="1"/>
  <c r="AF36" i="19" l="1"/>
  <c r="AG34" i="19"/>
  <c r="AH13" i="19"/>
  <c r="AG33" i="19"/>
  <c r="AH12" i="19"/>
  <c r="AI9" i="19"/>
  <c r="AH30" i="19"/>
  <c r="AI10" i="19"/>
  <c r="AH31" i="19"/>
  <c r="AK26" i="19"/>
  <c r="AJ25" i="19"/>
  <c r="N5" i="16" s="1"/>
  <c r="D12" i="17"/>
  <c r="D16" i="17"/>
  <c r="D22" i="17" s="1"/>
  <c r="D13" i="17"/>
  <c r="D19" i="17"/>
  <c r="D20" i="17" s="1"/>
  <c r="D9" i="17"/>
  <c r="D10" i="17" s="1"/>
  <c r="C16" i="17"/>
  <c r="C22" i="17" s="1"/>
  <c r="C13" i="17"/>
  <c r="C19" i="17"/>
  <c r="C12" i="17"/>
  <c r="C9" i="17"/>
  <c r="C10" i="17" s="1"/>
  <c r="E12" i="17"/>
  <c r="E16" i="17"/>
  <c r="E22" i="17" s="1"/>
  <c r="E19" i="17"/>
  <c r="E20" i="17" s="1"/>
  <c r="E13" i="17"/>
  <c r="E9" i="17"/>
  <c r="E10" i="17" s="1"/>
  <c r="W9" i="18"/>
  <c r="H4" i="17"/>
  <c r="H5" i="18"/>
  <c r="C20" i="17" l="1"/>
  <c r="J16" i="1"/>
  <c r="AG36" i="19"/>
  <c r="AH34" i="19"/>
  <c r="AI13" i="19"/>
  <c r="AI12" i="19"/>
  <c r="AH33" i="19"/>
  <c r="AJ10" i="19"/>
  <c r="AI31" i="19"/>
  <c r="AJ9" i="19"/>
  <c r="AI30" i="19"/>
  <c r="AK25" i="19"/>
  <c r="O5" i="16" s="1"/>
  <c r="AL26" i="19"/>
  <c r="X9" i="18"/>
  <c r="I4" i="17"/>
  <c r="I5" i="18"/>
  <c r="AH36" i="19" l="1"/>
  <c r="AI34" i="19"/>
  <c r="AJ13" i="19"/>
  <c r="AI33" i="19"/>
  <c r="AI36" i="19" s="1"/>
  <c r="AJ12" i="19"/>
  <c r="AK9" i="19"/>
  <c r="AJ30" i="19"/>
  <c r="AK10" i="19"/>
  <c r="AJ31" i="19"/>
  <c r="AL25" i="19"/>
  <c r="P5" i="16" s="1"/>
  <c r="AM26" i="19"/>
  <c r="Y9" i="18"/>
  <c r="J4" i="17"/>
  <c r="J5" i="18"/>
  <c r="AJ33" i="19" l="1"/>
  <c r="AK12" i="19"/>
  <c r="AK13" i="19"/>
  <c r="AJ34" i="19"/>
  <c r="AL10" i="19"/>
  <c r="AK31" i="19"/>
  <c r="AL9" i="19"/>
  <c r="AK30" i="19"/>
  <c r="AN26" i="19"/>
  <c r="AM25" i="19"/>
  <c r="Q5" i="16" s="1"/>
  <c r="Z9" i="18"/>
  <c r="K4" i="17"/>
  <c r="K5" i="18"/>
  <c r="AJ36" i="19" l="1"/>
  <c r="AK34" i="19"/>
  <c r="AL13" i="19"/>
  <c r="AK33" i="19"/>
  <c r="AL12" i="19"/>
  <c r="AM9" i="19"/>
  <c r="AL30" i="19"/>
  <c r="AM10" i="19"/>
  <c r="AL31" i="19"/>
  <c r="AO26" i="19"/>
  <c r="AN25" i="19"/>
  <c r="R5" i="16" s="1"/>
  <c r="L4" i="17"/>
  <c r="L5" i="18"/>
  <c r="AA9" i="18"/>
  <c r="AK36" i="19" l="1"/>
  <c r="AL33" i="19"/>
  <c r="AM12" i="19"/>
  <c r="AM13" i="19"/>
  <c r="AL34" i="19"/>
  <c r="AN10" i="19"/>
  <c r="AM31" i="19"/>
  <c r="AN9" i="19"/>
  <c r="AM30" i="19"/>
  <c r="AP26" i="19"/>
  <c r="AO25" i="19"/>
  <c r="S5" i="16" s="1"/>
  <c r="M4" i="17"/>
  <c r="M5" i="18"/>
  <c r="AB9" i="18"/>
  <c r="AL36" i="19" l="1"/>
  <c r="AN13" i="19"/>
  <c r="AM34" i="19"/>
  <c r="AN12" i="19"/>
  <c r="AM33" i="19"/>
  <c r="AO9" i="19"/>
  <c r="AN30" i="19"/>
  <c r="AO10" i="19"/>
  <c r="AN31" i="19"/>
  <c r="AQ26" i="19"/>
  <c r="AP25" i="19"/>
  <c r="T5" i="16" s="1"/>
  <c r="D47" i="16"/>
  <c r="J24" i="1" s="1"/>
  <c r="H37" i="16"/>
  <c r="H26" i="16" s="1"/>
  <c r="F33" i="16"/>
  <c r="E33" i="16"/>
  <c r="D33" i="16"/>
  <c r="F30" i="16"/>
  <c r="E30" i="16"/>
  <c r="D30" i="16"/>
  <c r="F24" i="16"/>
  <c r="E24" i="16"/>
  <c r="D24" i="16"/>
  <c r="I13" i="16"/>
  <c r="J13" i="16" s="1"/>
  <c r="K13" i="16" s="1"/>
  <c r="L13" i="16" s="1"/>
  <c r="M13" i="16" s="1"/>
  <c r="I4" i="16"/>
  <c r="J4" i="16" s="1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AM36" i="19" l="1"/>
  <c r="AO12" i="19"/>
  <c r="AN33" i="19"/>
  <c r="AO13" i="19"/>
  <c r="AN34" i="19"/>
  <c r="AP10" i="19"/>
  <c r="AO31" i="19"/>
  <c r="AP9" i="19"/>
  <c r="AO30" i="19"/>
  <c r="AR26" i="19"/>
  <c r="AQ25" i="19"/>
  <c r="U5" i="16" s="1"/>
  <c r="AE40" i="16"/>
  <c r="AD40" i="16"/>
  <c r="AB40" i="16"/>
  <c r="L40" i="16"/>
  <c r="T39" i="16"/>
  <c r="AA40" i="16"/>
  <c r="K40" i="16"/>
  <c r="S39" i="16"/>
  <c r="Y40" i="16"/>
  <c r="V40" i="16"/>
  <c r="U40" i="16"/>
  <c r="T40" i="16"/>
  <c r="Z40" i="16"/>
  <c r="J40" i="16"/>
  <c r="R39" i="16"/>
  <c r="I40" i="16"/>
  <c r="Q39" i="16"/>
  <c r="AD39" i="16"/>
  <c r="AC39" i="16"/>
  <c r="X40" i="16"/>
  <c r="H40" i="16"/>
  <c r="P39" i="16"/>
  <c r="W40" i="16"/>
  <c r="AE39" i="16"/>
  <c r="O39" i="16"/>
  <c r="N39" i="16"/>
  <c r="M39" i="16"/>
  <c r="AB39" i="16"/>
  <c r="G39" i="16"/>
  <c r="AC40" i="16"/>
  <c r="L39" i="16"/>
  <c r="U39" i="16"/>
  <c r="S40" i="16"/>
  <c r="AA39" i="16"/>
  <c r="K39" i="16"/>
  <c r="R40" i="16"/>
  <c r="Q40" i="16"/>
  <c r="I39" i="16"/>
  <c r="X39" i="16"/>
  <c r="O40" i="16"/>
  <c r="G40" i="16"/>
  <c r="N40" i="16"/>
  <c r="M40" i="16"/>
  <c r="Z39" i="16"/>
  <c r="J39" i="16"/>
  <c r="Y39" i="16"/>
  <c r="P40" i="16"/>
  <c r="H39" i="16"/>
  <c r="W39" i="16"/>
  <c r="V39" i="16"/>
  <c r="J38" i="16"/>
  <c r="AC38" i="16"/>
  <c r="K38" i="16"/>
  <c r="U38" i="16"/>
  <c r="AD38" i="16"/>
  <c r="M38" i="16"/>
  <c r="V38" i="16"/>
  <c r="AE38" i="16"/>
  <c r="N38" i="16"/>
  <c r="W38" i="16"/>
  <c r="AF38" i="16"/>
  <c r="X38" i="16"/>
  <c r="G38" i="16"/>
  <c r="P38" i="16"/>
  <c r="Y38" i="16"/>
  <c r="H38" i="16"/>
  <c r="Q38" i="16"/>
  <c r="Z38" i="16"/>
  <c r="S38" i="16"/>
  <c r="O38" i="16"/>
  <c r="I38" i="16"/>
  <c r="R38" i="16"/>
  <c r="AA38" i="16"/>
  <c r="H28" i="16"/>
  <c r="G8" i="16"/>
  <c r="F8" i="16"/>
  <c r="F14" i="16" s="1"/>
  <c r="F16" i="16" s="1"/>
  <c r="E8" i="16"/>
  <c r="E14" i="16" s="1"/>
  <c r="E16" i="16" s="1"/>
  <c r="E21" i="16" s="1"/>
  <c r="E32" i="16" s="1"/>
  <c r="E34" i="16" s="1"/>
  <c r="D8" i="16"/>
  <c r="D14" i="16" s="1"/>
  <c r="D16" i="16" s="1"/>
  <c r="D21" i="16" s="1"/>
  <c r="D32" i="16" s="1"/>
  <c r="D34" i="16" s="1"/>
  <c r="D36" i="16" s="1"/>
  <c r="E36" i="16" s="1"/>
  <c r="N13" i="16"/>
  <c r="O13" i="16" s="1"/>
  <c r="P13" i="16" s="1"/>
  <c r="I37" i="16"/>
  <c r="L38" i="16"/>
  <c r="T38" i="16"/>
  <c r="AB38" i="16"/>
  <c r="AN36" i="19" l="1"/>
  <c r="AP13" i="19"/>
  <c r="AO34" i="19"/>
  <c r="AP12" i="19"/>
  <c r="AO33" i="19"/>
  <c r="AQ9" i="19"/>
  <c r="AP30" i="19"/>
  <c r="AQ10" i="19"/>
  <c r="AP31" i="19"/>
  <c r="AS26" i="19"/>
  <c r="AR25" i="19"/>
  <c r="V5" i="16" s="1"/>
  <c r="H20" i="16"/>
  <c r="F21" i="16"/>
  <c r="F32" i="16" s="1"/>
  <c r="F34" i="16" s="1"/>
  <c r="F36" i="16" s="1"/>
  <c r="I28" i="16"/>
  <c r="Q13" i="16"/>
  <c r="F11" i="16"/>
  <c r="E11" i="16"/>
  <c r="D11" i="16"/>
  <c r="G14" i="16"/>
  <c r="G11" i="16"/>
  <c r="G24" i="16"/>
  <c r="J37" i="16"/>
  <c r="I26" i="16"/>
  <c r="H22" i="16"/>
  <c r="I9" i="16" s="1" a="1"/>
  <c r="H10" i="16"/>
  <c r="H19" i="16" s="1"/>
  <c r="H8" i="16"/>
  <c r="H24" i="16" l="1"/>
  <c r="I9" i="16"/>
  <c r="AO36" i="19"/>
  <c r="AQ12" i="19"/>
  <c r="AP33" i="19"/>
  <c r="AQ13" i="19"/>
  <c r="AP34" i="19"/>
  <c r="AR10" i="19"/>
  <c r="AQ31" i="19"/>
  <c r="AR9" i="19"/>
  <c r="AQ30" i="19"/>
  <c r="AT26" i="19"/>
  <c r="AS25" i="19"/>
  <c r="W5" i="16" s="1"/>
  <c r="I20" i="16"/>
  <c r="J28" i="16"/>
  <c r="K28" i="16" s="1"/>
  <c r="L28" i="16" s="1"/>
  <c r="M28" i="16" s="1"/>
  <c r="N28" i="16" s="1"/>
  <c r="O28" i="16" s="1"/>
  <c r="P28" i="16" s="1"/>
  <c r="Q28" i="16" s="1"/>
  <c r="R28" i="16" s="1"/>
  <c r="S28" i="16" s="1"/>
  <c r="T28" i="16" s="1"/>
  <c r="U28" i="16" s="1"/>
  <c r="V28" i="16" s="1"/>
  <c r="W28" i="16" s="1"/>
  <c r="X28" i="16" s="1"/>
  <c r="Y28" i="16" s="1"/>
  <c r="Z28" i="16" s="1"/>
  <c r="AA28" i="16" s="1"/>
  <c r="AB28" i="16" s="1"/>
  <c r="AC28" i="16" s="1"/>
  <c r="AD28" i="16" s="1"/>
  <c r="AE28" i="16" s="1"/>
  <c r="AF28" i="16" s="1"/>
  <c r="R13" i="16"/>
  <c r="G21" i="16"/>
  <c r="H11" i="16"/>
  <c r="K37" i="16"/>
  <c r="J26" i="16"/>
  <c r="I10" i="16"/>
  <c r="I19" i="16" s="1"/>
  <c r="I22" i="16"/>
  <c r="I8" i="16"/>
  <c r="I24" i="16" l="1"/>
  <c r="J9" i="16" a="1"/>
  <c r="J9" i="16" s="1"/>
  <c r="K9" i="16" s="1" a="1"/>
  <c r="AP36" i="19"/>
  <c r="AR13" i="19"/>
  <c r="AQ34" i="19"/>
  <c r="AR12" i="19"/>
  <c r="AQ33" i="19"/>
  <c r="AQ36" i="19" s="1"/>
  <c r="AS9" i="19"/>
  <c r="AR30" i="19"/>
  <c r="AS10" i="19"/>
  <c r="AR31" i="19"/>
  <c r="AU26" i="19"/>
  <c r="AT25" i="19"/>
  <c r="X5" i="16" s="1"/>
  <c r="J20" i="16"/>
  <c r="G32" i="16"/>
  <c r="G33" i="16"/>
  <c r="G16" i="16"/>
  <c r="J10" i="16"/>
  <c r="J19" i="16" s="1"/>
  <c r="J22" i="16"/>
  <c r="J24" i="16" s="1"/>
  <c r="J8" i="16"/>
  <c r="L37" i="16"/>
  <c r="K26" i="16"/>
  <c r="I11" i="16"/>
  <c r="S13" i="16"/>
  <c r="K9" i="16" l="1"/>
  <c r="AS12" i="19"/>
  <c r="AR33" i="19"/>
  <c r="AS13" i="19"/>
  <c r="AR34" i="19"/>
  <c r="AT10" i="19"/>
  <c r="AS31" i="19"/>
  <c r="AT9" i="19"/>
  <c r="AS30" i="19"/>
  <c r="AV26" i="19"/>
  <c r="AU25" i="19"/>
  <c r="Y5" i="16" s="1"/>
  <c r="T13" i="16"/>
  <c r="K20" i="16"/>
  <c r="G30" i="16"/>
  <c r="M37" i="16"/>
  <c r="L26" i="16"/>
  <c r="G34" i="16"/>
  <c r="G36" i="16" s="1"/>
  <c r="H12" i="16" s="1"/>
  <c r="H14" i="16" s="1"/>
  <c r="H15" i="16" s="1"/>
  <c r="J11" i="16"/>
  <c r="K22" i="16"/>
  <c r="L9" i="16" s="1" a="1"/>
  <c r="K10" i="16"/>
  <c r="K19" i="16" s="1"/>
  <c r="K8" i="16"/>
  <c r="L9" i="16" l="1"/>
  <c r="AR36" i="19"/>
  <c r="AT13" i="19"/>
  <c r="AS34" i="19"/>
  <c r="AT12" i="19"/>
  <c r="AS33" i="19"/>
  <c r="AU9" i="19"/>
  <c r="AT30" i="19"/>
  <c r="AU10" i="19"/>
  <c r="AT31" i="19"/>
  <c r="AW26" i="19"/>
  <c r="AV25" i="19"/>
  <c r="Z5" i="16" s="1"/>
  <c r="U13" i="16"/>
  <c r="L20" i="16"/>
  <c r="L22" i="16"/>
  <c r="L24" i="16" s="1"/>
  <c r="L10" i="16"/>
  <c r="L19" i="16" s="1"/>
  <c r="L8" i="16"/>
  <c r="K11" i="16"/>
  <c r="K24" i="16"/>
  <c r="N37" i="16"/>
  <c r="M26" i="16"/>
  <c r="AS36" i="19" l="1"/>
  <c r="M9" i="16" a="1"/>
  <c r="M9" i="16" s="1"/>
  <c r="AU12" i="19"/>
  <c r="AT33" i="19"/>
  <c r="AU13" i="19"/>
  <c r="AT34" i="19"/>
  <c r="AV10" i="19"/>
  <c r="AU31" i="19"/>
  <c r="AV9" i="19"/>
  <c r="AU30" i="19"/>
  <c r="AX26" i="19"/>
  <c r="AW25" i="19"/>
  <c r="AA5" i="16" s="1"/>
  <c r="V13" i="16"/>
  <c r="M20" i="16"/>
  <c r="L11" i="16"/>
  <c r="O37" i="16"/>
  <c r="N26" i="16"/>
  <c r="M22" i="16"/>
  <c r="M10" i="16"/>
  <c r="M19" i="16" s="1"/>
  <c r="M8" i="16"/>
  <c r="N9" i="16" l="1" a="1"/>
  <c r="N9" i="16" s="1"/>
  <c r="AT36" i="19"/>
  <c r="AV13" i="19"/>
  <c r="AU34" i="19"/>
  <c r="AV12" i="19"/>
  <c r="AU33" i="19"/>
  <c r="AW9" i="19"/>
  <c r="AV30" i="19"/>
  <c r="AW10" i="19"/>
  <c r="AV31" i="19"/>
  <c r="AY26" i="19"/>
  <c r="AX25" i="19"/>
  <c r="AB5" i="16" s="1"/>
  <c r="W13" i="16"/>
  <c r="N20" i="16"/>
  <c r="M24" i="16"/>
  <c r="M11" i="16"/>
  <c r="N22" i="16"/>
  <c r="N24" i="16" s="1"/>
  <c r="N10" i="16"/>
  <c r="N19" i="16" s="1"/>
  <c r="N8" i="16"/>
  <c r="O26" i="16"/>
  <c r="P37" i="16"/>
  <c r="H18" i="16"/>
  <c r="H21" i="16" s="1"/>
  <c r="H27" i="16" s="1"/>
  <c r="O9" i="16" l="1" a="1"/>
  <c r="O9" i="16" s="1"/>
  <c r="AU36" i="19"/>
  <c r="AW12" i="19"/>
  <c r="AV33" i="19"/>
  <c r="AW13" i="19"/>
  <c r="AV34" i="19"/>
  <c r="AX10" i="19"/>
  <c r="AW31" i="19"/>
  <c r="AX9" i="19"/>
  <c r="AW30" i="19"/>
  <c r="AZ26" i="19"/>
  <c r="AY25" i="19"/>
  <c r="AC5" i="16" s="1"/>
  <c r="O20" i="16"/>
  <c r="H16" i="16"/>
  <c r="H42" i="16" s="1"/>
  <c r="N11" i="16"/>
  <c r="H32" i="16"/>
  <c r="O22" i="16"/>
  <c r="O24" i="16" s="1"/>
  <c r="O10" i="16"/>
  <c r="O19" i="16" s="1"/>
  <c r="O8" i="16"/>
  <c r="X13" i="16"/>
  <c r="P26" i="16"/>
  <c r="Q37" i="16"/>
  <c r="P9" i="16" l="1" a="1"/>
  <c r="P9" i="16" s="1"/>
  <c r="Q9" i="16" s="1" a="1"/>
  <c r="AV36" i="19"/>
  <c r="AX13" i="19"/>
  <c r="AW34" i="19"/>
  <c r="AX12" i="19"/>
  <c r="AW33" i="19"/>
  <c r="AY9" i="19"/>
  <c r="AX30" i="19"/>
  <c r="AY10" i="19"/>
  <c r="AX31" i="19"/>
  <c r="BA26" i="19"/>
  <c r="AZ25" i="19"/>
  <c r="AD5" i="16" s="1"/>
  <c r="P20" i="16"/>
  <c r="Y13" i="16"/>
  <c r="H33" i="16"/>
  <c r="H30" i="16"/>
  <c r="P10" i="16"/>
  <c r="P19" i="16" s="1"/>
  <c r="P22" i="16"/>
  <c r="P24" i="16" s="1"/>
  <c r="P8" i="16"/>
  <c r="O11" i="16"/>
  <c r="R37" i="16"/>
  <c r="Q26" i="16"/>
  <c r="Q9" i="16" l="1"/>
  <c r="AW36" i="19"/>
  <c r="AY12" i="19"/>
  <c r="AX33" i="19"/>
  <c r="AY13" i="19"/>
  <c r="AX34" i="19"/>
  <c r="AZ10" i="19"/>
  <c r="AY31" i="19"/>
  <c r="AZ9" i="19"/>
  <c r="AY30" i="19"/>
  <c r="BB26" i="19"/>
  <c r="BB25" i="19" s="1"/>
  <c r="BA25" i="19"/>
  <c r="AE5" i="16" s="1"/>
  <c r="Q20" i="16"/>
  <c r="H34" i="16"/>
  <c r="H36" i="16" s="1"/>
  <c r="I12" i="16" s="1"/>
  <c r="S37" i="16"/>
  <c r="R26" i="16"/>
  <c r="P11" i="16"/>
  <c r="Q10" i="16"/>
  <c r="Q19" i="16" s="1"/>
  <c r="Q22" i="16"/>
  <c r="Q24" i="16" s="1"/>
  <c r="Q8" i="16"/>
  <c r="Z13" i="16"/>
  <c r="AF5" i="16" l="1"/>
  <c r="R9" i="16" a="1"/>
  <c r="R9" i="16" s="1"/>
  <c r="AX36" i="19"/>
  <c r="AZ13" i="19"/>
  <c r="AY34" i="19"/>
  <c r="AZ12" i="19"/>
  <c r="AY33" i="19"/>
  <c r="AY36" i="19" s="1"/>
  <c r="BA9" i="19"/>
  <c r="AZ30" i="19"/>
  <c r="BA10" i="19"/>
  <c r="AZ31" i="19"/>
  <c r="R20" i="16"/>
  <c r="AA13" i="16"/>
  <c r="Q11" i="16"/>
  <c r="R22" i="16"/>
  <c r="R24" i="16" s="1"/>
  <c r="R10" i="16"/>
  <c r="R19" i="16" s="1"/>
  <c r="R8" i="16"/>
  <c r="I14" i="16"/>
  <c r="T37" i="16"/>
  <c r="S26" i="16"/>
  <c r="S9" i="16" l="1" a="1"/>
  <c r="S9" i="16" s="1"/>
  <c r="T9" i="16" s="1" a="1"/>
  <c r="BA12" i="19"/>
  <c r="AZ33" i="19"/>
  <c r="BA13" i="19"/>
  <c r="AZ34" i="19"/>
  <c r="BB10" i="19"/>
  <c r="BB31" i="19" s="1"/>
  <c r="BA31" i="19"/>
  <c r="BB9" i="19"/>
  <c r="BB30" i="19" s="1"/>
  <c r="BA30" i="19"/>
  <c r="S20" i="16"/>
  <c r="I15" i="16"/>
  <c r="I18" i="16" s="1"/>
  <c r="I21" i="16" s="1"/>
  <c r="S22" i="16"/>
  <c r="S24" i="16" s="1"/>
  <c r="S10" i="16"/>
  <c r="S19" i="16" s="1"/>
  <c r="S8" i="16"/>
  <c r="AB13" i="16"/>
  <c r="U37" i="16"/>
  <c r="T26" i="16"/>
  <c r="R11" i="16"/>
  <c r="T9" i="16" l="1"/>
  <c r="I27" i="16"/>
  <c r="I32" i="16"/>
  <c r="AZ36" i="19"/>
  <c r="BB13" i="19"/>
  <c r="BB34" i="19" s="1"/>
  <c r="BA34" i="19"/>
  <c r="BB12" i="19"/>
  <c r="BB33" i="19" s="1"/>
  <c r="BA33" i="19"/>
  <c r="BA36" i="19" s="1"/>
  <c r="T20" i="16"/>
  <c r="AC13" i="16"/>
  <c r="I16" i="16"/>
  <c r="I42" i="16" s="1"/>
  <c r="V37" i="16"/>
  <c r="U26" i="16"/>
  <c r="T22" i="16"/>
  <c r="T24" i="16" s="1"/>
  <c r="T10" i="16"/>
  <c r="T19" i="16" s="1"/>
  <c r="T8" i="16"/>
  <c r="S11" i="16"/>
  <c r="BB36" i="19" l="1"/>
  <c r="U9" i="16" a="1"/>
  <c r="U9" i="16" s="1"/>
  <c r="V9" i="16" s="1" a="1"/>
  <c r="U20" i="16"/>
  <c r="AD13" i="16"/>
  <c r="U22" i="16"/>
  <c r="U24" i="16" s="1"/>
  <c r="U10" i="16"/>
  <c r="U19" i="16" s="1"/>
  <c r="U8" i="16"/>
  <c r="I33" i="16"/>
  <c r="I30" i="16"/>
  <c r="T11" i="16"/>
  <c r="W37" i="16"/>
  <c r="V26" i="16"/>
  <c r="V9" i="16" l="1"/>
  <c r="V20" i="16"/>
  <c r="AE13" i="16"/>
  <c r="AF13" i="16" s="1"/>
  <c r="U11" i="16"/>
  <c r="V22" i="16"/>
  <c r="V24" i="16" s="1"/>
  <c r="V10" i="16"/>
  <c r="V19" i="16" s="1"/>
  <c r="V8" i="16"/>
  <c r="I34" i="16"/>
  <c r="I36" i="16" s="1"/>
  <c r="J12" i="16" s="1"/>
  <c r="W26" i="16"/>
  <c r="X37" i="16"/>
  <c r="W9" i="16" l="1" a="1"/>
  <c r="W9" i="16" s="1"/>
  <c r="X9" i="16" s="1" a="1"/>
  <c r="W20" i="16"/>
  <c r="W22" i="16"/>
  <c r="W24" i="16" s="1"/>
  <c r="W10" i="16"/>
  <c r="W19" i="16" s="1"/>
  <c r="W8" i="16"/>
  <c r="X26" i="16"/>
  <c r="Y37" i="16"/>
  <c r="V11" i="16"/>
  <c r="X9" i="16" l="1"/>
  <c r="X20" i="16"/>
  <c r="Z37" i="16"/>
  <c r="Y26" i="16"/>
  <c r="X10" i="16"/>
  <c r="X19" i="16" s="1"/>
  <c r="X22" i="16"/>
  <c r="X24" i="16" s="1"/>
  <c r="X8" i="16"/>
  <c r="W11" i="16"/>
  <c r="J14" i="16"/>
  <c r="Y9" i="16" l="1" a="1"/>
  <c r="Y9" i="16" s="1"/>
  <c r="Y20" i="16"/>
  <c r="X11" i="16"/>
  <c r="Y10" i="16"/>
  <c r="Y19" i="16" s="1"/>
  <c r="Y22" i="16"/>
  <c r="Y24" i="16" s="1"/>
  <c r="Y8" i="16"/>
  <c r="AA37" i="16"/>
  <c r="Z26" i="16"/>
  <c r="J15" i="16"/>
  <c r="J18" i="16" s="1"/>
  <c r="J21" i="16" s="1"/>
  <c r="J27" i="16" s="1"/>
  <c r="Z9" i="16" l="1" a="1"/>
  <c r="Z9" i="16" s="1"/>
  <c r="Z20" i="16"/>
  <c r="J16" i="16"/>
  <c r="J42" i="16" s="1"/>
  <c r="AB37" i="16"/>
  <c r="AA26" i="16"/>
  <c r="J32" i="16"/>
  <c r="Y11" i="16"/>
  <c r="Z22" i="16"/>
  <c r="Z24" i="16" s="1"/>
  <c r="Z10" i="16"/>
  <c r="Z19" i="16" s="1"/>
  <c r="Z8" i="16"/>
  <c r="AA9" i="16" l="1" a="1"/>
  <c r="AA9" i="16" s="1"/>
  <c r="AA20" i="16"/>
  <c r="AA22" i="16"/>
  <c r="AA24" i="16" s="1"/>
  <c r="AA10" i="16"/>
  <c r="AA19" i="16" s="1"/>
  <c r="AA8" i="16"/>
  <c r="AC37" i="16"/>
  <c r="AB26" i="16"/>
  <c r="J33" i="16"/>
  <c r="J30" i="16"/>
  <c r="Z11" i="16"/>
  <c r="AB9" i="16" l="1" a="1"/>
  <c r="AB9" i="16" s="1"/>
  <c r="AB20" i="16"/>
  <c r="J34" i="16"/>
  <c r="J36" i="16" s="1"/>
  <c r="K12" i="16" s="1"/>
  <c r="AA11" i="16"/>
  <c r="AB22" i="16"/>
  <c r="AB24" i="16" s="1"/>
  <c r="AB10" i="16"/>
  <c r="AB19" i="16" s="1"/>
  <c r="AB8" i="16"/>
  <c r="AD37" i="16"/>
  <c r="AC26" i="16"/>
  <c r="AC9" i="16" l="1" a="1"/>
  <c r="AC9" i="16" s="1"/>
  <c r="AD9" i="16" s="1" a="1"/>
  <c r="AC20" i="16"/>
  <c r="AC22" i="16"/>
  <c r="AC24" i="16" s="1"/>
  <c r="AC10" i="16"/>
  <c r="AC19" i="16" s="1"/>
  <c r="AC8" i="16"/>
  <c r="AE37" i="16"/>
  <c r="AD26" i="16"/>
  <c r="K14" i="16"/>
  <c r="AB11" i="16"/>
  <c r="AD9" i="16" l="1"/>
  <c r="AD20" i="16"/>
  <c r="AC11" i="16"/>
  <c r="AD22" i="16"/>
  <c r="AD24" i="16" s="1"/>
  <c r="AD10" i="16"/>
  <c r="AD19" i="16" s="1"/>
  <c r="AD8" i="16"/>
  <c r="AE26" i="16"/>
  <c r="AF37" i="16"/>
  <c r="K15" i="16"/>
  <c r="K18" i="16" s="1"/>
  <c r="K21" i="16" s="1"/>
  <c r="K27" i="16" s="1"/>
  <c r="AE9" i="16" l="1" a="1"/>
  <c r="AE9" i="16" s="1"/>
  <c r="AE20" i="16"/>
  <c r="AE22" i="16"/>
  <c r="AE24" i="16" s="1"/>
  <c r="AE10" i="16"/>
  <c r="AE19" i="16" s="1"/>
  <c r="K32" i="16"/>
  <c r="K16" i="16"/>
  <c r="AF26" i="16"/>
  <c r="AD11" i="16"/>
  <c r="AF9" i="16" l="1" a="1"/>
  <c r="AF9" i="16" s="1"/>
  <c r="AF20" i="16"/>
  <c r="K33" i="16"/>
  <c r="K30" i="16"/>
  <c r="AF10" i="16"/>
  <c r="AF19" i="16" s="1"/>
  <c r="AF22" i="16"/>
  <c r="AE11" i="16"/>
  <c r="AF11" i="16" l="1"/>
  <c r="AF24" i="16"/>
  <c r="G50" i="16"/>
  <c r="K34" i="16"/>
  <c r="K36" i="16" s="1"/>
  <c r="L12" i="16" s="1"/>
  <c r="L14" i="16" l="1"/>
  <c r="L15" i="16" l="1"/>
  <c r="L18" i="16" s="1"/>
  <c r="L21" i="16" s="1"/>
  <c r="L27" i="16" s="1"/>
  <c r="L32" i="16" l="1"/>
  <c r="L16" i="16"/>
  <c r="L33" i="16" l="1"/>
  <c r="L30" i="16"/>
  <c r="L34" i="16" l="1"/>
  <c r="L36" i="16" s="1"/>
  <c r="M12" i="16" s="1"/>
  <c r="M14" i="16" l="1"/>
  <c r="M15" i="16" l="1"/>
  <c r="M18" i="16" s="1"/>
  <c r="M21" i="16" s="1"/>
  <c r="M27" i="16" s="1"/>
  <c r="M32" i="16" l="1"/>
  <c r="M16" i="16"/>
  <c r="M33" i="16" l="1"/>
  <c r="M30" i="16"/>
  <c r="M34" i="16" l="1"/>
  <c r="M36" i="16" s="1"/>
  <c r="N12" i="16" s="1"/>
  <c r="N14" i="16" l="1"/>
  <c r="N15" i="16" l="1"/>
  <c r="N18" i="16" s="1"/>
  <c r="N21" i="16" s="1"/>
  <c r="N27" i="16" s="1"/>
  <c r="N16" i="16" l="1"/>
  <c r="N32" i="16"/>
  <c r="N33" i="16" l="1"/>
  <c r="N30" i="16"/>
  <c r="N34" i="16" l="1"/>
  <c r="N36" i="16" s="1"/>
  <c r="O12" i="16" s="1"/>
  <c r="O14" i="16" l="1"/>
  <c r="O15" i="16" l="1"/>
  <c r="O18" i="16" s="1"/>
  <c r="O21" i="16" s="1"/>
  <c r="O27" i="16" s="1"/>
  <c r="O16" i="16" l="1"/>
  <c r="O32" i="16"/>
  <c r="O33" i="16" l="1"/>
  <c r="O30" i="16"/>
  <c r="O34" i="16" l="1"/>
  <c r="O36" i="16" s="1"/>
  <c r="P12" i="16" s="1"/>
  <c r="P14" i="16" l="1"/>
  <c r="P15" i="16" l="1"/>
  <c r="P18" i="16" s="1"/>
  <c r="P21" i="16" s="1"/>
  <c r="P27" i="16" s="1"/>
  <c r="P16" i="16" l="1"/>
  <c r="P32" i="16"/>
  <c r="P33" i="16" l="1"/>
  <c r="P30" i="16"/>
  <c r="P34" i="16" l="1"/>
  <c r="P36" i="16" s="1"/>
  <c r="Q12" i="16" s="1"/>
  <c r="Q14" i="16" l="1"/>
  <c r="Q15" i="16" l="1"/>
  <c r="Q18" i="16" s="1"/>
  <c r="Q21" i="16" s="1"/>
  <c r="Q27" i="16" s="1"/>
  <c r="Q16" i="16" l="1"/>
  <c r="Q32" i="16"/>
  <c r="Q33" i="16" l="1"/>
  <c r="Q30" i="16"/>
  <c r="Q34" i="16" l="1"/>
  <c r="Q36" i="16" s="1"/>
  <c r="R12" i="16" s="1"/>
  <c r="R14" i="16" l="1"/>
  <c r="R15" i="16" l="1"/>
  <c r="R18" i="16" s="1"/>
  <c r="R21" i="16" s="1"/>
  <c r="R27" i="16" s="1"/>
  <c r="R16" i="16" l="1"/>
  <c r="R32" i="16"/>
  <c r="R33" i="16" l="1"/>
  <c r="R30" i="16"/>
  <c r="R34" i="16" l="1"/>
  <c r="R36" i="16" s="1"/>
  <c r="S12" i="16" s="1"/>
  <c r="S14" i="16" l="1"/>
  <c r="S15" i="16" l="1"/>
  <c r="S18" i="16" s="1"/>
  <c r="S21" i="16" s="1"/>
  <c r="S27" i="16" s="1"/>
  <c r="S32" i="16" l="1"/>
  <c r="S16" i="16"/>
  <c r="S33" i="16" l="1"/>
  <c r="S30" i="16"/>
  <c r="S34" i="16" l="1"/>
  <c r="S36" i="16" s="1"/>
  <c r="T12" i="16" s="1"/>
  <c r="T14" i="16" l="1"/>
  <c r="T15" i="16" l="1"/>
  <c r="T18" i="16" s="1"/>
  <c r="T21" i="16" s="1"/>
  <c r="T27" i="16" s="1"/>
  <c r="T32" i="16" l="1"/>
  <c r="T16" i="16"/>
  <c r="T33" i="16" l="1"/>
  <c r="T30" i="16"/>
  <c r="T34" i="16" l="1"/>
  <c r="T36" i="16" s="1"/>
  <c r="U12" i="16" s="1"/>
  <c r="U14" i="16" l="1"/>
  <c r="U15" i="16" l="1"/>
  <c r="U18" i="16" s="1"/>
  <c r="U21" i="16" s="1"/>
  <c r="U27" i="16" s="1"/>
  <c r="U32" i="16" l="1"/>
  <c r="U16" i="16"/>
  <c r="U33" i="16" l="1"/>
  <c r="U30" i="16"/>
  <c r="U34" i="16" l="1"/>
  <c r="U36" i="16" s="1"/>
  <c r="V12" i="16" s="1"/>
  <c r="V14" i="16" l="1"/>
  <c r="V15" i="16" l="1"/>
  <c r="V18" i="16" s="1"/>
  <c r="V21" i="16" s="1"/>
  <c r="V27" i="16" s="1"/>
  <c r="V16" i="16" l="1"/>
  <c r="V32" i="16"/>
  <c r="V33" i="16" l="1"/>
  <c r="V30" i="16"/>
  <c r="V34" i="16" l="1"/>
  <c r="V36" i="16" s="1"/>
  <c r="W12" i="16" s="1"/>
  <c r="W14" i="16" l="1"/>
  <c r="W15" i="16" l="1"/>
  <c r="W18" i="16" s="1"/>
  <c r="W21" i="16" s="1"/>
  <c r="W27" i="16" s="1"/>
  <c r="W16" i="16" l="1"/>
  <c r="W32" i="16"/>
  <c r="W33" i="16" l="1"/>
  <c r="W30" i="16"/>
  <c r="W34" i="16" l="1"/>
  <c r="W36" i="16" s="1"/>
  <c r="X12" i="16" l="1"/>
  <c r="X14" i="16" s="1"/>
  <c r="X15" i="16" s="1"/>
  <c r="X18" i="16" s="1"/>
  <c r="X21" i="16" s="1"/>
  <c r="X27" i="16" s="1"/>
  <c r="X16" i="16" l="1"/>
  <c r="X32" i="16"/>
  <c r="X33" i="16" l="1"/>
  <c r="X30" i="16"/>
  <c r="X34" i="16" l="1"/>
  <c r="X36" i="16" s="1"/>
  <c r="Y12" i="16" s="1"/>
  <c r="Y14" i="16" l="1"/>
  <c r="Y15" i="16" l="1"/>
  <c r="Y18" i="16" s="1"/>
  <c r="Y21" i="16" s="1"/>
  <c r="Y27" i="16" s="1"/>
  <c r="Y16" i="16" l="1"/>
  <c r="Y32" i="16"/>
  <c r="Y33" i="16" l="1"/>
  <c r="Y30" i="16"/>
  <c r="Y34" i="16" l="1"/>
  <c r="Y36" i="16" s="1"/>
  <c r="Z12" i="16" s="1"/>
  <c r="Z14" i="16" l="1"/>
  <c r="Z15" i="16" l="1"/>
  <c r="Z18" i="16" s="1"/>
  <c r="Z21" i="16" s="1"/>
  <c r="Z27" i="16" s="1"/>
  <c r="Z16" i="16" l="1"/>
  <c r="Z32" i="16"/>
  <c r="Z33" i="16" l="1"/>
  <c r="Z30" i="16"/>
  <c r="Z34" i="16" l="1"/>
  <c r="Z36" i="16" s="1"/>
  <c r="AA12" i="16" l="1"/>
  <c r="AA14" i="16" s="1"/>
  <c r="AA15" i="16" s="1"/>
  <c r="AA18" i="16" s="1"/>
  <c r="AA21" i="16" s="1"/>
  <c r="AA27" i="16" s="1"/>
  <c r="AA32" i="16" l="1"/>
  <c r="AA16" i="16"/>
  <c r="AA33" i="16" l="1"/>
  <c r="AA30" i="16"/>
  <c r="AA34" i="16" l="1"/>
  <c r="AA36" i="16" s="1"/>
  <c r="AB12" i="16" l="1"/>
  <c r="AB14" i="16" s="1"/>
  <c r="AB15" i="16" s="1"/>
  <c r="AB18" i="16" s="1"/>
  <c r="AB21" i="16" s="1"/>
  <c r="AB27" i="16" s="1"/>
  <c r="AB16" i="16" l="1"/>
  <c r="AB32" i="16"/>
  <c r="AB33" i="16" l="1"/>
  <c r="AB30" i="16"/>
  <c r="AB34" i="16" l="1"/>
  <c r="AB36" i="16" s="1"/>
  <c r="AC12" i="16" l="1"/>
  <c r="AC14" i="16" s="1"/>
  <c r="AC15" i="16" s="1"/>
  <c r="AC18" i="16" s="1"/>
  <c r="AC21" i="16" s="1"/>
  <c r="AC27" i="16" s="1"/>
  <c r="AC16" i="16" l="1"/>
  <c r="AC32" i="16"/>
  <c r="AC33" i="16" l="1"/>
  <c r="AC30" i="16"/>
  <c r="AC34" i="16" l="1"/>
  <c r="AC36" i="16" s="1"/>
  <c r="AD12" i="16" s="1"/>
  <c r="AD14" i="16" l="1"/>
  <c r="AD15" i="16" l="1"/>
  <c r="AD18" i="16" s="1"/>
  <c r="AD21" i="16" s="1"/>
  <c r="AD27" i="16" s="1"/>
  <c r="AD16" i="16" l="1"/>
  <c r="AD32" i="16"/>
  <c r="AD33" i="16" l="1"/>
  <c r="AD30" i="16"/>
  <c r="AD34" i="16" l="1"/>
  <c r="AD36" i="16" s="1"/>
  <c r="AE12" i="16" s="1"/>
  <c r="AE14" i="16" l="1"/>
  <c r="AE15" i="16" l="1"/>
  <c r="AE18" i="16" s="1"/>
  <c r="AE21" i="16" s="1"/>
  <c r="AE27" i="16" s="1"/>
  <c r="AE32" i="16" l="1"/>
  <c r="AE16" i="16"/>
  <c r="AE33" i="16" l="1"/>
  <c r="AE30" i="16"/>
  <c r="AE34" i="16" l="1"/>
  <c r="AE36" i="16" s="1"/>
  <c r="AF12" i="16" s="1"/>
  <c r="AE61" i="16" l="1"/>
  <c r="AE62" i="16" s="1"/>
  <c r="AF14" i="16"/>
  <c r="D62" i="16"/>
  <c r="AF15" i="16" l="1"/>
  <c r="AF18" i="16" s="1"/>
  <c r="AF21" i="16" s="1"/>
  <c r="AF27" i="16" s="1"/>
  <c r="AF16" i="16" l="1"/>
  <c r="AF32" i="16"/>
  <c r="AF33" i="16" l="1"/>
  <c r="AF30" i="16"/>
  <c r="D63" i="16"/>
  <c r="D64" i="16" l="1"/>
  <c r="D66" i="16" s="1"/>
  <c r="AF34" i="16"/>
  <c r="AF36" i="16" s="1"/>
  <c r="H24" i="1" l="1"/>
  <c r="L21" i="1"/>
  <c r="I44" i="16"/>
  <c r="H44" i="16"/>
  <c r="E62" i="16"/>
  <c r="E63" i="16"/>
  <c r="D65" i="16" l="1"/>
  <c r="L23" i="1" s="1"/>
  <c r="O36" i="1" l="1"/>
  <c r="N36" i="1"/>
  <c r="D37" i="1"/>
  <c r="D41" i="1" l="1"/>
  <c r="D39" i="1"/>
  <c r="O37" i="1"/>
  <c r="D42" i="1"/>
  <c r="L40" i="1"/>
  <c r="K40" i="1"/>
  <c r="J13" i="1" l="1"/>
  <c r="B59" i="4"/>
  <c r="E61" i="4"/>
  <c r="D61" i="4"/>
  <c r="B43" i="4" l="1"/>
  <c r="C43" i="4"/>
  <c r="D42" i="4"/>
  <c r="E38" i="4" l="1"/>
  <c r="D38" i="4"/>
  <c r="C50" i="4" l="1"/>
  <c r="B50" i="4"/>
  <c r="C47" i="4"/>
  <c r="C40" i="4" l="1"/>
  <c r="B40" i="4"/>
  <c r="C38" i="4"/>
  <c r="B38" i="4"/>
  <c r="C37" i="4"/>
  <c r="B37" i="4"/>
  <c r="R35" i="1" l="1"/>
  <c r="Q35" i="1"/>
  <c r="O35" i="1"/>
  <c r="N35" i="1"/>
  <c r="C36" i="4" s="1"/>
  <c r="D43" i="4" l="1"/>
  <c r="E43" i="4" s="1"/>
  <c r="F43" i="4" s="1"/>
  <c r="G43" i="4" s="1"/>
  <c r="H43" i="4" s="1"/>
  <c r="I43" i="4" s="1"/>
  <c r="J43" i="4" s="1"/>
  <c r="K43" i="4" s="1"/>
  <c r="L43" i="4" s="1"/>
  <c r="M43" i="4" s="1"/>
  <c r="N43" i="4" s="1"/>
  <c r="O43" i="4" s="1"/>
  <c r="P43" i="4" s="1"/>
  <c r="Q43" i="4" s="1"/>
  <c r="R43" i="4" s="1"/>
  <c r="S43" i="4" s="1"/>
  <c r="T43" i="4" s="1"/>
  <c r="U43" i="4" s="1"/>
  <c r="V43" i="4" s="1"/>
  <c r="W43" i="4" s="1"/>
  <c r="X43" i="4" s="1"/>
  <c r="Y43" i="4" s="1"/>
  <c r="Z43" i="4" s="1"/>
  <c r="AA43" i="4" s="1"/>
  <c r="AB43" i="4" s="1"/>
  <c r="AC43" i="4" s="1"/>
  <c r="AD9" i="3"/>
  <c r="AC9" i="3"/>
  <c r="AB9" i="3"/>
  <c r="AA9" i="3"/>
  <c r="Z9" i="3"/>
  <c r="Y9" i="3"/>
  <c r="X9" i="3"/>
  <c r="Y17" i="3"/>
  <c r="X17" i="3"/>
  <c r="Z17" i="3"/>
  <c r="AA17" i="3"/>
  <c r="AB17" i="3"/>
  <c r="AD17" i="3"/>
  <c r="V8" i="3"/>
  <c r="V16" i="3" s="1"/>
  <c r="V7" i="3"/>
  <c r="V15" i="3" s="1"/>
  <c r="V6" i="3"/>
  <c r="V14" i="3" s="1"/>
  <c r="V5" i="3"/>
  <c r="V13" i="3" s="1"/>
  <c r="V4" i="3"/>
  <c r="V12" i="3" s="1"/>
  <c r="L14" i="3"/>
  <c r="L13" i="3"/>
  <c r="L12" i="3"/>
  <c r="L11" i="3"/>
  <c r="L10" i="3"/>
  <c r="L5" i="3"/>
  <c r="L6" i="3"/>
  <c r="L7" i="3"/>
  <c r="L8" i="3"/>
  <c r="L4" i="3"/>
  <c r="AC17" i="3" l="1"/>
  <c r="P35" i="1" l="1"/>
  <c r="L42" i="1" l="1"/>
  <c r="B47" i="4"/>
  <c r="S35" i="1"/>
  <c r="F13" i="1"/>
  <c r="D14" i="3"/>
  <c r="C14" i="3"/>
  <c r="D48" i="4" l="1"/>
  <c r="E42" i="4" s="1"/>
  <c r="E48" i="4" l="1"/>
  <c r="F42" i="4" s="1"/>
  <c r="O27" i="1"/>
  <c r="D40" i="1" s="1"/>
  <c r="O29" i="1"/>
  <c r="O30" i="1"/>
  <c r="O31" i="1"/>
  <c r="O32" i="1"/>
  <c r="O33" i="1"/>
  <c r="O34" i="1"/>
  <c r="F48" i="4" l="1"/>
  <c r="G42" i="4" s="1"/>
  <c r="G48" i="4" l="1"/>
  <c r="H42" i="4" s="1"/>
  <c r="H48" i="4" l="1"/>
  <c r="I42" i="4" s="1"/>
  <c r="B44" i="4"/>
  <c r="C44" i="4"/>
  <c r="I48" i="4" l="1"/>
  <c r="J42" i="4" s="1"/>
  <c r="E47" i="4"/>
  <c r="J6" i="3"/>
  <c r="H10" i="1" s="1"/>
  <c r="J4" i="3" l="1"/>
  <c r="H8" i="1" s="1"/>
  <c r="J5" i="3"/>
  <c r="H9" i="1" s="1"/>
  <c r="W17" i="3"/>
  <c r="J48" i="4"/>
  <c r="K42" i="4" s="1"/>
  <c r="E13" i="1"/>
  <c r="K48" i="4" l="1"/>
  <c r="L42" i="4" s="1"/>
  <c r="M15" i="3"/>
  <c r="F47" i="4"/>
  <c r="N29" i="1"/>
  <c r="N32" i="1"/>
  <c r="N33" i="1"/>
  <c r="L48" i="4" l="1"/>
  <c r="M42" i="4" s="1"/>
  <c r="G47" i="4"/>
  <c r="N15" i="3"/>
  <c r="N16" i="3" s="1"/>
  <c r="M48" i="4" l="1"/>
  <c r="N42" i="4" s="1"/>
  <c r="O15" i="3"/>
  <c r="O16" i="3" s="1"/>
  <c r="J8" i="3"/>
  <c r="H12" i="1" s="1"/>
  <c r="J7" i="3"/>
  <c r="H11" i="1" s="1"/>
  <c r="J18" i="3" l="1"/>
  <c r="H16" i="1" s="1"/>
  <c r="J19" i="3"/>
  <c r="H17" i="1" s="1"/>
  <c r="J21" i="3"/>
  <c r="H19" i="1" s="1"/>
  <c r="J20" i="3"/>
  <c r="H18" i="1" s="1"/>
  <c r="W9" i="3"/>
  <c r="N48" i="4"/>
  <c r="O42" i="4" s="1"/>
  <c r="P15" i="3"/>
  <c r="P16" i="3" s="1"/>
  <c r="O48" i="4" l="1"/>
  <c r="P42" i="4" s="1"/>
  <c r="Q15" i="3"/>
  <c r="Q16" i="3" s="1"/>
  <c r="B41" i="4"/>
  <c r="P48" i="4" l="1"/>
  <c r="Q42" i="4" s="1"/>
  <c r="E40" i="4"/>
  <c r="F40" i="4" s="1"/>
  <c r="G40" i="4" s="1"/>
  <c r="H40" i="4" s="1"/>
  <c r="I40" i="4" s="1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X40" i="4" s="1"/>
  <c r="Y40" i="4" s="1"/>
  <c r="Z40" i="4" s="1"/>
  <c r="AA40" i="4" s="1"/>
  <c r="AB40" i="4" s="1"/>
  <c r="AC40" i="4" s="1"/>
  <c r="C41" i="4"/>
  <c r="R15" i="3"/>
  <c r="R16" i="3" s="1"/>
  <c r="Q48" i="4" l="1"/>
  <c r="R42" i="4" s="1"/>
  <c r="S15" i="3"/>
  <c r="S16" i="3" s="1"/>
  <c r="T15" i="3"/>
  <c r="B27" i="1"/>
  <c r="R48" i="4" l="1"/>
  <c r="S42" i="4" s="1"/>
  <c r="T16" i="3"/>
  <c r="S48" i="4" l="1"/>
  <c r="T42" i="4" s="1"/>
  <c r="C16" i="3"/>
  <c r="T48" i="4" l="1"/>
  <c r="U42" i="4" s="1"/>
  <c r="C49" i="4"/>
  <c r="U48" i="4" l="1"/>
  <c r="V42" i="4" s="1"/>
  <c r="V48" i="4" l="1"/>
  <c r="W42" i="4" s="1"/>
  <c r="N13" i="1"/>
  <c r="W48" i="4" l="1"/>
  <c r="X42" i="4" s="1"/>
  <c r="B49" i="4"/>
  <c r="X48" i="4" l="1"/>
  <c r="Y42" i="4" s="1"/>
  <c r="H47" i="4"/>
  <c r="E14" i="3"/>
  <c r="N27" i="1"/>
  <c r="C40" i="1" s="1"/>
  <c r="E35" i="4"/>
  <c r="F35" i="4" s="1"/>
  <c r="G35" i="4" s="1"/>
  <c r="H35" i="4" s="1"/>
  <c r="I35" i="4" s="1"/>
  <c r="J35" i="4" s="1"/>
  <c r="K35" i="4" s="1"/>
  <c r="L35" i="4" s="1"/>
  <c r="M35" i="4" s="1"/>
  <c r="N35" i="4" s="1"/>
  <c r="O35" i="4" s="1"/>
  <c r="P35" i="4" s="1"/>
  <c r="Q35" i="4" s="1"/>
  <c r="R35" i="4" s="1"/>
  <c r="S35" i="4" s="1"/>
  <c r="T35" i="4" s="1"/>
  <c r="U35" i="4" s="1"/>
  <c r="V35" i="4" s="1"/>
  <c r="W35" i="4" s="1"/>
  <c r="X35" i="4" s="1"/>
  <c r="Y35" i="4" s="1"/>
  <c r="Z35" i="4" s="1"/>
  <c r="AA35" i="4" s="1"/>
  <c r="AB35" i="4" s="1"/>
  <c r="AC35" i="4" s="1"/>
  <c r="B46" i="4"/>
  <c r="C46" i="4"/>
  <c r="C53" i="4" s="1"/>
  <c r="D37" i="4"/>
  <c r="D3" i="3"/>
  <c r="D16" i="3"/>
  <c r="C27" i="3"/>
  <c r="F27" i="3" s="1"/>
  <c r="D27" i="3"/>
  <c r="E27" i="3"/>
  <c r="F6" i="1"/>
  <c r="E9" i="1"/>
  <c r="J14" i="1"/>
  <c r="J15" i="1"/>
  <c r="L12" i="1"/>
  <c r="L26" i="1"/>
  <c r="B28" i="1"/>
  <c r="B29" i="1" s="1"/>
  <c r="B30" i="1" s="1"/>
  <c r="B31" i="1" s="1"/>
  <c r="B32" i="1" s="1"/>
  <c r="B33" i="1" s="1"/>
  <c r="B34" i="1" s="1"/>
  <c r="B35" i="1" s="1"/>
  <c r="B36" i="1" s="1"/>
  <c r="B37" i="1" s="1"/>
  <c r="P28" i="1"/>
  <c r="S28" i="1"/>
  <c r="N28" i="1"/>
  <c r="O28" i="1"/>
  <c r="Q28" i="1"/>
  <c r="R28" i="1"/>
  <c r="P29" i="1"/>
  <c r="Q29" i="1"/>
  <c r="R29" i="1"/>
  <c r="S29" i="1"/>
  <c r="N30" i="1"/>
  <c r="P30" i="1"/>
  <c r="Q30" i="1"/>
  <c r="R30" i="1"/>
  <c r="S30" i="1"/>
  <c r="S31" i="1"/>
  <c r="N31" i="1"/>
  <c r="P31" i="1"/>
  <c r="Q31" i="1"/>
  <c r="R31" i="1"/>
  <c r="Q32" i="1"/>
  <c r="R32" i="1"/>
  <c r="S32" i="1"/>
  <c r="Q33" i="1"/>
  <c r="R33" i="1"/>
  <c r="P34" i="1"/>
  <c r="N34" i="1"/>
  <c r="B36" i="4" s="1"/>
  <c r="Q34" i="1"/>
  <c r="R34" i="1"/>
  <c r="P32" i="1"/>
  <c r="P33" i="1"/>
  <c r="S34" i="1"/>
  <c r="S33" i="1"/>
  <c r="L18" i="1" l="1"/>
  <c r="L13" i="1"/>
  <c r="J17" i="3"/>
  <c r="H15" i="1" s="1"/>
  <c r="Y33" i="4"/>
  <c r="Q33" i="4"/>
  <c r="I33" i="4"/>
  <c r="Z32" i="4"/>
  <c r="R32" i="4"/>
  <c r="J32" i="4"/>
  <c r="AA31" i="4"/>
  <c r="S31" i="4"/>
  <c r="K31" i="4"/>
  <c r="X33" i="4"/>
  <c r="P33" i="4"/>
  <c r="H33" i="4"/>
  <c r="Y32" i="4"/>
  <c r="Q32" i="4"/>
  <c r="I32" i="4"/>
  <c r="Z31" i="4"/>
  <c r="R31" i="4"/>
  <c r="J31" i="4"/>
  <c r="Z33" i="4"/>
  <c r="AB31" i="4"/>
  <c r="W33" i="4"/>
  <c r="O33" i="4"/>
  <c r="G33" i="4"/>
  <c r="X32" i="4"/>
  <c r="P32" i="4"/>
  <c r="H32" i="4"/>
  <c r="Y31" i="4"/>
  <c r="Q31" i="4"/>
  <c r="I31" i="4"/>
  <c r="D69" i="4"/>
  <c r="V33" i="4"/>
  <c r="N33" i="4"/>
  <c r="F33" i="4"/>
  <c r="W32" i="4"/>
  <c r="O32" i="4"/>
  <c r="G32" i="4"/>
  <c r="X31" i="4"/>
  <c r="P31" i="4"/>
  <c r="H31" i="4"/>
  <c r="AC33" i="4"/>
  <c r="U33" i="4"/>
  <c r="M33" i="4"/>
  <c r="E33" i="4"/>
  <c r="V32" i="4"/>
  <c r="N32" i="4"/>
  <c r="F32" i="4"/>
  <c r="W31" i="4"/>
  <c r="O31" i="4"/>
  <c r="G31" i="4"/>
  <c r="R33" i="4"/>
  <c r="AB33" i="4"/>
  <c r="T33" i="4"/>
  <c r="L33" i="4"/>
  <c r="AC32" i="4"/>
  <c r="U32" i="4"/>
  <c r="M32" i="4"/>
  <c r="E32" i="4"/>
  <c r="V31" i="4"/>
  <c r="N31" i="4"/>
  <c r="F31" i="4"/>
  <c r="AA32" i="4"/>
  <c r="K32" i="4"/>
  <c r="L31" i="4"/>
  <c r="AA33" i="4"/>
  <c r="S33" i="4"/>
  <c r="K33" i="4"/>
  <c r="AB32" i="4"/>
  <c r="T32" i="4"/>
  <c r="L32" i="4"/>
  <c r="AC31" i="4"/>
  <c r="U31" i="4"/>
  <c r="M31" i="4"/>
  <c r="E31" i="4"/>
  <c r="J33" i="4"/>
  <c r="S32" i="4"/>
  <c r="T31" i="4"/>
  <c r="Y48" i="4"/>
  <c r="Z42" i="4" s="1"/>
  <c r="L19" i="1"/>
  <c r="I47" i="4"/>
  <c r="J47" i="4" s="1"/>
  <c r="K47" i="4" s="1"/>
  <c r="L47" i="4" s="1"/>
  <c r="M47" i="4" s="1"/>
  <c r="N47" i="4" s="1"/>
  <c r="O47" i="4" s="1"/>
  <c r="P47" i="4" s="1"/>
  <c r="Q47" i="4" s="1"/>
  <c r="R47" i="4" s="1"/>
  <c r="S47" i="4" s="1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D39" i="4"/>
  <c r="D44" i="4" s="1"/>
  <c r="H14" i="3"/>
  <c r="E37" i="4"/>
  <c r="H27" i="3"/>
  <c r="G27" i="3"/>
  <c r="L16" i="1"/>
  <c r="F14" i="3"/>
  <c r="G14" i="3"/>
  <c r="L14" i="1" l="1"/>
  <c r="B20" i="10"/>
  <c r="B21" i="10"/>
  <c r="Z48" i="4"/>
  <c r="AA42" i="4" s="1"/>
  <c r="H64" i="4"/>
  <c r="H65" i="4"/>
  <c r="D45" i="4"/>
  <c r="D41" i="4"/>
  <c r="F37" i="4"/>
  <c r="E39" i="4"/>
  <c r="E44" i="4" s="1"/>
  <c r="L15" i="1"/>
  <c r="AA48" i="4" l="1"/>
  <c r="AB42" i="4" s="1"/>
  <c r="D50" i="4"/>
  <c r="D49" i="4"/>
  <c r="D46" i="4"/>
  <c r="D53" i="4" s="1"/>
  <c r="G37" i="4"/>
  <c r="F39" i="4"/>
  <c r="F44" i="4" s="1"/>
  <c r="E41" i="4"/>
  <c r="AB48" i="4" l="1"/>
  <c r="AC42" i="4" s="1"/>
  <c r="E49" i="4"/>
  <c r="E45" i="4"/>
  <c r="E46" i="4" s="1"/>
  <c r="E53" i="4" s="1"/>
  <c r="G39" i="4"/>
  <c r="G44" i="4" s="1"/>
  <c r="H37" i="4"/>
  <c r="F41" i="4"/>
  <c r="H63" i="4"/>
  <c r="AC48" i="4" l="1"/>
  <c r="E50" i="4"/>
  <c r="F45" i="4"/>
  <c r="F46" i="4" s="1"/>
  <c r="F53" i="4" s="1"/>
  <c r="G41" i="4"/>
  <c r="I37" i="4"/>
  <c r="H39" i="4"/>
  <c r="H44" i="4" s="1"/>
  <c r="E68" i="4" l="1"/>
  <c r="F50" i="4"/>
  <c r="F68" i="4" s="1"/>
  <c r="G45" i="4"/>
  <c r="G46" i="4" s="1"/>
  <c r="H45" i="4"/>
  <c r="I39" i="4"/>
  <c r="I44" i="4" s="1"/>
  <c r="H41" i="4"/>
  <c r="J37" i="4"/>
  <c r="H50" i="4" l="1"/>
  <c r="H68" i="4" s="1"/>
  <c r="G50" i="4"/>
  <c r="G68" i="4" s="1"/>
  <c r="H46" i="4"/>
  <c r="I45" i="4"/>
  <c r="I41" i="4"/>
  <c r="K37" i="4"/>
  <c r="J39" i="4"/>
  <c r="J44" i="4" s="1"/>
  <c r="I50" i="4" l="1"/>
  <c r="I68" i="4" s="1"/>
  <c r="I46" i="4"/>
  <c r="J41" i="4"/>
  <c r="K39" i="4"/>
  <c r="K44" i="4" s="1"/>
  <c r="L37" i="4"/>
  <c r="J45" i="4" l="1"/>
  <c r="J46" i="4" s="1"/>
  <c r="K41" i="4"/>
  <c r="M37" i="4"/>
  <c r="L39" i="4"/>
  <c r="L44" i="4" s="1"/>
  <c r="J50" i="4" l="1"/>
  <c r="K45" i="4"/>
  <c r="K46" i="4" s="1"/>
  <c r="N37" i="4"/>
  <c r="L41" i="4"/>
  <c r="M39" i="4"/>
  <c r="M44" i="4" s="1"/>
  <c r="J68" i="4" l="1"/>
  <c r="K50" i="4"/>
  <c r="K68" i="4" s="1"/>
  <c r="L45" i="4"/>
  <c r="L46" i="4" s="1"/>
  <c r="O37" i="4"/>
  <c r="N39" i="4"/>
  <c r="N44" i="4" s="1"/>
  <c r="M41" i="4"/>
  <c r="L50" i="4" l="1"/>
  <c r="L68" i="4" s="1"/>
  <c r="M45" i="4"/>
  <c r="M46" i="4" s="1"/>
  <c r="O39" i="4"/>
  <c r="O44" i="4" s="1"/>
  <c r="P37" i="4"/>
  <c r="N41" i="4"/>
  <c r="M50" i="4" l="1"/>
  <c r="M68" i="4" s="1"/>
  <c r="N45" i="4"/>
  <c r="N46" i="4" s="1"/>
  <c r="O41" i="4"/>
  <c r="Q37" i="4"/>
  <c r="P39" i="4"/>
  <c r="P44" i="4" s="1"/>
  <c r="N50" i="4" l="1"/>
  <c r="N68" i="4" s="1"/>
  <c r="O45" i="4"/>
  <c r="O46" i="4" s="1"/>
  <c r="P41" i="4"/>
  <c r="Q39" i="4"/>
  <c r="Q44" i="4" s="1"/>
  <c r="R37" i="4"/>
  <c r="O50" i="4" l="1"/>
  <c r="O68" i="4" s="1"/>
  <c r="P45" i="4"/>
  <c r="P46" i="4" s="1"/>
  <c r="Q41" i="4"/>
  <c r="Q45" i="4"/>
  <c r="S37" i="4"/>
  <c r="R39" i="4"/>
  <c r="R44" i="4" s="1"/>
  <c r="Q50" i="4" l="1"/>
  <c r="Q68" i="4" s="1"/>
  <c r="P50" i="4"/>
  <c r="P68" i="4" s="1"/>
  <c r="R41" i="4"/>
  <c r="Q46" i="4"/>
  <c r="S39" i="4"/>
  <c r="S44" i="4" s="1"/>
  <c r="T37" i="4"/>
  <c r="R45" i="4" l="1"/>
  <c r="R46" i="4" s="1"/>
  <c r="S41" i="4"/>
  <c r="S45" i="4"/>
  <c r="U37" i="4"/>
  <c r="T39" i="4"/>
  <c r="T44" i="4" s="1"/>
  <c r="S50" i="4" l="1"/>
  <c r="S68" i="4" s="1"/>
  <c r="R50" i="4"/>
  <c r="R68" i="4" s="1"/>
  <c r="T45" i="4"/>
  <c r="T41" i="4"/>
  <c r="V37" i="4"/>
  <c r="U39" i="4"/>
  <c r="U44" i="4" s="1"/>
  <c r="S46" i="4"/>
  <c r="T50" i="4" l="1"/>
  <c r="T68" i="4" s="1"/>
  <c r="T46" i="4"/>
  <c r="U41" i="4"/>
  <c r="U45" i="4"/>
  <c r="W37" i="4"/>
  <c r="V39" i="4"/>
  <c r="V44" i="4" s="1"/>
  <c r="U50" i="4" l="1"/>
  <c r="U68" i="4" s="1"/>
  <c r="X37" i="4"/>
  <c r="W39" i="4"/>
  <c r="W44" i="4" s="1"/>
  <c r="U46" i="4"/>
  <c r="V41" i="4"/>
  <c r="V45" i="4" l="1"/>
  <c r="V46" i="4" s="1"/>
  <c r="W45" i="4"/>
  <c r="W41" i="4"/>
  <c r="X39" i="4"/>
  <c r="X44" i="4" s="1"/>
  <c r="Y37" i="4"/>
  <c r="W50" i="4" l="1"/>
  <c r="W68" i="4" s="1"/>
  <c r="V50" i="4"/>
  <c r="V68" i="4" s="1"/>
  <c r="W46" i="4"/>
  <c r="X41" i="4"/>
  <c r="X45" i="4"/>
  <c r="Y39" i="4"/>
  <c r="Y44" i="4" s="1"/>
  <c r="Z37" i="4"/>
  <c r="X50" i="4" l="1"/>
  <c r="X68" i="4" s="1"/>
  <c r="Y41" i="4"/>
  <c r="AA37" i="4"/>
  <c r="X46" i="4"/>
  <c r="Z39" i="4"/>
  <c r="Z44" i="4" s="1"/>
  <c r="Y45" i="4" l="1"/>
  <c r="Y46" i="4" s="1"/>
  <c r="Z41" i="4"/>
  <c r="Z45" i="4"/>
  <c r="AA39" i="4"/>
  <c r="AA44" i="4" s="1"/>
  <c r="AB37" i="4"/>
  <c r="Z50" i="4" l="1"/>
  <c r="Z68" i="4" s="1"/>
  <c r="Y50" i="4"/>
  <c r="Y68" i="4" s="1"/>
  <c r="AA41" i="4"/>
  <c r="AB39" i="4"/>
  <c r="AB44" i="4" s="1"/>
  <c r="AC37" i="4"/>
  <c r="Z46" i="4"/>
  <c r="AA45" i="4" l="1"/>
  <c r="AA46" i="4" s="1"/>
  <c r="AB45" i="4"/>
  <c r="AB41" i="4"/>
  <c r="AC39" i="4"/>
  <c r="AC44" i="4" s="1"/>
  <c r="AB50" i="4" l="1"/>
  <c r="AA50" i="4"/>
  <c r="AA68" i="4" s="1"/>
  <c r="AB46" i="4"/>
  <c r="AC45" i="4"/>
  <c r="AC41" i="4"/>
  <c r="AB68" i="4" l="1"/>
  <c r="D68" i="4" s="1"/>
  <c r="E62" i="4"/>
  <c r="D62" i="4"/>
  <c r="AC50" i="4"/>
  <c r="AC46" i="4"/>
  <c r="AC68" i="4" l="1"/>
  <c r="D63" i="4"/>
  <c r="E63" i="4"/>
  <c r="D64" i="4"/>
  <c r="E64" i="4"/>
  <c r="AC52" i="4"/>
  <c r="C63" i="4" s="1"/>
  <c r="D51" i="4" l="1"/>
  <c r="E51" i="4" s="1"/>
  <c r="F51" i="4" s="1"/>
  <c r="G51" i="4" s="1"/>
  <c r="H51" i="4" s="1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V51" i="4" s="1"/>
  <c r="W51" i="4" s="1"/>
  <c r="X51" i="4" s="1"/>
  <c r="Y51" i="4" s="1"/>
  <c r="Z51" i="4" s="1"/>
  <c r="AA51" i="4" s="1"/>
  <c r="AB51" i="4" s="1"/>
  <c r="AC51" i="4" l="1"/>
  <c r="AB52" i="4"/>
  <c r="C62" i="4" s="1"/>
  <c r="B61" i="4" l="1"/>
  <c r="B62" i="4" s="1"/>
  <c r="B63" i="4" l="1"/>
  <c r="B67" i="4" s="1"/>
  <c r="F56" i="4"/>
  <c r="D55" i="4"/>
  <c r="F55" i="4"/>
  <c r="B64" i="4"/>
  <c r="D56" i="4"/>
  <c r="E56" i="4"/>
  <c r="E55" i="4"/>
  <c r="B65" i="4" l="1"/>
  <c r="D65" i="4"/>
  <c r="E65" i="4"/>
  <c r="B69" i="4"/>
  <c r="B6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bloomberg-alunos</author>
    <author>林伊婧</author>
    <author>Lalo Rodriguez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(date of last modification)</t>
        </r>
      </text>
    </comment>
    <comment ref="D2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Date of last report/release</t>
        </r>
      </text>
    </comment>
    <comment ref="K2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Stock market</t>
        </r>
      </text>
    </comment>
    <comment ref="B7" authorId="1" shapeId="0" xr:uid="{00000000-0006-0000-0000-000004000000}">
      <text>
        <r>
          <rPr>
            <b/>
            <sz val="10"/>
            <color rgb="FF000000"/>
            <rFont val="Tahoma"/>
            <family val="2"/>
          </rPr>
          <t>Last price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7" authorId="1" shapeId="0" xr:uid="{00000000-0006-0000-0000-000005000000}">
      <text>
        <r>
          <rPr>
            <b/>
            <sz val="10"/>
            <color rgb="FF000000"/>
            <rFont val="Tahoma"/>
            <family val="2"/>
          </rPr>
          <t>Total Assets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7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End of financial year</t>
        </r>
      </text>
    </comment>
    <comment ref="D8" authorId="1" shapeId="0" xr:uid="{00000000-0006-0000-0000-000007000000}">
      <text>
        <r>
          <rPr>
            <b/>
            <sz val="10"/>
            <color rgb="FF000000"/>
            <rFont val="Tahoma"/>
            <family val="2"/>
          </rPr>
          <t>Total liabilities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10" authorId="1" shapeId="0" xr:uid="{00000000-0006-0000-0000-000008000000}">
      <text>
        <r>
          <rPr>
            <b/>
            <sz val="10"/>
            <color rgb="FF000000"/>
            <rFont val="Tahoma"/>
            <family val="2"/>
          </rPr>
          <t>Debt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0" authorId="1" shapeId="0" xr:uid="{00000000-0006-0000-0000-000009000000}">
      <text>
        <r>
          <rPr>
            <b/>
            <sz val="10"/>
            <color rgb="FF000000"/>
            <rFont val="Tahoma"/>
            <family val="2"/>
          </rPr>
          <t>EBITDA/Net financial cost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1" authorId="1" shapeId="0" xr:uid="{00000000-0006-0000-0000-00000A000000}">
      <text>
        <r>
          <rPr>
            <b/>
            <sz val="10"/>
            <color rgb="FF000000"/>
            <rFont val="Tahoma"/>
            <family val="2"/>
          </rPr>
          <t>Debt/EBITDA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2" authorId="1" shapeId="0" xr:uid="{00000000-0006-0000-0000-00000B000000}">
      <text>
        <r>
          <rPr>
            <b/>
            <sz val="10"/>
            <color rgb="FF000000"/>
            <rFont val="Tahoma"/>
            <family val="2"/>
          </rPr>
          <t>Other assets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13" authorId="1" shapeId="0" xr:uid="{00000000-0006-0000-0000-00000C000000}">
      <text>
        <r>
          <rPr>
            <sz val="10"/>
            <color rgb="FF000000"/>
            <rFont val="Arial"/>
            <family val="2"/>
          </rPr>
          <t>'Holdings (nac/int'l)</t>
        </r>
      </text>
    </comment>
    <comment ref="D13" authorId="1" shapeId="0" xr:uid="{00000000-0006-0000-0000-00000D000000}">
      <text>
        <r>
          <rPr>
            <b/>
            <sz val="10"/>
            <color rgb="FF000000"/>
            <rFont val="Tahoma"/>
            <family val="2"/>
          </rPr>
          <t>Debt/asset</t>
        </r>
      </text>
    </comment>
    <comment ref="B14" authorId="1" shapeId="0" xr:uid="{00000000-0006-0000-0000-00000E000000}">
      <text>
        <r>
          <rPr>
            <sz val="10"/>
            <color rgb="FF000000"/>
            <rFont val="Arial"/>
            <family val="2"/>
          </rPr>
          <t>t liq. (Holdings/Vol.)</t>
        </r>
      </text>
    </comment>
    <comment ref="D14" authorId="1" shapeId="0" xr:uid="{00000000-0006-0000-0000-00000F000000}">
      <text>
        <r>
          <rPr>
            <b/>
            <sz val="10"/>
            <color rgb="FF000000"/>
            <rFont val="Tahoma"/>
            <family val="2"/>
          </rPr>
          <t>Operating margin</t>
        </r>
      </text>
    </comment>
    <comment ref="D15" authorId="1" shapeId="0" xr:uid="{00000000-0006-0000-0000-000010000000}">
      <text>
        <r>
          <rPr>
            <b/>
            <sz val="10"/>
            <color rgb="FF000000"/>
            <rFont val="Tahoma"/>
            <family val="2"/>
          </rPr>
          <t>Net income margin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16" authorId="1" shapeId="0" xr:uid="{00000000-0006-0000-0000-000011000000}">
      <text>
        <r>
          <rPr>
            <b/>
            <sz val="10"/>
            <color rgb="FF000000"/>
            <rFont val="Tahoma"/>
            <family val="2"/>
          </rPr>
          <t>EBITDA/Revenue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17" authorId="2" shapeId="0" xr:uid="{00000000-0006-0000-0000-000012000000}">
      <text>
        <r>
          <rPr>
            <b/>
            <sz val="9"/>
            <color rgb="FF000000"/>
            <rFont val="Tahoma"/>
            <family val="2"/>
          </rPr>
          <t>Write a brief conclusion for each section of ESG, justifying why you chose this traffic light</t>
        </r>
      </text>
    </comment>
    <comment ref="D17" authorId="1" shapeId="0" xr:uid="{00000000-0006-0000-0000-000013000000}">
      <text>
        <r>
          <rPr>
            <b/>
            <sz val="10"/>
            <color rgb="FF000000"/>
            <rFont val="Tahoma"/>
            <family val="2"/>
          </rPr>
          <t>林伊婧</t>
        </r>
        <r>
          <rPr>
            <b/>
            <sz val="10"/>
            <color rgb="FF000000"/>
            <rFont val="Tahoma"/>
            <family val="2"/>
          </rPr>
          <t>: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24" authorId="1" shapeId="0" xr:uid="{00000000-0006-0000-0000-000014000000}">
      <text>
        <r>
          <rPr>
            <b/>
            <sz val="10"/>
            <color rgb="FF000000"/>
            <rFont val="Tahoma"/>
            <family val="2"/>
          </rPr>
          <t>Discount rate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5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average of last 3 years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林伊婧</author>
  </authors>
  <commentList>
    <comment ref="L2" authorId="0" shapeId="0" xr:uid="{00000000-0006-0000-0200-000001000000}">
      <text>
        <r>
          <rPr>
            <b/>
            <sz val="10"/>
            <color rgb="FF000000"/>
            <rFont val="Tahoma"/>
            <family val="2"/>
          </rPr>
          <t>Projections</t>
        </r>
      </text>
    </comment>
    <comment ref="L3" authorId="0" shapeId="0" xr:uid="{00000000-0006-0000-0200-000002000000}">
      <text>
        <r>
          <rPr>
            <b/>
            <sz val="10"/>
            <color rgb="FF000000"/>
            <rFont val="Tahoma"/>
            <family val="2"/>
          </rPr>
          <t>Revenue growth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V3" authorId="0" shapeId="0" xr:uid="{00000000-0006-0000-0200-000003000000}">
      <text>
        <r>
          <rPr>
            <b/>
            <sz val="10"/>
            <color rgb="FF000000"/>
            <rFont val="Tahoma"/>
            <family val="2"/>
          </rPr>
          <t>Margins (regional)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V9" authorId="0" shapeId="0" xr:uid="{00000000-0006-0000-0200-000004000000}">
      <text>
        <r>
          <rPr>
            <b/>
            <sz val="10"/>
            <color rgb="FF000000"/>
            <rFont val="Tahoma"/>
            <family val="2"/>
          </rPr>
          <t>Operating margin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林伊婧</author>
  </authors>
  <commentList>
    <comment ref="C3" authorId="0" shapeId="0" xr:uid="{00000000-0006-0000-0500-000001000000}">
      <text>
        <r>
          <rPr>
            <b/>
            <sz val="10"/>
            <color rgb="FF000000"/>
            <rFont val="Tahoma"/>
            <family val="2"/>
          </rPr>
          <t>Impact, scale from: none,low,medium and high</t>
        </r>
      </text>
    </comment>
    <comment ref="D3" authorId="0" shapeId="0" xr:uid="{00000000-0006-0000-0500-000002000000}">
      <text>
        <r>
          <rPr>
            <b/>
            <sz val="10"/>
            <color rgb="FF000000"/>
            <rFont val="Tahoma"/>
            <family val="2"/>
          </rPr>
          <t>Does the company report? Yes/No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3" authorId="0" shapeId="0" xr:uid="{00000000-0006-0000-0500-000003000000}">
      <text>
        <r>
          <rPr>
            <b/>
            <sz val="10"/>
            <color rgb="FF000000"/>
            <rFont val="Tahoma"/>
            <family val="2"/>
          </rPr>
          <t>Mitigation plan
yes/no</t>
        </r>
      </text>
    </comment>
    <comment ref="G3" authorId="0" shapeId="0" xr:uid="{00000000-0006-0000-0500-000004000000}">
      <text>
        <r>
          <rPr>
            <b/>
            <sz val="10"/>
            <color rgb="FF000000"/>
            <rFont val="Tahoma"/>
            <family val="2"/>
          </rPr>
          <t>Traffic lights</t>
        </r>
      </text>
    </comment>
    <comment ref="H3" authorId="0" shapeId="0" xr:uid="{00000000-0006-0000-0500-000005000000}">
      <text>
        <r>
          <rPr>
            <b/>
            <sz val="10"/>
            <color rgb="FF000000"/>
            <rFont val="Tahoma"/>
            <family val="2"/>
          </rPr>
          <t>Comments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Salas</author>
    <author>sistemas</author>
  </authors>
  <commentList>
    <comment ref="D36" authorId="0" shapeId="0" xr:uid="{00000000-0006-0000-0600-000001000000}">
      <text>
        <r>
          <rPr>
            <sz val="9"/>
            <color indexed="81"/>
            <rFont val="Tahoma"/>
            <family val="2"/>
          </rPr>
          <t>Real al 3Q 2021</t>
        </r>
      </text>
    </comment>
    <comment ref="D38" authorId="0" shapeId="0" xr:uid="{00000000-0006-0000-0600-000002000000}">
      <text>
        <r>
          <rPr>
            <sz val="9"/>
            <color indexed="81"/>
            <rFont val="Tahoma"/>
            <family val="2"/>
          </rPr>
          <t>Tienen 30.2% al 3Q 2021</t>
        </r>
      </text>
    </comment>
    <comment ref="D42" authorId="0" shapeId="0" xr:uid="{00000000-0006-0000-0600-000003000000}">
      <text>
        <r>
          <rPr>
            <sz val="9"/>
            <color indexed="81"/>
            <rFont val="Tahoma"/>
            <family val="2"/>
          </rPr>
          <t xml:space="preserve">siempre han traído productos financieros… </t>
        </r>
      </text>
    </comment>
    <comment ref="D43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sistemas:</t>
        </r>
        <r>
          <rPr>
            <sz val="9"/>
            <color indexed="81"/>
            <rFont val="Tahoma"/>
            <family val="2"/>
          </rPr>
          <t xml:space="preserve">
Agregamos a otros gastos el pago por la retención de impuestos de las acciones que otorga a los empleados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林伊婧</author>
  </authors>
  <commentList>
    <comment ref="A6" authorId="0" shapeId="0" xr:uid="{00000000-0006-0000-0900-000001000000}">
      <text>
        <r>
          <rPr>
            <b/>
            <sz val="10"/>
            <color rgb="FF000000"/>
            <rFont val="Tahoma"/>
            <family val="2"/>
          </rPr>
          <t>Net Sales</t>
        </r>
      </text>
    </comment>
    <comment ref="A7" authorId="0" shapeId="0" xr:uid="{00000000-0006-0000-0900-000002000000}">
      <text>
        <r>
          <rPr>
            <b/>
            <sz val="10"/>
            <color rgb="FF000000"/>
            <rFont val="Tahoma"/>
            <family val="2"/>
          </rPr>
          <t>Gross Profit</t>
        </r>
      </text>
    </comment>
    <comment ref="A8" authorId="0" shapeId="0" xr:uid="{00000000-0006-0000-0900-000003000000}">
      <text>
        <r>
          <rPr>
            <b/>
            <sz val="10"/>
            <color rgb="FF000000"/>
            <rFont val="Tahoma"/>
            <family val="2"/>
          </rPr>
          <t>Operating income</t>
        </r>
      </text>
    </comment>
    <comment ref="A9" authorId="0" shapeId="0" xr:uid="{00000000-0006-0000-0900-000004000000}">
      <text>
        <r>
          <rPr>
            <b/>
            <sz val="10"/>
            <color rgb="FF000000"/>
            <rFont val="Tahoma"/>
            <family val="2"/>
          </rPr>
          <t>Net financial cost</t>
        </r>
      </text>
    </comment>
    <comment ref="A10" authorId="0" shapeId="0" xr:uid="{00000000-0006-0000-0900-000005000000}">
      <text>
        <r>
          <rPr>
            <b/>
            <sz val="10"/>
            <color rgb="FF000000"/>
            <rFont val="Tahoma"/>
            <family val="2"/>
          </rPr>
          <t>Other expenses (income)</t>
        </r>
      </text>
    </comment>
    <comment ref="A11" authorId="0" shapeId="0" xr:uid="{00000000-0006-0000-0900-000006000000}">
      <text>
        <r>
          <rPr>
            <b/>
            <sz val="10"/>
            <color rgb="FF000000"/>
            <rFont val="Tahoma"/>
            <family val="2"/>
          </rPr>
          <t>Depreciation and amortization</t>
        </r>
      </text>
    </comment>
    <comment ref="A12" authorId="0" shapeId="0" xr:uid="{00000000-0006-0000-0900-000007000000}">
      <text>
        <r>
          <rPr>
            <b/>
            <sz val="10"/>
            <color rgb="FF000000"/>
            <rFont val="Tahoma"/>
            <family val="2"/>
          </rPr>
          <t>Working Capital</t>
        </r>
      </text>
    </comment>
    <comment ref="A14" authorId="0" shapeId="0" xr:uid="{00000000-0006-0000-0900-000008000000}">
      <text>
        <r>
          <rPr>
            <b/>
            <sz val="10"/>
            <color rgb="FF000000"/>
            <rFont val="Tahoma"/>
            <family val="2"/>
          </rPr>
          <t>Investments</t>
        </r>
      </text>
    </comment>
    <comment ref="A16" authorId="0" shapeId="0" xr:uid="{00000000-0006-0000-0900-000009000000}">
      <text>
        <r>
          <rPr>
            <b/>
            <sz val="10"/>
            <color rgb="FF000000"/>
            <rFont val="Tahoma"/>
            <family val="2"/>
          </rPr>
          <t>Net income</t>
        </r>
      </text>
    </comment>
    <comment ref="A17" authorId="0" shapeId="0" xr:uid="{00000000-0006-0000-0900-00000A000000}">
      <text>
        <r>
          <rPr>
            <b/>
            <sz val="10"/>
            <color rgb="FF000000"/>
            <rFont val="Tahoma"/>
            <family val="2"/>
          </rPr>
          <t>Dividens</t>
        </r>
      </text>
    </comment>
    <comment ref="A18" authorId="0" shapeId="0" xr:uid="{00000000-0006-0000-0900-00000B000000}">
      <text>
        <r>
          <rPr>
            <b/>
            <sz val="10"/>
            <color rgb="FF000000"/>
            <rFont val="Tahoma"/>
            <family val="2"/>
          </rPr>
          <t>Purchase of shares</t>
        </r>
      </text>
    </comment>
    <comment ref="A22" authorId="0" shapeId="0" xr:uid="{00000000-0006-0000-0900-00000C000000}">
      <text>
        <r>
          <rPr>
            <b/>
            <sz val="10"/>
            <color rgb="FF000000"/>
            <rFont val="Tahoma"/>
            <family val="2"/>
          </rPr>
          <t>Cash &amp; equivalents</t>
        </r>
      </text>
    </comment>
    <comment ref="A23" authorId="0" shapeId="0" xr:uid="{00000000-0006-0000-0900-00000D000000}">
      <text>
        <r>
          <rPr>
            <b/>
            <sz val="10"/>
            <color rgb="FF000000"/>
            <rFont val="Tahoma"/>
            <family val="2"/>
          </rPr>
          <t>Accounts receivables</t>
        </r>
      </text>
    </comment>
    <comment ref="A24" authorId="0" shapeId="0" xr:uid="{00000000-0006-0000-0900-00000E000000}">
      <text>
        <r>
          <rPr>
            <b/>
            <sz val="10"/>
            <color rgb="FF000000"/>
            <rFont val="Tahoma"/>
            <family val="2"/>
          </rPr>
          <t>Inventories</t>
        </r>
      </text>
    </comment>
    <comment ref="A25" authorId="0" shapeId="0" xr:uid="{00000000-0006-0000-0900-00000F000000}">
      <text>
        <r>
          <rPr>
            <b/>
            <sz val="10"/>
            <color rgb="FF000000"/>
            <rFont val="Tahoma"/>
            <family val="2"/>
          </rPr>
          <t>PP&amp;E (net)</t>
        </r>
      </text>
    </comment>
    <comment ref="A26" authorId="0" shapeId="0" xr:uid="{00000000-0006-0000-0900-000010000000}">
      <text>
        <r>
          <rPr>
            <b/>
            <sz val="10"/>
            <color rgb="FF000000"/>
            <rFont val="Tahoma"/>
            <family val="2"/>
          </rPr>
          <t>Other assets</t>
        </r>
      </text>
    </comment>
    <comment ref="A27" authorId="0" shapeId="0" xr:uid="{00000000-0006-0000-0900-000011000000}">
      <text>
        <r>
          <rPr>
            <b/>
            <sz val="10"/>
            <color rgb="FF000000"/>
            <rFont val="Tahoma"/>
            <family val="2"/>
          </rPr>
          <t>Total assets</t>
        </r>
      </text>
    </comment>
    <comment ref="A31" authorId="0" shapeId="0" xr:uid="{00000000-0006-0000-0900-000012000000}">
      <text>
        <r>
          <rPr>
            <b/>
            <sz val="10"/>
            <color rgb="FF000000"/>
            <rFont val="Tahoma"/>
            <family val="2"/>
          </rPr>
          <t>Current liabilities</t>
        </r>
      </text>
    </comment>
    <comment ref="A32" authorId="0" shapeId="0" xr:uid="{00000000-0006-0000-0900-000013000000}">
      <text>
        <r>
          <rPr>
            <b/>
            <sz val="10"/>
            <color rgb="FF000000"/>
            <rFont val="Tahoma"/>
            <family val="2"/>
          </rPr>
          <t>short-term debt</t>
        </r>
      </text>
    </comment>
    <comment ref="A34" authorId="0" shapeId="0" xr:uid="{00000000-0006-0000-0900-000014000000}">
      <text>
        <r>
          <rPr>
            <b/>
            <sz val="10"/>
            <color rgb="FF000000"/>
            <rFont val="Tahoma"/>
            <family val="2"/>
          </rPr>
          <t>Other current liabilities</t>
        </r>
      </text>
    </comment>
    <comment ref="A35" authorId="0" shapeId="0" xr:uid="{00000000-0006-0000-0900-000015000000}">
      <text>
        <r>
          <rPr>
            <b/>
            <sz val="10"/>
            <color rgb="FF000000"/>
            <rFont val="Tahoma"/>
            <family val="2"/>
          </rPr>
          <t>Non-current liabilities</t>
        </r>
      </text>
    </comment>
    <comment ref="A36" authorId="0" shapeId="0" xr:uid="{00000000-0006-0000-0900-000016000000}">
      <text>
        <r>
          <rPr>
            <b/>
            <sz val="10"/>
            <color rgb="FF000000"/>
            <rFont val="Tahoma"/>
            <family val="2"/>
          </rPr>
          <t>Long-term debt</t>
        </r>
      </text>
    </comment>
    <comment ref="A38" authorId="0" shapeId="0" xr:uid="{00000000-0006-0000-0900-000017000000}">
      <text>
        <r>
          <rPr>
            <b/>
            <sz val="10"/>
            <color rgb="FF000000"/>
            <rFont val="Tahoma"/>
            <family val="2"/>
          </rPr>
          <t>Other non-current liabilities</t>
        </r>
      </text>
    </comment>
    <comment ref="A39" authorId="0" shapeId="0" xr:uid="{00000000-0006-0000-0900-000018000000}">
      <text>
        <r>
          <rPr>
            <b/>
            <sz val="10"/>
            <color rgb="FF000000"/>
            <rFont val="Tahoma"/>
            <family val="2"/>
          </rPr>
          <t>Total liabilities</t>
        </r>
      </text>
    </comment>
    <comment ref="A42" authorId="0" shapeId="0" xr:uid="{00000000-0006-0000-0900-000019000000}">
      <text>
        <r>
          <rPr>
            <b/>
            <sz val="10"/>
            <color rgb="FF000000"/>
            <rFont val="Tahoma"/>
            <family val="2"/>
          </rPr>
          <t>Minority Interest</t>
        </r>
      </text>
    </comment>
    <comment ref="A44" authorId="0" shapeId="0" xr:uid="{00000000-0006-0000-0900-00001A000000}">
      <text>
        <r>
          <rPr>
            <b/>
            <sz val="10"/>
            <color rgb="FF000000"/>
            <rFont val="Tahoma"/>
            <family val="2"/>
          </rPr>
          <t>Shareholder's equity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<sst xmlns="http://schemas.openxmlformats.org/spreadsheetml/2006/main" count="589" uniqueCount="471">
  <si>
    <t>Ingresos</t>
  </si>
  <si>
    <t>Margen Operativo</t>
  </si>
  <si>
    <t>Insiders Own:</t>
  </si>
  <si>
    <t>EBIT</t>
  </si>
  <si>
    <t>+Dep&amp;Amort</t>
  </si>
  <si>
    <t>=EBIDTA</t>
  </si>
  <si>
    <t>Deuda/Activo</t>
  </si>
  <si>
    <t>Precio/Valor en libros</t>
  </si>
  <si>
    <t>AAG</t>
  </si>
  <si>
    <t>Ventas</t>
  </si>
  <si>
    <t>Crecimiento</t>
  </si>
  <si>
    <t>ISR &amp; PTU</t>
  </si>
  <si>
    <t>FNP</t>
  </si>
  <si>
    <t>F(t)</t>
  </si>
  <si>
    <t>VPN/Acción</t>
  </si>
  <si>
    <t>VPN*@i%</t>
  </si>
  <si>
    <t>Calificación (S&amp;P)</t>
  </si>
  <si>
    <t>Deuda</t>
  </si>
  <si>
    <t>Utilidad antes de Impuestos</t>
  </si>
  <si>
    <t>Inversiones</t>
  </si>
  <si>
    <t>CVAR</t>
  </si>
  <si>
    <t>Dep&amp;Amort</t>
  </si>
  <si>
    <t>EBIDTA</t>
  </si>
  <si>
    <t>Otros Gastos</t>
  </si>
  <si>
    <t>Precio/Utilidad(p)</t>
  </si>
  <si>
    <t>Precio/FNP (p)</t>
  </si>
  <si>
    <t>Float:</t>
  </si>
  <si>
    <t>Último Año</t>
  </si>
  <si>
    <t>Outstanding Shares</t>
  </si>
  <si>
    <t>Market Cap.</t>
  </si>
  <si>
    <t>Cash Flow</t>
  </si>
  <si>
    <t>Investing Activities</t>
  </si>
  <si>
    <r>
      <t>D</t>
    </r>
    <r>
      <rPr>
        <b/>
        <sz val="10"/>
        <rFont val="Arial"/>
        <family val="2"/>
      </rPr>
      <t xml:space="preserve"> Cash and Equivalents</t>
    </r>
  </si>
  <si>
    <r>
      <t>Inv/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 xml:space="preserve"> Vts</t>
    </r>
  </si>
  <si>
    <t>Año</t>
  </si>
  <si>
    <t>Último Precio</t>
  </si>
  <si>
    <t>+Deuda Total</t>
  </si>
  <si>
    <t>Cash/Precio</t>
  </si>
  <si>
    <t>Margen neto (p)</t>
  </si>
  <si>
    <t>Ebidta/Ingresos(p)</t>
  </si>
  <si>
    <t>Utilidad Neta (p)</t>
  </si>
  <si>
    <t>Utilidad Neta</t>
  </si>
  <si>
    <t>UPA</t>
  </si>
  <si>
    <t>Riesgos</t>
  </si>
  <si>
    <t>Oportunidades</t>
  </si>
  <si>
    <t>Tesis de inversión</t>
  </si>
  <si>
    <t>FNP(p)/Activos</t>
  </si>
  <si>
    <t>=Enterprise Value</t>
  </si>
  <si>
    <t>-Cash</t>
  </si>
  <si>
    <t>EV/Activos</t>
  </si>
  <si>
    <t>"Otros activos"/Activo</t>
  </si>
  <si>
    <t>EV/Ebidta (p)</t>
  </si>
  <si>
    <t>TDY(p)/Precio</t>
  </si>
  <si>
    <t xml:space="preserve">   Perpetuidad</t>
  </si>
  <si>
    <t>"TELP"</t>
  </si>
  <si>
    <t>Margen de Operación (p)</t>
  </si>
  <si>
    <t>ROA</t>
  </si>
  <si>
    <t>Crec</t>
  </si>
  <si>
    <t>Ut. Op.</t>
  </si>
  <si>
    <t>Ebidta(p)</t>
  </si>
  <si>
    <t>CIF/Deuda Neta Promedio</t>
  </si>
  <si>
    <t>Supuestos de valuación</t>
  </si>
  <si>
    <t>DCF Value</t>
  </si>
  <si>
    <t>Ebidta/CIF</t>
  </si>
  <si>
    <t>Margen</t>
  </si>
  <si>
    <t>% Vts</t>
  </si>
  <si>
    <t>Div. Yield:</t>
  </si>
  <si>
    <t>Profit</t>
  </si>
  <si>
    <t>Deuda/Ebidta</t>
  </si>
  <si>
    <t xml:space="preserve">   DCF 25Y</t>
  </si>
  <si>
    <t>Impacto</t>
  </si>
  <si>
    <t>¿Reporta?</t>
  </si>
  <si>
    <t>Mitigación</t>
  </si>
  <si>
    <t>Semáforo</t>
  </si>
  <si>
    <t>Ambiental</t>
  </si>
  <si>
    <t>Emisiones directas CO2</t>
  </si>
  <si>
    <t>Uso total de agua</t>
  </si>
  <si>
    <t>"Best in class"</t>
  </si>
  <si>
    <t>Total Energy Consumption</t>
  </si>
  <si>
    <t>Waste Management</t>
  </si>
  <si>
    <t>Land Degradation/Deforestation/Biodiversity loss/Animal sufering/…</t>
  </si>
  <si>
    <t>Social</t>
  </si>
  <si>
    <t>% Rotación de empleados</t>
  </si>
  <si>
    <t>Sueldos y compensaciones</t>
  </si>
  <si>
    <t>Temas de reputación</t>
  </si>
  <si>
    <t>Temas de discriminación</t>
  </si>
  <si>
    <t>Seguridad laboral</t>
  </si>
  <si>
    <t>Daños a la salud</t>
  </si>
  <si>
    <t>PXP?</t>
  </si>
  <si>
    <t>Supply chain</t>
  </si>
  <si>
    <t>Community involvement</t>
  </si>
  <si>
    <t>Public Sector</t>
  </si>
  <si>
    <t>Litigios</t>
  </si>
  <si>
    <t>Gobierno</t>
  </si>
  <si>
    <t>Diversidad (Género, edad, industria, región)</t>
  </si>
  <si>
    <t>% independientes</t>
  </si>
  <si>
    <t>CEO/Chairman</t>
  </si>
  <si>
    <t>Auditoría/Consultoría</t>
  </si>
  <si>
    <t>Esquemas de compensación al management</t>
  </si>
  <si>
    <t>Comentarios</t>
  </si>
  <si>
    <t>MITIGACIÓN</t>
  </si>
  <si>
    <t>RANKING</t>
  </si>
  <si>
    <t>IMPACTO</t>
  </si>
  <si>
    <t>PARÁMETROS</t>
  </si>
  <si>
    <t>KSF</t>
  </si>
  <si>
    <t>Acción</t>
  </si>
  <si>
    <t>Div.+Recompra</t>
  </si>
  <si>
    <t>Tasa de descuento:</t>
  </si>
  <si>
    <t>(p) = Promedio de últimos 3 años</t>
  </si>
  <si>
    <t>Análisis ESG</t>
  </si>
  <si>
    <t>Ranking</t>
  </si>
  <si>
    <t>TOTAL</t>
  </si>
  <si>
    <t>Discounted Cash Flow</t>
  </si>
  <si>
    <r>
      <rPr>
        <b/>
        <sz val="10"/>
        <color indexed="9"/>
        <rFont val="Symbol"/>
        <family val="1"/>
        <charset val="2"/>
      </rPr>
      <t>D</t>
    </r>
    <r>
      <rPr>
        <b/>
        <sz val="10"/>
        <color indexed="9"/>
        <rFont val="Arial"/>
        <family val="2"/>
      </rPr>
      <t xml:space="preserve"> Analista</t>
    </r>
  </si>
  <si>
    <t>Múltiplos</t>
  </si>
  <si>
    <t>*Nota: Estos múltiplos no consideran el promedio de los últimos 3 años, únicamente valores del último año reportado</t>
  </si>
  <si>
    <t>Año termina:</t>
  </si>
  <si>
    <t>Ut. Operativa</t>
  </si>
  <si>
    <t>Capex</t>
  </si>
  <si>
    <t>Adquisiones</t>
  </si>
  <si>
    <t>Dividends</t>
  </si>
  <si>
    <t>Stock Repurchases</t>
  </si>
  <si>
    <t>FNP (p)</t>
  </si>
  <si>
    <t>FX</t>
  </si>
  <si>
    <t>NOTES:</t>
  </si>
  <si>
    <t>t inversiones; t adq. neto dep.</t>
  </si>
  <si>
    <t>E</t>
  </si>
  <si>
    <t>S</t>
  </si>
  <si>
    <t>G</t>
  </si>
  <si>
    <t>Semáforo ESG</t>
  </si>
  <si>
    <t>ROIC</t>
  </si>
  <si>
    <t>ESG</t>
  </si>
  <si>
    <t>Riesgos claros</t>
  </si>
  <si>
    <t>Deuda/Activos</t>
  </si>
  <si>
    <t>Activos</t>
  </si>
  <si>
    <t>EPS</t>
  </si>
  <si>
    <t>E$/UN</t>
  </si>
  <si>
    <t>EEV/EBIDA</t>
  </si>
  <si>
    <t>% Short</t>
  </si>
  <si>
    <t>Participación adicional del CEO en otros consejos o excesiva del Ch.</t>
  </si>
  <si>
    <t>Salidas recientes de consejeros/C-level executives?</t>
  </si>
  <si>
    <t>t liq. (Pos prom./Vol.)</t>
  </si>
  <si>
    <t>PO / Precio Stand By</t>
  </si>
  <si>
    <t>Transparencia (segmentos, fuente de riqueza, adquisiciones, otros)</t>
  </si>
  <si>
    <t xml:space="preserve">Factor D&amp;A </t>
  </si>
  <si>
    <t>CP</t>
  </si>
  <si>
    <t>LP</t>
  </si>
  <si>
    <t>CHECKLIST</t>
  </si>
  <si>
    <t>Peer Analysis</t>
  </si>
  <si>
    <t>Consenso</t>
  </si>
  <si>
    <t>PO/Stand By</t>
  </si>
  <si>
    <t>Activo:</t>
  </si>
  <si>
    <t>Pasivo:</t>
  </si>
  <si>
    <t>CER</t>
  </si>
  <si>
    <t>Consenso EPS</t>
  </si>
  <si>
    <t>Acuerdo</t>
  </si>
  <si>
    <t>Depreciación</t>
  </si>
  <si>
    <t>Capex + Adq</t>
  </si>
  <si>
    <t>Invertir</t>
  </si>
  <si>
    <t>NO invertir</t>
  </si>
  <si>
    <t>Mantener sin elevar posición</t>
  </si>
  <si>
    <t>Mantener (y seguir comprando)</t>
  </si>
  <si>
    <t>Liquidar</t>
  </si>
  <si>
    <t>PENDIENTE</t>
  </si>
  <si>
    <t>Tenencia % (nac/int'l)</t>
  </si>
  <si>
    <t>Factor CIF</t>
  </si>
  <si>
    <t>Factor ISR</t>
  </si>
  <si>
    <t>Factor inv</t>
  </si>
  <si>
    <t>Suma D&amp;A</t>
  </si>
  <si>
    <t>Suma Inv.</t>
  </si>
  <si>
    <t>Inv.+Goodwill</t>
  </si>
  <si>
    <t>Liquidez y Solvencia</t>
  </si>
  <si>
    <t>Float</t>
  </si>
  <si>
    <t>(Capex + Adq.)/Revenue</t>
  </si>
  <si>
    <t>VER DCF</t>
  </si>
  <si>
    <t>SIC: Sí</t>
  </si>
  <si>
    <t>**Cifras en USD</t>
  </si>
  <si>
    <t>Tax (p) últ. 5a</t>
  </si>
  <si>
    <t>2019 (Real)</t>
  </si>
  <si>
    <t>CIF</t>
  </si>
  <si>
    <t>CAGR</t>
  </si>
  <si>
    <t>Deuda/EBITDA</t>
  </si>
  <si>
    <t>Millones de USD</t>
  </si>
  <si>
    <t>Inversiones y Capex</t>
  </si>
  <si>
    <r>
      <t xml:space="preserve">%Vts; %Op.Mg.; </t>
    </r>
    <r>
      <rPr>
        <b/>
        <sz val="10"/>
        <rFont val="Symbol"/>
        <family val="1"/>
        <charset val="2"/>
      </rPr>
      <t>D</t>
    </r>
  </si>
  <si>
    <r>
      <t xml:space="preserve">%Vts; </t>
    </r>
    <r>
      <rPr>
        <b/>
        <sz val="10"/>
        <rFont val="Symbol"/>
        <family val="1"/>
        <charset val="2"/>
      </rPr>
      <t>D</t>
    </r>
  </si>
  <si>
    <t>tiempo promedio como consejeros independientes</t>
  </si>
  <si>
    <t>Tiempo que tardan en reportar luego del final del trimestre/año</t>
  </si>
  <si>
    <t>Pros y Cons</t>
  </si>
  <si>
    <t>https://www.apple.com/newsroom/2020/03/apples-covid-19-response/</t>
  </si>
  <si>
    <t>https://glg.it/articles/how-might-the-wuhan-coronavirus-impact-apples-supply-chain/</t>
  </si>
  <si>
    <t>https://www.cnbc.com/2020/02/18/the-significance-of-apples-coronavirus-warning.html</t>
  </si>
  <si>
    <t>March 13</t>
  </si>
  <si>
    <t>January 29</t>
  </si>
  <si>
    <t>Ferbuary 18</t>
  </si>
  <si>
    <t>Otros:</t>
  </si>
  <si>
    <t>https://www.macrumors.com/guide/covid-19-coronavirus/</t>
  </si>
  <si>
    <t>Proyectado</t>
  </si>
  <si>
    <t>% vts.</t>
  </si>
  <si>
    <t>Escenario de estrés</t>
  </si>
  <si>
    <t>Márgenes (regional)</t>
  </si>
  <si>
    <t>Ajuste R&amp;D</t>
  </si>
  <si>
    <t>Margen Operativp</t>
  </si>
  <si>
    <t>2020 (Real)</t>
  </si>
  <si>
    <t>ROA (p)</t>
  </si>
  <si>
    <t>ROIC (p)</t>
  </si>
  <si>
    <t>b</t>
  </si>
  <si>
    <t>Precio/Utilidad</t>
  </si>
  <si>
    <t>EV/Ebitda</t>
  </si>
  <si>
    <t>Resultados</t>
  </si>
  <si>
    <t>Ventas Netas</t>
  </si>
  <si>
    <r>
      <t xml:space="preserve">     </t>
    </r>
    <r>
      <rPr>
        <i/>
        <sz val="9"/>
        <rFont val="Arial"/>
        <family val="2"/>
      </rPr>
      <t>Crecimiento vs. Año pasado</t>
    </r>
  </si>
  <si>
    <t>Utilidad Bruta</t>
  </si>
  <si>
    <r>
      <t xml:space="preserve">     </t>
    </r>
    <r>
      <rPr>
        <i/>
        <sz val="9"/>
        <rFont val="Arial"/>
        <family val="2"/>
      </rPr>
      <t>porcentaje sobre ventas</t>
    </r>
  </si>
  <si>
    <t>Gastos de Operación</t>
  </si>
  <si>
    <t>Utilidad de Operación</t>
  </si>
  <si>
    <r>
      <t xml:space="preserve">     </t>
    </r>
    <r>
      <rPr>
        <i/>
        <sz val="9"/>
        <rFont val="Arial"/>
        <family val="2"/>
      </rPr>
      <t>Crecimiento vs año anterior</t>
    </r>
  </si>
  <si>
    <t>CIF (Productos Financieros)</t>
  </si>
  <si>
    <t>Otros Gastos (Productos)</t>
  </si>
  <si>
    <t>Utilidad antes de Impuestos y partidas extra.</t>
  </si>
  <si>
    <t>Depreciación y amortización del ejercicio</t>
  </si>
  <si>
    <t>Capital de Trabajo</t>
  </si>
  <si>
    <r>
      <t xml:space="preserve">EBITDA </t>
    </r>
    <r>
      <rPr>
        <i/>
        <sz val="9"/>
        <rFont val="Arial"/>
        <family val="2"/>
      </rPr>
      <t>(flujo operativo)</t>
    </r>
  </si>
  <si>
    <t>I.S.R Y P.T.U.</t>
  </si>
  <si>
    <t xml:space="preserve">     % Tax</t>
  </si>
  <si>
    <t xml:space="preserve">     Crecimiento vs año anterior</t>
  </si>
  <si>
    <t>Efectivo Generado</t>
  </si>
  <si>
    <t>Dividendos</t>
  </si>
  <si>
    <t>Recompra de Acciones</t>
  </si>
  <si>
    <t>FNP (ajustado por deuda)</t>
  </si>
  <si>
    <t>FNP (ajustado por inversiones)</t>
  </si>
  <si>
    <t>Capex + Inversiones</t>
  </si>
  <si>
    <t>Dividendos + Recompra de Acciones</t>
  </si>
  <si>
    <t xml:space="preserve">Activo   </t>
  </si>
  <si>
    <t>Caja</t>
  </si>
  <si>
    <t>Cuentas y documentos por cobrar</t>
  </si>
  <si>
    <t>Inventarios</t>
  </si>
  <si>
    <t xml:space="preserve"> Activos Fijos (Net Plant)</t>
  </si>
  <si>
    <t>Otros Activos</t>
  </si>
  <si>
    <t>Total Activo</t>
  </si>
  <si>
    <t>Pasivo</t>
  </si>
  <si>
    <t>Pasivo Corto Plazo</t>
  </si>
  <si>
    <t xml:space="preserve">   Deuda a corto plazo</t>
  </si>
  <si>
    <t xml:space="preserve">   Short-Term Leases</t>
  </si>
  <si>
    <t xml:space="preserve">   Otros Pasivos a Corto Plazo</t>
  </si>
  <si>
    <t>Pasivo Largo Plazo</t>
  </si>
  <si>
    <t xml:space="preserve">   Deuda a largo plazo</t>
  </si>
  <si>
    <t xml:space="preserve">   Long-Term Leases</t>
  </si>
  <si>
    <t xml:space="preserve">   Otros Pasivos a Largo Plazo</t>
  </si>
  <si>
    <t>Total pasivos</t>
  </si>
  <si>
    <t>Interés Minoritario</t>
  </si>
  <si>
    <t>Capital Contable</t>
  </si>
  <si>
    <t>OTROS DATOS AL FIN DE AÑO</t>
  </si>
  <si>
    <t>Numero deEmpleados</t>
  </si>
  <si>
    <t>Acciones en circulación (millones)</t>
  </si>
  <si>
    <t>Insiders Own</t>
  </si>
  <si>
    <t>S&amp;P</t>
  </si>
  <si>
    <t>Precio Medio</t>
  </si>
  <si>
    <t>Moody's</t>
  </si>
  <si>
    <t>YTM</t>
  </si>
  <si>
    <t>DIVISA</t>
  </si>
  <si>
    <t>RESULTADOS</t>
  </si>
  <si>
    <t>CIF (Poductos)</t>
  </si>
  <si>
    <t>Otros Gastos (Ingresos)</t>
  </si>
  <si>
    <t xml:space="preserve">Depreciación y amortización </t>
  </si>
  <si>
    <t>Compra de Acciones</t>
  </si>
  <si>
    <t>POSICIÓN FINANCIERA</t>
  </si>
  <si>
    <t>Activos Fijos (Net Plant)</t>
  </si>
  <si>
    <t>Analista: Research</t>
  </si>
  <si>
    <t>Deuda + Lease Liabilities</t>
  </si>
  <si>
    <t xml:space="preserve"> </t>
  </si>
  <si>
    <t>Normal</t>
  </si>
  <si>
    <t>Duración</t>
  </si>
  <si>
    <r>
      <t xml:space="preserve">b </t>
    </r>
    <r>
      <rPr>
        <sz val="10"/>
        <rFont val="Arial"/>
        <family val="2"/>
      </rPr>
      <t>(Bloomberg; Yahoo)</t>
    </r>
  </si>
  <si>
    <t>Cash Flow from Operations (BWC)</t>
  </si>
  <si>
    <t>Working Capital</t>
  </si>
  <si>
    <t>Endeudamiento Neto</t>
  </si>
  <si>
    <t>Otros Financiemientos</t>
  </si>
  <si>
    <t>VALUATION MODEL</t>
  </si>
  <si>
    <t>Section</t>
  </si>
  <si>
    <t>Line #</t>
  </si>
  <si>
    <t>ITEM</t>
  </si>
  <si>
    <t>2021 (Real)</t>
  </si>
  <si>
    <t>Notes</t>
  </si>
  <si>
    <t>INCOME STATEMENT</t>
  </si>
  <si>
    <t>Growth</t>
  </si>
  <si>
    <t>Revenues/Sales</t>
  </si>
  <si>
    <t>EBIT/Operating Margin</t>
  </si>
  <si>
    <t>5a</t>
  </si>
  <si>
    <t>(Dep&amp;Amort)</t>
  </si>
  <si>
    <t>5b</t>
  </si>
  <si>
    <t>(Stock based compensation)</t>
  </si>
  <si>
    <t>(Net financing cost)</t>
  </si>
  <si>
    <t>Other income/(cost)</t>
  </si>
  <si>
    <t>Earnings before taxes</t>
  </si>
  <si>
    <t>(Income tax)</t>
  </si>
  <si>
    <t>Net income</t>
  </si>
  <si>
    <t>CASH FLOW STATEMENT</t>
  </si>
  <si>
    <t>Operating cash flows before WK</t>
  </si>
  <si>
    <t>(Stock-based compensation)</t>
  </si>
  <si>
    <t>(Working Capital Flows)</t>
  </si>
  <si>
    <t>-Total Operating Cash Flow</t>
  </si>
  <si>
    <t>(CAPEX and Acquisitions)</t>
  </si>
  <si>
    <t>(Other investing flows)</t>
  </si>
  <si>
    <t>-Total Investing Flows</t>
  </si>
  <si>
    <t>(Flows related to leases)</t>
  </si>
  <si>
    <t>Flows related to debt</t>
  </si>
  <si>
    <t>(Respurchases)/Issuance of stock</t>
  </si>
  <si>
    <t>(Dividends)</t>
  </si>
  <si>
    <t>Other financing flows</t>
  </si>
  <si>
    <t>-Total Financing flows</t>
  </si>
  <si>
    <t>SUMMARY</t>
  </si>
  <si>
    <t>Cash before shareholder returns</t>
  </si>
  <si>
    <t>Returns to shareholders</t>
  </si>
  <si>
    <t>Excess cash acumulation</t>
  </si>
  <si>
    <t>CASH &amp; DEBT &amp; DISCOUNTING</t>
  </si>
  <si>
    <t>Ending cash balance</t>
  </si>
  <si>
    <t>Total Debt</t>
  </si>
  <si>
    <t>Discount factor</t>
  </si>
  <si>
    <t>Discount rate</t>
  </si>
  <si>
    <t>Total</t>
  </si>
  <si>
    <t>Risk free rate</t>
  </si>
  <si>
    <t>Equity premium</t>
  </si>
  <si>
    <t>Firm premium</t>
  </si>
  <si>
    <t>Discount Rate</t>
  </si>
  <si>
    <t>Short Term</t>
  </si>
  <si>
    <t>Long Term</t>
  </si>
  <si>
    <t>Reference (line)</t>
  </si>
  <si>
    <t>Modelling factors</t>
  </si>
  <si>
    <t>Depreciation factor</t>
  </si>
  <si>
    <t>% Capex/Adq (l16)</t>
  </si>
  <si>
    <t>Stock-based comp</t>
  </si>
  <si>
    <t>% revenue (l2)</t>
  </si>
  <si>
    <t>Tax Rate</t>
  </si>
  <si>
    <t>% (line 9)</t>
  </si>
  <si>
    <t>Interest Rate on debt</t>
  </si>
  <si>
    <t>% debt (l29)</t>
  </si>
  <si>
    <t>Interest Rate on cash</t>
  </si>
  <si>
    <t>% of cash (l28)</t>
  </si>
  <si>
    <t>Working capital flows</t>
  </si>
  <si>
    <t>% of change revenues (l2)</t>
  </si>
  <si>
    <t>Capex / Adq</t>
  </si>
  <si>
    <t>Growth rate</t>
  </si>
  <si>
    <t>% of debt (l29)</t>
  </si>
  <si>
    <t>Valuation</t>
  </si>
  <si>
    <t>$ millions</t>
  </si>
  <si>
    <t>%</t>
  </si>
  <si>
    <t>Value of flows</t>
  </si>
  <si>
    <t>Present value of flows (l27), plus cash minus debt</t>
  </si>
  <si>
    <t>Value of perpetuity</t>
  </si>
  <si>
    <t>Present value of perpetuity (column AF flow, dividend by growth minus discount rate)</t>
  </si>
  <si>
    <t>Total Value</t>
  </si>
  <si>
    <t>Final market value of firm's equity, compare to its mkt cap</t>
  </si>
  <si>
    <t>Total value vs Mkt Cap</t>
  </si>
  <si>
    <t>Gives degree of undervaluation (if positive, meaning it's worth more than what the market thinks) or overvaluation (negative, worth less than what the market thinks)</t>
  </si>
  <si>
    <t>Estimated NPV per share</t>
  </si>
  <si>
    <t>If we divide total value by # of shares, we get the estimated share value</t>
  </si>
  <si>
    <t>Actual share price</t>
  </si>
  <si>
    <t>USD</t>
  </si>
  <si>
    <t>Millones</t>
  </si>
  <si>
    <t>Inventories</t>
  </si>
  <si>
    <t>Por cobrar</t>
  </si>
  <si>
    <t>Por pagar</t>
  </si>
  <si>
    <t>Capital de trabajo</t>
  </si>
  <si>
    <t>Numero de Empleados</t>
  </si>
  <si>
    <t>Posicion en Corto (%)</t>
  </si>
  <si>
    <t>BONOS DE LA EMISORA A 3, 5 Y 10</t>
  </si>
  <si>
    <t>YTM (%)</t>
  </si>
  <si>
    <t>Deuda Neta</t>
  </si>
  <si>
    <t>2023 (Est)</t>
  </si>
  <si>
    <t>2022 (Real)</t>
  </si>
  <si>
    <t>Rentabilidad (2022)</t>
  </si>
  <si>
    <t>4.0%; 4.4%; 5%</t>
  </si>
  <si>
    <t>Bonos 1;5;40a (USD)</t>
  </si>
  <si>
    <t>Multiplos (USD)</t>
  </si>
  <si>
    <t>Margen Operativo 2022</t>
  </si>
  <si>
    <t>Precio/Ventas</t>
  </si>
  <si>
    <t>3Q23</t>
  </si>
  <si>
    <t>2Q23</t>
  </si>
  <si>
    <t>1Q23</t>
  </si>
  <si>
    <t>1Q22</t>
  </si>
  <si>
    <t>2Q22</t>
  </si>
  <si>
    <t>3Q22</t>
  </si>
  <si>
    <t>4Q22</t>
  </si>
  <si>
    <t>1Q21</t>
  </si>
  <si>
    <t>2Q21</t>
  </si>
  <si>
    <t>3Q21</t>
  </si>
  <si>
    <t>4Q21</t>
  </si>
  <si>
    <t>Revenue</t>
  </si>
  <si>
    <t>-Products</t>
  </si>
  <si>
    <t>-Services</t>
  </si>
  <si>
    <t>COGS</t>
  </si>
  <si>
    <t>R&amp;D</t>
  </si>
  <si>
    <t>SGA</t>
  </si>
  <si>
    <t>Other</t>
  </si>
  <si>
    <t>efore tax</t>
  </si>
  <si>
    <t>Tax</t>
  </si>
  <si>
    <t>NI</t>
  </si>
  <si>
    <t>DA</t>
  </si>
  <si>
    <t>SBC</t>
  </si>
  <si>
    <t>Other SBC</t>
  </si>
  <si>
    <t>Divs</t>
  </si>
  <si>
    <t>Repurch</t>
  </si>
  <si>
    <t>1Q20</t>
  </si>
  <si>
    <t>2Q20</t>
  </si>
  <si>
    <t>3Q20</t>
  </si>
  <si>
    <t>4Q20</t>
  </si>
  <si>
    <t>4Q19</t>
  </si>
  <si>
    <t>3Q19</t>
  </si>
  <si>
    <t>2Q19</t>
  </si>
  <si>
    <t>1Q19</t>
  </si>
  <si>
    <t>Shares</t>
  </si>
  <si>
    <t>4Q18</t>
  </si>
  <si>
    <t>3Q18</t>
  </si>
  <si>
    <t>3Q17</t>
  </si>
  <si>
    <t>4Q23e</t>
  </si>
  <si>
    <t xml:space="preserve">Growth </t>
  </si>
  <si>
    <t>Prods</t>
  </si>
  <si>
    <t>Serv</t>
  </si>
  <si>
    <t>Utiilidad oP</t>
  </si>
  <si>
    <t>Ut OP</t>
  </si>
  <si>
    <t>Net SBC</t>
  </si>
  <si>
    <t>Año fiscal de Apple cierra en septiembre</t>
  </si>
  <si>
    <t>Net SBC Factor</t>
  </si>
  <si>
    <t>Crecimiento (1S23/1S22)</t>
  </si>
  <si>
    <t>Crecimiento (1S23/1S19)</t>
  </si>
  <si>
    <r>
      <t xml:space="preserve">DESCRIPTION: </t>
    </r>
    <r>
      <rPr>
        <sz val="9.5"/>
        <rFont val="Arial"/>
        <family val="2"/>
      </rPr>
      <t xml:space="preserve">(write relevant information about the company, 1-2 lines is enough. If you find segments and key products relevant for this part, you can also write it here)
</t>
    </r>
  </si>
  <si>
    <r>
      <t>CEO &amp; BOARD: Name</t>
    </r>
    <r>
      <rPr>
        <sz val="9.5"/>
        <rFont val="Arial"/>
        <family val="2"/>
      </rPr>
      <t xml:space="preserve"> (Chairman or not; age; board member since; current board presence; previous jobs)</t>
    </r>
    <r>
      <rPr>
        <b/>
        <sz val="9.5"/>
        <rFont val="Arial"/>
        <family val="2"/>
      </rPr>
      <t xml:space="preserve">; note: </t>
    </r>
    <r>
      <rPr>
        <sz val="9.5"/>
        <rFont val="Arial"/>
        <family val="2"/>
      </rPr>
      <t xml:space="preserve">*Independent members, </t>
    </r>
    <r>
      <rPr>
        <sz val="9.5"/>
        <color rgb="FF00B050"/>
        <rFont val="Arial"/>
        <family val="2"/>
      </rPr>
      <t xml:space="preserve"> green</t>
    </r>
    <r>
      <rPr>
        <sz val="9.5"/>
        <rFont val="Arial"/>
        <family val="2"/>
      </rPr>
      <t>: new members</t>
    </r>
  </si>
  <si>
    <t>(risks)</t>
  </si>
  <si>
    <t>(opportunities)</t>
  </si>
  <si>
    <t>（write a text explaining pros and cons of the company)</t>
  </si>
  <si>
    <t>(write the peers' names here)</t>
  </si>
  <si>
    <t>(historical stock price of the company and its peers; source: Bloomberg)</t>
  </si>
  <si>
    <t>(Investment thesis)</t>
  </si>
  <si>
    <t>2024 Est.</t>
  </si>
  <si>
    <t>Regions (2023)</t>
  </si>
  <si>
    <t>Products (2023)</t>
  </si>
  <si>
    <t>2023 (Real)</t>
  </si>
  <si>
    <t>2024 (Est)</t>
  </si>
  <si>
    <t>(ticker)</t>
  </si>
  <si>
    <t>(You can make up a table with different indicators in order to link them to the multiples/ratios. At the end, put the table unvisible with white color)</t>
  </si>
  <si>
    <t>NONE</t>
  </si>
  <si>
    <t>LOW</t>
  </si>
  <si>
    <t>MEDIUM</t>
  </si>
  <si>
    <t>HIGH</t>
  </si>
  <si>
    <t>Medium high</t>
  </si>
  <si>
    <t>Medium</t>
  </si>
  <si>
    <t>"Villain"</t>
  </si>
  <si>
    <t>Is there evidence of progam/plan/etc…</t>
  </si>
  <si>
    <t>TRAFFIC LIGHTS</t>
  </si>
  <si>
    <t>(Company name)</t>
  </si>
  <si>
    <t>(date of last modification)</t>
  </si>
  <si>
    <t>Report (quarter): (date)</t>
  </si>
  <si>
    <t>Name of the Company  (Ticker)</t>
  </si>
  <si>
    <t>(stock market)</t>
  </si>
  <si>
    <t>LAUR</t>
  </si>
  <si>
    <t>Laureate Education</t>
  </si>
  <si>
    <t>1484.288M</t>
  </si>
  <si>
    <t>19.4%</t>
  </si>
  <si>
    <t>22.5%</t>
  </si>
  <si>
    <t>1.97</t>
  </si>
  <si>
    <t>2.71%</t>
  </si>
  <si>
    <t>0.87</t>
  </si>
  <si>
    <t>STRA</t>
  </si>
  <si>
    <t>Strategic Education</t>
  </si>
  <si>
    <t>ATGE</t>
  </si>
  <si>
    <t>Adtalem Global Education</t>
  </si>
  <si>
    <t>Perdoceo Education Corporation</t>
  </si>
  <si>
    <t>PRDO</t>
  </si>
  <si>
    <t>19.54%</t>
  </si>
  <si>
    <t>55.76%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</si>
</sst>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#,##0;[Red]\-&quot;$&quot;#,##0"/>
    <numFmt numFmtId="166" formatCode="&quot;$&quot;#,##0.00;[Red]\-&quot;$&quot;#,##0.00"/>
    <numFmt numFmtId="167" formatCode="_-&quot;$&quot;* #,##0.00_-;\-&quot;$&quot;* #,##0.00_-;_-&quot;$&quot;* &quot;-&quot;??_-;_-@_-"/>
    <numFmt numFmtId="168" formatCode="&quot;$&quot;#,##0.00"/>
    <numFmt numFmtId="169" formatCode="&quot;$&quot;#,##0.0"/>
    <numFmt numFmtId="170" formatCode="&quot;$&quot;#,##0"/>
    <numFmt numFmtId="171" formatCode="0.0%"/>
    <numFmt numFmtId="172" formatCode="0.0"/>
    <numFmt numFmtId="173" formatCode="#,##0.0"/>
    <numFmt numFmtId="174" formatCode="#,##0.000"/>
    <numFmt numFmtId="175" formatCode="0.000"/>
    <numFmt numFmtId="176" formatCode="_-[$$-409]* #,##0.00_ ;_-[$$-409]* \-#,##0.00\ ;_-[$$-409]* &quot;-&quot;??_ ;_-@_ "/>
  </numFmts>
  <fonts count="8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Symbol"/>
      <family val="1"/>
      <charset val="2"/>
    </font>
    <font>
      <sz val="7.9"/>
      <name val="Arial"/>
      <family val="2"/>
    </font>
    <font>
      <b/>
      <sz val="9"/>
      <color indexed="8"/>
      <name val="Arial"/>
      <family val="2"/>
    </font>
    <font>
      <sz val="10"/>
      <name val="Symbol"/>
      <family val="1"/>
      <charset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b/>
      <sz val="9.3000000000000007"/>
      <name val="Arial"/>
      <family val="2"/>
    </font>
    <font>
      <sz val="8"/>
      <name val="Arial"/>
      <family val="2"/>
    </font>
    <font>
      <b/>
      <sz val="10"/>
      <color indexed="9"/>
      <name val="Symbol"/>
      <family val="1"/>
      <charset val="2"/>
    </font>
    <font>
      <sz val="10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0"/>
      <name val="Arial"/>
      <family val="2"/>
    </font>
    <font>
      <sz val="10"/>
      <color rgb="FF00B0F0"/>
      <name val="Arial"/>
      <family val="2"/>
    </font>
    <font>
      <b/>
      <sz val="10"/>
      <color theme="0"/>
      <name val="Arial"/>
      <family val="2"/>
    </font>
    <font>
      <b/>
      <sz val="11"/>
      <color theme="3"/>
      <name val="Arial"/>
      <family val="2"/>
    </font>
    <font>
      <sz val="10"/>
      <color rgb="FF333333"/>
      <name val="Arial"/>
      <family val="2"/>
    </font>
    <font>
      <b/>
      <sz val="14"/>
      <color rgb="FFFF0000"/>
      <name val="Arial"/>
      <family val="2"/>
    </font>
    <font>
      <b/>
      <sz val="10"/>
      <color rgb="FF002060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sz val="7.9"/>
      <color theme="0"/>
      <name val="Arial"/>
      <family val="2"/>
    </font>
    <font>
      <b/>
      <sz val="9"/>
      <color indexed="81"/>
      <name val="Tahoma"/>
      <family val="2"/>
    </font>
    <font>
      <sz val="10"/>
      <color rgb="FF0070C0"/>
      <name val="Arial"/>
      <family val="2"/>
    </font>
    <font>
      <sz val="10"/>
      <color rgb="FF00B050"/>
      <name val="Arial"/>
      <family val="2"/>
    </font>
    <font>
      <sz val="10"/>
      <color rgb="FF92D050"/>
      <name val="Arial"/>
      <family val="2"/>
    </font>
    <font>
      <u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002060"/>
      <name val="Arial"/>
      <family val="2"/>
    </font>
    <font>
      <b/>
      <sz val="15"/>
      <color theme="0"/>
      <name val="Arial"/>
      <family val="2"/>
    </font>
    <font>
      <sz val="11"/>
      <color theme="0"/>
      <name val="Calibri"/>
      <family val="2"/>
      <scheme val="minor"/>
    </font>
    <font>
      <b/>
      <sz val="7.2"/>
      <color theme="0"/>
      <name val="Arial"/>
      <family val="2"/>
    </font>
    <font>
      <i/>
      <sz val="10"/>
      <name val="Arial"/>
      <family val="2"/>
    </font>
    <font>
      <sz val="7.5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7.5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C00000"/>
      <name val="Arial"/>
      <family val="2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9.5"/>
      <color rgb="FF00B050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9"/>
      <color rgb="FF000000"/>
      <name val="Tahoma"/>
      <family val="2"/>
    </font>
    <font>
      <sz val="12"/>
      <color theme="1"/>
      <name val="Calibri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charset val="1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10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3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3"/>
      </right>
      <top style="thin">
        <color theme="0" tint="-0.499984740745262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3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 style="thin">
        <color theme="0" tint="-0.499984740745262"/>
      </right>
      <top/>
      <bottom/>
      <diagonal/>
    </border>
    <border>
      <left style="medium">
        <color theme="3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3"/>
      </left>
      <right/>
      <top style="thin">
        <color theme="0" tint="-0.499984740745262"/>
      </top>
      <bottom style="medium">
        <color theme="3"/>
      </bottom>
      <diagonal/>
    </border>
    <border>
      <left/>
      <right/>
      <top style="thin">
        <color theme="0" tint="-0.499984740745262"/>
      </top>
      <bottom style="medium">
        <color theme="3"/>
      </bottom>
      <diagonal/>
    </border>
    <border>
      <left/>
      <right style="medium">
        <color theme="3"/>
      </right>
      <top style="thin">
        <color theme="0" tint="-0.499984740745262"/>
      </top>
      <bottom style="medium">
        <color theme="3"/>
      </bottom>
      <diagonal/>
    </border>
    <border>
      <left style="medium">
        <color theme="3"/>
      </left>
      <right/>
      <top/>
      <bottom style="thin">
        <color theme="0" tint="-0.499984740745262"/>
      </bottom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medium">
        <color theme="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3"/>
      </left>
      <right style="thin">
        <color theme="0" tint="-0.249977111117893"/>
      </right>
      <top style="medium">
        <color theme="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3"/>
      </right>
      <top style="medium">
        <color theme="3"/>
      </top>
      <bottom style="thin">
        <color theme="0" tint="-0.249977111117893"/>
      </bottom>
      <diagonal/>
    </border>
    <border>
      <left style="medium">
        <color theme="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medium">
        <color theme="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3"/>
      </left>
      <right style="thin">
        <color theme="0" tint="-0.14999847407452621"/>
      </right>
      <top style="thin">
        <color theme="0" tint="-0.14999847407452621"/>
      </top>
      <bottom style="medium">
        <color theme="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3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3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theme="3"/>
      </top>
      <bottom style="thin">
        <color theme="0" tint="-0.249977111117893"/>
      </bottom>
      <diagonal/>
    </border>
    <border>
      <left/>
      <right/>
      <top style="medium">
        <color theme="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3"/>
      </top>
      <bottom style="thin">
        <color theme="0" tint="-0.249977111117893"/>
      </bottom>
      <diagonal/>
    </border>
    <border>
      <left style="medium">
        <color theme="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3"/>
      </bottom>
      <diagonal/>
    </border>
    <border>
      <left style="thin">
        <color theme="0" tint="-0.249977111117893"/>
      </left>
      <right style="medium">
        <color theme="3"/>
      </right>
      <top style="thin">
        <color theme="0" tint="-0.249977111117893"/>
      </top>
      <bottom style="medium">
        <color theme="3"/>
      </bottom>
      <diagonal/>
    </border>
    <border>
      <left style="medium">
        <color theme="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3"/>
      </left>
      <right/>
      <top style="medium">
        <color theme="3"/>
      </top>
      <bottom style="thin">
        <color theme="0" tint="-0.499984740745262"/>
      </bottom>
      <diagonal/>
    </border>
    <border>
      <left/>
      <right/>
      <top style="medium">
        <color theme="3"/>
      </top>
      <bottom style="thin">
        <color theme="0" tint="-0.499984740745262"/>
      </bottom>
      <diagonal/>
    </border>
    <border>
      <left/>
      <right style="medium">
        <color theme="3"/>
      </right>
      <top style="medium">
        <color theme="3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499984740745262"/>
      </left>
      <right style="medium">
        <color theme="3"/>
      </right>
      <top/>
      <bottom/>
      <diagonal/>
    </border>
    <border>
      <left style="thin">
        <color theme="0" tint="-0.499984740745262"/>
      </left>
      <right style="medium">
        <color theme="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3"/>
      </right>
      <top/>
      <bottom style="medium">
        <color theme="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theme="3"/>
      </left>
      <right style="thin">
        <color theme="0" tint="-0.49998474074526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/>
      <right style="medium">
        <color indexed="64"/>
      </right>
      <top style="thin">
        <color theme="0" tint="-0.499984740745262"/>
      </top>
      <bottom/>
      <diagonal/>
    </border>
  </borders>
  <cellStyleXfs count="40">
    <xf numFmtId="0" fontId="0" fillId="0" borderId="0"/>
    <xf numFmtId="0" fontId="20" fillId="2" borderId="1" applyNumberFormat="0" applyProtection="0">
      <alignment horizontal="left" vertical="center" readingOrder="1"/>
    </xf>
    <xf numFmtId="0" fontId="21" fillId="2" borderId="2">
      <alignment horizontal="left"/>
    </xf>
    <xf numFmtId="0" fontId="21" fillId="2" borderId="3">
      <alignment horizontal="right"/>
    </xf>
    <xf numFmtId="0" fontId="21" fillId="2" borderId="3">
      <alignment horizontal="left"/>
    </xf>
    <xf numFmtId="3" fontId="22" fillId="3" borderId="4">
      <alignment horizontal="right"/>
    </xf>
    <xf numFmtId="173" fontId="13" fillId="3" borderId="4">
      <alignment horizontal="right"/>
    </xf>
    <xf numFmtId="4" fontId="13" fillId="3" borderId="4">
      <alignment horizontal="right"/>
    </xf>
    <xf numFmtId="0" fontId="22" fillId="3" borderId="5"/>
    <xf numFmtId="0" fontId="23" fillId="3" borderId="5"/>
    <xf numFmtId="0" fontId="12" fillId="0" borderId="0" applyNumberFormat="0" applyFill="0" applyBorder="0" applyAlignment="0" applyProtection="0">
      <alignment vertical="top"/>
      <protection locked="0"/>
    </xf>
    <xf numFmtId="167" fontId="31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35" fillId="0" borderId="0"/>
    <xf numFmtId="0" fontId="14" fillId="0" borderId="0"/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9" fillId="0" borderId="0"/>
    <xf numFmtId="0" fontId="10" fillId="0" borderId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8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5" fillId="0" borderId="0"/>
    <xf numFmtId="164" fontId="81" fillId="0" borderId="0" applyFont="0" applyFill="0" applyBorder="0" applyAlignment="0" applyProtection="0"/>
  </cellStyleXfs>
  <cellXfs count="643">
    <xf numFmtId="0" fontId="0" fillId="0" borderId="0" xfId="0"/>
    <xf numFmtId="17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9" fontId="0" fillId="0" borderId="0" xfId="15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1" fontId="0" fillId="0" borderId="0" xfId="15" applyNumberFormat="1" applyFont="1" applyAlignment="1">
      <alignment horizontal="center"/>
    </xf>
    <xf numFmtId="170" fontId="0" fillId="0" borderId="0" xfId="0" applyNumberFormat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9" fontId="0" fillId="0" borderId="0" xfId="15" applyFont="1"/>
    <xf numFmtId="0" fontId="15" fillId="0" borderId="0" xfId="0" applyFont="1" applyAlignment="1">
      <alignment horizontal="center"/>
    </xf>
    <xf numFmtId="170" fontId="14" fillId="0" borderId="0" xfId="0" applyNumberFormat="1" applyFont="1"/>
    <xf numFmtId="171" fontId="0" fillId="0" borderId="0" xfId="15" applyNumberFormat="1" applyFont="1"/>
    <xf numFmtId="3" fontId="0" fillId="0" borderId="0" xfId="0" applyNumberFormat="1"/>
    <xf numFmtId="0" fontId="36" fillId="0" borderId="0" xfId="0" applyFont="1"/>
    <xf numFmtId="0" fontId="17" fillId="0" borderId="0" xfId="0" applyFont="1" applyAlignment="1">
      <alignment vertical="top" wrapText="1"/>
    </xf>
    <xf numFmtId="0" fontId="37" fillId="0" borderId="0" xfId="0" applyFont="1"/>
    <xf numFmtId="0" fontId="38" fillId="0" borderId="0" xfId="0" applyFont="1"/>
    <xf numFmtId="170" fontId="14" fillId="0" borderId="0" xfId="0" applyNumberFormat="1" applyFont="1" applyAlignment="1">
      <alignment horizontal="center"/>
    </xf>
    <xf numFmtId="0" fontId="25" fillId="0" borderId="0" xfId="0" applyFont="1"/>
    <xf numFmtId="0" fontId="21" fillId="4" borderId="6" xfId="3" applyFill="1" applyBorder="1" applyAlignment="1">
      <alignment horizontal="center" vertical="center"/>
    </xf>
    <xf numFmtId="0" fontId="39" fillId="4" borderId="6" xfId="0" applyFont="1" applyFill="1" applyBorder="1" applyAlignment="1">
      <alignment horizontal="center"/>
    </xf>
    <xf numFmtId="0" fontId="21" fillId="4" borderId="8" xfId="4" applyFill="1" applyBorder="1">
      <alignment horizontal="left"/>
    </xf>
    <xf numFmtId="0" fontId="21" fillId="4" borderId="9" xfId="3" applyFill="1" applyBorder="1" applyAlignment="1">
      <alignment horizontal="center" vertical="center"/>
    </xf>
    <xf numFmtId="0" fontId="40" fillId="0" borderId="10" xfId="8" applyFont="1" applyFill="1" applyBorder="1" applyAlignment="1">
      <alignment horizontal="center"/>
    </xf>
    <xf numFmtId="0" fontId="40" fillId="0" borderId="12" xfId="8" applyFont="1" applyFill="1" applyBorder="1" applyAlignment="1">
      <alignment horizontal="center"/>
    </xf>
    <xf numFmtId="0" fontId="39" fillId="4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9" fontId="15" fillId="0" borderId="14" xfId="15" applyFont="1" applyBorder="1"/>
    <xf numFmtId="0" fontId="15" fillId="0" borderId="13" xfId="0" applyFont="1" applyBorder="1" applyAlignment="1">
      <alignment horizontal="center"/>
    </xf>
    <xf numFmtId="9" fontId="27" fillId="0" borderId="16" xfId="15" applyFont="1" applyBorder="1"/>
    <xf numFmtId="0" fontId="15" fillId="0" borderId="17" xfId="0" applyFont="1" applyBorder="1"/>
    <xf numFmtId="0" fontId="15" fillId="0" borderId="8" xfId="0" applyFont="1" applyBorder="1"/>
    <xf numFmtId="9" fontId="15" fillId="0" borderId="13" xfId="15" applyFont="1" applyBorder="1"/>
    <xf numFmtId="0" fontId="15" fillId="0" borderId="19" xfId="0" applyFont="1" applyBorder="1"/>
    <xf numFmtId="9" fontId="15" fillId="0" borderId="20" xfId="15" applyFont="1" applyBorder="1"/>
    <xf numFmtId="9" fontId="15" fillId="0" borderId="21" xfId="15" applyFont="1" applyBorder="1"/>
    <xf numFmtId="0" fontId="37" fillId="4" borderId="0" xfId="0" applyFont="1" applyFill="1"/>
    <xf numFmtId="170" fontId="37" fillId="4" borderId="0" xfId="0" applyNumberFormat="1" applyFont="1" applyFill="1"/>
    <xf numFmtId="170" fontId="37" fillId="4" borderId="0" xfId="0" applyNumberFormat="1" applyFont="1" applyFill="1" applyAlignment="1">
      <alignment horizontal="center"/>
    </xf>
    <xf numFmtId="171" fontId="15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170" fontId="39" fillId="4" borderId="0" xfId="0" applyNumberFormat="1" applyFont="1" applyFill="1" applyAlignment="1">
      <alignment horizontal="center"/>
    </xf>
    <xf numFmtId="170" fontId="14" fillId="0" borderId="0" xfId="10" applyNumberFormat="1" applyFont="1" applyAlignment="1" applyProtection="1">
      <alignment horizontal="left"/>
    </xf>
    <xf numFmtId="170" fontId="15" fillId="0" borderId="0" xfId="0" applyNumberFormat="1" applyFont="1" applyAlignment="1">
      <alignment horizontal="left"/>
    </xf>
    <xf numFmtId="168" fontId="15" fillId="0" borderId="0" xfId="0" applyNumberFormat="1" applyFont="1" applyAlignment="1">
      <alignment horizontal="center"/>
    </xf>
    <xf numFmtId="9" fontId="15" fillId="0" borderId="0" xfId="15" applyFont="1" applyAlignment="1">
      <alignment horizontal="center"/>
    </xf>
    <xf numFmtId="170" fontId="15" fillId="0" borderId="14" xfId="0" applyNumberFormat="1" applyFont="1" applyBorder="1"/>
    <xf numFmtId="170" fontId="15" fillId="0" borderId="20" xfId="0" applyNumberFormat="1" applyFont="1" applyBorder="1"/>
    <xf numFmtId="0" fontId="41" fillId="3" borderId="12" xfId="9" applyFont="1" applyBorder="1"/>
    <xf numFmtId="0" fontId="41" fillId="3" borderId="22" xfId="9" applyFont="1" applyBorder="1"/>
    <xf numFmtId="0" fontId="41" fillId="0" borderId="12" xfId="9" applyFont="1" applyFill="1" applyBorder="1"/>
    <xf numFmtId="0" fontId="41" fillId="3" borderId="23" xfId="9" applyFont="1" applyBorder="1"/>
    <xf numFmtId="0" fontId="41" fillId="0" borderId="12" xfId="0" applyFont="1" applyBorder="1"/>
    <xf numFmtId="0" fontId="41" fillId="0" borderId="24" xfId="0" applyFont="1" applyBorder="1" applyAlignment="1">
      <alignment horizontal="center"/>
    </xf>
    <xf numFmtId="0" fontId="41" fillId="0" borderId="25" xfId="0" applyFont="1" applyBorder="1"/>
    <xf numFmtId="0" fontId="41" fillId="0" borderId="23" xfId="0" applyFont="1" applyBorder="1"/>
    <xf numFmtId="0" fontId="41" fillId="0" borderId="26" xfId="0" applyFont="1" applyBorder="1" applyAlignment="1">
      <alignment horizontal="center"/>
    </xf>
    <xf numFmtId="0" fontId="41" fillId="0" borderId="27" xfId="0" applyFont="1" applyBorder="1"/>
    <xf numFmtId="0" fontId="30" fillId="0" borderId="0" xfId="0" applyFont="1"/>
    <xf numFmtId="171" fontId="37" fillId="4" borderId="0" xfId="0" applyNumberFormat="1" applyFont="1" applyFill="1" applyAlignment="1">
      <alignment horizontal="center"/>
    </xf>
    <xf numFmtId="0" fontId="41" fillId="3" borderId="12" xfId="9" applyFont="1" applyBorder="1" applyAlignment="1">
      <alignment vertical="center"/>
    </xf>
    <xf numFmtId="0" fontId="14" fillId="0" borderId="0" xfId="0" applyFont="1" applyAlignment="1">
      <alignment vertical="center"/>
    </xf>
    <xf numFmtId="0" fontId="41" fillId="0" borderId="12" xfId="0" applyFont="1" applyBorder="1" applyAlignment="1">
      <alignment vertical="center"/>
    </xf>
    <xf numFmtId="0" fontId="41" fillId="0" borderId="24" xfId="0" applyFont="1" applyBorder="1" applyAlignment="1">
      <alignment horizontal="center" vertical="center"/>
    </xf>
    <xf numFmtId="0" fontId="41" fillId="0" borderId="25" xfId="0" applyFont="1" applyBorder="1" applyAlignment="1">
      <alignment vertical="center"/>
    </xf>
    <xf numFmtId="0" fontId="42" fillId="0" borderId="0" xfId="10" applyFont="1" applyAlignment="1" applyProtection="1"/>
    <xf numFmtId="0" fontId="43" fillId="0" borderId="0" xfId="0" applyFont="1"/>
    <xf numFmtId="171" fontId="14" fillId="0" borderId="0" xfId="15" applyNumberFormat="1" applyFont="1" applyAlignment="1">
      <alignment horizontal="center"/>
    </xf>
    <xf numFmtId="173" fontId="0" fillId="0" borderId="0" xfId="0" applyNumberFormat="1" applyAlignment="1">
      <alignment horizontal="center"/>
    </xf>
    <xf numFmtId="168" fontId="14" fillId="0" borderId="0" xfId="0" applyNumberFormat="1" applyFont="1"/>
    <xf numFmtId="170" fontId="15" fillId="0" borderId="14" xfId="0" applyNumberFormat="1" applyFont="1" applyBorder="1" applyAlignment="1">
      <alignment horizontal="center"/>
    </xf>
    <xf numFmtId="170" fontId="15" fillId="0" borderId="20" xfId="0" applyNumberFormat="1" applyFont="1" applyBorder="1" applyAlignment="1">
      <alignment horizontal="center"/>
    </xf>
    <xf numFmtId="0" fontId="15" fillId="0" borderId="0" xfId="0" applyFont="1" applyAlignment="1">
      <alignment horizontal="left"/>
    </xf>
    <xf numFmtId="0" fontId="19" fillId="0" borderId="31" xfId="0" applyFont="1" applyBorder="1"/>
    <xf numFmtId="0" fontId="39" fillId="4" borderId="31" xfId="0" applyFont="1" applyFill="1" applyBorder="1"/>
    <xf numFmtId="0" fontId="16" fillId="0" borderId="31" xfId="0" applyFont="1" applyBorder="1"/>
    <xf numFmtId="0" fontId="39" fillId="4" borderId="31" xfId="0" applyFont="1" applyFill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44" fillId="4" borderId="36" xfId="0" applyFont="1" applyFill="1" applyBorder="1" applyAlignment="1">
      <alignment horizontal="center"/>
    </xf>
    <xf numFmtId="0" fontId="39" fillId="4" borderId="35" xfId="0" applyFont="1" applyFill="1" applyBorder="1" applyAlignment="1">
      <alignment horizontal="center"/>
    </xf>
    <xf numFmtId="0" fontId="15" fillId="0" borderId="36" xfId="0" applyFont="1" applyBorder="1" applyAlignment="1">
      <alignment horizontal="center"/>
    </xf>
    <xf numFmtId="0" fontId="0" fillId="0" borderId="35" xfId="0" applyBorder="1" applyAlignment="1">
      <alignment horizontal="center"/>
    </xf>
    <xf numFmtId="170" fontId="0" fillId="7" borderId="0" xfId="0" applyNumberFormat="1" applyFill="1" applyAlignment="1">
      <alignment horizontal="center"/>
    </xf>
    <xf numFmtId="170" fontId="14" fillId="7" borderId="0" xfId="0" applyNumberFormat="1" applyFont="1" applyFill="1" applyAlignment="1">
      <alignment horizontal="center"/>
    </xf>
    <xf numFmtId="170" fontId="14" fillId="0" borderId="37" xfId="0" applyNumberFormat="1" applyFont="1" applyBorder="1"/>
    <xf numFmtId="170" fontId="14" fillId="0" borderId="38" xfId="0" applyNumberFormat="1" applyFont="1" applyBorder="1" applyAlignment="1">
      <alignment horizontal="center"/>
    </xf>
    <xf numFmtId="170" fontId="14" fillId="0" borderId="39" xfId="0" applyNumberFormat="1" applyFont="1" applyBorder="1"/>
    <xf numFmtId="173" fontId="0" fillId="0" borderId="40" xfId="0" applyNumberFormat="1" applyBorder="1" applyAlignment="1">
      <alignment horizontal="center"/>
    </xf>
    <xf numFmtId="170" fontId="14" fillId="0" borderId="41" xfId="0" applyNumberFormat="1" applyFont="1" applyBorder="1"/>
    <xf numFmtId="170" fontId="0" fillId="0" borderId="42" xfId="0" applyNumberFormat="1" applyBorder="1" applyAlignment="1">
      <alignment horizontal="center"/>
    </xf>
    <xf numFmtId="173" fontId="0" fillId="0" borderId="42" xfId="0" applyNumberFormat="1" applyBorder="1" applyAlignment="1">
      <alignment horizontal="center"/>
    </xf>
    <xf numFmtId="173" fontId="0" fillId="0" borderId="43" xfId="0" applyNumberFormat="1" applyBorder="1" applyAlignment="1">
      <alignment horizontal="center"/>
    </xf>
    <xf numFmtId="168" fontId="0" fillId="0" borderId="38" xfId="0" applyNumberFormat="1" applyBorder="1" applyAlignment="1">
      <alignment horizontal="center"/>
    </xf>
    <xf numFmtId="0" fontId="44" fillId="4" borderId="44" xfId="0" applyFont="1" applyFill="1" applyBorder="1"/>
    <xf numFmtId="0" fontId="44" fillId="4" borderId="45" xfId="0" applyFont="1" applyFill="1" applyBorder="1"/>
    <xf numFmtId="0" fontId="44" fillId="4" borderId="46" xfId="0" applyFont="1" applyFill="1" applyBorder="1" applyAlignment="1">
      <alignment horizontal="center"/>
    </xf>
    <xf numFmtId="169" fontId="33" fillId="8" borderId="31" xfId="0" applyNumberFormat="1" applyFont="1" applyFill="1" applyBorder="1" applyAlignment="1">
      <alignment horizontal="center" vertical="center"/>
    </xf>
    <xf numFmtId="171" fontId="37" fillId="4" borderId="0" xfId="15" applyNumberFormat="1" applyFont="1" applyFill="1" applyAlignment="1">
      <alignment horizontal="center"/>
    </xf>
    <xf numFmtId="0" fontId="14" fillId="0" borderId="31" xfId="0" applyFont="1" applyBorder="1" applyAlignment="1">
      <alignment horizontal="left" vertical="center"/>
    </xf>
    <xf numFmtId="171" fontId="15" fillId="0" borderId="31" xfId="15" applyNumberFormat="1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168" fontId="37" fillId="4" borderId="0" xfId="0" applyNumberFormat="1" applyFont="1" applyFill="1" applyAlignment="1">
      <alignment horizontal="center"/>
    </xf>
    <xf numFmtId="171" fontId="15" fillId="0" borderId="24" xfId="17" applyNumberFormat="1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0" fillId="0" borderId="33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170" fontId="10" fillId="0" borderId="31" xfId="0" applyNumberFormat="1" applyFont="1" applyBorder="1" applyAlignment="1">
      <alignment horizontal="center"/>
    </xf>
    <xf numFmtId="171" fontId="10" fillId="0" borderId="31" xfId="15" applyNumberFormat="1" applyFont="1" applyBorder="1" applyAlignment="1">
      <alignment horizontal="center"/>
    </xf>
    <xf numFmtId="14" fontId="10" fillId="0" borderId="33" xfId="0" applyNumberFormat="1" applyFont="1" applyBorder="1" applyAlignment="1">
      <alignment horizontal="center" vertical="center"/>
    </xf>
    <xf numFmtId="0" fontId="10" fillId="0" borderId="0" xfId="0" applyFont="1"/>
    <xf numFmtId="169" fontId="0" fillId="0" borderId="0" xfId="0" applyNumberFormat="1"/>
    <xf numFmtId="171" fontId="15" fillId="9" borderId="14" xfId="15" applyNumberFormat="1" applyFont="1" applyFill="1" applyBorder="1"/>
    <xf numFmtId="0" fontId="10" fillId="0" borderId="31" xfId="0" applyFont="1" applyBorder="1"/>
    <xf numFmtId="9" fontId="10" fillId="0" borderId="31" xfId="15" applyFont="1" applyBorder="1" applyAlignment="1">
      <alignment horizontal="center"/>
    </xf>
    <xf numFmtId="168" fontId="10" fillId="0" borderId="31" xfId="0" applyNumberFormat="1" applyFont="1" applyBorder="1" applyAlignment="1">
      <alignment horizontal="center"/>
    </xf>
    <xf numFmtId="170" fontId="10" fillId="0" borderId="31" xfId="15" applyNumberFormat="1" applyFont="1" applyFill="1" applyBorder="1" applyAlignment="1">
      <alignment horizontal="center"/>
    </xf>
    <xf numFmtId="0" fontId="10" fillId="0" borderId="35" xfId="0" applyFont="1" applyBorder="1"/>
    <xf numFmtId="0" fontId="10" fillId="0" borderId="31" xfId="0" applyFont="1" applyBorder="1" applyAlignment="1">
      <alignment horizontal="left"/>
    </xf>
    <xf numFmtId="0" fontId="10" fillId="0" borderId="35" xfId="0" quotePrefix="1" applyFont="1" applyBorder="1"/>
    <xf numFmtId="0" fontId="10" fillId="0" borderId="31" xfId="0" quotePrefix="1" applyFont="1" applyBorder="1"/>
    <xf numFmtId="170" fontId="10" fillId="0" borderId="31" xfId="15" applyNumberFormat="1" applyFont="1" applyBorder="1" applyAlignment="1">
      <alignment horizontal="center"/>
    </xf>
    <xf numFmtId="17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71" fontId="10" fillId="0" borderId="31" xfId="15" applyNumberFormat="1" applyFont="1" applyFill="1" applyBorder="1" applyAlignment="1">
      <alignment horizontal="center"/>
    </xf>
    <xf numFmtId="170" fontId="14" fillId="0" borderId="0" xfId="0" quotePrefix="1" applyNumberFormat="1" applyFont="1" applyAlignment="1">
      <alignment horizontal="center"/>
    </xf>
    <xf numFmtId="168" fontId="37" fillId="0" borderId="0" xfId="0" applyNumberFormat="1" applyFont="1"/>
    <xf numFmtId="3" fontId="37" fillId="0" borderId="0" xfId="0" applyNumberFormat="1" applyFont="1"/>
    <xf numFmtId="0" fontId="46" fillId="0" borderId="0" xfId="0" applyFont="1" applyAlignment="1">
      <alignment vertical="top" wrapText="1"/>
    </xf>
    <xf numFmtId="171" fontId="37" fillId="0" borderId="0" xfId="15" applyNumberFormat="1" applyFont="1" applyFill="1"/>
    <xf numFmtId="9" fontId="37" fillId="0" borderId="0" xfId="15" applyFont="1" applyFill="1"/>
    <xf numFmtId="9" fontId="0" fillId="0" borderId="0" xfId="0" applyNumberFormat="1"/>
    <xf numFmtId="0" fontId="10" fillId="0" borderId="34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indent="1"/>
    </xf>
    <xf numFmtId="0" fontId="10" fillId="0" borderId="35" xfId="0" applyFont="1" applyBorder="1" applyAlignment="1">
      <alignment horizontal="center"/>
    </xf>
    <xf numFmtId="170" fontId="10" fillId="0" borderId="0" xfId="0" quotePrefix="1" applyNumberFormat="1" applyFont="1" applyAlignment="1">
      <alignment horizontal="center"/>
    </xf>
    <xf numFmtId="171" fontId="15" fillId="0" borderId="20" xfId="15" applyNumberFormat="1" applyFont="1" applyBorder="1"/>
    <xf numFmtId="0" fontId="11" fillId="0" borderId="0" xfId="0" applyFont="1"/>
    <xf numFmtId="10" fontId="10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73" fontId="10" fillId="3" borderId="77" xfId="6" applyFont="1" applyBorder="1" applyAlignment="1">
      <alignment horizontal="right" vertical="center" wrapText="1"/>
    </xf>
    <xf numFmtId="173" fontId="10" fillId="3" borderId="78" xfId="6" applyFont="1" applyBorder="1" applyAlignment="1">
      <alignment horizontal="right" vertical="center" wrapText="1"/>
    </xf>
    <xf numFmtId="4" fontId="10" fillId="0" borderId="31" xfId="0" applyNumberFormat="1" applyFont="1" applyBorder="1" applyAlignment="1">
      <alignment horizontal="center"/>
    </xf>
    <xf numFmtId="14" fontId="10" fillId="0" borderId="31" xfId="0" applyNumberFormat="1" applyFont="1" applyBorder="1" applyAlignment="1">
      <alignment horizontal="center"/>
    </xf>
    <xf numFmtId="172" fontId="10" fillId="0" borderId="31" xfId="15" applyNumberFormat="1" applyFont="1" applyBorder="1" applyAlignment="1">
      <alignment horizontal="center"/>
    </xf>
    <xf numFmtId="171" fontId="10" fillId="0" borderId="36" xfId="15" applyNumberFormat="1" applyFont="1" applyFill="1" applyBorder="1" applyAlignment="1">
      <alignment horizontal="center"/>
    </xf>
    <xf numFmtId="9" fontId="10" fillId="0" borderId="36" xfId="0" applyNumberFormat="1" applyFont="1" applyBorder="1" applyAlignment="1">
      <alignment horizontal="center"/>
    </xf>
    <xf numFmtId="9" fontId="10" fillId="0" borderId="36" xfId="15" applyFont="1" applyBorder="1" applyAlignment="1">
      <alignment horizontal="center"/>
    </xf>
    <xf numFmtId="170" fontId="10" fillId="0" borderId="0" xfId="0" applyNumberFormat="1" applyFont="1"/>
    <xf numFmtId="9" fontId="27" fillId="0" borderId="16" xfId="15" applyFont="1" applyBorder="1" applyAlignment="1">
      <alignment horizontal="right"/>
    </xf>
    <xf numFmtId="0" fontId="51" fillId="0" borderId="0" xfId="10" applyFont="1" applyFill="1" applyAlignment="1" applyProtection="1"/>
    <xf numFmtId="170" fontId="37" fillId="0" borderId="0" xfId="0" applyNumberFormat="1" applyFont="1"/>
    <xf numFmtId="0" fontId="0" fillId="0" borderId="73" xfId="0" applyBorder="1" applyAlignment="1">
      <alignment horizontal="left"/>
    </xf>
    <xf numFmtId="2" fontId="10" fillId="0" borderId="31" xfId="15" applyNumberFormat="1" applyFont="1" applyBorder="1" applyAlignment="1">
      <alignment horizontal="center"/>
    </xf>
    <xf numFmtId="2" fontId="14" fillId="7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0" fontId="15" fillId="0" borderId="18" xfId="0" applyFont="1" applyBorder="1"/>
    <xf numFmtId="0" fontId="10" fillId="0" borderId="17" xfId="0" applyFont="1" applyBorder="1" applyAlignment="1">
      <alignment horizontal="left" indent="1"/>
    </xf>
    <xf numFmtId="170" fontId="15" fillId="0" borderId="0" xfId="0" applyNumberFormat="1" applyFont="1" applyAlignment="1">
      <alignment horizontal="center"/>
    </xf>
    <xf numFmtId="9" fontId="15" fillId="0" borderId="0" xfId="15" applyFont="1"/>
    <xf numFmtId="9" fontId="15" fillId="0" borderId="16" xfId="15" applyFont="1" applyBorder="1"/>
    <xf numFmtId="171" fontId="10" fillId="0" borderId="36" xfId="15" quotePrefix="1" applyNumberFormat="1" applyFont="1" applyFill="1" applyBorder="1" applyAlignment="1">
      <alignment horizontal="center"/>
    </xf>
    <xf numFmtId="0" fontId="10" fillId="0" borderId="50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9" fontId="37" fillId="0" borderId="0" xfId="15" applyFont="1"/>
    <xf numFmtId="9" fontId="46" fillId="0" borderId="0" xfId="15" applyFont="1" applyAlignment="1">
      <alignment vertical="top" wrapText="1"/>
    </xf>
    <xf numFmtId="168" fontId="49" fillId="0" borderId="31" xfId="0" applyNumberFormat="1" applyFont="1" applyBorder="1" applyAlignment="1">
      <alignment horizontal="center"/>
    </xf>
    <xf numFmtId="2" fontId="49" fillId="0" borderId="31" xfId="15" applyNumberFormat="1" applyFont="1" applyBorder="1" applyAlignment="1">
      <alignment horizontal="center"/>
    </xf>
    <xf numFmtId="171" fontId="48" fillId="0" borderId="31" xfId="15" applyNumberFormat="1" applyFont="1" applyBorder="1" applyAlignment="1">
      <alignment horizontal="center"/>
    </xf>
    <xf numFmtId="171" fontId="48" fillId="0" borderId="31" xfId="15" applyNumberFormat="1" applyFont="1" applyFill="1" applyBorder="1" applyAlignment="1">
      <alignment horizontal="center"/>
    </xf>
    <xf numFmtId="0" fontId="10" fillId="0" borderId="8" xfId="0" applyFont="1" applyBorder="1"/>
    <xf numFmtId="0" fontId="10" fillId="0" borderId="17" xfId="0" applyFont="1" applyBorder="1"/>
    <xf numFmtId="170" fontId="10" fillId="0" borderId="0" xfId="0" applyNumberFormat="1" applyFont="1" applyAlignment="1">
      <alignment horizontal="center"/>
    </xf>
    <xf numFmtId="9" fontId="10" fillId="0" borderId="0" xfId="15" applyFont="1"/>
    <xf numFmtId="9" fontId="10" fillId="0" borderId="16" xfId="15" applyFont="1" applyBorder="1"/>
    <xf numFmtId="0" fontId="10" fillId="0" borderId="15" xfId="0" applyFont="1" applyBorder="1"/>
    <xf numFmtId="0" fontId="10" fillId="0" borderId="46" xfId="0" applyFont="1" applyBorder="1" applyAlignment="1">
      <alignment vertical="center"/>
    </xf>
    <xf numFmtId="9" fontId="0" fillId="0" borderId="0" xfId="15" applyFont="1" applyAlignment="1">
      <alignment horizontal="right"/>
    </xf>
    <xf numFmtId="171" fontId="49" fillId="0" borderId="31" xfId="15" applyNumberFormat="1" applyFont="1" applyBorder="1" applyAlignment="1">
      <alignment horizontal="center"/>
    </xf>
    <xf numFmtId="170" fontId="49" fillId="0" borderId="31" xfId="0" applyNumberFormat="1" applyFont="1" applyBorder="1" applyAlignment="1">
      <alignment horizontal="center"/>
    </xf>
    <xf numFmtId="0" fontId="48" fillId="0" borderId="36" xfId="0" applyFont="1" applyBorder="1" applyAlignment="1">
      <alignment horizontal="center"/>
    </xf>
    <xf numFmtId="2" fontId="48" fillId="0" borderId="36" xfId="15" applyNumberFormat="1" applyFont="1" applyBorder="1" applyAlignment="1">
      <alignment horizontal="center"/>
    </xf>
    <xf numFmtId="172" fontId="48" fillId="0" borderId="36" xfId="15" applyNumberFormat="1" applyFont="1" applyBorder="1" applyAlignment="1">
      <alignment horizontal="center"/>
    </xf>
    <xf numFmtId="172" fontId="48" fillId="0" borderId="36" xfId="0" applyNumberFormat="1" applyFont="1" applyBorder="1" applyAlignment="1">
      <alignment horizontal="center"/>
    </xf>
    <xf numFmtId="172" fontId="49" fillId="0" borderId="36" xfId="0" applyNumberFormat="1" applyFont="1" applyBorder="1" applyAlignment="1">
      <alignment horizontal="center"/>
    </xf>
    <xf numFmtId="170" fontId="36" fillId="0" borderId="31" xfId="0" applyNumberFormat="1" applyFont="1" applyBorder="1" applyAlignment="1">
      <alignment horizontal="center"/>
    </xf>
    <xf numFmtId="171" fontId="36" fillId="0" borderId="31" xfId="15" applyNumberFormat="1" applyFont="1" applyFill="1" applyBorder="1" applyAlignment="1">
      <alignment horizontal="center"/>
    </xf>
    <xf numFmtId="170" fontId="48" fillId="0" borderId="31" xfId="0" applyNumberFormat="1" applyFont="1" applyBorder="1" applyAlignment="1">
      <alignment horizontal="center"/>
    </xf>
    <xf numFmtId="171" fontId="49" fillId="0" borderId="36" xfId="15" applyNumberFormat="1" applyFont="1" applyBorder="1" applyAlignment="1">
      <alignment horizontal="center"/>
    </xf>
    <xf numFmtId="9" fontId="48" fillId="0" borderId="31" xfId="15" applyFont="1" applyBorder="1" applyAlignment="1">
      <alignment horizontal="center"/>
    </xf>
    <xf numFmtId="9" fontId="48" fillId="0" borderId="31" xfId="15" applyFont="1" applyFill="1" applyBorder="1" applyAlignment="1">
      <alignment horizontal="center"/>
    </xf>
    <xf numFmtId="171" fontId="52" fillId="0" borderId="31" xfId="15" applyNumberFormat="1" applyFont="1" applyBorder="1" applyAlignment="1">
      <alignment horizontal="center"/>
    </xf>
    <xf numFmtId="0" fontId="53" fillId="0" borderId="73" xfId="0" applyFont="1" applyBorder="1" applyAlignment="1">
      <alignment horizontal="left"/>
    </xf>
    <xf numFmtId="3" fontId="22" fillId="3" borderId="7" xfId="5" applyBorder="1">
      <alignment horizontal="right"/>
    </xf>
    <xf numFmtId="3" fontId="22" fillId="0" borderId="7" xfId="5" applyFill="1" applyBorder="1">
      <alignment horizontal="right"/>
    </xf>
    <xf numFmtId="3" fontId="22" fillId="3" borderId="11" xfId="5" applyBorder="1">
      <alignment horizontal="right"/>
    </xf>
    <xf numFmtId="0" fontId="10" fillId="3" borderId="25" xfId="9" applyFont="1" applyBorder="1" applyAlignment="1">
      <alignment horizontal="right"/>
    </xf>
    <xf numFmtId="173" fontId="10" fillId="3" borderId="25" xfId="6" applyFont="1" applyBorder="1">
      <alignment horizontal="right"/>
    </xf>
    <xf numFmtId="173" fontId="10" fillId="9" borderId="77" xfId="6" applyFont="1" applyFill="1" applyBorder="1" applyAlignment="1">
      <alignment horizontal="right" vertical="center" wrapText="1"/>
    </xf>
    <xf numFmtId="0" fontId="10" fillId="3" borderId="7" xfId="9" applyFont="1" applyBorder="1" applyAlignment="1">
      <alignment horizontal="right"/>
    </xf>
    <xf numFmtId="3" fontId="15" fillId="3" borderId="7" xfId="5" applyFont="1" applyBorder="1">
      <alignment horizontal="right"/>
    </xf>
    <xf numFmtId="4" fontId="10" fillId="0" borderId="25" xfId="7" applyFont="1" applyFill="1" applyBorder="1">
      <alignment horizontal="right"/>
    </xf>
    <xf numFmtId="3" fontId="15" fillId="3" borderId="11" xfId="5" applyFont="1" applyBorder="1" applyAlignment="1">
      <alignment horizontal="right" wrapText="1"/>
    </xf>
    <xf numFmtId="4" fontId="10" fillId="9" borderId="77" xfId="7" applyFont="1" applyFill="1" applyBorder="1" applyAlignment="1">
      <alignment horizontal="right" wrapText="1"/>
    </xf>
    <xf numFmtId="4" fontId="10" fillId="3" borderId="25" xfId="7" applyFont="1" applyBorder="1">
      <alignment horizontal="right"/>
    </xf>
    <xf numFmtId="4" fontId="10" fillId="3" borderId="77" xfId="7" applyFont="1" applyBorder="1" applyAlignment="1">
      <alignment horizontal="right" wrapText="1"/>
    </xf>
    <xf numFmtId="0" fontId="10" fillId="0" borderId="25" xfId="9" applyFont="1" applyFill="1" applyBorder="1" applyAlignment="1">
      <alignment horizontal="right"/>
    </xf>
    <xf numFmtId="4" fontId="10" fillId="5" borderId="25" xfId="7" applyFont="1" applyFill="1" applyBorder="1">
      <alignment horizontal="right"/>
    </xf>
    <xf numFmtId="0" fontId="10" fillId="0" borderId="77" xfId="19" applyFont="1" applyBorder="1" applyAlignment="1">
      <alignment horizontal="right" wrapText="1"/>
    </xf>
    <xf numFmtId="0" fontId="10" fillId="3" borderId="80" xfId="9" applyFont="1" applyBorder="1" applyAlignment="1">
      <alignment horizontal="right"/>
    </xf>
    <xf numFmtId="173" fontId="10" fillId="3" borderId="80" xfId="6" applyFont="1" applyBorder="1">
      <alignment horizontal="right"/>
    </xf>
    <xf numFmtId="3" fontId="15" fillId="3" borderId="25" xfId="5" applyFont="1" applyBorder="1">
      <alignment horizontal="right"/>
    </xf>
    <xf numFmtId="3" fontId="15" fillId="3" borderId="77" xfId="5" applyFont="1" applyBorder="1" applyAlignment="1">
      <alignment horizontal="right" wrapText="1"/>
    </xf>
    <xf numFmtId="4" fontId="10" fillId="0" borderId="77" xfId="7" applyFont="1" applyFill="1" applyBorder="1" applyAlignment="1">
      <alignment horizontal="right" wrapText="1"/>
    </xf>
    <xf numFmtId="4" fontId="10" fillId="5" borderId="27" xfId="7" applyFont="1" applyFill="1" applyBorder="1">
      <alignment horizontal="right"/>
    </xf>
    <xf numFmtId="4" fontId="10" fillId="0" borderId="27" xfId="7" applyFont="1" applyFill="1" applyBorder="1">
      <alignment horizontal="right"/>
    </xf>
    <xf numFmtId="4" fontId="10" fillId="3" borderId="27" xfId="7" applyFont="1" applyBorder="1">
      <alignment horizontal="right"/>
    </xf>
    <xf numFmtId="4" fontId="10" fillId="3" borderId="79" xfId="7" applyFont="1" applyBorder="1" applyAlignment="1">
      <alignment horizontal="right" wrapText="1"/>
    </xf>
    <xf numFmtId="171" fontId="36" fillId="0" borderId="31" xfId="15" applyNumberFormat="1" applyFont="1" applyBorder="1" applyAlignment="1">
      <alignment horizontal="center"/>
    </xf>
    <xf numFmtId="171" fontId="48" fillId="0" borderId="36" xfId="17" applyNumberFormat="1" applyFont="1" applyBorder="1" applyAlignment="1">
      <alignment horizontal="center"/>
    </xf>
    <xf numFmtId="0" fontId="12" fillId="0" borderId="0" xfId="10" applyAlignment="1" applyProtection="1"/>
    <xf numFmtId="0" fontId="53" fillId="0" borderId="1" xfId="0" applyFont="1" applyBorder="1"/>
    <xf numFmtId="0" fontId="0" fillId="0" borderId="1" xfId="0" applyBorder="1"/>
    <xf numFmtId="0" fontId="12" fillId="0" borderId="1" xfId="10" applyBorder="1" applyAlignment="1" applyProtection="1"/>
    <xf numFmtId="0" fontId="0" fillId="0" borderId="73" xfId="0" applyBorder="1"/>
    <xf numFmtId="4" fontId="36" fillId="3" borderId="77" xfId="7" applyFont="1" applyBorder="1" applyAlignment="1">
      <alignment horizontal="right" wrapText="1"/>
    </xf>
    <xf numFmtId="0" fontId="36" fillId="0" borderId="0" xfId="0" applyFont="1" applyAlignment="1">
      <alignment horizontal="center"/>
    </xf>
    <xf numFmtId="0" fontId="15" fillId="0" borderId="1" xfId="0" applyFont="1" applyBorder="1" applyAlignment="1">
      <alignment horizontal="left"/>
    </xf>
    <xf numFmtId="9" fontId="0" fillId="0" borderId="73" xfId="0" applyNumberFormat="1" applyBorder="1"/>
    <xf numFmtId="9" fontId="0" fillId="0" borderId="73" xfId="15" applyFont="1" applyBorder="1"/>
    <xf numFmtId="0" fontId="15" fillId="0" borderId="82" xfId="20" applyFont="1" applyBorder="1"/>
    <xf numFmtId="0" fontId="15" fillId="0" borderId="73" xfId="0" applyFont="1" applyBorder="1" applyAlignment="1">
      <alignment horizontal="left"/>
    </xf>
    <xf numFmtId="0" fontId="10" fillId="0" borderId="0" xfId="20"/>
    <xf numFmtId="0" fontId="36" fillId="0" borderId="0" xfId="20" applyFont="1"/>
    <xf numFmtId="0" fontId="15" fillId="0" borderId="17" xfId="20" applyFont="1" applyBorder="1"/>
    <xf numFmtId="0" fontId="15" fillId="0" borderId="73" xfId="20" applyFont="1" applyBorder="1" applyAlignment="1">
      <alignment horizontal="left"/>
    </xf>
    <xf numFmtId="0" fontId="15" fillId="0" borderId="73" xfId="20" applyFont="1" applyBorder="1"/>
    <xf numFmtId="9" fontId="10" fillId="0" borderId="0" xfId="20" applyNumberFormat="1"/>
    <xf numFmtId="9" fontId="10" fillId="0" borderId="73" xfId="20" applyNumberFormat="1" applyBorder="1"/>
    <xf numFmtId="171" fontId="39" fillId="5" borderId="0" xfId="15" applyNumberFormat="1" applyFont="1" applyFill="1"/>
    <xf numFmtId="0" fontId="15" fillId="0" borderId="82" xfId="0" applyFont="1" applyBorder="1"/>
    <xf numFmtId="2" fontId="0" fillId="0" borderId="0" xfId="0" applyNumberFormat="1"/>
    <xf numFmtId="0" fontId="10" fillId="0" borderId="0" xfId="0" applyFont="1" applyAlignment="1">
      <alignment horizontal="left" indent="1"/>
    </xf>
    <xf numFmtId="0" fontId="15" fillId="0" borderId="0" xfId="0" applyFont="1"/>
    <xf numFmtId="9" fontId="0" fillId="7" borderId="0" xfId="0" applyNumberFormat="1" applyFill="1"/>
    <xf numFmtId="171" fontId="39" fillId="5" borderId="0" xfId="0" applyNumberFormat="1" applyFont="1" applyFill="1" applyAlignment="1">
      <alignment horizontal="center"/>
    </xf>
    <xf numFmtId="0" fontId="10" fillId="0" borderId="31" xfId="0" applyFont="1" applyBorder="1" applyAlignment="1">
      <alignment horizontal="center"/>
    </xf>
    <xf numFmtId="0" fontId="56" fillId="12" borderId="84" xfId="0" applyFont="1" applyFill="1" applyBorder="1" applyAlignment="1">
      <alignment horizontal="center" vertical="center"/>
    </xf>
    <xf numFmtId="0" fontId="56" fillId="12" borderId="0" xfId="0" applyFont="1" applyFill="1" applyAlignment="1">
      <alignment horizontal="center" vertical="center"/>
    </xf>
    <xf numFmtId="0" fontId="0" fillId="0" borderId="85" xfId="0" applyBorder="1" applyAlignment="1">
      <alignment horizontal="left" vertical="center"/>
    </xf>
    <xf numFmtId="0" fontId="0" fillId="0" borderId="87" xfId="0" applyBorder="1" applyAlignment="1">
      <alignment horizontal="left" vertical="center"/>
    </xf>
    <xf numFmtId="171" fontId="0" fillId="14" borderId="0" xfId="15" applyNumberFormat="1" applyFont="1" applyFill="1" applyAlignment="1">
      <alignment horizontal="center"/>
    </xf>
    <xf numFmtId="171" fontId="0" fillId="13" borderId="0" xfId="15" applyNumberFormat="1" applyFont="1" applyFill="1" applyBorder="1" applyAlignment="1">
      <alignment horizontal="center"/>
    </xf>
    <xf numFmtId="171" fontId="0" fillId="14" borderId="0" xfId="15" applyNumberFormat="1" applyFont="1" applyFill="1" applyBorder="1" applyAlignment="1">
      <alignment horizontal="center"/>
    </xf>
    <xf numFmtId="171" fontId="0" fillId="14" borderId="86" xfId="15" applyNumberFormat="1" applyFont="1" applyFill="1" applyBorder="1" applyAlignment="1">
      <alignment horizontal="center"/>
    </xf>
    <xf numFmtId="9" fontId="0" fillId="13" borderId="0" xfId="15" applyFont="1" applyFill="1" applyBorder="1" applyAlignment="1">
      <alignment horizontal="center"/>
    </xf>
    <xf numFmtId="0" fontId="19" fillId="0" borderId="85" xfId="0" applyFont="1" applyBorder="1" applyAlignment="1">
      <alignment horizontal="left" vertical="center"/>
    </xf>
    <xf numFmtId="0" fontId="10" fillId="0" borderId="0" xfId="24" applyAlignment="1">
      <alignment horizontal="center"/>
    </xf>
    <xf numFmtId="0" fontId="10" fillId="0" borderId="0" xfId="24"/>
    <xf numFmtId="0" fontId="15" fillId="0" borderId="0" xfId="24" applyFont="1" applyAlignment="1">
      <alignment horizontal="center"/>
    </xf>
    <xf numFmtId="0" fontId="11" fillId="0" borderId="0" xfId="24" applyFont="1"/>
    <xf numFmtId="0" fontId="59" fillId="0" borderId="0" xfId="24" applyFont="1"/>
    <xf numFmtId="0" fontId="60" fillId="0" borderId="0" xfId="24" applyFont="1"/>
    <xf numFmtId="3" fontId="60" fillId="0" borderId="0" xfId="24" applyNumberFormat="1" applyFont="1"/>
    <xf numFmtId="0" fontId="30" fillId="0" borderId="0" xfId="24" applyFont="1" applyAlignment="1">
      <alignment horizontal="left"/>
    </xf>
    <xf numFmtId="0" fontId="30" fillId="0" borderId="0" xfId="24" applyFont="1" applyAlignment="1">
      <alignment horizontal="center"/>
    </xf>
    <xf numFmtId="3" fontId="10" fillId="0" borderId="0" xfId="24" applyNumberFormat="1" applyAlignment="1">
      <alignment horizontal="center"/>
    </xf>
    <xf numFmtId="171" fontId="10" fillId="0" borderId="0" xfId="15" applyNumberFormat="1" applyFont="1" applyAlignment="1">
      <alignment horizontal="center"/>
    </xf>
    <xf numFmtId="9" fontId="10" fillId="0" borderId="0" xfId="15" applyFont="1" applyAlignment="1">
      <alignment horizontal="center"/>
    </xf>
    <xf numFmtId="9" fontId="10" fillId="0" borderId="0" xfId="15" applyFont="1" applyBorder="1" applyAlignment="1">
      <alignment horizontal="center"/>
    </xf>
    <xf numFmtId="0" fontId="61" fillId="0" borderId="0" xfId="24" applyFont="1"/>
    <xf numFmtId="9" fontId="58" fillId="0" borderId="0" xfId="15" applyFont="1" applyAlignment="1">
      <alignment horizontal="center"/>
    </xf>
    <xf numFmtId="0" fontId="60" fillId="0" borderId="90" xfId="24" applyFont="1" applyBorder="1"/>
    <xf numFmtId="3" fontId="10" fillId="0" borderId="91" xfId="24" applyNumberFormat="1" applyBorder="1" applyAlignment="1">
      <alignment horizontal="center"/>
    </xf>
    <xf numFmtId="0" fontId="60" fillId="0" borderId="92" xfId="24" applyFont="1" applyBorder="1"/>
    <xf numFmtId="3" fontId="10" fillId="0" borderId="73" xfId="24" applyNumberFormat="1" applyBorder="1" applyAlignment="1">
      <alignment horizontal="center"/>
    </xf>
    <xf numFmtId="0" fontId="60" fillId="15" borderId="0" xfId="24" applyFont="1" applyFill="1"/>
    <xf numFmtId="3" fontId="10" fillId="15" borderId="0" xfId="24" applyNumberFormat="1" applyFill="1" applyAlignment="1">
      <alignment horizontal="center"/>
    </xf>
    <xf numFmtId="0" fontId="60" fillId="16" borderId="0" xfId="24" applyFont="1" applyFill="1"/>
    <xf numFmtId="3" fontId="10" fillId="16" borderId="0" xfId="24" applyNumberFormat="1" applyFill="1" applyAlignment="1">
      <alignment horizontal="center"/>
    </xf>
    <xf numFmtId="0" fontId="60" fillId="0" borderId="0" xfId="24" applyFont="1" applyAlignment="1">
      <alignment horizontal="left"/>
    </xf>
    <xf numFmtId="0" fontId="30" fillId="0" borderId="0" xfId="24" applyFont="1"/>
    <xf numFmtId="0" fontId="15" fillId="0" borderId="0" xfId="24" applyFont="1"/>
    <xf numFmtId="3" fontId="15" fillId="0" borderId="0" xfId="24" applyNumberFormat="1" applyFont="1" applyAlignment="1">
      <alignment horizontal="center"/>
    </xf>
    <xf numFmtId="0" fontId="62" fillId="0" borderId="0" xfId="24" applyFont="1"/>
    <xf numFmtId="172" fontId="60" fillId="0" borderId="0" xfId="24" applyNumberFormat="1" applyFont="1" applyAlignment="1">
      <alignment horizontal="center"/>
    </xf>
    <xf numFmtId="172" fontId="10" fillId="0" borderId="0" xfId="24" applyNumberFormat="1" applyAlignment="1">
      <alignment horizontal="center"/>
    </xf>
    <xf numFmtId="2" fontId="10" fillId="0" borderId="0" xfId="15" applyNumberFormat="1" applyFont="1" applyAlignment="1">
      <alignment horizontal="center"/>
    </xf>
    <xf numFmtId="0" fontId="63" fillId="0" borderId="0" xfId="24" applyFont="1"/>
    <xf numFmtId="3" fontId="63" fillId="0" borderId="0" xfId="24" applyNumberFormat="1" applyFont="1" applyAlignment="1">
      <alignment horizontal="center"/>
    </xf>
    <xf numFmtId="0" fontId="32" fillId="0" borderId="0" xfId="24" applyFont="1"/>
    <xf numFmtId="0" fontId="63" fillId="17" borderId="0" xfId="24" applyFont="1" applyFill="1"/>
    <xf numFmtId="3" fontId="63" fillId="17" borderId="0" xfId="24" applyNumberFormat="1" applyFont="1" applyFill="1" applyAlignment="1">
      <alignment horizontal="center"/>
    </xf>
    <xf numFmtId="3" fontId="63" fillId="0" borderId="0" xfId="24" applyNumberFormat="1" applyFont="1"/>
    <xf numFmtId="173" fontId="32" fillId="0" borderId="0" xfId="24" applyNumberFormat="1" applyFont="1" applyAlignment="1">
      <alignment horizontal="center"/>
    </xf>
    <xf numFmtId="3" fontId="32" fillId="0" borderId="0" xfId="24" applyNumberFormat="1" applyFont="1" applyAlignment="1">
      <alignment horizontal="center"/>
    </xf>
    <xf numFmtId="3" fontId="32" fillId="0" borderId="0" xfId="24" applyNumberFormat="1" applyFont="1"/>
    <xf numFmtId="173" fontId="63" fillId="17" borderId="0" xfId="24" applyNumberFormat="1" applyFont="1" applyFill="1" applyAlignment="1">
      <alignment horizontal="left"/>
    </xf>
    <xf numFmtId="0" fontId="63" fillId="15" borderId="0" xfId="24" applyFont="1" applyFill="1"/>
    <xf numFmtId="3" fontId="32" fillId="17" borderId="0" xfId="24" applyNumberFormat="1" applyFont="1" applyFill="1" applyAlignment="1">
      <alignment horizontal="center"/>
    </xf>
    <xf numFmtId="0" fontId="32" fillId="17" borderId="0" xfId="24" applyFont="1" applyFill="1"/>
    <xf numFmtId="168" fontId="10" fillId="0" borderId="81" xfId="0" applyNumberFormat="1" applyFont="1" applyBorder="1"/>
    <xf numFmtId="0" fontId="11" fillId="0" borderId="0" xfId="0" applyFont="1" applyAlignment="1">
      <alignment horizontal="center"/>
    </xf>
    <xf numFmtId="10" fontId="0" fillId="0" borderId="0" xfId="0" applyNumberFormat="1"/>
    <xf numFmtId="4" fontId="0" fillId="0" borderId="0" xfId="0" applyNumberFormat="1" applyAlignment="1">
      <alignment horizontal="center"/>
    </xf>
    <xf numFmtId="10" fontId="10" fillId="0" borderId="0" xfId="0" applyNumberFormat="1" applyFont="1"/>
    <xf numFmtId="10" fontId="0" fillId="0" borderId="91" xfId="0" applyNumberFormat="1" applyBorder="1" applyAlignment="1">
      <alignment horizontal="center"/>
    </xf>
    <xf numFmtId="10" fontId="0" fillId="0" borderId="93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0" fillId="0" borderId="94" xfId="0" applyNumberFormat="1" applyFont="1" applyBorder="1" applyAlignment="1">
      <alignment horizontal="center"/>
    </xf>
    <xf numFmtId="165" fontId="0" fillId="0" borderId="73" xfId="0" applyNumberFormat="1" applyBorder="1" applyAlignment="1">
      <alignment horizontal="center"/>
    </xf>
    <xf numFmtId="165" fontId="10" fillId="0" borderId="95" xfId="0" applyNumberFormat="1" applyFont="1" applyBorder="1" applyAlignment="1">
      <alignment horizontal="center"/>
    </xf>
    <xf numFmtId="166" fontId="15" fillId="0" borderId="0" xfId="0" applyNumberFormat="1" applyFont="1" applyAlignment="1">
      <alignment horizontal="center"/>
    </xf>
    <xf numFmtId="0" fontId="10" fillId="0" borderId="90" xfId="0" applyFont="1" applyBorder="1" applyAlignment="1">
      <alignment horizontal="center"/>
    </xf>
    <xf numFmtId="4" fontId="0" fillId="0" borderId="0" xfId="0" applyNumberFormat="1"/>
    <xf numFmtId="0" fontId="0" fillId="0" borderId="0" xfId="15" applyNumberFormat="1" applyFont="1" applyAlignment="1">
      <alignment horizontal="center"/>
    </xf>
    <xf numFmtId="171" fontId="0" fillId="0" borderId="0" xfId="0" applyNumberFormat="1"/>
    <xf numFmtId="3" fontId="0" fillId="0" borderId="0" xfId="15" applyNumberFormat="1" applyFont="1" applyAlignment="1">
      <alignment horizontal="center"/>
    </xf>
    <xf numFmtId="2" fontId="7" fillId="0" borderId="0" xfId="32" applyNumberFormat="1" applyAlignment="1">
      <alignment horizontal="center"/>
    </xf>
    <xf numFmtId="0" fontId="60" fillId="0" borderId="0" xfId="24" applyFont="1" applyAlignment="1">
      <alignment horizontal="center"/>
    </xf>
    <xf numFmtId="0" fontId="63" fillId="0" borderId="0" xfId="24" applyFont="1" applyAlignment="1">
      <alignment horizontal="center"/>
    </xf>
    <xf numFmtId="0" fontId="32" fillId="0" borderId="0" xfId="24" applyFont="1" applyAlignment="1">
      <alignment horizontal="center"/>
    </xf>
    <xf numFmtId="0" fontId="15" fillId="18" borderId="35" xfId="0" applyFont="1" applyFill="1" applyBorder="1" applyAlignment="1">
      <alignment horizontal="center"/>
    </xf>
    <xf numFmtId="170" fontId="10" fillId="18" borderId="31" xfId="0" applyNumberFormat="1" applyFont="1" applyFill="1" applyBorder="1" applyAlignment="1">
      <alignment horizontal="center"/>
    </xf>
    <xf numFmtId="170" fontId="48" fillId="18" borderId="31" xfId="0" applyNumberFormat="1" applyFont="1" applyFill="1" applyBorder="1" applyAlignment="1">
      <alignment horizontal="center"/>
    </xf>
    <xf numFmtId="9" fontId="48" fillId="18" borderId="31" xfId="15" applyFont="1" applyFill="1" applyBorder="1" applyAlignment="1">
      <alignment horizontal="center"/>
    </xf>
    <xf numFmtId="170" fontId="10" fillId="0" borderId="36" xfId="0" applyNumberFormat="1" applyFont="1" applyBorder="1" applyAlignment="1">
      <alignment horizontal="center"/>
    </xf>
    <xf numFmtId="3" fontId="10" fillId="0" borderId="36" xfId="0" applyNumberFormat="1" applyFont="1" applyBorder="1" applyAlignment="1">
      <alignment horizontal="center"/>
    </xf>
    <xf numFmtId="170" fontId="15" fillId="0" borderId="31" xfId="0" applyNumberFormat="1" applyFont="1" applyBorder="1" applyAlignment="1">
      <alignment horizontal="center"/>
    </xf>
    <xf numFmtId="170" fontId="15" fillId="0" borderId="36" xfId="0" applyNumberFormat="1" applyFont="1" applyBorder="1" applyAlignment="1">
      <alignment horizontal="center"/>
    </xf>
    <xf numFmtId="0" fontId="0" fillId="0" borderId="31" xfId="0" applyBorder="1"/>
    <xf numFmtId="9" fontId="10" fillId="0" borderId="31" xfId="26" applyBorder="1" applyAlignment="1">
      <alignment horizontal="center"/>
    </xf>
    <xf numFmtId="171" fontId="10" fillId="0" borderId="36" xfId="26" applyNumberFormat="1" applyBorder="1" applyAlignment="1">
      <alignment horizontal="center"/>
    </xf>
    <xf numFmtId="172" fontId="0" fillId="0" borderId="31" xfId="0" applyNumberFormat="1" applyBorder="1" applyAlignment="1">
      <alignment horizontal="center"/>
    </xf>
    <xf numFmtId="172" fontId="0" fillId="0" borderId="36" xfId="0" applyNumberFormat="1" applyBorder="1" applyAlignment="1">
      <alignment horizontal="center"/>
    </xf>
    <xf numFmtId="0" fontId="45" fillId="4" borderId="0" xfId="0" applyFont="1" applyFill="1" applyAlignment="1">
      <alignment horizontal="center"/>
    </xf>
    <xf numFmtId="9" fontId="27" fillId="0" borderId="0" xfId="15" applyFont="1" applyBorder="1"/>
    <xf numFmtId="9" fontId="10" fillId="0" borderId="0" xfId="15" applyFont="1" applyBorder="1"/>
    <xf numFmtId="9" fontId="15" fillId="0" borderId="0" xfId="15" applyFont="1" applyBorder="1"/>
    <xf numFmtId="9" fontId="27" fillId="0" borderId="0" xfId="15" applyFont="1" applyBorder="1" applyAlignment="1">
      <alignment horizontal="right"/>
    </xf>
    <xf numFmtId="10" fontId="10" fillId="0" borderId="50" xfId="0" applyNumberFormat="1" applyFont="1" applyBorder="1" applyAlignment="1">
      <alignment horizontal="center" vertical="center"/>
    </xf>
    <xf numFmtId="171" fontId="10" fillId="18" borderId="31" xfId="15" applyNumberFormat="1" applyFont="1" applyFill="1" applyBorder="1" applyAlignment="1">
      <alignment horizontal="center"/>
    </xf>
    <xf numFmtId="0" fontId="6" fillId="0" borderId="0" xfId="33"/>
    <xf numFmtId="0" fontId="6" fillId="0" borderId="0" xfId="33" applyAlignment="1">
      <alignment horizontal="center"/>
    </xf>
    <xf numFmtId="0" fontId="15" fillId="0" borderId="0" xfId="33" applyFont="1" applyAlignment="1">
      <alignment horizontal="left"/>
    </xf>
    <xf numFmtId="0" fontId="64" fillId="0" borderId="96" xfId="33" applyFont="1" applyBorder="1"/>
    <xf numFmtId="0" fontId="65" fillId="0" borderId="96" xfId="33" applyFont="1" applyBorder="1"/>
    <xf numFmtId="171" fontId="15" fillId="0" borderId="96" xfId="34" applyNumberFormat="1" applyFont="1" applyBorder="1" applyAlignment="1">
      <alignment horizontal="center"/>
    </xf>
    <xf numFmtId="0" fontId="15" fillId="0" borderId="96" xfId="33" applyFont="1" applyBorder="1" applyAlignment="1">
      <alignment horizontal="center"/>
    </xf>
    <xf numFmtId="0" fontId="15" fillId="0" borderId="96" xfId="33" applyFont="1" applyBorder="1" applyAlignment="1">
      <alignment horizontal="center" vertical="center"/>
    </xf>
    <xf numFmtId="0" fontId="15" fillId="19" borderId="96" xfId="33" applyFont="1" applyFill="1" applyBorder="1"/>
    <xf numFmtId="171" fontId="37" fillId="20" borderId="96" xfId="34" applyNumberFormat="1" applyFont="1" applyFill="1" applyBorder="1" applyAlignment="1">
      <alignment horizontal="center"/>
    </xf>
    <xf numFmtId="171" fontId="10" fillId="0" borderId="96" xfId="33" applyNumberFormat="1" applyFont="1" applyBorder="1" applyAlignment="1">
      <alignment horizontal="center"/>
    </xf>
    <xf numFmtId="171" fontId="10" fillId="0" borderId="0" xfId="33" applyNumberFormat="1" applyFont="1" applyAlignment="1">
      <alignment horizontal="center"/>
    </xf>
    <xf numFmtId="0" fontId="37" fillId="0" borderId="0" xfId="33" applyFont="1"/>
    <xf numFmtId="170" fontId="10" fillId="19" borderId="96" xfId="33" applyNumberFormat="1" applyFont="1" applyFill="1" applyBorder="1"/>
    <xf numFmtId="170" fontId="6" fillId="20" borderId="96" xfId="34" applyNumberFormat="1" applyFill="1" applyBorder="1" applyAlignment="1">
      <alignment horizontal="center"/>
    </xf>
    <xf numFmtId="170" fontId="6" fillId="0" borderId="96" xfId="33" applyNumberFormat="1" applyBorder="1" applyAlignment="1">
      <alignment horizontal="center"/>
    </xf>
    <xf numFmtId="170" fontId="6" fillId="0" borderId="0" xfId="33" applyNumberFormat="1"/>
    <xf numFmtId="171" fontId="37" fillId="20" borderId="96" xfId="35" applyNumberFormat="1" applyFont="1" applyFill="1" applyBorder="1" applyAlignment="1">
      <alignment horizontal="center"/>
    </xf>
    <xf numFmtId="0" fontId="10" fillId="0" borderId="96" xfId="33" applyFont="1" applyBorder="1"/>
    <xf numFmtId="170" fontId="6" fillId="0" borderId="0" xfId="33" applyNumberFormat="1" applyAlignment="1">
      <alignment horizontal="center"/>
    </xf>
    <xf numFmtId="0" fontId="10" fillId="19" borderId="96" xfId="33" applyFont="1" applyFill="1" applyBorder="1"/>
    <xf numFmtId="170" fontId="10" fillId="0" borderId="96" xfId="33" applyNumberFormat="1" applyFont="1" applyBorder="1"/>
    <xf numFmtId="170" fontId="6" fillId="20" borderId="96" xfId="33" applyNumberFormat="1" applyFill="1" applyBorder="1" applyAlignment="1">
      <alignment horizontal="center"/>
    </xf>
    <xf numFmtId="170" fontId="10" fillId="0" borderId="96" xfId="33" applyNumberFormat="1" applyFont="1" applyBorder="1" applyAlignment="1">
      <alignment horizontal="center"/>
    </xf>
    <xf numFmtId="170" fontId="67" fillId="20" borderId="96" xfId="33" applyNumberFormat="1" applyFont="1" applyFill="1" applyBorder="1" applyAlignment="1">
      <alignment horizontal="center"/>
    </xf>
    <xf numFmtId="170" fontId="10" fillId="15" borderId="0" xfId="33" applyNumberFormat="1" applyFont="1" applyFill="1"/>
    <xf numFmtId="170" fontId="6" fillId="15" borderId="0" xfId="33" applyNumberFormat="1" applyFill="1" applyAlignment="1">
      <alignment horizontal="center"/>
    </xf>
    <xf numFmtId="170" fontId="10" fillId="15" borderId="0" xfId="33" applyNumberFormat="1" applyFont="1" applyFill="1" applyAlignment="1">
      <alignment horizontal="center"/>
    </xf>
    <xf numFmtId="170" fontId="10" fillId="19" borderId="96" xfId="33" applyNumberFormat="1" applyFont="1" applyFill="1" applyBorder="1" applyAlignment="1">
      <alignment vertical="center"/>
    </xf>
    <xf numFmtId="170" fontId="67" fillId="7" borderId="96" xfId="33" applyNumberFormat="1" applyFont="1" applyFill="1" applyBorder="1" applyAlignment="1">
      <alignment horizontal="center" vertical="center"/>
    </xf>
    <xf numFmtId="170" fontId="66" fillId="0" borderId="96" xfId="33" applyNumberFormat="1" applyFont="1" applyBorder="1" applyAlignment="1">
      <alignment horizontal="center" vertical="center"/>
    </xf>
    <xf numFmtId="170" fontId="67" fillId="7" borderId="96" xfId="33" applyNumberFormat="1" applyFont="1" applyFill="1" applyBorder="1" applyAlignment="1">
      <alignment horizontal="center"/>
    </xf>
    <xf numFmtId="170" fontId="15" fillId="16" borderId="96" xfId="33" quotePrefix="1" applyNumberFormat="1" applyFont="1" applyFill="1" applyBorder="1" applyAlignment="1">
      <alignment vertical="center"/>
    </xf>
    <xf numFmtId="170" fontId="6" fillId="16" borderId="96" xfId="33" applyNumberFormat="1" applyFill="1" applyBorder="1" applyAlignment="1">
      <alignment horizontal="center"/>
    </xf>
    <xf numFmtId="170" fontId="67" fillId="0" borderId="96" xfId="33" applyNumberFormat="1" applyFont="1" applyBorder="1" applyAlignment="1">
      <alignment horizontal="center"/>
    </xf>
    <xf numFmtId="170" fontId="67" fillId="16" borderId="96" xfId="33" applyNumberFormat="1" applyFont="1" applyFill="1" applyBorder="1" applyAlignment="1">
      <alignment horizontal="center"/>
    </xf>
    <xf numFmtId="170" fontId="6" fillId="7" borderId="96" xfId="33" applyNumberFormat="1" applyFill="1" applyBorder="1" applyAlignment="1">
      <alignment horizontal="center"/>
    </xf>
    <xf numFmtId="0" fontId="10" fillId="0" borderId="0" xfId="33" applyFont="1"/>
    <xf numFmtId="170" fontId="10" fillId="19" borderId="96" xfId="33" applyNumberFormat="1" applyFont="1" applyFill="1" applyBorder="1" applyAlignment="1">
      <alignment horizontal="left" vertical="center"/>
    </xf>
    <xf numFmtId="170" fontId="68" fillId="7" borderId="96" xfId="33" applyNumberFormat="1" applyFont="1" applyFill="1" applyBorder="1" applyAlignment="1">
      <alignment horizontal="center"/>
    </xf>
    <xf numFmtId="169" fontId="6" fillId="0" borderId="96" xfId="33" applyNumberFormat="1" applyBorder="1" applyAlignment="1">
      <alignment horizontal="center"/>
    </xf>
    <xf numFmtId="170" fontId="66" fillId="0" borderId="96" xfId="33" applyNumberFormat="1" applyFont="1" applyBorder="1" applyAlignment="1">
      <alignment horizontal="center"/>
    </xf>
    <xf numFmtId="0" fontId="64" fillId="0" borderId="96" xfId="33" applyFont="1" applyBorder="1" applyAlignment="1">
      <alignment vertical="center"/>
    </xf>
    <xf numFmtId="170" fontId="6" fillId="7" borderId="96" xfId="33" applyNumberFormat="1" applyFill="1" applyBorder="1" applyAlignment="1">
      <alignment horizontal="center" vertical="center"/>
    </xf>
    <xf numFmtId="170" fontId="68" fillId="0" borderId="96" xfId="36" applyNumberFormat="1" applyFont="1" applyBorder="1" applyAlignment="1">
      <alignment horizontal="center" vertical="center"/>
    </xf>
    <xf numFmtId="170" fontId="0" fillId="0" borderId="96" xfId="36" applyNumberFormat="1" applyFont="1" applyBorder="1" applyAlignment="1">
      <alignment horizontal="center" vertical="center"/>
    </xf>
    <xf numFmtId="170" fontId="68" fillId="7" borderId="96" xfId="33" applyNumberFormat="1" applyFont="1" applyFill="1" applyBorder="1" applyAlignment="1">
      <alignment horizontal="center" vertical="center"/>
    </xf>
    <xf numFmtId="170" fontId="67" fillId="0" borderId="96" xfId="36" applyNumberFormat="1" applyFont="1" applyBorder="1" applyAlignment="1">
      <alignment horizontal="center" vertical="center"/>
    </xf>
    <xf numFmtId="0" fontId="15" fillId="0" borderId="93" xfId="33" applyFont="1" applyBorder="1" applyAlignment="1">
      <alignment horizontal="center" vertical="center"/>
    </xf>
    <xf numFmtId="0" fontId="15" fillId="0" borderId="95" xfId="33" applyFont="1" applyBorder="1" applyAlignment="1">
      <alignment horizontal="center" vertical="center"/>
    </xf>
    <xf numFmtId="0" fontId="6" fillId="0" borderId="96" xfId="33" applyBorder="1"/>
    <xf numFmtId="0" fontId="15" fillId="0" borderId="0" xfId="33" applyFont="1" applyAlignment="1">
      <alignment horizontal="center" vertical="center"/>
    </xf>
    <xf numFmtId="4" fontId="6" fillId="0" borderId="96" xfId="33" applyNumberFormat="1" applyBorder="1" applyAlignment="1">
      <alignment horizontal="center"/>
    </xf>
    <xf numFmtId="0" fontId="6" fillId="15" borderId="0" xfId="33" applyFill="1"/>
    <xf numFmtId="170" fontId="6" fillId="15" borderId="0" xfId="33" applyNumberFormat="1" applyFill="1"/>
    <xf numFmtId="0" fontId="6" fillId="15" borderId="0" xfId="33" applyFill="1" applyAlignment="1">
      <alignment horizontal="center"/>
    </xf>
    <xf numFmtId="0" fontId="6" fillId="0" borderId="90" xfId="33" applyBorder="1"/>
    <xf numFmtId="168" fontId="6" fillId="0" borderId="91" xfId="33" applyNumberFormat="1" applyBorder="1" applyAlignment="1">
      <alignment horizontal="center"/>
    </xf>
    <xf numFmtId="170" fontId="64" fillId="0" borderId="91" xfId="33" applyNumberFormat="1" applyFont="1" applyBorder="1" applyAlignment="1">
      <alignment horizontal="center"/>
    </xf>
    <xf numFmtId="167" fontId="6" fillId="0" borderId="93" xfId="22" applyFont="1" applyBorder="1" applyAlignment="1">
      <alignment horizontal="center" vertical="center"/>
    </xf>
    <xf numFmtId="0" fontId="6" fillId="0" borderId="5" xfId="33" applyBorder="1"/>
    <xf numFmtId="168" fontId="37" fillId="4" borderId="0" xfId="24" applyNumberFormat="1" applyFont="1" applyFill="1" applyAlignment="1">
      <alignment horizontal="center"/>
    </xf>
    <xf numFmtId="168" fontId="37" fillId="4" borderId="94" xfId="24" applyNumberFormat="1" applyFont="1" applyFill="1" applyBorder="1" applyAlignment="1">
      <alignment horizontal="center"/>
    </xf>
    <xf numFmtId="0" fontId="6" fillId="0" borderId="92" xfId="33" applyBorder="1"/>
    <xf numFmtId="170" fontId="6" fillId="0" borderId="73" xfId="33" applyNumberFormat="1" applyBorder="1"/>
    <xf numFmtId="2" fontId="6" fillId="0" borderId="73" xfId="33" applyNumberFormat="1" applyBorder="1" applyAlignment="1">
      <alignment horizontal="center"/>
    </xf>
    <xf numFmtId="2" fontId="6" fillId="0" borderId="95" xfId="33" applyNumberFormat="1" applyBorder="1" applyAlignment="1">
      <alignment horizontal="center"/>
    </xf>
    <xf numFmtId="0" fontId="64" fillId="0" borderId="93" xfId="33" applyFont="1" applyBorder="1" applyAlignment="1">
      <alignment horizontal="center"/>
    </xf>
    <xf numFmtId="0" fontId="64" fillId="0" borderId="92" xfId="33" applyFont="1" applyBorder="1"/>
    <xf numFmtId="10" fontId="0" fillId="0" borderId="73" xfId="36" applyNumberFormat="1" applyFont="1" applyBorder="1" applyAlignment="1">
      <alignment horizontal="center"/>
    </xf>
    <xf numFmtId="10" fontId="0" fillId="0" borderId="95" xfId="36" applyNumberFormat="1" applyFont="1" applyBorder="1" applyAlignment="1">
      <alignment horizontal="center"/>
    </xf>
    <xf numFmtId="168" fontId="6" fillId="0" borderId="0" xfId="33" applyNumberFormat="1"/>
    <xf numFmtId="10" fontId="0" fillId="0" borderId="0" xfId="36" applyNumberFormat="1" applyFont="1"/>
    <xf numFmtId="10" fontId="10" fillId="0" borderId="0" xfId="36" applyNumberFormat="1" applyFont="1"/>
    <xf numFmtId="0" fontId="64" fillId="0" borderId="91" xfId="33" applyFont="1" applyBorder="1" applyAlignment="1">
      <alignment horizontal="center"/>
    </xf>
    <xf numFmtId="0" fontId="6" fillId="0" borderId="3" xfId="33" applyBorder="1"/>
    <xf numFmtId="10" fontId="0" fillId="0" borderId="91" xfId="36" applyNumberFormat="1" applyFont="1" applyBorder="1" applyAlignment="1">
      <alignment horizontal="center"/>
    </xf>
    <xf numFmtId="170" fontId="6" fillId="0" borderId="93" xfId="33" applyNumberFormat="1" applyBorder="1" applyAlignment="1">
      <alignment horizontal="left"/>
    </xf>
    <xf numFmtId="9" fontId="6" fillId="0" borderId="0" xfId="15" applyFont="1" applyAlignment="1">
      <alignment horizontal="center"/>
    </xf>
    <xf numFmtId="0" fontId="6" fillId="0" borderId="4" xfId="33" applyBorder="1"/>
    <xf numFmtId="10" fontId="0" fillId="0" borderId="0" xfId="36" applyNumberFormat="1" applyFont="1" applyBorder="1" applyAlignment="1">
      <alignment horizontal="center"/>
    </xf>
    <xf numFmtId="170" fontId="6" fillId="0" borderId="94" xfId="33" applyNumberFormat="1" applyBorder="1" applyAlignment="1">
      <alignment horizontal="left"/>
    </xf>
    <xf numFmtId="171" fontId="6" fillId="0" borderId="0" xfId="15" applyNumberFormat="1" applyFont="1" applyAlignment="1">
      <alignment horizontal="center"/>
    </xf>
    <xf numFmtId="0" fontId="6" fillId="0" borderId="94" xfId="33" applyBorder="1" applyAlignment="1">
      <alignment horizontal="left"/>
    </xf>
    <xf numFmtId="0" fontId="6" fillId="0" borderId="2" xfId="33" applyBorder="1"/>
    <xf numFmtId="170" fontId="6" fillId="0" borderId="95" xfId="33" applyNumberFormat="1" applyBorder="1" applyAlignment="1">
      <alignment horizontal="left"/>
    </xf>
    <xf numFmtId="0" fontId="6" fillId="0" borderId="96" xfId="33" applyBorder="1" applyAlignment="1">
      <alignment horizontal="center"/>
    </xf>
    <xf numFmtId="9" fontId="0" fillId="0" borderId="96" xfId="36" applyFont="1" applyBorder="1" applyAlignment="1">
      <alignment horizontal="center"/>
    </xf>
    <xf numFmtId="0" fontId="6" fillId="0" borderId="0" xfId="33" applyAlignment="1">
      <alignment horizontal="left"/>
    </xf>
    <xf numFmtId="0" fontId="64" fillId="0" borderId="97" xfId="33" applyFont="1" applyBorder="1"/>
    <xf numFmtId="171" fontId="64" fillId="0" borderId="1" xfId="36" applyNumberFormat="1" applyFont="1" applyBorder="1" applyAlignment="1">
      <alignment horizontal="center"/>
    </xf>
    <xf numFmtId="0" fontId="64" fillId="0" borderId="98" xfId="33" applyFont="1" applyBorder="1"/>
    <xf numFmtId="168" fontId="64" fillId="0" borderId="1" xfId="33" applyNumberFormat="1" applyFont="1" applyBorder="1" applyAlignment="1">
      <alignment horizontal="center"/>
    </xf>
    <xf numFmtId="0" fontId="6" fillId="0" borderId="98" xfId="33" applyBorder="1"/>
    <xf numFmtId="10" fontId="6" fillId="0" borderId="0" xfId="33" applyNumberFormat="1"/>
    <xf numFmtId="171" fontId="6" fillId="0" borderId="0" xfId="15" applyNumberFormat="1" applyFont="1"/>
    <xf numFmtId="2" fontId="6" fillId="0" borderId="0" xfId="33" applyNumberFormat="1" applyAlignment="1">
      <alignment horizontal="center"/>
    </xf>
    <xf numFmtId="168" fontId="6" fillId="0" borderId="0" xfId="33" applyNumberFormat="1" applyAlignment="1">
      <alignment horizontal="center"/>
    </xf>
    <xf numFmtId="170" fontId="67" fillId="20" borderId="96" xfId="34" applyNumberFormat="1" applyFont="1" applyFill="1" applyBorder="1" applyAlignment="1">
      <alignment horizontal="center"/>
    </xf>
    <xf numFmtId="170" fontId="10" fillId="20" borderId="96" xfId="33" applyNumberFormat="1" applyFont="1" applyFill="1" applyBorder="1" applyAlignment="1">
      <alignment horizontal="center"/>
    </xf>
    <xf numFmtId="0" fontId="60" fillId="0" borderId="5" xfId="24" applyFont="1" applyBorder="1"/>
    <xf numFmtId="171" fontId="10" fillId="0" borderId="0" xfId="15" applyNumberFormat="1" applyFont="1" applyBorder="1" applyAlignment="1">
      <alignment horizontal="center"/>
    </xf>
    <xf numFmtId="166" fontId="63" fillId="0" borderId="0" xfId="24" applyNumberFormat="1" applyFont="1"/>
    <xf numFmtId="3" fontId="69" fillId="0" borderId="0" xfId="24" applyNumberFormat="1" applyFont="1"/>
    <xf numFmtId="9" fontId="63" fillId="0" borderId="0" xfId="24" applyNumberFormat="1" applyFont="1"/>
    <xf numFmtId="174" fontId="63" fillId="0" borderId="0" xfId="24" applyNumberFormat="1" applyFont="1" applyAlignment="1">
      <alignment horizontal="center"/>
    </xf>
    <xf numFmtId="4" fontId="63" fillId="0" borderId="0" xfId="24" applyNumberFormat="1" applyFont="1"/>
    <xf numFmtId="171" fontId="63" fillId="17" borderId="0" xfId="15" applyNumberFormat="1" applyFont="1" applyFill="1" applyAlignment="1">
      <alignment horizontal="center"/>
    </xf>
    <xf numFmtId="171" fontId="63" fillId="17" borderId="0" xfId="15" applyNumberFormat="1" applyFont="1" applyFill="1" applyBorder="1" applyAlignment="1">
      <alignment horizontal="center"/>
    </xf>
    <xf numFmtId="9" fontId="63" fillId="0" borderId="0" xfId="15" applyFont="1" applyFill="1" applyBorder="1" applyAlignment="1">
      <alignment horizontal="center"/>
    </xf>
    <xf numFmtId="9" fontId="32" fillId="0" borderId="0" xfId="15" applyFont="1" applyFill="1" applyBorder="1" applyAlignment="1">
      <alignment horizontal="center"/>
    </xf>
    <xf numFmtId="171" fontId="32" fillId="0" borderId="0" xfId="15" applyNumberFormat="1" applyFont="1" applyFill="1" applyBorder="1" applyAlignment="1">
      <alignment horizontal="center"/>
    </xf>
    <xf numFmtId="171" fontId="63" fillId="0" borderId="0" xfId="15" applyNumberFormat="1" applyFont="1" applyFill="1" applyBorder="1" applyAlignment="1">
      <alignment horizontal="center"/>
    </xf>
    <xf numFmtId="173" fontId="63" fillId="17" borderId="0" xfId="24" applyNumberFormat="1" applyFont="1" applyFill="1" applyAlignment="1">
      <alignment horizontal="center"/>
    </xf>
    <xf numFmtId="173" fontId="63" fillId="0" borderId="0" xfId="24" applyNumberFormat="1" applyFont="1" applyAlignment="1">
      <alignment horizontal="center"/>
    </xf>
    <xf numFmtId="4" fontId="63" fillId="17" borderId="0" xfId="24" applyNumberFormat="1" applyFont="1" applyFill="1" applyAlignment="1">
      <alignment horizontal="center"/>
    </xf>
    <xf numFmtId="171" fontId="63" fillId="17" borderId="0" xfId="24" applyNumberFormat="1" applyFont="1" applyFill="1" applyAlignment="1">
      <alignment horizontal="center"/>
    </xf>
    <xf numFmtId="43" fontId="6" fillId="0" borderId="0" xfId="37" applyFont="1"/>
    <xf numFmtId="0" fontId="5" fillId="0" borderId="0" xfId="32" applyFont="1"/>
    <xf numFmtId="168" fontId="7" fillId="0" borderId="0" xfId="32" applyNumberFormat="1"/>
    <xf numFmtId="171" fontId="5" fillId="0" borderId="0" xfId="15" applyNumberFormat="1" applyFont="1"/>
    <xf numFmtId="4" fontId="5" fillId="0" borderId="96" xfId="38" applyNumberFormat="1" applyBorder="1" applyAlignment="1">
      <alignment horizontal="center"/>
    </xf>
    <xf numFmtId="4" fontId="5" fillId="0" borderId="91" xfId="38" applyNumberFormat="1" applyBorder="1" applyAlignment="1">
      <alignment horizontal="center"/>
    </xf>
    <xf numFmtId="4" fontId="5" fillId="0" borderId="93" xfId="38" applyNumberFormat="1" applyBorder="1" applyAlignment="1">
      <alignment horizontal="center"/>
    </xf>
    <xf numFmtId="4" fontId="5" fillId="0" borderId="0" xfId="38" applyNumberFormat="1" applyAlignment="1">
      <alignment horizontal="center"/>
    </xf>
    <xf numFmtId="171" fontId="0" fillId="0" borderId="73" xfId="15" applyNumberFormat="1" applyFont="1" applyBorder="1"/>
    <xf numFmtId="171" fontId="39" fillId="5" borderId="1" xfId="15" applyNumberFormat="1" applyFont="1" applyFill="1" applyBorder="1"/>
    <xf numFmtId="171" fontId="10" fillId="0" borderId="0" xfId="15" applyNumberFormat="1" applyFont="1"/>
    <xf numFmtId="171" fontId="10" fillId="0" borderId="0" xfId="20" applyNumberFormat="1"/>
    <xf numFmtId="171" fontId="0" fillId="0" borderId="73" xfId="0" applyNumberFormat="1" applyBorder="1"/>
    <xf numFmtId="171" fontId="10" fillId="0" borderId="0" xfId="0" applyNumberFormat="1" applyFont="1"/>
    <xf numFmtId="0" fontId="4" fillId="0" borderId="0" xfId="33" applyFont="1"/>
    <xf numFmtId="0" fontId="10" fillId="0" borderId="85" xfId="0" applyFont="1" applyBorder="1" applyAlignment="1">
      <alignment horizontal="left" vertical="center"/>
    </xf>
    <xf numFmtId="3" fontId="0" fillId="0" borderId="0" xfId="0" applyNumberFormat="1" applyAlignment="1">
      <alignment horizontal="center"/>
    </xf>
    <xf numFmtId="3" fontId="0" fillId="0" borderId="86" xfId="0" applyNumberFormat="1" applyBorder="1" applyAlignment="1">
      <alignment horizontal="center"/>
    </xf>
    <xf numFmtId="9" fontId="0" fillId="0" borderId="0" xfId="15" applyFont="1" applyFill="1" applyAlignment="1">
      <alignment horizontal="center"/>
    </xf>
    <xf numFmtId="9" fontId="0" fillId="0" borderId="86" xfId="15" applyFont="1" applyFill="1" applyBorder="1" applyAlignment="1">
      <alignment horizontal="center"/>
    </xf>
    <xf numFmtId="172" fontId="0" fillId="0" borderId="0" xfId="15" applyNumberFormat="1" applyFont="1" applyFill="1" applyBorder="1" applyAlignment="1">
      <alignment horizontal="center"/>
    </xf>
    <xf numFmtId="9" fontId="0" fillId="0" borderId="0" xfId="15" applyFont="1" applyFill="1" applyBorder="1" applyAlignment="1">
      <alignment horizontal="center"/>
    </xf>
    <xf numFmtId="172" fontId="0" fillId="0" borderId="0" xfId="0" applyNumberFormat="1" applyAlignment="1">
      <alignment horizontal="center"/>
    </xf>
    <xf numFmtId="171" fontId="0" fillId="13" borderId="0" xfId="15" applyNumberFormat="1" applyFont="1" applyFill="1" applyAlignment="1">
      <alignment horizontal="center"/>
    </xf>
    <xf numFmtId="172" fontId="0" fillId="16" borderId="86" xfId="15" applyNumberFormat="1" applyFont="1" applyFill="1" applyBorder="1" applyAlignment="1">
      <alignment horizontal="center"/>
    </xf>
    <xf numFmtId="171" fontId="0" fillId="21" borderId="0" xfId="15" applyNumberFormat="1" applyFont="1" applyFill="1" applyBorder="1" applyAlignment="1">
      <alignment horizontal="center"/>
    </xf>
    <xf numFmtId="171" fontId="0" fillId="16" borderId="86" xfId="15" applyNumberFormat="1" applyFont="1" applyFill="1" applyBorder="1" applyAlignment="1">
      <alignment horizontal="center"/>
    </xf>
    <xf numFmtId="9" fontId="0" fillId="21" borderId="0" xfId="15" applyFont="1" applyFill="1" applyBorder="1" applyAlignment="1">
      <alignment horizontal="center"/>
    </xf>
    <xf numFmtId="9" fontId="0" fillId="14" borderId="0" xfId="15" applyFont="1" applyFill="1" applyBorder="1" applyAlignment="1">
      <alignment horizontal="center"/>
    </xf>
    <xf numFmtId="9" fontId="0" fillId="16" borderId="86" xfId="15" applyFont="1" applyFill="1" applyBorder="1" applyAlignment="1">
      <alignment horizontal="center"/>
    </xf>
    <xf numFmtId="172" fontId="0" fillId="16" borderId="86" xfId="0" applyNumberFormat="1" applyFill="1" applyBorder="1" applyAlignment="1">
      <alignment horizontal="center"/>
    </xf>
    <xf numFmtId="2" fontId="0" fillId="16" borderId="86" xfId="0" applyNumberFormat="1" applyFill="1" applyBorder="1" applyAlignment="1">
      <alignment horizontal="center"/>
    </xf>
    <xf numFmtId="2" fontId="0" fillId="14" borderId="0" xfId="0" applyNumberFormat="1" applyFill="1" applyAlignment="1">
      <alignment horizontal="center"/>
    </xf>
    <xf numFmtId="172" fontId="0" fillId="21" borderId="0" xfId="0" applyNumberFormat="1" applyFill="1" applyAlignment="1">
      <alignment horizontal="center"/>
    </xf>
    <xf numFmtId="172" fontId="0" fillId="23" borderId="86" xfId="0" applyNumberFormat="1" applyFill="1" applyBorder="1" applyAlignment="1">
      <alignment horizontal="center"/>
    </xf>
    <xf numFmtId="172" fontId="0" fillId="23" borderId="0" xfId="0" applyNumberFormat="1" applyFill="1" applyAlignment="1">
      <alignment horizontal="center"/>
    </xf>
    <xf numFmtId="172" fontId="0" fillId="22" borderId="0" xfId="0" applyNumberFormat="1" applyFill="1" applyAlignment="1">
      <alignment horizontal="center"/>
    </xf>
    <xf numFmtId="172" fontId="0" fillId="14" borderId="0" xfId="0" applyNumberFormat="1" applyFill="1" applyAlignment="1">
      <alignment horizontal="center"/>
    </xf>
    <xf numFmtId="172" fontId="0" fillId="13" borderId="86" xfId="0" applyNumberFormat="1" applyFill="1" applyBorder="1" applyAlignment="1">
      <alignment horizontal="center"/>
    </xf>
    <xf numFmtId="172" fontId="0" fillId="16" borderId="0" xfId="0" applyNumberFormat="1" applyFill="1" applyAlignment="1">
      <alignment horizontal="center"/>
    </xf>
    <xf numFmtId="172" fontId="0" fillId="14" borderId="86" xfId="0" applyNumberFormat="1" applyFill="1" applyBorder="1" applyAlignment="1">
      <alignment horizontal="center"/>
    </xf>
    <xf numFmtId="171" fontId="0" fillId="14" borderId="88" xfId="15" applyNumberFormat="1" applyFont="1" applyFill="1" applyBorder="1" applyAlignment="1">
      <alignment horizontal="center"/>
    </xf>
    <xf numFmtId="171" fontId="0" fillId="16" borderId="88" xfId="15" applyNumberFormat="1" applyFont="1" applyFill="1" applyBorder="1" applyAlignment="1">
      <alignment horizontal="center"/>
    </xf>
    <xf numFmtId="171" fontId="0" fillId="16" borderId="89" xfId="15" applyNumberFormat="1" applyFont="1" applyFill="1" applyBorder="1" applyAlignment="1">
      <alignment horizontal="center"/>
    </xf>
    <xf numFmtId="0" fontId="3" fillId="0" borderId="0" xfId="33" applyFont="1"/>
    <xf numFmtId="0" fontId="0" fillId="0" borderId="0" xfId="0" quotePrefix="1"/>
    <xf numFmtId="0" fontId="2" fillId="0" borderId="4" xfId="33" applyFont="1" applyBorder="1"/>
    <xf numFmtId="175" fontId="0" fillId="0" borderId="0" xfId="0" applyNumberFormat="1"/>
    <xf numFmtId="171" fontId="0" fillId="16" borderId="0" xfId="15" applyNumberFormat="1" applyFont="1" applyFill="1" applyBorder="1" applyAlignment="1">
      <alignment horizontal="center"/>
    </xf>
    <xf numFmtId="2" fontId="1" fillId="0" borderId="73" xfId="33" applyNumberFormat="1" applyFont="1" applyBorder="1" applyAlignment="1">
      <alignment horizontal="center"/>
    </xf>
    <xf numFmtId="168" fontId="1" fillId="0" borderId="91" xfId="33" applyNumberFormat="1" applyFont="1" applyBorder="1" applyAlignment="1">
      <alignment horizontal="center"/>
    </xf>
    <xf numFmtId="3" fontId="10" fillId="0" borderId="24" xfId="0" applyNumberFormat="1" applyFont="1" applyBorder="1" applyAlignment="1">
      <alignment horizontal="center"/>
    </xf>
    <xf numFmtId="9" fontId="10" fillId="0" borderId="31" xfId="15" applyFont="1" applyFill="1" applyBorder="1" applyAlignment="1">
      <alignment horizontal="center"/>
    </xf>
    <xf numFmtId="10" fontId="10" fillId="0" borderId="31" xfId="0" applyNumberFormat="1" applyFont="1" applyBorder="1" applyAlignment="1">
      <alignment horizontal="center"/>
    </xf>
    <xf numFmtId="0" fontId="14" fillId="0" borderId="47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10" fontId="10" fillId="24" borderId="0" xfId="0" applyNumberFormat="1" applyFont="1" applyFill="1"/>
    <xf numFmtId="0" fontId="77" fillId="0" borderId="0" xfId="20" applyFont="1" applyAlignment="1">
      <alignment horizontal="left" wrapText="1" readingOrder="1"/>
    </xf>
    <xf numFmtId="0" fontId="78" fillId="0" borderId="0" xfId="0" applyFont="1" applyAlignment="1">
      <alignment vertical="top" wrapText="1"/>
    </xf>
    <xf numFmtId="0" fontId="72" fillId="0" borderId="0" xfId="0" applyFont="1"/>
    <xf numFmtId="3" fontId="78" fillId="0" borderId="0" xfId="0" applyNumberFormat="1" applyFont="1" applyAlignment="1">
      <alignment vertical="top" wrapText="1"/>
    </xf>
    <xf numFmtId="0" fontId="79" fillId="0" borderId="0" xfId="0" applyFont="1"/>
    <xf numFmtId="0" fontId="79" fillId="0" borderId="0" xfId="0" applyFont="1" applyAlignment="1">
      <alignment horizontal="center"/>
    </xf>
    <xf numFmtId="4" fontId="50" fillId="0" borderId="25" xfId="7" applyFont="1" applyFill="1" applyBorder="1">
      <alignment horizontal="right"/>
    </xf>
    <xf numFmtId="4" fontId="50" fillId="0" borderId="80" xfId="7" applyFont="1" applyFill="1" applyBorder="1">
      <alignment horizontal="right"/>
    </xf>
    <xf numFmtId="4" fontId="54" fillId="0" borderId="25" xfId="7" applyFont="1" applyFill="1" applyBorder="1">
      <alignment horizontal="right"/>
    </xf>
    <xf numFmtId="4" fontId="36" fillId="0" borderId="25" xfId="7" applyFont="1" applyFill="1" applyBorder="1">
      <alignment horizontal="right"/>
    </xf>
    <xf numFmtId="4" fontId="36" fillId="0" borderId="27" xfId="7" applyFont="1" applyFill="1" applyBorder="1">
      <alignment horizontal="right"/>
    </xf>
    <xf numFmtId="14" fontId="10" fillId="0" borderId="32" xfId="0" applyNumberFormat="1" applyFont="1" applyBorder="1" applyAlignment="1">
      <alignment horizontal="center" vertical="center" wrapText="1"/>
    </xf>
    <xf numFmtId="3" fontId="6" fillId="0" borderId="96" xfId="33" applyNumberFormat="1" applyBorder="1" applyAlignment="1">
      <alignment horizontal="center"/>
    </xf>
    <xf numFmtId="176" fontId="63" fillId="9" borderId="0" xfId="39" applyNumberFormat="1" applyFont="1" applyFill="1" applyAlignment="1">
      <alignment horizontal="center"/>
    </xf>
    <xf numFmtId="171" fontId="10" fillId="16" borderId="0" xfId="15" applyNumberFormat="1" applyFont="1" applyFill="1" applyAlignment="1">
      <alignment horizontal="center"/>
    </xf>
    <xf numFmtId="172" fontId="10" fillId="16" borderId="0" xfId="0" applyNumberFormat="1" applyFont="1" applyFill="1" applyAlignment="1">
      <alignment horizontal="center"/>
    </xf>
    <xf numFmtId="2" fontId="10" fillId="0" borderId="0" xfId="0" applyNumberFormat="1" applyFont="1" applyAlignment="1">
      <alignment horizontal="center"/>
    </xf>
    <xf numFmtId="0" fontId="44" fillId="4" borderId="31" xfId="0" applyFont="1" applyFill="1" applyBorder="1" applyAlignment="1">
      <alignment horizontal="center"/>
    </xf>
    <xf numFmtId="0" fontId="10" fillId="0" borderId="35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left" vertical="center" wrapText="1"/>
    </xf>
    <xf numFmtId="0" fontId="39" fillId="4" borderId="44" xfId="0" applyFont="1" applyFill="1" applyBorder="1" applyAlignment="1">
      <alignment horizontal="left"/>
    </xf>
    <xf numFmtId="0" fontId="39" fillId="4" borderId="45" xfId="0" applyFont="1" applyFill="1" applyBorder="1" applyAlignment="1">
      <alignment horizontal="left"/>
    </xf>
    <xf numFmtId="0" fontId="39" fillId="4" borderId="46" xfId="0" applyFont="1" applyFill="1" applyBorder="1" applyAlignment="1">
      <alignment horizontal="left"/>
    </xf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28" fillId="0" borderId="31" xfId="0" applyFont="1" applyBorder="1" applyAlignment="1">
      <alignment horizontal="left" vertical="center" wrapText="1"/>
    </xf>
    <xf numFmtId="0" fontId="28" fillId="0" borderId="36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center" wrapText="1"/>
    </xf>
    <xf numFmtId="0" fontId="24" fillId="0" borderId="31" xfId="0" applyFont="1" applyBorder="1" applyAlignment="1">
      <alignment horizontal="center" wrapText="1"/>
    </xf>
    <xf numFmtId="9" fontId="11" fillId="0" borderId="36" xfId="15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9" fillId="0" borderId="31" xfId="0" applyFont="1" applyBorder="1" applyAlignment="1">
      <alignment horizontal="left" vertical="center" wrapText="1"/>
    </xf>
    <xf numFmtId="0" fontId="29" fillId="0" borderId="36" xfId="0" applyFont="1" applyBorder="1" applyAlignment="1">
      <alignment horizontal="left" vertical="center" wrapText="1"/>
    </xf>
    <xf numFmtId="0" fontId="39" fillId="4" borderId="31" xfId="0" applyFont="1" applyFill="1" applyBorder="1" applyAlignment="1">
      <alignment horizontal="center"/>
    </xf>
    <xf numFmtId="0" fontId="39" fillId="4" borderId="36" xfId="0" applyFont="1" applyFill="1" applyBorder="1" applyAlignment="1">
      <alignment horizontal="center"/>
    </xf>
    <xf numFmtId="0" fontId="39" fillId="4" borderId="35" xfId="0" applyFont="1" applyFill="1" applyBorder="1" applyAlignment="1">
      <alignment horizontal="center"/>
    </xf>
    <xf numFmtId="0" fontId="10" fillId="0" borderId="44" xfId="0" applyFont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0" fillId="0" borderId="54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4" fillId="0" borderId="59" xfId="0" applyFont="1" applyBorder="1" applyAlignment="1">
      <alignment horizontal="left" vertical="center" wrapText="1"/>
    </xf>
    <xf numFmtId="0" fontId="10" fillId="8" borderId="60" xfId="0" applyFont="1" applyFill="1" applyBorder="1" applyAlignment="1">
      <alignment horizontal="center" vertical="center" wrapText="1"/>
    </xf>
    <xf numFmtId="0" fontId="14" fillId="8" borderId="61" xfId="0" applyFont="1" applyFill="1" applyBorder="1" applyAlignment="1">
      <alignment horizontal="center" vertical="center" wrapText="1"/>
    </xf>
    <xf numFmtId="0" fontId="15" fillId="0" borderId="7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5" fillId="0" borderId="72" xfId="0" applyFont="1" applyBorder="1" applyAlignment="1">
      <alignment horizontal="left" vertical="center" wrapText="1"/>
    </xf>
    <xf numFmtId="0" fontId="15" fillId="0" borderId="55" xfId="0" applyFont="1" applyBorder="1" applyAlignment="1">
      <alignment horizontal="left" vertical="center"/>
    </xf>
    <xf numFmtId="0" fontId="15" fillId="0" borderId="56" xfId="0" applyFont="1" applyBorder="1" applyAlignment="1">
      <alignment horizontal="left" vertical="center"/>
    </xf>
    <xf numFmtId="0" fontId="15" fillId="0" borderId="74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75" xfId="0" applyFont="1" applyBorder="1" applyAlignment="1">
      <alignment horizontal="left" vertical="center"/>
    </xf>
    <xf numFmtId="0" fontId="15" fillId="0" borderId="76" xfId="0" applyFont="1" applyBorder="1" applyAlignment="1">
      <alignment horizontal="left" vertical="center"/>
    </xf>
    <xf numFmtId="0" fontId="15" fillId="0" borderId="58" xfId="0" applyFont="1" applyBorder="1" applyAlignment="1">
      <alignment horizontal="left" vertical="center"/>
    </xf>
    <xf numFmtId="0" fontId="15" fillId="0" borderId="59" xfId="0" applyFont="1" applyBorder="1" applyAlignment="1">
      <alignment horizontal="left" vertical="center"/>
    </xf>
    <xf numFmtId="0" fontId="57" fillId="11" borderId="62" xfId="0" applyFont="1" applyFill="1" applyBorder="1" applyAlignment="1">
      <alignment horizontal="center" vertical="center" wrapText="1"/>
    </xf>
    <xf numFmtId="0" fontId="18" fillId="11" borderId="62" xfId="0" applyFont="1" applyFill="1" applyBorder="1" applyAlignment="1">
      <alignment horizontal="center" vertical="center" wrapText="1"/>
    </xf>
    <xf numFmtId="0" fontId="18" fillId="11" borderId="63" xfId="0" applyFont="1" applyFill="1" applyBorder="1" applyAlignment="1">
      <alignment horizontal="center" vertical="center" wrapText="1"/>
    </xf>
    <xf numFmtId="0" fontId="39" fillId="4" borderId="64" xfId="0" applyFont="1" applyFill="1" applyBorder="1" applyAlignment="1">
      <alignment horizontal="left"/>
    </xf>
    <xf numFmtId="0" fontId="39" fillId="4" borderId="65" xfId="0" applyFont="1" applyFill="1" applyBorder="1" applyAlignment="1">
      <alignment horizontal="left"/>
    </xf>
    <xf numFmtId="0" fontId="18" fillId="0" borderId="31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169" fontId="11" fillId="0" borderId="36" xfId="0" applyNumberFormat="1" applyFont="1" applyBorder="1" applyAlignment="1">
      <alignment horizontal="center" vertical="center"/>
    </xf>
    <xf numFmtId="0" fontId="39" fillId="4" borderId="35" xfId="0" applyFont="1" applyFill="1" applyBorder="1" applyAlignment="1">
      <alignment horizontal="left"/>
    </xf>
    <xf numFmtId="0" fontId="39" fillId="4" borderId="31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45" fillId="4" borderId="66" xfId="0" applyFont="1" applyFill="1" applyBorder="1" applyAlignment="1">
      <alignment horizontal="center"/>
    </xf>
    <xf numFmtId="0" fontId="45" fillId="4" borderId="67" xfId="0" applyFont="1" applyFill="1" applyBorder="1" applyAlignment="1">
      <alignment horizontal="center"/>
    </xf>
    <xf numFmtId="0" fontId="45" fillId="4" borderId="68" xfId="0" applyFont="1" applyFill="1" applyBorder="1" applyAlignment="1">
      <alignment horizontal="center"/>
    </xf>
    <xf numFmtId="0" fontId="45" fillId="4" borderId="8" xfId="0" applyFont="1" applyFill="1" applyBorder="1" applyAlignment="1">
      <alignment horizontal="center"/>
    </xf>
    <xf numFmtId="0" fontId="45" fillId="4" borderId="14" xfId="0" applyFont="1" applyFill="1" applyBorder="1" applyAlignment="1">
      <alignment horizontal="center"/>
    </xf>
    <xf numFmtId="0" fontId="45" fillId="4" borderId="13" xfId="0" applyFont="1" applyFill="1" applyBorder="1" applyAlignment="1">
      <alignment horizontal="center"/>
    </xf>
    <xf numFmtId="0" fontId="55" fillId="4" borderId="0" xfId="20" applyFont="1" applyFill="1" applyAlignment="1">
      <alignment horizontal="center"/>
    </xf>
    <xf numFmtId="0" fontId="56" fillId="12" borderId="83" xfId="0" applyFont="1" applyFill="1" applyBorder="1" applyAlignment="1">
      <alignment horizontal="center" vertical="center"/>
    </xf>
    <xf numFmtId="0" fontId="56" fillId="12" borderId="85" xfId="0" applyFont="1" applyFill="1" applyBorder="1" applyAlignment="1">
      <alignment horizontal="center" vertical="center"/>
    </xf>
    <xf numFmtId="4" fontId="50" fillId="10" borderId="103" xfId="7" applyFont="1" applyFill="1" applyBorder="1" applyAlignment="1">
      <alignment horizontal="center"/>
    </xf>
    <xf numFmtId="4" fontId="50" fillId="10" borderId="99" xfId="7" applyFont="1" applyFill="1" applyBorder="1" applyAlignment="1">
      <alignment horizontal="center"/>
    </xf>
    <xf numFmtId="4" fontId="50" fillId="10" borderId="104" xfId="7" applyFont="1" applyFill="1" applyBorder="1" applyAlignment="1">
      <alignment horizontal="center"/>
    </xf>
    <xf numFmtId="4" fontId="50" fillId="8" borderId="85" xfId="7" applyFont="1" applyFill="1" applyBorder="1" applyAlignment="1">
      <alignment horizontal="center"/>
    </xf>
    <xf numFmtId="4" fontId="50" fillId="8" borderId="0" xfId="7" applyFont="1" applyFill="1" applyBorder="1" applyAlignment="1">
      <alignment horizontal="center"/>
    </xf>
    <xf numFmtId="4" fontId="50" fillId="8" borderId="86" xfId="7" applyFont="1" applyFill="1" applyBorder="1" applyAlignment="1">
      <alignment horizontal="center"/>
    </xf>
    <xf numFmtId="4" fontId="10" fillId="6" borderId="87" xfId="7" applyFont="1" applyFill="1" applyBorder="1" applyAlignment="1">
      <alignment horizontal="center"/>
    </xf>
    <xf numFmtId="4" fontId="10" fillId="6" borderId="88" xfId="7" applyFont="1" applyFill="1" applyBorder="1" applyAlignment="1">
      <alignment horizontal="center"/>
    </xf>
    <xf numFmtId="4" fontId="10" fillId="6" borderId="89" xfId="7" applyFont="1" applyFill="1" applyBorder="1" applyAlignment="1">
      <alignment horizontal="center"/>
    </xf>
    <xf numFmtId="0" fontId="39" fillId="4" borderId="66" xfId="0" applyFont="1" applyFill="1" applyBorder="1" applyAlignment="1">
      <alignment horizontal="center" vertical="center"/>
    </xf>
    <xf numFmtId="0" fontId="39" fillId="4" borderId="67" xfId="0" applyFont="1" applyFill="1" applyBorder="1" applyAlignment="1">
      <alignment horizontal="center" vertical="center"/>
    </xf>
    <xf numFmtId="0" fontId="39" fillId="4" borderId="68" xfId="0" applyFont="1" applyFill="1" applyBorder="1" applyAlignment="1">
      <alignment horizontal="center" vertical="center"/>
    </xf>
    <xf numFmtId="0" fontId="20" fillId="4" borderId="28" xfId="1" applyFill="1" applyBorder="1" applyAlignment="1">
      <alignment horizontal="center" vertical="center" readingOrder="1"/>
    </xf>
    <xf numFmtId="0" fontId="20" fillId="4" borderId="29" xfId="1" applyFill="1" applyBorder="1" applyAlignment="1">
      <alignment horizontal="center" vertical="center" readingOrder="1"/>
    </xf>
    <xf numFmtId="0" fontId="20" fillId="4" borderId="30" xfId="1" applyFill="1" applyBorder="1" applyAlignment="1">
      <alignment horizontal="center" vertical="center" readingOrder="1"/>
    </xf>
    <xf numFmtId="0" fontId="39" fillId="4" borderId="8" xfId="0" applyFont="1" applyFill="1" applyBorder="1" applyAlignment="1">
      <alignment horizontal="center"/>
    </xf>
    <xf numFmtId="0" fontId="39" fillId="4" borderId="69" xfId="0" applyFont="1" applyFill="1" applyBorder="1" applyAlignment="1">
      <alignment horizontal="center"/>
    </xf>
    <xf numFmtId="0" fontId="41" fillId="0" borderId="16" xfId="0" applyFont="1" applyBorder="1" applyAlignment="1">
      <alignment horizontal="center" vertical="center" wrapText="1"/>
    </xf>
    <xf numFmtId="0" fontId="41" fillId="0" borderId="70" xfId="0" applyFont="1" applyBorder="1" applyAlignment="1">
      <alignment horizontal="center" vertical="center" wrapText="1"/>
    </xf>
    <xf numFmtId="0" fontId="39" fillId="4" borderId="100" xfId="0" applyFont="1" applyFill="1" applyBorder="1" applyAlignment="1">
      <alignment horizontal="center" vertical="center"/>
    </xf>
    <xf numFmtId="0" fontId="39" fillId="4" borderId="101" xfId="0" applyFont="1" applyFill="1" applyBorder="1" applyAlignment="1">
      <alignment horizontal="center" vertical="center"/>
    </xf>
    <xf numFmtId="0" fontId="39" fillId="4" borderId="102" xfId="0" applyFont="1" applyFill="1" applyBorder="1" applyAlignment="1">
      <alignment horizontal="center" vertical="center"/>
    </xf>
    <xf numFmtId="170" fontId="0" fillId="0" borderId="0" xfId="0" applyNumberFormat="1" applyAlignment="1">
      <alignment horizontal="center"/>
    </xf>
    <xf numFmtId="0" fontId="45" fillId="4" borderId="0" xfId="0" applyFont="1" applyFill="1" applyAlignment="1">
      <alignment horizontal="center"/>
    </xf>
    <xf numFmtId="17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4" fillId="0" borderId="3" xfId="33" applyFont="1" applyBorder="1" applyAlignment="1">
      <alignment horizontal="center" vertical="center" wrapText="1"/>
    </xf>
    <xf numFmtId="0" fontId="64" fillId="0" borderId="4" xfId="33" applyFont="1" applyBorder="1" applyAlignment="1">
      <alignment horizontal="center" vertical="center" wrapText="1"/>
    </xf>
    <xf numFmtId="0" fontId="64" fillId="0" borderId="2" xfId="33" applyFont="1" applyBorder="1" applyAlignment="1">
      <alignment horizontal="center" vertical="center" wrapText="1"/>
    </xf>
    <xf numFmtId="0" fontId="64" fillId="0" borderId="3" xfId="33" applyFont="1" applyBorder="1" applyAlignment="1">
      <alignment horizontal="left" vertical="center"/>
    </xf>
    <xf numFmtId="0" fontId="64" fillId="0" borderId="4" xfId="33" applyFont="1" applyBorder="1" applyAlignment="1">
      <alignment horizontal="left" vertical="center"/>
    </xf>
    <xf numFmtId="0" fontId="64" fillId="0" borderId="2" xfId="33" applyFont="1" applyBorder="1" applyAlignment="1">
      <alignment horizontal="left" vertical="center"/>
    </xf>
    <xf numFmtId="0" fontId="45" fillId="4" borderId="0" xfId="33" applyFont="1" applyFill="1" applyAlignment="1">
      <alignment horizontal="center"/>
    </xf>
    <xf numFmtId="0" fontId="15" fillId="0" borderId="96" xfId="33" applyFont="1" applyBorder="1" applyAlignment="1">
      <alignment horizontal="center" vertical="center" wrapText="1"/>
    </xf>
    <xf numFmtId="0" fontId="64" fillId="0" borderId="3" xfId="33" applyFont="1" applyBorder="1" applyAlignment="1">
      <alignment horizontal="center" vertical="center"/>
    </xf>
    <xf numFmtId="0" fontId="64" fillId="0" borderId="4" xfId="33" applyFont="1" applyBorder="1" applyAlignment="1">
      <alignment horizontal="center" vertical="center"/>
    </xf>
    <xf numFmtId="0" fontId="64" fillId="0" borderId="2" xfId="33" applyFont="1" applyBorder="1" applyAlignment="1">
      <alignment horizontal="center" vertical="center"/>
    </xf>
    <xf numFmtId="0" fontId="64" fillId="0" borderId="96" xfId="33" applyFont="1" applyBorder="1" applyAlignment="1">
      <alignment horizontal="left" vertical="center" wrapText="1"/>
    </xf>
    <xf numFmtId="0" fontId="11" fillId="0" borderId="0" xfId="24" applyFont="1" applyAlignment="1">
      <alignment horizontal="center"/>
    </xf>
    <xf numFmtId="0" fontId="60" fillId="0" borderId="0" xfId="24" applyFont="1" applyAlignment="1">
      <alignment horizontal="center"/>
    </xf>
    <xf numFmtId="0" fontId="63" fillId="0" borderId="0" xfId="24" applyFont="1" applyAlignment="1">
      <alignment horizontal="center"/>
    </xf>
  </cellXfs>
  <cellStyles count="40">
    <cellStyle name="blp_title_header_row_left" xfId="1" xr:uid="{00000000-0005-0000-0000-000000000000}"/>
    <cellStyle name="fa_column_header_bottom_left 2" xfId="2" xr:uid="{00000000-0005-0000-0000-000002000000}"/>
    <cellStyle name="fa_column_header_top 2" xfId="3" xr:uid="{00000000-0005-0000-0000-000003000000}"/>
    <cellStyle name="fa_column_header_top_left 2" xfId="4" xr:uid="{00000000-0005-0000-0000-000004000000}"/>
    <cellStyle name="fa_data_bold_0_grouped" xfId="5" xr:uid="{00000000-0005-0000-0000-000005000000}"/>
    <cellStyle name="fa_data_standard_1_grouped" xfId="6" xr:uid="{00000000-0005-0000-0000-000006000000}"/>
    <cellStyle name="fa_data_standard_2_grouped" xfId="7" xr:uid="{00000000-0005-0000-0000-000007000000}"/>
    <cellStyle name="fa_row_header_bold 2" xfId="8" xr:uid="{00000000-0005-0000-0000-000008000000}"/>
    <cellStyle name="fa_row_header_standard 2" xfId="9" xr:uid="{00000000-0005-0000-0000-000009000000}"/>
    <cellStyle name="Hiperligação" xfId="10" builtinId="8"/>
    <cellStyle name="Millares 2" xfId="29" xr:uid="{00000000-0005-0000-0000-00000B000000}"/>
    <cellStyle name="Moeda" xfId="39" builtinId="4"/>
    <cellStyle name="Moneda 2" xfId="11" xr:uid="{00000000-0005-0000-0000-00000C000000}"/>
    <cellStyle name="Moneda 2 2" xfId="12" xr:uid="{00000000-0005-0000-0000-00000D000000}"/>
    <cellStyle name="Moneda 2 2 2" xfId="22" xr:uid="{00000000-0005-0000-0000-00000E000000}"/>
    <cellStyle name="Moneda 2 3" xfId="21" xr:uid="{00000000-0005-0000-0000-00000F000000}"/>
    <cellStyle name="Moneda 3" xfId="30" xr:uid="{00000000-0005-0000-0000-000010000000}"/>
    <cellStyle name="Normal" xfId="0" builtinId="0"/>
    <cellStyle name="Normal 2" xfId="13" xr:uid="{00000000-0005-0000-0000-000012000000}"/>
    <cellStyle name="Normal 2 2" xfId="14" xr:uid="{00000000-0005-0000-0000-000013000000}"/>
    <cellStyle name="Normal 2 2 2" xfId="24" xr:uid="{00000000-0005-0000-0000-000014000000}"/>
    <cellStyle name="Normal 2 3" xfId="19" xr:uid="{00000000-0005-0000-0000-000015000000}"/>
    <cellStyle name="Normal 2 3 2" xfId="28" xr:uid="{00000000-0005-0000-0000-000016000000}"/>
    <cellStyle name="Normal 2 4" xfId="23" xr:uid="{00000000-0005-0000-0000-000017000000}"/>
    <cellStyle name="Normal 2 4 2" xfId="31" xr:uid="{00000000-0005-0000-0000-000018000000}"/>
    <cellStyle name="Normal 3" xfId="38" xr:uid="{00000000-0005-0000-0000-000019000000}"/>
    <cellStyle name="Normal 3 2" xfId="20" xr:uid="{00000000-0005-0000-0000-00001A000000}"/>
    <cellStyle name="Normal 3 3" xfId="32" xr:uid="{00000000-0005-0000-0000-00001B000000}"/>
    <cellStyle name="Normal 3 3 2" xfId="33" xr:uid="{00000000-0005-0000-0000-00001C000000}"/>
    <cellStyle name="Normal 5" xfId="34" xr:uid="{00000000-0005-0000-0000-00001D000000}"/>
    <cellStyle name="Percentagem" xfId="15" builtinId="5"/>
    <cellStyle name="Porcentaje 2" xfId="16" xr:uid="{00000000-0005-0000-0000-00001F000000}"/>
    <cellStyle name="Porcentaje 2 2" xfId="17" xr:uid="{00000000-0005-0000-0000-000020000000}"/>
    <cellStyle name="Porcentaje 2 2 2" xfId="26" xr:uid="{00000000-0005-0000-0000-000021000000}"/>
    <cellStyle name="Porcentaje 2 3" xfId="25" xr:uid="{00000000-0005-0000-0000-000022000000}"/>
    <cellStyle name="Porcentaje 3" xfId="18" xr:uid="{00000000-0005-0000-0000-000023000000}"/>
    <cellStyle name="Porcentaje 3 2" xfId="27" xr:uid="{00000000-0005-0000-0000-000024000000}"/>
    <cellStyle name="Porcentaje 4 2" xfId="36" xr:uid="{00000000-0005-0000-0000-000025000000}"/>
    <cellStyle name="Porcentaje 5" xfId="35" xr:uid="{00000000-0005-0000-0000-000026000000}"/>
    <cellStyle name="Vírgula" xfId="37" builtinId="3"/>
  </cellStyles>
  <dxfs count="0"/>
  <tableStyles count="0" defaultTableStyle="TableStyleMedium9" defaultPivotStyle="PivotStyleLight16"/>
  <colors>
    <mruColors>
      <color rgb="FFFF3399"/>
      <color rgb="FFE838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D6-40DE-82A1-0FA536C64509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D6-40DE-82A1-0FA536C64509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D6-40DE-82A1-0FA536C64509}"/>
              </c:ext>
            </c:extLst>
          </c:dPt>
          <c:cat>
            <c:strRef>
              <c:f>DCF!$B$35:$F$35</c:f>
              <c:strCache>
                <c:ptCount val="5"/>
                <c:pt idx="0">
                  <c:v>2019 (Real)</c:v>
                </c:pt>
                <c:pt idx="1">
                  <c:v>2020 (Real)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DCF!$B$37:$F$37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D6-40DE-82A1-0FA536C64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295536"/>
        <c:axId val="469723232"/>
      </c:lineChart>
      <c:catAx>
        <c:axId val="46829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723232"/>
        <c:crosses val="autoZero"/>
        <c:auto val="0"/>
        <c:lblAlgn val="ctr"/>
        <c:lblOffset val="100"/>
        <c:noMultiLvlLbl val="0"/>
      </c:catAx>
      <c:valAx>
        <c:axId val="4697232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8295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52-4BF1-A341-E431ACE2ED99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52-4BF1-A341-E431ACE2ED99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52-4BF1-A341-E431ACE2ED99}"/>
              </c:ext>
            </c:extLst>
          </c:dPt>
          <c:cat>
            <c:strRef>
              <c:f>DCF!$B$35:$F$35</c:f>
              <c:strCache>
                <c:ptCount val="5"/>
                <c:pt idx="0">
                  <c:v>2019 (Real)</c:v>
                </c:pt>
                <c:pt idx="1">
                  <c:v>2020 (Real)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DCF!$B$38:$F$38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0.29593021537936248</c:v>
                </c:pt>
                <c:pt idx="3">
                  <c:v>0.28617540807249875</c:v>
                </c:pt>
                <c:pt idx="4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52-4BF1-A341-E431ACE2E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725472"/>
        <c:axId val="469726032"/>
      </c:lineChart>
      <c:catAx>
        <c:axId val="46972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726032"/>
        <c:crosses val="autoZero"/>
        <c:auto val="1"/>
        <c:lblAlgn val="ctr"/>
        <c:lblOffset val="100"/>
        <c:noMultiLvlLbl val="0"/>
      </c:catAx>
      <c:valAx>
        <c:axId val="469726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7254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92336380204484"/>
          <c:y val="3.5969349607330517E-2"/>
          <c:w val="0.84839388374040381"/>
          <c:h val="0.7760427785426625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0B-4B55-856C-0152686CCD41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0B-4B55-856C-0152686CCD41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0B-4B55-856C-0152686CCD41}"/>
              </c:ext>
            </c:extLst>
          </c:dPt>
          <c:cat>
            <c:strRef>
              <c:f>DCF!$B$35:$F$35</c:f>
              <c:strCache>
                <c:ptCount val="5"/>
                <c:pt idx="0">
                  <c:v>2019 (Real)</c:v>
                </c:pt>
                <c:pt idx="1">
                  <c:v>2020 (Real)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DCF!$B$47:$F$47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10000</c:v>
                </c:pt>
                <c:pt idx="3">
                  <c:v>10408</c:v>
                </c:pt>
                <c:pt idx="4">
                  <c:v>11594.511999999999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0B-4B55-856C-0152686C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728272"/>
        <c:axId val="469728832"/>
      </c:lineChart>
      <c:catAx>
        <c:axId val="46972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728832"/>
        <c:crosses val="autoZero"/>
        <c:auto val="0"/>
        <c:lblAlgn val="ctr"/>
        <c:lblOffset val="100"/>
        <c:noMultiLvlLbl val="0"/>
      </c:catAx>
      <c:valAx>
        <c:axId val="469728832"/>
        <c:scaling>
          <c:orientation val="minMax"/>
          <c:max val="2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697282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BB-4662-B16E-6E91A3BCDBBD}"/>
              </c:ext>
            </c:extLst>
          </c:dPt>
          <c:dPt>
            <c:idx val="3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BB-4662-B16E-6E91A3BCDBBD}"/>
              </c:ext>
            </c:extLst>
          </c:dPt>
          <c:dPt>
            <c:idx val="4"/>
            <c:bubble3D val="0"/>
            <c:spPr>
              <a:ln w="28575" cap="rnd">
                <a:solidFill>
                  <a:schemeClr val="accent1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BB-4662-B16E-6E91A3BCDBBD}"/>
              </c:ext>
            </c:extLst>
          </c:dPt>
          <c:cat>
            <c:strRef>
              <c:f>DCF!$B$35:$F$35</c:f>
              <c:strCache>
                <c:ptCount val="5"/>
                <c:pt idx="0">
                  <c:v>2019 (Real)</c:v>
                </c:pt>
                <c:pt idx="1">
                  <c:v>2020 (Real)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DCF!$B$46:$F$46</c:f>
              <c:numCache>
                <c:formatCode>"$"#,##0</c:formatCode>
                <c:ptCount val="5"/>
                <c:pt idx="0">
                  <c:v>58073</c:v>
                </c:pt>
                <c:pt idx="1">
                  <c:v>61045</c:v>
                </c:pt>
                <c:pt idx="2">
                  <c:v>-2894.6311000000005</c:v>
                </c:pt>
                <c:pt idx="3">
                  <c:v>-2967.8224275000002</c:v>
                </c:pt>
                <c:pt idx="4">
                  <c:v>-3150.5636857162503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BB-4662-B16E-6E91A3BCD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143824"/>
        <c:axId val="471144384"/>
      </c:lineChart>
      <c:catAx>
        <c:axId val="47114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144384"/>
        <c:crosses val="autoZero"/>
        <c:auto val="1"/>
        <c:lblAlgn val="ctr"/>
        <c:lblOffset val="100"/>
        <c:noMultiLvlLbl val="0"/>
      </c:catAx>
      <c:valAx>
        <c:axId val="471144384"/>
        <c:scaling>
          <c:orientation val="minMax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11438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14</xdr:col>
      <xdr:colOff>304800</xdr:colOff>
      <xdr:row>3</xdr:row>
      <xdr:rowOff>304800</xdr:rowOff>
    </xdr:to>
    <xdr:sp macro="" textlink="">
      <xdr:nvSpPr>
        <xdr:cNvPr id="2096" name="AutoShape 48" descr="Resultado de imagen para heidelbergcement">
          <a:extLst>
            <a:ext uri="{FF2B5EF4-FFF2-40B4-BE49-F238E27FC236}">
              <a16:creationId xmlns:a16="http://schemas.microsoft.com/office/drawing/2014/main" id="{EBAF9DAF-18D3-4875-8FFF-AEB741FF11AC}"/>
            </a:ext>
          </a:extLst>
        </xdr:cNvPr>
        <xdr:cNvSpPr>
          <a:spLocks noChangeAspect="1" noChangeArrowheads="1"/>
        </xdr:cNvSpPr>
      </xdr:nvSpPr>
      <xdr:spPr bwMode="auto">
        <a:xfrm>
          <a:off x="15001875" y="8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304800</xdr:colOff>
      <xdr:row>3</xdr:row>
      <xdr:rowOff>304800</xdr:rowOff>
    </xdr:to>
    <xdr:sp macro="" textlink="">
      <xdr:nvSpPr>
        <xdr:cNvPr id="2097" name="AutoShape 49" descr="Resultado de imagen para heidelbergcement">
          <a:extLst>
            <a:ext uri="{FF2B5EF4-FFF2-40B4-BE49-F238E27FC236}">
              <a16:creationId xmlns:a16="http://schemas.microsoft.com/office/drawing/2014/main" id="{1AED6D21-AC79-48CB-9928-5DBD43CA26F1}"/>
            </a:ext>
          </a:extLst>
        </xdr:cNvPr>
        <xdr:cNvSpPr>
          <a:spLocks noChangeAspect="1" noChangeArrowheads="1"/>
        </xdr:cNvSpPr>
      </xdr:nvSpPr>
      <xdr:spPr bwMode="auto">
        <a:xfrm>
          <a:off x="15001875" y="8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5</xdr:col>
      <xdr:colOff>695325</xdr:colOff>
      <xdr:row>21</xdr:row>
      <xdr:rowOff>161924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F9330C-25CE-45E1-BA4E-66296A4EDD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81" t="20576" r="25833" b="16526"/>
        <a:stretch/>
      </xdr:blipFill>
      <xdr:spPr>
        <a:xfrm>
          <a:off x="0" y="361950"/>
          <a:ext cx="4505325" cy="3200399"/>
        </a:xfrm>
        <a:prstGeom prst="rect">
          <a:avLst/>
        </a:prstGeom>
      </xdr:spPr>
    </xdr:pic>
    <xdr:clientData/>
  </xdr:twoCellAnchor>
  <xdr:twoCellAnchor editAs="oneCell">
    <xdr:from>
      <xdr:col>5</xdr:col>
      <xdr:colOff>742951</xdr:colOff>
      <xdr:row>2</xdr:row>
      <xdr:rowOff>19050</xdr:rowOff>
    </xdr:from>
    <xdr:to>
      <xdr:col>12</xdr:col>
      <xdr:colOff>590550</xdr:colOff>
      <xdr:row>26</xdr:row>
      <xdr:rowOff>17452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3DB5B5-D2AB-4357-9042-072F61CBB8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5436" t="14585" r="5186" b="6238"/>
        <a:stretch/>
      </xdr:blipFill>
      <xdr:spPr>
        <a:xfrm>
          <a:off x="4552951" y="342900"/>
          <a:ext cx="5181599" cy="3884602"/>
        </a:xfrm>
        <a:prstGeom prst="rect">
          <a:avLst/>
        </a:prstGeom>
      </xdr:spPr>
    </xdr:pic>
    <xdr:clientData/>
  </xdr:twoCellAnchor>
  <xdr:twoCellAnchor editAs="oneCell">
    <xdr:from>
      <xdr:col>12</xdr:col>
      <xdr:colOff>733424</xdr:colOff>
      <xdr:row>1</xdr:row>
      <xdr:rowOff>152399</xdr:rowOff>
    </xdr:from>
    <xdr:to>
      <xdr:col>19</xdr:col>
      <xdr:colOff>200025</xdr:colOff>
      <xdr:row>25</xdr:row>
      <xdr:rowOff>104774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698728-CF09-4265-A947-5121BAAFCF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645" t="21877" r="37108" b="5196"/>
        <a:stretch/>
      </xdr:blipFill>
      <xdr:spPr>
        <a:xfrm>
          <a:off x="9877424" y="314324"/>
          <a:ext cx="4800601" cy="3838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22</xdr:row>
      <xdr:rowOff>0</xdr:rowOff>
    </xdr:from>
    <xdr:to>
      <xdr:col>4</xdr:col>
      <xdr:colOff>304800</xdr:colOff>
      <xdr:row>23</xdr:row>
      <xdr:rowOff>142875</xdr:rowOff>
    </xdr:to>
    <xdr:sp macro="" textlink="">
      <xdr:nvSpPr>
        <xdr:cNvPr id="914922" name="AutoShape 232" descr="Resultado de imagen para beer consumption trend">
          <a:extLst>
            <a:ext uri="{FF2B5EF4-FFF2-40B4-BE49-F238E27FC236}">
              <a16:creationId xmlns:a16="http://schemas.microsoft.com/office/drawing/2014/main" id="{290ADD27-FE0C-4C99-AF77-3098E89BD849}"/>
            </a:ext>
          </a:extLst>
        </xdr:cNvPr>
        <xdr:cNvSpPr>
          <a:spLocks noChangeAspect="1" noChangeArrowheads="1"/>
        </xdr:cNvSpPr>
      </xdr:nvSpPr>
      <xdr:spPr bwMode="auto">
        <a:xfrm>
          <a:off x="7829550" y="12001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304800</xdr:colOff>
      <xdr:row>23</xdr:row>
      <xdr:rowOff>139065</xdr:rowOff>
    </xdr:to>
    <xdr:sp macro="" textlink="">
      <xdr:nvSpPr>
        <xdr:cNvPr id="914923" name="AutoShape 233" descr="Resultado de imagen para beer consumption trend">
          <a:extLst>
            <a:ext uri="{FF2B5EF4-FFF2-40B4-BE49-F238E27FC236}">
              <a16:creationId xmlns:a16="http://schemas.microsoft.com/office/drawing/2014/main" id="{76C615DC-9449-489C-838D-7501FF91B816}"/>
            </a:ext>
          </a:extLst>
        </xdr:cNvPr>
        <xdr:cNvSpPr>
          <a:spLocks noChangeAspect="1" noChangeArrowheads="1"/>
        </xdr:cNvSpPr>
      </xdr:nvSpPr>
      <xdr:spPr bwMode="auto">
        <a:xfrm>
          <a:off x="7067550" y="21812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161925</xdr:rowOff>
    </xdr:from>
    <xdr:to>
      <xdr:col>3</xdr:col>
      <xdr:colOff>438150</xdr:colOff>
      <xdr:row>14</xdr:row>
      <xdr:rowOff>95250</xdr:rowOff>
    </xdr:to>
    <xdr:graphicFrame macro="">
      <xdr:nvGraphicFramePr>
        <xdr:cNvPr id="69183" name="Gráfico 1">
          <a:extLst>
            <a:ext uri="{FF2B5EF4-FFF2-40B4-BE49-F238E27FC236}">
              <a16:creationId xmlns:a16="http://schemas.microsoft.com/office/drawing/2014/main" id="{77D8D2A6-31C8-436A-8BAC-BCB6DD15A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523875</xdr:colOff>
      <xdr:row>3</xdr:row>
      <xdr:rowOff>19050</xdr:rowOff>
    </xdr:from>
    <xdr:to>
      <xdr:col>9</xdr:col>
      <xdr:colOff>0</xdr:colOff>
      <xdr:row>14</xdr:row>
      <xdr:rowOff>85725</xdr:rowOff>
    </xdr:to>
    <xdr:graphicFrame macro="">
      <xdr:nvGraphicFramePr>
        <xdr:cNvPr id="69184" name="Gráfico 2">
          <a:extLst>
            <a:ext uri="{FF2B5EF4-FFF2-40B4-BE49-F238E27FC236}">
              <a16:creationId xmlns:a16="http://schemas.microsoft.com/office/drawing/2014/main" id="{9B781514-F142-49A5-BB8C-98E772FF4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16</xdr:row>
      <xdr:rowOff>28575</xdr:rowOff>
    </xdr:from>
    <xdr:to>
      <xdr:col>3</xdr:col>
      <xdr:colOff>457200</xdr:colOff>
      <xdr:row>27</xdr:row>
      <xdr:rowOff>123825</xdr:rowOff>
    </xdr:to>
    <xdr:graphicFrame macro="">
      <xdr:nvGraphicFramePr>
        <xdr:cNvPr id="69185" name="Gráfico 4">
          <a:extLst>
            <a:ext uri="{FF2B5EF4-FFF2-40B4-BE49-F238E27FC236}">
              <a16:creationId xmlns:a16="http://schemas.microsoft.com/office/drawing/2014/main" id="{F1BF886D-8D8C-489D-980F-D5383E1E7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542925</xdr:colOff>
      <xdr:row>16</xdr:row>
      <xdr:rowOff>38100</xdr:rowOff>
    </xdr:from>
    <xdr:to>
      <xdr:col>9</xdr:col>
      <xdr:colOff>19050</xdr:colOff>
      <xdr:row>27</xdr:row>
      <xdr:rowOff>104775</xdr:rowOff>
    </xdr:to>
    <xdr:graphicFrame macro="">
      <xdr:nvGraphicFramePr>
        <xdr:cNvPr id="69186" name="Gráfico 5">
          <a:extLst>
            <a:ext uri="{FF2B5EF4-FFF2-40B4-BE49-F238E27FC236}">
              <a16:creationId xmlns:a16="http://schemas.microsoft.com/office/drawing/2014/main" id="{AB6311A8-5D3E-4293-82B3-E0C5B246C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stemas/AppData/Local/Temp/Bloomberg/data/XI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CapH"/>
      <sheetName val="PricesH"/>
      <sheetName val="ControlsH"/>
      <sheetName val="DataH"/>
      <sheetName val="Overview"/>
      <sheetName val="Peers"/>
      <sheetName val="Owners"/>
      <sheetName val="Help"/>
      <sheetName val="Indices"/>
      <sheetName val="Financials"/>
      <sheetName val="Ratings"/>
      <sheetName val="EST Brokers"/>
      <sheetName val="EST Detail"/>
      <sheetName val="VAL Graphs"/>
    </sheetNames>
    <sheetDataSet>
      <sheetData sheetId="0" refreshError="1"/>
      <sheetData sheetId="1" refreshError="1"/>
      <sheetData sheetId="2" refreshError="1">
        <row r="3">
          <cell r="B3" t="str">
            <v>SPX</v>
          </cell>
          <cell r="C3" t="e">
            <v>#REF!</v>
          </cell>
          <cell r="E3">
            <v>1</v>
          </cell>
          <cell r="F3">
            <v>1</v>
          </cell>
          <cell r="G3">
            <v>1</v>
          </cell>
          <cell r="H3">
            <v>1</v>
          </cell>
          <cell r="I3">
            <v>1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</row>
        <row r="6">
          <cell r="B6" t="str">
            <v>APPLE INC</v>
          </cell>
        </row>
        <row r="9">
          <cell r="B9" t="str">
            <v>USD</v>
          </cell>
        </row>
        <row r="13">
          <cell r="B13" t="str">
            <v>Equal Weight</v>
          </cell>
        </row>
        <row r="15">
          <cell r="B15" t="str">
            <v>AAPL US</v>
          </cell>
        </row>
        <row r="21">
          <cell r="B21" t="str">
            <v>Local</v>
          </cell>
        </row>
        <row r="22">
          <cell r="B22" t="str">
            <v>Euro</v>
          </cell>
        </row>
        <row r="23">
          <cell r="B23" t="str">
            <v>U.S. Dollar</v>
          </cell>
        </row>
        <row r="24">
          <cell r="B24" t="str">
            <v>British Pounds</v>
          </cell>
        </row>
        <row r="25">
          <cell r="B25" t="str">
            <v>Canadian Dollar</v>
          </cell>
        </row>
        <row r="26">
          <cell r="B26" t="str">
            <v>Japanese Yen</v>
          </cell>
        </row>
        <row r="27">
          <cell r="B27" t="str">
            <v>Afghanistan Afghani</v>
          </cell>
        </row>
        <row r="28">
          <cell r="B28" t="str">
            <v>Albanian Lek</v>
          </cell>
        </row>
        <row r="29">
          <cell r="B29" t="str">
            <v>Algerian Dinar</v>
          </cell>
        </row>
        <row r="30">
          <cell r="B30" t="str">
            <v>Angolan New Kwanza</v>
          </cell>
        </row>
        <row r="31">
          <cell r="B31" t="str">
            <v>Argentine Peso</v>
          </cell>
        </row>
        <row r="32">
          <cell r="B32" t="str">
            <v>Armenia Dram</v>
          </cell>
        </row>
        <row r="33">
          <cell r="B33" t="str">
            <v>Aruban Guilder</v>
          </cell>
        </row>
        <row r="34">
          <cell r="B34" t="str">
            <v>Australian Dollar</v>
          </cell>
          <cell r="G34" t="str">
            <v>2020-12-31</v>
          </cell>
        </row>
        <row r="35">
          <cell r="B35" t="str">
            <v>Austrian Schilling *</v>
          </cell>
          <cell r="F35" t="str">
            <v>Equal Weight</v>
          </cell>
        </row>
        <row r="36">
          <cell r="B36" t="str">
            <v>Azerbaijan Manat</v>
          </cell>
          <cell r="F36" t="str">
            <v>Market Cap Weight</v>
          </cell>
        </row>
        <row r="37">
          <cell r="B37" t="str">
            <v>Bahamas Dollar</v>
          </cell>
        </row>
        <row r="38">
          <cell r="B38" t="str">
            <v>Bahraini Dinar</v>
          </cell>
        </row>
        <row r="39">
          <cell r="B39" t="str">
            <v>Bangladesh Taka</v>
          </cell>
        </row>
        <row r="40">
          <cell r="B40" t="str">
            <v>Barbados Dollar</v>
          </cell>
        </row>
        <row r="41">
          <cell r="B41" t="str">
            <v>Belarus Rouble</v>
          </cell>
        </row>
        <row r="42">
          <cell r="B42" t="str">
            <v>Belgian Franc *</v>
          </cell>
        </row>
        <row r="43">
          <cell r="B43" t="str">
            <v>Belize Dollar</v>
          </cell>
        </row>
        <row r="44">
          <cell r="B44" t="str">
            <v>Bermuda Dollar</v>
          </cell>
        </row>
        <row r="45">
          <cell r="B45" t="str">
            <v>British Pence</v>
          </cell>
        </row>
        <row r="46">
          <cell r="B46" t="str">
            <v>Bhutan Ngultrum</v>
          </cell>
        </row>
        <row r="47">
          <cell r="B47" t="str">
            <v>Bolivian Boliviano</v>
          </cell>
        </row>
        <row r="48">
          <cell r="B48" t="str">
            <v>Botswana Pula</v>
          </cell>
        </row>
        <row r="49">
          <cell r="B49" t="str">
            <v>Brazilian Real</v>
          </cell>
        </row>
        <row r="50">
          <cell r="B50" t="str">
            <v>Brunei Dollar</v>
          </cell>
        </row>
        <row r="51">
          <cell r="B51" t="str">
            <v>Bulgarian Lev</v>
          </cell>
        </row>
        <row r="52">
          <cell r="B52" t="str">
            <v>Burundi Franc</v>
          </cell>
        </row>
        <row r="53">
          <cell r="B53" t="str">
            <v>C.F.A Franc</v>
          </cell>
        </row>
        <row r="54">
          <cell r="B54" t="str">
            <v>C.F.P Franc</v>
          </cell>
        </row>
        <row r="55">
          <cell r="B55" t="str">
            <v>Cambodian Riel</v>
          </cell>
        </row>
        <row r="56">
          <cell r="B56" t="str">
            <v>Cape Verde Is. Escudo</v>
          </cell>
        </row>
        <row r="57">
          <cell r="B57" t="str">
            <v>Cayman Islands Dollar</v>
          </cell>
        </row>
        <row r="58">
          <cell r="B58" t="str">
            <v>Chilean Peso</v>
          </cell>
        </row>
        <row r="59">
          <cell r="B59" t="str">
            <v>Chile U.F.</v>
          </cell>
        </row>
        <row r="60">
          <cell r="B60" t="str">
            <v>China Renminbi</v>
          </cell>
        </row>
        <row r="61">
          <cell r="B61" t="str">
            <v>Colombian Peso</v>
          </cell>
        </row>
        <row r="62">
          <cell r="B62" t="str">
            <v>Comoros Franc</v>
          </cell>
        </row>
        <row r="63">
          <cell r="B63" t="str">
            <v>Costa Rica Colon</v>
          </cell>
        </row>
        <row r="64">
          <cell r="B64" t="str">
            <v>Croation Kuna</v>
          </cell>
        </row>
        <row r="65">
          <cell r="B65" t="str">
            <v>Cuban Peso</v>
          </cell>
        </row>
        <row r="66">
          <cell r="B66" t="str">
            <v>Cyprus Pound</v>
          </cell>
        </row>
        <row r="67">
          <cell r="B67" t="str">
            <v>Czechoslovakia Koruna</v>
          </cell>
        </row>
        <row r="68">
          <cell r="B68" t="str">
            <v>Danish Krone</v>
          </cell>
        </row>
        <row r="69">
          <cell r="B69" t="str">
            <v>Djibouti Franc</v>
          </cell>
        </row>
        <row r="70">
          <cell r="B70" t="str">
            <v>Dominican Republic Peso</v>
          </cell>
        </row>
        <row r="71">
          <cell r="B71" t="str">
            <v>East Caribbean Dollar</v>
          </cell>
        </row>
        <row r="72">
          <cell r="B72" t="str">
            <v>East German Ostmark</v>
          </cell>
        </row>
        <row r="73">
          <cell r="B73" t="str">
            <v>Ecuador Sucre</v>
          </cell>
        </row>
        <row r="74">
          <cell r="B74" t="str">
            <v>Egyptian Pound</v>
          </cell>
        </row>
        <row r="75">
          <cell r="B75" t="str">
            <v>El Salvador Colon</v>
          </cell>
        </row>
        <row r="76">
          <cell r="B76" t="str">
            <v>Estonian Kroon</v>
          </cell>
        </row>
        <row r="77">
          <cell r="B77" t="str">
            <v>Ethiopian Birr</v>
          </cell>
        </row>
        <row r="78">
          <cell r="B78" t="str">
            <v>Falkland Island Pound</v>
          </cell>
        </row>
        <row r="79">
          <cell r="B79" t="str">
            <v>Fiji Dollar</v>
          </cell>
        </row>
        <row r="80">
          <cell r="B80" t="str">
            <v>Finnish Markka *</v>
          </cell>
        </row>
        <row r="81">
          <cell r="B81" t="str">
            <v>French Franc *</v>
          </cell>
        </row>
        <row r="82">
          <cell r="B82" t="str">
            <v>Gambia Dalasi</v>
          </cell>
        </row>
        <row r="83">
          <cell r="B83" t="str">
            <v>Georgian Coupon</v>
          </cell>
        </row>
        <row r="84">
          <cell r="B84" t="str">
            <v>German Deutschemark *</v>
          </cell>
        </row>
        <row r="85">
          <cell r="B85" t="str">
            <v>Ghana Cedi</v>
          </cell>
        </row>
        <row r="86">
          <cell r="B86" t="str">
            <v>Gibraltar Pound</v>
          </cell>
        </row>
        <row r="87">
          <cell r="B87" t="str">
            <v>Greek Drachma *</v>
          </cell>
        </row>
        <row r="88">
          <cell r="B88" t="str">
            <v>Guatemala Quentzal</v>
          </cell>
        </row>
        <row r="89">
          <cell r="B89" t="str">
            <v>Guinea Franc</v>
          </cell>
        </row>
        <row r="90">
          <cell r="B90" t="str">
            <v>Guinea-Bissau Peso</v>
          </cell>
        </row>
        <row r="91">
          <cell r="B91" t="str">
            <v>Guyana Dollar</v>
          </cell>
        </row>
        <row r="92">
          <cell r="B92" t="str">
            <v>Haiti Gourde</v>
          </cell>
        </row>
        <row r="93">
          <cell r="B93" t="str">
            <v>Honduras Lempira</v>
          </cell>
        </row>
        <row r="94">
          <cell r="B94" t="str">
            <v>Hong Kong Dollar</v>
          </cell>
        </row>
        <row r="95">
          <cell r="B95" t="str">
            <v>Hungarian Forint</v>
          </cell>
        </row>
        <row r="96">
          <cell r="B96" t="str">
            <v>Icelandic Krona</v>
          </cell>
        </row>
        <row r="97">
          <cell r="B97" t="str">
            <v>Indian Rupee</v>
          </cell>
        </row>
        <row r="98">
          <cell r="B98" t="str">
            <v>Indonesian Rupiah</v>
          </cell>
        </row>
        <row r="99">
          <cell r="B99" t="str">
            <v>Iran Rial</v>
          </cell>
        </row>
        <row r="100">
          <cell r="B100" t="str">
            <v>Iraqi Dinar</v>
          </cell>
        </row>
        <row r="101">
          <cell r="B101" t="str">
            <v>Irish Punt</v>
          </cell>
        </row>
        <row r="102">
          <cell r="B102" t="str">
            <v>Israeli Shekel</v>
          </cell>
        </row>
        <row r="103">
          <cell r="B103" t="str">
            <v>Italian Lire *</v>
          </cell>
        </row>
        <row r="104">
          <cell r="B104" t="str">
            <v>Jamaican Dollar</v>
          </cell>
        </row>
        <row r="105">
          <cell r="B105" t="str">
            <v>Jordanian Diner</v>
          </cell>
        </row>
        <row r="106">
          <cell r="B106" t="str">
            <v>Kazakhstan Tenge</v>
          </cell>
        </row>
        <row r="107">
          <cell r="B107" t="str">
            <v>Kenya Shilling</v>
          </cell>
        </row>
        <row r="108">
          <cell r="B108" t="str">
            <v>Kuwait Dinar</v>
          </cell>
        </row>
        <row r="109">
          <cell r="B109" t="str">
            <v>Kyrgystan Som</v>
          </cell>
        </row>
        <row r="110">
          <cell r="B110" t="str">
            <v>Laos New Kip</v>
          </cell>
        </row>
        <row r="111">
          <cell r="B111" t="str">
            <v>Latvian Lats</v>
          </cell>
        </row>
        <row r="112">
          <cell r="B112" t="str">
            <v>Lebanese Pound</v>
          </cell>
        </row>
        <row r="113">
          <cell r="B113" t="str">
            <v>Legacy National Currency</v>
          </cell>
        </row>
        <row r="114">
          <cell r="B114" t="str">
            <v>Lesotho Loit</v>
          </cell>
        </row>
        <row r="115">
          <cell r="B115" t="str">
            <v>Liberian Dollar</v>
          </cell>
        </row>
        <row r="116">
          <cell r="B116" t="str">
            <v>Libyan Dinar</v>
          </cell>
        </row>
        <row r="117">
          <cell r="B117" t="str">
            <v>Lithuanian Litas</v>
          </cell>
        </row>
        <row r="118">
          <cell r="B118" t="str">
            <v>Luxembourg Franc *</v>
          </cell>
        </row>
        <row r="119">
          <cell r="B119" t="str">
            <v>Macau Pataca</v>
          </cell>
        </row>
        <row r="120">
          <cell r="B120" t="str">
            <v>Macedonian Denar</v>
          </cell>
        </row>
        <row r="121">
          <cell r="B121" t="str">
            <v>Malagasy Franc</v>
          </cell>
        </row>
        <row r="122">
          <cell r="B122" t="str">
            <v>Malawi Kwacha</v>
          </cell>
        </row>
        <row r="123">
          <cell r="B123" t="str">
            <v>Malaysian Ringgit</v>
          </cell>
        </row>
        <row r="124">
          <cell r="B124" t="str">
            <v>Madive Island Rufiyaa</v>
          </cell>
        </row>
        <row r="125">
          <cell r="B125" t="str">
            <v>Maltese Lirea</v>
          </cell>
        </row>
        <row r="126">
          <cell r="B126" t="str">
            <v>Mauritania Ouguiya</v>
          </cell>
        </row>
        <row r="127">
          <cell r="B127" t="str">
            <v>Mauritan Rupee</v>
          </cell>
        </row>
        <row r="128">
          <cell r="B128" t="str">
            <v>Mexican Peso</v>
          </cell>
        </row>
        <row r="129">
          <cell r="B129" t="str">
            <v>Moldovan Leu</v>
          </cell>
        </row>
        <row r="130">
          <cell r="B130" t="str">
            <v>Mongolian Tugrik</v>
          </cell>
        </row>
        <row r="131">
          <cell r="B131" t="str">
            <v>Moroccan Dirham</v>
          </cell>
        </row>
        <row r="132">
          <cell r="B132" t="str">
            <v>Mozambique Metical</v>
          </cell>
        </row>
        <row r="133">
          <cell r="B133" t="str">
            <v>Myanmar (Burma) Kyat</v>
          </cell>
        </row>
        <row r="134">
          <cell r="B134" t="str">
            <v>Namibian Dollar</v>
          </cell>
        </row>
        <row r="135">
          <cell r="B135" t="str">
            <v>Nepalese Rupee</v>
          </cell>
        </row>
        <row r="136">
          <cell r="B136" t="str">
            <v>Netherlands Antilles Guilder</v>
          </cell>
        </row>
        <row r="137">
          <cell r="B137" t="str">
            <v>Netherlands Guilder *</v>
          </cell>
        </row>
        <row r="138">
          <cell r="B138" t="str">
            <v>New Zealand Dollar</v>
          </cell>
        </row>
        <row r="139">
          <cell r="B139" t="str">
            <v>Nicaragua Cordoba Oro</v>
          </cell>
        </row>
        <row r="140">
          <cell r="B140" t="str">
            <v>Nigerian Naira</v>
          </cell>
        </row>
        <row r="141">
          <cell r="B141" t="str">
            <v>North Korean Won</v>
          </cell>
        </row>
        <row r="142">
          <cell r="B142" t="str">
            <v>Norwegian Krone</v>
          </cell>
        </row>
        <row r="143">
          <cell r="B143" t="str">
            <v>Oman Rial</v>
          </cell>
        </row>
        <row r="144">
          <cell r="B144" t="str">
            <v>Pakistan Rupee</v>
          </cell>
        </row>
        <row r="145">
          <cell r="B145" t="str">
            <v>Panama Balboa</v>
          </cell>
        </row>
        <row r="146">
          <cell r="B146" t="str">
            <v>Papua and New Guinea Kina</v>
          </cell>
        </row>
        <row r="147">
          <cell r="B147" t="str">
            <v>Paraguay Guarani</v>
          </cell>
        </row>
        <row r="148">
          <cell r="B148" t="str">
            <v>Peruvian New Sol</v>
          </cell>
        </row>
        <row r="149">
          <cell r="B149" t="str">
            <v>Philippines Peso</v>
          </cell>
        </row>
        <row r="150">
          <cell r="B150" t="str">
            <v>Polish Zloty</v>
          </cell>
        </row>
        <row r="151">
          <cell r="B151" t="str">
            <v>Portuguese Escudo *</v>
          </cell>
        </row>
        <row r="152">
          <cell r="B152" t="str">
            <v>Qatari Rial</v>
          </cell>
        </row>
        <row r="153">
          <cell r="B153" t="str">
            <v>Romanian Leu</v>
          </cell>
        </row>
        <row r="154">
          <cell r="B154" t="str">
            <v>Russian Rouble</v>
          </cell>
        </row>
        <row r="155">
          <cell r="B155" t="str">
            <v>Rwanda Franc</v>
          </cell>
        </row>
        <row r="156">
          <cell r="B156" t="str">
            <v>Sao Tome &amp; Principe Dobra</v>
          </cell>
        </row>
        <row r="157">
          <cell r="B157" t="str">
            <v>Saudi Arabian Riyal</v>
          </cell>
        </row>
        <row r="158">
          <cell r="B158" t="str">
            <v>Seychelles Rupee</v>
          </cell>
        </row>
        <row r="159">
          <cell r="B159" t="str">
            <v>Sierra Leone Leone</v>
          </cell>
        </row>
        <row r="160">
          <cell r="B160" t="str">
            <v>Singapore Dollar</v>
          </cell>
        </row>
        <row r="161">
          <cell r="B161" t="str">
            <v>Slovakia Koruna</v>
          </cell>
        </row>
        <row r="162">
          <cell r="B162" t="str">
            <v>Slovenian Tolar</v>
          </cell>
        </row>
        <row r="163">
          <cell r="B163" t="str">
            <v>Solomon Island Dollar</v>
          </cell>
        </row>
        <row r="164">
          <cell r="B164" t="str">
            <v>Somali Shilling</v>
          </cell>
        </row>
        <row r="165">
          <cell r="B165" t="str">
            <v>South African Ran</v>
          </cell>
        </row>
        <row r="166">
          <cell r="B166" t="str">
            <v>South Korean Won</v>
          </cell>
        </row>
        <row r="167">
          <cell r="B167" t="str">
            <v>Spanish Peseta *</v>
          </cell>
        </row>
        <row r="168">
          <cell r="B168" t="str">
            <v>Sri Lanka Rupee</v>
          </cell>
        </row>
        <row r="169">
          <cell r="B169" t="str">
            <v>St. Helena Pound</v>
          </cell>
        </row>
        <row r="170">
          <cell r="B170" t="str">
            <v>Sudanese Pound</v>
          </cell>
        </row>
        <row r="171">
          <cell r="B171" t="str">
            <v>Surinam Guilder</v>
          </cell>
        </row>
        <row r="172">
          <cell r="B172" t="str">
            <v>Swaziland Lilangeni</v>
          </cell>
        </row>
        <row r="173">
          <cell r="B173" t="str">
            <v>Swedish Krona</v>
          </cell>
        </row>
        <row r="174">
          <cell r="B174" t="str">
            <v>Swiss Franc</v>
          </cell>
        </row>
        <row r="175">
          <cell r="B175" t="str">
            <v>Syrian Pound</v>
          </cell>
        </row>
        <row r="176">
          <cell r="B176" t="str">
            <v>Taiwan Dollar</v>
          </cell>
        </row>
        <row r="177">
          <cell r="B177" t="str">
            <v>Tajikistan Rouble</v>
          </cell>
        </row>
        <row r="178">
          <cell r="B178" t="str">
            <v>Tanzania Shilling</v>
          </cell>
        </row>
        <row r="179">
          <cell r="B179" t="str">
            <v>Thailand Baht</v>
          </cell>
        </row>
        <row r="180">
          <cell r="B180" t="str">
            <v>Tonga Pa'anga</v>
          </cell>
        </row>
        <row r="181">
          <cell r="B181" t="str">
            <v>Trinidad and Tobago Dollar</v>
          </cell>
        </row>
        <row r="182">
          <cell r="B182" t="str">
            <v>Tunisian Dinar</v>
          </cell>
        </row>
        <row r="183">
          <cell r="B183" t="str">
            <v>Old Turkish Lira</v>
          </cell>
        </row>
        <row r="184">
          <cell r="B184" t="str">
            <v>New Turkish Lira</v>
          </cell>
        </row>
        <row r="185">
          <cell r="B185" t="str">
            <v>Turkmenistan Manet</v>
          </cell>
        </row>
        <row r="186">
          <cell r="B186" t="str">
            <v>UAE Dirham</v>
          </cell>
        </row>
        <row r="187">
          <cell r="B187" t="str">
            <v>Uganda Shilling</v>
          </cell>
        </row>
        <row r="188">
          <cell r="B188" t="str">
            <v>Ukraine Karbovanets</v>
          </cell>
        </row>
        <row r="189">
          <cell r="B189" t="str">
            <v>Uruguay Peso</v>
          </cell>
        </row>
        <row r="190">
          <cell r="B190" t="str">
            <v>Uzbekistan Sum</v>
          </cell>
        </row>
        <row r="191">
          <cell r="B191" t="str">
            <v>Vanuatu Vatu</v>
          </cell>
        </row>
        <row r="192">
          <cell r="B192" t="str">
            <v>Venezualan Bolivar</v>
          </cell>
        </row>
        <row r="193">
          <cell r="B193" t="str">
            <v>Vietnam Dong</v>
          </cell>
        </row>
        <row r="194">
          <cell r="B194" t="str">
            <v>Western Somoa Tala</v>
          </cell>
        </row>
        <row r="195">
          <cell r="B195" t="str">
            <v>Yemeni Rial</v>
          </cell>
        </row>
        <row r="196">
          <cell r="B196" t="str">
            <v>Yugoslav New Dinar</v>
          </cell>
        </row>
        <row r="197">
          <cell r="B197" t="str">
            <v>Zaire Zaire</v>
          </cell>
        </row>
        <row r="198">
          <cell r="B198" t="str">
            <v>Zambian Kwacha</v>
          </cell>
        </row>
        <row r="199">
          <cell r="B199" t="str">
            <v>Zimbabwe Dollar</v>
          </cell>
        </row>
      </sheetData>
      <sheetData sheetId="3" refreshError="1"/>
      <sheetData sheetId="4" refreshError="1">
        <row r="8">
          <cell r="D8" t="str">
            <v>AAPL US</v>
          </cell>
        </row>
        <row r="11">
          <cell r="D11" t="str">
            <v>English</v>
          </cell>
        </row>
        <row r="13">
          <cell r="O13" t="str">
            <v>Consolidated</v>
          </cell>
          <cell r="U13" t="str">
            <v>-1FY</v>
          </cell>
        </row>
        <row r="16">
          <cell r="Q16">
            <v>213883</v>
          </cell>
          <cell r="W16">
            <v>116914</v>
          </cell>
        </row>
        <row r="19">
          <cell r="E19">
            <v>125.6242980957031</v>
          </cell>
        </row>
        <row r="30">
          <cell r="D30" t="str">
            <v>Fiscal Year</v>
          </cell>
        </row>
      </sheetData>
      <sheetData sheetId="5" refreshError="1">
        <row r="11">
          <cell r="S11">
            <v>2017</v>
          </cell>
        </row>
        <row r="18">
          <cell r="C18" t="str">
            <v>005930 KS</v>
          </cell>
        </row>
        <row r="19">
          <cell r="C19" t="str">
            <v>2498 TT</v>
          </cell>
        </row>
      </sheetData>
      <sheetData sheetId="6" refreshError="1">
        <row r="24">
          <cell r="E24" t="str">
            <v>TOP 20 ALL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crumors.com/guide/covid-19-coronavirus/" TargetMode="External"/><Relationship Id="rId2" Type="http://schemas.openxmlformats.org/officeDocument/2006/relationships/hyperlink" Target="https://glg.it/articles/how-might-the-wuhan-coronavirus-impact-apples-supply-chain/" TargetMode="External"/><Relationship Id="rId1" Type="http://schemas.openxmlformats.org/officeDocument/2006/relationships/hyperlink" Target="https://www.apple.com/newsroom/2020/03/apples-covid-19-response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www.cnbc.com/2020/02/18/the-significance-of-apples-coronavirus-warning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VPN*@i%25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2060"/>
    <pageSetUpPr fitToPage="1"/>
  </sheetPr>
  <dimension ref="A1:BT58"/>
  <sheetViews>
    <sheetView showGridLines="0" topLeftCell="A3" zoomScale="110" zoomScaleNormal="80" workbookViewId="0">
      <selection activeCell="E53" sqref="E53"/>
    </sheetView>
  </sheetViews>
  <sheetFormatPr defaultColWidth="11.453125" defaultRowHeight="12.5" x14ac:dyDescent="0.25"/>
  <cols>
    <col min="1" max="1" width="0.7265625" customWidth="1"/>
    <col min="2" max="2" width="19.1796875" customWidth="1"/>
    <col min="3" max="3" width="29.7265625" customWidth="1"/>
    <col min="4" max="4" width="23.26953125" customWidth="1"/>
    <col min="5" max="5" width="15.7265625" customWidth="1"/>
    <col min="6" max="6" width="13.7265625" customWidth="1"/>
    <col min="7" max="7" width="14.453125" customWidth="1"/>
    <col min="8" max="8" width="20.453125" customWidth="1"/>
    <col min="9" max="9" width="17.7265625" customWidth="1"/>
    <col min="10" max="10" width="24.453125" customWidth="1"/>
    <col min="11" max="11" width="20.1796875" customWidth="1"/>
    <col min="12" max="12" width="16.26953125" bestFit="1" customWidth="1"/>
    <col min="13" max="13" width="1" customWidth="1"/>
    <col min="14" max="14" width="7.7265625" style="19" customWidth="1"/>
    <col min="15" max="15" width="15.453125" style="168" bestFit="1" customWidth="1"/>
    <col min="16" max="16" width="11.453125" style="19"/>
    <col min="21" max="30" width="11.453125" style="11" customWidth="1"/>
  </cols>
  <sheetData>
    <row r="1" spans="2:17" ht="3.75" customHeight="1" thickBot="1" x14ac:dyDescent="0.3"/>
    <row r="2" spans="2:17" ht="31.5" customHeight="1" x14ac:dyDescent="0.25">
      <c r="B2" s="531" t="s">
        <v>451</v>
      </c>
      <c r="C2" s="113" t="s">
        <v>268</v>
      </c>
      <c r="D2" s="110" t="s">
        <v>452</v>
      </c>
      <c r="E2" s="543" t="s">
        <v>453</v>
      </c>
      <c r="F2" s="544"/>
      <c r="G2" s="544"/>
      <c r="H2" s="544"/>
      <c r="I2" s="544"/>
      <c r="J2" s="545"/>
      <c r="K2" s="109" t="s">
        <v>454</v>
      </c>
      <c r="L2" s="136" t="s">
        <v>175</v>
      </c>
    </row>
    <row r="3" spans="2:17" ht="33.75" customHeight="1" x14ac:dyDescent="0.25">
      <c r="B3" s="551"/>
      <c r="C3" s="552"/>
      <c r="D3" s="546" t="s">
        <v>426</v>
      </c>
      <c r="E3" s="553"/>
      <c r="F3" s="553"/>
      <c r="G3" s="553"/>
      <c r="H3" s="553"/>
      <c r="I3" s="553"/>
      <c r="J3" s="553"/>
      <c r="K3" s="553"/>
      <c r="L3" s="554"/>
      <c r="O3" s="19"/>
    </row>
    <row r="4" spans="2:17" ht="71.150000000000006" customHeight="1" x14ac:dyDescent="0.25">
      <c r="B4" s="551"/>
      <c r="C4" s="552"/>
      <c r="D4" s="546" t="s">
        <v>427</v>
      </c>
      <c r="E4" s="546"/>
      <c r="F4" s="546"/>
      <c r="G4" s="546"/>
      <c r="H4" s="546"/>
      <c r="I4" s="546"/>
      <c r="J4" s="546"/>
      <c r="K4" s="546"/>
      <c r="L4" s="547"/>
    </row>
    <row r="5" spans="2:17" ht="15.75" customHeight="1" x14ac:dyDescent="0.25">
      <c r="B5" s="548" t="s">
        <v>182</v>
      </c>
      <c r="C5" s="549"/>
      <c r="D5" s="546"/>
      <c r="E5" s="546"/>
      <c r="F5" s="546"/>
      <c r="G5" s="546"/>
      <c r="H5" s="546"/>
      <c r="I5" s="546"/>
      <c r="J5" s="546"/>
      <c r="K5" s="546"/>
      <c r="L5" s="547"/>
      <c r="N5" s="154"/>
    </row>
    <row r="6" spans="2:17" ht="13" x14ac:dyDescent="0.3">
      <c r="B6" s="557" t="s">
        <v>105</v>
      </c>
      <c r="C6" s="555"/>
      <c r="D6" s="555" t="s">
        <v>171</v>
      </c>
      <c r="E6" s="555"/>
      <c r="F6" s="555" t="str">
        <f>Segments!B2</f>
        <v>Regions (2023)</v>
      </c>
      <c r="G6" s="555"/>
      <c r="H6" s="555"/>
      <c r="I6" s="555" t="s">
        <v>371</v>
      </c>
      <c r="J6" s="555"/>
      <c r="K6" s="555" t="s">
        <v>114</v>
      </c>
      <c r="L6" s="556"/>
    </row>
    <row r="7" spans="2:17" ht="13" x14ac:dyDescent="0.3">
      <c r="B7" s="121" t="s">
        <v>35</v>
      </c>
      <c r="C7" s="119"/>
      <c r="D7" s="122" t="s">
        <v>151</v>
      </c>
      <c r="E7" s="111"/>
      <c r="F7" s="569"/>
      <c r="G7" s="570"/>
      <c r="H7" s="107" t="s">
        <v>184</v>
      </c>
      <c r="I7" s="117" t="s">
        <v>116</v>
      </c>
      <c r="J7" s="147"/>
      <c r="K7" s="117" t="s">
        <v>26</v>
      </c>
      <c r="L7" s="150"/>
      <c r="Q7" s="114"/>
    </row>
    <row r="8" spans="2:17" ht="12.75" customHeight="1" x14ac:dyDescent="0.25">
      <c r="B8" s="121" t="s">
        <v>28</v>
      </c>
      <c r="C8" s="514"/>
      <c r="D8" s="117" t="s">
        <v>152</v>
      </c>
      <c r="E8" s="111"/>
      <c r="F8" s="166">
        <f>Segments!B4</f>
        <v>0</v>
      </c>
      <c r="G8" s="167"/>
      <c r="H8" s="128" t="str">
        <f>+Segments!J4</f>
        <v/>
      </c>
      <c r="I8" s="117"/>
      <c r="J8" s="114"/>
      <c r="K8" s="117" t="s">
        <v>2</v>
      </c>
      <c r="L8" s="151"/>
      <c r="M8" s="11"/>
      <c r="O8" s="134"/>
      <c r="Q8" s="114"/>
    </row>
    <row r="9" spans="2:17" ht="12.75" customHeight="1" x14ac:dyDescent="0.25">
      <c r="B9" s="121" t="s">
        <v>29</v>
      </c>
      <c r="C9" s="111">
        <f>C7*C8/1000000</f>
        <v>0</v>
      </c>
      <c r="D9" s="117" t="s">
        <v>37</v>
      </c>
      <c r="E9" s="170" t="e">
        <f>1000000*C11/C8</f>
        <v>#DIV/0!</v>
      </c>
      <c r="F9" s="166">
        <f>Segments!B5</f>
        <v>0</v>
      </c>
      <c r="G9" s="167"/>
      <c r="H9" s="128" t="str">
        <f>+Segments!J5</f>
        <v/>
      </c>
      <c r="I9" s="117" t="s">
        <v>3</v>
      </c>
      <c r="J9" s="111"/>
      <c r="K9" s="77" t="s">
        <v>273</v>
      </c>
      <c r="L9" s="184"/>
      <c r="O9" s="134"/>
      <c r="Q9" s="114"/>
    </row>
    <row r="10" spans="2:17" ht="12.75" customHeight="1" x14ac:dyDescent="0.25">
      <c r="B10" s="123" t="s">
        <v>36</v>
      </c>
      <c r="C10" s="111"/>
      <c r="D10" s="117" t="s">
        <v>63</v>
      </c>
      <c r="E10" s="148"/>
      <c r="F10" s="166">
        <f>Segments!B6</f>
        <v>0</v>
      </c>
      <c r="G10" s="167"/>
      <c r="H10" s="128" t="str">
        <f>+Segments!J6</f>
        <v/>
      </c>
      <c r="I10" s="124" t="s">
        <v>4</v>
      </c>
      <c r="J10" s="111"/>
      <c r="K10" s="117" t="s">
        <v>16</v>
      </c>
      <c r="L10" s="149"/>
      <c r="O10" s="134"/>
      <c r="Q10" s="114"/>
    </row>
    <row r="11" spans="2:17" ht="12.75" customHeight="1" x14ac:dyDescent="0.25">
      <c r="B11" s="123" t="s">
        <v>48</v>
      </c>
      <c r="C11" s="111"/>
      <c r="D11" s="117" t="s">
        <v>68</v>
      </c>
      <c r="E11" s="171"/>
      <c r="F11" s="166">
        <f>Segments!B7</f>
        <v>0</v>
      </c>
      <c r="G11" s="167"/>
      <c r="H11" s="128" t="str">
        <f>+Segments!J7</f>
        <v/>
      </c>
      <c r="I11" s="124" t="s">
        <v>5</v>
      </c>
      <c r="J11" s="111">
        <f>J9+J10</f>
        <v>0</v>
      </c>
      <c r="K11" s="117" t="s">
        <v>7</v>
      </c>
      <c r="L11" s="185" t="e">
        <f>((C7*C8)/1000000)/(E7-E8)</f>
        <v>#DIV/0!</v>
      </c>
      <c r="Q11" s="114"/>
    </row>
    <row r="12" spans="2:17" ht="12.75" customHeight="1" x14ac:dyDescent="0.25">
      <c r="B12" s="123" t="s">
        <v>47</v>
      </c>
      <c r="C12" s="111">
        <f>C9+C10-C11</f>
        <v>0</v>
      </c>
      <c r="D12" s="117" t="s">
        <v>50</v>
      </c>
      <c r="E12" s="118"/>
      <c r="F12" s="166">
        <f>Segments!B8</f>
        <v>0</v>
      </c>
      <c r="G12" s="167"/>
      <c r="H12" s="128" t="str">
        <f>+Segments!J8</f>
        <v/>
      </c>
      <c r="I12" s="117" t="s">
        <v>41</v>
      </c>
      <c r="J12" s="125"/>
      <c r="K12" s="117" t="s">
        <v>46</v>
      </c>
      <c r="L12" s="192" t="e">
        <f>J18/E7</f>
        <v>#DIV/0!</v>
      </c>
      <c r="Q12" s="114"/>
    </row>
    <row r="13" spans="2:17" ht="12.75" customHeight="1" x14ac:dyDescent="0.3">
      <c r="B13" s="123" t="s">
        <v>164</v>
      </c>
      <c r="C13" s="515"/>
      <c r="D13" s="117" t="s">
        <v>6</v>
      </c>
      <c r="E13" s="112" t="e">
        <f>C10/E7</f>
        <v>#DIV/0!</v>
      </c>
      <c r="F13" s="555" t="str">
        <f>Segments!B15</f>
        <v>Products (2023)</v>
      </c>
      <c r="G13" s="555"/>
      <c r="H13" s="555"/>
      <c r="I13" s="117" t="s">
        <v>42</v>
      </c>
      <c r="J13" s="119" t="e">
        <f>1000000*J12/C8</f>
        <v>#DIV/0!</v>
      </c>
      <c r="K13" s="117" t="s">
        <v>24</v>
      </c>
      <c r="L13" s="186" t="e">
        <f>C9/J17</f>
        <v>#DIV/0!</v>
      </c>
      <c r="N13" s="19" t="e">
        <f>C10/J11</f>
        <v>#DIV/0!</v>
      </c>
      <c r="Q13" s="114"/>
    </row>
    <row r="14" spans="2:17" ht="12.75" customHeight="1" x14ac:dyDescent="0.3">
      <c r="B14" s="121" t="s">
        <v>141</v>
      </c>
      <c r="C14" s="146"/>
      <c r="D14" s="117" t="s">
        <v>55</v>
      </c>
      <c r="E14" s="173"/>
      <c r="G14" s="167"/>
      <c r="H14" s="107" t="s">
        <v>185</v>
      </c>
      <c r="I14" s="117" t="s">
        <v>56</v>
      </c>
      <c r="J14" s="182" t="e">
        <f>J12/E7</f>
        <v>#DIV/0!</v>
      </c>
      <c r="K14" s="117" t="s">
        <v>49</v>
      </c>
      <c r="L14" s="187" t="e">
        <f>C12/E7</f>
        <v>#DIV/0!</v>
      </c>
      <c r="Q14" s="114"/>
    </row>
    <row r="15" spans="2:17" ht="12.75" customHeight="1" x14ac:dyDescent="0.25">
      <c r="B15" s="121" t="s">
        <v>138</v>
      </c>
      <c r="C15" s="516"/>
      <c r="D15" s="117" t="s">
        <v>38</v>
      </c>
      <c r="E15" s="172"/>
      <c r="F15" s="166">
        <f>Segments!B17</f>
        <v>0</v>
      </c>
      <c r="G15" s="167"/>
      <c r="H15" s="344" t="str">
        <f>+Segments!J17</f>
        <v/>
      </c>
      <c r="I15" s="117" t="s">
        <v>130</v>
      </c>
      <c r="J15" s="182" t="e">
        <f>J12/(E7-(E8-C10))</f>
        <v>#DIV/0!</v>
      </c>
      <c r="K15" s="117" t="s">
        <v>51</v>
      </c>
      <c r="L15" s="188" t="e">
        <f>C12/J16</f>
        <v>#DIV/0!</v>
      </c>
      <c r="Q15" s="114"/>
    </row>
    <row r="16" spans="2:17" ht="12.75" customHeight="1" x14ac:dyDescent="0.3">
      <c r="B16" s="557" t="s">
        <v>129</v>
      </c>
      <c r="C16" s="555"/>
      <c r="D16" s="117" t="s">
        <v>39</v>
      </c>
      <c r="E16" s="112"/>
      <c r="F16" s="166">
        <f>Segments!B18</f>
        <v>0</v>
      </c>
      <c r="G16" s="167"/>
      <c r="H16" s="344" t="str">
        <f>+Segments!J18</f>
        <v/>
      </c>
      <c r="I16" s="117" t="s">
        <v>59</v>
      </c>
      <c r="J16" s="120">
        <f>AVERAGE(Cifras_en_Millones!B19:D19)</f>
        <v>0</v>
      </c>
      <c r="K16" s="117" t="s">
        <v>25</v>
      </c>
      <c r="L16" s="186" t="e">
        <f>C9/J18</f>
        <v>#DIV/0!</v>
      </c>
      <c r="N16" s="130"/>
      <c r="Q16" s="114"/>
    </row>
    <row r="17" spans="1:72" ht="12.75" customHeight="1" x14ac:dyDescent="0.3">
      <c r="B17" s="82" t="s">
        <v>126</v>
      </c>
      <c r="C17" s="250"/>
      <c r="D17" s="117" t="s">
        <v>60</v>
      </c>
      <c r="E17" s="112"/>
      <c r="F17" s="166">
        <f>Segments!B19</f>
        <v>0</v>
      </c>
      <c r="G17" s="167"/>
      <c r="H17" s="344" t="str">
        <f>+Segments!J19</f>
        <v/>
      </c>
      <c r="I17" s="117" t="s">
        <v>40</v>
      </c>
      <c r="J17" s="111">
        <f>AVERAGE(Cifras_en_Millones!B23:D23)</f>
        <v>0</v>
      </c>
      <c r="K17" s="117" t="s">
        <v>373</v>
      </c>
      <c r="L17" s="165" t="s">
        <v>372</v>
      </c>
      <c r="N17" s="19">
        <v>12</v>
      </c>
      <c r="Q17" s="114"/>
    </row>
    <row r="18" spans="1:72" ht="12.75" customHeight="1" x14ac:dyDescent="0.3">
      <c r="B18" s="82" t="s">
        <v>127</v>
      </c>
      <c r="C18" s="111"/>
      <c r="D18" s="117"/>
      <c r="E18" s="173"/>
      <c r="F18" s="166">
        <f>Segments!B20</f>
        <v>0</v>
      </c>
      <c r="G18" s="180"/>
      <c r="H18" s="344" t="str">
        <f>+Segments!J20</f>
        <v/>
      </c>
      <c r="I18" s="117" t="s">
        <v>122</v>
      </c>
      <c r="J18" s="111">
        <f>SUM(F35:F37)/3</f>
        <v>0</v>
      </c>
      <c r="K18" s="117" t="s">
        <v>52</v>
      </c>
      <c r="L18" s="223" t="e">
        <f>SUM(E35:E37)/(3*C9)</f>
        <v>#DIV/0!</v>
      </c>
      <c r="Q18" s="114"/>
    </row>
    <row r="19" spans="1:72" ht="12.75" customHeight="1" x14ac:dyDescent="0.3">
      <c r="B19" s="82" t="s">
        <v>128</v>
      </c>
      <c r="C19" s="111"/>
      <c r="D19" s="305" t="s">
        <v>270</v>
      </c>
      <c r="E19" s="3"/>
      <c r="F19" s="166">
        <f>Segments!B21</f>
        <v>0</v>
      </c>
      <c r="G19" s="180"/>
      <c r="H19" s="344" t="str">
        <f>+Segments!J21</f>
        <v/>
      </c>
      <c r="I19" s="117" t="s">
        <v>177</v>
      </c>
      <c r="J19" s="118">
        <v>0.16</v>
      </c>
      <c r="K19" s="117" t="s">
        <v>66</v>
      </c>
      <c r="L19" s="223" t="e">
        <f>K33/C9</f>
        <v>#DIV/0!</v>
      </c>
      <c r="Q19" s="114"/>
      <c r="R19" s="19"/>
    </row>
    <row r="20" spans="1:72" ht="14" x14ac:dyDescent="0.3">
      <c r="B20" s="98" t="s">
        <v>45</v>
      </c>
      <c r="C20" s="99"/>
      <c r="D20" s="99"/>
      <c r="E20" s="99"/>
      <c r="F20" s="99"/>
      <c r="G20" s="99"/>
      <c r="H20" s="100" t="s">
        <v>155</v>
      </c>
      <c r="I20" s="537" t="s">
        <v>61</v>
      </c>
      <c r="J20" s="537"/>
      <c r="K20" s="537"/>
      <c r="L20" s="83" t="s">
        <v>62</v>
      </c>
      <c r="M20" s="18"/>
      <c r="N20" s="131"/>
      <c r="O20" s="169"/>
      <c r="P20" s="132"/>
      <c r="Q20" s="18"/>
      <c r="R20" s="18"/>
    </row>
    <row r="21" spans="1:72" ht="35.25" customHeight="1" x14ac:dyDescent="0.25">
      <c r="A21" s="114"/>
      <c r="B21" s="561" t="s">
        <v>433</v>
      </c>
      <c r="C21" s="562"/>
      <c r="D21" s="562"/>
      <c r="E21" s="562"/>
      <c r="F21" s="562"/>
      <c r="G21" s="563"/>
      <c r="H21" s="567" t="s">
        <v>160</v>
      </c>
      <c r="I21" s="573" t="s">
        <v>174</v>
      </c>
      <c r="J21" s="574"/>
      <c r="K21" s="575"/>
      <c r="L21" s="589" t="e">
        <f>DCFF!D66</f>
        <v>#VALUE!</v>
      </c>
      <c r="M21" s="18"/>
      <c r="N21" s="132"/>
      <c r="O21" s="169"/>
      <c r="P21" s="132"/>
      <c r="Q21" s="18"/>
      <c r="R21" s="18"/>
    </row>
    <row r="22" spans="1:72" ht="35.25" customHeight="1" x14ac:dyDescent="0.25">
      <c r="B22" s="564"/>
      <c r="C22" s="565"/>
      <c r="D22" s="565"/>
      <c r="E22" s="565"/>
      <c r="F22" s="565"/>
      <c r="G22" s="566"/>
      <c r="H22" s="568"/>
      <c r="I22" s="576"/>
      <c r="J22" s="577"/>
      <c r="K22" s="578"/>
      <c r="L22" s="589"/>
      <c r="M22" s="18"/>
      <c r="N22" s="132"/>
      <c r="O22" s="169"/>
      <c r="P22" s="132"/>
      <c r="Q22" s="18"/>
      <c r="R22" s="18"/>
    </row>
    <row r="23" spans="1:72" ht="13" x14ac:dyDescent="0.3">
      <c r="B23" s="540" t="s">
        <v>104</v>
      </c>
      <c r="C23" s="541"/>
      <c r="D23" s="541"/>
      <c r="E23" s="541"/>
      <c r="F23" s="541"/>
      <c r="G23" s="542"/>
      <c r="H23" s="78" t="s">
        <v>142</v>
      </c>
      <c r="I23" s="579"/>
      <c r="J23" s="580"/>
      <c r="K23" s="581"/>
      <c r="L23" s="550" t="e">
        <f>DCFF!D65</f>
        <v>#VALUE!</v>
      </c>
      <c r="M23" s="18"/>
      <c r="N23" s="132"/>
      <c r="O23" s="169"/>
      <c r="P23" s="132"/>
      <c r="Q23" s="18"/>
      <c r="R23" s="18"/>
    </row>
    <row r="24" spans="1:72" ht="24.75" customHeight="1" x14ac:dyDescent="0.25">
      <c r="B24" s="558"/>
      <c r="C24" s="559"/>
      <c r="D24" s="559"/>
      <c r="E24" s="559"/>
      <c r="F24" s="559"/>
      <c r="G24" s="560"/>
      <c r="H24" s="101">
        <f>DCFF!D71</f>
        <v>0</v>
      </c>
      <c r="I24" s="103" t="s">
        <v>107</v>
      </c>
      <c r="J24" s="104">
        <f>DCFF!D47</f>
        <v>0</v>
      </c>
      <c r="K24" s="105"/>
      <c r="L24" s="550"/>
      <c r="M24" s="18"/>
      <c r="N24" s="132"/>
      <c r="O24" s="169"/>
      <c r="P24" s="132"/>
      <c r="Q24" s="18"/>
      <c r="R24" s="18"/>
    </row>
    <row r="25" spans="1:72" ht="13" x14ac:dyDescent="0.3">
      <c r="B25" s="84" t="s">
        <v>34</v>
      </c>
      <c r="C25" s="80" t="s">
        <v>0</v>
      </c>
      <c r="D25" s="80" t="s">
        <v>1</v>
      </c>
      <c r="E25" s="80" t="s">
        <v>106</v>
      </c>
      <c r="F25" s="80" t="s">
        <v>12</v>
      </c>
      <c r="G25" s="80" t="s">
        <v>6</v>
      </c>
      <c r="H25" s="80" t="s">
        <v>156</v>
      </c>
      <c r="I25" s="80" t="s">
        <v>157</v>
      </c>
      <c r="J25" s="555" t="s">
        <v>30</v>
      </c>
      <c r="K25" s="555"/>
      <c r="L25" s="556"/>
      <c r="Q25" s="17"/>
      <c r="R25" s="17"/>
      <c r="S25" s="20"/>
      <c r="T25" s="20"/>
    </row>
    <row r="26" spans="1:72" ht="13" x14ac:dyDescent="0.3">
      <c r="B26" s="82">
        <v>2012</v>
      </c>
      <c r="C26" s="111"/>
      <c r="D26" s="112"/>
      <c r="E26" s="111"/>
      <c r="F26" s="111"/>
      <c r="G26" s="118"/>
      <c r="H26" s="111"/>
      <c r="I26" s="111"/>
      <c r="J26" s="117"/>
      <c r="K26" s="81">
        <v>2022</v>
      </c>
      <c r="L26" s="85">
        <f>K26-1</f>
        <v>2021</v>
      </c>
      <c r="Q26" s="19"/>
      <c r="R26" s="19"/>
      <c r="S26" s="19"/>
      <c r="T26" s="20"/>
      <c r="W26" s="73"/>
    </row>
    <row r="27" spans="1:72" ht="13" x14ac:dyDescent="0.3">
      <c r="B27" s="82">
        <f t="shared" ref="B27:B34" si="0">B26+1</f>
        <v>2013</v>
      </c>
      <c r="C27" s="183"/>
      <c r="D27" s="182"/>
      <c r="E27" s="111"/>
      <c r="F27" s="111"/>
      <c r="G27" s="118"/>
      <c r="H27" s="111"/>
      <c r="I27" s="111"/>
      <c r="J27" s="117" t="s">
        <v>67</v>
      </c>
      <c r="K27" s="111"/>
      <c r="L27" s="330"/>
      <c r="N27" s="133" t="e">
        <f t="shared" ref="N27:N34" si="1">C27/C26-1</f>
        <v>#DIV/0!</v>
      </c>
      <c r="O27" s="168" t="e">
        <f t="shared" ref="O27:Q34" si="2">D27/D26-1</f>
        <v>#DIV/0!</v>
      </c>
      <c r="Q27" s="19"/>
      <c r="R27" s="19"/>
      <c r="S27" s="19"/>
      <c r="T27" s="20"/>
    </row>
    <row r="28" spans="1:72" ht="13" x14ac:dyDescent="0.3">
      <c r="B28" s="82">
        <f t="shared" si="0"/>
        <v>2014</v>
      </c>
      <c r="C28" s="111"/>
      <c r="D28" s="222"/>
      <c r="E28" s="111"/>
      <c r="F28" s="111"/>
      <c r="G28" s="118"/>
      <c r="H28" s="111"/>
      <c r="I28" s="111"/>
      <c r="J28" s="117" t="s">
        <v>274</v>
      </c>
      <c r="K28" s="111"/>
      <c r="L28" s="330"/>
      <c r="N28" s="133" t="e">
        <f t="shared" si="1"/>
        <v>#DIV/0!</v>
      </c>
      <c r="O28" s="168" t="e">
        <f t="shared" si="2"/>
        <v>#DIV/0!</v>
      </c>
      <c r="P28" s="19" t="e">
        <f t="shared" si="2"/>
        <v>#DIV/0!</v>
      </c>
      <c r="Q28" s="19" t="e">
        <f t="shared" si="2"/>
        <v>#DIV/0!</v>
      </c>
      <c r="R28" s="19" t="e">
        <f t="shared" ref="R28:R34" si="3">H28/H27-1</f>
        <v>#DIV/0!</v>
      </c>
      <c r="S28" s="19" t="e">
        <f t="shared" ref="S28:S34" si="4">I28/I27-1</f>
        <v>#DIV/0!</v>
      </c>
      <c r="T28" s="19"/>
      <c r="BT28">
        <v>4303</v>
      </c>
    </row>
    <row r="29" spans="1:72" ht="13" x14ac:dyDescent="0.3">
      <c r="B29" s="82">
        <f t="shared" si="0"/>
        <v>2015</v>
      </c>
      <c r="C29" s="111"/>
      <c r="D29" s="112"/>
      <c r="E29" s="111"/>
      <c r="F29" s="111"/>
      <c r="G29" s="118"/>
      <c r="H29" s="111"/>
      <c r="I29" s="125"/>
      <c r="J29" t="s">
        <v>275</v>
      </c>
      <c r="K29" s="111"/>
      <c r="L29" s="330"/>
      <c r="M29" s="15"/>
      <c r="N29" s="133" t="e">
        <f t="shared" si="1"/>
        <v>#DIV/0!</v>
      </c>
      <c r="O29" s="168" t="e">
        <f t="shared" si="2"/>
        <v>#DIV/0!</v>
      </c>
      <c r="P29" s="19" t="e">
        <f t="shared" si="2"/>
        <v>#DIV/0!</v>
      </c>
      <c r="Q29" s="19" t="e">
        <f t="shared" si="2"/>
        <v>#DIV/0!</v>
      </c>
      <c r="R29" s="19" t="e">
        <f t="shared" si="3"/>
        <v>#DIV/0!</v>
      </c>
      <c r="S29" s="19" t="e">
        <f t="shared" si="4"/>
        <v>#DIV/0!</v>
      </c>
      <c r="T29" s="19"/>
      <c r="BT29">
        <v>3066</v>
      </c>
    </row>
    <row r="30" spans="1:72" ht="13" x14ac:dyDescent="0.3">
      <c r="B30" s="82">
        <f t="shared" si="0"/>
        <v>2016</v>
      </c>
      <c r="C30" s="183"/>
      <c r="D30" s="182"/>
      <c r="E30" s="111"/>
      <c r="F30" s="111"/>
      <c r="G30" s="118"/>
      <c r="H30" s="111"/>
      <c r="I30" s="125"/>
      <c r="J30" s="117" t="s">
        <v>31</v>
      </c>
      <c r="K30" s="111"/>
      <c r="L30" s="330"/>
      <c r="N30" s="133" t="e">
        <f t="shared" si="1"/>
        <v>#DIV/0!</v>
      </c>
      <c r="O30" s="168" t="e">
        <f t="shared" si="2"/>
        <v>#DIV/0!</v>
      </c>
      <c r="P30" s="19" t="e">
        <f t="shared" ref="P30:Q34" si="5">E30/E29-1</f>
        <v>#DIV/0!</v>
      </c>
      <c r="Q30" s="19" t="e">
        <f t="shared" si="5"/>
        <v>#DIV/0!</v>
      </c>
      <c r="R30" s="19" t="e">
        <f t="shared" si="3"/>
        <v>#DIV/0!</v>
      </c>
      <c r="S30" s="19" t="e">
        <f t="shared" si="4"/>
        <v>#DIV/0!</v>
      </c>
      <c r="T30" s="19"/>
      <c r="BT30">
        <v>3283</v>
      </c>
    </row>
    <row r="31" spans="1:72" ht="13" x14ac:dyDescent="0.3">
      <c r="B31" s="82">
        <f t="shared" si="0"/>
        <v>2017</v>
      </c>
      <c r="C31" s="189"/>
      <c r="D31" s="222"/>
      <c r="E31" s="111"/>
      <c r="F31" s="111"/>
      <c r="G31" s="118"/>
      <c r="H31" s="111"/>
      <c r="I31" s="125"/>
      <c r="J31" s="137" t="s">
        <v>118</v>
      </c>
      <c r="K31" s="111"/>
      <c r="L31" s="331"/>
      <c r="N31" s="133" t="e">
        <f t="shared" si="1"/>
        <v>#DIV/0!</v>
      </c>
      <c r="O31" s="168" t="e">
        <f t="shared" si="2"/>
        <v>#DIV/0!</v>
      </c>
      <c r="P31" s="19" t="e">
        <f t="shared" si="5"/>
        <v>#DIV/0!</v>
      </c>
      <c r="Q31" s="19" t="e">
        <f t="shared" si="5"/>
        <v>#DIV/0!</v>
      </c>
      <c r="R31" s="19" t="e">
        <f t="shared" si="3"/>
        <v>#DIV/0!</v>
      </c>
      <c r="S31" s="19" t="e">
        <f t="shared" si="4"/>
        <v>#DIV/0!</v>
      </c>
      <c r="T31" s="19"/>
    </row>
    <row r="32" spans="1:72" ht="13" x14ac:dyDescent="0.3">
      <c r="B32" s="82">
        <f t="shared" si="0"/>
        <v>2018</v>
      </c>
      <c r="C32" s="111"/>
      <c r="D32" s="112"/>
      <c r="E32" s="111"/>
      <c r="F32" s="111"/>
      <c r="G32" s="193"/>
      <c r="H32" s="111"/>
      <c r="I32" s="125"/>
      <c r="J32" s="137" t="s">
        <v>119</v>
      </c>
      <c r="K32" s="111"/>
      <c r="L32" s="330"/>
      <c r="M32" s="16"/>
      <c r="N32" s="133" t="e">
        <f t="shared" si="1"/>
        <v>#DIV/0!</v>
      </c>
      <c r="O32" s="168" t="e">
        <f t="shared" si="2"/>
        <v>#DIV/0!</v>
      </c>
      <c r="P32" s="19" t="e">
        <f t="shared" si="5"/>
        <v>#DIV/0!</v>
      </c>
      <c r="Q32" s="19" t="e">
        <f t="shared" si="5"/>
        <v>#DIV/0!</v>
      </c>
      <c r="R32" s="19" t="e">
        <f t="shared" si="3"/>
        <v>#DIV/0!</v>
      </c>
      <c r="S32" s="19" t="e">
        <f t="shared" si="4"/>
        <v>#DIV/0!</v>
      </c>
      <c r="T32" s="19"/>
    </row>
    <row r="33" spans="2:72" ht="13" x14ac:dyDescent="0.3">
      <c r="B33" s="82">
        <f t="shared" si="0"/>
        <v>2019</v>
      </c>
      <c r="C33" s="183"/>
      <c r="D33" s="112"/>
      <c r="E33" s="191"/>
      <c r="F33" s="111"/>
      <c r="G33" s="193"/>
      <c r="H33" s="111"/>
      <c r="I33" s="125"/>
      <c r="J33" s="122" t="s">
        <v>120</v>
      </c>
      <c r="K33" s="111"/>
      <c r="L33" s="330"/>
      <c r="N33" s="133" t="e">
        <f t="shared" si="1"/>
        <v>#DIV/0!</v>
      </c>
      <c r="O33" s="168" t="e">
        <f t="shared" si="2"/>
        <v>#DIV/0!</v>
      </c>
      <c r="P33" s="19" t="e">
        <f t="shared" si="5"/>
        <v>#DIV/0!</v>
      </c>
      <c r="Q33" s="19" t="e">
        <f t="shared" si="5"/>
        <v>#DIV/0!</v>
      </c>
      <c r="R33" s="19" t="e">
        <f t="shared" si="3"/>
        <v>#DIV/0!</v>
      </c>
      <c r="S33" s="19" t="e">
        <f t="shared" si="4"/>
        <v>#DIV/0!</v>
      </c>
      <c r="T33" s="19"/>
    </row>
    <row r="34" spans="2:72" ht="13" x14ac:dyDescent="0.3">
      <c r="B34" s="82">
        <f t="shared" si="0"/>
        <v>2020</v>
      </c>
      <c r="C34" s="189"/>
      <c r="D34" s="190"/>
      <c r="E34" s="191"/>
      <c r="F34" s="111"/>
      <c r="G34" s="194"/>
      <c r="H34" s="111"/>
      <c r="I34" s="111"/>
      <c r="J34" s="122" t="s">
        <v>121</v>
      </c>
      <c r="K34" s="111"/>
      <c r="L34" s="330"/>
      <c r="N34" s="133" t="e">
        <f t="shared" si="1"/>
        <v>#DIV/0!</v>
      </c>
      <c r="O34" s="168" t="e">
        <f t="shared" si="2"/>
        <v>#DIV/0!</v>
      </c>
      <c r="P34" s="19" t="e">
        <f t="shared" si="5"/>
        <v>#DIV/0!</v>
      </c>
      <c r="Q34" s="19" t="e">
        <f t="shared" si="5"/>
        <v>#DIV/0!</v>
      </c>
      <c r="R34" s="19" t="e">
        <f t="shared" si="3"/>
        <v>#DIV/0!</v>
      </c>
      <c r="S34" s="19" t="e">
        <f t="shared" si="4"/>
        <v>#DIV/0!</v>
      </c>
      <c r="T34" s="19"/>
      <c r="W34" s="73"/>
      <c r="BT34" s="7"/>
    </row>
    <row r="35" spans="2:72" ht="13" x14ac:dyDescent="0.3">
      <c r="B35" s="82">
        <f t="shared" ref="B35:B37" si="6">B34+1</f>
        <v>2021</v>
      </c>
      <c r="C35" s="183"/>
      <c r="D35" s="190"/>
      <c r="E35" s="191"/>
      <c r="F35" s="111"/>
      <c r="G35" s="194"/>
      <c r="H35" s="111"/>
      <c r="I35" s="111"/>
      <c r="J35" s="122" t="s">
        <v>276</v>
      </c>
      <c r="K35" s="111"/>
      <c r="L35" s="330"/>
      <c r="N35" s="133" t="e">
        <f t="shared" ref="N35:N37" si="7">C35/C34-1</f>
        <v>#DIV/0!</v>
      </c>
      <c r="O35" s="168" t="e">
        <f t="shared" ref="O35:O37" si="8">D35/D34-1</f>
        <v>#DIV/0!</v>
      </c>
      <c r="P35" s="19" t="e">
        <f t="shared" ref="P35" si="9">E35/E34-1</f>
        <v>#DIV/0!</v>
      </c>
      <c r="Q35" s="19" t="e">
        <f t="shared" ref="Q35" si="10">F35/F34-1</f>
        <v>#DIV/0!</v>
      </c>
      <c r="R35" s="19" t="e">
        <f t="shared" ref="R35" si="11">H35/H34-1</f>
        <v>#DIV/0!</v>
      </c>
      <c r="S35" s="19" t="e">
        <f t="shared" ref="S35" si="12">I35/I34-1</f>
        <v>#DIV/0!</v>
      </c>
      <c r="T35" s="19"/>
      <c r="W35" s="73"/>
      <c r="BT35" s="7"/>
    </row>
    <row r="36" spans="2:72" ht="13" x14ac:dyDescent="0.3">
      <c r="B36" s="82">
        <f t="shared" si="6"/>
        <v>2022</v>
      </c>
      <c r="C36" s="183"/>
      <c r="D36" s="182"/>
      <c r="E36" s="191"/>
      <c r="F36" s="111"/>
      <c r="G36" s="194"/>
      <c r="H36" s="111"/>
      <c r="I36" s="111"/>
      <c r="J36" s="122" t="s">
        <v>277</v>
      </c>
      <c r="K36" s="111"/>
      <c r="L36" s="330"/>
      <c r="N36" s="133" t="e">
        <f t="shared" si="7"/>
        <v>#DIV/0!</v>
      </c>
      <c r="O36" s="168" t="e">
        <f t="shared" si="8"/>
        <v>#DIV/0!</v>
      </c>
      <c r="Q36" s="19"/>
      <c r="R36" s="19"/>
      <c r="S36" s="19"/>
      <c r="T36" s="19"/>
      <c r="W36" s="73"/>
      <c r="BT36" s="7"/>
    </row>
    <row r="37" spans="2:72" ht="13" x14ac:dyDescent="0.3">
      <c r="B37" s="82">
        <f t="shared" si="6"/>
        <v>2023</v>
      </c>
      <c r="C37" s="183"/>
      <c r="D37" s="182" t="e">
        <f>119500/C37</f>
        <v>#DIV/0!</v>
      </c>
      <c r="E37" s="191"/>
      <c r="F37" s="111"/>
      <c r="G37" s="194"/>
      <c r="H37" s="111"/>
      <c r="I37" s="111"/>
      <c r="J37" s="122"/>
      <c r="K37" s="111"/>
      <c r="L37" s="330"/>
      <c r="N37" s="133" t="e">
        <f t="shared" si="7"/>
        <v>#DIV/0!</v>
      </c>
      <c r="O37" s="168" t="e">
        <f t="shared" si="8"/>
        <v>#DIV/0!</v>
      </c>
      <c r="Q37" s="19"/>
      <c r="R37" s="19"/>
      <c r="S37" s="19"/>
      <c r="T37" s="19"/>
      <c r="W37" s="73"/>
      <c r="BT37" s="7"/>
    </row>
    <row r="38" spans="2:72" ht="13" x14ac:dyDescent="0.3">
      <c r="B38" s="326" t="s">
        <v>434</v>
      </c>
      <c r="C38" s="327">
        <f>DCFF!H6</f>
        <v>0</v>
      </c>
      <c r="D38" s="345">
        <f>DCFF!H7</f>
        <v>0</v>
      </c>
      <c r="E38" s="328"/>
      <c r="F38" s="327"/>
      <c r="G38" s="329"/>
      <c r="H38" s="327"/>
      <c r="I38" s="327"/>
      <c r="J38" s="122"/>
      <c r="K38" s="111"/>
      <c r="L38" s="330"/>
      <c r="N38" s="133"/>
      <c r="Q38" s="19"/>
      <c r="R38" s="19"/>
      <c r="S38" s="19"/>
      <c r="T38" s="19"/>
      <c r="W38" s="73"/>
      <c r="BT38" s="7"/>
    </row>
    <row r="39" spans="2:72" ht="13" x14ac:dyDescent="0.3">
      <c r="B39" s="138" t="s">
        <v>180</v>
      </c>
      <c r="C39" s="182" t="e">
        <f>(C37/C32)^(1/5)-1</f>
        <v>#DIV/0!</v>
      </c>
      <c r="D39" s="112" t="e">
        <f>(D37/D26)^(1/11)-1</f>
        <v>#DIV/0!</v>
      </c>
      <c r="E39" s="195"/>
      <c r="F39" s="112"/>
      <c r="G39" s="112"/>
      <c r="H39" s="112"/>
      <c r="I39" s="111"/>
      <c r="J39" s="117" t="s">
        <v>123</v>
      </c>
      <c r="K39" s="111">
        <v>0</v>
      </c>
      <c r="L39" s="330">
        <v>0</v>
      </c>
      <c r="N39" s="134"/>
      <c r="Q39" s="19"/>
      <c r="R39" s="19"/>
      <c r="S39" s="19"/>
      <c r="T39" s="19"/>
      <c r="W39" s="71"/>
    </row>
    <row r="40" spans="2:72" ht="13" x14ac:dyDescent="0.3">
      <c r="B40" s="86" t="s">
        <v>8</v>
      </c>
      <c r="C40" s="182" t="e">
        <f>AVERAGE(N27:N37)</f>
        <v>#DIV/0!</v>
      </c>
      <c r="D40" s="112" t="e">
        <f>AVERAGE(O27:O37)</f>
        <v>#DIV/0!</v>
      </c>
      <c r="F40" s="112"/>
      <c r="G40" s="112"/>
      <c r="H40" s="157"/>
      <c r="I40" s="112"/>
      <c r="J40" s="79" t="s">
        <v>32</v>
      </c>
      <c r="K40" s="332">
        <f>K28+K29+K30+K33+K34+K35+K36+K39</f>
        <v>0</v>
      </c>
      <c r="L40" s="333">
        <f>L28+L29+L30+L33+L34+L35+L36+L39</f>
        <v>0</v>
      </c>
      <c r="N40" s="134"/>
      <c r="Q40" s="19"/>
      <c r="R40" s="19"/>
      <c r="S40" s="20"/>
      <c r="T40" s="20"/>
    </row>
    <row r="41" spans="2:72" x14ac:dyDescent="0.25">
      <c r="B41" s="86" t="s">
        <v>20</v>
      </c>
      <c r="C41" s="112" t="e">
        <f>STDEV(C26:C37)/AVERAGE(C26:C37)</f>
        <v>#DIV/0!</v>
      </c>
      <c r="D41" s="112" t="e">
        <f>STDEV(D26:D37)/AVERAGE(D26:D37)</f>
        <v>#DIV/0!</v>
      </c>
      <c r="E41" s="112"/>
      <c r="F41" s="112"/>
      <c r="G41" s="112"/>
      <c r="H41" s="112"/>
      <c r="I41" s="112"/>
      <c r="J41" s="334" t="s">
        <v>33</v>
      </c>
      <c r="K41" s="335" t="e">
        <f>SUM(I33:I37)/(C37-C32)</f>
        <v>#DIV/0!</v>
      </c>
      <c r="L41" s="336" t="e">
        <f>(SUM(I33:I37)-SUM(H33:H37))/(C37-C32)</f>
        <v>#DIV/0!</v>
      </c>
      <c r="M41" s="7"/>
      <c r="N41" s="155"/>
      <c r="Q41" s="19"/>
      <c r="R41" s="19"/>
      <c r="S41" s="20"/>
      <c r="T41" s="20"/>
    </row>
    <row r="42" spans="2:72" x14ac:dyDescent="0.25">
      <c r="B42" s="86" t="s">
        <v>27</v>
      </c>
      <c r="C42" s="112" t="e">
        <f>C37/C36-1</f>
        <v>#DIV/0!</v>
      </c>
      <c r="D42" s="112" t="e">
        <f>D37/D36-1</f>
        <v>#DIV/0!</v>
      </c>
      <c r="E42" s="112"/>
      <c r="F42" s="112"/>
      <c r="G42" s="112"/>
      <c r="H42" s="112"/>
      <c r="I42" s="112"/>
      <c r="J42" s="117" t="s">
        <v>125</v>
      </c>
      <c r="K42" s="337" t="e">
        <f>K41/E14</f>
        <v>#DIV/0!</v>
      </c>
      <c r="L42" s="338" t="e">
        <f>L41/E14</f>
        <v>#DIV/0!</v>
      </c>
      <c r="Q42" s="19"/>
      <c r="R42" s="19"/>
      <c r="S42" s="20"/>
      <c r="T42" s="20"/>
    </row>
    <row r="43" spans="2:72" ht="13" x14ac:dyDescent="0.3">
      <c r="B43" s="540" t="s">
        <v>188</v>
      </c>
      <c r="C43" s="541"/>
      <c r="D43" s="541"/>
      <c r="E43" s="541"/>
      <c r="F43" s="541"/>
      <c r="G43" s="541"/>
      <c r="H43" s="542"/>
      <c r="I43" s="587" t="s">
        <v>432</v>
      </c>
      <c r="J43" s="587"/>
      <c r="K43" s="587"/>
      <c r="L43" s="588"/>
      <c r="M43" s="18"/>
      <c r="N43" s="132"/>
    </row>
    <row r="44" spans="2:72" ht="84.65" customHeight="1" x14ac:dyDescent="0.25">
      <c r="B44" s="538" t="s">
        <v>430</v>
      </c>
      <c r="C44" s="539"/>
      <c r="D44" s="539"/>
      <c r="E44" s="539"/>
      <c r="F44" s="539"/>
      <c r="G44" s="539"/>
      <c r="H44" s="539"/>
      <c r="I44" s="587"/>
      <c r="J44" s="587"/>
      <c r="K44" s="587"/>
      <c r="L44" s="588"/>
      <c r="M44" s="18"/>
      <c r="N44" s="132"/>
    </row>
    <row r="45" spans="2:72" ht="13" x14ac:dyDescent="0.3">
      <c r="B45" s="540" t="s">
        <v>43</v>
      </c>
      <c r="C45" s="541"/>
      <c r="D45" s="541"/>
      <c r="E45" s="541"/>
      <c r="F45" s="541"/>
      <c r="G45" s="541"/>
      <c r="H45" s="542"/>
      <c r="I45" s="587"/>
      <c r="J45" s="587"/>
      <c r="K45" s="587"/>
      <c r="L45" s="588"/>
      <c r="M45" s="18"/>
      <c r="N45" s="132"/>
    </row>
    <row r="46" spans="2:72" ht="29.15" customHeight="1" x14ac:dyDescent="0.25">
      <c r="B46" s="538" t="s">
        <v>428</v>
      </c>
      <c r="C46" s="539"/>
      <c r="D46" s="539"/>
      <c r="E46" s="539"/>
      <c r="F46" s="539"/>
      <c r="G46" s="539"/>
      <c r="H46" s="539"/>
      <c r="I46" s="587"/>
      <c r="J46" s="587"/>
      <c r="K46" s="587"/>
      <c r="L46" s="588"/>
      <c r="M46" s="18"/>
      <c r="N46" s="132"/>
    </row>
    <row r="47" spans="2:72" ht="13" x14ac:dyDescent="0.3">
      <c r="B47" s="590" t="s">
        <v>44</v>
      </c>
      <c r="C47" s="591"/>
      <c r="D47" s="591"/>
      <c r="E47" s="591"/>
      <c r="F47" s="591"/>
      <c r="G47" s="591"/>
      <c r="H47" s="591"/>
      <c r="I47" s="587"/>
      <c r="J47" s="587"/>
      <c r="K47" s="587"/>
      <c r="L47" s="588"/>
      <c r="M47" s="18"/>
      <c r="N47" s="132"/>
    </row>
    <row r="48" spans="2:72" ht="20.25" customHeight="1" x14ac:dyDescent="0.25">
      <c r="B48" s="538" t="s">
        <v>429</v>
      </c>
      <c r="C48" s="539"/>
      <c r="D48" s="539"/>
      <c r="E48" s="539"/>
      <c r="F48" s="539"/>
      <c r="G48" s="539"/>
      <c r="H48" s="539"/>
      <c r="I48" s="587"/>
      <c r="J48" s="587"/>
      <c r="K48" s="587"/>
      <c r="L48" s="588"/>
      <c r="M48" s="18"/>
      <c r="N48" s="132"/>
    </row>
    <row r="49" spans="2:18" ht="13" x14ac:dyDescent="0.3">
      <c r="B49" s="585" t="s">
        <v>147</v>
      </c>
      <c r="C49" s="586"/>
      <c r="D49" s="586"/>
      <c r="E49" s="586"/>
      <c r="F49" s="586"/>
      <c r="G49" s="586"/>
      <c r="H49" s="586"/>
      <c r="I49" s="587"/>
      <c r="J49" s="587"/>
      <c r="K49" s="587"/>
      <c r="L49" s="588"/>
    </row>
    <row r="50" spans="2:18" ht="13.5" customHeight="1" thickBot="1" x14ac:dyDescent="0.3">
      <c r="B50" s="517" t="s">
        <v>10</v>
      </c>
      <c r="C50" s="518" t="s">
        <v>132</v>
      </c>
      <c r="D50" s="518" t="s">
        <v>131</v>
      </c>
      <c r="E50" s="518" t="s">
        <v>148</v>
      </c>
      <c r="F50" s="518" t="s">
        <v>149</v>
      </c>
      <c r="G50" s="518" t="s">
        <v>104</v>
      </c>
      <c r="H50" s="518" t="s">
        <v>150</v>
      </c>
      <c r="I50" s="582" t="s">
        <v>431</v>
      </c>
      <c r="J50" s="583"/>
      <c r="K50" s="583"/>
      <c r="L50" s="584"/>
    </row>
    <row r="51" spans="2:18" x14ac:dyDescent="0.25">
      <c r="B51" s="22" t="s">
        <v>108</v>
      </c>
      <c r="M51" s="18"/>
      <c r="N51" s="132"/>
      <c r="O51" s="169"/>
      <c r="P51" s="132"/>
      <c r="Q51" s="18"/>
      <c r="R51" s="18"/>
    </row>
    <row r="52" spans="2:18" s="11" customFormat="1" ht="13" x14ac:dyDescent="0.3">
      <c r="B52" s="70" t="s">
        <v>124</v>
      </c>
      <c r="M52" s="18"/>
      <c r="N52" s="132"/>
      <c r="O52" s="169"/>
      <c r="P52" s="132"/>
      <c r="Q52" s="18"/>
      <c r="R52" s="18"/>
    </row>
    <row r="53" spans="2:18" x14ac:dyDescent="0.25">
      <c r="B53" s="114"/>
      <c r="C53" s="228"/>
      <c r="D53" s="228"/>
      <c r="E53" s="228"/>
      <c r="F53" s="228"/>
      <c r="G53" s="228"/>
      <c r="H53" s="228"/>
      <c r="I53" s="228"/>
      <c r="J53" s="228"/>
      <c r="K53" s="228"/>
      <c r="L53" s="228"/>
      <c r="M53" s="228"/>
    </row>
    <row r="54" spans="2:18" x14ac:dyDescent="0.25">
      <c r="B54" s="571"/>
      <c r="C54" s="572"/>
      <c r="D54" s="572"/>
      <c r="E54" s="572"/>
      <c r="F54" s="572"/>
      <c r="G54" s="572"/>
      <c r="H54" s="572"/>
      <c r="I54" s="572"/>
      <c r="J54" s="572"/>
      <c r="K54" s="572"/>
      <c r="L54" s="572"/>
      <c r="M54" s="226"/>
    </row>
    <row r="55" spans="2:18" ht="13" x14ac:dyDescent="0.3">
      <c r="B55" s="19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</row>
    <row r="56" spans="2:18" ht="13" x14ac:dyDescent="0.3">
      <c r="B56" s="225"/>
      <c r="C56" s="226"/>
      <c r="D56" s="226"/>
      <c r="E56" s="226"/>
      <c r="F56" s="226"/>
      <c r="G56" s="226"/>
      <c r="H56" s="226"/>
      <c r="I56" s="226"/>
      <c r="J56" s="226"/>
      <c r="K56" s="226"/>
      <c r="L56" s="226"/>
      <c r="M56" s="226"/>
    </row>
    <row r="57" spans="2:18" x14ac:dyDescent="0.25">
      <c r="B57" s="227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</row>
    <row r="58" spans="2:18" x14ac:dyDescent="0.25">
      <c r="B58" s="227"/>
      <c r="C58" s="226"/>
      <c r="D58" s="226"/>
      <c r="E58" s="226"/>
      <c r="F58" s="226"/>
      <c r="G58" s="226"/>
      <c r="H58" s="226"/>
      <c r="I58" s="226"/>
      <c r="J58" s="226"/>
      <c r="K58" s="226"/>
      <c r="L58" s="226"/>
      <c r="M58" s="226"/>
    </row>
  </sheetData>
  <mergeCells count="32">
    <mergeCell ref="B54:L54"/>
    <mergeCell ref="I21:K23"/>
    <mergeCell ref="I50:L50"/>
    <mergeCell ref="B45:H45"/>
    <mergeCell ref="B49:H49"/>
    <mergeCell ref="I43:L49"/>
    <mergeCell ref="L21:L22"/>
    <mergeCell ref="B48:H48"/>
    <mergeCell ref="J25:L25"/>
    <mergeCell ref="B46:H46"/>
    <mergeCell ref="B47:H47"/>
    <mergeCell ref="F6:H6"/>
    <mergeCell ref="B21:G22"/>
    <mergeCell ref="H21:H22"/>
    <mergeCell ref="F7:G7"/>
    <mergeCell ref="F13:H13"/>
    <mergeCell ref="I20:K20"/>
    <mergeCell ref="B44:H44"/>
    <mergeCell ref="B43:H43"/>
    <mergeCell ref="E2:J2"/>
    <mergeCell ref="B23:G23"/>
    <mergeCell ref="D4:L5"/>
    <mergeCell ref="B5:C5"/>
    <mergeCell ref="L23:L24"/>
    <mergeCell ref="B3:C4"/>
    <mergeCell ref="D3:L3"/>
    <mergeCell ref="K6:L6"/>
    <mergeCell ref="B6:C6"/>
    <mergeCell ref="B24:G24"/>
    <mergeCell ref="B16:C16"/>
    <mergeCell ref="I6:J6"/>
    <mergeCell ref="D6:E6"/>
  </mergeCells>
  <phoneticPr fontId="0" type="noConversion"/>
  <printOptions horizontalCentered="1" verticalCentered="1"/>
  <pageMargins left="0" right="0" top="0.19685039370078741" bottom="0.19685039370078741" header="0" footer="0"/>
  <pageSetup paperSize="134" scale="65" orientation="landscape" r:id="rId1"/>
  <headerFooter alignWithMargins="0"/>
  <ignoredErrors>
    <ignoredError sqref="P28:P30 N28" evalError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Acuerdo!$A$1:$A$6</xm:f>
          </x14:formula1>
          <xm:sqref>H21:H22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N24"/>
  <sheetViews>
    <sheetView showGridLines="0" workbookViewId="0">
      <selection activeCell="A24" sqref="A24"/>
    </sheetView>
  </sheetViews>
  <sheetFormatPr defaultColWidth="11.453125" defaultRowHeight="12.5" x14ac:dyDescent="0.25"/>
  <sheetData>
    <row r="1" spans="1:14" x14ac:dyDescent="0.25">
      <c r="A1" s="224" t="s">
        <v>189</v>
      </c>
      <c r="G1" s="224" t="s">
        <v>190</v>
      </c>
      <c r="N1" s="224" t="s">
        <v>191</v>
      </c>
    </row>
    <row r="2" spans="1:14" x14ac:dyDescent="0.25">
      <c r="A2" s="114" t="s">
        <v>192</v>
      </c>
      <c r="G2" s="114" t="s">
        <v>193</v>
      </c>
      <c r="N2" s="114" t="s">
        <v>194</v>
      </c>
    </row>
    <row r="23" spans="1:1" x14ac:dyDescent="0.25">
      <c r="A23" s="114" t="s">
        <v>195</v>
      </c>
    </row>
    <row r="24" spans="1:1" x14ac:dyDescent="0.25">
      <c r="A24" s="224" t="s">
        <v>196</v>
      </c>
    </row>
  </sheetData>
  <hyperlinks>
    <hyperlink ref="A1" r:id="rId1" xr:uid="{00000000-0004-0000-0100-000000000000}"/>
    <hyperlink ref="G1" r:id="rId2" xr:uid="{00000000-0004-0000-0100-000001000000}"/>
    <hyperlink ref="A24" r:id="rId3" xr:uid="{00000000-0004-0000-0100-000002000000}"/>
    <hyperlink ref="N1" r:id="rId4" xr:uid="{00000000-0004-0000-0100-000003000000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9"/>
  </sheetPr>
  <dimension ref="B1:AD37"/>
  <sheetViews>
    <sheetView showGridLines="0" zoomScale="115" zoomScaleNormal="115" workbookViewId="0">
      <selection activeCell="X17" sqref="X17"/>
    </sheetView>
  </sheetViews>
  <sheetFormatPr defaultColWidth="11.453125" defaultRowHeight="12.5" x14ac:dyDescent="0.25"/>
  <cols>
    <col min="1" max="1" width="2.1796875" customWidth="1"/>
    <col min="2" max="2" width="29" bestFit="1" customWidth="1"/>
    <col min="3" max="3" width="15.453125" style="4" customWidth="1"/>
    <col min="4" max="8" width="15.453125" customWidth="1"/>
    <col min="9" max="9" width="15.453125" hidden="1" customWidth="1"/>
    <col min="10" max="10" width="15.453125" customWidth="1"/>
    <col min="11" max="11" width="1.453125" customWidth="1"/>
    <col min="12" max="12" width="29.26953125" bestFit="1" customWidth="1"/>
    <col min="14" max="14" width="10.7265625" customWidth="1"/>
    <col min="21" max="21" width="2.81640625" customWidth="1"/>
    <col min="22" max="22" width="29.26953125" bestFit="1" customWidth="1"/>
  </cols>
  <sheetData>
    <row r="1" spans="2:30" ht="7.5" customHeight="1" thickBot="1" x14ac:dyDescent="0.3"/>
    <row r="2" spans="2:30" ht="20" x14ac:dyDescent="0.4">
      <c r="B2" s="593" t="s">
        <v>435</v>
      </c>
      <c r="C2" s="594"/>
      <c r="D2" s="594"/>
      <c r="E2" s="594"/>
      <c r="F2" s="594"/>
      <c r="G2" s="594"/>
      <c r="H2" s="595"/>
      <c r="I2" s="339"/>
      <c r="J2" s="339"/>
      <c r="L2" s="599" t="s">
        <v>197</v>
      </c>
      <c r="M2" s="599"/>
      <c r="N2" s="237" t="s">
        <v>199</v>
      </c>
      <c r="O2" s="236"/>
      <c r="P2" s="236"/>
      <c r="Q2" s="236"/>
      <c r="R2" s="236"/>
      <c r="S2" s="236"/>
      <c r="T2" s="236"/>
      <c r="U2" s="236"/>
      <c r="V2" s="236"/>
      <c r="W2" s="236"/>
      <c r="X2" s="237" t="s">
        <v>199</v>
      </c>
      <c r="Y2" s="236"/>
      <c r="Z2" s="236"/>
      <c r="AA2" s="236"/>
      <c r="AB2" s="236"/>
      <c r="AC2" s="236"/>
      <c r="AD2" s="236"/>
    </row>
    <row r="3" spans="2:30" ht="13" x14ac:dyDescent="0.3">
      <c r="B3" s="174"/>
      <c r="C3" s="30">
        <v>2022</v>
      </c>
      <c r="D3" s="30">
        <f>C3-1</f>
        <v>2021</v>
      </c>
      <c r="E3" s="30" t="s">
        <v>117</v>
      </c>
      <c r="F3" s="30" t="s">
        <v>65</v>
      </c>
      <c r="G3" s="30" t="s">
        <v>64</v>
      </c>
      <c r="H3" s="32" t="s">
        <v>57</v>
      </c>
      <c r="I3" s="13"/>
      <c r="J3" s="13"/>
      <c r="K3" s="11"/>
      <c r="L3" s="239" t="s">
        <v>10</v>
      </c>
      <c r="M3" s="240" t="s">
        <v>282</v>
      </c>
      <c r="N3" s="240" t="s">
        <v>370</v>
      </c>
      <c r="O3" s="240" t="s">
        <v>437</v>
      </c>
      <c r="P3" s="240" t="s">
        <v>438</v>
      </c>
      <c r="Q3" s="240">
        <v>2025</v>
      </c>
      <c r="R3" s="240">
        <v>2026</v>
      </c>
      <c r="S3" s="240">
        <v>2027</v>
      </c>
      <c r="T3" s="240">
        <v>2028</v>
      </c>
      <c r="U3" s="236"/>
      <c r="V3" s="240" t="s">
        <v>200</v>
      </c>
      <c r="W3" s="240" t="s">
        <v>203</v>
      </c>
      <c r="X3" s="240" t="s">
        <v>282</v>
      </c>
      <c r="Y3" s="240" t="s">
        <v>370</v>
      </c>
      <c r="Z3" s="240" t="s">
        <v>369</v>
      </c>
      <c r="AA3" s="240">
        <v>2024</v>
      </c>
      <c r="AB3" s="240">
        <v>2025</v>
      </c>
      <c r="AC3" s="240">
        <v>2026</v>
      </c>
      <c r="AD3" s="240">
        <v>2027</v>
      </c>
    </row>
    <row r="4" spans="2:30" ht="13" x14ac:dyDescent="0.3">
      <c r="B4" s="175"/>
      <c r="C4" s="1"/>
      <c r="D4" s="1"/>
      <c r="E4" s="7"/>
      <c r="F4" s="12"/>
      <c r="G4" s="12"/>
      <c r="H4" s="33"/>
      <c r="I4" s="340"/>
      <c r="J4" s="519" t="str">
        <f>IF(C4="","",IF(F4=0,"NA",TEXT(F4,"0%"))&amp;"; "&amp;IF(G4=0,"NA",TEXT(G4,"0.0%"))&amp;"; "&amp;IF(H4=0,"NA",TEXT(H4,"0%")))</f>
        <v/>
      </c>
      <c r="L4" s="238">
        <f>B17</f>
        <v>0</v>
      </c>
      <c r="M4" s="241"/>
      <c r="N4" s="177"/>
      <c r="O4" s="177"/>
      <c r="P4" s="177"/>
      <c r="Q4" s="177"/>
      <c r="R4" s="177"/>
      <c r="S4" s="177"/>
      <c r="T4" s="177"/>
      <c r="U4" s="236"/>
      <c r="V4" s="238">
        <f>B4</f>
        <v>0</v>
      </c>
      <c r="W4" s="473"/>
      <c r="X4" s="474"/>
      <c r="Y4" s="474"/>
      <c r="Z4" s="474"/>
      <c r="AA4" s="474"/>
      <c r="AB4" s="474"/>
      <c r="AC4" s="474"/>
      <c r="AD4" s="474"/>
    </row>
    <row r="5" spans="2:30" ht="13" x14ac:dyDescent="0.3">
      <c r="B5" s="175"/>
      <c r="C5" s="1"/>
      <c r="D5" s="1"/>
      <c r="E5" s="7"/>
      <c r="F5" s="12"/>
      <c r="G5" s="12"/>
      <c r="H5" s="33"/>
      <c r="I5" s="340"/>
      <c r="J5" s="519" t="str">
        <f>IF(C5="","",IF(F5=0,"NA",TEXT(F5,"0%"))&amp;"; "&amp;IF(G5=0,"NA",TEXT(G5,"0.0%"))&amp;"; "&amp;IF(H5=0,"NA",TEXT(H5,"0%")))</f>
        <v/>
      </c>
      <c r="L5" s="238">
        <f t="shared" ref="L5:L8" si="0">B18</f>
        <v>0</v>
      </c>
      <c r="M5" s="241"/>
      <c r="N5" s="177"/>
      <c r="O5" s="177"/>
      <c r="P5" s="177"/>
      <c r="Q5" s="177"/>
      <c r="R5" s="177"/>
      <c r="S5" s="177"/>
      <c r="T5" s="177"/>
      <c r="U5" s="236"/>
      <c r="V5" s="238">
        <f t="shared" ref="V5:V8" si="1">B5</f>
        <v>0</v>
      </c>
      <c r="W5" s="473"/>
      <c r="X5" s="474"/>
      <c r="Y5" s="474"/>
      <c r="Z5" s="474"/>
      <c r="AA5" s="474"/>
      <c r="AB5" s="474"/>
      <c r="AC5" s="474"/>
      <c r="AD5" s="474"/>
    </row>
    <row r="6" spans="2:30" ht="13" x14ac:dyDescent="0.3">
      <c r="B6" s="175"/>
      <c r="C6" s="1"/>
      <c r="D6" s="1"/>
      <c r="E6" s="7"/>
      <c r="F6" s="12"/>
      <c r="G6" s="12"/>
      <c r="H6" s="33"/>
      <c r="I6" s="340"/>
      <c r="J6" s="519" t="str">
        <f>IF(C6="","",IF(F6=0,"NA",TEXT(F6,"0%"))&amp;"; "&amp;IF(G6=0,"NA",TEXT(G6,"0.0%"))&amp;"; "&amp;IF(H6=0,"NA",TEXT(H6,"0%")))</f>
        <v/>
      </c>
      <c r="L6" s="238">
        <f t="shared" si="0"/>
        <v>0</v>
      </c>
      <c r="M6" s="241"/>
      <c r="N6" s="135"/>
      <c r="O6" s="135"/>
      <c r="P6" s="135"/>
      <c r="Q6" s="135"/>
      <c r="R6" s="135"/>
      <c r="S6" s="135"/>
      <c r="T6" s="135"/>
      <c r="V6" s="238">
        <f t="shared" si="1"/>
        <v>0</v>
      </c>
      <c r="W6" s="473"/>
      <c r="X6" s="476"/>
      <c r="Y6" s="320"/>
      <c r="Z6" s="320"/>
      <c r="AA6" s="320"/>
      <c r="AB6" s="320"/>
      <c r="AC6" s="320"/>
      <c r="AD6" s="320"/>
    </row>
    <row r="7" spans="2:30" ht="13" x14ac:dyDescent="0.3">
      <c r="B7" s="175"/>
      <c r="C7" s="176"/>
      <c r="D7" s="176"/>
      <c r="E7" s="7"/>
      <c r="F7" s="12"/>
      <c r="G7" s="177"/>
      <c r="H7" s="178"/>
      <c r="I7" s="341"/>
      <c r="J7" s="519" t="str">
        <f>IF(C7="","",IF(F7=0,"NA",TEXT(F7,"0%"))&amp;"; "&amp;IF(G7=0,"NA",TEXT(G7,"0.0%"))&amp;"; "&amp;IF(H7=0,"NA",TEXT(H7,"0%")))</f>
        <v/>
      </c>
      <c r="L7" s="238">
        <f t="shared" si="0"/>
        <v>0</v>
      </c>
      <c r="M7" s="241"/>
      <c r="N7" s="135"/>
      <c r="O7" s="135"/>
      <c r="P7" s="135"/>
      <c r="Q7" s="135"/>
      <c r="R7" s="135"/>
      <c r="S7" s="135"/>
      <c r="T7" s="135"/>
      <c r="V7" s="238">
        <f t="shared" si="1"/>
        <v>0</v>
      </c>
      <c r="W7" s="473"/>
      <c r="X7" s="320"/>
      <c r="Y7" s="320"/>
      <c r="Z7" s="320"/>
      <c r="AA7" s="320"/>
      <c r="AB7" s="320"/>
      <c r="AC7" s="320"/>
      <c r="AD7" s="320"/>
    </row>
    <row r="8" spans="2:30" ht="13" x14ac:dyDescent="0.3">
      <c r="B8" s="175"/>
      <c r="C8" s="1"/>
      <c r="D8" s="1"/>
      <c r="E8" s="7"/>
      <c r="F8" s="12"/>
      <c r="G8" s="12"/>
      <c r="H8" s="33"/>
      <c r="I8" s="340"/>
      <c r="J8" s="519" t="str">
        <f>IF(C8="","",IF(F8=0,"NA",TEXT(F8,"0%"))&amp;"; "&amp;IF(G8=0,"NA",TEXT(G8,"0.0%"))&amp;"; "&amp;IF(H8=0,"NA",TEXT(H8,"0%")))</f>
        <v/>
      </c>
      <c r="L8" s="234">
        <f t="shared" si="0"/>
        <v>0</v>
      </c>
      <c r="M8" s="242"/>
      <c r="N8" s="232"/>
      <c r="O8" s="232"/>
      <c r="P8" s="232"/>
      <c r="Q8" s="232"/>
      <c r="R8" s="232"/>
      <c r="S8" s="232"/>
      <c r="T8" s="232"/>
      <c r="V8" s="234">
        <f t="shared" si="1"/>
        <v>0</v>
      </c>
      <c r="W8" s="471"/>
      <c r="X8" s="475"/>
      <c r="Y8" s="475"/>
      <c r="Z8" s="475"/>
      <c r="AA8" s="475"/>
      <c r="AB8" s="475"/>
      <c r="AC8" s="475"/>
      <c r="AD8" s="475"/>
    </row>
    <row r="9" spans="2:30" ht="13" x14ac:dyDescent="0.3">
      <c r="B9" s="161"/>
      <c r="C9" s="1"/>
      <c r="D9" s="129"/>
      <c r="E9" s="152"/>
      <c r="F9" s="12"/>
      <c r="G9" s="12"/>
      <c r="H9" s="33"/>
      <c r="I9" s="340"/>
      <c r="J9" s="519" t="str">
        <f t="shared" ref="J9:J13" si="2">IF(C9="","",IF(F9=0,"NA",TEXT(F9,"0%"))&amp;"; "&amp;IF(G9=0,"NA",TEXT(G9,"0.0%"))&amp;"; "&amp;IF(H9=0,"NA",TEXT(H9,"0%")))</f>
        <v/>
      </c>
      <c r="L9" s="231" t="s">
        <v>198</v>
      </c>
      <c r="M9" s="226"/>
      <c r="N9" s="226"/>
      <c r="O9" s="226"/>
      <c r="P9" s="226"/>
      <c r="Q9" s="226"/>
      <c r="R9" s="226"/>
      <c r="S9" s="226"/>
      <c r="T9" s="226"/>
      <c r="V9" s="247" t="s">
        <v>202</v>
      </c>
      <c r="W9" s="472" t="e">
        <f>(W4*W12+W5*W13+W6*W14+W7*W15+W8*W16)/SUM(W12:W16)+W10</f>
        <v>#DIV/0!</v>
      </c>
      <c r="X9" s="472" t="e">
        <f t="shared" ref="X9:AD9" si="3">(X4*X12+X5*X13+X6*X14+X7*X15+X8*X16)/SUM(X12:X16)+X10</f>
        <v>#DIV/0!</v>
      </c>
      <c r="Y9" s="472" t="e">
        <f t="shared" si="3"/>
        <v>#DIV/0!</v>
      </c>
      <c r="Z9" s="472" t="e">
        <f t="shared" si="3"/>
        <v>#DIV/0!</v>
      </c>
      <c r="AA9" s="472" t="e">
        <f t="shared" si="3"/>
        <v>#DIV/0!</v>
      </c>
      <c r="AB9" s="472" t="e">
        <f t="shared" si="3"/>
        <v>#DIV/0!</v>
      </c>
      <c r="AC9" s="472" t="e">
        <f t="shared" si="3"/>
        <v>#DIV/0!</v>
      </c>
      <c r="AD9" s="472" t="e">
        <f t="shared" si="3"/>
        <v>#DIV/0!</v>
      </c>
    </row>
    <row r="10" spans="2:30" ht="13" x14ac:dyDescent="0.3">
      <c r="B10" s="161"/>
      <c r="C10" s="139"/>
      <c r="D10" s="129"/>
      <c r="E10" s="7"/>
      <c r="F10" s="12"/>
      <c r="G10" s="12"/>
      <c r="H10" s="33"/>
      <c r="I10" s="340"/>
      <c r="J10" s="519" t="str">
        <f t="shared" si="2"/>
        <v/>
      </c>
      <c r="L10" s="34">
        <f>B17</f>
        <v>0</v>
      </c>
      <c r="M10" s="320"/>
      <c r="N10" s="15"/>
      <c r="O10" s="15"/>
      <c r="P10" s="15"/>
      <c r="Q10" s="15"/>
      <c r="R10" s="15"/>
      <c r="S10" s="15"/>
      <c r="T10" s="15"/>
      <c r="V10" s="246" t="s">
        <v>201</v>
      </c>
      <c r="W10" s="248">
        <f>(-6200-18752)/274515</f>
        <v>-9.0894850918893322E-2</v>
      </c>
      <c r="X10" s="248">
        <f>(-6143-21914)/365817</f>
        <v>-7.6696818354532459E-2</v>
      </c>
      <c r="Y10" s="248">
        <f>(-7207-26251)/394328</f>
        <v>-8.4848146720496648E-2</v>
      </c>
      <c r="Z10" s="248">
        <v>-0.1</v>
      </c>
      <c r="AA10" s="248">
        <v>-0.1</v>
      </c>
      <c r="AB10" s="248">
        <v>-0.1</v>
      </c>
      <c r="AC10" s="248">
        <v>-0.1</v>
      </c>
      <c r="AD10" s="248">
        <v>-0.1</v>
      </c>
    </row>
    <row r="11" spans="2:30" ht="13" x14ac:dyDescent="0.3">
      <c r="B11" s="161"/>
      <c r="C11" s="1"/>
      <c r="D11" s="129"/>
      <c r="E11" s="7"/>
      <c r="F11" s="12"/>
      <c r="G11" s="12"/>
      <c r="H11" s="33"/>
      <c r="I11" s="340"/>
      <c r="J11" s="519" t="str">
        <f t="shared" si="2"/>
        <v/>
      </c>
      <c r="L11" s="34">
        <f t="shared" ref="L11:L13" si="4">B18</f>
        <v>0</v>
      </c>
      <c r="M11" s="320"/>
      <c r="N11" s="15"/>
      <c r="O11" s="15"/>
      <c r="P11" s="15"/>
      <c r="Q11" s="15"/>
      <c r="R11" s="15"/>
      <c r="S11" s="15"/>
      <c r="T11" s="15"/>
      <c r="V11" s="235" t="s">
        <v>198</v>
      </c>
    </row>
    <row r="12" spans="2:30" ht="13" x14ac:dyDescent="0.3">
      <c r="B12" s="161"/>
      <c r="C12" s="1"/>
      <c r="D12" s="129"/>
      <c r="E12" s="7"/>
      <c r="F12" s="12"/>
      <c r="G12" s="12"/>
      <c r="H12" s="33"/>
      <c r="I12" s="340"/>
      <c r="J12" s="519" t="str">
        <f t="shared" si="2"/>
        <v/>
      </c>
      <c r="L12" s="34">
        <f t="shared" si="4"/>
        <v>0</v>
      </c>
      <c r="M12" s="320"/>
      <c r="N12" s="15"/>
      <c r="O12" s="15"/>
      <c r="P12" s="15"/>
      <c r="Q12" s="15"/>
      <c r="R12" s="15"/>
      <c r="S12" s="15"/>
      <c r="T12" s="15"/>
      <c r="V12" s="34">
        <f>V4</f>
        <v>0</v>
      </c>
      <c r="W12" s="12"/>
      <c r="X12" s="135"/>
      <c r="Y12" s="135"/>
      <c r="Z12" s="135"/>
      <c r="AA12" s="135"/>
      <c r="AB12" s="135"/>
      <c r="AC12" s="135"/>
      <c r="AD12" s="135"/>
    </row>
    <row r="13" spans="2:30" ht="13" x14ac:dyDescent="0.3">
      <c r="B13" s="160"/>
      <c r="C13" s="162"/>
      <c r="D13" s="162"/>
      <c r="E13" s="7"/>
      <c r="F13" s="12"/>
      <c r="G13" s="163"/>
      <c r="H13" s="164"/>
      <c r="I13" s="342"/>
      <c r="J13" s="519" t="str">
        <f t="shared" si="2"/>
        <v/>
      </c>
      <c r="L13" s="34">
        <f t="shared" si="4"/>
        <v>0</v>
      </c>
      <c r="M13" s="320"/>
      <c r="N13" s="15"/>
      <c r="O13" s="15"/>
      <c r="P13" s="15"/>
      <c r="Q13" s="15"/>
      <c r="R13" s="15"/>
      <c r="S13" s="15"/>
      <c r="T13" s="15"/>
      <c r="V13" s="34">
        <f>V5</f>
        <v>0</v>
      </c>
      <c r="W13" s="12"/>
      <c r="X13" s="135"/>
      <c r="Y13" s="135"/>
      <c r="Z13" s="135"/>
      <c r="AA13" s="135"/>
      <c r="AB13" s="135"/>
      <c r="AC13" s="135"/>
      <c r="AD13" s="135"/>
    </row>
    <row r="14" spans="2:30" ht="13" x14ac:dyDescent="0.3">
      <c r="B14" s="35" t="s">
        <v>111</v>
      </c>
      <c r="C14" s="74">
        <f>SUM(C4:C12)</f>
        <v>0</v>
      </c>
      <c r="D14" s="74">
        <f>SUM(D4:D12)</f>
        <v>0</v>
      </c>
      <c r="E14" s="50">
        <f>SUM(E4:E13)</f>
        <v>0</v>
      </c>
      <c r="F14" s="31" t="e">
        <f>C14/SUM($C$4:$C$13)</f>
        <v>#DIV/0!</v>
      </c>
      <c r="G14" s="116" t="e">
        <f>E14/C14</f>
        <v>#DIV/0!</v>
      </c>
      <c r="H14" s="36" t="e">
        <f>C14/D14-1</f>
        <v>#DIV/0!</v>
      </c>
      <c r="I14" s="342"/>
      <c r="J14" s="342"/>
      <c r="L14" s="234">
        <f>B21</f>
        <v>0</v>
      </c>
      <c r="M14" s="471"/>
      <c r="N14" s="471"/>
      <c r="O14" s="471"/>
      <c r="P14" s="471"/>
      <c r="Q14" s="471"/>
      <c r="R14" s="471"/>
      <c r="S14" s="471"/>
      <c r="T14" s="471"/>
      <c r="V14" s="34">
        <f>V6</f>
        <v>0</v>
      </c>
      <c r="W14" s="12"/>
      <c r="X14" s="135"/>
      <c r="Y14" s="135"/>
      <c r="Z14" s="135"/>
      <c r="AA14" s="135"/>
      <c r="AB14" s="135"/>
      <c r="AC14" s="135"/>
      <c r="AD14" s="135"/>
    </row>
    <row r="15" spans="2:30" ht="15" customHeight="1" x14ac:dyDescent="0.4">
      <c r="B15" s="596" t="s">
        <v>436</v>
      </c>
      <c r="C15" s="597"/>
      <c r="D15" s="597"/>
      <c r="E15" s="597"/>
      <c r="F15" s="597"/>
      <c r="G15" s="597"/>
      <c r="H15" s="598"/>
      <c r="I15" s="339"/>
      <c r="J15" s="339"/>
      <c r="M15" s="5">
        <f>SUM(M10:M14)</f>
        <v>0</v>
      </c>
      <c r="N15" s="5">
        <f t="shared" ref="N15:T15" si="5">SUM(N10:N14)</f>
        <v>0</v>
      </c>
      <c r="O15" s="5">
        <f t="shared" si="5"/>
        <v>0</v>
      </c>
      <c r="P15" s="5">
        <f t="shared" si="5"/>
        <v>0</v>
      </c>
      <c r="Q15" s="5">
        <f t="shared" si="5"/>
        <v>0</v>
      </c>
      <c r="R15" s="5">
        <f t="shared" si="5"/>
        <v>0</v>
      </c>
      <c r="S15" s="5">
        <f t="shared" si="5"/>
        <v>0</v>
      </c>
      <c r="T15" s="5">
        <f t="shared" si="5"/>
        <v>0</v>
      </c>
      <c r="V15" s="34">
        <f>V7</f>
        <v>0</v>
      </c>
      <c r="W15" s="12"/>
      <c r="X15" s="12"/>
      <c r="Y15" s="12"/>
      <c r="Z15" s="12"/>
      <c r="AA15" s="12"/>
      <c r="AB15" s="12"/>
      <c r="AC15" s="12"/>
      <c r="AD15" s="12"/>
    </row>
    <row r="16" spans="2:30" ht="13" x14ac:dyDescent="0.3">
      <c r="B16" s="35"/>
      <c r="C16" s="30">
        <f>C3</f>
        <v>2022</v>
      </c>
      <c r="D16" s="30">
        <f>C16-1</f>
        <v>2021</v>
      </c>
      <c r="E16" s="30" t="s">
        <v>58</v>
      </c>
      <c r="F16" s="30" t="s">
        <v>65</v>
      </c>
      <c r="G16" s="30" t="s">
        <v>64</v>
      </c>
      <c r="H16" s="32" t="s">
        <v>57</v>
      </c>
      <c r="I16" s="13"/>
      <c r="J16" s="13"/>
      <c r="K16" s="11"/>
      <c r="N16" s="243" t="e">
        <f>N15/M15-1</f>
        <v>#DIV/0!</v>
      </c>
      <c r="O16" s="243" t="e">
        <f t="shared" ref="O16:T16" si="6">O15/N15-1</f>
        <v>#DIV/0!</v>
      </c>
      <c r="P16" s="243" t="e">
        <f t="shared" si="6"/>
        <v>#DIV/0!</v>
      </c>
      <c r="Q16" s="243" t="e">
        <f t="shared" si="6"/>
        <v>#DIV/0!</v>
      </c>
      <c r="R16" s="243" t="e">
        <f t="shared" si="6"/>
        <v>#DIV/0!</v>
      </c>
      <c r="S16" s="243" t="e">
        <f t="shared" si="6"/>
        <v>#DIV/0!</v>
      </c>
      <c r="T16" s="243" t="e">
        <f t="shared" si="6"/>
        <v>#DIV/0!</v>
      </c>
      <c r="V16" s="244">
        <f>V8</f>
        <v>0</v>
      </c>
      <c r="W16" s="233"/>
      <c r="X16" s="232"/>
      <c r="Y16" s="232"/>
      <c r="Z16" s="232"/>
      <c r="AA16" s="232"/>
      <c r="AB16" s="232"/>
      <c r="AC16" s="232"/>
      <c r="AD16" s="232"/>
    </row>
    <row r="17" spans="2:30" x14ac:dyDescent="0.25">
      <c r="B17" s="179"/>
      <c r="C17" s="1"/>
      <c r="D17" s="1"/>
      <c r="E17" s="115"/>
      <c r="F17" s="12"/>
      <c r="G17" s="12"/>
      <c r="H17" s="33"/>
      <c r="I17" s="340"/>
      <c r="J17" s="519" t="str">
        <f>IF(C17="","",IF(F17=0,"NA",TEXT(F17,"0%"))&amp;"; "&amp;IF(G17=0,"NA",TEXT(G17,"0.0%"))&amp;"; "&amp;IF(H17=0,"NA",TEXT(H17,"0%")))</f>
        <v/>
      </c>
      <c r="K17" s="7"/>
      <c r="W17" s="245">
        <f>SUM(W12:W16)</f>
        <v>0</v>
      </c>
      <c r="X17" s="245">
        <f t="shared" ref="X17:AD17" si="7">SUM(X12:X16)</f>
        <v>0</v>
      </c>
      <c r="Y17" s="245">
        <f t="shared" si="7"/>
        <v>0</v>
      </c>
      <c r="Z17" s="245">
        <f t="shared" si="7"/>
        <v>0</v>
      </c>
      <c r="AA17" s="245">
        <f t="shared" si="7"/>
        <v>0</v>
      </c>
      <c r="AB17" s="245">
        <f t="shared" si="7"/>
        <v>0</v>
      </c>
      <c r="AC17" s="245">
        <f t="shared" si="7"/>
        <v>0</v>
      </c>
      <c r="AD17" s="245">
        <f t="shared" si="7"/>
        <v>0</v>
      </c>
    </row>
    <row r="18" spans="2:30" x14ac:dyDescent="0.25">
      <c r="B18" s="175"/>
      <c r="C18" s="1"/>
      <c r="D18" s="1"/>
      <c r="E18" s="115"/>
      <c r="F18" s="12"/>
      <c r="G18" s="12"/>
      <c r="H18" s="33"/>
      <c r="I18" s="340"/>
      <c r="J18" s="519" t="str">
        <f>IF(C18="","",IF(F18=0,"NA",TEXT(F18,"0%"))&amp;"; "&amp;IF(G18=0,"NA",TEXT(G18,"0.0%"))&amp;"; "&amp;IF(H18=0,"NA",TEXT(H18,"0%")))</f>
        <v/>
      </c>
      <c r="K18" s="7"/>
      <c r="L18" s="114"/>
    </row>
    <row r="19" spans="2:30" x14ac:dyDescent="0.25">
      <c r="B19" s="175"/>
      <c r="C19" s="1"/>
      <c r="D19" s="1"/>
      <c r="E19" s="115"/>
      <c r="F19" s="12"/>
      <c r="G19" s="12"/>
      <c r="H19" s="153"/>
      <c r="I19" s="343"/>
      <c r="J19" s="519" t="str">
        <f>IF(C19="","",IF(F19=0,"NA",TEXT(F19,"0%"))&amp;"; "&amp;IF(G19=0,"NA",TEXT(G19,"0.0%"))&amp;"; "&amp;IF(H19=0,"NA",TEXT(H19,"0%")))</f>
        <v/>
      </c>
      <c r="K19" s="7"/>
    </row>
    <row r="20" spans="2:30" x14ac:dyDescent="0.25">
      <c r="B20" s="175"/>
      <c r="C20" s="1"/>
      <c r="D20" s="1"/>
      <c r="E20" s="115"/>
      <c r="F20" s="181"/>
      <c r="G20" s="12"/>
      <c r="H20" s="33"/>
      <c r="I20" s="340"/>
      <c r="J20" s="519" t="str">
        <f>IF(C20="","",IF(F20=0,"NA",TEXT(F20,"0%"))&amp;"; "&amp;IF(G20=0,"NA",TEXT(G20,"0.0%"))&amp;"; "&amp;IF(H20=0,"NA",TEXT(H20,"0%")))</f>
        <v/>
      </c>
      <c r="K20" s="7"/>
    </row>
    <row r="21" spans="2:30" x14ac:dyDescent="0.25">
      <c r="B21" s="175"/>
      <c r="C21" s="1"/>
      <c r="D21" s="1"/>
      <c r="E21" s="115"/>
      <c r="F21" s="12"/>
      <c r="G21" s="12"/>
      <c r="H21" s="33"/>
      <c r="I21" s="340"/>
      <c r="J21" s="519" t="str">
        <f>IF(C21="","",IF(F21=0,"NA",TEXT(F21,"0%"))&amp;"; "&amp;IF(G21=0,"NA",TEXT(G21,"0.0%"))&amp;"; "&amp;IF(H21=0,"NA",TEXT(H21,"0%")))</f>
        <v/>
      </c>
      <c r="K21" s="7"/>
    </row>
    <row r="22" spans="2:30" x14ac:dyDescent="0.25">
      <c r="B22" s="175"/>
      <c r="C22" s="1"/>
      <c r="D22" s="1"/>
      <c r="E22" s="115"/>
      <c r="F22" s="12"/>
      <c r="G22" s="12"/>
      <c r="H22" s="33"/>
      <c r="I22" s="340"/>
      <c r="J22" s="519" t="str">
        <f t="shared" ref="J22:J26" si="8">IF(C22="","",IF(F22=0,"NA",TEXT(F22,"0%"))&amp;"; "&amp;IF(G22=0,"NA",TEXT(G22,"0.0%"))&amp;"; "&amp;IF(H22=0,"NA",TEXT(H22,"0%")))</f>
        <v/>
      </c>
    </row>
    <row r="23" spans="2:30" ht="13" x14ac:dyDescent="0.3">
      <c r="B23" s="34"/>
      <c r="C23" s="1"/>
      <c r="D23" s="1"/>
      <c r="E23" s="115"/>
      <c r="F23" s="12"/>
      <c r="G23" s="12"/>
      <c r="H23" s="33"/>
      <c r="I23" s="340"/>
      <c r="J23" s="519" t="str">
        <f t="shared" si="8"/>
        <v/>
      </c>
    </row>
    <row r="24" spans="2:30" ht="13" x14ac:dyDescent="0.3">
      <c r="B24" s="34"/>
      <c r="C24" s="1"/>
      <c r="D24" s="1"/>
      <c r="E24" s="115"/>
      <c r="F24" s="12"/>
      <c r="G24" s="12"/>
      <c r="H24" s="33"/>
      <c r="I24" s="340"/>
      <c r="J24" s="519" t="str">
        <f t="shared" si="8"/>
        <v/>
      </c>
    </row>
    <row r="25" spans="2:30" ht="13" x14ac:dyDescent="0.3">
      <c r="B25" s="34"/>
      <c r="C25" s="1"/>
      <c r="D25" s="7"/>
      <c r="E25" s="7"/>
      <c r="F25" s="12"/>
      <c r="G25" s="12"/>
      <c r="H25" s="33"/>
      <c r="I25" s="340"/>
      <c r="J25" s="519" t="str">
        <f t="shared" si="8"/>
        <v/>
      </c>
    </row>
    <row r="26" spans="2:30" ht="13" x14ac:dyDescent="0.3">
      <c r="B26" s="34"/>
      <c r="C26" s="1"/>
      <c r="D26" s="7"/>
      <c r="E26" s="7"/>
      <c r="F26" s="12"/>
      <c r="G26" s="12"/>
      <c r="H26" s="33"/>
      <c r="I26" s="340"/>
      <c r="J26" s="519" t="str">
        <f t="shared" si="8"/>
        <v/>
      </c>
    </row>
    <row r="27" spans="2:30" ht="13.5" thickBot="1" x14ac:dyDescent="0.35">
      <c r="B27" s="37" t="s">
        <v>111</v>
      </c>
      <c r="C27" s="75">
        <f>SUM(C17:C26)</f>
        <v>0</v>
      </c>
      <c r="D27" s="51">
        <f>SUM(D17:D26)</f>
        <v>0</v>
      </c>
      <c r="E27" s="51">
        <f>SUM(E17:E26)</f>
        <v>0</v>
      </c>
      <c r="F27" s="38" t="e">
        <f>C27/SUM(C17:C26)</f>
        <v>#DIV/0!</v>
      </c>
      <c r="G27" s="140" t="e">
        <f>E27/C27</f>
        <v>#DIV/0!</v>
      </c>
      <c r="H27" s="39" t="e">
        <f>C27/D27-1</f>
        <v>#DIV/0!</v>
      </c>
      <c r="I27" s="342"/>
      <c r="J27" s="342"/>
    </row>
    <row r="34" spans="2:11" x14ac:dyDescent="0.25">
      <c r="C34" s="1"/>
    </row>
    <row r="35" spans="2:11" ht="15.5" x14ac:dyDescent="0.35">
      <c r="B35" s="592"/>
      <c r="C35" s="592"/>
      <c r="D35" s="592"/>
      <c r="E35" s="592"/>
      <c r="F35" s="592"/>
      <c r="G35" s="592"/>
      <c r="H35" s="592"/>
      <c r="I35" s="306"/>
      <c r="J35" s="306"/>
    </row>
    <row r="36" spans="2:11" ht="15.5" x14ac:dyDescent="0.35">
      <c r="B36" s="592"/>
      <c r="C36" s="592"/>
      <c r="D36" s="592"/>
      <c r="E36" s="592"/>
      <c r="F36" s="592"/>
      <c r="G36" s="592"/>
      <c r="H36" s="592"/>
      <c r="I36" s="306"/>
      <c r="J36" s="306"/>
    </row>
    <row r="37" spans="2:11" ht="15.5" x14ac:dyDescent="0.35">
      <c r="B37" s="592"/>
      <c r="C37" s="592"/>
      <c r="D37" s="592"/>
      <c r="E37" s="592"/>
      <c r="F37" s="592"/>
      <c r="G37" s="592"/>
      <c r="H37" s="592"/>
      <c r="I37" s="306"/>
      <c r="J37" s="306"/>
      <c r="K37" s="141"/>
    </row>
  </sheetData>
  <mergeCells count="4">
    <mergeCell ref="B35:H37"/>
    <mergeCell ref="B2:H2"/>
    <mergeCell ref="B15:H15"/>
    <mergeCell ref="L2:M2"/>
  </mergeCells>
  <phoneticPr fontId="0" type="noConversion"/>
  <pageMargins left="0.75" right="0.75" top="1" bottom="1" header="0" footer="0"/>
  <pageSetup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F169"/>
  <sheetViews>
    <sheetView showGridLines="0" topLeftCell="A4" zoomScale="160" zoomScaleNormal="100" workbookViewId="0">
      <selection activeCell="B12" sqref="B12"/>
    </sheetView>
  </sheetViews>
  <sheetFormatPr defaultColWidth="11.453125" defaultRowHeight="12.5" x14ac:dyDescent="0.25"/>
  <cols>
    <col min="1" max="1" width="21.26953125" bestFit="1" customWidth="1"/>
    <col min="2" max="4" width="22.81640625" customWidth="1"/>
    <col min="5" max="5" width="30.26953125" bestFit="1" customWidth="1"/>
  </cols>
  <sheetData>
    <row r="1" spans="1:5" ht="5.25" customHeight="1" thickBot="1" x14ac:dyDescent="0.3"/>
    <row r="2" spans="1:5" ht="12.75" customHeight="1" x14ac:dyDescent="0.25">
      <c r="A2" s="600" t="s">
        <v>374</v>
      </c>
      <c r="B2" s="251" t="s">
        <v>455</v>
      </c>
      <c r="C2" s="251" t="s">
        <v>463</v>
      </c>
      <c r="D2" s="251" t="s">
        <v>465</v>
      </c>
      <c r="E2" s="251" t="s">
        <v>468</v>
      </c>
    </row>
    <row r="3" spans="1:5" ht="14.5" x14ac:dyDescent="0.25">
      <c r="A3" s="601"/>
      <c r="B3" s="252" t="s">
        <v>456</v>
      </c>
      <c r="C3" s="252" t="s">
        <v>464</v>
      </c>
      <c r="D3" s="252" t="s">
        <v>466</v>
      </c>
      <c r="E3" s="252" t="s">
        <v>467</v>
      </c>
    </row>
    <row r="4" spans="1:5" ht="15.65" customHeight="1" x14ac:dyDescent="0.3">
      <c r="A4" s="253" t="s">
        <v>9</v>
      </c>
      <c r="B4" s="533" t="s">
        <v>457</v>
      </c>
      <c r="C4" s="479"/>
      <c r="D4" s="479"/>
      <c r="E4" s="480"/>
    </row>
    <row r="5" spans="1:5" ht="15.65" customHeight="1" x14ac:dyDescent="0.25">
      <c r="A5" s="253" t="s">
        <v>424</v>
      </c>
      <c r="B5" s="534" t="s">
        <v>458</v>
      </c>
      <c r="C5" s="486"/>
      <c r="D5" s="486"/>
      <c r="E5" s="258"/>
    </row>
    <row r="6" spans="1:5" ht="15.65" customHeight="1" x14ac:dyDescent="0.25">
      <c r="A6" s="253" t="s">
        <v>425</v>
      </c>
      <c r="B6" s="534" t="s">
        <v>459</v>
      </c>
      <c r="C6" s="255"/>
      <c r="D6" s="486"/>
      <c r="E6" s="258"/>
    </row>
    <row r="7" spans="1:5" ht="15.65" hidden="1" customHeight="1" x14ac:dyDescent="0.25">
      <c r="A7" s="253" t="s">
        <v>17</v>
      </c>
      <c r="B7" s="479">
        <v>122278</v>
      </c>
      <c r="C7" s="479">
        <v>82110</v>
      </c>
      <c r="D7" s="479">
        <v>26772</v>
      </c>
      <c r="E7" s="480">
        <v>100504</v>
      </c>
    </row>
    <row r="8" spans="1:5" ht="15.65" hidden="1" customHeight="1" x14ac:dyDescent="0.25">
      <c r="A8" s="253" t="s">
        <v>134</v>
      </c>
      <c r="B8" s="479">
        <v>323888</v>
      </c>
      <c r="C8" s="479">
        <v>301311</v>
      </c>
      <c r="D8" s="479">
        <v>319616</v>
      </c>
      <c r="E8" s="480">
        <v>321195</v>
      </c>
    </row>
    <row r="9" spans="1:5" ht="15.65" customHeight="1" x14ac:dyDescent="0.25">
      <c r="A9" s="253" t="s">
        <v>133</v>
      </c>
      <c r="B9" s="481" t="s">
        <v>470</v>
      </c>
      <c r="C9" s="481"/>
      <c r="D9" s="481"/>
      <c r="E9" s="482"/>
    </row>
    <row r="10" spans="1:5" ht="15.65" customHeight="1" x14ac:dyDescent="0.25">
      <c r="A10" s="253" t="s">
        <v>181</v>
      </c>
      <c r="B10" s="483">
        <f>500060000/430970000</f>
        <v>1.1603127827923057</v>
      </c>
      <c r="C10" s="483"/>
      <c r="D10" s="483"/>
      <c r="E10" s="487"/>
    </row>
    <row r="11" spans="1:5" ht="15.65" customHeight="1" x14ac:dyDescent="0.25">
      <c r="A11" s="253" t="s">
        <v>173</v>
      </c>
      <c r="B11" s="511" t="e">
        <f>-DCFF!G22/DCFF!G6</f>
        <v>#DIV/0!</v>
      </c>
      <c r="C11" s="484"/>
      <c r="D11" s="484"/>
      <c r="E11" s="482"/>
    </row>
    <row r="12" spans="1:5" ht="15.65" customHeight="1" x14ac:dyDescent="0.25">
      <c r="A12" s="253" t="s">
        <v>204</v>
      </c>
      <c r="B12" s="256"/>
      <c r="C12" s="488"/>
      <c r="D12" s="257"/>
      <c r="E12" s="489"/>
    </row>
    <row r="13" spans="1:5" ht="15.65" customHeight="1" x14ac:dyDescent="0.25">
      <c r="A13" s="253" t="s">
        <v>205</v>
      </c>
      <c r="B13" s="256"/>
      <c r="C13" s="488"/>
      <c r="D13" s="257"/>
      <c r="E13" s="489"/>
    </row>
    <row r="14" spans="1:5" ht="15.65" customHeight="1" x14ac:dyDescent="0.25">
      <c r="A14" s="253" t="s">
        <v>1</v>
      </c>
      <c r="B14" s="490" t="s">
        <v>469</v>
      </c>
      <c r="C14" s="259"/>
      <c r="D14" s="491"/>
      <c r="E14" s="492"/>
    </row>
    <row r="15" spans="1:5" ht="15.65" customHeight="1" x14ac:dyDescent="0.25">
      <c r="A15" s="478" t="s">
        <v>375</v>
      </c>
      <c r="B15" s="490"/>
      <c r="C15" s="259"/>
      <c r="D15" s="490"/>
      <c r="E15" s="492"/>
    </row>
    <row r="16" spans="1:5" ht="15.65" customHeight="1" x14ac:dyDescent="0.25">
      <c r="A16" s="253" t="s">
        <v>172</v>
      </c>
      <c r="B16" s="536" t="s">
        <v>461</v>
      </c>
      <c r="C16" s="484"/>
      <c r="D16" s="484"/>
      <c r="E16" s="482"/>
    </row>
    <row r="17" spans="1:6" ht="15.65" customHeight="1" x14ac:dyDescent="0.25">
      <c r="A17" s="260" t="s">
        <v>206</v>
      </c>
      <c r="B17" s="536" t="s">
        <v>462</v>
      </c>
      <c r="C17" s="495"/>
      <c r="D17" s="5"/>
      <c r="E17" s="494"/>
    </row>
    <row r="18" spans="1:6" ht="15.65" customHeight="1" x14ac:dyDescent="0.25">
      <c r="A18" s="253" t="s">
        <v>207</v>
      </c>
      <c r="B18" s="485"/>
      <c r="C18" s="485"/>
      <c r="D18" s="496"/>
      <c r="E18" s="497"/>
    </row>
    <row r="19" spans="1:6" ht="15.65" customHeight="1" x14ac:dyDescent="0.25">
      <c r="A19" s="478" t="s">
        <v>376</v>
      </c>
      <c r="B19" s="535" t="s">
        <v>460</v>
      </c>
      <c r="C19" s="498"/>
      <c r="D19" s="502"/>
      <c r="E19" s="503"/>
    </row>
    <row r="20" spans="1:6" ht="15.65" customHeight="1" x14ac:dyDescent="0.25">
      <c r="A20" s="253" t="s">
        <v>49</v>
      </c>
      <c r="B20" s="498" t="e">
        <f>OP!C12/OP!E7</f>
        <v>#DIV/0!</v>
      </c>
      <c r="C20" s="502"/>
      <c r="D20" s="500"/>
      <c r="E20" s="501"/>
    </row>
    <row r="21" spans="1:6" ht="15.65" customHeight="1" x14ac:dyDescent="0.25">
      <c r="A21" s="253" t="s">
        <v>208</v>
      </c>
      <c r="B21" s="499" t="e">
        <f>OP!C12/OP!J11</f>
        <v>#DIV/0!</v>
      </c>
      <c r="C21" s="499"/>
      <c r="D21" s="500"/>
      <c r="E21" s="493"/>
    </row>
    <row r="22" spans="1:6" ht="15.65" customHeight="1" thickBot="1" x14ac:dyDescent="0.3">
      <c r="A22" s="254" t="s">
        <v>66</v>
      </c>
      <c r="B22" s="504"/>
      <c r="C22" s="504"/>
      <c r="D22" s="505"/>
      <c r="E22" s="506"/>
    </row>
    <row r="24" spans="1:6" x14ac:dyDescent="0.25">
      <c r="B24" s="62" t="s">
        <v>115</v>
      </c>
    </row>
    <row r="25" spans="1:6" x14ac:dyDescent="0.25">
      <c r="B25" s="62" t="s">
        <v>176</v>
      </c>
    </row>
    <row r="26" spans="1:6" ht="20" x14ac:dyDescent="0.35">
      <c r="A26" s="520"/>
      <c r="B26" s="521"/>
      <c r="C26" s="521"/>
      <c r="D26" s="521"/>
      <c r="E26" s="521"/>
      <c r="F26" s="522"/>
    </row>
    <row r="27" spans="1:6" ht="20" x14ac:dyDescent="0.25">
      <c r="A27" s="62" t="s">
        <v>440</v>
      </c>
      <c r="B27" s="523"/>
      <c r="C27" s="521"/>
      <c r="D27" s="521"/>
      <c r="E27" s="522"/>
      <c r="F27" s="522"/>
    </row>
    <row r="28" spans="1:6" ht="20" x14ac:dyDescent="0.35">
      <c r="A28" s="520"/>
      <c r="B28" s="521"/>
      <c r="C28" s="521"/>
      <c r="D28" s="521"/>
      <c r="E28" s="521"/>
      <c r="F28" s="522"/>
    </row>
    <row r="29" spans="1:6" ht="20" x14ac:dyDescent="0.35">
      <c r="A29" s="520"/>
      <c r="B29" s="523"/>
      <c r="C29" s="521"/>
      <c r="D29" s="521"/>
      <c r="E29" s="522"/>
      <c r="F29" s="522"/>
    </row>
    <row r="30" spans="1:6" ht="20" x14ac:dyDescent="0.35">
      <c r="A30" s="520"/>
      <c r="B30" s="523"/>
      <c r="C30" s="521"/>
      <c r="D30" s="521"/>
      <c r="E30" s="521"/>
      <c r="F30" s="522"/>
    </row>
    <row r="31" spans="1:6" ht="20" x14ac:dyDescent="0.35">
      <c r="A31" s="520"/>
      <c r="B31" s="524"/>
      <c r="C31" s="521"/>
      <c r="D31" s="521"/>
      <c r="E31" s="522"/>
      <c r="F31" s="522"/>
    </row>
    <row r="32" spans="1:6" ht="15.5" x14ac:dyDescent="0.35">
      <c r="A32" s="520"/>
      <c r="B32" s="524"/>
      <c r="C32" s="524"/>
      <c r="D32" s="525"/>
      <c r="E32" s="522"/>
      <c r="F32" s="522"/>
    </row>
    <row r="33" spans="1:6" x14ac:dyDescent="0.25">
      <c r="A33" s="522"/>
      <c r="B33" s="522"/>
      <c r="C33" s="522"/>
      <c r="D33" s="522"/>
      <c r="E33" s="522"/>
      <c r="F33" s="522"/>
    </row>
    <row r="34" spans="1:6" x14ac:dyDescent="0.25">
      <c r="A34" s="522"/>
      <c r="B34" s="522"/>
      <c r="C34" s="522"/>
      <c r="D34" s="522"/>
      <c r="E34" s="522"/>
      <c r="F34" s="522"/>
    </row>
    <row r="35" spans="1:6" x14ac:dyDescent="0.25">
      <c r="A35" s="522"/>
      <c r="B35" s="522"/>
      <c r="C35" s="522"/>
      <c r="D35" s="522"/>
      <c r="E35" s="522"/>
      <c r="F35" s="522"/>
    </row>
    <row r="36" spans="1:6" x14ac:dyDescent="0.25">
      <c r="A36" s="522"/>
      <c r="B36" s="522"/>
      <c r="C36" s="522"/>
      <c r="D36" s="522"/>
      <c r="E36" s="522"/>
      <c r="F36" s="522"/>
    </row>
    <row r="37" spans="1:6" x14ac:dyDescent="0.25">
      <c r="A37" s="522"/>
      <c r="B37" s="522"/>
      <c r="C37" s="522"/>
      <c r="D37" s="522"/>
      <c r="E37" s="522"/>
      <c r="F37" s="522"/>
    </row>
    <row r="38" spans="1:6" x14ac:dyDescent="0.25">
      <c r="A38" s="522"/>
      <c r="B38" s="522"/>
      <c r="C38" s="522"/>
      <c r="D38" s="522"/>
      <c r="E38" s="522"/>
      <c r="F38" s="522"/>
    </row>
    <row r="39" spans="1:6" x14ac:dyDescent="0.25">
      <c r="A39" s="522"/>
      <c r="B39" s="522"/>
      <c r="C39" s="522"/>
      <c r="D39" s="522"/>
      <c r="E39" s="522"/>
      <c r="F39" s="522"/>
    </row>
    <row r="40" spans="1:6" x14ac:dyDescent="0.25">
      <c r="A40" s="522"/>
      <c r="B40" s="522"/>
      <c r="C40" s="522"/>
      <c r="D40" s="522"/>
      <c r="E40" s="522"/>
      <c r="F40" s="522"/>
    </row>
    <row r="41" spans="1:6" x14ac:dyDescent="0.25">
      <c r="A41" s="522"/>
      <c r="B41" s="522"/>
      <c r="C41" s="522"/>
      <c r="D41" s="522"/>
      <c r="E41" s="522"/>
      <c r="F41" s="522"/>
    </row>
    <row r="42" spans="1:6" x14ac:dyDescent="0.25">
      <c r="A42" s="522"/>
      <c r="B42" s="522"/>
      <c r="C42" s="522"/>
      <c r="D42" s="522"/>
      <c r="E42" s="522"/>
      <c r="F42" s="522"/>
    </row>
    <row r="43" spans="1:6" x14ac:dyDescent="0.25">
      <c r="A43" s="522"/>
      <c r="B43" s="522"/>
      <c r="C43" s="522"/>
      <c r="D43" s="522"/>
      <c r="E43" s="522"/>
      <c r="F43" s="522"/>
    </row>
    <row r="44" spans="1:6" x14ac:dyDescent="0.25">
      <c r="A44" s="522"/>
      <c r="B44" s="522"/>
      <c r="C44" s="522"/>
      <c r="D44" s="522"/>
      <c r="E44" s="522"/>
      <c r="F44" s="522"/>
    </row>
    <row r="45" spans="1:6" x14ac:dyDescent="0.25">
      <c r="A45" s="522"/>
      <c r="B45" s="522"/>
      <c r="C45" s="522"/>
      <c r="D45" s="522"/>
      <c r="E45" s="522"/>
      <c r="F45" s="522"/>
    </row>
    <row r="46" spans="1:6" x14ac:dyDescent="0.25">
      <c r="A46" s="522"/>
      <c r="B46" s="522"/>
      <c r="C46" s="522"/>
      <c r="D46" s="522"/>
      <c r="E46" s="522"/>
      <c r="F46" s="522"/>
    </row>
    <row r="47" spans="1:6" x14ac:dyDescent="0.25">
      <c r="A47" s="522"/>
      <c r="B47" s="522"/>
      <c r="C47" s="522"/>
      <c r="D47" s="522"/>
      <c r="E47" s="522"/>
      <c r="F47" s="522"/>
    </row>
    <row r="48" spans="1:6" x14ac:dyDescent="0.25">
      <c r="A48" s="522"/>
      <c r="B48" s="522"/>
      <c r="C48" s="522"/>
      <c r="D48" s="522"/>
      <c r="E48" s="522"/>
      <c r="F48" s="522"/>
    </row>
    <row r="49" spans="1:6" x14ac:dyDescent="0.25">
      <c r="A49" s="522"/>
      <c r="B49" s="522"/>
      <c r="C49" s="522"/>
      <c r="D49" s="522"/>
      <c r="E49" s="522"/>
      <c r="F49" s="522"/>
    </row>
    <row r="50" spans="1:6" x14ac:dyDescent="0.25">
      <c r="A50" s="522"/>
      <c r="B50" s="522"/>
      <c r="C50" s="522"/>
      <c r="D50" s="522"/>
      <c r="E50" s="522"/>
      <c r="F50" s="522"/>
    </row>
    <row r="51" spans="1:6" x14ac:dyDescent="0.25">
      <c r="A51" s="522"/>
      <c r="B51" s="522"/>
      <c r="C51" s="522"/>
      <c r="D51" s="522"/>
      <c r="E51" s="522"/>
      <c r="F51" s="522"/>
    </row>
    <row r="52" spans="1:6" x14ac:dyDescent="0.25">
      <c r="A52" s="522"/>
      <c r="B52" s="522"/>
      <c r="C52" s="522"/>
      <c r="D52" s="522"/>
      <c r="E52" s="522"/>
      <c r="F52" s="522"/>
    </row>
    <row r="53" spans="1:6" x14ac:dyDescent="0.25">
      <c r="A53" s="522"/>
      <c r="B53" s="522"/>
      <c r="C53" s="522"/>
      <c r="D53" s="522"/>
      <c r="E53" s="522"/>
      <c r="F53" s="522"/>
    </row>
    <row r="54" spans="1:6" x14ac:dyDescent="0.25">
      <c r="A54" s="522"/>
      <c r="B54" s="522"/>
      <c r="C54" s="522"/>
      <c r="D54" s="522"/>
      <c r="E54" s="522"/>
      <c r="F54" s="522"/>
    </row>
    <row r="55" spans="1:6" x14ac:dyDescent="0.25">
      <c r="A55" s="522"/>
      <c r="B55" s="522"/>
      <c r="C55" s="522"/>
      <c r="D55" s="522"/>
      <c r="E55" s="522"/>
      <c r="F55" s="522"/>
    </row>
    <row r="56" spans="1:6" x14ac:dyDescent="0.25">
      <c r="A56" s="522"/>
      <c r="B56" s="522"/>
      <c r="C56" s="522"/>
      <c r="D56" s="522"/>
      <c r="E56" s="522"/>
      <c r="F56" s="522"/>
    </row>
    <row r="57" spans="1:6" x14ac:dyDescent="0.25">
      <c r="A57" s="522"/>
      <c r="B57" s="522"/>
      <c r="C57" s="522"/>
      <c r="D57" s="522"/>
      <c r="E57" s="522"/>
      <c r="F57" s="522"/>
    </row>
    <row r="58" spans="1:6" x14ac:dyDescent="0.25">
      <c r="A58" s="522"/>
      <c r="B58" s="522"/>
      <c r="C58" s="522"/>
      <c r="D58" s="522"/>
      <c r="E58" s="522"/>
      <c r="F58" s="522"/>
    </row>
    <row r="59" spans="1:6" x14ac:dyDescent="0.25">
      <c r="A59" s="522"/>
      <c r="B59" s="522"/>
      <c r="C59" s="522"/>
      <c r="D59" s="522"/>
      <c r="E59" s="522"/>
      <c r="F59" s="522"/>
    </row>
    <row r="60" spans="1:6" x14ac:dyDescent="0.25">
      <c r="A60" s="522"/>
      <c r="B60" s="522"/>
      <c r="C60" s="522"/>
      <c r="D60" s="522"/>
      <c r="E60" s="522"/>
      <c r="F60" s="522"/>
    </row>
    <row r="61" spans="1:6" x14ac:dyDescent="0.25">
      <c r="A61" s="522"/>
      <c r="B61" s="522"/>
      <c r="C61" s="522"/>
      <c r="D61" s="522"/>
      <c r="E61" s="522"/>
      <c r="F61" s="522"/>
    </row>
    <row r="62" spans="1:6" x14ac:dyDescent="0.25">
      <c r="A62" s="522"/>
      <c r="B62" s="522"/>
      <c r="C62" s="522"/>
      <c r="D62" s="522"/>
      <c r="E62" s="522"/>
      <c r="F62" s="522"/>
    </row>
    <row r="63" spans="1:6" x14ac:dyDescent="0.25">
      <c r="A63" s="522"/>
      <c r="B63" s="522"/>
      <c r="C63" s="522"/>
      <c r="D63" s="522"/>
      <c r="E63" s="522"/>
      <c r="F63" s="522"/>
    </row>
    <row r="64" spans="1:6" x14ac:dyDescent="0.25">
      <c r="A64" s="522"/>
      <c r="B64" s="522"/>
      <c r="C64" s="522"/>
      <c r="D64" s="522"/>
      <c r="E64" s="522"/>
      <c r="F64" s="522"/>
    </row>
    <row r="65" spans="1:6" x14ac:dyDescent="0.25">
      <c r="A65" s="522"/>
      <c r="B65" s="522"/>
      <c r="C65" s="522"/>
      <c r="D65" s="522"/>
      <c r="E65" s="522"/>
      <c r="F65" s="522"/>
    </row>
    <row r="66" spans="1:6" x14ac:dyDescent="0.25">
      <c r="A66" s="522"/>
      <c r="B66" s="522"/>
      <c r="C66" s="522"/>
      <c r="D66" s="522"/>
      <c r="E66" s="522"/>
      <c r="F66" s="522"/>
    </row>
    <row r="67" spans="1:6" x14ac:dyDescent="0.25">
      <c r="A67" s="522"/>
      <c r="B67" s="522"/>
      <c r="C67" s="522"/>
      <c r="D67" s="522"/>
      <c r="E67" s="522"/>
      <c r="F67" s="522"/>
    </row>
    <row r="68" spans="1:6" x14ac:dyDescent="0.25">
      <c r="A68" s="522"/>
      <c r="B68" s="522"/>
      <c r="C68" s="522"/>
      <c r="D68" s="522"/>
      <c r="E68" s="522"/>
      <c r="F68" s="522"/>
    </row>
    <row r="69" spans="1:6" x14ac:dyDescent="0.25">
      <c r="A69" s="522"/>
      <c r="B69" s="522"/>
      <c r="C69" s="522"/>
      <c r="D69" s="522"/>
      <c r="E69" s="522"/>
      <c r="F69" s="522"/>
    </row>
    <row r="70" spans="1:6" x14ac:dyDescent="0.25">
      <c r="A70" s="522"/>
      <c r="B70" s="522"/>
      <c r="C70" s="522"/>
      <c r="D70" s="522"/>
      <c r="E70" s="522"/>
      <c r="F70" s="522"/>
    </row>
    <row r="71" spans="1:6" x14ac:dyDescent="0.25">
      <c r="A71" s="522"/>
      <c r="B71" s="522"/>
      <c r="C71" s="522"/>
      <c r="D71" s="522"/>
      <c r="E71" s="522"/>
      <c r="F71" s="522"/>
    </row>
    <row r="72" spans="1:6" x14ac:dyDescent="0.25">
      <c r="A72" s="522"/>
      <c r="B72" s="522"/>
      <c r="C72" s="522"/>
      <c r="D72" s="522"/>
      <c r="E72" s="522"/>
      <c r="F72" s="522"/>
    </row>
    <row r="73" spans="1:6" x14ac:dyDescent="0.25">
      <c r="A73" s="522"/>
      <c r="B73" s="522"/>
      <c r="C73" s="522"/>
      <c r="D73" s="522"/>
      <c r="E73" s="522"/>
      <c r="F73" s="522"/>
    </row>
    <row r="74" spans="1:6" x14ac:dyDescent="0.25">
      <c r="A74" s="522"/>
      <c r="B74" s="522"/>
      <c r="C74" s="522"/>
      <c r="D74" s="522"/>
      <c r="E74" s="522"/>
      <c r="F74" s="522"/>
    </row>
    <row r="75" spans="1:6" x14ac:dyDescent="0.25">
      <c r="A75" s="522"/>
      <c r="B75" s="522"/>
      <c r="C75" s="522"/>
      <c r="D75" s="522"/>
      <c r="E75" s="522"/>
      <c r="F75" s="522"/>
    </row>
    <row r="76" spans="1:6" x14ac:dyDescent="0.25">
      <c r="A76" s="522"/>
      <c r="B76" s="522"/>
      <c r="C76" s="522"/>
      <c r="D76" s="522"/>
      <c r="E76" s="522"/>
      <c r="F76" s="522"/>
    </row>
    <row r="77" spans="1:6" x14ac:dyDescent="0.25">
      <c r="A77" s="522"/>
      <c r="B77" s="522"/>
      <c r="C77" s="522"/>
      <c r="D77" s="522"/>
      <c r="E77" s="522"/>
      <c r="F77" s="522"/>
    </row>
    <row r="78" spans="1:6" x14ac:dyDescent="0.25">
      <c r="A78" s="522"/>
      <c r="B78" s="522"/>
      <c r="C78" s="522"/>
      <c r="D78" s="522"/>
      <c r="E78" s="522"/>
      <c r="F78" s="522"/>
    </row>
    <row r="79" spans="1:6" x14ac:dyDescent="0.25">
      <c r="A79" s="522"/>
      <c r="B79" s="522"/>
      <c r="C79" s="522"/>
      <c r="D79" s="522"/>
      <c r="E79" s="522"/>
      <c r="F79" s="522"/>
    </row>
    <row r="80" spans="1:6" x14ac:dyDescent="0.25">
      <c r="A80" s="522"/>
      <c r="B80" s="522"/>
      <c r="C80" s="522"/>
      <c r="D80" s="522"/>
      <c r="E80" s="522"/>
      <c r="F80" s="522"/>
    </row>
    <row r="81" spans="1:6" x14ac:dyDescent="0.25">
      <c r="A81" s="522"/>
      <c r="B81" s="522"/>
      <c r="C81" s="522"/>
      <c r="D81" s="522"/>
      <c r="E81" s="522"/>
      <c r="F81" s="522"/>
    </row>
    <row r="82" spans="1:6" x14ac:dyDescent="0.25">
      <c r="A82" s="522"/>
      <c r="B82" s="522"/>
      <c r="C82" s="522"/>
      <c r="D82" s="522"/>
      <c r="E82" s="522"/>
      <c r="F82" s="522"/>
    </row>
    <row r="83" spans="1:6" x14ac:dyDescent="0.25">
      <c r="A83" s="522"/>
      <c r="B83" s="522"/>
      <c r="C83" s="522"/>
      <c r="D83" s="522"/>
      <c r="E83" s="522"/>
      <c r="F83" s="522"/>
    </row>
    <row r="84" spans="1:6" x14ac:dyDescent="0.25">
      <c r="A84" s="522"/>
      <c r="B84" s="522"/>
      <c r="C84" s="522"/>
      <c r="D84" s="522"/>
      <c r="E84" s="522"/>
      <c r="F84" s="522"/>
    </row>
    <row r="85" spans="1:6" x14ac:dyDescent="0.25">
      <c r="A85" s="522"/>
      <c r="B85" s="522"/>
      <c r="C85" s="522"/>
      <c r="D85" s="522"/>
      <c r="E85" s="522"/>
      <c r="F85" s="522"/>
    </row>
    <row r="86" spans="1:6" x14ac:dyDescent="0.25">
      <c r="A86" s="522"/>
      <c r="B86" s="522"/>
      <c r="C86" s="522"/>
      <c r="D86" s="522"/>
      <c r="E86" s="522"/>
      <c r="F86" s="522"/>
    </row>
    <row r="87" spans="1:6" x14ac:dyDescent="0.25">
      <c r="A87" s="522"/>
      <c r="B87" s="522"/>
      <c r="C87" s="522"/>
      <c r="D87" s="522"/>
      <c r="E87" s="522"/>
      <c r="F87" s="522"/>
    </row>
    <row r="88" spans="1:6" x14ac:dyDescent="0.25">
      <c r="A88" s="522"/>
      <c r="B88" s="522"/>
      <c r="C88" s="522"/>
      <c r="D88" s="522"/>
      <c r="E88" s="522"/>
      <c r="F88" s="522"/>
    </row>
    <row r="89" spans="1:6" x14ac:dyDescent="0.25">
      <c r="A89" s="522"/>
      <c r="B89" s="522"/>
      <c r="C89" s="522"/>
      <c r="D89" s="522"/>
      <c r="E89" s="522"/>
      <c r="F89" s="522"/>
    </row>
    <row r="90" spans="1:6" x14ac:dyDescent="0.25">
      <c r="A90" s="522"/>
      <c r="B90" s="522"/>
      <c r="C90" s="522"/>
      <c r="D90" s="522"/>
      <c r="E90" s="522"/>
      <c r="F90" s="522"/>
    </row>
    <row r="91" spans="1:6" x14ac:dyDescent="0.25">
      <c r="A91" s="522"/>
      <c r="B91" s="522"/>
      <c r="C91" s="522"/>
      <c r="D91" s="522"/>
      <c r="E91" s="522"/>
      <c r="F91" s="522"/>
    </row>
    <row r="92" spans="1:6" x14ac:dyDescent="0.25">
      <c r="A92" s="522"/>
      <c r="B92" s="522"/>
      <c r="C92" s="522"/>
      <c r="D92" s="522"/>
      <c r="E92" s="522"/>
      <c r="F92" s="522"/>
    </row>
    <row r="93" spans="1:6" x14ac:dyDescent="0.25">
      <c r="A93" s="522"/>
      <c r="B93" s="522"/>
      <c r="C93" s="522"/>
      <c r="D93" s="522"/>
      <c r="E93" s="522"/>
      <c r="F93" s="522"/>
    </row>
    <row r="94" spans="1:6" x14ac:dyDescent="0.25">
      <c r="A94" s="522"/>
      <c r="B94" s="522"/>
      <c r="C94" s="522"/>
      <c r="D94" s="522"/>
      <c r="E94" s="522"/>
      <c r="F94" s="522"/>
    </row>
    <row r="95" spans="1:6" x14ac:dyDescent="0.25">
      <c r="A95" s="522"/>
      <c r="B95" s="522"/>
      <c r="C95" s="522"/>
      <c r="D95" s="522"/>
      <c r="E95" s="522"/>
      <c r="F95" s="522"/>
    </row>
    <row r="96" spans="1:6" x14ac:dyDescent="0.25">
      <c r="A96" s="522"/>
      <c r="B96" s="522"/>
      <c r="C96" s="522"/>
      <c r="D96" s="522"/>
      <c r="E96" s="522"/>
      <c r="F96" s="522"/>
    </row>
    <row r="97" spans="1:6" x14ac:dyDescent="0.25">
      <c r="A97" s="522"/>
      <c r="B97" s="522"/>
      <c r="C97" s="522"/>
      <c r="D97" s="522"/>
      <c r="E97" s="522"/>
      <c r="F97" s="522"/>
    </row>
    <row r="98" spans="1:6" x14ac:dyDescent="0.25">
      <c r="A98" s="522"/>
      <c r="B98" s="522"/>
      <c r="C98" s="522"/>
      <c r="D98" s="522"/>
      <c r="E98" s="522"/>
      <c r="F98" s="522"/>
    </row>
    <row r="99" spans="1:6" x14ac:dyDescent="0.25">
      <c r="A99" s="522"/>
      <c r="B99" s="522"/>
      <c r="C99" s="522"/>
      <c r="D99" s="522"/>
      <c r="E99" s="522"/>
      <c r="F99" s="522"/>
    </row>
    <row r="100" spans="1:6" x14ac:dyDescent="0.25">
      <c r="A100" s="522"/>
      <c r="B100" s="522"/>
      <c r="C100" s="522"/>
      <c r="D100" s="522"/>
      <c r="E100" s="522"/>
      <c r="F100" s="522"/>
    </row>
    <row r="101" spans="1:6" x14ac:dyDescent="0.25">
      <c r="A101" s="522"/>
      <c r="B101" s="522"/>
      <c r="C101" s="522"/>
      <c r="D101" s="522"/>
      <c r="E101" s="522"/>
      <c r="F101" s="522"/>
    </row>
    <row r="102" spans="1:6" x14ac:dyDescent="0.25">
      <c r="A102" s="522"/>
      <c r="B102" s="522"/>
      <c r="C102" s="522"/>
      <c r="D102" s="522"/>
      <c r="E102" s="522"/>
      <c r="F102" s="522"/>
    </row>
    <row r="103" spans="1:6" x14ac:dyDescent="0.25">
      <c r="A103" s="522"/>
      <c r="B103" s="522"/>
      <c r="C103" s="522"/>
      <c r="D103" s="522"/>
      <c r="E103" s="522"/>
      <c r="F103" s="522"/>
    </row>
    <row r="104" spans="1:6" x14ac:dyDescent="0.25">
      <c r="A104" s="522"/>
      <c r="B104" s="522"/>
      <c r="C104" s="522"/>
      <c r="D104" s="522"/>
      <c r="E104" s="522"/>
      <c r="F104" s="522"/>
    </row>
    <row r="105" spans="1:6" x14ac:dyDescent="0.25">
      <c r="A105" s="522"/>
      <c r="B105" s="522"/>
      <c r="C105" s="522"/>
      <c r="D105" s="522"/>
      <c r="E105" s="522"/>
      <c r="F105" s="522"/>
    </row>
    <row r="106" spans="1:6" x14ac:dyDescent="0.25">
      <c r="A106" s="522"/>
      <c r="B106" s="522"/>
      <c r="C106" s="522"/>
      <c r="D106" s="522"/>
      <c r="E106" s="522"/>
      <c r="F106" s="522"/>
    </row>
    <row r="107" spans="1:6" x14ac:dyDescent="0.25">
      <c r="A107" s="522"/>
      <c r="B107" s="522"/>
      <c r="C107" s="522"/>
      <c r="D107" s="522"/>
      <c r="E107" s="522"/>
      <c r="F107" s="522"/>
    </row>
    <row r="108" spans="1:6" x14ac:dyDescent="0.25">
      <c r="A108" s="522"/>
      <c r="B108" s="522"/>
      <c r="C108" s="522"/>
      <c r="D108" s="522"/>
      <c r="E108" s="522"/>
      <c r="F108" s="522"/>
    </row>
    <row r="109" spans="1:6" x14ac:dyDescent="0.25">
      <c r="A109" s="522"/>
      <c r="B109" s="522"/>
      <c r="C109" s="522"/>
      <c r="D109" s="522"/>
      <c r="E109" s="522"/>
      <c r="F109" s="522"/>
    </row>
    <row r="110" spans="1:6" x14ac:dyDescent="0.25">
      <c r="A110" s="522"/>
      <c r="B110" s="522"/>
      <c r="C110" s="522"/>
      <c r="D110" s="522"/>
      <c r="E110" s="522"/>
      <c r="F110" s="522"/>
    </row>
    <row r="111" spans="1:6" x14ac:dyDescent="0.25">
      <c r="A111" s="522"/>
      <c r="B111" s="522"/>
      <c r="C111" s="522"/>
      <c r="D111" s="522"/>
      <c r="E111" s="522"/>
      <c r="F111" s="522"/>
    </row>
    <row r="112" spans="1:6" x14ac:dyDescent="0.25">
      <c r="A112" s="522"/>
      <c r="B112" s="522"/>
      <c r="C112" s="522"/>
      <c r="D112" s="522"/>
      <c r="E112" s="522"/>
      <c r="F112" s="522"/>
    </row>
    <row r="113" spans="1:6" x14ac:dyDescent="0.25">
      <c r="A113" s="522"/>
      <c r="B113" s="522"/>
      <c r="C113" s="522"/>
      <c r="D113" s="522"/>
      <c r="E113" s="522"/>
      <c r="F113" s="522"/>
    </row>
    <row r="114" spans="1:6" x14ac:dyDescent="0.25">
      <c r="A114" s="522"/>
      <c r="B114" s="522"/>
      <c r="C114" s="522"/>
      <c r="D114" s="522"/>
      <c r="E114" s="522"/>
      <c r="F114" s="522"/>
    </row>
    <row r="115" spans="1:6" x14ac:dyDescent="0.25">
      <c r="A115" s="522"/>
      <c r="B115" s="522"/>
      <c r="C115" s="522"/>
      <c r="D115" s="522"/>
      <c r="E115" s="522"/>
      <c r="F115" s="522"/>
    </row>
    <row r="116" spans="1:6" x14ac:dyDescent="0.25">
      <c r="A116" s="522"/>
      <c r="B116" s="522"/>
      <c r="C116" s="522"/>
      <c r="D116" s="522"/>
      <c r="E116" s="522"/>
      <c r="F116" s="522"/>
    </row>
    <row r="117" spans="1:6" x14ac:dyDescent="0.25">
      <c r="A117" s="522"/>
      <c r="B117" s="522"/>
      <c r="C117" s="522"/>
      <c r="D117" s="522"/>
      <c r="E117" s="522"/>
      <c r="F117" s="522"/>
    </row>
    <row r="118" spans="1:6" x14ac:dyDescent="0.25">
      <c r="A118" s="522"/>
      <c r="B118" s="522"/>
      <c r="C118" s="522"/>
      <c r="D118" s="522"/>
      <c r="E118" s="522"/>
      <c r="F118" s="522"/>
    </row>
    <row r="119" spans="1:6" x14ac:dyDescent="0.25">
      <c r="A119" s="522"/>
      <c r="B119" s="522"/>
      <c r="C119" s="522"/>
      <c r="D119" s="522"/>
      <c r="E119" s="522"/>
      <c r="F119" s="522"/>
    </row>
    <row r="120" spans="1:6" x14ac:dyDescent="0.25">
      <c r="A120" s="522"/>
      <c r="B120" s="522"/>
      <c r="C120" s="522"/>
      <c r="D120" s="522"/>
      <c r="E120" s="522"/>
      <c r="F120" s="522"/>
    </row>
    <row r="121" spans="1:6" x14ac:dyDescent="0.25">
      <c r="A121" s="522"/>
      <c r="B121" s="522"/>
      <c r="C121" s="522"/>
      <c r="D121" s="522"/>
      <c r="E121" s="522"/>
      <c r="F121" s="522"/>
    </row>
    <row r="122" spans="1:6" x14ac:dyDescent="0.25">
      <c r="A122" s="522"/>
      <c r="B122" s="522"/>
      <c r="C122" s="522"/>
      <c r="D122" s="522"/>
      <c r="E122" s="522"/>
      <c r="F122" s="522"/>
    </row>
    <row r="123" spans="1:6" x14ac:dyDescent="0.25">
      <c r="A123" s="522"/>
      <c r="B123" s="522"/>
      <c r="C123" s="522"/>
      <c r="D123" s="522"/>
      <c r="E123" s="522"/>
      <c r="F123" s="522"/>
    </row>
    <row r="124" spans="1:6" x14ac:dyDescent="0.25">
      <c r="A124" s="522"/>
      <c r="B124" s="522"/>
      <c r="C124" s="522"/>
      <c r="D124" s="522"/>
      <c r="E124" s="522"/>
      <c r="F124" s="522"/>
    </row>
    <row r="125" spans="1:6" x14ac:dyDescent="0.25">
      <c r="A125" s="522"/>
      <c r="B125" s="522"/>
      <c r="C125" s="522"/>
      <c r="D125" s="522"/>
      <c r="E125" s="522"/>
      <c r="F125" s="522"/>
    </row>
    <row r="126" spans="1:6" x14ac:dyDescent="0.25">
      <c r="A126" s="522"/>
      <c r="B126" s="522"/>
      <c r="C126" s="522"/>
      <c r="D126" s="522"/>
      <c r="E126" s="522"/>
      <c r="F126" s="522"/>
    </row>
    <row r="127" spans="1:6" x14ac:dyDescent="0.25">
      <c r="A127" s="522"/>
      <c r="B127" s="522"/>
      <c r="C127" s="522"/>
      <c r="D127" s="522"/>
      <c r="E127" s="522"/>
      <c r="F127" s="522"/>
    </row>
    <row r="128" spans="1:6" x14ac:dyDescent="0.25">
      <c r="A128" s="522"/>
      <c r="B128" s="522"/>
      <c r="C128" s="522"/>
      <c r="D128" s="522"/>
      <c r="E128" s="522"/>
      <c r="F128" s="522"/>
    </row>
    <row r="129" spans="1:6" x14ac:dyDescent="0.25">
      <c r="A129" s="522"/>
      <c r="B129" s="522"/>
      <c r="C129" s="522"/>
      <c r="D129" s="522"/>
      <c r="E129" s="522"/>
      <c r="F129" s="522"/>
    </row>
    <row r="130" spans="1:6" x14ac:dyDescent="0.25">
      <c r="A130" s="522"/>
      <c r="B130" s="522"/>
      <c r="C130" s="522"/>
      <c r="D130" s="522"/>
      <c r="E130" s="522"/>
      <c r="F130" s="522"/>
    </row>
    <row r="131" spans="1:6" x14ac:dyDescent="0.25">
      <c r="A131" s="522"/>
      <c r="B131" s="522"/>
      <c r="C131" s="522"/>
      <c r="D131" s="522"/>
      <c r="E131" s="522"/>
      <c r="F131" s="522"/>
    </row>
    <row r="132" spans="1:6" x14ac:dyDescent="0.25">
      <c r="A132" s="522"/>
      <c r="B132" s="522"/>
      <c r="C132" s="522"/>
      <c r="D132" s="522"/>
      <c r="E132" s="522"/>
      <c r="F132" s="522"/>
    </row>
    <row r="133" spans="1:6" x14ac:dyDescent="0.25">
      <c r="A133" s="522"/>
      <c r="B133" s="522"/>
      <c r="C133" s="522"/>
      <c r="D133" s="522"/>
      <c r="E133" s="522"/>
      <c r="F133" s="522"/>
    </row>
    <row r="134" spans="1:6" x14ac:dyDescent="0.25">
      <c r="A134" s="522"/>
      <c r="B134" s="522"/>
      <c r="C134" s="522"/>
      <c r="D134" s="522"/>
      <c r="E134" s="522"/>
      <c r="F134" s="522"/>
    </row>
    <row r="135" spans="1:6" x14ac:dyDescent="0.25">
      <c r="A135" s="522"/>
      <c r="B135" s="522"/>
      <c r="C135" s="522"/>
      <c r="D135" s="522"/>
      <c r="E135" s="522"/>
      <c r="F135" s="522"/>
    </row>
    <row r="136" spans="1:6" x14ac:dyDescent="0.25">
      <c r="A136" s="522"/>
      <c r="B136" s="522"/>
      <c r="C136" s="522"/>
      <c r="D136" s="522"/>
      <c r="E136" s="522"/>
      <c r="F136" s="522"/>
    </row>
    <row r="137" spans="1:6" x14ac:dyDescent="0.25">
      <c r="A137" s="522"/>
      <c r="B137" s="522"/>
      <c r="C137" s="522"/>
      <c r="D137" s="522"/>
      <c r="E137" s="522"/>
      <c r="F137" s="522"/>
    </row>
    <row r="138" spans="1:6" x14ac:dyDescent="0.25">
      <c r="A138" s="522"/>
      <c r="B138" s="522"/>
      <c r="C138" s="522"/>
      <c r="D138" s="522"/>
      <c r="E138" s="522"/>
      <c r="F138" s="522"/>
    </row>
    <row r="139" spans="1:6" x14ac:dyDescent="0.25">
      <c r="A139" s="522"/>
      <c r="B139" s="522"/>
      <c r="C139" s="522"/>
      <c r="D139" s="522"/>
      <c r="E139" s="522"/>
      <c r="F139" s="522"/>
    </row>
    <row r="140" spans="1:6" x14ac:dyDescent="0.25">
      <c r="A140" s="522"/>
      <c r="B140" s="522"/>
      <c r="C140" s="522"/>
      <c r="D140" s="522"/>
      <c r="E140" s="522"/>
      <c r="F140" s="522"/>
    </row>
    <row r="141" spans="1:6" x14ac:dyDescent="0.25">
      <c r="A141" s="522"/>
      <c r="B141" s="522"/>
      <c r="C141" s="522"/>
      <c r="D141" s="522"/>
      <c r="E141" s="522"/>
      <c r="F141" s="522"/>
    </row>
    <row r="142" spans="1:6" x14ac:dyDescent="0.25">
      <c r="A142" s="522"/>
      <c r="B142" s="522"/>
      <c r="C142" s="522"/>
      <c r="D142" s="522"/>
      <c r="E142" s="522"/>
      <c r="F142" s="522"/>
    </row>
    <row r="143" spans="1:6" x14ac:dyDescent="0.25">
      <c r="A143" s="522"/>
      <c r="B143" s="522"/>
      <c r="C143" s="522"/>
      <c r="D143" s="522"/>
      <c r="E143" s="522"/>
      <c r="F143" s="522"/>
    </row>
    <row r="144" spans="1:6" x14ac:dyDescent="0.25">
      <c r="A144" s="522"/>
      <c r="B144" s="522"/>
      <c r="C144" s="522"/>
      <c r="D144" s="522"/>
      <c r="E144" s="522"/>
      <c r="F144" s="522"/>
    </row>
    <row r="145" spans="1:6" x14ac:dyDescent="0.25">
      <c r="A145" s="522"/>
      <c r="B145" s="522"/>
      <c r="C145" s="522"/>
      <c r="D145" s="522"/>
      <c r="E145" s="522"/>
      <c r="F145" s="522"/>
    </row>
    <row r="146" spans="1:6" x14ac:dyDescent="0.25">
      <c r="A146" s="522"/>
      <c r="B146" s="522"/>
      <c r="C146" s="522"/>
      <c r="D146" s="522"/>
      <c r="E146" s="522"/>
      <c r="F146" s="522"/>
    </row>
    <row r="147" spans="1:6" x14ac:dyDescent="0.25">
      <c r="A147" s="522"/>
      <c r="B147" s="522"/>
      <c r="C147" s="522"/>
      <c r="D147" s="522"/>
      <c r="E147" s="522"/>
      <c r="F147" s="522"/>
    </row>
    <row r="148" spans="1:6" x14ac:dyDescent="0.25">
      <c r="A148" s="522"/>
      <c r="B148" s="522"/>
      <c r="C148" s="522"/>
      <c r="D148" s="522"/>
      <c r="E148" s="522"/>
      <c r="F148" s="522"/>
    </row>
    <row r="149" spans="1:6" x14ac:dyDescent="0.25">
      <c r="A149" s="522"/>
      <c r="B149" s="522"/>
      <c r="C149" s="522"/>
      <c r="D149" s="522"/>
      <c r="E149" s="522"/>
      <c r="F149" s="522"/>
    </row>
    <row r="150" spans="1:6" x14ac:dyDescent="0.25">
      <c r="A150" s="522"/>
      <c r="B150" s="522"/>
      <c r="C150" s="522"/>
      <c r="D150" s="522"/>
      <c r="E150" s="522"/>
      <c r="F150" s="522"/>
    </row>
    <row r="151" spans="1:6" x14ac:dyDescent="0.25">
      <c r="A151" s="522"/>
      <c r="B151" s="522"/>
      <c r="C151" s="522"/>
      <c r="D151" s="522"/>
      <c r="E151" s="522"/>
      <c r="F151" s="522"/>
    </row>
    <row r="152" spans="1:6" x14ac:dyDescent="0.25">
      <c r="A152" s="522"/>
      <c r="B152" s="522"/>
      <c r="C152" s="522"/>
      <c r="D152" s="522"/>
      <c r="E152" s="522"/>
      <c r="F152" s="522"/>
    </row>
    <row r="153" spans="1:6" x14ac:dyDescent="0.25">
      <c r="A153" s="522"/>
      <c r="B153" s="522"/>
      <c r="C153" s="522"/>
      <c r="D153" s="522"/>
      <c r="E153" s="522"/>
      <c r="F153" s="522"/>
    </row>
    <row r="154" spans="1:6" x14ac:dyDescent="0.25">
      <c r="A154" s="522"/>
      <c r="B154" s="522"/>
      <c r="C154" s="522"/>
      <c r="D154" s="522"/>
      <c r="E154" s="522"/>
      <c r="F154" s="522"/>
    </row>
    <row r="155" spans="1:6" x14ac:dyDescent="0.25">
      <c r="A155" s="522"/>
      <c r="B155" s="522"/>
      <c r="C155" s="522"/>
      <c r="D155" s="522"/>
      <c r="E155" s="522"/>
      <c r="F155" s="522"/>
    </row>
    <row r="156" spans="1:6" x14ac:dyDescent="0.25">
      <c r="A156" s="522"/>
      <c r="B156" s="522"/>
      <c r="C156" s="522"/>
      <c r="D156" s="522"/>
      <c r="E156" s="522"/>
      <c r="F156" s="522"/>
    </row>
    <row r="157" spans="1:6" x14ac:dyDescent="0.25">
      <c r="A157" s="522"/>
      <c r="B157" s="522"/>
      <c r="C157" s="522"/>
      <c r="D157" s="522"/>
      <c r="E157" s="522"/>
      <c r="F157" s="522"/>
    </row>
    <row r="158" spans="1:6" x14ac:dyDescent="0.25">
      <c r="A158" s="522"/>
      <c r="B158" s="522"/>
      <c r="C158" s="522"/>
      <c r="D158" s="522"/>
      <c r="E158" s="522"/>
      <c r="F158" s="522"/>
    </row>
    <row r="159" spans="1:6" x14ac:dyDescent="0.25">
      <c r="A159" s="522"/>
      <c r="B159" s="522"/>
      <c r="C159" s="522"/>
      <c r="D159" s="522"/>
      <c r="E159" s="522"/>
      <c r="F159" s="522"/>
    </row>
    <row r="160" spans="1:6" x14ac:dyDescent="0.25">
      <c r="A160" s="522"/>
      <c r="B160" s="522"/>
      <c r="C160" s="522"/>
      <c r="D160" s="522"/>
      <c r="E160" s="522"/>
      <c r="F160" s="522"/>
    </row>
    <row r="161" spans="1:6" x14ac:dyDescent="0.25">
      <c r="A161" s="522"/>
      <c r="B161" s="522"/>
      <c r="C161" s="522"/>
      <c r="D161" s="522"/>
      <c r="E161" s="522"/>
      <c r="F161" s="522"/>
    </row>
    <row r="162" spans="1:6" x14ac:dyDescent="0.25">
      <c r="A162" s="522"/>
      <c r="B162" s="522"/>
      <c r="C162" s="522"/>
      <c r="D162" s="522"/>
      <c r="E162" s="522"/>
      <c r="F162" s="522"/>
    </row>
    <row r="163" spans="1:6" x14ac:dyDescent="0.25">
      <c r="A163" s="522"/>
      <c r="B163" s="522"/>
      <c r="C163" s="522"/>
      <c r="D163" s="522"/>
      <c r="E163" s="522"/>
      <c r="F163" s="522"/>
    </row>
    <row r="164" spans="1:6" x14ac:dyDescent="0.25">
      <c r="A164" s="522"/>
      <c r="B164" s="522"/>
      <c r="C164" s="522"/>
      <c r="D164" s="522"/>
      <c r="E164" s="522"/>
      <c r="F164" s="522"/>
    </row>
    <row r="165" spans="1:6" x14ac:dyDescent="0.25">
      <c r="A165" s="522"/>
      <c r="B165" s="522"/>
      <c r="C165" s="522"/>
      <c r="D165" s="522"/>
      <c r="E165" s="522"/>
      <c r="F165" s="522"/>
    </row>
    <row r="166" spans="1:6" x14ac:dyDescent="0.25">
      <c r="A166" s="522"/>
      <c r="B166" s="522"/>
      <c r="C166" s="522"/>
      <c r="D166" s="522"/>
      <c r="E166" s="522"/>
      <c r="F166" s="522"/>
    </row>
    <row r="167" spans="1:6" x14ac:dyDescent="0.25">
      <c r="A167" s="522"/>
      <c r="B167" s="522"/>
      <c r="C167" s="522"/>
      <c r="D167" s="522"/>
      <c r="E167" s="522"/>
      <c r="F167" s="522"/>
    </row>
    <row r="168" spans="1:6" x14ac:dyDescent="0.25">
      <c r="A168" s="522"/>
      <c r="B168" s="522"/>
      <c r="C168" s="522"/>
      <c r="D168" s="522"/>
      <c r="E168" s="522"/>
      <c r="F168" s="522"/>
    </row>
    <row r="169" spans="1:6" x14ac:dyDescent="0.25">
      <c r="A169" s="522"/>
      <c r="B169" s="522"/>
      <c r="C169" s="522"/>
      <c r="D169" s="522"/>
      <c r="E169" s="522"/>
      <c r="F169" s="522"/>
    </row>
  </sheetData>
  <mergeCells count="1">
    <mergeCell ref="A2:A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>
      <selection activeCell="C6" sqref="C6"/>
    </sheetView>
  </sheetViews>
  <sheetFormatPr defaultColWidth="11.453125" defaultRowHeight="12.5" x14ac:dyDescent="0.25"/>
  <cols>
    <col min="1" max="1" width="27.1796875" bestFit="1" customWidth="1"/>
  </cols>
  <sheetData>
    <row r="1" spans="1:1" x14ac:dyDescent="0.25">
      <c r="A1" t="s">
        <v>158</v>
      </c>
    </row>
    <row r="2" spans="1:1" x14ac:dyDescent="0.25">
      <c r="A2" t="s">
        <v>159</v>
      </c>
    </row>
    <row r="3" spans="1:1" x14ac:dyDescent="0.25">
      <c r="A3" t="s">
        <v>160</v>
      </c>
    </row>
    <row r="4" spans="1:1" x14ac:dyDescent="0.25">
      <c r="A4" t="s">
        <v>161</v>
      </c>
    </row>
    <row r="5" spans="1:1" x14ac:dyDescent="0.25">
      <c r="A5" t="s">
        <v>162</v>
      </c>
    </row>
    <row r="6" spans="1:1" x14ac:dyDescent="0.25">
      <c r="A6" s="11" t="s">
        <v>163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M33"/>
  <sheetViews>
    <sheetView showGridLines="0" zoomScale="117" zoomScaleNormal="80" workbookViewId="0">
      <selection activeCell="H34" sqref="H34"/>
    </sheetView>
  </sheetViews>
  <sheetFormatPr defaultColWidth="11.453125" defaultRowHeight="12.5" x14ac:dyDescent="0.25"/>
  <cols>
    <col min="1" max="1" width="1.1796875" style="11" customWidth="1"/>
    <col min="2" max="2" width="59.453125" style="11" customWidth="1"/>
    <col min="3" max="3" width="8.26953125" style="11" bestFit="1" customWidth="1"/>
    <col min="4" max="4" width="10.7265625" style="11" bestFit="1" customWidth="1"/>
    <col min="5" max="5" width="11.81640625" style="11" bestFit="1" customWidth="1"/>
    <col min="6" max="6" width="10.453125" style="11" bestFit="1" customWidth="1"/>
    <col min="7" max="7" width="9.81640625" style="11" bestFit="1" customWidth="1"/>
    <col min="8" max="8" width="121.453125" style="11" customWidth="1"/>
    <col min="9" max="9" width="2.81640625" style="11" customWidth="1"/>
    <col min="10" max="10" width="7.1796875" style="11" customWidth="1"/>
    <col min="11" max="11" width="3.81640625" style="11" customWidth="1"/>
    <col min="12" max="12" width="13.26953125" style="11" bestFit="1" customWidth="1"/>
    <col min="13" max="13" width="18.7265625" style="11" customWidth="1"/>
    <col min="14" max="16384" width="11.453125" style="11"/>
  </cols>
  <sheetData>
    <row r="1" spans="2:13" ht="6" customHeight="1" thickBot="1" x14ac:dyDescent="0.3"/>
    <row r="2" spans="2:13" ht="20" x14ac:dyDescent="0.25">
      <c r="B2" s="614" t="s">
        <v>109</v>
      </c>
      <c r="C2" s="615"/>
      <c r="D2" s="615"/>
      <c r="E2" s="615"/>
      <c r="F2" s="615"/>
      <c r="G2" s="615"/>
      <c r="H2" s="616"/>
      <c r="J2" s="611" t="s">
        <v>103</v>
      </c>
      <c r="K2" s="612"/>
      <c r="L2" s="612"/>
      <c r="M2" s="613"/>
    </row>
    <row r="3" spans="2:13" ht="13" x14ac:dyDescent="0.3">
      <c r="B3" s="25"/>
      <c r="C3" s="23" t="s">
        <v>70</v>
      </c>
      <c r="D3" s="23" t="s">
        <v>71</v>
      </c>
      <c r="E3" s="23" t="s">
        <v>110</v>
      </c>
      <c r="F3" s="23" t="s">
        <v>72</v>
      </c>
      <c r="G3" s="23" t="s">
        <v>73</v>
      </c>
      <c r="H3" s="26" t="s">
        <v>99</v>
      </c>
      <c r="J3" s="617" t="s">
        <v>102</v>
      </c>
      <c r="K3" s="618"/>
      <c r="L3" s="24" t="s">
        <v>101</v>
      </c>
      <c r="M3" s="29" t="s">
        <v>100</v>
      </c>
    </row>
    <row r="4" spans="2:13" ht="14" x14ac:dyDescent="0.3">
      <c r="B4" s="27" t="s">
        <v>74</v>
      </c>
      <c r="C4" s="197"/>
      <c r="D4" s="197"/>
      <c r="E4" s="197"/>
      <c r="F4" s="197"/>
      <c r="G4" s="198"/>
      <c r="H4" s="199"/>
      <c r="J4" s="56" t="s">
        <v>441</v>
      </c>
      <c r="K4" s="57">
        <v>0</v>
      </c>
      <c r="L4" s="58" t="s">
        <v>77</v>
      </c>
      <c r="M4" s="619" t="s">
        <v>448</v>
      </c>
    </row>
    <row r="5" spans="2:13" x14ac:dyDescent="0.25">
      <c r="B5" s="52" t="s">
        <v>75</v>
      </c>
      <c r="C5" s="200"/>
      <c r="D5" s="200"/>
      <c r="E5" s="200"/>
      <c r="F5" s="201"/>
      <c r="G5" s="526"/>
      <c r="H5" s="144"/>
      <c r="J5" s="56" t="s">
        <v>442</v>
      </c>
      <c r="K5" s="57">
        <v>1</v>
      </c>
      <c r="L5" s="58" t="s">
        <v>445</v>
      </c>
      <c r="M5" s="619"/>
    </row>
    <row r="6" spans="2:13" s="65" customFormat="1" x14ac:dyDescent="0.25">
      <c r="B6" s="64" t="s">
        <v>76</v>
      </c>
      <c r="C6" s="200"/>
      <c r="D6" s="200"/>
      <c r="E6" s="200"/>
      <c r="F6" s="201"/>
      <c r="G6" s="526"/>
      <c r="H6" s="202"/>
      <c r="J6" s="66" t="s">
        <v>443</v>
      </c>
      <c r="K6" s="67">
        <v>2</v>
      </c>
      <c r="L6" s="68" t="s">
        <v>446</v>
      </c>
      <c r="M6" s="619"/>
    </row>
    <row r="7" spans="2:13" ht="13" thickBot="1" x14ac:dyDescent="0.3">
      <c r="B7" s="52" t="s">
        <v>78</v>
      </c>
      <c r="C7" s="200"/>
      <c r="D7" s="200"/>
      <c r="E7" s="200"/>
      <c r="F7" s="201"/>
      <c r="G7" s="526"/>
      <c r="H7" s="202"/>
      <c r="J7" s="59" t="s">
        <v>444</v>
      </c>
      <c r="K7" s="60">
        <v>3</v>
      </c>
      <c r="L7" s="61" t="s">
        <v>447</v>
      </c>
      <c r="M7" s="620"/>
    </row>
    <row r="8" spans="2:13" ht="13" thickBot="1" x14ac:dyDescent="0.3">
      <c r="B8" s="52" t="s">
        <v>79</v>
      </c>
      <c r="C8" s="200"/>
      <c r="D8" s="200"/>
      <c r="E8" s="200"/>
      <c r="F8" s="201"/>
      <c r="G8" s="526"/>
      <c r="H8" s="144"/>
    </row>
    <row r="9" spans="2:13" ht="13" x14ac:dyDescent="0.25">
      <c r="B9" s="53" t="s">
        <v>80</v>
      </c>
      <c r="C9" s="200"/>
      <c r="D9" s="200"/>
      <c r="E9" s="200"/>
      <c r="F9" s="201"/>
      <c r="G9" s="527"/>
      <c r="H9" s="145"/>
      <c r="J9" s="621" t="s">
        <v>449</v>
      </c>
      <c r="K9" s="622"/>
      <c r="L9" s="623"/>
    </row>
    <row r="10" spans="2:13" ht="14" x14ac:dyDescent="0.3">
      <c r="B10" s="27" t="s">
        <v>81</v>
      </c>
      <c r="C10" s="203"/>
      <c r="D10" s="204"/>
      <c r="E10" s="204"/>
      <c r="F10" s="204"/>
      <c r="G10" s="205"/>
      <c r="H10" s="206"/>
      <c r="J10" s="602"/>
      <c r="K10" s="603"/>
      <c r="L10" s="604"/>
    </row>
    <row r="11" spans="2:13" x14ac:dyDescent="0.25">
      <c r="B11" s="52" t="s">
        <v>82</v>
      </c>
      <c r="C11" s="200"/>
      <c r="D11" s="200"/>
      <c r="E11" s="200"/>
      <c r="F11" s="201"/>
      <c r="G11" s="205"/>
      <c r="H11" s="207"/>
      <c r="J11" s="605"/>
      <c r="K11" s="606"/>
      <c r="L11" s="607"/>
    </row>
    <row r="12" spans="2:13" ht="13" thickBot="1" x14ac:dyDescent="0.3">
      <c r="B12" s="52" t="s">
        <v>83</v>
      </c>
      <c r="C12" s="200"/>
      <c r="D12" s="200"/>
      <c r="E12" s="200"/>
      <c r="F12" s="208"/>
      <c r="G12" s="205"/>
      <c r="H12" s="209"/>
      <c r="J12" s="608"/>
      <c r="K12" s="609"/>
      <c r="L12" s="610"/>
    </row>
    <row r="13" spans="2:13" x14ac:dyDescent="0.25">
      <c r="B13" s="54" t="s">
        <v>84</v>
      </c>
      <c r="C13" s="200"/>
      <c r="D13" s="200"/>
      <c r="E13" s="200"/>
      <c r="F13" s="201"/>
      <c r="G13" s="205"/>
      <c r="H13" s="209"/>
    </row>
    <row r="14" spans="2:13" x14ac:dyDescent="0.25">
      <c r="B14" s="54" t="s">
        <v>85</v>
      </c>
      <c r="C14" s="200"/>
      <c r="D14" s="200"/>
      <c r="E14" s="200"/>
      <c r="F14" s="201"/>
      <c r="G14" s="205"/>
      <c r="H14" s="209"/>
    </row>
    <row r="15" spans="2:13" x14ac:dyDescent="0.25">
      <c r="B15" s="52" t="s">
        <v>86</v>
      </c>
      <c r="C15" s="200"/>
      <c r="D15" s="200"/>
      <c r="E15" s="200"/>
      <c r="F15" s="201"/>
      <c r="G15" s="210"/>
      <c r="H15" s="209"/>
    </row>
    <row r="16" spans="2:13" x14ac:dyDescent="0.25">
      <c r="B16" s="52" t="s">
        <v>87</v>
      </c>
      <c r="C16" s="210"/>
      <c r="D16" s="210"/>
      <c r="E16" s="210"/>
      <c r="F16" s="210"/>
      <c r="G16" s="205"/>
      <c r="H16" s="209"/>
    </row>
    <row r="17" spans="2:8" x14ac:dyDescent="0.25">
      <c r="B17" s="52" t="s">
        <v>88</v>
      </c>
      <c r="C17" s="211"/>
      <c r="D17" s="200"/>
      <c r="E17" s="200"/>
      <c r="F17" s="201"/>
      <c r="G17" s="205"/>
      <c r="H17" s="212"/>
    </row>
    <row r="18" spans="2:8" x14ac:dyDescent="0.25">
      <c r="B18" s="52" t="s">
        <v>89</v>
      </c>
      <c r="C18" s="200"/>
      <c r="D18" s="200"/>
      <c r="E18" s="200"/>
      <c r="F18" s="201"/>
      <c r="G18" s="205"/>
      <c r="H18" s="229"/>
    </row>
    <row r="19" spans="2:8" x14ac:dyDescent="0.25">
      <c r="B19" s="52" t="s">
        <v>90</v>
      </c>
      <c r="C19" s="200"/>
      <c r="D19" s="200"/>
      <c r="E19" s="200"/>
      <c r="F19" s="201"/>
      <c r="G19" s="205"/>
      <c r="H19" s="209"/>
    </row>
    <row r="20" spans="2:8" x14ac:dyDescent="0.25">
      <c r="B20" s="52" t="s">
        <v>91</v>
      </c>
      <c r="C20" s="200"/>
      <c r="D20" s="200"/>
      <c r="E20" s="200"/>
      <c r="F20" s="201"/>
      <c r="G20" s="205"/>
      <c r="H20" s="209"/>
    </row>
    <row r="21" spans="2:8" x14ac:dyDescent="0.25">
      <c r="B21" s="53" t="s">
        <v>92</v>
      </c>
      <c r="C21" s="213"/>
      <c r="D21" s="213"/>
      <c r="E21" s="213"/>
      <c r="F21" s="214"/>
      <c r="G21" s="527"/>
      <c r="H21" s="145"/>
    </row>
    <row r="22" spans="2:8" ht="14" x14ac:dyDescent="0.3">
      <c r="B22" s="28" t="s">
        <v>93</v>
      </c>
      <c r="C22" s="215"/>
      <c r="D22" s="215"/>
      <c r="E22" s="208"/>
      <c r="F22" s="215"/>
      <c r="G22" s="205"/>
      <c r="H22" s="216"/>
    </row>
    <row r="23" spans="2:8" x14ac:dyDescent="0.25">
      <c r="B23" s="52" t="s">
        <v>94</v>
      </c>
      <c r="C23" s="211"/>
      <c r="D23" s="211"/>
      <c r="E23" s="208"/>
      <c r="F23" s="208"/>
      <c r="G23" s="528"/>
      <c r="H23" s="217"/>
    </row>
    <row r="24" spans="2:8" x14ac:dyDescent="0.25">
      <c r="B24" s="52" t="s">
        <v>95</v>
      </c>
      <c r="C24" s="211"/>
      <c r="D24" s="211"/>
      <c r="E24" s="208"/>
      <c r="F24" s="208"/>
      <c r="G24" s="528"/>
      <c r="H24" s="209"/>
    </row>
    <row r="25" spans="2:8" x14ac:dyDescent="0.25">
      <c r="B25" s="52" t="s">
        <v>186</v>
      </c>
      <c r="C25" s="211"/>
      <c r="D25" s="211"/>
      <c r="E25" s="208"/>
      <c r="F25" s="208"/>
      <c r="G25" s="205"/>
      <c r="H25" s="209"/>
    </row>
    <row r="26" spans="2:8" x14ac:dyDescent="0.25">
      <c r="B26" s="52" t="s">
        <v>140</v>
      </c>
      <c r="C26" s="211"/>
      <c r="D26" s="211"/>
      <c r="E26" s="208"/>
      <c r="F26" s="208"/>
      <c r="G26" s="205"/>
      <c r="H26" s="209"/>
    </row>
    <row r="27" spans="2:8" x14ac:dyDescent="0.25">
      <c r="B27" s="52" t="s">
        <v>96</v>
      </c>
      <c r="C27" s="211"/>
      <c r="D27" s="211"/>
      <c r="E27" s="208"/>
      <c r="F27" s="208"/>
      <c r="G27" s="528"/>
      <c r="H27" s="209"/>
    </row>
    <row r="28" spans="2:8" x14ac:dyDescent="0.25">
      <c r="B28" s="52" t="s">
        <v>143</v>
      </c>
      <c r="C28" s="211"/>
      <c r="D28" s="211"/>
      <c r="E28" s="208"/>
      <c r="F28" s="208"/>
      <c r="G28" s="205"/>
      <c r="H28" s="209"/>
    </row>
    <row r="29" spans="2:8" x14ac:dyDescent="0.25">
      <c r="B29" s="52" t="s">
        <v>187</v>
      </c>
      <c r="C29" s="211"/>
      <c r="D29" s="211"/>
      <c r="E29" s="208"/>
      <c r="F29" s="208"/>
      <c r="G29" s="529"/>
      <c r="H29" s="207"/>
    </row>
    <row r="30" spans="2:8" x14ac:dyDescent="0.25">
      <c r="B30" s="52" t="s">
        <v>139</v>
      </c>
      <c r="C30" s="211"/>
      <c r="D30" s="211"/>
      <c r="E30" s="208"/>
      <c r="F30" s="208"/>
      <c r="G30" s="205"/>
      <c r="H30" s="207"/>
    </row>
    <row r="31" spans="2:8" x14ac:dyDescent="0.25">
      <c r="B31" s="52" t="s">
        <v>97</v>
      </c>
      <c r="C31" s="211"/>
      <c r="D31" s="208"/>
      <c r="E31" s="208"/>
      <c r="F31" s="208"/>
      <c r="G31" s="528"/>
      <c r="H31" s="209"/>
    </row>
    <row r="32" spans="2:8" ht="13" thickBot="1" x14ac:dyDescent="0.3">
      <c r="B32" s="55" t="s">
        <v>98</v>
      </c>
      <c r="C32" s="218"/>
      <c r="D32" s="219"/>
      <c r="E32" s="220"/>
      <c r="F32" s="220"/>
      <c r="G32" s="530"/>
      <c r="H32" s="221"/>
    </row>
    <row r="33" spans="2:8" ht="15.75" customHeight="1" x14ac:dyDescent="0.4">
      <c r="B33" s="69"/>
      <c r="H33" s="108"/>
    </row>
  </sheetData>
  <mergeCells count="8">
    <mergeCell ref="J10:L10"/>
    <mergeCell ref="J11:L11"/>
    <mergeCell ref="J12:L12"/>
    <mergeCell ref="J2:M2"/>
    <mergeCell ref="B2:H2"/>
    <mergeCell ref="J3:K3"/>
    <mergeCell ref="M4:M7"/>
    <mergeCell ref="J9:L9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>
    <tabColor rgb="FF0070C0"/>
  </sheetPr>
  <dimension ref="A1:AD88"/>
  <sheetViews>
    <sheetView topLeftCell="P25" zoomScaleNormal="100" workbookViewId="0">
      <pane xSplit="15550" topLeftCell="Y1"/>
      <selection activeCell="AC36" sqref="AC36"/>
      <selection pane="topRight" activeCell="AB41" sqref="AB41"/>
    </sheetView>
  </sheetViews>
  <sheetFormatPr defaultColWidth="11.453125" defaultRowHeight="12.5" x14ac:dyDescent="0.25"/>
  <cols>
    <col min="1" max="1" width="24.453125" bestFit="1" customWidth="1"/>
    <col min="2" max="2" width="11.26953125" customWidth="1"/>
    <col min="3" max="3" width="20" bestFit="1" customWidth="1"/>
    <col min="4" max="9" width="11.1796875" style="4" customWidth="1"/>
    <col min="10" max="11" width="8.81640625" style="4" bestFit="1" customWidth="1"/>
    <col min="12" max="12" width="9.453125" style="4" bestFit="1" customWidth="1"/>
    <col min="13" max="13" width="9.1796875" style="4" bestFit="1" customWidth="1"/>
    <col min="14" max="16" width="9.26953125" style="4" bestFit="1" customWidth="1"/>
    <col min="17" max="20" width="9.453125" style="4" bestFit="1" customWidth="1"/>
    <col min="21" max="21" width="10" style="4" bestFit="1" customWidth="1"/>
    <col min="22" max="22" width="9.81640625" style="4" bestFit="1" customWidth="1"/>
    <col min="23" max="23" width="10" style="4" bestFit="1" customWidth="1"/>
    <col min="24" max="25" width="9.81640625" style="4" bestFit="1" customWidth="1"/>
    <col min="26" max="26" width="10.1796875" style="4" bestFit="1" customWidth="1"/>
    <col min="27" max="28" width="10" style="4" bestFit="1" customWidth="1"/>
    <col min="29" max="29" width="10.453125" style="4" bestFit="1" customWidth="1"/>
  </cols>
  <sheetData>
    <row r="1" spans="1:30" ht="20" x14ac:dyDescent="0.4">
      <c r="A1" s="625" t="s">
        <v>112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</row>
    <row r="2" spans="1:30" ht="13" x14ac:dyDescent="0.3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</row>
    <row r="3" spans="1:30" ht="13" x14ac:dyDescent="0.3">
      <c r="A3" s="76" t="s">
        <v>9</v>
      </c>
      <c r="B3" s="76"/>
      <c r="C3" s="76"/>
      <c r="D3" s="76"/>
      <c r="E3" s="76" t="s">
        <v>1</v>
      </c>
      <c r="F3" s="76"/>
      <c r="G3" s="76"/>
      <c r="H3" s="76"/>
      <c r="I3" s="76"/>
      <c r="J3" s="76"/>
      <c r="K3" s="76"/>
      <c r="L3" s="76"/>
    </row>
    <row r="4" spans="1:30" ht="13" x14ac:dyDescent="0.3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</row>
    <row r="5" spans="1:30" ht="13" x14ac:dyDescent="0.3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30" ht="13" x14ac:dyDescent="0.3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</row>
    <row r="7" spans="1:30" ht="13" x14ac:dyDescent="0.3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</row>
    <row r="8" spans="1:30" ht="13" x14ac:dyDescent="0.3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</row>
    <row r="9" spans="1:30" ht="13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</row>
    <row r="10" spans="1:30" ht="13" x14ac:dyDescent="0.3">
      <c r="A10" s="76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</row>
    <row r="11" spans="1:30" ht="13" x14ac:dyDescent="0.3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</row>
    <row r="12" spans="1:30" ht="13" x14ac:dyDescent="0.3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Z12" s="1"/>
    </row>
    <row r="13" spans="1:30" ht="13" x14ac:dyDescent="0.3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</row>
    <row r="14" spans="1:30" ht="13" x14ac:dyDescent="0.3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</row>
    <row r="15" spans="1:30" ht="13" x14ac:dyDescent="0.3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AD15" s="114"/>
    </row>
    <row r="16" spans="1:30" ht="13" x14ac:dyDescent="0.3">
      <c r="A16" s="76" t="s">
        <v>19</v>
      </c>
      <c r="B16" s="76"/>
      <c r="C16" s="76"/>
      <c r="D16" s="76"/>
      <c r="E16" s="76" t="s">
        <v>41</v>
      </c>
      <c r="F16" s="76"/>
      <c r="G16" s="76"/>
      <c r="H16" s="76"/>
      <c r="I16" s="76"/>
      <c r="J16" s="76"/>
      <c r="K16" s="76"/>
      <c r="L16" s="76"/>
      <c r="AD16" s="114"/>
    </row>
    <row r="17" spans="4:30" x14ac:dyDescent="0.25">
      <c r="AD17" s="114"/>
    </row>
    <row r="18" spans="4:30" x14ac:dyDescent="0.25">
      <c r="AD18" s="114"/>
    </row>
    <row r="19" spans="4:30" x14ac:dyDescent="0.25">
      <c r="AD19" s="114"/>
    </row>
    <row r="20" spans="4:30" x14ac:dyDescent="0.25">
      <c r="AD20" s="114"/>
    </row>
    <row r="21" spans="4:30" x14ac:dyDescent="0.25">
      <c r="AD21" s="114"/>
    </row>
    <row r="22" spans="4:30" x14ac:dyDescent="0.25">
      <c r="AD22" s="114"/>
    </row>
    <row r="23" spans="4:30" x14ac:dyDescent="0.25">
      <c r="AD23" s="114"/>
    </row>
    <row r="24" spans="4:30" x14ac:dyDescent="0.25">
      <c r="AD24" s="114"/>
    </row>
    <row r="25" spans="4:30" x14ac:dyDescent="0.25">
      <c r="AD25" s="114"/>
    </row>
    <row r="26" spans="4:30" x14ac:dyDescent="0.25">
      <c r="K26" s="230"/>
      <c r="AD26" s="114"/>
    </row>
    <row r="27" spans="4:30" x14ac:dyDescent="0.25">
      <c r="K27" s="230"/>
      <c r="AD27" s="114"/>
    </row>
    <row r="31" spans="4:30" x14ac:dyDescent="0.25">
      <c r="D31" s="307">
        <v>1E-3</v>
      </c>
      <c r="E31" s="308">
        <f>1/((1+$B$59+$D31)^(E35-2021))</f>
        <v>0.92250922509225108</v>
      </c>
      <c r="F31" s="308">
        <f t="shared" ref="F31:AC31" si="0">1/((1+$B$59+$D31)^(F35-2021))</f>
        <v>0.85102327038030556</v>
      </c>
      <c r="G31" s="308">
        <f t="shared" si="0"/>
        <v>0.78507681769400894</v>
      </c>
      <c r="H31" s="308">
        <f t="shared" si="0"/>
        <v>0.72424060672879054</v>
      </c>
      <c r="I31" s="308">
        <f t="shared" si="0"/>
        <v>0.66811864089371831</v>
      </c>
      <c r="J31" s="308">
        <f t="shared" si="0"/>
        <v>0.61634560968055208</v>
      </c>
      <c r="K31" s="308">
        <f t="shared" si="0"/>
        <v>0.56858451077541716</v>
      </c>
      <c r="L31" s="308">
        <f t="shared" si="0"/>
        <v>0.52452445643488677</v>
      </c>
      <c r="M31" s="308">
        <f t="shared" si="0"/>
        <v>0.48387864984768159</v>
      </c>
      <c r="N31" s="308">
        <f t="shared" si="0"/>
        <v>0.44638251830966935</v>
      </c>
      <c r="O31" s="308">
        <f t="shared" si="0"/>
        <v>0.41179199106058068</v>
      </c>
      <c r="P31" s="308">
        <f t="shared" si="0"/>
        <v>0.37988191057249149</v>
      </c>
      <c r="Q31" s="308">
        <f t="shared" si="0"/>
        <v>0.35044456694879283</v>
      </c>
      <c r="R31" s="308">
        <f t="shared" si="0"/>
        <v>0.32328834589372041</v>
      </c>
      <c r="S31" s="308">
        <f t="shared" si="0"/>
        <v>0.29823648145177167</v>
      </c>
      <c r="T31" s="308">
        <f t="shared" si="0"/>
        <v>0.27512590539831339</v>
      </c>
      <c r="U31" s="308">
        <f t="shared" si="0"/>
        <v>0.25380618579180203</v>
      </c>
      <c r="V31" s="308">
        <f t="shared" si="0"/>
        <v>0.2341385477784152</v>
      </c>
      <c r="W31" s="308">
        <f t="shared" si="0"/>
        <v>0.21599497027529083</v>
      </c>
      <c r="X31" s="308">
        <f t="shared" si="0"/>
        <v>0.19925735265248232</v>
      </c>
      <c r="Y31" s="308">
        <f t="shared" si="0"/>
        <v>0.18381674598937486</v>
      </c>
      <c r="Z31" s="308">
        <f t="shared" si="0"/>
        <v>0.16957264390163737</v>
      </c>
      <c r="AA31" s="308">
        <f t="shared" si="0"/>
        <v>0.1564323283225437</v>
      </c>
      <c r="AB31" s="308">
        <f t="shared" si="0"/>
        <v>0.14431026598020638</v>
      </c>
      <c r="AC31" s="308">
        <f t="shared" si="0"/>
        <v>0.13312755164225684</v>
      </c>
    </row>
    <row r="32" spans="4:30" x14ac:dyDescent="0.25">
      <c r="D32" s="309">
        <v>5.0000000000000001E-3</v>
      </c>
      <c r="E32" s="308">
        <f>1/((1+$B$59+$D32)^(E35-2021))</f>
        <v>0.91911764705882371</v>
      </c>
      <c r="F32" s="308">
        <f t="shared" ref="F32:AC32" si="1">1/((1+$B$59+$D32)^(F35-2021))</f>
        <v>0.84477724913494834</v>
      </c>
      <c r="G32" s="308">
        <f t="shared" si="1"/>
        <v>0.77644967751373939</v>
      </c>
      <c r="H32" s="308">
        <f t="shared" si="1"/>
        <v>0.71364860065601055</v>
      </c>
      <c r="I32" s="308">
        <f t="shared" si="1"/>
        <v>0.65592702266177449</v>
      </c>
      <c r="J32" s="308">
        <f t="shared" si="1"/>
        <v>0.60287410171118994</v>
      </c>
      <c r="K32" s="308">
        <f t="shared" si="1"/>
        <v>0.55411222583749076</v>
      </c>
      <c r="L32" s="308">
        <f t="shared" si="1"/>
        <v>0.509294325218282</v>
      </c>
      <c r="M32" s="308">
        <f t="shared" si="1"/>
        <v>0.46810140185503862</v>
      </c>
      <c r="N32" s="308">
        <f t="shared" si="1"/>
        <v>0.43024025905793994</v>
      </c>
      <c r="O32" s="308">
        <f t="shared" si="1"/>
        <v>0.39544141457531257</v>
      </c>
      <c r="P32" s="308">
        <f t="shared" si="1"/>
        <v>0.36345718251407405</v>
      </c>
      <c r="Q32" s="308">
        <f t="shared" si="1"/>
        <v>0.33405991039896515</v>
      </c>
      <c r="R32" s="308">
        <f t="shared" si="1"/>
        <v>0.30704035882257835</v>
      </c>
      <c r="S32" s="308">
        <f t="shared" si="1"/>
        <v>0.28220621215310515</v>
      </c>
      <c r="T32" s="308">
        <f t="shared" si="1"/>
        <v>0.25938070969954519</v>
      </c>
      <c r="U32" s="308">
        <f t="shared" si="1"/>
        <v>0.23840138759149374</v>
      </c>
      <c r="V32" s="308">
        <f t="shared" si="1"/>
        <v>0.21911892241865238</v>
      </c>
      <c r="W32" s="308">
        <f t="shared" si="1"/>
        <v>0.2013960683994967</v>
      </c>
      <c r="X32" s="308">
        <f t="shared" si="1"/>
        <v>0.18510668051424331</v>
      </c>
      <c r="Y32" s="308">
        <f t="shared" si="1"/>
        <v>0.17013481664912072</v>
      </c>
      <c r="Z32" s="308">
        <f t="shared" si="1"/>
        <v>0.15637391236132422</v>
      </c>
      <c r="AA32" s="308">
        <f t="shared" si="1"/>
        <v>0.143726022390923</v>
      </c>
      <c r="AB32" s="308">
        <f t="shared" si="1"/>
        <v>0.13210112352106895</v>
      </c>
      <c r="AC32" s="308">
        <f t="shared" si="1"/>
        <v>0.1214164738245119</v>
      </c>
    </row>
    <row r="33" spans="1:30" x14ac:dyDescent="0.25">
      <c r="D33" s="127" t="s">
        <v>271</v>
      </c>
      <c r="E33" s="308">
        <f>1/((1+$B$59)^(E35-2021))</f>
        <v>0.92336103416435833</v>
      </c>
      <c r="F33" s="308">
        <f t="shared" ref="F33:AC33" si="2">1/((1+$B$59)^(F35-2021))</f>
        <v>0.85259559941307328</v>
      </c>
      <c r="G33" s="308">
        <f t="shared" si="2"/>
        <v>0.78725355439803635</v>
      </c>
      <c r="H33" s="308">
        <f t="shared" si="2"/>
        <v>0.72691925613853769</v>
      </c>
      <c r="I33" s="308">
        <f t="shared" si="2"/>
        <v>0.67120891610206623</v>
      </c>
      <c r="J33" s="308">
        <f t="shared" si="2"/>
        <v>0.61976815891234194</v>
      </c>
      <c r="K33" s="308">
        <f t="shared" si="2"/>
        <v>0.57226976815544039</v>
      </c>
      <c r="L33" s="308">
        <f t="shared" si="2"/>
        <v>0.52841160494500505</v>
      </c>
      <c r="M33" s="308">
        <f t="shared" si="2"/>
        <v>0.48791468600646815</v>
      </c>
      <c r="N33" s="308">
        <f t="shared" si="2"/>
        <v>0.45052140905491062</v>
      </c>
      <c r="O33" s="308">
        <f t="shared" si="2"/>
        <v>0.4159939141781262</v>
      </c>
      <c r="P33" s="308">
        <f t="shared" si="2"/>
        <v>0.38411257080159389</v>
      </c>
      <c r="Q33" s="308">
        <f t="shared" si="2"/>
        <v>0.35467458061089008</v>
      </c>
      <c r="R33" s="308">
        <f t="shared" si="2"/>
        <v>0.32749268754468147</v>
      </c>
      <c r="S33" s="308">
        <f t="shared" si="2"/>
        <v>0.30239398665252215</v>
      </c>
      <c r="T33" s="308">
        <f t="shared" si="2"/>
        <v>0.27921882424055605</v>
      </c>
      <c r="U33" s="308">
        <f t="shared" si="2"/>
        <v>0.25781978230891606</v>
      </c>
      <c r="V33" s="308">
        <f t="shared" si="2"/>
        <v>0.23806074082079043</v>
      </c>
      <c r="W33" s="308">
        <f t="shared" si="2"/>
        <v>0.21981601183821831</v>
      </c>
      <c r="X33" s="308">
        <f t="shared" si="2"/>
        <v>0.2029695400168221</v>
      </c>
      <c r="Y33" s="308">
        <f t="shared" si="2"/>
        <v>0.18741416437379693</v>
      </c>
      <c r="Z33" s="308">
        <f t="shared" si="2"/>
        <v>0.1730509366332382</v>
      </c>
      <c r="AA33" s="308">
        <f t="shared" si="2"/>
        <v>0.15978849181277768</v>
      </c>
      <c r="AB33" s="308">
        <f t="shared" si="2"/>
        <v>0.14754246704780949</v>
      </c>
      <c r="AC33" s="308">
        <f t="shared" si="2"/>
        <v>0.13623496495642612</v>
      </c>
    </row>
    <row r="35" spans="1:30" ht="13" x14ac:dyDescent="0.3">
      <c r="B35" s="43" t="s">
        <v>178</v>
      </c>
      <c r="C35" s="43" t="s">
        <v>203</v>
      </c>
      <c r="D35" s="13">
        <v>2021</v>
      </c>
      <c r="E35" s="13">
        <f>D35+1</f>
        <v>2022</v>
      </c>
      <c r="F35" s="13">
        <f t="shared" ref="F35:AC35" si="3">E35+1</f>
        <v>2023</v>
      </c>
      <c r="G35" s="13">
        <f t="shared" si="3"/>
        <v>2024</v>
      </c>
      <c r="H35" s="13">
        <f t="shared" si="3"/>
        <v>2025</v>
      </c>
      <c r="I35" s="13">
        <f t="shared" si="3"/>
        <v>2026</v>
      </c>
      <c r="J35" s="13">
        <f t="shared" si="3"/>
        <v>2027</v>
      </c>
      <c r="K35" s="13">
        <f t="shared" si="3"/>
        <v>2028</v>
      </c>
      <c r="L35" s="13">
        <f t="shared" si="3"/>
        <v>2029</v>
      </c>
      <c r="M35" s="13">
        <f t="shared" si="3"/>
        <v>2030</v>
      </c>
      <c r="N35" s="13">
        <f t="shared" si="3"/>
        <v>2031</v>
      </c>
      <c r="O35" s="13">
        <f t="shared" si="3"/>
        <v>2032</v>
      </c>
      <c r="P35" s="13">
        <f t="shared" si="3"/>
        <v>2033</v>
      </c>
      <c r="Q35" s="13">
        <f t="shared" si="3"/>
        <v>2034</v>
      </c>
      <c r="R35" s="13">
        <f t="shared" si="3"/>
        <v>2035</v>
      </c>
      <c r="S35" s="13">
        <f t="shared" si="3"/>
        <v>2036</v>
      </c>
      <c r="T35" s="13">
        <f t="shared" si="3"/>
        <v>2037</v>
      </c>
      <c r="U35" s="13">
        <f t="shared" si="3"/>
        <v>2038</v>
      </c>
      <c r="V35" s="13">
        <f t="shared" si="3"/>
        <v>2039</v>
      </c>
      <c r="W35" s="13">
        <f t="shared" si="3"/>
        <v>2040</v>
      </c>
      <c r="X35" s="13">
        <f t="shared" si="3"/>
        <v>2041</v>
      </c>
      <c r="Y35" s="13">
        <f t="shared" si="3"/>
        <v>2042</v>
      </c>
      <c r="Z35" s="13">
        <f t="shared" si="3"/>
        <v>2043</v>
      </c>
      <c r="AA35" s="13">
        <f t="shared" si="3"/>
        <v>2044</v>
      </c>
      <c r="AB35" s="13">
        <f t="shared" si="3"/>
        <v>2045</v>
      </c>
      <c r="AC35" s="13">
        <f t="shared" si="3"/>
        <v>2046</v>
      </c>
    </row>
    <row r="36" spans="1:30" s="19" customFormat="1" ht="13" x14ac:dyDescent="0.3">
      <c r="A36" s="40" t="s">
        <v>10</v>
      </c>
      <c r="B36" s="63" t="e">
        <f>OP!N34</f>
        <v>#DIV/0!</v>
      </c>
      <c r="C36" s="63" t="e">
        <f>OP!N35</f>
        <v>#DIV/0!</v>
      </c>
      <c r="D36" s="249">
        <v>0.35</v>
      </c>
      <c r="E36" s="249">
        <v>3.4000000000000002E-2</v>
      </c>
      <c r="F36" s="249">
        <v>9.5000000000000001E-2</v>
      </c>
      <c r="G36" s="249">
        <v>9.5000000000000001E-2</v>
      </c>
      <c r="H36" s="249">
        <v>9.5000000000000001E-2</v>
      </c>
      <c r="I36" s="249">
        <v>9.5000000000000001E-2</v>
      </c>
      <c r="J36" s="249">
        <v>9.5000000000000001E-2</v>
      </c>
      <c r="K36" s="63">
        <v>0.08</v>
      </c>
      <c r="L36" s="63">
        <v>0.06</v>
      </c>
      <c r="M36" s="63">
        <v>0.05</v>
      </c>
      <c r="N36" s="63">
        <v>0.04</v>
      </c>
      <c r="O36" s="63">
        <v>3.5000000000000003E-2</v>
      </c>
      <c r="P36" s="63">
        <v>3.5000000000000003E-2</v>
      </c>
      <c r="Q36" s="63">
        <v>3.5000000000000003E-2</v>
      </c>
      <c r="R36" s="63">
        <v>3.5000000000000003E-2</v>
      </c>
      <c r="S36" s="63">
        <v>3.5000000000000003E-2</v>
      </c>
      <c r="T36" s="63">
        <v>3.5000000000000003E-2</v>
      </c>
      <c r="U36" s="63">
        <v>3.5000000000000003E-2</v>
      </c>
      <c r="V36" s="63">
        <v>3.5000000000000003E-2</v>
      </c>
      <c r="W36" s="63">
        <v>3.5000000000000003E-2</v>
      </c>
      <c r="X36" s="63">
        <v>3.5000000000000003E-2</v>
      </c>
      <c r="Y36" s="63">
        <v>3.5000000000000003E-2</v>
      </c>
      <c r="Z36" s="63">
        <v>3.5000000000000003E-2</v>
      </c>
      <c r="AA36" s="63">
        <v>3.5000000000000003E-2</v>
      </c>
      <c r="AB36" s="63">
        <v>3.5000000000000003E-2</v>
      </c>
      <c r="AC36" s="63">
        <v>3.5000000000000003E-2</v>
      </c>
    </row>
    <row r="37" spans="1:30" s="7" customFormat="1" x14ac:dyDescent="0.25">
      <c r="A37" s="14" t="s">
        <v>9</v>
      </c>
      <c r="B37" s="87">
        <f>OP!C34</f>
        <v>0</v>
      </c>
      <c r="C37" s="87">
        <f>OP!C35</f>
        <v>0</v>
      </c>
      <c r="D37" s="1">
        <f>OP!C34*(1+D36)</f>
        <v>0</v>
      </c>
      <c r="E37" s="1">
        <f t="shared" ref="E37:AC37" si="4">D37*(1+E36)</f>
        <v>0</v>
      </c>
      <c r="F37" s="1">
        <f t="shared" si="4"/>
        <v>0</v>
      </c>
      <c r="G37" s="1">
        <f t="shared" si="4"/>
        <v>0</v>
      </c>
      <c r="H37" s="1">
        <f t="shared" si="4"/>
        <v>0</v>
      </c>
      <c r="I37" s="1">
        <f t="shared" si="4"/>
        <v>0</v>
      </c>
      <c r="J37" s="1">
        <f t="shared" si="4"/>
        <v>0</v>
      </c>
      <c r="K37" s="1">
        <f t="shared" si="4"/>
        <v>0</v>
      </c>
      <c r="L37" s="1">
        <f t="shared" si="4"/>
        <v>0</v>
      </c>
      <c r="M37" s="1">
        <f t="shared" si="4"/>
        <v>0</v>
      </c>
      <c r="N37" s="1">
        <f t="shared" si="4"/>
        <v>0</v>
      </c>
      <c r="O37" s="1">
        <f t="shared" si="4"/>
        <v>0</v>
      </c>
      <c r="P37" s="1">
        <f t="shared" si="4"/>
        <v>0</v>
      </c>
      <c r="Q37" s="1">
        <f t="shared" si="4"/>
        <v>0</v>
      </c>
      <c r="R37" s="1">
        <f t="shared" si="4"/>
        <v>0</v>
      </c>
      <c r="S37" s="1">
        <f t="shared" si="4"/>
        <v>0</v>
      </c>
      <c r="T37" s="1">
        <f t="shared" si="4"/>
        <v>0</v>
      </c>
      <c r="U37" s="1">
        <f t="shared" si="4"/>
        <v>0</v>
      </c>
      <c r="V37" s="1">
        <f t="shared" si="4"/>
        <v>0</v>
      </c>
      <c r="W37" s="1">
        <f t="shared" si="4"/>
        <v>0</v>
      </c>
      <c r="X37" s="1">
        <f t="shared" si="4"/>
        <v>0</v>
      </c>
      <c r="Y37" s="1">
        <f t="shared" si="4"/>
        <v>0</v>
      </c>
      <c r="Z37" s="1">
        <f t="shared" si="4"/>
        <v>0</v>
      </c>
      <c r="AA37" s="1">
        <f t="shared" si="4"/>
        <v>0</v>
      </c>
      <c r="AB37" s="1">
        <f t="shared" si="4"/>
        <v>0</v>
      </c>
      <c r="AC37" s="1">
        <f t="shared" si="4"/>
        <v>0</v>
      </c>
    </row>
    <row r="38" spans="1:30" s="19" customFormat="1" ht="13" x14ac:dyDescent="0.3">
      <c r="A38" s="40" t="s">
        <v>1</v>
      </c>
      <c r="B38" s="102">
        <f>+OP!D34</f>
        <v>0</v>
      </c>
      <c r="C38" s="102">
        <f>+OP!D35</f>
        <v>0</v>
      </c>
      <c r="D38" s="249">
        <f>108166.4/365513.2</f>
        <v>0.29593021537936248</v>
      </c>
      <c r="E38" s="249">
        <f>108162.8/377959.8</f>
        <v>0.28617540807249875</v>
      </c>
      <c r="F38" s="249">
        <v>0.27</v>
      </c>
      <c r="G38" s="249">
        <v>0.27500000000000002</v>
      </c>
      <c r="H38" s="249">
        <v>0.26</v>
      </c>
      <c r="I38" s="249">
        <v>0.255</v>
      </c>
      <c r="J38" s="249">
        <v>0.25</v>
      </c>
      <c r="K38" s="63">
        <v>0.25</v>
      </c>
      <c r="L38" s="63">
        <v>0.25</v>
      </c>
      <c r="M38" s="63">
        <v>0.25</v>
      </c>
      <c r="N38" s="63">
        <v>0.25</v>
      </c>
      <c r="O38" s="63">
        <v>0.25</v>
      </c>
      <c r="P38" s="63">
        <v>0.25</v>
      </c>
      <c r="Q38" s="63">
        <v>0.25</v>
      </c>
      <c r="R38" s="63">
        <v>0.25</v>
      </c>
      <c r="S38" s="63">
        <v>0.25</v>
      </c>
      <c r="T38" s="63">
        <v>0.25</v>
      </c>
      <c r="U38" s="63">
        <v>0.25</v>
      </c>
      <c r="V38" s="63">
        <v>0.25</v>
      </c>
      <c r="W38" s="63">
        <v>0.25</v>
      </c>
      <c r="X38" s="63">
        <v>0.25</v>
      </c>
      <c r="Y38" s="63">
        <v>0.25</v>
      </c>
      <c r="Z38" s="63">
        <v>0.25</v>
      </c>
      <c r="AA38" s="63">
        <v>0.25</v>
      </c>
      <c r="AB38" s="63">
        <v>0.25</v>
      </c>
      <c r="AC38" s="63">
        <v>0.25</v>
      </c>
    </row>
    <row r="39" spans="1:30" x14ac:dyDescent="0.25">
      <c r="A39" s="11" t="s">
        <v>3</v>
      </c>
      <c r="B39" s="87">
        <v>63930</v>
      </c>
      <c r="C39" s="87">
        <v>66288</v>
      </c>
      <c r="D39" s="1">
        <f t="shared" ref="D39:AC39" si="5">D37*D38</f>
        <v>0</v>
      </c>
      <c r="E39" s="1">
        <f t="shared" si="5"/>
        <v>0</v>
      </c>
      <c r="F39" s="1">
        <f t="shared" si="5"/>
        <v>0</v>
      </c>
      <c r="G39" s="1">
        <f t="shared" si="5"/>
        <v>0</v>
      </c>
      <c r="H39" s="1">
        <f t="shared" si="5"/>
        <v>0</v>
      </c>
      <c r="I39" s="1">
        <f t="shared" si="5"/>
        <v>0</v>
      </c>
      <c r="J39" s="1">
        <f t="shared" si="5"/>
        <v>0</v>
      </c>
      <c r="K39" s="1">
        <f t="shared" si="5"/>
        <v>0</v>
      </c>
      <c r="L39" s="1">
        <f t="shared" si="5"/>
        <v>0</v>
      </c>
      <c r="M39" s="1">
        <f t="shared" si="5"/>
        <v>0</v>
      </c>
      <c r="N39" s="1">
        <f t="shared" si="5"/>
        <v>0</v>
      </c>
      <c r="O39" s="1">
        <f t="shared" si="5"/>
        <v>0</v>
      </c>
      <c r="P39" s="1">
        <f t="shared" si="5"/>
        <v>0</v>
      </c>
      <c r="Q39" s="1">
        <f t="shared" si="5"/>
        <v>0</v>
      </c>
      <c r="R39" s="1">
        <f t="shared" si="5"/>
        <v>0</v>
      </c>
      <c r="S39" s="1">
        <f t="shared" si="5"/>
        <v>0</v>
      </c>
      <c r="T39" s="1">
        <f t="shared" si="5"/>
        <v>0</v>
      </c>
      <c r="U39" s="1">
        <f t="shared" si="5"/>
        <v>0</v>
      </c>
      <c r="V39" s="1">
        <f t="shared" si="5"/>
        <v>0</v>
      </c>
      <c r="W39" s="1">
        <f t="shared" si="5"/>
        <v>0</v>
      </c>
      <c r="X39" s="1">
        <f t="shared" si="5"/>
        <v>0</v>
      </c>
      <c r="Y39" s="1">
        <f t="shared" si="5"/>
        <v>0</v>
      </c>
      <c r="Z39" s="1">
        <f t="shared" si="5"/>
        <v>0</v>
      </c>
      <c r="AA39" s="1">
        <f t="shared" si="5"/>
        <v>0</v>
      </c>
      <c r="AB39" s="1">
        <f t="shared" si="5"/>
        <v>0</v>
      </c>
      <c r="AC39" s="1">
        <f t="shared" si="5"/>
        <v>0</v>
      </c>
    </row>
    <row r="40" spans="1:30" x14ac:dyDescent="0.25">
      <c r="A40" s="11" t="s">
        <v>21</v>
      </c>
      <c r="B40" s="87">
        <f>OP!H34</f>
        <v>0</v>
      </c>
      <c r="C40" s="87">
        <f>OP!H35</f>
        <v>0</v>
      </c>
      <c r="D40" s="1">
        <v>11000</v>
      </c>
      <c r="E40" s="1">
        <f>D40*(1+E36*$H$59)</f>
        <v>11374</v>
      </c>
      <c r="F40" s="1">
        <f>E40*(1+F36*$H$59)</f>
        <v>12454.529999999999</v>
      </c>
      <c r="G40" s="1">
        <f>F40*(1+G36*$H$59)</f>
        <v>13637.710349999998</v>
      </c>
      <c r="H40" s="1">
        <f>G40*(1+H36*$H$59)</f>
        <v>14933.292833249998</v>
      </c>
      <c r="I40" s="1">
        <f t="shared" ref="I40:AC40" si="6">H40*(1+I36*$I$59)</f>
        <v>16351.955652408747</v>
      </c>
      <c r="J40" s="1">
        <f t="shared" si="6"/>
        <v>17905.391439387578</v>
      </c>
      <c r="K40" s="1">
        <f t="shared" si="6"/>
        <v>19337.822754538585</v>
      </c>
      <c r="L40" s="1">
        <f t="shared" si="6"/>
        <v>20498.092119810903</v>
      </c>
      <c r="M40" s="1">
        <f t="shared" si="6"/>
        <v>21522.996725801448</v>
      </c>
      <c r="N40" s="1">
        <f t="shared" si="6"/>
        <v>22383.916594833507</v>
      </c>
      <c r="O40" s="1">
        <f t="shared" si="6"/>
        <v>23167.353675652677</v>
      </c>
      <c r="P40" s="1">
        <f t="shared" si="6"/>
        <v>23978.211054300518</v>
      </c>
      <c r="Q40" s="1">
        <f t="shared" si="6"/>
        <v>24817.448441201035</v>
      </c>
      <c r="R40" s="1">
        <f t="shared" si="6"/>
        <v>25686.059136643071</v>
      </c>
      <c r="S40" s="1">
        <f t="shared" si="6"/>
        <v>26585.071206425575</v>
      </c>
      <c r="T40" s="1">
        <f t="shared" si="6"/>
        <v>27515.548698650469</v>
      </c>
      <c r="U40" s="1">
        <f t="shared" si="6"/>
        <v>28478.592903103232</v>
      </c>
      <c r="V40" s="1">
        <f t="shared" si="6"/>
        <v>29475.343654711844</v>
      </c>
      <c r="W40" s="1">
        <f t="shared" si="6"/>
        <v>30506.980682626756</v>
      </c>
      <c r="X40" s="1">
        <f t="shared" si="6"/>
        <v>31574.725006518689</v>
      </c>
      <c r="Y40" s="1">
        <f t="shared" si="6"/>
        <v>32679.840381746839</v>
      </c>
      <c r="Z40" s="1">
        <f t="shared" si="6"/>
        <v>33823.634795107973</v>
      </c>
      <c r="AA40" s="1">
        <f t="shared" si="6"/>
        <v>35007.462012936747</v>
      </c>
      <c r="AB40" s="1">
        <f t="shared" si="6"/>
        <v>36232.723183389528</v>
      </c>
      <c r="AC40" s="1">
        <f t="shared" si="6"/>
        <v>37500.868494808157</v>
      </c>
      <c r="AD40" s="1"/>
    </row>
    <row r="41" spans="1:30" s="7" customFormat="1" x14ac:dyDescent="0.25">
      <c r="A41" s="14" t="s">
        <v>22</v>
      </c>
      <c r="B41" s="87">
        <f>+B39+B40</f>
        <v>63930</v>
      </c>
      <c r="C41" s="87">
        <f>+C39+C40</f>
        <v>66288</v>
      </c>
      <c r="D41" s="1">
        <f>D39+D40</f>
        <v>11000</v>
      </c>
      <c r="E41" s="1">
        <f t="shared" ref="E41:AC41" si="7">E39+E40</f>
        <v>11374</v>
      </c>
      <c r="F41" s="1">
        <f t="shared" si="7"/>
        <v>12454.529999999999</v>
      </c>
      <c r="G41" s="1">
        <f t="shared" si="7"/>
        <v>13637.710349999998</v>
      </c>
      <c r="H41" s="1">
        <f t="shared" si="7"/>
        <v>14933.292833249998</v>
      </c>
      <c r="I41" s="1">
        <f t="shared" si="7"/>
        <v>16351.955652408747</v>
      </c>
      <c r="J41" s="1">
        <f t="shared" si="7"/>
        <v>17905.391439387578</v>
      </c>
      <c r="K41" s="1">
        <f t="shared" si="7"/>
        <v>19337.822754538585</v>
      </c>
      <c r="L41" s="1">
        <f t="shared" si="7"/>
        <v>20498.092119810903</v>
      </c>
      <c r="M41" s="1">
        <f t="shared" si="7"/>
        <v>21522.996725801448</v>
      </c>
      <c r="N41" s="1">
        <f t="shared" si="7"/>
        <v>22383.916594833507</v>
      </c>
      <c r="O41" s="1">
        <f t="shared" si="7"/>
        <v>23167.353675652677</v>
      </c>
      <c r="P41" s="1">
        <f t="shared" si="7"/>
        <v>23978.211054300518</v>
      </c>
      <c r="Q41" s="1">
        <f t="shared" si="7"/>
        <v>24817.448441201035</v>
      </c>
      <c r="R41" s="1">
        <f t="shared" si="7"/>
        <v>25686.059136643071</v>
      </c>
      <c r="S41" s="1">
        <f t="shared" si="7"/>
        <v>26585.071206425575</v>
      </c>
      <c r="T41" s="1">
        <f t="shared" si="7"/>
        <v>27515.548698650469</v>
      </c>
      <c r="U41" s="1">
        <f t="shared" si="7"/>
        <v>28478.592903103232</v>
      </c>
      <c r="V41" s="1">
        <f t="shared" si="7"/>
        <v>29475.343654711844</v>
      </c>
      <c r="W41" s="1">
        <f t="shared" si="7"/>
        <v>30506.980682626756</v>
      </c>
      <c r="X41" s="1">
        <f t="shared" si="7"/>
        <v>31574.725006518689</v>
      </c>
      <c r="Y41" s="1">
        <f t="shared" si="7"/>
        <v>32679.840381746839</v>
      </c>
      <c r="Z41" s="1">
        <f t="shared" si="7"/>
        <v>33823.634795107973</v>
      </c>
      <c r="AA41" s="1">
        <f t="shared" si="7"/>
        <v>35007.462012936747</v>
      </c>
      <c r="AB41" s="1">
        <f t="shared" si="7"/>
        <v>36232.723183389528</v>
      </c>
      <c r="AC41" s="1">
        <f t="shared" si="7"/>
        <v>37500.868494808157</v>
      </c>
    </row>
    <row r="42" spans="1:30" s="19" customFormat="1" x14ac:dyDescent="0.25">
      <c r="A42" s="41" t="s">
        <v>179</v>
      </c>
      <c r="B42" s="42">
        <v>-1385</v>
      </c>
      <c r="C42" s="42">
        <v>-890</v>
      </c>
      <c r="D42" s="42">
        <f t="shared" ref="D42:AC42" si="8">(C48)*$H$60</f>
        <v>-1124.3600000000001</v>
      </c>
      <c r="E42" s="42">
        <f t="shared" si="8"/>
        <v>-1113.1164000000001</v>
      </c>
      <c r="F42" s="42">
        <f t="shared" si="8"/>
        <v>-1113.1164000000001</v>
      </c>
      <c r="G42" s="42">
        <f t="shared" si="8"/>
        <v>-1113.1164000000001</v>
      </c>
      <c r="H42" s="42">
        <f t="shared" si="8"/>
        <v>-1113.1164000000001</v>
      </c>
      <c r="I42" s="42">
        <f t="shared" si="8"/>
        <v>-1113.1164000000001</v>
      </c>
      <c r="J42" s="42">
        <f t="shared" si="8"/>
        <v>-1113.1164000000001</v>
      </c>
      <c r="K42" s="42">
        <f t="shared" si="8"/>
        <v>-1113.1164000000001</v>
      </c>
      <c r="L42" s="42">
        <f t="shared" si="8"/>
        <v>-1113.1164000000001</v>
      </c>
      <c r="M42" s="42">
        <f t="shared" si="8"/>
        <v>-1113.1164000000001</v>
      </c>
      <c r="N42" s="42">
        <f t="shared" si="8"/>
        <v>-1113.1164000000001</v>
      </c>
      <c r="O42" s="42">
        <f t="shared" si="8"/>
        <v>-1113.1164000000001</v>
      </c>
      <c r="P42" s="42">
        <f t="shared" si="8"/>
        <v>-1113.1164000000001</v>
      </c>
      <c r="Q42" s="42">
        <f t="shared" si="8"/>
        <v>-1113.1164000000001</v>
      </c>
      <c r="R42" s="42">
        <f t="shared" si="8"/>
        <v>-1113.1164000000001</v>
      </c>
      <c r="S42" s="42">
        <f t="shared" si="8"/>
        <v>-1113.1164000000001</v>
      </c>
      <c r="T42" s="42">
        <f t="shared" si="8"/>
        <v>-1113.1164000000001</v>
      </c>
      <c r="U42" s="42">
        <f t="shared" si="8"/>
        <v>-1113.1164000000001</v>
      </c>
      <c r="V42" s="42">
        <f t="shared" si="8"/>
        <v>-1113.1164000000001</v>
      </c>
      <c r="W42" s="42">
        <f t="shared" si="8"/>
        <v>-1113.1164000000001</v>
      </c>
      <c r="X42" s="42">
        <f t="shared" si="8"/>
        <v>-1113.1164000000001</v>
      </c>
      <c r="Y42" s="42">
        <f t="shared" si="8"/>
        <v>-1113.1164000000001</v>
      </c>
      <c r="Z42" s="42">
        <f t="shared" si="8"/>
        <v>-1113.1164000000001</v>
      </c>
      <c r="AA42" s="42">
        <f t="shared" si="8"/>
        <v>-1113.1164000000001</v>
      </c>
      <c r="AB42" s="42">
        <f t="shared" si="8"/>
        <v>-1113.1164000000001</v>
      </c>
      <c r="AC42" s="42">
        <f t="shared" si="8"/>
        <v>-1113.1164000000001</v>
      </c>
    </row>
    <row r="43" spans="1:30" x14ac:dyDescent="0.25">
      <c r="A43" s="14" t="s">
        <v>23</v>
      </c>
      <c r="B43" s="87">
        <f>-422-2817</f>
        <v>-3239</v>
      </c>
      <c r="C43" s="87">
        <f>87-3634</f>
        <v>-3547</v>
      </c>
      <c r="D43" s="1">
        <f>-C43*(1+D36)</f>
        <v>4788.4500000000007</v>
      </c>
      <c r="E43" s="1">
        <f>D43*(1+E36*0.5)</f>
        <v>4869.85365</v>
      </c>
      <c r="F43" s="1">
        <f t="shared" ref="F43:AC43" si="9">E43*(1+F36*0.5)</f>
        <v>5101.1716983750002</v>
      </c>
      <c r="G43" s="1">
        <f t="shared" si="9"/>
        <v>5343.4773540478136</v>
      </c>
      <c r="H43" s="1">
        <f t="shared" si="9"/>
        <v>5597.2925283650857</v>
      </c>
      <c r="I43" s="1">
        <f t="shared" si="9"/>
        <v>5863.1639234624281</v>
      </c>
      <c r="J43" s="1">
        <f t="shared" si="9"/>
        <v>6141.664209826894</v>
      </c>
      <c r="K43" s="1">
        <f t="shared" si="9"/>
        <v>6387.3307782199699</v>
      </c>
      <c r="L43" s="1">
        <f t="shared" si="9"/>
        <v>6578.9507015665695</v>
      </c>
      <c r="M43" s="1">
        <f t="shared" si="9"/>
        <v>6743.4244691057329</v>
      </c>
      <c r="N43" s="1">
        <f t="shared" si="9"/>
        <v>6878.2929584878475</v>
      </c>
      <c r="O43" s="1">
        <f t="shared" si="9"/>
        <v>6998.6630852613853</v>
      </c>
      <c r="P43" s="1">
        <f t="shared" si="9"/>
        <v>7121.1396892534603</v>
      </c>
      <c r="Q43" s="1">
        <f t="shared" si="9"/>
        <v>7245.7596338153962</v>
      </c>
      <c r="R43" s="1">
        <f t="shared" si="9"/>
        <v>7372.5604274071666</v>
      </c>
      <c r="S43" s="1">
        <f t="shared" si="9"/>
        <v>7501.5802348867928</v>
      </c>
      <c r="T43" s="1">
        <f t="shared" si="9"/>
        <v>7632.8578889973123</v>
      </c>
      <c r="U43" s="1">
        <f t="shared" si="9"/>
        <v>7766.4329020547657</v>
      </c>
      <c r="V43" s="1">
        <f t="shared" si="9"/>
        <v>7902.3454778407249</v>
      </c>
      <c r="W43" s="1">
        <f t="shared" si="9"/>
        <v>8040.6365237029386</v>
      </c>
      <c r="X43" s="1">
        <f t="shared" si="9"/>
        <v>8181.3476628677408</v>
      </c>
      <c r="Y43" s="1">
        <f t="shared" si="9"/>
        <v>8324.5212469679263</v>
      </c>
      <c r="Z43" s="1">
        <f t="shared" si="9"/>
        <v>8470.200368789865</v>
      </c>
      <c r="AA43" s="1">
        <f t="shared" si="9"/>
        <v>8618.4288752436878</v>
      </c>
      <c r="AB43" s="1">
        <f t="shared" si="9"/>
        <v>8769.2513805604522</v>
      </c>
      <c r="AC43" s="1">
        <f t="shared" si="9"/>
        <v>8922.7132797202612</v>
      </c>
    </row>
    <row r="44" spans="1:30" x14ac:dyDescent="0.25">
      <c r="A44" s="14" t="s">
        <v>18</v>
      </c>
      <c r="B44" s="87">
        <f>B39-B42-B43</f>
        <v>68554</v>
      </c>
      <c r="C44" s="87">
        <f>C39-C42-C43</f>
        <v>70725</v>
      </c>
      <c r="D44" s="1">
        <f>D39-D42-D43</f>
        <v>-3664.0900000000006</v>
      </c>
      <c r="E44" s="1">
        <f t="shared" ref="E44:AC44" si="10">E39-E42-E43</f>
        <v>-3756.7372500000001</v>
      </c>
      <c r="F44" s="1">
        <f t="shared" si="10"/>
        <v>-3988.0552983750003</v>
      </c>
      <c r="G44" s="1">
        <f t="shared" si="10"/>
        <v>-4230.3609540478137</v>
      </c>
      <c r="H44" s="1">
        <f t="shared" si="10"/>
        <v>-4484.1761283650858</v>
      </c>
      <c r="I44" s="1">
        <f t="shared" si="10"/>
        <v>-4750.0475234624282</v>
      </c>
      <c r="J44" s="1">
        <f t="shared" si="10"/>
        <v>-5028.5478098268941</v>
      </c>
      <c r="K44" s="1">
        <f t="shared" si="10"/>
        <v>-5274.2143782199701</v>
      </c>
      <c r="L44" s="1">
        <f t="shared" si="10"/>
        <v>-5465.8343015665696</v>
      </c>
      <c r="M44" s="1">
        <f t="shared" si="10"/>
        <v>-5630.308069105733</v>
      </c>
      <c r="N44" s="1">
        <f t="shared" si="10"/>
        <v>-5765.1765584878476</v>
      </c>
      <c r="O44" s="1">
        <f t="shared" si="10"/>
        <v>-5885.5466852613854</v>
      </c>
      <c r="P44" s="1">
        <f t="shared" si="10"/>
        <v>-6008.0232892534605</v>
      </c>
      <c r="Q44" s="1">
        <f t="shared" si="10"/>
        <v>-6132.6432338153963</v>
      </c>
      <c r="R44" s="1">
        <f t="shared" si="10"/>
        <v>-6259.4440274071667</v>
      </c>
      <c r="S44" s="1">
        <f t="shared" si="10"/>
        <v>-6388.4638348867929</v>
      </c>
      <c r="T44" s="1">
        <f t="shared" si="10"/>
        <v>-6519.7414889973124</v>
      </c>
      <c r="U44" s="1">
        <f t="shared" si="10"/>
        <v>-6653.3165020547658</v>
      </c>
      <c r="V44" s="1">
        <f t="shared" si="10"/>
        <v>-6789.229077840725</v>
      </c>
      <c r="W44" s="1">
        <f t="shared" si="10"/>
        <v>-6927.5201237029387</v>
      </c>
      <c r="X44" s="1">
        <f t="shared" si="10"/>
        <v>-7068.231262867741</v>
      </c>
      <c r="Y44" s="1">
        <f t="shared" si="10"/>
        <v>-7211.4048469679265</v>
      </c>
      <c r="Z44" s="1">
        <f t="shared" si="10"/>
        <v>-7357.0839687898651</v>
      </c>
      <c r="AA44" s="1">
        <f t="shared" si="10"/>
        <v>-7505.3124752436879</v>
      </c>
      <c r="AB44" s="1">
        <f t="shared" si="10"/>
        <v>-7656.1349805604523</v>
      </c>
      <c r="AC44" s="1">
        <f t="shared" si="10"/>
        <v>-7809.5968797202613</v>
      </c>
    </row>
    <row r="45" spans="1:30" x14ac:dyDescent="0.25">
      <c r="A45" s="14" t="s">
        <v>11</v>
      </c>
      <c r="B45" s="87">
        <v>10481</v>
      </c>
      <c r="C45" s="87">
        <v>9680</v>
      </c>
      <c r="D45" s="1">
        <f>$H$61*D44</f>
        <v>-769.45890000000009</v>
      </c>
      <c r="E45" s="1">
        <f>$H$61*E44</f>
        <v>-788.91482250000001</v>
      </c>
      <c r="F45" s="1">
        <f>$H$61*F44</f>
        <v>-837.49161265875</v>
      </c>
      <c r="G45" s="1">
        <f t="shared" ref="G45:AC45" si="11">$I$61*G44</f>
        <v>-972.98301943099716</v>
      </c>
      <c r="H45" s="1">
        <f t="shared" si="11"/>
        <v>-1031.3605095239698</v>
      </c>
      <c r="I45" s="1">
        <f t="shared" si="11"/>
        <v>-1092.5109303963586</v>
      </c>
      <c r="J45" s="1">
        <f t="shared" si="11"/>
        <v>-1156.5659962601858</v>
      </c>
      <c r="K45" s="1">
        <f t="shared" si="11"/>
        <v>-1213.0693069905931</v>
      </c>
      <c r="L45" s="1">
        <f t="shared" si="11"/>
        <v>-1257.1418893603111</v>
      </c>
      <c r="M45" s="1">
        <f t="shared" si="11"/>
        <v>-1294.9708558943187</v>
      </c>
      <c r="N45" s="1">
        <f t="shared" si="11"/>
        <v>-1325.9906084522049</v>
      </c>
      <c r="O45" s="1">
        <f t="shared" si="11"/>
        <v>-1353.6757376101186</v>
      </c>
      <c r="P45" s="1">
        <f t="shared" si="11"/>
        <v>-1381.845356528296</v>
      </c>
      <c r="Q45" s="1">
        <f t="shared" si="11"/>
        <v>-1410.5079437775412</v>
      </c>
      <c r="R45" s="1">
        <f t="shared" si="11"/>
        <v>-1439.6721263036484</v>
      </c>
      <c r="S45" s="1">
        <f t="shared" si="11"/>
        <v>-1469.3466820239623</v>
      </c>
      <c r="T45" s="1">
        <f t="shared" si="11"/>
        <v>-1499.540542469382</v>
      </c>
      <c r="U45" s="1">
        <f t="shared" si="11"/>
        <v>-1530.2627954725963</v>
      </c>
      <c r="V45" s="1">
        <f t="shared" si="11"/>
        <v>-1561.5226879033669</v>
      </c>
      <c r="W45" s="1">
        <f t="shared" si="11"/>
        <v>-1593.3296284516759</v>
      </c>
      <c r="X45" s="1">
        <f t="shared" si="11"/>
        <v>-1625.6931904595806</v>
      </c>
      <c r="Y45" s="1">
        <f t="shared" si="11"/>
        <v>-1658.6231148026231</v>
      </c>
      <c r="Z45" s="1">
        <f t="shared" si="11"/>
        <v>-1692.1293128216691</v>
      </c>
      <c r="AA45" s="1">
        <f t="shared" si="11"/>
        <v>-1726.2218693060483</v>
      </c>
      <c r="AB45" s="1">
        <f t="shared" si="11"/>
        <v>-1760.9110455289042</v>
      </c>
      <c r="AC45" s="1">
        <f t="shared" si="11"/>
        <v>-1796.2072823356602</v>
      </c>
    </row>
    <row r="46" spans="1:30" x14ac:dyDescent="0.25">
      <c r="A46" s="14" t="s">
        <v>41</v>
      </c>
      <c r="B46" s="87">
        <f t="shared" ref="B46:AC46" si="12">B44-B45</f>
        <v>58073</v>
      </c>
      <c r="C46" s="87">
        <f t="shared" si="12"/>
        <v>61045</v>
      </c>
      <c r="D46" s="21">
        <f>D44-D45</f>
        <v>-2894.6311000000005</v>
      </c>
      <c r="E46" s="21">
        <f t="shared" si="12"/>
        <v>-2967.8224275000002</v>
      </c>
      <c r="F46" s="21">
        <f t="shared" si="12"/>
        <v>-3150.5636857162503</v>
      </c>
      <c r="G46" s="21">
        <f t="shared" si="12"/>
        <v>-3257.3779346168167</v>
      </c>
      <c r="H46" s="21">
        <f t="shared" si="12"/>
        <v>-3452.8156188411158</v>
      </c>
      <c r="I46" s="21">
        <f t="shared" si="12"/>
        <v>-3657.5365930660696</v>
      </c>
      <c r="J46" s="21">
        <f t="shared" si="12"/>
        <v>-3871.9818135667083</v>
      </c>
      <c r="K46" s="21">
        <f t="shared" si="12"/>
        <v>-4061.1450712293772</v>
      </c>
      <c r="L46" s="21">
        <f t="shared" si="12"/>
        <v>-4208.6924122062583</v>
      </c>
      <c r="M46" s="21">
        <f t="shared" si="12"/>
        <v>-4335.3372132114146</v>
      </c>
      <c r="N46" s="21">
        <f t="shared" si="12"/>
        <v>-4439.1859500356422</v>
      </c>
      <c r="O46" s="21">
        <f t="shared" si="12"/>
        <v>-4531.8709476512668</v>
      </c>
      <c r="P46" s="21">
        <f t="shared" si="12"/>
        <v>-4626.1779327251643</v>
      </c>
      <c r="Q46" s="21">
        <f t="shared" si="12"/>
        <v>-4722.1352900378552</v>
      </c>
      <c r="R46" s="21">
        <f t="shared" si="12"/>
        <v>-4819.7719011035188</v>
      </c>
      <c r="S46" s="21">
        <f t="shared" si="12"/>
        <v>-4919.1171528628311</v>
      </c>
      <c r="T46" s="21">
        <f t="shared" si="12"/>
        <v>-5020.2009465279307</v>
      </c>
      <c r="U46" s="21">
        <f t="shared" si="12"/>
        <v>-5123.05370658217</v>
      </c>
      <c r="V46" s="21">
        <f t="shared" si="12"/>
        <v>-5227.7063899373579</v>
      </c>
      <c r="W46" s="21">
        <f t="shared" si="12"/>
        <v>-5334.1904952512632</v>
      </c>
      <c r="X46" s="21">
        <f t="shared" si="12"/>
        <v>-5442.5380724081606</v>
      </c>
      <c r="Y46" s="21">
        <f t="shared" si="12"/>
        <v>-5552.7817321653038</v>
      </c>
      <c r="Z46" s="21">
        <f t="shared" si="12"/>
        <v>-5664.9546559681958</v>
      </c>
      <c r="AA46" s="21">
        <f t="shared" si="12"/>
        <v>-5779.0906059376393</v>
      </c>
      <c r="AB46" s="21">
        <f t="shared" si="12"/>
        <v>-5895.2239350315485</v>
      </c>
      <c r="AC46" s="21">
        <f t="shared" si="12"/>
        <v>-6013.3895973846011</v>
      </c>
    </row>
    <row r="47" spans="1:30" x14ac:dyDescent="0.25">
      <c r="A47" s="152" t="s">
        <v>183</v>
      </c>
      <c r="B47" s="87">
        <f>OP!I34</f>
        <v>0</v>
      </c>
      <c r="C47" s="87">
        <f>OP!I35</f>
        <v>0</v>
      </c>
      <c r="D47" s="1">
        <v>10000</v>
      </c>
      <c r="E47" s="1">
        <f t="shared" ref="E47:AC47" si="13">D47*(1+E36*$H$62)</f>
        <v>10408</v>
      </c>
      <c r="F47" s="1">
        <f t="shared" si="13"/>
        <v>11594.511999999999</v>
      </c>
      <c r="G47" s="1">
        <f t="shared" si="13"/>
        <v>12916.286367999997</v>
      </c>
      <c r="H47" s="1">
        <f t="shared" si="13"/>
        <v>14388.743013951995</v>
      </c>
      <c r="I47" s="1">
        <f t="shared" si="13"/>
        <v>16029.059717542521</v>
      </c>
      <c r="J47" s="1">
        <f t="shared" si="13"/>
        <v>17856.372525342365</v>
      </c>
      <c r="K47" s="1">
        <f t="shared" si="13"/>
        <v>19570.584287775233</v>
      </c>
      <c r="L47" s="1">
        <f t="shared" si="13"/>
        <v>20979.66635649505</v>
      </c>
      <c r="M47" s="1">
        <f t="shared" si="13"/>
        <v>22238.446337884754</v>
      </c>
      <c r="N47" s="1">
        <f t="shared" si="13"/>
        <v>23305.891762103223</v>
      </c>
      <c r="O47" s="1">
        <f t="shared" si="13"/>
        <v>24284.73921611156</v>
      </c>
      <c r="P47" s="1">
        <f t="shared" si="13"/>
        <v>25304.698263188246</v>
      </c>
      <c r="Q47" s="1">
        <f t="shared" si="13"/>
        <v>26367.495590242153</v>
      </c>
      <c r="R47" s="1">
        <f t="shared" si="13"/>
        <v>27474.930405032326</v>
      </c>
      <c r="S47" s="1">
        <f t="shared" si="13"/>
        <v>28628.877482043685</v>
      </c>
      <c r="T47" s="1">
        <f t="shared" si="13"/>
        <v>29831.290336289519</v>
      </c>
      <c r="U47" s="1">
        <f t="shared" si="13"/>
        <v>31084.204530413681</v>
      </c>
      <c r="V47" s="1">
        <f t="shared" si="13"/>
        <v>32389.741120691058</v>
      </c>
      <c r="W47" s="1">
        <f t="shared" si="13"/>
        <v>33750.110247760087</v>
      </c>
      <c r="X47" s="1">
        <f t="shared" si="13"/>
        <v>35167.614878166009</v>
      </c>
      <c r="Y47" s="1">
        <f t="shared" si="13"/>
        <v>36644.654703048982</v>
      </c>
      <c r="Z47" s="1">
        <f t="shared" si="13"/>
        <v>38183.73020057704</v>
      </c>
      <c r="AA47" s="1">
        <f t="shared" si="13"/>
        <v>39787.44686900128</v>
      </c>
      <c r="AB47" s="1">
        <f t="shared" si="13"/>
        <v>41458.519637499332</v>
      </c>
      <c r="AC47" s="1">
        <f t="shared" si="13"/>
        <v>43199.777462274309</v>
      </c>
    </row>
    <row r="48" spans="1:30" s="19" customFormat="1" x14ac:dyDescent="0.25">
      <c r="A48" s="41" t="s">
        <v>269</v>
      </c>
      <c r="B48" s="42">
        <v>108047</v>
      </c>
      <c r="C48" s="42">
        <v>112436</v>
      </c>
      <c r="D48" s="42">
        <f>C48*0.99</f>
        <v>111311.64</v>
      </c>
      <c r="E48" s="42">
        <f>D48</f>
        <v>111311.64</v>
      </c>
      <c r="F48" s="42">
        <f t="shared" ref="F48:AC48" si="14">E48</f>
        <v>111311.64</v>
      </c>
      <c r="G48" s="42">
        <f t="shared" si="14"/>
        <v>111311.64</v>
      </c>
      <c r="H48" s="42">
        <f t="shared" si="14"/>
        <v>111311.64</v>
      </c>
      <c r="I48" s="42">
        <f t="shared" si="14"/>
        <v>111311.64</v>
      </c>
      <c r="J48" s="42">
        <f t="shared" si="14"/>
        <v>111311.64</v>
      </c>
      <c r="K48" s="42">
        <f t="shared" si="14"/>
        <v>111311.64</v>
      </c>
      <c r="L48" s="42">
        <f t="shared" si="14"/>
        <v>111311.64</v>
      </c>
      <c r="M48" s="42">
        <f t="shared" si="14"/>
        <v>111311.64</v>
      </c>
      <c r="N48" s="42">
        <f t="shared" si="14"/>
        <v>111311.64</v>
      </c>
      <c r="O48" s="42">
        <f t="shared" si="14"/>
        <v>111311.64</v>
      </c>
      <c r="P48" s="42">
        <f t="shared" si="14"/>
        <v>111311.64</v>
      </c>
      <c r="Q48" s="42">
        <f t="shared" si="14"/>
        <v>111311.64</v>
      </c>
      <c r="R48" s="42">
        <f t="shared" si="14"/>
        <v>111311.64</v>
      </c>
      <c r="S48" s="42">
        <f t="shared" si="14"/>
        <v>111311.64</v>
      </c>
      <c r="T48" s="42">
        <f t="shared" si="14"/>
        <v>111311.64</v>
      </c>
      <c r="U48" s="42">
        <f t="shared" si="14"/>
        <v>111311.64</v>
      </c>
      <c r="V48" s="42">
        <f t="shared" si="14"/>
        <v>111311.64</v>
      </c>
      <c r="W48" s="42">
        <f t="shared" si="14"/>
        <v>111311.64</v>
      </c>
      <c r="X48" s="42">
        <f t="shared" si="14"/>
        <v>111311.64</v>
      </c>
      <c r="Y48" s="42">
        <f t="shared" si="14"/>
        <v>111311.64</v>
      </c>
      <c r="Z48" s="42">
        <f t="shared" si="14"/>
        <v>111311.64</v>
      </c>
      <c r="AA48" s="42">
        <f t="shared" si="14"/>
        <v>111311.64</v>
      </c>
      <c r="AB48" s="42">
        <f t="shared" si="14"/>
        <v>111311.64</v>
      </c>
      <c r="AC48" s="42">
        <f t="shared" si="14"/>
        <v>111311.64</v>
      </c>
    </row>
    <row r="49" spans="1:29" s="19" customFormat="1" x14ac:dyDescent="0.25">
      <c r="A49" s="14" t="s">
        <v>181</v>
      </c>
      <c r="B49" s="158">
        <f>B48/B41</f>
        <v>1.6900829031753479</v>
      </c>
      <c r="C49" s="158">
        <f t="shared" ref="C49:E49" si="15">C48/C41</f>
        <v>1.6961742698527638</v>
      </c>
      <c r="D49" s="159">
        <f t="shared" si="15"/>
        <v>10.11924</v>
      </c>
      <c r="E49" s="159">
        <f t="shared" si="15"/>
        <v>9.786499032882011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14" t="s">
        <v>12</v>
      </c>
      <c r="B50" s="88">
        <f>OP!F34</f>
        <v>0</v>
      </c>
      <c r="C50" s="88">
        <f>OP!F35</f>
        <v>0</v>
      </c>
      <c r="D50" s="1">
        <f t="shared" ref="D50:AC50" si="16">D41-D42-D43-D45-D47+D48-C48</f>
        <v>-3018.9910999999993</v>
      </c>
      <c r="E50" s="1">
        <f t="shared" si="16"/>
        <v>-2001.8224274999957</v>
      </c>
      <c r="F50" s="1">
        <f t="shared" si="16"/>
        <v>-2290.5456857162499</v>
      </c>
      <c r="G50" s="1">
        <f t="shared" si="16"/>
        <v>-2535.9539526168228</v>
      </c>
      <c r="H50" s="1">
        <f t="shared" si="16"/>
        <v>-2908.2657995431073</v>
      </c>
      <c r="I50" s="1">
        <f t="shared" si="16"/>
        <v>-3334.6406581998453</v>
      </c>
      <c r="J50" s="1">
        <f t="shared" si="16"/>
        <v>-3822.9628995215025</v>
      </c>
      <c r="K50" s="1">
        <f t="shared" si="16"/>
        <v>-4293.9066044660285</v>
      </c>
      <c r="L50" s="1">
        <f t="shared" si="16"/>
        <v>-4690.2666488904069</v>
      </c>
      <c r="M50" s="1">
        <f t="shared" si="16"/>
        <v>-5050.7868252947228</v>
      </c>
      <c r="N50" s="1">
        <f t="shared" si="16"/>
        <v>-5361.1611173053534</v>
      </c>
      <c r="O50" s="1">
        <f t="shared" si="16"/>
        <v>-5649.2564881101571</v>
      </c>
      <c r="P50" s="1">
        <f t="shared" si="16"/>
        <v>-5952.665141612888</v>
      </c>
      <c r="Q50" s="1">
        <f t="shared" si="16"/>
        <v>-6272.1824390789698</v>
      </c>
      <c r="R50" s="1">
        <f t="shared" si="16"/>
        <v>-6608.6431694927742</v>
      </c>
      <c r="S50" s="1">
        <f t="shared" si="16"/>
        <v>-6962.9234284809354</v>
      </c>
      <c r="T50" s="1">
        <f t="shared" si="16"/>
        <v>-7335.9425841669872</v>
      </c>
      <c r="U50" s="1">
        <f t="shared" si="16"/>
        <v>-7728.6653338926117</v>
      </c>
      <c r="V50" s="1">
        <f t="shared" si="16"/>
        <v>-8142.1038559165754</v>
      </c>
      <c r="W50" s="1">
        <f t="shared" si="16"/>
        <v>-8577.3200603845908</v>
      </c>
      <c r="X50" s="1">
        <f t="shared" si="16"/>
        <v>-9035.4279440554819</v>
      </c>
      <c r="Y50" s="1">
        <f t="shared" si="16"/>
        <v>-9517.5960534674377</v>
      </c>
      <c r="Z50" s="1">
        <f t="shared" si="16"/>
        <v>-10025.050061437258</v>
      </c>
      <c r="AA50" s="1">
        <f t="shared" si="16"/>
        <v>-10559.075462002176</v>
      </c>
      <c r="AB50" s="1">
        <f t="shared" si="16"/>
        <v>-11121.020389141355</v>
      </c>
      <c r="AC50" s="1">
        <f t="shared" si="16"/>
        <v>-11712.298564850746</v>
      </c>
    </row>
    <row r="51" spans="1:29" x14ac:dyDescent="0.25">
      <c r="A51" s="14" t="s">
        <v>13</v>
      </c>
      <c r="B51" s="88">
        <v>0</v>
      </c>
      <c r="C51" s="88">
        <v>0</v>
      </c>
      <c r="D51" s="1">
        <f t="shared" ref="D51:AC51" si="17">C51*(1+$B$59)+D50</f>
        <v>-3018.9910999999993</v>
      </c>
      <c r="E51" s="1">
        <f t="shared" si="17"/>
        <v>-5271.3897887999947</v>
      </c>
      <c r="F51" s="1">
        <f t="shared" si="17"/>
        <v>-7999.460826986644</v>
      </c>
      <c r="G51" s="1">
        <f t="shared" si="17"/>
        <v>-11199.370028243358</v>
      </c>
      <c r="H51" s="1">
        <f t="shared" si="17"/>
        <v>-15037.183540130663</v>
      </c>
      <c r="I51" s="1">
        <f t="shared" si="17"/>
        <v>-19619.910432161356</v>
      </c>
      <c r="J51" s="1">
        <f t="shared" si="17"/>
        <v>-25071.325897552251</v>
      </c>
      <c r="K51" s="1">
        <f t="shared" si="17"/>
        <v>-31446.152551515115</v>
      </c>
      <c r="L51" s="1">
        <f t="shared" si="17"/>
        <v>-38746.449862181275</v>
      </c>
      <c r="M51" s="1">
        <f t="shared" si="17"/>
        <v>-47013.192026037039</v>
      </c>
      <c r="N51" s="1">
        <f t="shared" si="17"/>
        <v>-56276.448081503462</v>
      </c>
      <c r="O51" s="1">
        <f t="shared" si="17"/>
        <v>-66596.649760378408</v>
      </c>
      <c r="P51" s="1">
        <f t="shared" si="17"/>
        <v>-78076.836832102708</v>
      </c>
      <c r="Q51" s="1">
        <f t="shared" si="17"/>
        <v>-90829.396728246196</v>
      </c>
      <c r="R51" s="1">
        <f t="shared" si="17"/>
        <v>-104976.8798261834</v>
      </c>
      <c r="S51" s="1">
        <f t="shared" si="17"/>
        <v>-120652.88428023756</v>
      </c>
      <c r="T51" s="1">
        <f t="shared" si="17"/>
        <v>-138003.01625966426</v>
      </c>
      <c r="U51" s="1">
        <f t="shared" si="17"/>
        <v>-157185.93194310903</v>
      </c>
      <c r="V51" s="1">
        <f t="shared" si="17"/>
        <v>-178374.46815030364</v>
      </c>
      <c r="W51" s="1">
        <f t="shared" si="17"/>
        <v>-201756.86906716344</v>
      </c>
      <c r="X51" s="1">
        <f t="shared" si="17"/>
        <v>-227538.1171437935</v>
      </c>
      <c r="Y51" s="1">
        <f t="shared" si="17"/>
        <v>-255941.37692019576</v>
      </c>
      <c r="Z51" s="1">
        <f t="shared" si="17"/>
        <v>-287209.56126600923</v>
      </c>
      <c r="AA51" s="1">
        <f t="shared" si="17"/>
        <v>-321607.03031309019</v>
      </c>
      <c r="AB51" s="1">
        <f t="shared" si="17"/>
        <v>-359421.43421821803</v>
      </c>
      <c r="AC51" s="1">
        <f t="shared" si="17"/>
        <v>-400965.71182318084</v>
      </c>
    </row>
    <row r="52" spans="1:29" x14ac:dyDescent="0.25">
      <c r="A52" s="14"/>
      <c r="B52" s="71"/>
      <c r="C52" s="7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>
        <f>AB51-AB48</f>
        <v>-470733.07421821804</v>
      </c>
      <c r="AC52" s="1">
        <f>AC50/(B59-AC36)</f>
        <v>-244006.2201010572</v>
      </c>
    </row>
    <row r="53" spans="1:29" x14ac:dyDescent="0.25">
      <c r="A53" s="89" t="s">
        <v>135</v>
      </c>
      <c r="B53" s="90"/>
      <c r="C53" s="97" t="e">
        <f>1000000*C46/OP!$C$8</f>
        <v>#DIV/0!</v>
      </c>
      <c r="D53" s="97" t="e">
        <f>1000000*D46/OP!$C$8</f>
        <v>#DIV/0!</v>
      </c>
      <c r="E53" s="97" t="e">
        <f>1000000*E46/OP!$C$8</f>
        <v>#DIV/0!</v>
      </c>
      <c r="F53" s="97" t="e">
        <f>1000000*F46/OP!$C$8</f>
        <v>#DIV/0!</v>
      </c>
      <c r="G53" s="1"/>
      <c r="H53"/>
      <c r="I53"/>
      <c r="J5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4" t="s">
        <v>154</v>
      </c>
      <c r="B54" s="1"/>
      <c r="C54" s="106">
        <v>3.3</v>
      </c>
      <c r="D54" s="106">
        <v>5.6</v>
      </c>
      <c r="E54" s="106">
        <v>5.6</v>
      </c>
      <c r="F54" s="92"/>
      <c r="G54" s="1"/>
      <c r="H54"/>
      <c r="I54"/>
      <c r="J5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91" t="s">
        <v>136</v>
      </c>
      <c r="B55" s="21"/>
      <c r="C55" s="21"/>
      <c r="D55" s="72">
        <f>$B$61/D46</f>
        <v>33.638995557868213</v>
      </c>
      <c r="E55" s="72">
        <f>$B$61/E46</f>
        <v>32.809403221806193</v>
      </c>
      <c r="F55" s="92">
        <f>$B$61/F46</f>
        <v>30.906368646355578</v>
      </c>
      <c r="G55" s="1"/>
      <c r="H55"/>
      <c r="I55"/>
      <c r="J5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93" t="s">
        <v>137</v>
      </c>
      <c r="B56" s="94"/>
      <c r="C56" s="94"/>
      <c r="D56" s="95">
        <f>($B$61+D48-D51)/D41</f>
        <v>1.5416498532211647</v>
      </c>
      <c r="E56" s="95">
        <f>($B$61+E48-E51)/E41</f>
        <v>1.6889877856719542</v>
      </c>
      <c r="F56" s="96">
        <f>($B$61+F48-F51)/F41</f>
        <v>1.7614970707380735</v>
      </c>
      <c r="G56" s="1"/>
      <c r="H56"/>
      <c r="I56"/>
      <c r="J56"/>
      <c r="K56" s="1"/>
      <c r="L56" s="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/>
      <c r="AC56"/>
    </row>
    <row r="57" spans="1:29" x14ac:dyDescent="0.25">
      <c r="A57" s="14"/>
      <c r="B57" s="1"/>
      <c r="C57" s="1"/>
      <c r="D57" s="72"/>
      <c r="E57" s="72"/>
      <c r="F57" s="7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/>
      <c r="AC57"/>
    </row>
    <row r="58" spans="1:29" ht="13" x14ac:dyDescent="0.3">
      <c r="A58" s="7"/>
      <c r="B58" s="21"/>
      <c r="C58" s="45" t="s">
        <v>54</v>
      </c>
      <c r="D58" s="45" t="s">
        <v>153</v>
      </c>
      <c r="E58" s="45" t="s">
        <v>113</v>
      </c>
      <c r="F58"/>
      <c r="G58"/>
      <c r="H58" s="45" t="s">
        <v>145</v>
      </c>
      <c r="I58" s="45" t="s">
        <v>146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" x14ac:dyDescent="0.3">
      <c r="A59" s="47" t="s">
        <v>107</v>
      </c>
      <c r="B59" s="43">
        <f>SUM(C59:E59)</f>
        <v>8.3000000000000004E-2</v>
      </c>
      <c r="C59" s="44">
        <v>3.0700000000000002E-2</v>
      </c>
      <c r="D59" s="44">
        <v>5.2299999999999999E-2</v>
      </c>
      <c r="E59" s="43">
        <v>0</v>
      </c>
      <c r="F59"/>
      <c r="G59" s="11" t="s">
        <v>144</v>
      </c>
      <c r="H59" s="5">
        <v>1</v>
      </c>
      <c r="I59" s="5">
        <v>1</v>
      </c>
      <c r="J59" s="1"/>
    </row>
    <row r="60" spans="1:29" ht="13" x14ac:dyDescent="0.3">
      <c r="A60" s="47"/>
      <c r="C60" s="44"/>
      <c r="D60" s="44"/>
      <c r="E60" s="127"/>
      <c r="F60"/>
      <c r="G60" t="s">
        <v>165</v>
      </c>
      <c r="H60" s="626">
        <v>-0.01</v>
      </c>
      <c r="I60" s="626"/>
    </row>
    <row r="61" spans="1:29" x14ac:dyDescent="0.25">
      <c r="A61" s="46" t="s">
        <v>15</v>
      </c>
      <c r="B61" s="4">
        <f>C62+C63</f>
        <v>-97372.482714567188</v>
      </c>
      <c r="C61" s="317" t="s">
        <v>271</v>
      </c>
      <c r="D61" s="310">
        <f>D31</f>
        <v>1E-3</v>
      </c>
      <c r="E61" s="311">
        <f>D32</f>
        <v>5.0000000000000001E-3</v>
      </c>
      <c r="F61"/>
      <c r="G61" t="s">
        <v>166</v>
      </c>
      <c r="H61" s="3">
        <v>0.21</v>
      </c>
      <c r="I61" s="3">
        <v>0.23</v>
      </c>
      <c r="AA61" s="3"/>
      <c r="AB61" s="3"/>
      <c r="AC61" s="3"/>
    </row>
    <row r="62" spans="1:29" x14ac:dyDescent="0.25">
      <c r="A62" s="46" t="s">
        <v>69</v>
      </c>
      <c r="B62" s="3">
        <f>C62/B61</f>
        <v>0.65860807984056469</v>
      </c>
      <c r="C62" s="308">
        <f>AB52/(1+B59)^25</f>
        <v>-64130.303869949668</v>
      </c>
      <c r="D62" s="312">
        <f>SUMPRODUCT(E50:AB50,E31:AB31)</f>
        <v>-49460.323454607067</v>
      </c>
      <c r="E62" s="313">
        <f>SUMPRODUCT(E50:AB50,E32:AB32)</f>
        <v>-47340.268097121196</v>
      </c>
      <c r="F62"/>
      <c r="G62" s="108" t="s">
        <v>167</v>
      </c>
      <c r="H62" s="627">
        <v>1.2</v>
      </c>
      <c r="I62" s="627"/>
    </row>
    <row r="63" spans="1:29" x14ac:dyDescent="0.25">
      <c r="A63" s="46" t="s">
        <v>53</v>
      </c>
      <c r="B63" s="3">
        <f>1-B62</f>
        <v>0.34139192015943531</v>
      </c>
      <c r="C63" s="308">
        <f>AC52/(1+B59)^25</f>
        <v>-33242.178844617527</v>
      </c>
      <c r="D63" s="314">
        <f>(AC50/($B$59+D31-$AC$36))*AC31</f>
        <v>-31821.012898810168</v>
      </c>
      <c r="E63" s="315">
        <f>(AC50/($B$59+D32-$AC$36))*AC32</f>
        <v>-26831.433813661675</v>
      </c>
      <c r="F63"/>
      <c r="G63" t="s">
        <v>168</v>
      </c>
      <c r="H63" s="624">
        <f>SUM(40:40)</f>
        <v>628429.57179785392</v>
      </c>
      <c r="I63" s="624"/>
    </row>
    <row r="64" spans="1:29" ht="13" x14ac:dyDescent="0.3">
      <c r="A64" s="47" t="s">
        <v>14</v>
      </c>
      <c r="B64" s="48" t="e">
        <f>1000000*B61/OP!C8</f>
        <v>#DIV/0!</v>
      </c>
      <c r="C64" s="4"/>
      <c r="D64" s="48" t="e">
        <f>1000000*SUM(D62:D63)/OP!C8</f>
        <v>#DIV/0!</v>
      </c>
      <c r="E64" s="316" t="e">
        <f>1000000*SUM(E62:E63)/OP!C8</f>
        <v>#DIV/0!</v>
      </c>
      <c r="F64"/>
      <c r="G64" t="s">
        <v>169</v>
      </c>
      <c r="H64" s="624">
        <f>SUM(47:47)</f>
        <v>672845.39331143443</v>
      </c>
      <c r="I64" s="624"/>
    </row>
    <row r="65" spans="1:29" ht="13" x14ac:dyDescent="0.3">
      <c r="B65" s="49" t="e">
        <f>B64/OP!C7-1</f>
        <v>#DIV/0!</v>
      </c>
      <c r="C65" s="2"/>
      <c r="D65" s="10" t="e">
        <f>D64/B64-1</f>
        <v>#DIV/0!</v>
      </c>
      <c r="E65" s="126" t="e">
        <f>E64/B64-1</f>
        <v>#DIV/0!</v>
      </c>
      <c r="F65"/>
      <c r="G65" s="114" t="s">
        <v>170</v>
      </c>
      <c r="H65" s="624">
        <f>SUM(47:47)+(OP!E12*OP!E7)</f>
        <v>672845.39331143443</v>
      </c>
      <c r="I65" s="624"/>
    </row>
    <row r="66" spans="1:29" x14ac:dyDescent="0.25">
      <c r="B66" s="4"/>
      <c r="C66" s="4"/>
      <c r="G66" s="2"/>
      <c r="I66" s="6"/>
    </row>
    <row r="67" spans="1:29" x14ac:dyDescent="0.25">
      <c r="A67" t="s">
        <v>272</v>
      </c>
      <c r="B67" s="318">
        <f>B62*D68+B63*D69</f>
        <v>20.902876924872448</v>
      </c>
      <c r="C67" s="114"/>
      <c r="E67" s="319">
        <v>1</v>
      </c>
      <c r="F67" s="319">
        <v>2</v>
      </c>
      <c r="G67" s="319">
        <v>3</v>
      </c>
      <c r="H67" s="4">
        <v>4</v>
      </c>
      <c r="I67" s="319">
        <v>5</v>
      </c>
      <c r="J67" s="319">
        <v>6</v>
      </c>
      <c r="K67" s="319">
        <v>7</v>
      </c>
      <c r="L67" s="4">
        <v>8</v>
      </c>
      <c r="M67" s="319">
        <v>9</v>
      </c>
      <c r="N67" s="319">
        <v>10</v>
      </c>
      <c r="O67" s="319">
        <v>11</v>
      </c>
      <c r="P67" s="4">
        <v>12</v>
      </c>
      <c r="Q67" s="319">
        <v>13</v>
      </c>
      <c r="R67" s="319">
        <v>14</v>
      </c>
      <c r="S67" s="319">
        <v>15</v>
      </c>
      <c r="T67" s="4">
        <v>16</v>
      </c>
      <c r="U67" s="319">
        <v>17</v>
      </c>
      <c r="V67" s="319">
        <v>18</v>
      </c>
      <c r="W67" s="319">
        <v>19</v>
      </c>
      <c r="X67" s="4">
        <v>20</v>
      </c>
      <c r="Y67" s="319">
        <v>21</v>
      </c>
      <c r="Z67" s="319">
        <v>22</v>
      </c>
      <c r="AA67" s="319">
        <v>23</v>
      </c>
      <c r="AB67" s="4">
        <v>24</v>
      </c>
      <c r="AC67" s="319">
        <v>25</v>
      </c>
    </row>
    <row r="68" spans="1:29" x14ac:dyDescent="0.25">
      <c r="A68" s="307">
        <v>1E-3</v>
      </c>
      <c r="B68" s="320">
        <f>-$B$67*A68</f>
        <v>-2.0902876924872447E-2</v>
      </c>
      <c r="C68" s="114"/>
      <c r="D68" s="308">
        <f>SUM(E68:AB68)/SUMPRODUCT(E50:AB50,E33:AB33)</f>
        <v>12.015539405576867</v>
      </c>
      <c r="E68" s="321">
        <f>E67*E50*E33</f>
        <v>-1848.4048268698023</v>
      </c>
      <c r="F68" s="321">
        <f t="shared" ref="F68:AC68" si="18">F67*F50*F33</f>
        <v>-3905.81834379255</v>
      </c>
      <c r="G68" s="321">
        <f t="shared" si="18"/>
        <v>-5989.3162889620298</v>
      </c>
      <c r="H68" s="321">
        <f t="shared" si="18"/>
        <v>-8456.2976466280998</v>
      </c>
      <c r="I68" s="321">
        <f t="shared" si="18"/>
        <v>-11191.202708900995</v>
      </c>
      <c r="J68" s="321">
        <f t="shared" si="18"/>
        <v>-14216.104066959781</v>
      </c>
      <c r="K68" s="321">
        <f t="shared" si="18"/>
        <v>-17200.910559132219</v>
      </c>
      <c r="L68" s="321">
        <f t="shared" si="18"/>
        <v>-19827.130620481683</v>
      </c>
      <c r="M68" s="321">
        <f t="shared" si="18"/>
        <v>-22179.177611543528</v>
      </c>
      <c r="N68" s="321">
        <f t="shared" si="18"/>
        <v>-24153.178607388068</v>
      </c>
      <c r="O68" s="321">
        <f t="shared" si="18"/>
        <v>-25850.619505536313</v>
      </c>
      <c r="P68" s="321">
        <f t="shared" si="18"/>
        <v>-27437.922127991525</v>
      </c>
      <c r="Q68" s="321">
        <f t="shared" si="18"/>
        <v>-28919.587789239202</v>
      </c>
      <c r="R68" s="321">
        <f t="shared" si="18"/>
        <v>-30299.952376413868</v>
      </c>
      <c r="S68" s="321">
        <f t="shared" si="18"/>
        <v>-31583.192614418967</v>
      </c>
      <c r="T68" s="321">
        <f t="shared" si="18"/>
        <v>-32773.332208757318</v>
      </c>
      <c r="U68" s="321">
        <f t="shared" si="18"/>
        <v>-33874.247836685208</v>
      </c>
      <c r="V68" s="321">
        <f t="shared" si="18"/>
        <v>-34889.674964027654</v>
      </c>
      <c r="W68" s="321">
        <f t="shared" si="18"/>
        <v>-35823.213470740047</v>
      </c>
      <c r="X68" s="321">
        <f t="shared" si="18"/>
        <v>-36678.333073201633</v>
      </c>
      <c r="Y68" s="321">
        <f t="shared" si="18"/>
        <v>-37458.378535366894</v>
      </c>
      <c r="Z68" s="321">
        <f t="shared" si="18"/>
        <v>-38166.574664390035</v>
      </c>
      <c r="AA68" s="321">
        <f t="shared" si="18"/>
        <v>-38806.031089244636</v>
      </c>
      <c r="AB68" s="321">
        <f t="shared" si="18"/>
        <v>-39379.746823269743</v>
      </c>
      <c r="AC68" s="321">
        <f t="shared" si="18"/>
        <v>-39890.614613541031</v>
      </c>
    </row>
    <row r="69" spans="1:29" ht="14.5" x14ac:dyDescent="0.35">
      <c r="A69" s="307">
        <v>5.0000000000000001E-3</v>
      </c>
      <c r="B69" s="320">
        <f>-$B$67*A69</f>
        <v>-0.10451438462436224</v>
      </c>
      <c r="C69" s="114"/>
      <c r="D69" s="322">
        <f>(1+B59)/B59+AC67</f>
        <v>38.048192771084338</v>
      </c>
      <c r="E69" s="3"/>
      <c r="F69" s="49"/>
      <c r="H69" s="6"/>
    </row>
    <row r="70" spans="1:29" x14ac:dyDescent="0.25">
      <c r="D70" s="142"/>
      <c r="E70" s="10"/>
      <c r="F70" s="9"/>
      <c r="H70" s="6"/>
    </row>
    <row r="71" spans="1:29" x14ac:dyDescent="0.25">
      <c r="C71" s="114"/>
      <c r="D71" s="143"/>
      <c r="E71" s="143"/>
      <c r="F71" s="143"/>
    </row>
    <row r="72" spans="1:29" ht="13" x14ac:dyDescent="0.3">
      <c r="C72" s="114"/>
      <c r="D72" s="49"/>
      <c r="E72" s="3"/>
      <c r="F72" s="3"/>
    </row>
    <row r="73" spans="1:29" ht="13" x14ac:dyDescent="0.3">
      <c r="C73" s="114"/>
      <c r="D73" s="3"/>
      <c r="E73" s="49"/>
      <c r="F73" s="3"/>
    </row>
    <row r="74" spans="1:29" x14ac:dyDescent="0.25">
      <c r="C74" s="114"/>
      <c r="D74" s="3"/>
      <c r="E74" s="3"/>
      <c r="F74" s="3"/>
      <c r="J74" s="9"/>
    </row>
    <row r="75" spans="1:29" x14ac:dyDescent="0.25">
      <c r="C75" s="114"/>
      <c r="D75" s="3"/>
      <c r="E75" s="3"/>
      <c r="F75" s="3"/>
    </row>
    <row r="76" spans="1:29" x14ac:dyDescent="0.25">
      <c r="C76" s="114"/>
      <c r="D76" s="3"/>
      <c r="E76" s="3"/>
      <c r="F76" s="3"/>
    </row>
    <row r="77" spans="1:29" x14ac:dyDescent="0.25">
      <c r="C77" s="114"/>
      <c r="D77" s="3"/>
      <c r="E77" s="3"/>
      <c r="F77" s="3"/>
    </row>
    <row r="78" spans="1:29" ht="13" x14ac:dyDescent="0.3">
      <c r="C78" s="114"/>
      <c r="D78" s="3"/>
      <c r="E78" s="3"/>
      <c r="F78" s="49"/>
    </row>
    <row r="79" spans="1:29" x14ac:dyDescent="0.25">
      <c r="F79" s="8"/>
    </row>
    <row r="81" spans="4:9" x14ac:dyDescent="0.25">
      <c r="G81" s="10"/>
    </row>
    <row r="82" spans="4:9" x14ac:dyDescent="0.25">
      <c r="D82" s="3"/>
      <c r="E82" s="3"/>
      <c r="F82" s="3"/>
      <c r="G82" s="9"/>
    </row>
    <row r="83" spans="4:9" x14ac:dyDescent="0.25">
      <c r="D83" s="3"/>
      <c r="E83" s="3"/>
      <c r="F83" s="3"/>
      <c r="G83" s="9"/>
    </row>
    <row r="84" spans="4:9" x14ac:dyDescent="0.25">
      <c r="D84" s="3"/>
      <c r="E84" s="3"/>
      <c r="F84" s="3"/>
      <c r="H84" s="9"/>
    </row>
    <row r="85" spans="4:9" x14ac:dyDescent="0.25">
      <c r="I85" s="10"/>
    </row>
    <row r="86" spans="4:9" x14ac:dyDescent="0.25">
      <c r="D86" s="3"/>
      <c r="E86" s="3"/>
      <c r="F86" s="3"/>
    </row>
    <row r="87" spans="4:9" x14ac:dyDescent="0.25">
      <c r="D87" s="3"/>
      <c r="E87" s="3"/>
      <c r="F87" s="3"/>
    </row>
    <row r="88" spans="4:9" x14ac:dyDescent="0.25">
      <c r="D88" s="3"/>
      <c r="E88" s="3"/>
      <c r="F88" s="3"/>
    </row>
  </sheetData>
  <mergeCells count="6">
    <mergeCell ref="H65:I65"/>
    <mergeCell ref="H64:I64"/>
    <mergeCell ref="A1:L1"/>
    <mergeCell ref="H60:I60"/>
    <mergeCell ref="H62:I62"/>
    <mergeCell ref="H63:I63"/>
  </mergeCells>
  <phoneticPr fontId="0" type="noConversion"/>
  <hyperlinks>
    <hyperlink ref="A61" r:id="rId1" xr:uid="{00000000-0004-0000-0600-000000000000}"/>
  </hyperlinks>
  <pageMargins left="0.75" right="0.75" top="1" bottom="1" header="0" footer="0"/>
  <pageSetup orientation="portrait" r:id="rId2"/>
  <headerFooter alignWithMargins="0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AG75"/>
  <sheetViews>
    <sheetView topLeftCell="C1" zoomScaleNormal="100" workbookViewId="0">
      <pane ySplit="4460" topLeftCell="A3" activePane="bottomLeft"/>
      <selection activeCell="D6" sqref="D6"/>
      <selection pane="bottomLeft" activeCell="J43" sqref="J43"/>
    </sheetView>
  </sheetViews>
  <sheetFormatPr defaultColWidth="11.453125" defaultRowHeight="14.5" x14ac:dyDescent="0.35"/>
  <cols>
    <col min="1" max="1" width="14.453125" style="346" customWidth="1"/>
    <col min="2" max="2" width="6.7265625" style="346" customWidth="1"/>
    <col min="3" max="3" width="35.453125" style="346" customWidth="1"/>
    <col min="4" max="5" width="12.453125" style="346" customWidth="1"/>
    <col min="6" max="6" width="22" style="347" customWidth="1"/>
    <col min="7" max="7" width="14" style="347" customWidth="1"/>
    <col min="8" max="8" width="9.26953125" style="347" customWidth="1"/>
    <col min="9" max="9" width="11.1796875" style="347" customWidth="1"/>
    <col min="10" max="11" width="9.26953125" style="347" customWidth="1"/>
    <col min="12" max="12" width="9.453125" style="347" bestFit="1" customWidth="1"/>
    <col min="13" max="13" width="9.1796875" style="347" bestFit="1" customWidth="1"/>
    <col min="14" max="20" width="10.7265625" style="347" customWidth="1"/>
    <col min="21" max="21" width="10" style="347" bestFit="1" customWidth="1"/>
    <col min="22" max="22" width="9.81640625" style="347" bestFit="1" customWidth="1"/>
    <col min="23" max="23" width="10" style="347" bestFit="1" customWidth="1"/>
    <col min="24" max="25" width="9.81640625" style="347" bestFit="1" customWidth="1"/>
    <col min="26" max="26" width="12.7265625" style="347" customWidth="1"/>
    <col min="27" max="28" width="10" style="347" bestFit="1" customWidth="1"/>
    <col min="29" max="29" width="10.453125" style="347" bestFit="1" customWidth="1"/>
    <col min="30" max="30" width="11.453125" style="346"/>
    <col min="31" max="31" width="12.453125" style="346" bestFit="1" customWidth="1"/>
    <col min="32" max="32" width="11.453125" style="346"/>
    <col min="33" max="33" width="143.1796875" style="346" customWidth="1"/>
    <col min="34" max="16384" width="11.453125" style="346"/>
  </cols>
  <sheetData>
    <row r="1" spans="1:33" ht="20" x14ac:dyDescent="0.4">
      <c r="C1" s="634" t="s">
        <v>278</v>
      </c>
      <c r="D1" s="634"/>
      <c r="E1" s="634"/>
      <c r="F1" s="634"/>
      <c r="G1" s="634"/>
      <c r="H1" s="634"/>
      <c r="I1" s="634"/>
      <c r="J1" s="634"/>
      <c r="K1" s="634"/>
      <c r="L1" s="634"/>
    </row>
    <row r="2" spans="1:33" x14ac:dyDescent="0.35">
      <c r="C2" s="348" t="s">
        <v>422</v>
      </c>
      <c r="D2" s="348"/>
      <c r="E2" s="348"/>
      <c r="F2" s="348"/>
      <c r="G2" s="348"/>
      <c r="H2" s="348" t="s">
        <v>270</v>
      </c>
      <c r="I2" s="348"/>
      <c r="J2" s="348"/>
      <c r="K2" s="348"/>
      <c r="L2" s="348"/>
    </row>
    <row r="3" spans="1:33" x14ac:dyDescent="0.35">
      <c r="D3" s="441" t="e">
        <f>D19/D6</f>
        <v>#DIV/0!</v>
      </c>
      <c r="E3" s="441" t="e">
        <f>E19/E6</f>
        <v>#DIV/0!</v>
      </c>
      <c r="F3" s="441" t="e">
        <f>F19/F6</f>
        <v>#DIV/0!</v>
      </c>
      <c r="G3" s="347">
        <v>0</v>
      </c>
      <c r="H3" s="347">
        <v>0.25</v>
      </c>
      <c r="I3" s="347">
        <f>H3+1</f>
        <v>1.25</v>
      </c>
      <c r="J3" s="347">
        <f t="shared" ref="J3:AF3" si="0">I3+1</f>
        <v>2.25</v>
      </c>
      <c r="K3" s="347">
        <f t="shared" si="0"/>
        <v>3.25</v>
      </c>
      <c r="L3" s="347">
        <f t="shared" si="0"/>
        <v>4.25</v>
      </c>
      <c r="M3" s="347">
        <f t="shared" si="0"/>
        <v>5.25</v>
      </c>
      <c r="N3" s="347">
        <f t="shared" si="0"/>
        <v>6.25</v>
      </c>
      <c r="O3" s="347">
        <f t="shared" si="0"/>
        <v>7.25</v>
      </c>
      <c r="P3" s="347">
        <f t="shared" si="0"/>
        <v>8.25</v>
      </c>
      <c r="Q3" s="347">
        <f t="shared" si="0"/>
        <v>9.25</v>
      </c>
      <c r="R3" s="347">
        <f t="shared" si="0"/>
        <v>10.25</v>
      </c>
      <c r="S3" s="347">
        <f t="shared" si="0"/>
        <v>11.25</v>
      </c>
      <c r="T3" s="347">
        <f t="shared" si="0"/>
        <v>12.25</v>
      </c>
      <c r="U3" s="347">
        <f t="shared" si="0"/>
        <v>13.25</v>
      </c>
      <c r="V3" s="347">
        <f t="shared" si="0"/>
        <v>14.25</v>
      </c>
      <c r="W3" s="347">
        <f t="shared" si="0"/>
        <v>15.25</v>
      </c>
      <c r="X3" s="347">
        <f t="shared" si="0"/>
        <v>16.25</v>
      </c>
      <c r="Y3" s="347">
        <f t="shared" si="0"/>
        <v>17.25</v>
      </c>
      <c r="Z3" s="347">
        <f t="shared" si="0"/>
        <v>18.25</v>
      </c>
      <c r="AA3" s="347">
        <f t="shared" si="0"/>
        <v>19.25</v>
      </c>
      <c r="AB3" s="347">
        <f t="shared" si="0"/>
        <v>20.25</v>
      </c>
      <c r="AC3" s="347">
        <f t="shared" si="0"/>
        <v>21.25</v>
      </c>
      <c r="AD3" s="347">
        <f t="shared" si="0"/>
        <v>22.25</v>
      </c>
      <c r="AE3" s="347">
        <f t="shared" si="0"/>
        <v>23.25</v>
      </c>
      <c r="AF3" s="347">
        <f t="shared" si="0"/>
        <v>24.25</v>
      </c>
    </row>
    <row r="4" spans="1:33" x14ac:dyDescent="0.35">
      <c r="A4" s="349" t="s">
        <v>279</v>
      </c>
      <c r="B4" s="349" t="s">
        <v>280</v>
      </c>
      <c r="C4" s="350" t="s">
        <v>281</v>
      </c>
      <c r="D4" s="351" t="s">
        <v>203</v>
      </c>
      <c r="E4" s="351" t="s">
        <v>282</v>
      </c>
      <c r="F4" s="351" t="s">
        <v>370</v>
      </c>
      <c r="G4" s="352" t="s">
        <v>437</v>
      </c>
      <c r="H4" s="352">
        <v>2024</v>
      </c>
      <c r="I4" s="352">
        <f t="shared" ref="I4:AF4" si="1">+H4+1</f>
        <v>2025</v>
      </c>
      <c r="J4" s="352">
        <f t="shared" si="1"/>
        <v>2026</v>
      </c>
      <c r="K4" s="352">
        <f t="shared" si="1"/>
        <v>2027</v>
      </c>
      <c r="L4" s="352">
        <f t="shared" si="1"/>
        <v>2028</v>
      </c>
      <c r="M4" s="352">
        <f t="shared" si="1"/>
        <v>2029</v>
      </c>
      <c r="N4" s="352">
        <f t="shared" si="1"/>
        <v>2030</v>
      </c>
      <c r="O4" s="352">
        <f t="shared" si="1"/>
        <v>2031</v>
      </c>
      <c r="P4" s="352">
        <f t="shared" si="1"/>
        <v>2032</v>
      </c>
      <c r="Q4" s="352">
        <f t="shared" si="1"/>
        <v>2033</v>
      </c>
      <c r="R4" s="352">
        <f t="shared" si="1"/>
        <v>2034</v>
      </c>
      <c r="S4" s="352">
        <f t="shared" si="1"/>
        <v>2035</v>
      </c>
      <c r="T4" s="352">
        <f t="shared" si="1"/>
        <v>2036</v>
      </c>
      <c r="U4" s="352">
        <f t="shared" si="1"/>
        <v>2037</v>
      </c>
      <c r="V4" s="352">
        <f t="shared" si="1"/>
        <v>2038</v>
      </c>
      <c r="W4" s="352">
        <f t="shared" si="1"/>
        <v>2039</v>
      </c>
      <c r="X4" s="352">
        <f t="shared" si="1"/>
        <v>2040</v>
      </c>
      <c r="Y4" s="352">
        <f t="shared" si="1"/>
        <v>2041</v>
      </c>
      <c r="Z4" s="352">
        <f t="shared" si="1"/>
        <v>2042</v>
      </c>
      <c r="AA4" s="352">
        <f t="shared" si="1"/>
        <v>2043</v>
      </c>
      <c r="AB4" s="352">
        <f t="shared" si="1"/>
        <v>2044</v>
      </c>
      <c r="AC4" s="352">
        <f t="shared" si="1"/>
        <v>2045</v>
      </c>
      <c r="AD4" s="352">
        <f t="shared" si="1"/>
        <v>2046</v>
      </c>
      <c r="AE4" s="352">
        <f t="shared" si="1"/>
        <v>2047</v>
      </c>
      <c r="AF4" s="352">
        <f t="shared" si="1"/>
        <v>2048</v>
      </c>
      <c r="AG4" s="346" t="s">
        <v>283</v>
      </c>
    </row>
    <row r="5" spans="1:33" s="358" customFormat="1" ht="13" x14ac:dyDescent="0.3">
      <c r="A5" s="635" t="s">
        <v>284</v>
      </c>
      <c r="B5" s="353">
        <v>1</v>
      </c>
      <c r="C5" s="354" t="s">
        <v>285</v>
      </c>
      <c r="D5" s="355" t="e">
        <f>Cifras_en_Millones!F6</f>
        <v>#DIV/0!</v>
      </c>
      <c r="E5" s="355" t="e">
        <f>Cifras_en_Millones!E6</f>
        <v>#DIV/0!</v>
      </c>
      <c r="F5" s="355" t="e">
        <f>Cifras_en_Millones!D6</f>
        <v>#DIV/0!</v>
      </c>
      <c r="G5" s="355" t="e">
        <f>Cifras_en_Millones!C6</f>
        <v>#DIV/0!</v>
      </c>
      <c r="H5" s="357" t="e">
        <f>H6/G6-1</f>
        <v>#DIV/0!</v>
      </c>
      <c r="I5" s="357" t="e">
        <f>I6/H6-1</f>
        <v>#DIV/0!</v>
      </c>
      <c r="J5" s="357" t="e">
        <f t="shared" ref="J5:AF5" si="2">J6/I6-1</f>
        <v>#DIV/0!</v>
      </c>
      <c r="K5" s="357" t="e">
        <f t="shared" si="2"/>
        <v>#DIV/0!</v>
      </c>
      <c r="L5" s="357" t="e">
        <f t="shared" si="2"/>
        <v>#DIV/0!</v>
      </c>
      <c r="M5" s="357" t="e">
        <f t="shared" si="2"/>
        <v>#DIV/0!</v>
      </c>
      <c r="N5" s="357" t="e">
        <f t="shared" si="2"/>
        <v>#DIV/0!</v>
      </c>
      <c r="O5" s="357" t="e">
        <f t="shared" si="2"/>
        <v>#DIV/0!</v>
      </c>
      <c r="P5" s="357" t="e">
        <f t="shared" si="2"/>
        <v>#DIV/0!</v>
      </c>
      <c r="Q5" s="357" t="e">
        <f t="shared" si="2"/>
        <v>#DIV/0!</v>
      </c>
      <c r="R5" s="357" t="e">
        <f t="shared" si="2"/>
        <v>#DIV/0!</v>
      </c>
      <c r="S5" s="357" t="e">
        <f t="shared" si="2"/>
        <v>#DIV/0!</v>
      </c>
      <c r="T5" s="357" t="e">
        <f t="shared" si="2"/>
        <v>#DIV/0!</v>
      </c>
      <c r="U5" s="357" t="e">
        <f t="shared" si="2"/>
        <v>#DIV/0!</v>
      </c>
      <c r="V5" s="357" t="e">
        <f t="shared" si="2"/>
        <v>#DIV/0!</v>
      </c>
      <c r="W5" s="357" t="e">
        <f t="shared" si="2"/>
        <v>#DIV/0!</v>
      </c>
      <c r="X5" s="357" t="e">
        <f t="shared" si="2"/>
        <v>#DIV/0!</v>
      </c>
      <c r="Y5" s="357" t="e">
        <f t="shared" si="2"/>
        <v>#DIV/0!</v>
      </c>
      <c r="Z5" s="357" t="e">
        <f t="shared" si="2"/>
        <v>#DIV/0!</v>
      </c>
      <c r="AA5" s="357" t="e">
        <f t="shared" si="2"/>
        <v>#DIV/0!</v>
      </c>
      <c r="AB5" s="357" t="e">
        <f t="shared" si="2"/>
        <v>#DIV/0!</v>
      </c>
      <c r="AC5" s="357" t="e">
        <f t="shared" si="2"/>
        <v>#DIV/0!</v>
      </c>
      <c r="AD5" s="357" t="e">
        <f t="shared" si="2"/>
        <v>#DIV/0!</v>
      </c>
      <c r="AE5" s="357" t="e">
        <f t="shared" si="2"/>
        <v>#DIV/0!</v>
      </c>
      <c r="AF5" s="357" t="e">
        <f t="shared" si="2"/>
        <v>#DIV/0!</v>
      </c>
    </row>
    <row r="6" spans="1:33" s="362" customFormat="1" x14ac:dyDescent="0.35">
      <c r="A6" s="635"/>
      <c r="B6" s="353">
        <v>2</v>
      </c>
      <c r="C6" s="359" t="s">
        <v>286</v>
      </c>
      <c r="D6" s="360"/>
      <c r="E6" s="360"/>
      <c r="F6" s="360"/>
      <c r="G6" s="360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  <c r="AA6" s="361"/>
      <c r="AB6" s="361"/>
      <c r="AC6" s="361"/>
      <c r="AD6" s="361"/>
      <c r="AE6" s="361"/>
      <c r="AF6" s="361"/>
    </row>
    <row r="7" spans="1:33" s="358" customFormat="1" ht="13" x14ac:dyDescent="0.3">
      <c r="A7" s="635"/>
      <c r="B7" s="353">
        <v>3</v>
      </c>
      <c r="C7" s="354" t="s">
        <v>287</v>
      </c>
      <c r="D7" s="363"/>
      <c r="E7" s="363"/>
      <c r="F7" s="363"/>
      <c r="G7" s="363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</row>
    <row r="8" spans="1:33" x14ac:dyDescent="0.35">
      <c r="A8" s="635"/>
      <c r="B8" s="353">
        <v>4</v>
      </c>
      <c r="C8" s="364" t="s">
        <v>3</v>
      </c>
      <c r="D8" s="360">
        <f>D6*D7</f>
        <v>0</v>
      </c>
      <c r="E8" s="360">
        <f>E6*E7</f>
        <v>0</v>
      </c>
      <c r="F8" s="360">
        <f>F6*F7</f>
        <v>0</v>
      </c>
      <c r="G8" s="360">
        <f t="shared" ref="G8:AF8" si="3">G7*G6</f>
        <v>0</v>
      </c>
      <c r="H8" s="365">
        <f t="shared" si="3"/>
        <v>0</v>
      </c>
      <c r="I8" s="365">
        <f t="shared" si="3"/>
        <v>0</v>
      </c>
      <c r="J8" s="365">
        <f t="shared" si="3"/>
        <v>0</v>
      </c>
      <c r="K8" s="365">
        <f t="shared" si="3"/>
        <v>0</v>
      </c>
      <c r="L8" s="365">
        <f t="shared" si="3"/>
        <v>0</v>
      </c>
      <c r="M8" s="365">
        <f t="shared" si="3"/>
        <v>0</v>
      </c>
      <c r="N8" s="365">
        <f t="shared" si="3"/>
        <v>0</v>
      </c>
      <c r="O8" s="365">
        <f t="shared" si="3"/>
        <v>0</v>
      </c>
      <c r="P8" s="365">
        <f t="shared" si="3"/>
        <v>0</v>
      </c>
      <c r="Q8" s="365">
        <f t="shared" si="3"/>
        <v>0</v>
      </c>
      <c r="R8" s="365">
        <f t="shared" si="3"/>
        <v>0</v>
      </c>
      <c r="S8" s="365">
        <f t="shared" si="3"/>
        <v>0</v>
      </c>
      <c r="T8" s="365">
        <f t="shared" si="3"/>
        <v>0</v>
      </c>
      <c r="U8" s="365">
        <f t="shared" si="3"/>
        <v>0</v>
      </c>
      <c r="V8" s="365">
        <f t="shared" si="3"/>
        <v>0</v>
      </c>
      <c r="W8" s="365">
        <f t="shared" si="3"/>
        <v>0</v>
      </c>
      <c r="X8" s="365">
        <f t="shared" si="3"/>
        <v>0</v>
      </c>
      <c r="Y8" s="365">
        <f t="shared" si="3"/>
        <v>0</v>
      </c>
      <c r="Z8" s="365">
        <f t="shared" si="3"/>
        <v>0</v>
      </c>
      <c r="AA8" s="365">
        <f t="shared" si="3"/>
        <v>0</v>
      </c>
      <c r="AB8" s="365">
        <f t="shared" si="3"/>
        <v>0</v>
      </c>
      <c r="AC8" s="365">
        <f t="shared" si="3"/>
        <v>0</v>
      </c>
      <c r="AD8" s="365">
        <f t="shared" si="3"/>
        <v>0</v>
      </c>
      <c r="AE8" s="365">
        <f>AE7*AE6</f>
        <v>0</v>
      </c>
      <c r="AF8" s="365">
        <f t="shared" si="3"/>
        <v>0</v>
      </c>
    </row>
    <row r="9" spans="1:33" x14ac:dyDescent="0.35">
      <c r="A9" s="635"/>
      <c r="B9" s="353" t="s">
        <v>288</v>
      </c>
      <c r="C9" s="366" t="s">
        <v>289</v>
      </c>
      <c r="D9" s="444"/>
      <c r="E9" s="444"/>
      <c r="F9" s="444"/>
      <c r="G9" s="444"/>
      <c r="H9" s="380" cm="1">
        <f t="array" ref="H9">G9*0.7+0.3*(-$D$50*AVERAGE(-1*(D22:G22)))</f>
        <v>0</v>
      </c>
      <c r="I9" s="380" cm="1">
        <f t="array" ref="I9">H9*0.7+0.3*(-$D$50*AVERAGE(-1*(E22:H22)))</f>
        <v>0</v>
      </c>
      <c r="J9" s="380" cm="1">
        <f t="array" ref="J9">I9*0.7+0.3*(-$D$50*AVERAGE(-1*(F22:I22)))</f>
        <v>0</v>
      </c>
      <c r="K9" s="380" cm="1">
        <f t="array" ref="K9">J9*0.7+0.3*(-$D$50*AVERAGE(-1*(G22:J22)))</f>
        <v>0</v>
      </c>
      <c r="L9" s="380" cm="1">
        <f t="array" ref="L9">K9*0.7+0.3*(-$D$50*AVERAGE(-1*(H22:K22)))</f>
        <v>0</v>
      </c>
      <c r="M9" s="380" cm="1">
        <f t="array" ref="M9">L9*0.7+0.3*(-$D$50*AVERAGE(-1*(I22:L22)))</f>
        <v>0</v>
      </c>
      <c r="N9" s="380" cm="1">
        <f t="array" ref="N9">M9*0.7+0.3*(-$D$50*AVERAGE(-1*(J22:M22)))</f>
        <v>0</v>
      </c>
      <c r="O9" s="380" cm="1">
        <f t="array" ref="O9">N9*0.7+0.3*(-$D$50*AVERAGE(-1*(K22:N22)))</f>
        <v>0</v>
      </c>
      <c r="P9" s="380" cm="1">
        <f t="array" ref="P9">O9*0.7+0.3*(-$D$50*AVERAGE(-1*(L22:O22)))</f>
        <v>0</v>
      </c>
      <c r="Q9" s="380" cm="1">
        <f t="array" ref="Q9">P9*0.7+0.3*(-$D$50*AVERAGE(-1*(M22:P22)))</f>
        <v>0</v>
      </c>
      <c r="R9" s="380" cm="1">
        <f t="array" ref="R9">Q9*0.7+0.3*(-$D$50*AVERAGE(-1*(N22:Q22)))</f>
        <v>0</v>
      </c>
      <c r="S9" s="380" cm="1">
        <f t="array" ref="S9">R9*0.7+0.3*(-$D$50*AVERAGE(-1*(O22:R22)))</f>
        <v>0</v>
      </c>
      <c r="T9" s="380" cm="1">
        <f t="array" ref="T9">S9*0.7+0.3*(-$D$50*AVERAGE(-1*(P22:S22)))</f>
        <v>0</v>
      </c>
      <c r="U9" s="380" cm="1">
        <f t="array" ref="U9">T9*0.7+0.3*(-$D$50*AVERAGE(-1*(Q22:T22)))</f>
        <v>0</v>
      </c>
      <c r="V9" s="380" cm="1">
        <f t="array" ref="V9">U9*0.7+0.3*(-$D$50*AVERAGE(-1*(R22:U22)))</f>
        <v>0</v>
      </c>
      <c r="W9" s="380" cm="1">
        <f t="array" ref="W9">V9*0.7+0.3*(-$D$50*AVERAGE(-1*(S22:V22)))</f>
        <v>0</v>
      </c>
      <c r="X9" s="380" cm="1">
        <f t="array" ref="X9">W9*0.7+0.3*(-$D$50*AVERAGE(-1*(T22:W22)))</f>
        <v>0</v>
      </c>
      <c r="Y9" s="380" cm="1">
        <f t="array" ref="Y9">X9*0.7+0.3*(-$D$50*AVERAGE(-1*(U22:X22)))</f>
        <v>0</v>
      </c>
      <c r="Z9" s="380" cm="1">
        <f t="array" ref="Z9">Y9*0.7+0.3*(-$D$50*AVERAGE(-1*(V22:Y22)))</f>
        <v>0</v>
      </c>
      <c r="AA9" s="380" cm="1">
        <f t="array" ref="AA9">Z9*0.7+0.3*(-$D$50*AVERAGE(-1*(W22:Z22)))</f>
        <v>0</v>
      </c>
      <c r="AB9" s="380" cm="1">
        <f t="array" ref="AB9">AA9*0.7+0.3*(-$D$50*AVERAGE(-1*(X22:AA22)))</f>
        <v>0</v>
      </c>
      <c r="AC9" s="380" cm="1">
        <f t="array" ref="AC9">AB9*0.7+0.3*(-$D$50*AVERAGE(-1*(Y22:AB22)))</f>
        <v>0</v>
      </c>
      <c r="AD9" s="380" cm="1">
        <f t="array" ref="AD9">AC9*0.7+0.3*(-$D$50*AVERAGE(-1*(Z22:AC22)))</f>
        <v>0</v>
      </c>
      <c r="AE9" s="380" cm="1">
        <f t="array" ref="AE9">AD9*0.7+0.3*(-$D$50*AVERAGE(-1*(AA22:AD22)))</f>
        <v>0</v>
      </c>
      <c r="AF9" s="380" cm="1">
        <f t="array" ref="AF9">AE9*0.7+0.3*(-$D$50*AVERAGE(-1*(AB22:AE22)))</f>
        <v>0</v>
      </c>
    </row>
    <row r="10" spans="1:33" x14ac:dyDescent="0.35">
      <c r="A10" s="635"/>
      <c r="B10" s="353" t="s">
        <v>290</v>
      </c>
      <c r="C10" s="366" t="s">
        <v>291</v>
      </c>
      <c r="D10" s="444">
        <f>D19</f>
        <v>0</v>
      </c>
      <c r="E10" s="444">
        <f t="shared" ref="E10:G10" si="4">E19</f>
        <v>0</v>
      </c>
      <c r="F10" s="444">
        <f t="shared" si="4"/>
        <v>0</v>
      </c>
      <c r="G10" s="444">
        <f t="shared" si="4"/>
        <v>0</v>
      </c>
      <c r="H10" s="380">
        <f t="shared" ref="H10:K10" si="5">-$D$51*H6</f>
        <v>0</v>
      </c>
      <c r="I10" s="380">
        <f t="shared" si="5"/>
        <v>0</v>
      </c>
      <c r="J10" s="380">
        <f t="shared" si="5"/>
        <v>0</v>
      </c>
      <c r="K10" s="380">
        <f t="shared" si="5"/>
        <v>0</v>
      </c>
      <c r="L10" s="380">
        <f t="shared" ref="L10:T10" si="6">-$E$51*L6</f>
        <v>0</v>
      </c>
      <c r="M10" s="380">
        <f t="shared" si="6"/>
        <v>0</v>
      </c>
      <c r="N10" s="380">
        <f t="shared" si="6"/>
        <v>0</v>
      </c>
      <c r="O10" s="380">
        <f t="shared" si="6"/>
        <v>0</v>
      </c>
      <c r="P10" s="380">
        <f t="shared" si="6"/>
        <v>0</v>
      </c>
      <c r="Q10" s="380">
        <f t="shared" si="6"/>
        <v>0</v>
      </c>
      <c r="R10" s="380">
        <f t="shared" si="6"/>
        <v>0</v>
      </c>
      <c r="S10" s="380">
        <f t="shared" si="6"/>
        <v>0</v>
      </c>
      <c r="T10" s="380">
        <f t="shared" si="6"/>
        <v>0</v>
      </c>
      <c r="U10" s="380">
        <f>-$E$51*U6</f>
        <v>0</v>
      </c>
      <c r="V10" s="380">
        <f t="shared" ref="V10:AF10" si="7">-$E$51*V6</f>
        <v>0</v>
      </c>
      <c r="W10" s="380">
        <f t="shared" si="7"/>
        <v>0</v>
      </c>
      <c r="X10" s="380">
        <f t="shared" si="7"/>
        <v>0</v>
      </c>
      <c r="Y10" s="380">
        <f t="shared" si="7"/>
        <v>0</v>
      </c>
      <c r="Z10" s="380">
        <f t="shared" si="7"/>
        <v>0</v>
      </c>
      <c r="AA10" s="380">
        <f t="shared" si="7"/>
        <v>0</v>
      </c>
      <c r="AB10" s="380">
        <f t="shared" si="7"/>
        <v>0</v>
      </c>
      <c r="AC10" s="380">
        <f t="shared" si="7"/>
        <v>0</v>
      </c>
      <c r="AD10" s="380">
        <f t="shared" si="7"/>
        <v>0</v>
      </c>
      <c r="AE10" s="380">
        <f t="shared" si="7"/>
        <v>0</v>
      </c>
      <c r="AF10" s="380">
        <f t="shared" si="7"/>
        <v>0</v>
      </c>
    </row>
    <row r="11" spans="1:33" s="362" customFormat="1" x14ac:dyDescent="0.35">
      <c r="A11" s="635"/>
      <c r="B11" s="353">
        <v>6</v>
      </c>
      <c r="C11" s="367" t="s">
        <v>22</v>
      </c>
      <c r="D11" s="368">
        <f>-D9+D8</f>
        <v>0</v>
      </c>
      <c r="E11" s="368">
        <f>-E9+E8</f>
        <v>0</v>
      </c>
      <c r="F11" s="368">
        <f>-F9+F8</f>
        <v>0</v>
      </c>
      <c r="G11" s="368">
        <f>-G9+G8</f>
        <v>0</v>
      </c>
      <c r="H11" s="361">
        <f t="shared" ref="H11:AF11" si="8">-H9+H8</f>
        <v>0</v>
      </c>
      <c r="I11" s="361">
        <f t="shared" si="8"/>
        <v>0</v>
      </c>
      <c r="J11" s="361">
        <f t="shared" si="8"/>
        <v>0</v>
      </c>
      <c r="K11" s="361">
        <f t="shared" si="8"/>
        <v>0</v>
      </c>
      <c r="L11" s="361">
        <f t="shared" si="8"/>
        <v>0</v>
      </c>
      <c r="M11" s="361">
        <f t="shared" si="8"/>
        <v>0</v>
      </c>
      <c r="N11" s="361">
        <f t="shared" si="8"/>
        <v>0</v>
      </c>
      <c r="O11" s="361">
        <f t="shared" si="8"/>
        <v>0</v>
      </c>
      <c r="P11" s="361">
        <f t="shared" si="8"/>
        <v>0</v>
      </c>
      <c r="Q11" s="361">
        <f t="shared" si="8"/>
        <v>0</v>
      </c>
      <c r="R11" s="361">
        <f t="shared" si="8"/>
        <v>0</v>
      </c>
      <c r="S11" s="361">
        <f t="shared" si="8"/>
        <v>0</v>
      </c>
      <c r="T11" s="361">
        <f t="shared" si="8"/>
        <v>0</v>
      </c>
      <c r="U11" s="361">
        <f t="shared" si="8"/>
        <v>0</v>
      </c>
      <c r="V11" s="361">
        <f t="shared" si="8"/>
        <v>0</v>
      </c>
      <c r="W11" s="361">
        <f t="shared" si="8"/>
        <v>0</v>
      </c>
      <c r="X11" s="361">
        <f t="shared" si="8"/>
        <v>0</v>
      </c>
      <c r="Y11" s="361">
        <f t="shared" si="8"/>
        <v>0</v>
      </c>
      <c r="Z11" s="361">
        <f t="shared" si="8"/>
        <v>0</v>
      </c>
      <c r="AA11" s="361">
        <f t="shared" si="8"/>
        <v>0</v>
      </c>
      <c r="AB11" s="361">
        <f t="shared" si="8"/>
        <v>0</v>
      </c>
      <c r="AC11" s="361">
        <f t="shared" si="8"/>
        <v>0</v>
      </c>
      <c r="AD11" s="361">
        <f t="shared" si="8"/>
        <v>0</v>
      </c>
      <c r="AE11" s="361">
        <f t="shared" si="8"/>
        <v>0</v>
      </c>
      <c r="AF11" s="361">
        <f t="shared" si="8"/>
        <v>0</v>
      </c>
    </row>
    <row r="12" spans="1:33" s="358" customFormat="1" ht="13" x14ac:dyDescent="0.25">
      <c r="A12" s="635"/>
      <c r="B12" s="353">
        <v>7</v>
      </c>
      <c r="C12" s="359" t="s">
        <v>292</v>
      </c>
      <c r="D12" s="445"/>
      <c r="E12" s="445"/>
      <c r="F12" s="445"/>
      <c r="G12" s="445"/>
      <c r="H12" s="369" t="e">
        <f>-$D$53*G37+G36*$D$54</f>
        <v>#VALUE!</v>
      </c>
      <c r="I12" s="369" t="e">
        <f t="shared" ref="I12:AF12" si="9">-$D$53*H37+H36*$D$54</f>
        <v>#VALUE!</v>
      </c>
      <c r="J12" s="369" t="e">
        <f t="shared" si="9"/>
        <v>#VALUE!</v>
      </c>
      <c r="K12" s="369" t="e">
        <f t="shared" si="9"/>
        <v>#VALUE!</v>
      </c>
      <c r="L12" s="369" t="e">
        <f t="shared" si="9"/>
        <v>#VALUE!</v>
      </c>
      <c r="M12" s="369" t="e">
        <f t="shared" si="9"/>
        <v>#VALUE!</v>
      </c>
      <c r="N12" s="369" t="e">
        <f t="shared" si="9"/>
        <v>#VALUE!</v>
      </c>
      <c r="O12" s="369" t="e">
        <f t="shared" si="9"/>
        <v>#VALUE!</v>
      </c>
      <c r="P12" s="369" t="e">
        <f t="shared" si="9"/>
        <v>#VALUE!</v>
      </c>
      <c r="Q12" s="369" t="e">
        <f t="shared" si="9"/>
        <v>#VALUE!</v>
      </c>
      <c r="R12" s="369" t="e">
        <f t="shared" si="9"/>
        <v>#VALUE!</v>
      </c>
      <c r="S12" s="369" t="e">
        <f t="shared" si="9"/>
        <v>#VALUE!</v>
      </c>
      <c r="T12" s="369" t="e">
        <f t="shared" si="9"/>
        <v>#VALUE!</v>
      </c>
      <c r="U12" s="369" t="e">
        <f t="shared" si="9"/>
        <v>#VALUE!</v>
      </c>
      <c r="V12" s="369" t="e">
        <f t="shared" si="9"/>
        <v>#VALUE!</v>
      </c>
      <c r="W12" s="369" t="e">
        <f t="shared" si="9"/>
        <v>#VALUE!</v>
      </c>
      <c r="X12" s="369" t="e">
        <f t="shared" si="9"/>
        <v>#VALUE!</v>
      </c>
      <c r="Y12" s="369" t="e">
        <f t="shared" si="9"/>
        <v>#VALUE!</v>
      </c>
      <c r="Z12" s="369" t="e">
        <f t="shared" si="9"/>
        <v>#VALUE!</v>
      </c>
      <c r="AA12" s="369" t="e">
        <f t="shared" si="9"/>
        <v>#VALUE!</v>
      </c>
      <c r="AB12" s="369" t="e">
        <f t="shared" si="9"/>
        <v>#VALUE!</v>
      </c>
      <c r="AC12" s="369" t="e">
        <f t="shared" si="9"/>
        <v>#VALUE!</v>
      </c>
      <c r="AD12" s="369" t="e">
        <f t="shared" si="9"/>
        <v>#VALUE!</v>
      </c>
      <c r="AE12" s="369" t="e">
        <f t="shared" si="9"/>
        <v>#VALUE!</v>
      </c>
      <c r="AF12" s="369" t="e">
        <f t="shared" si="9"/>
        <v>#VALUE!</v>
      </c>
    </row>
    <row r="13" spans="1:33" x14ac:dyDescent="0.35">
      <c r="A13" s="635"/>
      <c r="B13" s="353">
        <v>8</v>
      </c>
      <c r="C13" s="359" t="s">
        <v>293</v>
      </c>
      <c r="D13" s="368"/>
      <c r="E13" s="370"/>
      <c r="F13" s="368"/>
      <c r="G13" s="368"/>
      <c r="H13" s="361">
        <v>0</v>
      </c>
      <c r="I13" s="361" t="e">
        <f t="shared" ref="I13:AF13" si="10">H13*(1+I5)</f>
        <v>#DIV/0!</v>
      </c>
      <c r="J13" s="361" t="e">
        <f t="shared" si="10"/>
        <v>#DIV/0!</v>
      </c>
      <c r="K13" s="361" t="e">
        <f t="shared" si="10"/>
        <v>#DIV/0!</v>
      </c>
      <c r="L13" s="361" t="e">
        <f t="shared" si="10"/>
        <v>#DIV/0!</v>
      </c>
      <c r="M13" s="361" t="e">
        <f t="shared" si="10"/>
        <v>#DIV/0!</v>
      </c>
      <c r="N13" s="361" t="e">
        <f t="shared" si="10"/>
        <v>#DIV/0!</v>
      </c>
      <c r="O13" s="361" t="e">
        <f t="shared" si="10"/>
        <v>#DIV/0!</v>
      </c>
      <c r="P13" s="361" t="e">
        <f t="shared" si="10"/>
        <v>#DIV/0!</v>
      </c>
      <c r="Q13" s="361" t="e">
        <f t="shared" si="10"/>
        <v>#DIV/0!</v>
      </c>
      <c r="R13" s="361" t="e">
        <f t="shared" si="10"/>
        <v>#DIV/0!</v>
      </c>
      <c r="S13" s="361" t="e">
        <f t="shared" si="10"/>
        <v>#DIV/0!</v>
      </c>
      <c r="T13" s="361" t="e">
        <f t="shared" si="10"/>
        <v>#DIV/0!</v>
      </c>
      <c r="U13" s="361" t="e">
        <f t="shared" si="10"/>
        <v>#DIV/0!</v>
      </c>
      <c r="V13" s="361" t="e">
        <f t="shared" si="10"/>
        <v>#DIV/0!</v>
      </c>
      <c r="W13" s="361" t="e">
        <f t="shared" si="10"/>
        <v>#DIV/0!</v>
      </c>
      <c r="X13" s="361" t="e">
        <f t="shared" si="10"/>
        <v>#DIV/0!</v>
      </c>
      <c r="Y13" s="361" t="e">
        <f t="shared" si="10"/>
        <v>#DIV/0!</v>
      </c>
      <c r="Z13" s="361" t="e">
        <f t="shared" si="10"/>
        <v>#DIV/0!</v>
      </c>
      <c r="AA13" s="361" t="e">
        <f t="shared" si="10"/>
        <v>#DIV/0!</v>
      </c>
      <c r="AB13" s="361" t="e">
        <f t="shared" si="10"/>
        <v>#DIV/0!</v>
      </c>
      <c r="AC13" s="361" t="e">
        <f t="shared" si="10"/>
        <v>#DIV/0!</v>
      </c>
      <c r="AD13" s="361" t="e">
        <f t="shared" si="10"/>
        <v>#DIV/0!</v>
      </c>
      <c r="AE13" s="361" t="e">
        <f t="shared" si="10"/>
        <v>#DIV/0!</v>
      </c>
      <c r="AF13" s="361" t="e">
        <f t="shared" si="10"/>
        <v>#DIV/0!</v>
      </c>
    </row>
    <row r="14" spans="1:33" x14ac:dyDescent="0.35">
      <c r="A14" s="635"/>
      <c r="B14" s="353">
        <v>9</v>
      </c>
      <c r="C14" s="367" t="s">
        <v>294</v>
      </c>
      <c r="D14" s="368">
        <f>D8+D12+D13</f>
        <v>0</v>
      </c>
      <c r="E14" s="368">
        <f>E8+E12+E13</f>
        <v>0</v>
      </c>
      <c r="F14" s="368">
        <f>F8+F12+F13</f>
        <v>0</v>
      </c>
      <c r="G14" s="368">
        <f t="shared" ref="G14:AF14" si="11">G8+G12+G13</f>
        <v>0</v>
      </c>
      <c r="H14" s="361" t="e">
        <f t="shared" si="11"/>
        <v>#VALUE!</v>
      </c>
      <c r="I14" s="361" t="e">
        <f t="shared" si="11"/>
        <v>#VALUE!</v>
      </c>
      <c r="J14" s="361" t="e">
        <f t="shared" si="11"/>
        <v>#VALUE!</v>
      </c>
      <c r="K14" s="361" t="e">
        <f t="shared" si="11"/>
        <v>#VALUE!</v>
      </c>
      <c r="L14" s="361" t="e">
        <f t="shared" si="11"/>
        <v>#VALUE!</v>
      </c>
      <c r="M14" s="361" t="e">
        <f t="shared" si="11"/>
        <v>#VALUE!</v>
      </c>
      <c r="N14" s="361" t="e">
        <f t="shared" si="11"/>
        <v>#VALUE!</v>
      </c>
      <c r="O14" s="361" t="e">
        <f t="shared" si="11"/>
        <v>#VALUE!</v>
      </c>
      <c r="P14" s="361" t="e">
        <f t="shared" si="11"/>
        <v>#VALUE!</v>
      </c>
      <c r="Q14" s="361" t="e">
        <f t="shared" si="11"/>
        <v>#VALUE!</v>
      </c>
      <c r="R14" s="361" t="e">
        <f t="shared" si="11"/>
        <v>#VALUE!</v>
      </c>
      <c r="S14" s="361" t="e">
        <f t="shared" si="11"/>
        <v>#VALUE!</v>
      </c>
      <c r="T14" s="361" t="e">
        <f t="shared" si="11"/>
        <v>#VALUE!</v>
      </c>
      <c r="U14" s="361" t="e">
        <f t="shared" si="11"/>
        <v>#VALUE!</v>
      </c>
      <c r="V14" s="361" t="e">
        <f t="shared" si="11"/>
        <v>#VALUE!</v>
      </c>
      <c r="W14" s="361" t="e">
        <f t="shared" si="11"/>
        <v>#VALUE!</v>
      </c>
      <c r="X14" s="361" t="e">
        <f t="shared" si="11"/>
        <v>#VALUE!</v>
      </c>
      <c r="Y14" s="361" t="e">
        <f t="shared" si="11"/>
        <v>#VALUE!</v>
      </c>
      <c r="Z14" s="361" t="e">
        <f t="shared" si="11"/>
        <v>#VALUE!</v>
      </c>
      <c r="AA14" s="361" t="e">
        <f t="shared" si="11"/>
        <v>#VALUE!</v>
      </c>
      <c r="AB14" s="361" t="e">
        <f t="shared" si="11"/>
        <v>#VALUE!</v>
      </c>
      <c r="AC14" s="361" t="e">
        <f t="shared" si="11"/>
        <v>#VALUE!</v>
      </c>
      <c r="AD14" s="361" t="e">
        <f t="shared" si="11"/>
        <v>#VALUE!</v>
      </c>
      <c r="AE14" s="361" t="e">
        <f t="shared" si="11"/>
        <v>#VALUE!</v>
      </c>
      <c r="AF14" s="361" t="e">
        <f t="shared" si="11"/>
        <v>#VALUE!</v>
      </c>
    </row>
    <row r="15" spans="1:33" x14ac:dyDescent="0.35">
      <c r="A15" s="635"/>
      <c r="B15" s="353">
        <v>10</v>
      </c>
      <c r="C15" s="359" t="s">
        <v>295</v>
      </c>
      <c r="D15" s="370"/>
      <c r="E15" s="370"/>
      <c r="F15" s="370"/>
      <c r="G15" s="370"/>
      <c r="H15" s="380" t="e">
        <f>(-1*$D$52)*H14</f>
        <v>#VALUE!</v>
      </c>
      <c r="I15" s="380" t="e">
        <f>(-1*$D$52)*I14</f>
        <v>#VALUE!</v>
      </c>
      <c r="J15" s="380" t="e">
        <f>(-1*$D$52)*J14</f>
        <v>#VALUE!</v>
      </c>
      <c r="K15" s="380" t="e">
        <f>(-1*$D$52)*K14</f>
        <v>#VALUE!</v>
      </c>
      <c r="L15" s="380" t="e">
        <f>(-1*$E$52)*L14</f>
        <v>#VALUE!</v>
      </c>
      <c r="M15" s="380" t="e">
        <f t="shared" ref="M15:AF15" si="12">(-1*$E$52)*M14</f>
        <v>#VALUE!</v>
      </c>
      <c r="N15" s="380" t="e">
        <f t="shared" si="12"/>
        <v>#VALUE!</v>
      </c>
      <c r="O15" s="380" t="e">
        <f t="shared" si="12"/>
        <v>#VALUE!</v>
      </c>
      <c r="P15" s="380" t="e">
        <f t="shared" si="12"/>
        <v>#VALUE!</v>
      </c>
      <c r="Q15" s="380" t="e">
        <f t="shared" si="12"/>
        <v>#VALUE!</v>
      </c>
      <c r="R15" s="380" t="e">
        <f t="shared" si="12"/>
        <v>#VALUE!</v>
      </c>
      <c r="S15" s="380" t="e">
        <f t="shared" si="12"/>
        <v>#VALUE!</v>
      </c>
      <c r="T15" s="380" t="e">
        <f t="shared" si="12"/>
        <v>#VALUE!</v>
      </c>
      <c r="U15" s="380" t="e">
        <f t="shared" si="12"/>
        <v>#VALUE!</v>
      </c>
      <c r="V15" s="380" t="e">
        <f t="shared" si="12"/>
        <v>#VALUE!</v>
      </c>
      <c r="W15" s="380" t="e">
        <f t="shared" si="12"/>
        <v>#VALUE!</v>
      </c>
      <c r="X15" s="380" t="e">
        <f t="shared" si="12"/>
        <v>#VALUE!</v>
      </c>
      <c r="Y15" s="380" t="e">
        <f t="shared" si="12"/>
        <v>#VALUE!</v>
      </c>
      <c r="Z15" s="380" t="e">
        <f t="shared" si="12"/>
        <v>#VALUE!</v>
      </c>
      <c r="AA15" s="380" t="e">
        <f t="shared" si="12"/>
        <v>#VALUE!</v>
      </c>
      <c r="AB15" s="380" t="e">
        <f t="shared" si="12"/>
        <v>#VALUE!</v>
      </c>
      <c r="AC15" s="380" t="e">
        <f t="shared" si="12"/>
        <v>#VALUE!</v>
      </c>
      <c r="AD15" s="380" t="e">
        <f t="shared" si="12"/>
        <v>#VALUE!</v>
      </c>
      <c r="AE15" s="380" t="e">
        <f t="shared" si="12"/>
        <v>#VALUE!</v>
      </c>
      <c r="AF15" s="380" t="e">
        <f t="shared" si="12"/>
        <v>#VALUE!</v>
      </c>
    </row>
    <row r="16" spans="1:33" x14ac:dyDescent="0.35">
      <c r="A16" s="635"/>
      <c r="B16" s="353">
        <v>11</v>
      </c>
      <c r="C16" s="367" t="s">
        <v>296</v>
      </c>
      <c r="D16" s="368">
        <f>D14+D15</f>
        <v>0</v>
      </c>
      <c r="E16" s="368">
        <f>E14+E15</f>
        <v>0</v>
      </c>
      <c r="F16" s="368">
        <f>F14+F15</f>
        <v>0</v>
      </c>
      <c r="G16" s="368">
        <f t="shared" ref="G16:AF16" si="13">G14+G15</f>
        <v>0</v>
      </c>
      <c r="H16" s="361" t="e">
        <f t="shared" si="13"/>
        <v>#VALUE!</v>
      </c>
      <c r="I16" s="361" t="e">
        <f t="shared" si="13"/>
        <v>#VALUE!</v>
      </c>
      <c r="J16" s="361" t="e">
        <f t="shared" si="13"/>
        <v>#VALUE!</v>
      </c>
      <c r="K16" s="361" t="e">
        <f t="shared" si="13"/>
        <v>#VALUE!</v>
      </c>
      <c r="L16" s="361" t="e">
        <f t="shared" si="13"/>
        <v>#VALUE!</v>
      </c>
      <c r="M16" s="361" t="e">
        <f t="shared" si="13"/>
        <v>#VALUE!</v>
      </c>
      <c r="N16" s="361" t="e">
        <f t="shared" si="13"/>
        <v>#VALUE!</v>
      </c>
      <c r="O16" s="361" t="e">
        <f t="shared" si="13"/>
        <v>#VALUE!</v>
      </c>
      <c r="P16" s="361" t="e">
        <f t="shared" si="13"/>
        <v>#VALUE!</v>
      </c>
      <c r="Q16" s="361" t="e">
        <f t="shared" si="13"/>
        <v>#VALUE!</v>
      </c>
      <c r="R16" s="361" t="e">
        <f t="shared" si="13"/>
        <v>#VALUE!</v>
      </c>
      <c r="S16" s="361" t="e">
        <f t="shared" si="13"/>
        <v>#VALUE!</v>
      </c>
      <c r="T16" s="361" t="e">
        <f t="shared" si="13"/>
        <v>#VALUE!</v>
      </c>
      <c r="U16" s="361" t="e">
        <f t="shared" si="13"/>
        <v>#VALUE!</v>
      </c>
      <c r="V16" s="361" t="e">
        <f t="shared" si="13"/>
        <v>#VALUE!</v>
      </c>
      <c r="W16" s="361" t="e">
        <f t="shared" si="13"/>
        <v>#VALUE!</v>
      </c>
      <c r="X16" s="361" t="e">
        <f t="shared" si="13"/>
        <v>#VALUE!</v>
      </c>
      <c r="Y16" s="361" t="e">
        <f t="shared" si="13"/>
        <v>#VALUE!</v>
      </c>
      <c r="Z16" s="361" t="e">
        <f t="shared" si="13"/>
        <v>#VALUE!</v>
      </c>
      <c r="AA16" s="361" t="e">
        <f t="shared" si="13"/>
        <v>#VALUE!</v>
      </c>
      <c r="AB16" s="361" t="e">
        <f t="shared" si="13"/>
        <v>#VALUE!</v>
      </c>
      <c r="AC16" s="361" t="e">
        <f t="shared" si="13"/>
        <v>#VALUE!</v>
      </c>
      <c r="AD16" s="361" t="e">
        <f t="shared" si="13"/>
        <v>#VALUE!</v>
      </c>
      <c r="AE16" s="361" t="e">
        <f t="shared" si="13"/>
        <v>#VALUE!</v>
      </c>
      <c r="AF16" s="361" t="e">
        <f t="shared" si="13"/>
        <v>#VALUE!</v>
      </c>
    </row>
    <row r="17" spans="1:33" x14ac:dyDescent="0.35">
      <c r="C17" s="371"/>
      <c r="D17" s="372"/>
      <c r="E17" s="372"/>
      <c r="F17" s="372"/>
      <c r="G17" s="372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  <c r="AA17" s="373"/>
      <c r="AB17" s="373"/>
      <c r="AC17" s="373"/>
      <c r="AD17" s="373"/>
      <c r="AE17" s="373"/>
      <c r="AF17" s="373"/>
    </row>
    <row r="18" spans="1:33" x14ac:dyDescent="0.35">
      <c r="A18" s="628" t="s">
        <v>297</v>
      </c>
      <c r="B18" s="353">
        <v>12</v>
      </c>
      <c r="C18" s="359" t="s">
        <v>298</v>
      </c>
      <c r="D18" s="368"/>
      <c r="E18" s="368"/>
      <c r="F18" s="368"/>
      <c r="G18" s="368"/>
      <c r="H18" s="369" t="e">
        <f t="shared" ref="H18:AF18" si="14">H11+H12+H13+H15</f>
        <v>#VALUE!</v>
      </c>
      <c r="I18" s="369" t="e">
        <f t="shared" si="14"/>
        <v>#VALUE!</v>
      </c>
      <c r="J18" s="369" t="e">
        <f t="shared" si="14"/>
        <v>#VALUE!</v>
      </c>
      <c r="K18" s="369" t="e">
        <f t="shared" si="14"/>
        <v>#VALUE!</v>
      </c>
      <c r="L18" s="369" t="e">
        <f t="shared" si="14"/>
        <v>#VALUE!</v>
      </c>
      <c r="M18" s="369" t="e">
        <f t="shared" si="14"/>
        <v>#VALUE!</v>
      </c>
      <c r="N18" s="369" t="e">
        <f t="shared" si="14"/>
        <v>#VALUE!</v>
      </c>
      <c r="O18" s="369" t="e">
        <f t="shared" si="14"/>
        <v>#VALUE!</v>
      </c>
      <c r="P18" s="369" t="e">
        <f t="shared" si="14"/>
        <v>#VALUE!</v>
      </c>
      <c r="Q18" s="369" t="e">
        <f t="shared" si="14"/>
        <v>#VALUE!</v>
      </c>
      <c r="R18" s="369" t="e">
        <f t="shared" si="14"/>
        <v>#VALUE!</v>
      </c>
      <c r="S18" s="369" t="e">
        <f t="shared" si="14"/>
        <v>#VALUE!</v>
      </c>
      <c r="T18" s="369" t="e">
        <f t="shared" si="14"/>
        <v>#VALUE!</v>
      </c>
      <c r="U18" s="369" t="e">
        <f t="shared" si="14"/>
        <v>#VALUE!</v>
      </c>
      <c r="V18" s="369" t="e">
        <f t="shared" si="14"/>
        <v>#VALUE!</v>
      </c>
      <c r="W18" s="369" t="e">
        <f t="shared" si="14"/>
        <v>#VALUE!</v>
      </c>
      <c r="X18" s="369" t="e">
        <f t="shared" si="14"/>
        <v>#VALUE!</v>
      </c>
      <c r="Y18" s="369" t="e">
        <f t="shared" si="14"/>
        <v>#VALUE!</v>
      </c>
      <c r="Z18" s="369" t="e">
        <f t="shared" si="14"/>
        <v>#VALUE!</v>
      </c>
      <c r="AA18" s="369" t="e">
        <f t="shared" si="14"/>
        <v>#VALUE!</v>
      </c>
      <c r="AB18" s="369" t="e">
        <f t="shared" si="14"/>
        <v>#VALUE!</v>
      </c>
      <c r="AC18" s="369" t="e">
        <f t="shared" si="14"/>
        <v>#VALUE!</v>
      </c>
      <c r="AD18" s="369" t="e">
        <f t="shared" si="14"/>
        <v>#VALUE!</v>
      </c>
      <c r="AE18" s="369" t="e">
        <f t="shared" si="14"/>
        <v>#VALUE!</v>
      </c>
      <c r="AF18" s="369" t="e">
        <f t="shared" si="14"/>
        <v>#VALUE!</v>
      </c>
    </row>
    <row r="19" spans="1:33" x14ac:dyDescent="0.35">
      <c r="A19" s="629"/>
      <c r="B19" s="353">
        <v>13</v>
      </c>
      <c r="C19" s="374" t="s">
        <v>299</v>
      </c>
      <c r="D19" s="375"/>
      <c r="E19" s="375"/>
      <c r="F19" s="375"/>
      <c r="G19" s="375"/>
      <c r="H19" s="376">
        <f>$D$55*H10</f>
        <v>0</v>
      </c>
      <c r="I19" s="376">
        <f t="shared" ref="I19:AF19" si="15">$D$55*I10</f>
        <v>0</v>
      </c>
      <c r="J19" s="376">
        <f t="shared" si="15"/>
        <v>0</v>
      </c>
      <c r="K19" s="376">
        <f t="shared" si="15"/>
        <v>0</v>
      </c>
      <c r="L19" s="376">
        <f t="shared" si="15"/>
        <v>0</v>
      </c>
      <c r="M19" s="376">
        <f t="shared" si="15"/>
        <v>0</v>
      </c>
      <c r="N19" s="376">
        <f t="shared" si="15"/>
        <v>0</v>
      </c>
      <c r="O19" s="376">
        <f t="shared" si="15"/>
        <v>0</v>
      </c>
      <c r="P19" s="376">
        <f t="shared" si="15"/>
        <v>0</v>
      </c>
      <c r="Q19" s="376">
        <f t="shared" si="15"/>
        <v>0</v>
      </c>
      <c r="R19" s="376">
        <f t="shared" si="15"/>
        <v>0</v>
      </c>
      <c r="S19" s="376">
        <f t="shared" si="15"/>
        <v>0</v>
      </c>
      <c r="T19" s="376">
        <f t="shared" si="15"/>
        <v>0</v>
      </c>
      <c r="U19" s="376">
        <f t="shared" si="15"/>
        <v>0</v>
      </c>
      <c r="V19" s="376">
        <f t="shared" si="15"/>
        <v>0</v>
      </c>
      <c r="W19" s="376">
        <f t="shared" si="15"/>
        <v>0</v>
      </c>
      <c r="X19" s="376">
        <f t="shared" si="15"/>
        <v>0</v>
      </c>
      <c r="Y19" s="376">
        <f t="shared" si="15"/>
        <v>0</v>
      </c>
      <c r="Z19" s="376">
        <f t="shared" si="15"/>
        <v>0</v>
      </c>
      <c r="AA19" s="376">
        <f t="shared" si="15"/>
        <v>0</v>
      </c>
      <c r="AB19" s="376">
        <f t="shared" si="15"/>
        <v>0</v>
      </c>
      <c r="AC19" s="376">
        <f t="shared" si="15"/>
        <v>0</v>
      </c>
      <c r="AD19" s="376">
        <f t="shared" si="15"/>
        <v>0</v>
      </c>
      <c r="AE19" s="376">
        <f t="shared" si="15"/>
        <v>0</v>
      </c>
      <c r="AF19" s="376">
        <f t="shared" si="15"/>
        <v>0</v>
      </c>
    </row>
    <row r="20" spans="1:33" x14ac:dyDescent="0.35">
      <c r="A20" s="629"/>
      <c r="B20" s="353">
        <v>14</v>
      </c>
      <c r="C20" s="374" t="s">
        <v>300</v>
      </c>
      <c r="D20" s="385"/>
      <c r="E20" s="385"/>
      <c r="F20" s="377"/>
      <c r="G20" s="385"/>
      <c r="H20" s="369">
        <f t="shared" ref="H20:K20" si="16">$D$56*(H6-G6)</f>
        <v>0</v>
      </c>
      <c r="I20" s="369">
        <f t="shared" si="16"/>
        <v>0</v>
      </c>
      <c r="J20" s="369">
        <f t="shared" si="16"/>
        <v>0</v>
      </c>
      <c r="K20" s="369">
        <f t="shared" si="16"/>
        <v>0</v>
      </c>
      <c r="L20" s="369">
        <f>$E$56*(L6-K6)</f>
        <v>0</v>
      </c>
      <c r="M20" s="369">
        <f t="shared" ref="M20:AF20" si="17">$E$56*(M6-L6)</f>
        <v>0</v>
      </c>
      <c r="N20" s="369">
        <f t="shared" si="17"/>
        <v>0</v>
      </c>
      <c r="O20" s="369">
        <f t="shared" si="17"/>
        <v>0</v>
      </c>
      <c r="P20" s="369">
        <f t="shared" si="17"/>
        <v>0</v>
      </c>
      <c r="Q20" s="369">
        <f t="shared" si="17"/>
        <v>0</v>
      </c>
      <c r="R20" s="369">
        <f t="shared" si="17"/>
        <v>0</v>
      </c>
      <c r="S20" s="369">
        <f t="shared" si="17"/>
        <v>0</v>
      </c>
      <c r="T20" s="369">
        <f t="shared" si="17"/>
        <v>0</v>
      </c>
      <c r="U20" s="369">
        <f t="shared" si="17"/>
        <v>0</v>
      </c>
      <c r="V20" s="369">
        <f t="shared" si="17"/>
        <v>0</v>
      </c>
      <c r="W20" s="369">
        <f t="shared" si="17"/>
        <v>0</v>
      </c>
      <c r="X20" s="369">
        <f t="shared" si="17"/>
        <v>0</v>
      </c>
      <c r="Y20" s="369">
        <f t="shared" si="17"/>
        <v>0</v>
      </c>
      <c r="Z20" s="369">
        <f t="shared" si="17"/>
        <v>0</v>
      </c>
      <c r="AA20" s="369">
        <f t="shared" si="17"/>
        <v>0</v>
      </c>
      <c r="AB20" s="369">
        <f t="shared" si="17"/>
        <v>0</v>
      </c>
      <c r="AC20" s="369">
        <f t="shared" si="17"/>
        <v>0</v>
      </c>
      <c r="AD20" s="369">
        <f t="shared" si="17"/>
        <v>0</v>
      </c>
      <c r="AE20" s="369">
        <f t="shared" si="17"/>
        <v>0</v>
      </c>
      <c r="AF20" s="369">
        <f t="shared" si="17"/>
        <v>0</v>
      </c>
    </row>
    <row r="21" spans="1:33" x14ac:dyDescent="0.35">
      <c r="A21" s="629"/>
      <c r="B21" s="353">
        <v>15</v>
      </c>
      <c r="C21" s="378" t="s">
        <v>301</v>
      </c>
      <c r="D21" s="379">
        <f>D18+D19+D20</f>
        <v>0</v>
      </c>
      <c r="E21" s="379">
        <f>E18+E19+E20</f>
        <v>0</v>
      </c>
      <c r="F21" s="379">
        <f>F18+F19+F20</f>
        <v>0</v>
      </c>
      <c r="G21" s="379">
        <f t="shared" ref="G21:AF21" si="18">G18+G19+G20</f>
        <v>0</v>
      </c>
      <c r="H21" s="379" t="e">
        <f t="shared" si="18"/>
        <v>#VALUE!</v>
      </c>
      <c r="I21" s="379" t="e">
        <f t="shared" si="18"/>
        <v>#VALUE!</v>
      </c>
      <c r="J21" s="379" t="e">
        <f t="shared" si="18"/>
        <v>#VALUE!</v>
      </c>
      <c r="K21" s="379" t="e">
        <f t="shared" si="18"/>
        <v>#VALUE!</v>
      </c>
      <c r="L21" s="379" t="e">
        <f t="shared" si="18"/>
        <v>#VALUE!</v>
      </c>
      <c r="M21" s="379" t="e">
        <f t="shared" si="18"/>
        <v>#VALUE!</v>
      </c>
      <c r="N21" s="379" t="e">
        <f t="shared" si="18"/>
        <v>#VALUE!</v>
      </c>
      <c r="O21" s="379" t="e">
        <f t="shared" si="18"/>
        <v>#VALUE!</v>
      </c>
      <c r="P21" s="379" t="e">
        <f t="shared" si="18"/>
        <v>#VALUE!</v>
      </c>
      <c r="Q21" s="379" t="e">
        <f t="shared" si="18"/>
        <v>#VALUE!</v>
      </c>
      <c r="R21" s="379" t="e">
        <f t="shared" si="18"/>
        <v>#VALUE!</v>
      </c>
      <c r="S21" s="379" t="e">
        <f t="shared" si="18"/>
        <v>#VALUE!</v>
      </c>
      <c r="T21" s="379" t="e">
        <f t="shared" si="18"/>
        <v>#VALUE!</v>
      </c>
      <c r="U21" s="379" t="e">
        <f t="shared" si="18"/>
        <v>#VALUE!</v>
      </c>
      <c r="V21" s="379" t="e">
        <f t="shared" si="18"/>
        <v>#VALUE!</v>
      </c>
      <c r="W21" s="379" t="e">
        <f t="shared" si="18"/>
        <v>#VALUE!</v>
      </c>
      <c r="X21" s="379" t="e">
        <f t="shared" si="18"/>
        <v>#VALUE!</v>
      </c>
      <c r="Y21" s="379" t="e">
        <f t="shared" si="18"/>
        <v>#VALUE!</v>
      </c>
      <c r="Z21" s="379" t="e">
        <f t="shared" si="18"/>
        <v>#VALUE!</v>
      </c>
      <c r="AA21" s="379" t="e">
        <f t="shared" si="18"/>
        <v>#VALUE!</v>
      </c>
      <c r="AB21" s="379" t="e">
        <f t="shared" si="18"/>
        <v>#VALUE!</v>
      </c>
      <c r="AC21" s="379" t="e">
        <f t="shared" si="18"/>
        <v>#VALUE!</v>
      </c>
      <c r="AD21" s="379" t="e">
        <f t="shared" si="18"/>
        <v>#VALUE!</v>
      </c>
      <c r="AE21" s="379" t="e">
        <f t="shared" si="18"/>
        <v>#VALUE!</v>
      </c>
      <c r="AF21" s="379" t="e">
        <f t="shared" si="18"/>
        <v>#VALUE!</v>
      </c>
    </row>
    <row r="22" spans="1:33" x14ac:dyDescent="0.35">
      <c r="A22" s="629"/>
      <c r="B22" s="353">
        <v>16</v>
      </c>
      <c r="C22" s="374" t="s">
        <v>302</v>
      </c>
      <c r="D22" s="377"/>
      <c r="E22" s="377"/>
      <c r="F22" s="377"/>
      <c r="G22" s="377"/>
      <c r="H22" s="380">
        <f t="shared" ref="H22:K22" si="19">-$D$57*H6</f>
        <v>0</v>
      </c>
      <c r="I22" s="380">
        <f t="shared" si="19"/>
        <v>0</v>
      </c>
      <c r="J22" s="380">
        <f t="shared" si="19"/>
        <v>0</v>
      </c>
      <c r="K22" s="380">
        <f t="shared" si="19"/>
        <v>0</v>
      </c>
      <c r="L22" s="380">
        <f>-$E$57*L6</f>
        <v>0</v>
      </c>
      <c r="M22" s="380">
        <f t="shared" ref="M22:AF22" si="20">-$E$57*M6</f>
        <v>0</v>
      </c>
      <c r="N22" s="380">
        <f t="shared" si="20"/>
        <v>0</v>
      </c>
      <c r="O22" s="380">
        <f t="shared" si="20"/>
        <v>0</v>
      </c>
      <c r="P22" s="380">
        <f t="shared" si="20"/>
        <v>0</v>
      </c>
      <c r="Q22" s="380">
        <f t="shared" si="20"/>
        <v>0</v>
      </c>
      <c r="R22" s="380">
        <f t="shared" si="20"/>
        <v>0</v>
      </c>
      <c r="S22" s="380">
        <f t="shared" si="20"/>
        <v>0</v>
      </c>
      <c r="T22" s="380">
        <f t="shared" si="20"/>
        <v>0</v>
      </c>
      <c r="U22" s="380">
        <f t="shared" si="20"/>
        <v>0</v>
      </c>
      <c r="V22" s="380">
        <f t="shared" si="20"/>
        <v>0</v>
      </c>
      <c r="W22" s="380">
        <f t="shared" si="20"/>
        <v>0</v>
      </c>
      <c r="X22" s="380">
        <f t="shared" si="20"/>
        <v>0</v>
      </c>
      <c r="Y22" s="380">
        <f t="shared" si="20"/>
        <v>0</v>
      </c>
      <c r="Z22" s="380">
        <f t="shared" si="20"/>
        <v>0</v>
      </c>
      <c r="AA22" s="380">
        <f t="shared" si="20"/>
        <v>0</v>
      </c>
      <c r="AB22" s="380">
        <f t="shared" si="20"/>
        <v>0</v>
      </c>
      <c r="AC22" s="380">
        <f t="shared" si="20"/>
        <v>0</v>
      </c>
      <c r="AD22" s="380">
        <f t="shared" si="20"/>
        <v>0</v>
      </c>
      <c r="AE22" s="380">
        <f t="shared" si="20"/>
        <v>0</v>
      </c>
      <c r="AF22" s="380">
        <f t="shared" si="20"/>
        <v>0</v>
      </c>
    </row>
    <row r="23" spans="1:33" x14ac:dyDescent="0.35">
      <c r="A23" s="629"/>
      <c r="B23" s="353">
        <v>17</v>
      </c>
      <c r="C23" s="374" t="s">
        <v>303</v>
      </c>
      <c r="D23" s="385"/>
      <c r="E23" s="385"/>
      <c r="F23" s="377"/>
      <c r="G23" s="377"/>
      <c r="H23" s="361">
        <v>0</v>
      </c>
      <c r="I23" s="361">
        <v>0</v>
      </c>
      <c r="J23" s="361">
        <v>0</v>
      </c>
      <c r="K23" s="361">
        <v>0</v>
      </c>
      <c r="L23" s="361">
        <v>0</v>
      </c>
      <c r="M23" s="361">
        <v>0</v>
      </c>
      <c r="N23" s="361">
        <v>0</v>
      </c>
      <c r="O23" s="361">
        <v>0</v>
      </c>
      <c r="P23" s="361">
        <v>0</v>
      </c>
      <c r="Q23" s="361">
        <v>0</v>
      </c>
      <c r="R23" s="361">
        <v>0</v>
      </c>
      <c r="S23" s="361">
        <v>0</v>
      </c>
      <c r="T23" s="361">
        <v>0</v>
      </c>
      <c r="U23" s="361">
        <v>0</v>
      </c>
      <c r="V23" s="361">
        <v>0</v>
      </c>
      <c r="W23" s="361">
        <v>0</v>
      </c>
      <c r="X23" s="361">
        <v>0</v>
      </c>
      <c r="Y23" s="361">
        <v>0</v>
      </c>
      <c r="Z23" s="361">
        <v>0</v>
      </c>
      <c r="AA23" s="361">
        <v>0</v>
      </c>
      <c r="AB23" s="361">
        <v>0</v>
      </c>
      <c r="AC23" s="361">
        <v>0</v>
      </c>
      <c r="AD23" s="361">
        <v>0</v>
      </c>
      <c r="AE23" s="361">
        <v>0</v>
      </c>
      <c r="AF23" s="361">
        <v>0</v>
      </c>
    </row>
    <row r="24" spans="1:33" x14ac:dyDescent="0.35">
      <c r="A24" s="629"/>
      <c r="B24" s="353">
        <v>18</v>
      </c>
      <c r="C24" s="378" t="s">
        <v>304</v>
      </c>
      <c r="D24" s="381">
        <f>D22+D23</f>
        <v>0</v>
      </c>
      <c r="E24" s="381">
        <f>E22+E23</f>
        <v>0</v>
      </c>
      <c r="F24" s="381">
        <f>F22+F23</f>
        <v>0</v>
      </c>
      <c r="G24" s="381">
        <f t="shared" ref="G24:AF24" si="21">G22+G23</f>
        <v>0</v>
      </c>
      <c r="H24" s="381">
        <f t="shared" si="21"/>
        <v>0</v>
      </c>
      <c r="I24" s="381">
        <f t="shared" si="21"/>
        <v>0</v>
      </c>
      <c r="J24" s="381">
        <f t="shared" si="21"/>
        <v>0</v>
      </c>
      <c r="K24" s="381">
        <f t="shared" si="21"/>
        <v>0</v>
      </c>
      <c r="L24" s="381">
        <f t="shared" si="21"/>
        <v>0</v>
      </c>
      <c r="M24" s="381">
        <f t="shared" si="21"/>
        <v>0</v>
      </c>
      <c r="N24" s="381">
        <f t="shared" si="21"/>
        <v>0</v>
      </c>
      <c r="O24" s="381">
        <f t="shared" si="21"/>
        <v>0</v>
      </c>
      <c r="P24" s="381">
        <f t="shared" si="21"/>
        <v>0</v>
      </c>
      <c r="Q24" s="381">
        <f t="shared" si="21"/>
        <v>0</v>
      </c>
      <c r="R24" s="381">
        <f t="shared" si="21"/>
        <v>0</v>
      </c>
      <c r="S24" s="381">
        <f t="shared" si="21"/>
        <v>0</v>
      </c>
      <c r="T24" s="381">
        <f t="shared" si="21"/>
        <v>0</v>
      </c>
      <c r="U24" s="381">
        <f t="shared" si="21"/>
        <v>0</v>
      </c>
      <c r="V24" s="381">
        <f t="shared" si="21"/>
        <v>0</v>
      </c>
      <c r="W24" s="381">
        <f t="shared" si="21"/>
        <v>0</v>
      </c>
      <c r="X24" s="381">
        <f t="shared" si="21"/>
        <v>0</v>
      </c>
      <c r="Y24" s="381">
        <f t="shared" si="21"/>
        <v>0</v>
      </c>
      <c r="Z24" s="381">
        <f t="shared" si="21"/>
        <v>0</v>
      </c>
      <c r="AA24" s="381">
        <f t="shared" si="21"/>
        <v>0</v>
      </c>
      <c r="AB24" s="381">
        <f t="shared" si="21"/>
        <v>0</v>
      </c>
      <c r="AC24" s="381">
        <f t="shared" si="21"/>
        <v>0</v>
      </c>
      <c r="AD24" s="381">
        <f t="shared" si="21"/>
        <v>0</v>
      </c>
      <c r="AE24" s="381">
        <f t="shared" si="21"/>
        <v>0</v>
      </c>
      <c r="AF24" s="381">
        <f t="shared" si="21"/>
        <v>0</v>
      </c>
    </row>
    <row r="25" spans="1:33" s="358" customFormat="1" x14ac:dyDescent="0.35">
      <c r="A25" s="629"/>
      <c r="B25" s="353">
        <v>19</v>
      </c>
      <c r="C25" s="374" t="s">
        <v>305</v>
      </c>
      <c r="D25" s="382"/>
      <c r="E25" s="382"/>
      <c r="F25" s="382"/>
      <c r="G25" s="382"/>
      <c r="H25" s="369">
        <v>0</v>
      </c>
      <c r="I25" s="369">
        <v>0</v>
      </c>
      <c r="J25" s="369">
        <v>0</v>
      </c>
      <c r="K25" s="369">
        <v>0</v>
      </c>
      <c r="L25" s="369">
        <v>0</v>
      </c>
      <c r="M25" s="369">
        <v>0</v>
      </c>
      <c r="N25" s="369">
        <v>0</v>
      </c>
      <c r="O25" s="369">
        <v>0</v>
      </c>
      <c r="P25" s="369">
        <v>0</v>
      </c>
      <c r="Q25" s="369">
        <v>0</v>
      </c>
      <c r="R25" s="369">
        <v>0</v>
      </c>
      <c r="S25" s="369">
        <v>0</v>
      </c>
      <c r="T25" s="369">
        <v>0</v>
      </c>
      <c r="U25" s="369">
        <v>0</v>
      </c>
      <c r="V25" s="369">
        <v>0</v>
      </c>
      <c r="W25" s="369">
        <v>0</v>
      </c>
      <c r="X25" s="369">
        <v>0</v>
      </c>
      <c r="Y25" s="369">
        <v>0</v>
      </c>
      <c r="Z25" s="369">
        <v>0</v>
      </c>
      <c r="AA25" s="369">
        <v>0</v>
      </c>
      <c r="AB25" s="369">
        <v>0</v>
      </c>
      <c r="AC25" s="369">
        <v>0</v>
      </c>
      <c r="AD25" s="369">
        <v>0</v>
      </c>
      <c r="AE25" s="369">
        <v>0</v>
      </c>
      <c r="AF25" s="369">
        <v>0</v>
      </c>
      <c r="AG25" s="383"/>
    </row>
    <row r="26" spans="1:33" x14ac:dyDescent="0.35">
      <c r="A26" s="629"/>
      <c r="B26" s="353">
        <v>20</v>
      </c>
      <c r="C26" s="384" t="s">
        <v>306</v>
      </c>
      <c r="D26" s="377"/>
      <c r="E26" s="385"/>
      <c r="F26" s="385"/>
      <c r="G26" s="385"/>
      <c r="H26" s="386">
        <f t="shared" ref="H26:AF26" si="22">(H37-G37)</f>
        <v>0</v>
      </c>
      <c r="I26" s="386">
        <f t="shared" si="22"/>
        <v>0</v>
      </c>
      <c r="J26" s="386">
        <f t="shared" si="22"/>
        <v>0</v>
      </c>
      <c r="K26" s="386">
        <f t="shared" si="22"/>
        <v>0</v>
      </c>
      <c r="L26" s="386">
        <f t="shared" si="22"/>
        <v>0</v>
      </c>
      <c r="M26" s="386">
        <f t="shared" si="22"/>
        <v>0</v>
      </c>
      <c r="N26" s="386">
        <f t="shared" si="22"/>
        <v>0</v>
      </c>
      <c r="O26" s="386">
        <f t="shared" si="22"/>
        <v>0</v>
      </c>
      <c r="P26" s="386">
        <f t="shared" si="22"/>
        <v>0</v>
      </c>
      <c r="Q26" s="386">
        <f t="shared" si="22"/>
        <v>0</v>
      </c>
      <c r="R26" s="386">
        <f t="shared" si="22"/>
        <v>0</v>
      </c>
      <c r="S26" s="386">
        <f t="shared" si="22"/>
        <v>0</v>
      </c>
      <c r="T26" s="386">
        <f t="shared" si="22"/>
        <v>0</v>
      </c>
      <c r="U26" s="386">
        <f t="shared" si="22"/>
        <v>0</v>
      </c>
      <c r="V26" s="386">
        <f t="shared" si="22"/>
        <v>0</v>
      </c>
      <c r="W26" s="386">
        <f t="shared" si="22"/>
        <v>0</v>
      </c>
      <c r="X26" s="386">
        <f t="shared" si="22"/>
        <v>0</v>
      </c>
      <c r="Y26" s="386">
        <f t="shared" si="22"/>
        <v>0</v>
      </c>
      <c r="Z26" s="386">
        <f t="shared" si="22"/>
        <v>0</v>
      </c>
      <c r="AA26" s="386">
        <f t="shared" si="22"/>
        <v>0</v>
      </c>
      <c r="AB26" s="386">
        <f t="shared" si="22"/>
        <v>0</v>
      </c>
      <c r="AC26" s="386">
        <f t="shared" si="22"/>
        <v>0</v>
      </c>
      <c r="AD26" s="386">
        <f t="shared" si="22"/>
        <v>0</v>
      </c>
      <c r="AE26" s="386">
        <f t="shared" si="22"/>
        <v>0</v>
      </c>
      <c r="AF26" s="386">
        <f t="shared" si="22"/>
        <v>0</v>
      </c>
    </row>
    <row r="27" spans="1:33" x14ac:dyDescent="0.35">
      <c r="A27" s="629"/>
      <c r="B27" s="353">
        <v>21</v>
      </c>
      <c r="C27" s="374" t="s">
        <v>307</v>
      </c>
      <c r="D27" s="377"/>
      <c r="E27" s="377"/>
      <c r="F27" s="377"/>
      <c r="G27" s="377"/>
      <c r="H27" s="387" t="e">
        <f>(H21+H24+H28)*-1</f>
        <v>#VALUE!</v>
      </c>
      <c r="I27" s="387" t="e">
        <f>(I21+I24+I28)*-0.95</f>
        <v>#VALUE!</v>
      </c>
      <c r="J27" s="387" t="e">
        <f t="shared" ref="J27:AF27" si="23">(J21+J24+J28)*-0.95</f>
        <v>#VALUE!</v>
      </c>
      <c r="K27" s="387" t="e">
        <f t="shared" si="23"/>
        <v>#VALUE!</v>
      </c>
      <c r="L27" s="387" t="e">
        <f t="shared" si="23"/>
        <v>#VALUE!</v>
      </c>
      <c r="M27" s="387" t="e">
        <f t="shared" si="23"/>
        <v>#VALUE!</v>
      </c>
      <c r="N27" s="387" t="e">
        <f t="shared" si="23"/>
        <v>#VALUE!</v>
      </c>
      <c r="O27" s="387" t="e">
        <f t="shared" si="23"/>
        <v>#VALUE!</v>
      </c>
      <c r="P27" s="387" t="e">
        <f t="shared" si="23"/>
        <v>#VALUE!</v>
      </c>
      <c r="Q27" s="387" t="e">
        <f t="shared" si="23"/>
        <v>#VALUE!</v>
      </c>
      <c r="R27" s="387" t="e">
        <f t="shared" si="23"/>
        <v>#VALUE!</v>
      </c>
      <c r="S27" s="387" t="e">
        <f t="shared" si="23"/>
        <v>#VALUE!</v>
      </c>
      <c r="T27" s="387" t="e">
        <f t="shared" si="23"/>
        <v>#VALUE!</v>
      </c>
      <c r="U27" s="387" t="e">
        <f t="shared" si="23"/>
        <v>#VALUE!</v>
      </c>
      <c r="V27" s="387" t="e">
        <f t="shared" si="23"/>
        <v>#VALUE!</v>
      </c>
      <c r="W27" s="387" t="e">
        <f t="shared" si="23"/>
        <v>#VALUE!</v>
      </c>
      <c r="X27" s="387" t="e">
        <f t="shared" si="23"/>
        <v>#VALUE!</v>
      </c>
      <c r="Y27" s="387" t="e">
        <f t="shared" si="23"/>
        <v>#VALUE!</v>
      </c>
      <c r="Z27" s="387" t="e">
        <f t="shared" si="23"/>
        <v>#VALUE!</v>
      </c>
      <c r="AA27" s="387" t="e">
        <f t="shared" si="23"/>
        <v>#VALUE!</v>
      </c>
      <c r="AB27" s="387" t="e">
        <f t="shared" si="23"/>
        <v>#VALUE!</v>
      </c>
      <c r="AC27" s="387" t="e">
        <f t="shared" si="23"/>
        <v>#VALUE!</v>
      </c>
      <c r="AD27" s="387" t="e">
        <f t="shared" si="23"/>
        <v>#VALUE!</v>
      </c>
      <c r="AE27" s="387" t="e">
        <f t="shared" si="23"/>
        <v>#VALUE!</v>
      </c>
      <c r="AF27" s="387" t="e">
        <f t="shared" si="23"/>
        <v>#VALUE!</v>
      </c>
    </row>
    <row r="28" spans="1:33" x14ac:dyDescent="0.35">
      <c r="A28" s="629"/>
      <c r="B28" s="353">
        <v>22</v>
      </c>
      <c r="C28" s="384" t="s">
        <v>308</v>
      </c>
      <c r="D28" s="377"/>
      <c r="E28" s="377"/>
      <c r="F28" s="377"/>
      <c r="G28" s="377"/>
      <c r="H28" s="380">
        <f t="shared" ref="H28:K28" si="24">(1+$D$58)*G28</f>
        <v>0</v>
      </c>
      <c r="I28" s="380">
        <f t="shared" si="24"/>
        <v>0</v>
      </c>
      <c r="J28" s="380">
        <f t="shared" si="24"/>
        <v>0</v>
      </c>
      <c r="K28" s="380">
        <f t="shared" si="24"/>
        <v>0</v>
      </c>
      <c r="L28" s="380">
        <f>(1+$E$58)*K28</f>
        <v>0</v>
      </c>
      <c r="M28" s="380">
        <f t="shared" ref="M28:AF28" si="25">(1+$E$58)*L28</f>
        <v>0</v>
      </c>
      <c r="N28" s="380">
        <f t="shared" si="25"/>
        <v>0</v>
      </c>
      <c r="O28" s="380">
        <f t="shared" si="25"/>
        <v>0</v>
      </c>
      <c r="P28" s="380">
        <f t="shared" si="25"/>
        <v>0</v>
      </c>
      <c r="Q28" s="380">
        <f t="shared" si="25"/>
        <v>0</v>
      </c>
      <c r="R28" s="380">
        <f t="shared" si="25"/>
        <v>0</v>
      </c>
      <c r="S28" s="380">
        <f t="shared" si="25"/>
        <v>0</v>
      </c>
      <c r="T28" s="380">
        <f t="shared" si="25"/>
        <v>0</v>
      </c>
      <c r="U28" s="380">
        <f t="shared" si="25"/>
        <v>0</v>
      </c>
      <c r="V28" s="380">
        <f t="shared" si="25"/>
        <v>0</v>
      </c>
      <c r="W28" s="380">
        <f t="shared" si="25"/>
        <v>0</v>
      </c>
      <c r="X28" s="380">
        <f t="shared" si="25"/>
        <v>0</v>
      </c>
      <c r="Y28" s="380">
        <f t="shared" si="25"/>
        <v>0</v>
      </c>
      <c r="Z28" s="380">
        <f t="shared" si="25"/>
        <v>0</v>
      </c>
      <c r="AA28" s="380">
        <f t="shared" si="25"/>
        <v>0</v>
      </c>
      <c r="AB28" s="380">
        <f t="shared" si="25"/>
        <v>0</v>
      </c>
      <c r="AC28" s="380">
        <f t="shared" si="25"/>
        <v>0</v>
      </c>
      <c r="AD28" s="380">
        <f t="shared" si="25"/>
        <v>0</v>
      </c>
      <c r="AE28" s="380">
        <f t="shared" si="25"/>
        <v>0</v>
      </c>
      <c r="AF28" s="380">
        <f t="shared" si="25"/>
        <v>0</v>
      </c>
    </row>
    <row r="29" spans="1:33" x14ac:dyDescent="0.35">
      <c r="A29" s="629"/>
      <c r="B29" s="353">
        <v>23</v>
      </c>
      <c r="C29" s="374" t="s">
        <v>309</v>
      </c>
      <c r="D29" s="377"/>
      <c r="E29" s="377"/>
      <c r="F29" s="377"/>
      <c r="G29" s="377"/>
      <c r="H29" s="369">
        <v>0</v>
      </c>
      <c r="I29" s="369">
        <v>0</v>
      </c>
      <c r="J29" s="369">
        <v>0</v>
      </c>
      <c r="K29" s="369">
        <v>0</v>
      </c>
      <c r="L29" s="369">
        <v>0</v>
      </c>
      <c r="M29" s="369">
        <v>0</v>
      </c>
      <c r="N29" s="369">
        <v>0</v>
      </c>
      <c r="O29" s="369">
        <v>0</v>
      </c>
      <c r="P29" s="369">
        <v>0</v>
      </c>
      <c r="Q29" s="369">
        <v>0</v>
      </c>
      <c r="R29" s="369">
        <v>0</v>
      </c>
      <c r="S29" s="369">
        <v>0</v>
      </c>
      <c r="T29" s="369">
        <v>0</v>
      </c>
      <c r="U29" s="369">
        <v>0</v>
      </c>
      <c r="V29" s="369">
        <v>0</v>
      </c>
      <c r="W29" s="369">
        <v>0</v>
      </c>
      <c r="X29" s="369">
        <v>0</v>
      </c>
      <c r="Y29" s="369">
        <v>0</v>
      </c>
      <c r="Z29" s="369">
        <v>0</v>
      </c>
      <c r="AA29" s="369">
        <v>0</v>
      </c>
      <c r="AB29" s="369">
        <v>0</v>
      </c>
      <c r="AC29" s="369">
        <v>0</v>
      </c>
      <c r="AD29" s="369">
        <v>0</v>
      </c>
      <c r="AE29" s="369">
        <v>0</v>
      </c>
      <c r="AF29" s="369">
        <v>0</v>
      </c>
    </row>
    <row r="30" spans="1:33" x14ac:dyDescent="0.35">
      <c r="A30" s="630"/>
      <c r="B30" s="353">
        <v>24</v>
      </c>
      <c r="C30" s="378" t="s">
        <v>310</v>
      </c>
      <c r="D30" s="381">
        <f>SUM(D25:D29)</f>
        <v>0</v>
      </c>
      <c r="E30" s="381">
        <f>SUM(E25:E29)</f>
        <v>0</v>
      </c>
      <c r="F30" s="381">
        <f>SUM(F25:F29)</f>
        <v>0</v>
      </c>
      <c r="G30" s="381">
        <f t="shared" ref="G30:AF30" si="26">SUM(G25:G29)</f>
        <v>0</v>
      </c>
      <c r="H30" s="381" t="e">
        <f t="shared" si="26"/>
        <v>#VALUE!</v>
      </c>
      <c r="I30" s="381" t="e">
        <f t="shared" si="26"/>
        <v>#VALUE!</v>
      </c>
      <c r="J30" s="381" t="e">
        <f t="shared" si="26"/>
        <v>#VALUE!</v>
      </c>
      <c r="K30" s="381" t="e">
        <f t="shared" si="26"/>
        <v>#VALUE!</v>
      </c>
      <c r="L30" s="381" t="e">
        <f t="shared" si="26"/>
        <v>#VALUE!</v>
      </c>
      <c r="M30" s="381" t="e">
        <f t="shared" si="26"/>
        <v>#VALUE!</v>
      </c>
      <c r="N30" s="381" t="e">
        <f t="shared" si="26"/>
        <v>#VALUE!</v>
      </c>
      <c r="O30" s="381" t="e">
        <f t="shared" si="26"/>
        <v>#VALUE!</v>
      </c>
      <c r="P30" s="381" t="e">
        <f t="shared" si="26"/>
        <v>#VALUE!</v>
      </c>
      <c r="Q30" s="381" t="e">
        <f t="shared" si="26"/>
        <v>#VALUE!</v>
      </c>
      <c r="R30" s="381" t="e">
        <f t="shared" si="26"/>
        <v>#VALUE!</v>
      </c>
      <c r="S30" s="381" t="e">
        <f t="shared" si="26"/>
        <v>#VALUE!</v>
      </c>
      <c r="T30" s="381" t="e">
        <f t="shared" si="26"/>
        <v>#VALUE!</v>
      </c>
      <c r="U30" s="381" t="e">
        <f t="shared" si="26"/>
        <v>#VALUE!</v>
      </c>
      <c r="V30" s="381" t="e">
        <f t="shared" si="26"/>
        <v>#VALUE!</v>
      </c>
      <c r="W30" s="381" t="e">
        <f t="shared" si="26"/>
        <v>#VALUE!</v>
      </c>
      <c r="X30" s="381" t="e">
        <f t="shared" si="26"/>
        <v>#VALUE!</v>
      </c>
      <c r="Y30" s="381" t="e">
        <f t="shared" si="26"/>
        <v>#VALUE!</v>
      </c>
      <c r="Z30" s="381" t="e">
        <f t="shared" si="26"/>
        <v>#VALUE!</v>
      </c>
      <c r="AA30" s="381" t="e">
        <f t="shared" si="26"/>
        <v>#VALUE!</v>
      </c>
      <c r="AB30" s="381" t="e">
        <f t="shared" si="26"/>
        <v>#VALUE!</v>
      </c>
      <c r="AC30" s="381" t="e">
        <f t="shared" si="26"/>
        <v>#VALUE!</v>
      </c>
      <c r="AD30" s="381" t="e">
        <f t="shared" si="26"/>
        <v>#VALUE!</v>
      </c>
      <c r="AE30" s="381" t="e">
        <f t="shared" si="26"/>
        <v>#VALUE!</v>
      </c>
      <c r="AF30" s="381" t="e">
        <f t="shared" si="26"/>
        <v>#VALUE!</v>
      </c>
    </row>
    <row r="31" spans="1:33" x14ac:dyDescent="0.35">
      <c r="C31" s="371"/>
      <c r="D31" s="372"/>
      <c r="E31" s="372"/>
      <c r="F31" s="372"/>
      <c r="G31" s="372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  <c r="AE31" s="373"/>
      <c r="AF31" s="373"/>
    </row>
    <row r="32" spans="1:33" x14ac:dyDescent="0.35">
      <c r="A32" s="636" t="s">
        <v>311</v>
      </c>
      <c r="B32" s="353">
        <v>25</v>
      </c>
      <c r="C32" s="388" t="s">
        <v>312</v>
      </c>
      <c r="D32" s="389">
        <f>D21+D24+D25+D26+D29</f>
        <v>0</v>
      </c>
      <c r="E32" s="389">
        <f>E21+E24+E25+E26+E29</f>
        <v>0</v>
      </c>
      <c r="F32" s="389">
        <f>F21+F24+F25+F26+F29</f>
        <v>0</v>
      </c>
      <c r="G32" s="389">
        <f>G21+G24+G25+G26+G29</f>
        <v>0</v>
      </c>
      <c r="H32" s="390" t="e">
        <f t="shared" ref="H32:AF32" si="27">H21+H24+H25+H26+H29</f>
        <v>#VALUE!</v>
      </c>
      <c r="I32" s="390" t="e">
        <f>I21+I24+I25+I26+I29</f>
        <v>#VALUE!</v>
      </c>
      <c r="J32" s="390" t="e">
        <f t="shared" si="27"/>
        <v>#VALUE!</v>
      </c>
      <c r="K32" s="390" t="e">
        <f t="shared" si="27"/>
        <v>#VALUE!</v>
      </c>
      <c r="L32" s="390" t="e">
        <f t="shared" si="27"/>
        <v>#VALUE!</v>
      </c>
      <c r="M32" s="390" t="e">
        <f t="shared" si="27"/>
        <v>#VALUE!</v>
      </c>
      <c r="N32" s="390" t="e">
        <f t="shared" si="27"/>
        <v>#VALUE!</v>
      </c>
      <c r="O32" s="390" t="e">
        <f t="shared" si="27"/>
        <v>#VALUE!</v>
      </c>
      <c r="P32" s="390" t="e">
        <f t="shared" si="27"/>
        <v>#VALUE!</v>
      </c>
      <c r="Q32" s="390" t="e">
        <f t="shared" si="27"/>
        <v>#VALUE!</v>
      </c>
      <c r="R32" s="390" t="e">
        <f t="shared" si="27"/>
        <v>#VALUE!</v>
      </c>
      <c r="S32" s="390" t="e">
        <f t="shared" si="27"/>
        <v>#VALUE!</v>
      </c>
      <c r="T32" s="390" t="e">
        <f t="shared" si="27"/>
        <v>#VALUE!</v>
      </c>
      <c r="U32" s="390" t="e">
        <f t="shared" si="27"/>
        <v>#VALUE!</v>
      </c>
      <c r="V32" s="390" t="e">
        <f t="shared" si="27"/>
        <v>#VALUE!</v>
      </c>
      <c r="W32" s="390" t="e">
        <f t="shared" si="27"/>
        <v>#VALUE!</v>
      </c>
      <c r="X32" s="390" t="e">
        <f t="shared" si="27"/>
        <v>#VALUE!</v>
      </c>
      <c r="Y32" s="390" t="e">
        <f t="shared" si="27"/>
        <v>#VALUE!</v>
      </c>
      <c r="Z32" s="390" t="e">
        <f t="shared" si="27"/>
        <v>#VALUE!</v>
      </c>
      <c r="AA32" s="390" t="e">
        <f t="shared" si="27"/>
        <v>#VALUE!</v>
      </c>
      <c r="AB32" s="390" t="e">
        <f t="shared" si="27"/>
        <v>#VALUE!</v>
      </c>
      <c r="AC32" s="390" t="e">
        <f t="shared" si="27"/>
        <v>#VALUE!</v>
      </c>
      <c r="AD32" s="390" t="e">
        <f t="shared" si="27"/>
        <v>#VALUE!</v>
      </c>
      <c r="AE32" s="390" t="e">
        <f t="shared" si="27"/>
        <v>#VALUE!</v>
      </c>
      <c r="AF32" s="390" t="e">
        <f t="shared" si="27"/>
        <v>#VALUE!</v>
      </c>
    </row>
    <row r="33" spans="1:32" x14ac:dyDescent="0.35">
      <c r="A33" s="637"/>
      <c r="B33" s="353">
        <v>26</v>
      </c>
      <c r="C33" s="388" t="s">
        <v>313</v>
      </c>
      <c r="D33" s="389">
        <f>-1*(D27+D28)</f>
        <v>0</v>
      </c>
      <c r="E33" s="389">
        <f>-1*(E27+E28)</f>
        <v>0</v>
      </c>
      <c r="F33" s="389">
        <f>-1*(F27+F28)</f>
        <v>0</v>
      </c>
      <c r="G33" s="389">
        <f t="shared" ref="G33:AE33" si="28">-1*(G27+G28)</f>
        <v>0</v>
      </c>
      <c r="H33" s="391" t="e">
        <f t="shared" si="28"/>
        <v>#VALUE!</v>
      </c>
      <c r="I33" s="391" t="e">
        <f t="shared" si="28"/>
        <v>#VALUE!</v>
      </c>
      <c r="J33" s="391" t="e">
        <f t="shared" si="28"/>
        <v>#VALUE!</v>
      </c>
      <c r="K33" s="391" t="e">
        <f t="shared" si="28"/>
        <v>#VALUE!</v>
      </c>
      <c r="L33" s="391" t="e">
        <f t="shared" si="28"/>
        <v>#VALUE!</v>
      </c>
      <c r="M33" s="391" t="e">
        <f t="shared" si="28"/>
        <v>#VALUE!</v>
      </c>
      <c r="N33" s="391" t="e">
        <f t="shared" si="28"/>
        <v>#VALUE!</v>
      </c>
      <c r="O33" s="391" t="e">
        <f t="shared" si="28"/>
        <v>#VALUE!</v>
      </c>
      <c r="P33" s="391" t="e">
        <f t="shared" si="28"/>
        <v>#VALUE!</v>
      </c>
      <c r="Q33" s="391" t="e">
        <f t="shared" si="28"/>
        <v>#VALUE!</v>
      </c>
      <c r="R33" s="391" t="e">
        <f t="shared" si="28"/>
        <v>#VALUE!</v>
      </c>
      <c r="S33" s="391" t="e">
        <f t="shared" si="28"/>
        <v>#VALUE!</v>
      </c>
      <c r="T33" s="391" t="e">
        <f t="shared" si="28"/>
        <v>#VALUE!</v>
      </c>
      <c r="U33" s="391" t="e">
        <f t="shared" si="28"/>
        <v>#VALUE!</v>
      </c>
      <c r="V33" s="391" t="e">
        <f t="shared" si="28"/>
        <v>#VALUE!</v>
      </c>
      <c r="W33" s="391" t="e">
        <f t="shared" si="28"/>
        <v>#VALUE!</v>
      </c>
      <c r="X33" s="391" t="e">
        <f t="shared" si="28"/>
        <v>#VALUE!</v>
      </c>
      <c r="Y33" s="391" t="e">
        <f t="shared" si="28"/>
        <v>#VALUE!</v>
      </c>
      <c r="Z33" s="391" t="e">
        <f t="shared" si="28"/>
        <v>#VALUE!</v>
      </c>
      <c r="AA33" s="391" t="e">
        <f t="shared" si="28"/>
        <v>#VALUE!</v>
      </c>
      <c r="AB33" s="391" t="e">
        <f t="shared" si="28"/>
        <v>#VALUE!</v>
      </c>
      <c r="AC33" s="391" t="e">
        <f t="shared" si="28"/>
        <v>#VALUE!</v>
      </c>
      <c r="AD33" s="391" t="e">
        <f t="shared" si="28"/>
        <v>#VALUE!</v>
      </c>
      <c r="AE33" s="391" t="e">
        <f t="shared" si="28"/>
        <v>#VALUE!</v>
      </c>
      <c r="AF33" s="391" t="e">
        <f>-1*(AF27+AF28)</f>
        <v>#VALUE!</v>
      </c>
    </row>
    <row r="34" spans="1:32" x14ac:dyDescent="0.35">
      <c r="A34" s="638"/>
      <c r="B34" s="353">
        <v>27</v>
      </c>
      <c r="C34" s="388" t="s">
        <v>314</v>
      </c>
      <c r="D34" s="392">
        <f>D32-D33</f>
        <v>0</v>
      </c>
      <c r="E34" s="375">
        <f>E32-E33</f>
        <v>0</v>
      </c>
      <c r="F34" s="375">
        <f>F32-F33</f>
        <v>0</v>
      </c>
      <c r="G34" s="375">
        <f>G32-G33</f>
        <v>0</v>
      </c>
      <c r="H34" s="393" t="e">
        <f t="shared" ref="H34:AF34" si="29">H32-H33</f>
        <v>#VALUE!</v>
      </c>
      <c r="I34" s="393" t="e">
        <f t="shared" si="29"/>
        <v>#VALUE!</v>
      </c>
      <c r="J34" s="393" t="e">
        <f t="shared" si="29"/>
        <v>#VALUE!</v>
      </c>
      <c r="K34" s="393" t="e">
        <f t="shared" si="29"/>
        <v>#VALUE!</v>
      </c>
      <c r="L34" s="393" t="e">
        <f t="shared" si="29"/>
        <v>#VALUE!</v>
      </c>
      <c r="M34" s="393" t="e">
        <f t="shared" si="29"/>
        <v>#VALUE!</v>
      </c>
      <c r="N34" s="393" t="e">
        <f t="shared" si="29"/>
        <v>#VALUE!</v>
      </c>
      <c r="O34" s="393" t="e">
        <f t="shared" si="29"/>
        <v>#VALUE!</v>
      </c>
      <c r="P34" s="393" t="e">
        <f t="shared" si="29"/>
        <v>#VALUE!</v>
      </c>
      <c r="Q34" s="393" t="e">
        <f t="shared" si="29"/>
        <v>#VALUE!</v>
      </c>
      <c r="R34" s="393" t="e">
        <f t="shared" si="29"/>
        <v>#VALUE!</v>
      </c>
      <c r="S34" s="393" t="e">
        <f t="shared" si="29"/>
        <v>#VALUE!</v>
      </c>
      <c r="T34" s="393" t="e">
        <f t="shared" si="29"/>
        <v>#VALUE!</v>
      </c>
      <c r="U34" s="393" t="e">
        <f t="shared" si="29"/>
        <v>#VALUE!</v>
      </c>
      <c r="V34" s="393" t="e">
        <f t="shared" si="29"/>
        <v>#VALUE!</v>
      </c>
      <c r="W34" s="393" t="e">
        <f t="shared" si="29"/>
        <v>#VALUE!</v>
      </c>
      <c r="X34" s="393" t="e">
        <f t="shared" si="29"/>
        <v>#VALUE!</v>
      </c>
      <c r="Y34" s="393" t="e">
        <f t="shared" si="29"/>
        <v>#VALUE!</v>
      </c>
      <c r="Z34" s="393" t="e">
        <f t="shared" si="29"/>
        <v>#VALUE!</v>
      </c>
      <c r="AA34" s="393" t="e">
        <f t="shared" si="29"/>
        <v>#VALUE!</v>
      </c>
      <c r="AB34" s="393" t="e">
        <f t="shared" si="29"/>
        <v>#VALUE!</v>
      </c>
      <c r="AC34" s="393" t="e">
        <f t="shared" si="29"/>
        <v>#VALUE!</v>
      </c>
      <c r="AD34" s="393" t="e">
        <f t="shared" si="29"/>
        <v>#VALUE!</v>
      </c>
      <c r="AE34" s="393" t="e">
        <f t="shared" si="29"/>
        <v>#VALUE!</v>
      </c>
      <c r="AF34" s="393" t="e">
        <f t="shared" si="29"/>
        <v>#VALUE!</v>
      </c>
    </row>
    <row r="36" spans="1:32" x14ac:dyDescent="0.35">
      <c r="A36" s="639" t="s">
        <v>315</v>
      </c>
      <c r="B36" s="394">
        <v>28</v>
      </c>
      <c r="C36" s="388" t="s">
        <v>316</v>
      </c>
      <c r="D36" s="361" t="e">
        <f t="shared" ref="D36" si="30">C36+D34</f>
        <v>#VALUE!</v>
      </c>
      <c r="E36" s="361" t="e">
        <f t="shared" ref="E36" si="31">D36+E34</f>
        <v>#VALUE!</v>
      </c>
      <c r="F36" s="361" t="e">
        <f t="shared" ref="F36" si="32">E36+F34</f>
        <v>#VALUE!</v>
      </c>
      <c r="G36" s="361" t="e">
        <f>F36+G34</f>
        <v>#VALUE!</v>
      </c>
      <c r="H36" s="361" t="e">
        <f t="shared" ref="H36:AF36" si="33">G36+H34</f>
        <v>#VALUE!</v>
      </c>
      <c r="I36" s="361" t="e">
        <f t="shared" si="33"/>
        <v>#VALUE!</v>
      </c>
      <c r="J36" s="361" t="e">
        <f t="shared" si="33"/>
        <v>#VALUE!</v>
      </c>
      <c r="K36" s="361" t="e">
        <f t="shared" si="33"/>
        <v>#VALUE!</v>
      </c>
      <c r="L36" s="361" t="e">
        <f t="shared" si="33"/>
        <v>#VALUE!</v>
      </c>
      <c r="M36" s="361" t="e">
        <f t="shared" si="33"/>
        <v>#VALUE!</v>
      </c>
      <c r="N36" s="361" t="e">
        <f t="shared" si="33"/>
        <v>#VALUE!</v>
      </c>
      <c r="O36" s="361" t="e">
        <f t="shared" si="33"/>
        <v>#VALUE!</v>
      </c>
      <c r="P36" s="361" t="e">
        <f t="shared" si="33"/>
        <v>#VALUE!</v>
      </c>
      <c r="Q36" s="361" t="e">
        <f t="shared" si="33"/>
        <v>#VALUE!</v>
      </c>
      <c r="R36" s="361" t="e">
        <f t="shared" si="33"/>
        <v>#VALUE!</v>
      </c>
      <c r="S36" s="361" t="e">
        <f t="shared" si="33"/>
        <v>#VALUE!</v>
      </c>
      <c r="T36" s="361" t="e">
        <f t="shared" si="33"/>
        <v>#VALUE!</v>
      </c>
      <c r="U36" s="361" t="e">
        <f t="shared" si="33"/>
        <v>#VALUE!</v>
      </c>
      <c r="V36" s="361" t="e">
        <f t="shared" si="33"/>
        <v>#VALUE!</v>
      </c>
      <c r="W36" s="361" t="e">
        <f t="shared" si="33"/>
        <v>#VALUE!</v>
      </c>
      <c r="X36" s="361" t="e">
        <f t="shared" si="33"/>
        <v>#VALUE!</v>
      </c>
      <c r="Y36" s="361" t="e">
        <f t="shared" si="33"/>
        <v>#VALUE!</v>
      </c>
      <c r="Z36" s="361" t="e">
        <f t="shared" si="33"/>
        <v>#VALUE!</v>
      </c>
      <c r="AA36" s="361" t="e">
        <f t="shared" si="33"/>
        <v>#VALUE!</v>
      </c>
      <c r="AB36" s="361" t="e">
        <f t="shared" si="33"/>
        <v>#VALUE!</v>
      </c>
      <c r="AC36" s="361" t="e">
        <f t="shared" si="33"/>
        <v>#VALUE!</v>
      </c>
      <c r="AD36" s="361" t="e">
        <f t="shared" si="33"/>
        <v>#VALUE!</v>
      </c>
      <c r="AE36" s="361" t="e">
        <f t="shared" si="33"/>
        <v>#VALUE!</v>
      </c>
      <c r="AF36" s="361" t="e">
        <f t="shared" si="33"/>
        <v>#VALUE!</v>
      </c>
    </row>
    <row r="37" spans="1:32" x14ac:dyDescent="0.35">
      <c r="A37" s="639"/>
      <c r="B37" s="395">
        <v>29</v>
      </c>
      <c r="C37" s="388" t="s">
        <v>317</v>
      </c>
      <c r="D37" s="532">
        <f>Cifras_en_Millones!F60</f>
        <v>0</v>
      </c>
      <c r="E37" s="532">
        <f>Cifras_en_Millones!E60</f>
        <v>0</v>
      </c>
      <c r="F37" s="532">
        <f>Cifras_en_Millones!D60</f>
        <v>0</v>
      </c>
      <c r="G37" s="532">
        <f>Cifras_en_Millones!C60</f>
        <v>0</v>
      </c>
      <c r="H37" s="361">
        <f t="shared" ref="H37:AF37" si="34">G37</f>
        <v>0</v>
      </c>
      <c r="I37" s="361">
        <f t="shared" si="34"/>
        <v>0</v>
      </c>
      <c r="J37" s="361">
        <f t="shared" si="34"/>
        <v>0</v>
      </c>
      <c r="K37" s="361">
        <f t="shared" si="34"/>
        <v>0</v>
      </c>
      <c r="L37" s="361">
        <f t="shared" si="34"/>
        <v>0</v>
      </c>
      <c r="M37" s="361">
        <f t="shared" si="34"/>
        <v>0</v>
      </c>
      <c r="N37" s="361">
        <f t="shared" si="34"/>
        <v>0</v>
      </c>
      <c r="O37" s="361">
        <f t="shared" si="34"/>
        <v>0</v>
      </c>
      <c r="P37" s="361">
        <f t="shared" si="34"/>
        <v>0</v>
      </c>
      <c r="Q37" s="361">
        <f t="shared" si="34"/>
        <v>0</v>
      </c>
      <c r="R37" s="361">
        <f t="shared" si="34"/>
        <v>0</v>
      </c>
      <c r="S37" s="361">
        <f t="shared" si="34"/>
        <v>0</v>
      </c>
      <c r="T37" s="361">
        <f t="shared" si="34"/>
        <v>0</v>
      </c>
      <c r="U37" s="361">
        <f t="shared" si="34"/>
        <v>0</v>
      </c>
      <c r="V37" s="361">
        <f t="shared" si="34"/>
        <v>0</v>
      </c>
      <c r="W37" s="361">
        <f t="shared" si="34"/>
        <v>0</v>
      </c>
      <c r="X37" s="361">
        <f t="shared" si="34"/>
        <v>0</v>
      </c>
      <c r="Y37" s="361">
        <f t="shared" si="34"/>
        <v>0</v>
      </c>
      <c r="Z37" s="361">
        <f t="shared" si="34"/>
        <v>0</v>
      </c>
      <c r="AA37" s="361">
        <f t="shared" si="34"/>
        <v>0</v>
      </c>
      <c r="AB37" s="361">
        <f t="shared" si="34"/>
        <v>0</v>
      </c>
      <c r="AC37" s="361">
        <f t="shared" si="34"/>
        <v>0</v>
      </c>
      <c r="AD37" s="361">
        <f t="shared" si="34"/>
        <v>0</v>
      </c>
      <c r="AE37" s="361">
        <f t="shared" si="34"/>
        <v>0</v>
      </c>
      <c r="AF37" s="361">
        <f t="shared" si="34"/>
        <v>0</v>
      </c>
    </row>
    <row r="38" spans="1:32" x14ac:dyDescent="0.35">
      <c r="A38" s="639"/>
      <c r="B38" s="397">
        <v>30</v>
      </c>
      <c r="C38" s="388" t="s">
        <v>318</v>
      </c>
      <c r="D38" s="396"/>
      <c r="E38" s="396"/>
      <c r="F38" s="361"/>
      <c r="G38" s="398">
        <f t="shared" ref="G38:AF38" si="35">1/((1+$D$47)^G3)</f>
        <v>1</v>
      </c>
      <c r="H38" s="398">
        <f t="shared" si="35"/>
        <v>1</v>
      </c>
      <c r="I38" s="398">
        <f t="shared" si="35"/>
        <v>1</v>
      </c>
      <c r="J38" s="398">
        <f t="shared" si="35"/>
        <v>1</v>
      </c>
      <c r="K38" s="398">
        <f t="shared" si="35"/>
        <v>1</v>
      </c>
      <c r="L38" s="398">
        <f t="shared" si="35"/>
        <v>1</v>
      </c>
      <c r="M38" s="398">
        <f t="shared" si="35"/>
        <v>1</v>
      </c>
      <c r="N38" s="398">
        <f t="shared" si="35"/>
        <v>1</v>
      </c>
      <c r="O38" s="398">
        <f t="shared" si="35"/>
        <v>1</v>
      </c>
      <c r="P38" s="398">
        <f t="shared" si="35"/>
        <v>1</v>
      </c>
      <c r="Q38" s="398">
        <f t="shared" si="35"/>
        <v>1</v>
      </c>
      <c r="R38" s="398">
        <f t="shared" si="35"/>
        <v>1</v>
      </c>
      <c r="S38" s="398">
        <f t="shared" si="35"/>
        <v>1</v>
      </c>
      <c r="T38" s="398">
        <f t="shared" si="35"/>
        <v>1</v>
      </c>
      <c r="U38" s="398">
        <f t="shared" si="35"/>
        <v>1</v>
      </c>
      <c r="V38" s="398">
        <f t="shared" si="35"/>
        <v>1</v>
      </c>
      <c r="W38" s="398">
        <f t="shared" si="35"/>
        <v>1</v>
      </c>
      <c r="X38" s="398">
        <f t="shared" si="35"/>
        <v>1</v>
      </c>
      <c r="Y38" s="398">
        <f t="shared" si="35"/>
        <v>1</v>
      </c>
      <c r="Z38" s="398">
        <f t="shared" si="35"/>
        <v>1</v>
      </c>
      <c r="AA38" s="398">
        <f t="shared" si="35"/>
        <v>1</v>
      </c>
      <c r="AB38" s="398">
        <f t="shared" si="35"/>
        <v>1</v>
      </c>
      <c r="AC38" s="398">
        <f t="shared" si="35"/>
        <v>1</v>
      </c>
      <c r="AD38" s="398">
        <f t="shared" si="35"/>
        <v>1</v>
      </c>
      <c r="AE38" s="398">
        <f t="shared" si="35"/>
        <v>1</v>
      </c>
      <c r="AF38" s="398">
        <f t="shared" si="35"/>
        <v>1</v>
      </c>
    </row>
    <row r="39" spans="1:32" x14ac:dyDescent="0.35">
      <c r="A39" s="399"/>
      <c r="B39" s="399"/>
      <c r="C39" s="399"/>
      <c r="D39" s="400"/>
      <c r="E39" s="400"/>
      <c r="F39" s="467" t="e">
        <f>1/((1+$D$48+0.001)^F$3)</f>
        <v>#DIV/0!</v>
      </c>
      <c r="G39" s="467">
        <f>1/((1+$D$47+0.001)^G$3)</f>
        <v>1</v>
      </c>
      <c r="H39" s="467">
        <f t="shared" ref="H39:AE39" si="36">1/((1+$D$47+0.001)^H$3)</f>
        <v>0.99975015613290763</v>
      </c>
      <c r="I39" s="467">
        <f t="shared" si="36"/>
        <v>0.99875140472817969</v>
      </c>
      <c r="J39" s="467">
        <f t="shared" si="36"/>
        <v>0.99775365107710268</v>
      </c>
      <c r="K39" s="467">
        <f t="shared" si="36"/>
        <v>0.99675689418291991</v>
      </c>
      <c r="L39" s="467">
        <f t="shared" si="36"/>
        <v>0.99576113304987002</v>
      </c>
      <c r="M39" s="467">
        <f t="shared" si="36"/>
        <v>0.99476636668318685</v>
      </c>
      <c r="N39" s="467">
        <f t="shared" si="36"/>
        <v>0.99377259408909813</v>
      </c>
      <c r="O39" s="467">
        <f t="shared" si="36"/>
        <v>0.9927798142748232</v>
      </c>
      <c r="P39" s="467">
        <f t="shared" si="36"/>
        <v>0.99178802624857465</v>
      </c>
      <c r="Q39" s="467">
        <f t="shared" si="36"/>
        <v>0.99079722901955525</v>
      </c>
      <c r="R39" s="467">
        <f t="shared" si="36"/>
        <v>0.98980742159795743</v>
      </c>
      <c r="S39" s="467">
        <f t="shared" si="36"/>
        <v>0.98881860299496271</v>
      </c>
      <c r="T39" s="467">
        <f t="shared" si="36"/>
        <v>0.98783077222274007</v>
      </c>
      <c r="U39" s="467">
        <f t="shared" si="36"/>
        <v>0.98684392829444578</v>
      </c>
      <c r="V39" s="467">
        <f t="shared" si="36"/>
        <v>0.98585807022422156</v>
      </c>
      <c r="W39" s="467">
        <f t="shared" si="36"/>
        <v>0.98487319702719445</v>
      </c>
      <c r="X39" s="467">
        <f t="shared" si="36"/>
        <v>0.98388930771947525</v>
      </c>
      <c r="Y39" s="467">
        <f t="shared" si="36"/>
        <v>0.98290640131815699</v>
      </c>
      <c r="Z39" s="467">
        <f t="shared" si="36"/>
        <v>0.9819244768413159</v>
      </c>
      <c r="AA39" s="467">
        <f t="shared" si="36"/>
        <v>0.98094353330800799</v>
      </c>
      <c r="AB39" s="467">
        <f t="shared" si="36"/>
        <v>0.97996356973826981</v>
      </c>
      <c r="AC39" s="467">
        <f t="shared" si="36"/>
        <v>0.9789845851531167</v>
      </c>
      <c r="AD39" s="467">
        <f t="shared" si="36"/>
        <v>0.97800657857454232</v>
      </c>
      <c r="AE39" s="467">
        <f t="shared" si="36"/>
        <v>0.97702954902551697</v>
      </c>
      <c r="AF39" s="399"/>
    </row>
    <row r="40" spans="1:32" x14ac:dyDescent="0.35">
      <c r="A40" s="399"/>
      <c r="B40" s="399"/>
      <c r="C40" s="399"/>
      <c r="D40" s="400"/>
      <c r="E40" s="400"/>
      <c r="F40" s="467" t="e">
        <f>1/((1+$D$48+0.005)^F$3)</f>
        <v>#DIV/0!</v>
      </c>
      <c r="G40" s="467">
        <f>1/((1+$D$47+0.005)^G$3)</f>
        <v>1</v>
      </c>
      <c r="H40" s="467">
        <f t="shared" ref="H40:AE40" si="37">1/((1+$D$47+0.005)^H$3)</f>
        <v>0.99875389166082007</v>
      </c>
      <c r="I40" s="467">
        <f t="shared" si="37"/>
        <v>0.9937849668266866</v>
      </c>
      <c r="J40" s="467">
        <f t="shared" si="37"/>
        <v>0.9888407630116286</v>
      </c>
      <c r="K40" s="467">
        <f t="shared" si="37"/>
        <v>0.98392115722550122</v>
      </c>
      <c r="L40" s="467">
        <f t="shared" si="37"/>
        <v>0.97902602709005104</v>
      </c>
      <c r="M40" s="467">
        <f t="shared" si="37"/>
        <v>0.97415525083587184</v>
      </c>
      <c r="N40" s="467">
        <f t="shared" si="37"/>
        <v>0.96930870729937502</v>
      </c>
      <c r="O40" s="467">
        <f t="shared" si="37"/>
        <v>0.9644862759197762</v>
      </c>
      <c r="P40" s="467">
        <f t="shared" si="37"/>
        <v>0.95968783673609581</v>
      </c>
      <c r="Q40" s="467">
        <f t="shared" si="37"/>
        <v>0.95491327038417506</v>
      </c>
      <c r="R40" s="467">
        <f t="shared" si="37"/>
        <v>0.95016245809370659</v>
      </c>
      <c r="S40" s="467">
        <f t="shared" si="37"/>
        <v>0.94543528168528046</v>
      </c>
      <c r="T40" s="467">
        <f t="shared" si="37"/>
        <v>0.94073162356744333</v>
      </c>
      <c r="U40" s="467">
        <f t="shared" si="37"/>
        <v>0.93605136673377454</v>
      </c>
      <c r="V40" s="467">
        <f t="shared" si="37"/>
        <v>0.93139439475997476</v>
      </c>
      <c r="W40" s="467">
        <f t="shared" si="37"/>
        <v>0.92676059180096992</v>
      </c>
      <c r="X40" s="467">
        <f t="shared" si="37"/>
        <v>0.9221498425880299</v>
      </c>
      <c r="Y40" s="467">
        <f t="shared" si="37"/>
        <v>0.91756203242590051</v>
      </c>
      <c r="Z40" s="467">
        <f t="shared" si="37"/>
        <v>0.91299704718995089</v>
      </c>
      <c r="AA40" s="467">
        <f t="shared" si="37"/>
        <v>0.90845477332333435</v>
      </c>
      <c r="AB40" s="467">
        <f t="shared" si="37"/>
        <v>0.90393509783416348</v>
      </c>
      <c r="AC40" s="467">
        <f t="shared" si="37"/>
        <v>0.89943790829270021</v>
      </c>
      <c r="AD40" s="467">
        <f t="shared" si="37"/>
        <v>0.89496309282855735</v>
      </c>
      <c r="AE40" s="467">
        <f t="shared" si="37"/>
        <v>0.89051054012791786</v>
      </c>
      <c r="AF40" s="399"/>
    </row>
    <row r="41" spans="1:32" x14ac:dyDescent="0.35">
      <c r="A41" s="399"/>
      <c r="B41" s="399"/>
      <c r="C41" s="399"/>
      <c r="D41" s="400"/>
      <c r="E41" s="400"/>
      <c r="F41" s="468"/>
      <c r="G41" s="468"/>
      <c r="H41" s="468"/>
      <c r="I41" s="469"/>
      <c r="J41" s="470"/>
      <c r="K41" s="470"/>
      <c r="L41" s="470"/>
      <c r="M41" s="470"/>
      <c r="N41" s="470"/>
      <c r="O41" s="470"/>
      <c r="P41" s="470"/>
      <c r="Q41" s="470"/>
      <c r="R41" s="470"/>
      <c r="S41" s="470"/>
      <c r="T41" s="470"/>
      <c r="U41" s="470"/>
      <c r="V41" s="470"/>
      <c r="W41" s="470"/>
      <c r="X41" s="470"/>
      <c r="Y41" s="470"/>
      <c r="Z41" s="470"/>
      <c r="AA41" s="470"/>
      <c r="AB41" s="470"/>
      <c r="AC41" s="470"/>
      <c r="AD41" s="470"/>
      <c r="AE41" s="470"/>
      <c r="AF41" s="399"/>
    </row>
    <row r="42" spans="1:32" x14ac:dyDescent="0.35">
      <c r="C42" s="402" t="s">
        <v>135</v>
      </c>
      <c r="D42" s="403"/>
      <c r="E42" s="404"/>
      <c r="F42" s="513" t="s">
        <v>270</v>
      </c>
      <c r="G42" s="513" t="s">
        <v>270</v>
      </c>
      <c r="H42" s="403" t="e">
        <f>1000000*H16/OP!C8</f>
        <v>#VALUE!</v>
      </c>
      <c r="I42" s="405" t="e">
        <f>1000000*I16/OP!$C8</f>
        <v>#VALUE!</v>
      </c>
      <c r="J42" s="405" t="e">
        <f>1000000*J16/OP!$C8</f>
        <v>#VALUE!</v>
      </c>
    </row>
    <row r="43" spans="1:32" x14ac:dyDescent="0.35">
      <c r="C43" s="406" t="s">
        <v>154</v>
      </c>
      <c r="D43" s="362"/>
      <c r="E43" s="362"/>
      <c r="F43" s="407"/>
      <c r="G43" s="407"/>
      <c r="H43" s="407"/>
      <c r="I43" s="408"/>
      <c r="J43" s="408"/>
    </row>
    <row r="44" spans="1:32" x14ac:dyDescent="0.35">
      <c r="C44" s="409" t="s">
        <v>136</v>
      </c>
      <c r="D44" s="410"/>
      <c r="E44" s="410"/>
      <c r="F44" s="512" t="s">
        <v>270</v>
      </c>
      <c r="G44" s="512" t="s">
        <v>270</v>
      </c>
      <c r="H44" s="411" t="e">
        <f t="shared" ref="H44:I44" si="38">$D$64/H16</f>
        <v>#VALUE!</v>
      </c>
      <c r="I44" s="412" t="e">
        <f t="shared" si="38"/>
        <v>#VALUE!</v>
      </c>
    </row>
    <row r="45" spans="1:32" x14ac:dyDescent="0.35">
      <c r="A45" s="399"/>
      <c r="B45" s="399"/>
      <c r="C45" s="399"/>
      <c r="D45" s="400"/>
      <c r="E45" s="400"/>
      <c r="F45" s="400"/>
      <c r="G45" s="401"/>
      <c r="H45" s="401"/>
      <c r="I45" s="401"/>
      <c r="J45" s="401"/>
      <c r="K45" s="401"/>
      <c r="L45" s="401"/>
      <c r="M45" s="401"/>
      <c r="N45" s="401"/>
      <c r="O45" s="401"/>
      <c r="P45" s="401"/>
      <c r="Q45" s="401"/>
      <c r="R45" s="401"/>
      <c r="S45" s="401"/>
      <c r="T45" s="401"/>
      <c r="U45" s="401"/>
      <c r="V45" s="401"/>
      <c r="W45" s="401"/>
      <c r="X45" s="401"/>
      <c r="Y45" s="401"/>
      <c r="Z45" s="401"/>
      <c r="AA45" s="401"/>
      <c r="AB45" s="401"/>
      <c r="AC45" s="401"/>
      <c r="AD45" s="399"/>
      <c r="AE45" s="399"/>
      <c r="AF45" s="399"/>
    </row>
    <row r="46" spans="1:32" x14ac:dyDescent="0.35">
      <c r="A46" s="631" t="s">
        <v>319</v>
      </c>
      <c r="C46" s="402"/>
      <c r="D46" s="404" t="s">
        <v>320</v>
      </c>
      <c r="E46" s="404" t="s">
        <v>321</v>
      </c>
      <c r="F46" s="404" t="s">
        <v>322</v>
      </c>
      <c r="G46" s="413" t="s">
        <v>323</v>
      </c>
    </row>
    <row r="47" spans="1:32" x14ac:dyDescent="0.35">
      <c r="A47" s="633"/>
      <c r="C47" s="414" t="s">
        <v>324</v>
      </c>
      <c r="D47" s="415">
        <f>SUM(E47:G47)</f>
        <v>0</v>
      </c>
      <c r="E47" s="415"/>
      <c r="F47" s="415"/>
      <c r="G47" s="416"/>
      <c r="H47" s="347" t="s">
        <v>270</v>
      </c>
      <c r="I47" s="443"/>
      <c r="AE47" s="417"/>
    </row>
    <row r="48" spans="1:32" x14ac:dyDescent="0.35">
      <c r="D48" s="418"/>
      <c r="E48" s="418"/>
      <c r="F48" s="418"/>
      <c r="G48" s="419"/>
      <c r="I48" s="443"/>
      <c r="AE48" s="417"/>
    </row>
    <row r="49" spans="1:31" x14ac:dyDescent="0.35">
      <c r="C49" s="402"/>
      <c r="D49" s="420" t="s">
        <v>325</v>
      </c>
      <c r="E49" s="420" t="s">
        <v>326</v>
      </c>
      <c r="F49" s="413" t="s">
        <v>327</v>
      </c>
    </row>
    <row r="50" spans="1:31" x14ac:dyDescent="0.35">
      <c r="A50" s="628" t="s">
        <v>328</v>
      </c>
      <c r="C50" s="421" t="s">
        <v>329</v>
      </c>
      <c r="D50" s="422"/>
      <c r="E50" s="422"/>
      <c r="F50" s="423" t="s">
        <v>330</v>
      </c>
      <c r="G50" s="424" t="e">
        <f>SUM(G22:AF22)/SUM(G9:AF9)</f>
        <v>#DIV/0!</v>
      </c>
      <c r="I50" s="365"/>
      <c r="AE50" s="362"/>
    </row>
    <row r="51" spans="1:31" x14ac:dyDescent="0.35">
      <c r="A51" s="629"/>
      <c r="C51" s="425" t="s">
        <v>331</v>
      </c>
      <c r="D51" s="426"/>
      <c r="E51" s="426"/>
      <c r="F51" s="427" t="s">
        <v>332</v>
      </c>
      <c r="G51" s="428" t="e">
        <f>-SUM(D10:F10)/SUM(D6:F6)</f>
        <v>#DIV/0!</v>
      </c>
      <c r="I51" s="365"/>
      <c r="AE51" s="362"/>
    </row>
    <row r="52" spans="1:31" x14ac:dyDescent="0.35">
      <c r="A52" s="629"/>
      <c r="C52" s="425" t="s">
        <v>333</v>
      </c>
      <c r="D52" s="426"/>
      <c r="E52" s="426"/>
      <c r="F52" s="429" t="s">
        <v>334</v>
      </c>
      <c r="I52" s="365"/>
      <c r="AE52" s="362"/>
    </row>
    <row r="53" spans="1:31" x14ac:dyDescent="0.35">
      <c r="A53" s="629"/>
      <c r="C53" s="425" t="s">
        <v>335</v>
      </c>
      <c r="D53" s="426"/>
      <c r="E53" s="426"/>
      <c r="F53" s="429" t="s">
        <v>336</v>
      </c>
    </row>
    <row r="54" spans="1:31" x14ac:dyDescent="0.35">
      <c r="A54" s="629"/>
      <c r="C54" s="425" t="s">
        <v>337</v>
      </c>
      <c r="D54" s="426"/>
      <c r="E54" s="426"/>
      <c r="F54" s="427" t="s">
        <v>338</v>
      </c>
    </row>
    <row r="55" spans="1:31" x14ac:dyDescent="0.35">
      <c r="A55" s="629"/>
      <c r="C55" s="509" t="s">
        <v>421</v>
      </c>
      <c r="D55" s="426"/>
      <c r="E55" s="426"/>
      <c r="F55" s="427" t="s">
        <v>332</v>
      </c>
      <c r="J55" s="365"/>
    </row>
    <row r="56" spans="1:31" x14ac:dyDescent="0.35">
      <c r="A56" s="629"/>
      <c r="C56" s="425" t="s">
        <v>339</v>
      </c>
      <c r="D56" s="426"/>
      <c r="E56" s="426"/>
      <c r="F56" s="427" t="s">
        <v>340</v>
      </c>
    </row>
    <row r="57" spans="1:31" x14ac:dyDescent="0.35">
      <c r="A57" s="629"/>
      <c r="C57" s="425" t="s">
        <v>341</v>
      </c>
      <c r="D57" s="426"/>
      <c r="E57" s="426"/>
      <c r="F57" s="427" t="s">
        <v>332</v>
      </c>
    </row>
    <row r="58" spans="1:31" x14ac:dyDescent="0.35">
      <c r="A58" s="629"/>
      <c r="C58" s="425" t="s">
        <v>120</v>
      </c>
      <c r="D58" s="426"/>
      <c r="E58" s="426"/>
      <c r="F58" s="427" t="s">
        <v>342</v>
      </c>
    </row>
    <row r="59" spans="1:31" x14ac:dyDescent="0.35">
      <c r="A59" s="630"/>
      <c r="C59" s="430" t="s">
        <v>309</v>
      </c>
      <c r="D59" s="415"/>
      <c r="E59" s="415"/>
      <c r="F59" s="431" t="s">
        <v>343</v>
      </c>
    </row>
    <row r="60" spans="1:31" x14ac:dyDescent="0.35">
      <c r="D60" s="362"/>
      <c r="E60" s="362"/>
      <c r="F60" s="362"/>
    </row>
    <row r="61" spans="1:31" x14ac:dyDescent="0.35">
      <c r="A61" s="631" t="s">
        <v>344</v>
      </c>
      <c r="C61" s="396"/>
      <c r="D61" s="432" t="s">
        <v>345</v>
      </c>
      <c r="E61" s="432" t="s">
        <v>346</v>
      </c>
      <c r="F61" s="347" t="s">
        <v>283</v>
      </c>
      <c r="AE61" s="417" t="e">
        <f>((AE36-AE37)*AE38)</f>
        <v>#VALUE!</v>
      </c>
    </row>
    <row r="62" spans="1:31" x14ac:dyDescent="0.35">
      <c r="A62" s="632"/>
      <c r="C62" s="396" t="s">
        <v>347</v>
      </c>
      <c r="D62" s="361" t="e">
        <f>SUMPRODUCT(G33:AE33,G38:AE38)+((AE36-AE37)*AE38)</f>
        <v>#VALUE!</v>
      </c>
      <c r="E62" s="433" t="e">
        <f>D62/D64</f>
        <v>#VALUE!</v>
      </c>
      <c r="F62" s="362" t="s">
        <v>348</v>
      </c>
      <c r="AE62" s="417" t="e">
        <f>AE54+AE61</f>
        <v>#VALUE!</v>
      </c>
    </row>
    <row r="63" spans="1:31" x14ac:dyDescent="0.35">
      <c r="A63" s="632"/>
      <c r="C63" s="396" t="s">
        <v>349</v>
      </c>
      <c r="D63" s="361" t="e">
        <f>(AF32/(D47-AF5))*AF38</f>
        <v>#VALUE!</v>
      </c>
      <c r="E63" s="433" t="e">
        <f>D63/D64</f>
        <v>#VALUE!</v>
      </c>
      <c r="F63" s="434" t="s">
        <v>350</v>
      </c>
    </row>
    <row r="64" spans="1:31" x14ac:dyDescent="0.35">
      <c r="A64" s="632"/>
      <c r="C64" s="396" t="s">
        <v>351</v>
      </c>
      <c r="D64" s="361" t="e">
        <f>D62+D63</f>
        <v>#VALUE!</v>
      </c>
      <c r="E64" s="432"/>
      <c r="F64" s="346" t="s">
        <v>352</v>
      </c>
    </row>
    <row r="65" spans="1:32" x14ac:dyDescent="0.35">
      <c r="A65" s="632"/>
      <c r="C65" s="435" t="s">
        <v>353</v>
      </c>
      <c r="D65" s="436" t="e">
        <f>D66/D67-1</f>
        <v>#VALUE!</v>
      </c>
      <c r="E65" s="437"/>
      <c r="F65" s="434" t="s">
        <v>354</v>
      </c>
    </row>
    <row r="66" spans="1:32" x14ac:dyDescent="0.35">
      <c r="A66" s="633"/>
      <c r="C66" s="435" t="s">
        <v>355</v>
      </c>
      <c r="D66" s="438" t="e">
        <f>1000000*D64/OP!C8</f>
        <v>#VALUE!</v>
      </c>
      <c r="E66" s="439"/>
      <c r="F66" s="434" t="s">
        <v>356</v>
      </c>
    </row>
    <row r="67" spans="1:32" x14ac:dyDescent="0.35">
      <c r="C67" s="435" t="s">
        <v>357</v>
      </c>
      <c r="D67" s="438">
        <f>OP!C7</f>
        <v>0</v>
      </c>
      <c r="E67" s="439"/>
      <c r="F67" s="434" t="s">
        <v>357</v>
      </c>
    </row>
    <row r="68" spans="1:32" x14ac:dyDescent="0.35">
      <c r="D68" s="463"/>
    </row>
    <row r="69" spans="1:32" x14ac:dyDescent="0.35">
      <c r="C69" s="440"/>
      <c r="D69" s="442"/>
      <c r="E69" s="466"/>
      <c r="AD69" s="347"/>
      <c r="AE69" s="347"/>
      <c r="AF69" s="347"/>
    </row>
    <row r="70" spans="1:32" x14ac:dyDescent="0.35">
      <c r="C70" s="440"/>
      <c r="D70" s="442"/>
      <c r="E70" s="466"/>
      <c r="F70" s="442"/>
      <c r="G70" s="443"/>
      <c r="H70" s="443"/>
      <c r="I70" s="443"/>
      <c r="J70" s="443"/>
      <c r="K70" s="443"/>
      <c r="L70" s="443"/>
      <c r="M70" s="443"/>
      <c r="N70" s="443"/>
      <c r="O70" s="443"/>
      <c r="P70" s="443"/>
      <c r="Q70" s="443"/>
      <c r="R70" s="443"/>
      <c r="S70" s="443"/>
      <c r="T70" s="443"/>
      <c r="U70" s="443"/>
      <c r="V70" s="443"/>
      <c r="W70" s="443"/>
      <c r="X70" s="443"/>
      <c r="Y70" s="443"/>
      <c r="Z70" s="443"/>
      <c r="AA70" s="443"/>
      <c r="AB70" s="443"/>
      <c r="AC70" s="443"/>
      <c r="AD70" s="443"/>
      <c r="AE70" s="443"/>
      <c r="AF70" s="443"/>
    </row>
    <row r="71" spans="1:32" x14ac:dyDescent="0.35">
      <c r="C71" s="507"/>
      <c r="D71" s="442"/>
      <c r="F71" s="442"/>
      <c r="AF71" s="417"/>
    </row>
    <row r="72" spans="1:32" x14ac:dyDescent="0.35">
      <c r="C72" s="464"/>
      <c r="D72" s="465"/>
    </row>
    <row r="73" spans="1:32" x14ac:dyDescent="0.35">
      <c r="C73" s="464"/>
      <c r="D73" s="417"/>
    </row>
    <row r="74" spans="1:32" x14ac:dyDescent="0.35">
      <c r="C74" s="464"/>
      <c r="D74" s="465"/>
    </row>
    <row r="75" spans="1:32" x14ac:dyDescent="0.35">
      <c r="C75" s="477"/>
      <c r="E75" s="346" t="s">
        <v>270</v>
      </c>
      <c r="F75" s="346" t="s">
        <v>270</v>
      </c>
      <c r="G75" s="346" t="s">
        <v>270</v>
      </c>
    </row>
  </sheetData>
  <mergeCells count="8">
    <mergeCell ref="A50:A59"/>
    <mergeCell ref="A61:A66"/>
    <mergeCell ref="C1:L1"/>
    <mergeCell ref="A5:A16"/>
    <mergeCell ref="A18:A30"/>
    <mergeCell ref="A32:A34"/>
    <mergeCell ref="A36:A38"/>
    <mergeCell ref="A46:A4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H94"/>
  <sheetViews>
    <sheetView view="pageBreakPreview" topLeftCell="A54" zoomScale="130" zoomScaleNormal="85" zoomScaleSheetLayoutView="130" workbookViewId="0">
      <selection activeCell="C55" sqref="C55"/>
    </sheetView>
  </sheetViews>
  <sheetFormatPr defaultColWidth="11.453125" defaultRowHeight="11.5" x14ac:dyDescent="0.25"/>
  <cols>
    <col min="1" max="1" width="36.1796875" style="266" customWidth="1"/>
    <col min="2" max="11" width="12.453125" style="266" customWidth="1"/>
    <col min="12" max="13" width="12.453125" style="323" customWidth="1"/>
    <col min="14" max="14" width="12.26953125" style="323" bestFit="1" customWidth="1"/>
    <col min="15" max="16384" width="11.453125" style="265"/>
  </cols>
  <sheetData>
    <row r="1" spans="1:15" ht="15.5" x14ac:dyDescent="0.35">
      <c r="A1" s="640" t="str">
        <f>Cifras_Originales!G3</f>
        <v>(Company name) ((ticker))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264"/>
      <c r="N1" s="264"/>
    </row>
    <row r="2" spans="1:15" ht="12" customHeight="1" x14ac:dyDescent="0.25">
      <c r="A2" s="641" t="str">
        <f>Cifras_Originales!C2</f>
        <v>Cifras en Millones de USD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266"/>
      <c r="N2" s="266"/>
    </row>
    <row r="3" spans="1:15" ht="12" customHeight="1" x14ac:dyDescent="0.25">
      <c r="G3" s="267"/>
    </row>
    <row r="4" spans="1:15" x14ac:dyDescent="0.25">
      <c r="A4" s="268" t="s">
        <v>209</v>
      </c>
      <c r="B4" s="269">
        <v>2024</v>
      </c>
      <c r="C4" s="269">
        <f>Cifras_Originales!B5</f>
        <v>2023</v>
      </c>
      <c r="D4" s="269">
        <f>Cifras_Originales!C5</f>
        <v>2022</v>
      </c>
      <c r="E4" s="269">
        <f>Cifras_Originales!D5</f>
        <v>2021</v>
      </c>
      <c r="F4" s="269">
        <f>Cifras_Originales!E5</f>
        <v>2020</v>
      </c>
      <c r="G4" s="269">
        <f>Cifras_Originales!F5</f>
        <v>2019</v>
      </c>
      <c r="H4" s="269">
        <f>Cifras_Originales!G5</f>
        <v>2018</v>
      </c>
      <c r="I4" s="269">
        <f>Cifras_Originales!H5</f>
        <v>2017</v>
      </c>
      <c r="J4" s="269">
        <f>Cifras_Originales!I5</f>
        <v>2016</v>
      </c>
      <c r="K4" s="269">
        <f>Cifras_Originales!J5</f>
        <v>2015</v>
      </c>
      <c r="L4" s="269">
        <f>Cifras_Originales!K5</f>
        <v>2014</v>
      </c>
      <c r="M4" s="269">
        <f>Cifras_Originales!L5</f>
        <v>2013</v>
      </c>
      <c r="N4" s="269"/>
      <c r="O4" s="269"/>
    </row>
    <row r="5" spans="1:15" ht="12" customHeight="1" x14ac:dyDescent="0.25">
      <c r="A5" s="266" t="s">
        <v>210</v>
      </c>
      <c r="B5" s="270"/>
      <c r="C5" s="270">
        <f>Cifras_Originales!B6</f>
        <v>0</v>
      </c>
      <c r="D5" s="270">
        <f>Cifras_Originales!C6</f>
        <v>0</v>
      </c>
      <c r="E5" s="270">
        <f>Cifras_Originales!D6</f>
        <v>0</v>
      </c>
      <c r="F5" s="270">
        <f>Cifras_Originales!E6</f>
        <v>0</v>
      </c>
      <c r="G5" s="270">
        <f>Cifras_Originales!F6</f>
        <v>0</v>
      </c>
      <c r="H5" s="270">
        <f>Cifras_Originales!G6</f>
        <v>0</v>
      </c>
      <c r="I5" s="270">
        <f>Cifras_Originales!H6</f>
        <v>0</v>
      </c>
      <c r="J5" s="270">
        <f>Cifras_Originales!I6</f>
        <v>0</v>
      </c>
      <c r="K5" s="270">
        <f>Cifras_Originales!J6</f>
        <v>0</v>
      </c>
      <c r="L5" s="270">
        <f>Cifras_Originales!K6</f>
        <v>0</v>
      </c>
      <c r="M5" s="270">
        <f>Cifras_Originales!L6</f>
        <v>0</v>
      </c>
      <c r="N5" s="270"/>
      <c r="O5" s="270"/>
    </row>
    <row r="6" spans="1:15" ht="12" customHeight="1" x14ac:dyDescent="0.3">
      <c r="A6" s="266" t="s">
        <v>211</v>
      </c>
      <c r="B6" s="271" t="e">
        <f>B5/C5-1</f>
        <v>#DIV/0!</v>
      </c>
      <c r="C6" s="271" t="e">
        <f>C5/D5-1</f>
        <v>#DIV/0!</v>
      </c>
      <c r="D6" s="271" t="e">
        <f>D5/E5-1</f>
        <v>#DIV/0!</v>
      </c>
      <c r="E6" s="271" t="e">
        <f t="shared" ref="E6:L6" si="0">E5/F5-1</f>
        <v>#DIV/0!</v>
      </c>
      <c r="F6" s="271" t="e">
        <f t="shared" si="0"/>
        <v>#DIV/0!</v>
      </c>
      <c r="G6" s="271" t="e">
        <f t="shared" si="0"/>
        <v>#DIV/0!</v>
      </c>
      <c r="H6" s="271" t="e">
        <f t="shared" si="0"/>
        <v>#DIV/0!</v>
      </c>
      <c r="I6" s="271" t="e">
        <f t="shared" si="0"/>
        <v>#DIV/0!</v>
      </c>
      <c r="J6" s="271" t="e">
        <f t="shared" si="0"/>
        <v>#DIV/0!</v>
      </c>
      <c r="K6" s="271" t="e">
        <f t="shared" si="0"/>
        <v>#DIV/0!</v>
      </c>
      <c r="L6" s="271" t="e">
        <f t="shared" si="0"/>
        <v>#DIV/0!</v>
      </c>
      <c r="M6" s="271"/>
      <c r="N6" s="271"/>
      <c r="O6" s="271"/>
    </row>
    <row r="7" spans="1:15" ht="12" customHeight="1" x14ac:dyDescent="0.25">
      <c r="A7" s="266" t="s">
        <v>212</v>
      </c>
      <c r="B7" s="270"/>
      <c r="C7" s="270">
        <f>Cifras_Originales!B7</f>
        <v>0</v>
      </c>
      <c r="D7" s="270">
        <f>Cifras_Originales!C7</f>
        <v>0</v>
      </c>
      <c r="E7" s="270">
        <f>Cifras_Originales!D7</f>
        <v>0</v>
      </c>
      <c r="F7" s="270">
        <f>Cifras_Originales!E7</f>
        <v>0</v>
      </c>
      <c r="G7" s="270">
        <f>Cifras_Originales!F7</f>
        <v>0</v>
      </c>
      <c r="H7" s="270">
        <f>Cifras_Originales!G7</f>
        <v>0</v>
      </c>
      <c r="I7" s="270">
        <f>Cifras_Originales!H7</f>
        <v>0</v>
      </c>
      <c r="J7" s="270">
        <f>Cifras_Originales!I7</f>
        <v>0</v>
      </c>
      <c r="K7" s="270">
        <f>Cifras_Originales!J7</f>
        <v>0</v>
      </c>
      <c r="L7" s="270">
        <f>Cifras_Originales!K7</f>
        <v>0</v>
      </c>
      <c r="M7" s="270">
        <f>Cifras_Originales!L7</f>
        <v>0</v>
      </c>
      <c r="N7" s="270"/>
      <c r="O7" s="270"/>
    </row>
    <row r="8" spans="1:15" ht="12" customHeight="1" x14ac:dyDescent="0.3">
      <c r="A8" s="266" t="s">
        <v>213</v>
      </c>
      <c r="B8" s="271" t="e">
        <f>B7/B5</f>
        <v>#DIV/0!</v>
      </c>
      <c r="C8" s="271" t="e">
        <f>C7/C5</f>
        <v>#DIV/0!</v>
      </c>
      <c r="D8" s="271" t="e">
        <f>D7/D5</f>
        <v>#DIV/0!</v>
      </c>
      <c r="E8" s="271" t="e">
        <f t="shared" ref="E8:M8" si="1">E7/E5</f>
        <v>#DIV/0!</v>
      </c>
      <c r="F8" s="271" t="e">
        <f t="shared" si="1"/>
        <v>#DIV/0!</v>
      </c>
      <c r="G8" s="271" t="e">
        <f t="shared" si="1"/>
        <v>#DIV/0!</v>
      </c>
      <c r="H8" s="271" t="e">
        <f t="shared" si="1"/>
        <v>#DIV/0!</v>
      </c>
      <c r="I8" s="271" t="e">
        <f t="shared" si="1"/>
        <v>#DIV/0!</v>
      </c>
      <c r="J8" s="271" t="e">
        <f t="shared" si="1"/>
        <v>#DIV/0!</v>
      </c>
      <c r="K8" s="271" t="e">
        <f t="shared" si="1"/>
        <v>#DIV/0!</v>
      </c>
      <c r="L8" s="271" t="e">
        <f t="shared" si="1"/>
        <v>#DIV/0!</v>
      </c>
      <c r="M8" s="271" t="e">
        <f t="shared" si="1"/>
        <v>#DIV/0!</v>
      </c>
      <c r="N8" s="271"/>
      <c r="O8" s="271"/>
    </row>
    <row r="9" spans="1:15" ht="12" customHeight="1" x14ac:dyDescent="0.25">
      <c r="A9" s="266" t="s">
        <v>214</v>
      </c>
      <c r="B9" s="270">
        <f>B5-B11</f>
        <v>0</v>
      </c>
      <c r="C9" s="270">
        <f>C5-C11</f>
        <v>0</v>
      </c>
      <c r="D9" s="270">
        <f>D5-D11</f>
        <v>0</v>
      </c>
      <c r="E9" s="270">
        <f t="shared" ref="E9:M9" si="2">E5-E11</f>
        <v>0</v>
      </c>
      <c r="F9" s="270">
        <f t="shared" si="2"/>
        <v>0</v>
      </c>
      <c r="G9" s="270">
        <f t="shared" si="2"/>
        <v>0</v>
      </c>
      <c r="H9" s="270">
        <f t="shared" si="2"/>
        <v>0</v>
      </c>
      <c r="I9" s="270">
        <f t="shared" si="2"/>
        <v>0</v>
      </c>
      <c r="J9" s="270">
        <f t="shared" si="2"/>
        <v>0</v>
      </c>
      <c r="K9" s="270">
        <f t="shared" si="2"/>
        <v>0</v>
      </c>
      <c r="L9" s="270">
        <f t="shared" si="2"/>
        <v>0</v>
      </c>
      <c r="M9" s="270">
        <f t="shared" si="2"/>
        <v>0</v>
      </c>
      <c r="N9" s="270"/>
      <c r="O9" s="270"/>
    </row>
    <row r="10" spans="1:15" ht="12" customHeight="1" x14ac:dyDescent="0.3">
      <c r="A10" s="266" t="s">
        <v>213</v>
      </c>
      <c r="B10" s="271" t="e">
        <f>B9/B5</f>
        <v>#DIV/0!</v>
      </c>
      <c r="C10" s="271" t="e">
        <f>C9/C5</f>
        <v>#DIV/0!</v>
      </c>
      <c r="D10" s="271" t="e">
        <f>D9/D5</f>
        <v>#DIV/0!</v>
      </c>
      <c r="E10" s="271" t="e">
        <f t="shared" ref="E10:M10" si="3">E9/E5</f>
        <v>#DIV/0!</v>
      </c>
      <c r="F10" s="271" t="e">
        <f t="shared" si="3"/>
        <v>#DIV/0!</v>
      </c>
      <c r="G10" s="271" t="e">
        <f t="shared" si="3"/>
        <v>#DIV/0!</v>
      </c>
      <c r="H10" s="271" t="e">
        <f t="shared" si="3"/>
        <v>#DIV/0!</v>
      </c>
      <c r="I10" s="271" t="e">
        <f t="shared" si="3"/>
        <v>#DIV/0!</v>
      </c>
      <c r="J10" s="271" t="e">
        <f t="shared" si="3"/>
        <v>#DIV/0!</v>
      </c>
      <c r="K10" s="271" t="e">
        <f t="shared" si="3"/>
        <v>#DIV/0!</v>
      </c>
      <c r="L10" s="271" t="e">
        <f t="shared" si="3"/>
        <v>#DIV/0!</v>
      </c>
      <c r="M10" s="271" t="e">
        <f t="shared" si="3"/>
        <v>#DIV/0!</v>
      </c>
      <c r="N10" s="271"/>
      <c r="O10" s="271"/>
    </row>
    <row r="11" spans="1:15" ht="12" customHeight="1" x14ac:dyDescent="0.25">
      <c r="A11" s="266" t="s">
        <v>215</v>
      </c>
      <c r="B11" s="270"/>
      <c r="C11" s="270">
        <f>Cifras_Originales!B8</f>
        <v>0</v>
      </c>
      <c r="D11" s="270">
        <f>Cifras_Originales!C8</f>
        <v>0</v>
      </c>
      <c r="E11" s="270">
        <f>Cifras_Originales!D8</f>
        <v>0</v>
      </c>
      <c r="F11" s="270">
        <f>Cifras_Originales!E8</f>
        <v>0</v>
      </c>
      <c r="G11" s="270">
        <f>Cifras_Originales!F8</f>
        <v>0</v>
      </c>
      <c r="H11" s="270">
        <f>Cifras_Originales!G8</f>
        <v>0</v>
      </c>
      <c r="I11" s="270">
        <f>Cifras_Originales!H8</f>
        <v>0</v>
      </c>
      <c r="J11" s="270">
        <f>Cifras_Originales!I8</f>
        <v>0</v>
      </c>
      <c r="K11" s="270">
        <f>Cifras_Originales!J8</f>
        <v>0</v>
      </c>
      <c r="L11" s="270">
        <f>Cifras_Originales!K8</f>
        <v>0</v>
      </c>
      <c r="M11" s="270">
        <f>Cifras_Originales!L8</f>
        <v>0</v>
      </c>
      <c r="N11" s="270"/>
      <c r="O11" s="270"/>
    </row>
    <row r="12" spans="1:15" ht="12" customHeight="1" x14ac:dyDescent="0.3">
      <c r="A12" s="266" t="s">
        <v>213</v>
      </c>
      <c r="B12" s="271" t="e">
        <f>B11/B5</f>
        <v>#DIV/0!</v>
      </c>
      <c r="C12" s="271" t="e">
        <f>C11/C5</f>
        <v>#DIV/0!</v>
      </c>
      <c r="D12" s="271" t="e">
        <f>D11/D5</f>
        <v>#DIV/0!</v>
      </c>
      <c r="E12" s="271" t="e">
        <f t="shared" ref="E12:M12" si="4">E11/E5</f>
        <v>#DIV/0!</v>
      </c>
      <c r="F12" s="271" t="e">
        <f t="shared" si="4"/>
        <v>#DIV/0!</v>
      </c>
      <c r="G12" s="271" t="e">
        <f t="shared" si="4"/>
        <v>#DIV/0!</v>
      </c>
      <c r="H12" s="271" t="e">
        <f t="shared" si="4"/>
        <v>#DIV/0!</v>
      </c>
      <c r="I12" s="271" t="e">
        <f t="shared" si="4"/>
        <v>#DIV/0!</v>
      </c>
      <c r="J12" s="271" t="e">
        <f t="shared" si="4"/>
        <v>#DIV/0!</v>
      </c>
      <c r="K12" s="271" t="e">
        <f t="shared" si="4"/>
        <v>#DIV/0!</v>
      </c>
      <c r="L12" s="271" t="e">
        <f t="shared" si="4"/>
        <v>#DIV/0!</v>
      </c>
      <c r="M12" s="271" t="e">
        <f t="shared" si="4"/>
        <v>#DIV/0!</v>
      </c>
      <c r="N12" s="271"/>
      <c r="O12" s="271"/>
    </row>
    <row r="13" spans="1:15" ht="12" customHeight="1" x14ac:dyDescent="0.3">
      <c r="A13" s="266" t="s">
        <v>216</v>
      </c>
      <c r="B13" s="272" t="e">
        <f>B11/C11-1</f>
        <v>#DIV/0!</v>
      </c>
      <c r="C13" s="272" t="e">
        <f>C11/D11-1</f>
        <v>#DIV/0!</v>
      </c>
      <c r="D13" s="272" t="e">
        <f>D11/E11-1</f>
        <v>#DIV/0!</v>
      </c>
      <c r="E13" s="272" t="e">
        <f t="shared" ref="E13:L13" si="5">E11/F11-1</f>
        <v>#DIV/0!</v>
      </c>
      <c r="F13" s="272" t="e">
        <f t="shared" si="5"/>
        <v>#DIV/0!</v>
      </c>
      <c r="G13" s="272" t="e">
        <f t="shared" si="5"/>
        <v>#DIV/0!</v>
      </c>
      <c r="H13" s="272" t="e">
        <f t="shared" si="5"/>
        <v>#DIV/0!</v>
      </c>
      <c r="I13" s="272" t="e">
        <f t="shared" si="5"/>
        <v>#DIV/0!</v>
      </c>
      <c r="J13" s="272" t="e">
        <f t="shared" si="5"/>
        <v>#DIV/0!</v>
      </c>
      <c r="K13" s="272" t="e">
        <f t="shared" si="5"/>
        <v>#DIV/0!</v>
      </c>
      <c r="L13" s="272" t="e">
        <f t="shared" si="5"/>
        <v>#DIV/0!</v>
      </c>
      <c r="M13" s="272"/>
      <c r="N13" s="272"/>
      <c r="O13" s="272"/>
    </row>
    <row r="14" spans="1:15" ht="12" customHeight="1" x14ac:dyDescent="0.25">
      <c r="A14" s="266" t="s">
        <v>217</v>
      </c>
      <c r="B14" s="270"/>
      <c r="C14" s="270">
        <f>Cifras_Originales!B9</f>
        <v>0</v>
      </c>
      <c r="D14" s="270">
        <f>Cifras_Originales!C9</f>
        <v>0</v>
      </c>
      <c r="E14" s="270">
        <f>Cifras_Originales!D9</f>
        <v>0</v>
      </c>
      <c r="F14" s="270">
        <f>Cifras_Originales!E9</f>
        <v>0</v>
      </c>
      <c r="G14" s="270">
        <f>Cifras_Originales!F9</f>
        <v>0</v>
      </c>
      <c r="H14" s="270">
        <f>Cifras_Originales!G9</f>
        <v>0</v>
      </c>
      <c r="I14" s="270">
        <f>Cifras_Originales!H9</f>
        <v>0</v>
      </c>
      <c r="J14" s="270">
        <f>Cifras_Originales!I9</f>
        <v>0</v>
      </c>
      <c r="K14" s="270">
        <f>Cifras_Originales!J9</f>
        <v>0</v>
      </c>
      <c r="L14" s="270">
        <f>Cifras_Originales!K9</f>
        <v>0</v>
      </c>
      <c r="M14" s="270">
        <f>Cifras_Originales!L9</f>
        <v>0</v>
      </c>
      <c r="N14" s="270"/>
      <c r="O14" s="270"/>
    </row>
    <row r="15" spans="1:15" ht="12" customHeight="1" x14ac:dyDescent="0.25">
      <c r="A15" s="266" t="s">
        <v>218</v>
      </c>
      <c r="B15" s="270"/>
      <c r="C15" s="270">
        <f>Cifras_Originales!B10</f>
        <v>0</v>
      </c>
      <c r="D15" s="270">
        <f>Cifras_Originales!C10</f>
        <v>0</v>
      </c>
      <c r="E15" s="270">
        <f>Cifras_Originales!D10</f>
        <v>0</v>
      </c>
      <c r="F15" s="270">
        <f>Cifras_Originales!E10</f>
        <v>0</v>
      </c>
      <c r="G15" s="270">
        <f>Cifras_Originales!F10</f>
        <v>0</v>
      </c>
      <c r="H15" s="270">
        <f>Cifras_Originales!G10</f>
        <v>0</v>
      </c>
      <c r="I15" s="270">
        <f>Cifras_Originales!H10</f>
        <v>0</v>
      </c>
      <c r="J15" s="270">
        <f>Cifras_Originales!I10</f>
        <v>0</v>
      </c>
      <c r="K15" s="270">
        <f>Cifras_Originales!J10</f>
        <v>0</v>
      </c>
      <c r="L15" s="270">
        <f>Cifras_Originales!K10</f>
        <v>0</v>
      </c>
      <c r="M15" s="270">
        <f>Cifras_Originales!L10</f>
        <v>0</v>
      </c>
      <c r="N15" s="270"/>
      <c r="O15" s="270"/>
    </row>
    <row r="16" spans="1:15" ht="12" customHeight="1" x14ac:dyDescent="0.25">
      <c r="A16" s="266" t="s">
        <v>219</v>
      </c>
      <c r="B16" s="270">
        <f>B11-B14-B15</f>
        <v>0</v>
      </c>
      <c r="C16" s="270">
        <f>C11-C14-C15</f>
        <v>0</v>
      </c>
      <c r="D16" s="270">
        <f>D11-D14-D15</f>
        <v>0</v>
      </c>
      <c r="E16" s="270">
        <f t="shared" ref="E16:M16" si="6">E11-E14-E15</f>
        <v>0</v>
      </c>
      <c r="F16" s="270">
        <f t="shared" si="6"/>
        <v>0</v>
      </c>
      <c r="G16" s="270">
        <f t="shared" si="6"/>
        <v>0</v>
      </c>
      <c r="H16" s="270">
        <f t="shared" si="6"/>
        <v>0</v>
      </c>
      <c r="I16" s="270">
        <f t="shared" si="6"/>
        <v>0</v>
      </c>
      <c r="J16" s="270">
        <f t="shared" si="6"/>
        <v>0</v>
      </c>
      <c r="K16" s="270">
        <f t="shared" si="6"/>
        <v>0</v>
      </c>
      <c r="L16" s="270">
        <f t="shared" si="6"/>
        <v>0</v>
      </c>
      <c r="M16" s="270">
        <f t="shared" si="6"/>
        <v>0</v>
      </c>
      <c r="N16" s="270"/>
      <c r="O16" s="270"/>
    </row>
    <row r="17" spans="1:15" ht="12" customHeight="1" x14ac:dyDescent="0.25">
      <c r="A17" s="266" t="s">
        <v>220</v>
      </c>
      <c r="B17" s="270"/>
      <c r="C17" s="270">
        <f>Cifras_Originales!B11</f>
        <v>0</v>
      </c>
      <c r="D17" s="270">
        <f>Cifras_Originales!C11</f>
        <v>0</v>
      </c>
      <c r="E17" s="270">
        <f>Cifras_Originales!D11</f>
        <v>0</v>
      </c>
      <c r="F17" s="270">
        <f>Cifras_Originales!E11</f>
        <v>0</v>
      </c>
      <c r="G17" s="270">
        <f>Cifras_Originales!F11</f>
        <v>0</v>
      </c>
      <c r="H17" s="270">
        <f>Cifras_Originales!G11</f>
        <v>0</v>
      </c>
      <c r="I17" s="270">
        <f>Cifras_Originales!H11</f>
        <v>0</v>
      </c>
      <c r="J17" s="270">
        <f>Cifras_Originales!I11</f>
        <v>0</v>
      </c>
      <c r="K17" s="270">
        <f>Cifras_Originales!J11</f>
        <v>0</v>
      </c>
      <c r="L17" s="270">
        <f>Cifras_Originales!K11</f>
        <v>0</v>
      </c>
      <c r="M17" s="270">
        <f>Cifras_Originales!L11</f>
        <v>0</v>
      </c>
      <c r="N17" s="270"/>
      <c r="O17" s="270"/>
    </row>
    <row r="18" spans="1:15" ht="12" customHeight="1" x14ac:dyDescent="0.25">
      <c r="A18" s="266" t="s">
        <v>221</v>
      </c>
      <c r="B18" s="270"/>
      <c r="C18" s="270">
        <f>Cifras_Originales!B12</f>
        <v>0</v>
      </c>
      <c r="D18" s="270">
        <f>Cifras_Originales!C12</f>
        <v>0</v>
      </c>
      <c r="E18" s="270">
        <f>Cifras_Originales!D12</f>
        <v>0</v>
      </c>
      <c r="F18" s="270">
        <f>Cifras_Originales!E12</f>
        <v>0</v>
      </c>
      <c r="G18" s="270">
        <f>Cifras_Originales!F12</f>
        <v>0</v>
      </c>
      <c r="H18" s="270">
        <f>Cifras_Originales!G12</f>
        <v>0</v>
      </c>
      <c r="I18" s="270">
        <f>Cifras_Originales!H12</f>
        <v>0</v>
      </c>
      <c r="J18" s="270">
        <f>Cifras_Originales!I12</f>
        <v>0</v>
      </c>
      <c r="K18" s="270">
        <f>Cifras_Originales!J12</f>
        <v>0</v>
      </c>
      <c r="L18" s="270">
        <f>Cifras_Originales!K12</f>
        <v>0</v>
      </c>
      <c r="M18" s="270">
        <f>Cifras_Originales!L12</f>
        <v>0</v>
      </c>
      <c r="N18" s="270"/>
      <c r="O18" s="270"/>
    </row>
    <row r="19" spans="1:15" ht="12" customHeight="1" x14ac:dyDescent="0.3">
      <c r="A19" s="266" t="s">
        <v>222</v>
      </c>
      <c r="B19" s="270">
        <f>B11-B15+B17</f>
        <v>0</v>
      </c>
      <c r="C19" s="270">
        <f>C11-C15+C17</f>
        <v>0</v>
      </c>
      <c r="D19" s="270">
        <f>D11-D15+D17</f>
        <v>0</v>
      </c>
      <c r="E19" s="270">
        <f t="shared" ref="E19:M19" si="7">E11-E15+E17</f>
        <v>0</v>
      </c>
      <c r="F19" s="270">
        <f t="shared" si="7"/>
        <v>0</v>
      </c>
      <c r="G19" s="270">
        <f t="shared" si="7"/>
        <v>0</v>
      </c>
      <c r="H19" s="270">
        <f t="shared" si="7"/>
        <v>0</v>
      </c>
      <c r="I19" s="270">
        <f t="shared" si="7"/>
        <v>0</v>
      </c>
      <c r="J19" s="270">
        <f t="shared" si="7"/>
        <v>0</v>
      </c>
      <c r="K19" s="270">
        <f t="shared" si="7"/>
        <v>0</v>
      </c>
      <c r="L19" s="270">
        <f t="shared" si="7"/>
        <v>0</v>
      </c>
      <c r="M19" s="270">
        <f t="shared" si="7"/>
        <v>0</v>
      </c>
      <c r="N19" s="270"/>
      <c r="O19" s="270"/>
    </row>
    <row r="20" spans="1:15" ht="13" x14ac:dyDescent="0.3">
      <c r="A20" s="266" t="s">
        <v>213</v>
      </c>
      <c r="B20" s="271" t="e">
        <f>B19/B5</f>
        <v>#DIV/0!</v>
      </c>
      <c r="C20" s="271" t="e">
        <f>C19/C5</f>
        <v>#DIV/0!</v>
      </c>
      <c r="D20" s="271" t="e">
        <f>D19/D5</f>
        <v>#DIV/0!</v>
      </c>
      <c r="E20" s="271" t="e">
        <f t="shared" ref="E20:M20" si="8">E19/E5</f>
        <v>#DIV/0!</v>
      </c>
      <c r="F20" s="271" t="e">
        <f t="shared" si="8"/>
        <v>#DIV/0!</v>
      </c>
      <c r="G20" s="271" t="e">
        <f t="shared" si="8"/>
        <v>#DIV/0!</v>
      </c>
      <c r="H20" s="271" t="e">
        <f t="shared" si="8"/>
        <v>#DIV/0!</v>
      </c>
      <c r="I20" s="271" t="e">
        <f t="shared" si="8"/>
        <v>#DIV/0!</v>
      </c>
      <c r="J20" s="271" t="e">
        <f t="shared" si="8"/>
        <v>#DIV/0!</v>
      </c>
      <c r="K20" s="271" t="e">
        <f t="shared" si="8"/>
        <v>#DIV/0!</v>
      </c>
      <c r="L20" s="271" t="e">
        <f t="shared" si="8"/>
        <v>#DIV/0!</v>
      </c>
      <c r="M20" s="271" t="e">
        <f t="shared" si="8"/>
        <v>#DIV/0!</v>
      </c>
      <c r="N20" s="271"/>
      <c r="O20" s="271"/>
    </row>
    <row r="21" spans="1:15" ht="12" customHeight="1" x14ac:dyDescent="0.25">
      <c r="A21" s="266" t="s">
        <v>223</v>
      </c>
      <c r="B21" s="270"/>
      <c r="C21" s="270">
        <f>Cifras_Originales!B15</f>
        <v>0</v>
      </c>
      <c r="D21" s="270">
        <f>Cifras_Originales!C15</f>
        <v>0</v>
      </c>
      <c r="E21" s="270">
        <f>Cifras_Originales!D15</f>
        <v>0</v>
      </c>
      <c r="F21" s="270">
        <f>Cifras_Originales!E15</f>
        <v>0</v>
      </c>
      <c r="G21" s="270">
        <f>Cifras_Originales!F15</f>
        <v>0</v>
      </c>
      <c r="H21" s="270">
        <f>Cifras_Originales!G15</f>
        <v>0</v>
      </c>
      <c r="I21" s="270">
        <f>Cifras_Originales!H15</f>
        <v>0</v>
      </c>
      <c r="J21" s="270">
        <f>Cifras_Originales!I15</f>
        <v>0</v>
      </c>
      <c r="K21" s="270">
        <f>Cifras_Originales!J15</f>
        <v>0</v>
      </c>
      <c r="L21" s="270">
        <f>Cifras_Originales!K15</f>
        <v>0</v>
      </c>
      <c r="M21" s="270">
        <f>Cifras_Originales!L15</f>
        <v>0</v>
      </c>
      <c r="N21" s="270"/>
      <c r="O21" s="270"/>
    </row>
    <row r="22" spans="1:15" ht="12" customHeight="1" x14ac:dyDescent="0.25">
      <c r="A22" s="266" t="s">
        <v>224</v>
      </c>
      <c r="B22" s="273" t="e">
        <f>+B21/B16</f>
        <v>#DIV/0!</v>
      </c>
      <c r="C22" s="273" t="e">
        <f>+C21/C16</f>
        <v>#DIV/0!</v>
      </c>
      <c r="D22" s="273" t="e">
        <f>+D21/D16</f>
        <v>#DIV/0!</v>
      </c>
      <c r="E22" s="273" t="e">
        <f t="shared" ref="E22:M22" si="9">+E21/E16</f>
        <v>#DIV/0!</v>
      </c>
      <c r="F22" s="273" t="e">
        <f t="shared" si="9"/>
        <v>#DIV/0!</v>
      </c>
      <c r="G22" s="273" t="e">
        <f t="shared" si="9"/>
        <v>#DIV/0!</v>
      </c>
      <c r="H22" s="273" t="e">
        <f t="shared" si="9"/>
        <v>#DIV/0!</v>
      </c>
      <c r="I22" s="273" t="e">
        <f t="shared" si="9"/>
        <v>#DIV/0!</v>
      </c>
      <c r="J22" s="273" t="e">
        <f t="shared" si="9"/>
        <v>#DIV/0!</v>
      </c>
      <c r="K22" s="273" t="e">
        <f t="shared" si="9"/>
        <v>#DIV/0!</v>
      </c>
      <c r="L22" s="273" t="e">
        <f t="shared" si="9"/>
        <v>#DIV/0!</v>
      </c>
      <c r="M22" s="273" t="e">
        <f t="shared" si="9"/>
        <v>#DIV/0!</v>
      </c>
      <c r="N22" s="273"/>
      <c r="O22" s="273"/>
    </row>
    <row r="23" spans="1:15" ht="12" customHeight="1" x14ac:dyDescent="0.25">
      <c r="A23" s="266" t="s">
        <v>41</v>
      </c>
      <c r="B23" s="270"/>
      <c r="C23" s="270">
        <f>Cifras_Originales!B16</f>
        <v>0</v>
      </c>
      <c r="D23" s="270">
        <f>Cifras_Originales!C16</f>
        <v>0</v>
      </c>
      <c r="E23" s="270">
        <f>Cifras_Originales!D16</f>
        <v>0</v>
      </c>
      <c r="F23" s="270">
        <f>Cifras_Originales!E16</f>
        <v>0</v>
      </c>
      <c r="G23" s="270">
        <f>Cifras_Originales!F16</f>
        <v>0</v>
      </c>
      <c r="H23" s="270">
        <f>Cifras_Originales!G16</f>
        <v>0</v>
      </c>
      <c r="I23" s="270">
        <f>Cifras_Originales!H16</f>
        <v>0</v>
      </c>
      <c r="J23" s="270">
        <f>Cifras_Originales!I16</f>
        <v>0</v>
      </c>
      <c r="K23" s="270">
        <f>Cifras_Originales!J16</f>
        <v>0</v>
      </c>
      <c r="L23" s="270">
        <f>Cifras_Originales!K16</f>
        <v>0</v>
      </c>
      <c r="M23" s="270">
        <f>Cifras_Originales!L16</f>
        <v>0</v>
      </c>
      <c r="N23" s="270"/>
      <c r="O23" s="270"/>
    </row>
    <row r="24" spans="1:15" ht="12" customHeight="1" x14ac:dyDescent="0.3">
      <c r="A24" s="266" t="s">
        <v>213</v>
      </c>
      <c r="B24" s="271" t="e">
        <f>B23/B5</f>
        <v>#DIV/0!</v>
      </c>
      <c r="C24" s="271" t="e">
        <f>C23/C5</f>
        <v>#DIV/0!</v>
      </c>
      <c r="D24" s="271" t="e">
        <f>D23/D5</f>
        <v>#DIV/0!</v>
      </c>
      <c r="E24" s="271" t="e">
        <f t="shared" ref="E24:M24" si="10">E23/E5</f>
        <v>#DIV/0!</v>
      </c>
      <c r="F24" s="271" t="e">
        <f t="shared" si="10"/>
        <v>#DIV/0!</v>
      </c>
      <c r="G24" s="271" t="e">
        <f t="shared" si="10"/>
        <v>#DIV/0!</v>
      </c>
      <c r="H24" s="271" t="e">
        <f t="shared" si="10"/>
        <v>#DIV/0!</v>
      </c>
      <c r="I24" s="271" t="e">
        <f t="shared" si="10"/>
        <v>#DIV/0!</v>
      </c>
      <c r="J24" s="271" t="e">
        <f t="shared" si="10"/>
        <v>#DIV/0!</v>
      </c>
      <c r="K24" s="271" t="e">
        <f t="shared" si="10"/>
        <v>#DIV/0!</v>
      </c>
      <c r="L24" s="271" t="e">
        <f t="shared" si="10"/>
        <v>#DIV/0!</v>
      </c>
      <c r="M24" s="271" t="e">
        <f t="shared" si="10"/>
        <v>#DIV/0!</v>
      </c>
      <c r="N24" s="271"/>
      <c r="O24" s="271"/>
    </row>
    <row r="25" spans="1:15" ht="12" customHeight="1" x14ac:dyDescent="0.3">
      <c r="A25" s="274" t="s">
        <v>225</v>
      </c>
      <c r="B25" s="275" t="e">
        <f>B23/C23-1</f>
        <v>#DIV/0!</v>
      </c>
      <c r="C25" s="275" t="e">
        <f>C23/D23-1</f>
        <v>#DIV/0!</v>
      </c>
      <c r="D25" s="275" t="e">
        <f>D23/E23-1</f>
        <v>#DIV/0!</v>
      </c>
      <c r="E25" s="275" t="e">
        <f t="shared" ref="E25:L25" si="11">E23/F23-1</f>
        <v>#DIV/0!</v>
      </c>
      <c r="F25" s="275" t="e">
        <f t="shared" si="11"/>
        <v>#DIV/0!</v>
      </c>
      <c r="G25" s="275" t="e">
        <f t="shared" si="11"/>
        <v>#DIV/0!</v>
      </c>
      <c r="H25" s="275" t="e">
        <f t="shared" si="11"/>
        <v>#DIV/0!</v>
      </c>
      <c r="I25" s="275" t="e">
        <f t="shared" si="11"/>
        <v>#DIV/0!</v>
      </c>
      <c r="J25" s="275" t="e">
        <f t="shared" si="11"/>
        <v>#DIV/0!</v>
      </c>
      <c r="K25" s="275" t="e">
        <f t="shared" si="11"/>
        <v>#DIV/0!</v>
      </c>
      <c r="L25" s="275" t="e">
        <f t="shared" si="11"/>
        <v>#DIV/0!</v>
      </c>
      <c r="M25" s="275"/>
      <c r="N25" s="271"/>
      <c r="O25" s="271"/>
    </row>
    <row r="26" spans="1:15" ht="12" customHeight="1" x14ac:dyDescent="0.25">
      <c r="A26" s="266" t="s">
        <v>226</v>
      </c>
      <c r="B26" s="270">
        <f>B40-C40</f>
        <v>0</v>
      </c>
      <c r="C26" s="270">
        <f>C40-D40</f>
        <v>0</v>
      </c>
      <c r="D26" s="270">
        <f>D40-E40</f>
        <v>0</v>
      </c>
      <c r="E26" s="270">
        <f t="shared" ref="E26:M26" si="12">E40-F40</f>
        <v>0</v>
      </c>
      <c r="F26" s="270">
        <f t="shared" si="12"/>
        <v>0</v>
      </c>
      <c r="G26" s="270">
        <f t="shared" si="12"/>
        <v>0</v>
      </c>
      <c r="H26" s="270">
        <f t="shared" si="12"/>
        <v>0</v>
      </c>
      <c r="I26" s="270">
        <f t="shared" si="12"/>
        <v>0</v>
      </c>
      <c r="J26" s="270">
        <f t="shared" si="12"/>
        <v>0</v>
      </c>
      <c r="K26" s="270">
        <f t="shared" si="12"/>
        <v>0</v>
      </c>
      <c r="L26" s="270">
        <f t="shared" si="12"/>
        <v>0</v>
      </c>
      <c r="M26" s="270">
        <f t="shared" si="12"/>
        <v>0</v>
      </c>
      <c r="N26" s="271"/>
      <c r="O26" s="271"/>
    </row>
    <row r="27" spans="1:15" ht="12" customHeight="1" x14ac:dyDescent="0.25">
      <c r="A27" s="276" t="s">
        <v>227</v>
      </c>
      <c r="B27" s="277"/>
      <c r="C27" s="277">
        <f>Cifras_Originales!B17</f>
        <v>0</v>
      </c>
      <c r="D27" s="277">
        <f>Cifras_Originales!C17</f>
        <v>0</v>
      </c>
      <c r="E27" s="277">
        <f>Cifras_Originales!D17</f>
        <v>0</v>
      </c>
      <c r="F27" s="277">
        <f>Cifras_Originales!E17</f>
        <v>0</v>
      </c>
      <c r="G27" s="277">
        <f>Cifras_Originales!F17</f>
        <v>0</v>
      </c>
      <c r="H27" s="277">
        <f>Cifras_Originales!G17</f>
        <v>0</v>
      </c>
      <c r="I27" s="277">
        <f>Cifras_Originales!H17</f>
        <v>0</v>
      </c>
      <c r="J27" s="277">
        <f>Cifras_Originales!I17</f>
        <v>0</v>
      </c>
      <c r="K27" s="277">
        <f>Cifras_Originales!J17</f>
        <v>0</v>
      </c>
      <c r="L27" s="277">
        <f>Cifras_Originales!K17</f>
        <v>0</v>
      </c>
      <c r="M27" s="277">
        <f>Cifras_Originales!L17</f>
        <v>0</v>
      </c>
      <c r="N27" s="271"/>
      <c r="O27" s="271"/>
    </row>
    <row r="28" spans="1:15" ht="12" customHeight="1" x14ac:dyDescent="0.25">
      <c r="A28" s="446"/>
      <c r="B28" s="447" t="e">
        <f>B27/C27-1</f>
        <v>#DIV/0!</v>
      </c>
      <c r="C28" s="447" t="e">
        <f>C27/D27-1</f>
        <v>#DIV/0!</v>
      </c>
      <c r="D28" s="447" t="e">
        <f t="shared" ref="D28:L28" si="13">D27/E27-1</f>
        <v>#DIV/0!</v>
      </c>
      <c r="E28" s="447" t="e">
        <f t="shared" si="13"/>
        <v>#DIV/0!</v>
      </c>
      <c r="F28" s="447" t="e">
        <f t="shared" si="13"/>
        <v>#DIV/0!</v>
      </c>
      <c r="G28" s="447" t="e">
        <f t="shared" si="13"/>
        <v>#DIV/0!</v>
      </c>
      <c r="H28" s="447" t="e">
        <f t="shared" si="13"/>
        <v>#DIV/0!</v>
      </c>
      <c r="I28" s="447" t="e">
        <f t="shared" si="13"/>
        <v>#DIV/0!</v>
      </c>
      <c r="J28" s="447" t="e">
        <f t="shared" si="13"/>
        <v>#DIV/0!</v>
      </c>
      <c r="K28" s="447" t="e">
        <f t="shared" si="13"/>
        <v>#DIV/0!</v>
      </c>
      <c r="L28" s="447" t="e">
        <f t="shared" si="13"/>
        <v>#DIV/0!</v>
      </c>
      <c r="M28" s="270"/>
      <c r="N28" s="271"/>
      <c r="O28" s="271"/>
    </row>
    <row r="29" spans="1:15" ht="12" customHeight="1" x14ac:dyDescent="0.25">
      <c r="A29" s="278" t="s">
        <v>228</v>
      </c>
      <c r="B29" s="279"/>
      <c r="C29" s="279">
        <f>Cifras_Originales!B18</f>
        <v>0</v>
      </c>
      <c r="D29" s="279">
        <f>Cifras_Originales!C18</f>
        <v>0</v>
      </c>
      <c r="E29" s="279">
        <f>Cifras_Originales!D18</f>
        <v>0</v>
      </c>
      <c r="F29" s="279">
        <f>Cifras_Originales!E18</f>
        <v>0</v>
      </c>
      <c r="G29" s="279">
        <f>Cifras_Originales!F18</f>
        <v>0</v>
      </c>
      <c r="H29" s="279">
        <f>Cifras_Originales!G18</f>
        <v>0</v>
      </c>
      <c r="I29" s="279">
        <f>Cifras_Originales!H18</f>
        <v>0</v>
      </c>
      <c r="J29" s="279">
        <f>Cifras_Originales!I18</f>
        <v>0</v>
      </c>
      <c r="K29" s="279">
        <f>Cifras_Originales!J18</f>
        <v>0</v>
      </c>
      <c r="L29" s="279">
        <f>Cifras_Originales!K18</f>
        <v>0</v>
      </c>
      <c r="M29" s="279">
        <f>Cifras_Originales!L18</f>
        <v>0</v>
      </c>
      <c r="N29" s="271"/>
      <c r="O29" s="271"/>
    </row>
    <row r="30" spans="1:15" ht="12" customHeight="1" x14ac:dyDescent="0.25">
      <c r="A30" s="266" t="s">
        <v>12</v>
      </c>
      <c r="B30" s="270" t="e">
        <f>SUM(B26:B29)</f>
        <v>#DIV/0!</v>
      </c>
      <c r="C30" s="270" t="e">
        <f>SUM(C26:C29)</f>
        <v>#DIV/0!</v>
      </c>
      <c r="D30" s="270" t="e">
        <f>SUM(D26:D29)</f>
        <v>#DIV/0!</v>
      </c>
      <c r="E30" s="270" t="e">
        <f t="shared" ref="E30:M30" si="14">SUM(E26:E29)</f>
        <v>#DIV/0!</v>
      </c>
      <c r="F30" s="270" t="e">
        <f t="shared" si="14"/>
        <v>#DIV/0!</v>
      </c>
      <c r="G30" s="270" t="e">
        <f t="shared" si="14"/>
        <v>#DIV/0!</v>
      </c>
      <c r="H30" s="270" t="e">
        <f t="shared" si="14"/>
        <v>#DIV/0!</v>
      </c>
      <c r="I30" s="270" t="e">
        <f t="shared" si="14"/>
        <v>#DIV/0!</v>
      </c>
      <c r="J30" s="270" t="e">
        <f t="shared" si="14"/>
        <v>#DIV/0!</v>
      </c>
      <c r="K30" s="270" t="e">
        <f t="shared" si="14"/>
        <v>#DIV/0!</v>
      </c>
      <c r="L30" s="270" t="e">
        <f t="shared" si="14"/>
        <v>#DIV/0!</v>
      </c>
      <c r="M30" s="270">
        <f t="shared" si="14"/>
        <v>0</v>
      </c>
      <c r="N30" s="271"/>
      <c r="O30" s="271"/>
    </row>
    <row r="31" spans="1:15" ht="12" customHeight="1" x14ac:dyDescent="0.25">
      <c r="A31" s="280" t="s">
        <v>229</v>
      </c>
      <c r="B31" s="281" t="e">
        <f>B30-(B60-C60)</f>
        <v>#DIV/0!</v>
      </c>
      <c r="C31" s="281" t="e">
        <f>C30-(C60-D60)</f>
        <v>#DIV/0!</v>
      </c>
      <c r="D31" s="281" t="e">
        <f>D30-(D60-E60)</f>
        <v>#DIV/0!</v>
      </c>
      <c r="E31" s="281" t="e">
        <f t="shared" ref="E31:M31" si="15">E30-(E60-F60)</f>
        <v>#DIV/0!</v>
      </c>
      <c r="F31" s="281" t="e">
        <f t="shared" si="15"/>
        <v>#DIV/0!</v>
      </c>
      <c r="G31" s="281" t="e">
        <f t="shared" si="15"/>
        <v>#DIV/0!</v>
      </c>
      <c r="H31" s="281" t="e">
        <f t="shared" si="15"/>
        <v>#DIV/0!</v>
      </c>
      <c r="I31" s="281" t="e">
        <f t="shared" si="15"/>
        <v>#DIV/0!</v>
      </c>
      <c r="J31" s="281" t="e">
        <f t="shared" si="15"/>
        <v>#DIV/0!</v>
      </c>
      <c r="K31" s="281" t="e">
        <f t="shared" si="15"/>
        <v>#DIV/0!</v>
      </c>
      <c r="L31" s="281" t="e">
        <f t="shared" si="15"/>
        <v>#DIV/0!</v>
      </c>
      <c r="M31" s="281">
        <f t="shared" si="15"/>
        <v>0</v>
      </c>
      <c r="N31" s="281"/>
      <c r="O31" s="281"/>
    </row>
    <row r="32" spans="1:15" ht="12" customHeight="1" x14ac:dyDescent="0.25">
      <c r="A32" s="282" t="s">
        <v>230</v>
      </c>
      <c r="B32" s="283" t="e">
        <f>B31+B34</f>
        <v>#DIV/0!</v>
      </c>
      <c r="C32" s="283" t="e">
        <f>C31+C34</f>
        <v>#DIV/0!</v>
      </c>
      <c r="D32" s="283" t="e">
        <f>D31+D34</f>
        <v>#DIV/0!</v>
      </c>
      <c r="E32" s="283" t="e">
        <f t="shared" ref="E32:M32" si="16">E31+E34</f>
        <v>#DIV/0!</v>
      </c>
      <c r="F32" s="283" t="e">
        <f t="shared" si="16"/>
        <v>#DIV/0!</v>
      </c>
      <c r="G32" s="283" t="e">
        <f t="shared" si="16"/>
        <v>#DIV/0!</v>
      </c>
      <c r="H32" s="283" t="e">
        <f t="shared" si="16"/>
        <v>#DIV/0!</v>
      </c>
      <c r="I32" s="283" t="e">
        <f t="shared" si="16"/>
        <v>#DIV/0!</v>
      </c>
      <c r="J32" s="283" t="e">
        <f t="shared" si="16"/>
        <v>#DIV/0!</v>
      </c>
      <c r="K32" s="283" t="e">
        <f t="shared" si="16"/>
        <v>#DIV/0!</v>
      </c>
      <c r="L32" s="283" t="e">
        <f t="shared" si="16"/>
        <v>#DIV/0!</v>
      </c>
      <c r="M32" s="283">
        <f t="shared" si="16"/>
        <v>0</v>
      </c>
      <c r="N32" s="270"/>
      <c r="O32" s="270"/>
    </row>
    <row r="33" spans="1:15" ht="12" customHeight="1" x14ac:dyDescent="0.25">
      <c r="A33" s="266" t="s">
        <v>118</v>
      </c>
      <c r="B33" s="270"/>
      <c r="C33" s="270">
        <f>Cifras_Originales!B13</f>
        <v>0</v>
      </c>
      <c r="D33" s="270">
        <f>Cifras_Originales!C13</f>
        <v>0</v>
      </c>
      <c r="E33" s="270">
        <f>Cifras_Originales!D13</f>
        <v>0</v>
      </c>
      <c r="F33" s="270">
        <f>Cifras_Originales!E13</f>
        <v>0</v>
      </c>
      <c r="G33" s="270">
        <f>Cifras_Originales!F13</f>
        <v>0</v>
      </c>
      <c r="H33" s="270">
        <f>Cifras_Originales!G13</f>
        <v>0</v>
      </c>
      <c r="I33" s="270">
        <f>Cifras_Originales!H13</f>
        <v>0</v>
      </c>
      <c r="J33" s="270">
        <f>Cifras_Originales!I13</f>
        <v>0</v>
      </c>
      <c r="K33" s="270">
        <f>Cifras_Originales!J13</f>
        <v>0</v>
      </c>
      <c r="L33" s="270">
        <f>Cifras_Originales!K13</f>
        <v>0</v>
      </c>
      <c r="M33" s="270">
        <f>Cifras_Originales!L13</f>
        <v>0</v>
      </c>
      <c r="N33" s="271"/>
      <c r="O33" s="271"/>
    </row>
    <row r="34" spans="1:15" ht="12" customHeight="1" x14ac:dyDescent="0.25">
      <c r="A34" s="284" t="s">
        <v>19</v>
      </c>
      <c r="B34" s="270"/>
      <c r="C34" s="270">
        <f>Cifras_Originales!B14</f>
        <v>0</v>
      </c>
      <c r="D34" s="270">
        <f>Cifras_Originales!C14</f>
        <v>0</v>
      </c>
      <c r="E34" s="270">
        <f>Cifras_Originales!D14</f>
        <v>0</v>
      </c>
      <c r="F34" s="270">
        <f>Cifras_Originales!E14</f>
        <v>0</v>
      </c>
      <c r="G34" s="270">
        <f>Cifras_Originales!F14</f>
        <v>0</v>
      </c>
      <c r="H34" s="270">
        <f>Cifras_Originales!G14</f>
        <v>0</v>
      </c>
      <c r="I34" s="270">
        <f>Cifras_Originales!H14</f>
        <v>0</v>
      </c>
      <c r="J34" s="270">
        <f>Cifras_Originales!I14</f>
        <v>0</v>
      </c>
      <c r="K34" s="270">
        <f>Cifras_Originales!J14</f>
        <v>0</v>
      </c>
      <c r="L34" s="270">
        <f>Cifras_Originales!K14</f>
        <v>0</v>
      </c>
      <c r="M34" s="270">
        <f>Cifras_Originales!L14</f>
        <v>0</v>
      </c>
      <c r="N34" s="271"/>
      <c r="O34" s="271"/>
    </row>
    <row r="35" spans="1:15" ht="12" customHeight="1" x14ac:dyDescent="0.25">
      <c r="A35" s="284" t="s">
        <v>231</v>
      </c>
      <c r="B35" s="270">
        <f t="shared" ref="B35:M35" si="17">+B34+B33</f>
        <v>0</v>
      </c>
      <c r="C35" s="270">
        <f t="shared" si="17"/>
        <v>0</v>
      </c>
      <c r="D35" s="270">
        <f t="shared" si="17"/>
        <v>0</v>
      </c>
      <c r="E35" s="270">
        <f t="shared" si="17"/>
        <v>0</v>
      </c>
      <c r="F35" s="270">
        <f t="shared" si="17"/>
        <v>0</v>
      </c>
      <c r="G35" s="270">
        <f t="shared" si="17"/>
        <v>0</v>
      </c>
      <c r="H35" s="270">
        <f t="shared" si="17"/>
        <v>0</v>
      </c>
      <c r="I35" s="270">
        <f t="shared" si="17"/>
        <v>0</v>
      </c>
      <c r="J35" s="270">
        <f t="shared" si="17"/>
        <v>0</v>
      </c>
      <c r="K35" s="270">
        <f t="shared" si="17"/>
        <v>0</v>
      </c>
      <c r="L35" s="270">
        <f t="shared" si="17"/>
        <v>0</v>
      </c>
      <c r="M35" s="270">
        <f t="shared" si="17"/>
        <v>0</v>
      </c>
      <c r="N35" s="270"/>
      <c r="O35" s="270"/>
    </row>
    <row r="36" spans="1:15" ht="12" customHeight="1" x14ac:dyDescent="0.25">
      <c r="A36" s="284"/>
      <c r="B36" s="271" t="e">
        <f>+B35/B5</f>
        <v>#DIV/0!</v>
      </c>
      <c r="C36" s="271" t="e">
        <f>+C35/C5</f>
        <v>#DIV/0!</v>
      </c>
      <c r="D36" s="271" t="e">
        <f t="shared" ref="D36:M36" si="18">+D35/D5</f>
        <v>#DIV/0!</v>
      </c>
      <c r="E36" s="271" t="e">
        <f t="shared" si="18"/>
        <v>#DIV/0!</v>
      </c>
      <c r="F36" s="271" t="e">
        <f t="shared" si="18"/>
        <v>#DIV/0!</v>
      </c>
      <c r="G36" s="271" t="e">
        <f t="shared" si="18"/>
        <v>#DIV/0!</v>
      </c>
      <c r="H36" s="271" t="e">
        <f t="shared" si="18"/>
        <v>#DIV/0!</v>
      </c>
      <c r="I36" s="271" t="e">
        <f t="shared" si="18"/>
        <v>#DIV/0!</v>
      </c>
      <c r="J36" s="271" t="e">
        <f t="shared" si="18"/>
        <v>#DIV/0!</v>
      </c>
      <c r="K36" s="271" t="e">
        <f t="shared" si="18"/>
        <v>#DIV/0!</v>
      </c>
      <c r="L36" s="271" t="e">
        <f t="shared" si="18"/>
        <v>#DIV/0!</v>
      </c>
      <c r="M36" s="271" t="e">
        <f t="shared" si="18"/>
        <v>#DIV/0!</v>
      </c>
      <c r="N36" s="270"/>
      <c r="O36" s="270"/>
    </row>
    <row r="37" spans="1:15" ht="12" customHeight="1" x14ac:dyDescent="0.25">
      <c r="A37" s="284" t="s">
        <v>232</v>
      </c>
      <c r="B37" s="270" t="e">
        <f t="shared" ref="B37:M37" si="19">SUM(B27:B29)</f>
        <v>#DIV/0!</v>
      </c>
      <c r="C37" s="270" t="e">
        <f t="shared" si="19"/>
        <v>#DIV/0!</v>
      </c>
      <c r="D37" s="270" t="e">
        <f t="shared" si="19"/>
        <v>#DIV/0!</v>
      </c>
      <c r="E37" s="270" t="e">
        <f t="shared" si="19"/>
        <v>#DIV/0!</v>
      </c>
      <c r="F37" s="270" t="e">
        <f t="shared" si="19"/>
        <v>#DIV/0!</v>
      </c>
      <c r="G37" s="270" t="e">
        <f t="shared" si="19"/>
        <v>#DIV/0!</v>
      </c>
      <c r="H37" s="270" t="e">
        <f t="shared" si="19"/>
        <v>#DIV/0!</v>
      </c>
      <c r="I37" s="270" t="e">
        <f t="shared" si="19"/>
        <v>#DIV/0!</v>
      </c>
      <c r="J37" s="270" t="e">
        <f t="shared" si="19"/>
        <v>#DIV/0!</v>
      </c>
      <c r="K37" s="270" t="e">
        <f t="shared" si="19"/>
        <v>#DIV/0!</v>
      </c>
      <c r="L37" s="270" t="e">
        <f t="shared" si="19"/>
        <v>#DIV/0!</v>
      </c>
      <c r="M37" s="270">
        <f t="shared" si="19"/>
        <v>0</v>
      </c>
      <c r="N37" s="270"/>
      <c r="O37" s="270"/>
    </row>
    <row r="38" spans="1:15" ht="12" customHeight="1" x14ac:dyDescent="0.3">
      <c r="A38" s="269"/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</row>
    <row r="39" spans="1:15" ht="12" customHeight="1" x14ac:dyDescent="0.3">
      <c r="A39" s="285" t="s">
        <v>233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</row>
    <row r="40" spans="1:15" ht="12" customHeight="1" x14ac:dyDescent="0.25">
      <c r="A40" s="266" t="s">
        <v>234</v>
      </c>
      <c r="B40" s="270"/>
      <c r="C40" s="270">
        <f>Cifras_Originales!B22</f>
        <v>0</v>
      </c>
      <c r="D40" s="270">
        <f>Cifras_Originales!C22</f>
        <v>0</v>
      </c>
      <c r="E40" s="270">
        <f>Cifras_Originales!D22</f>
        <v>0</v>
      </c>
      <c r="F40" s="270">
        <f>Cifras_Originales!E22</f>
        <v>0</v>
      </c>
      <c r="G40" s="270">
        <f>Cifras_Originales!F22</f>
        <v>0</v>
      </c>
      <c r="H40" s="270">
        <f>Cifras_Originales!G22</f>
        <v>0</v>
      </c>
      <c r="I40" s="270">
        <f>Cifras_Originales!H22</f>
        <v>0</v>
      </c>
      <c r="J40" s="270">
        <f>Cifras_Originales!I22</f>
        <v>0</v>
      </c>
      <c r="K40" s="270">
        <f>Cifras_Originales!J22</f>
        <v>0</v>
      </c>
      <c r="L40" s="270">
        <f>Cifras_Originales!K22</f>
        <v>0</v>
      </c>
      <c r="M40" s="270">
        <f>Cifras_Originales!L22</f>
        <v>0</v>
      </c>
      <c r="N40" s="270"/>
      <c r="O40" s="270"/>
    </row>
    <row r="41" spans="1:15" ht="12" customHeight="1" x14ac:dyDescent="0.25">
      <c r="A41" s="266" t="s">
        <v>235</v>
      </c>
      <c r="B41" s="270"/>
      <c r="C41" s="270">
        <f>Cifras_Originales!B23</f>
        <v>0</v>
      </c>
      <c r="D41" s="270">
        <f>Cifras_Originales!C23</f>
        <v>0</v>
      </c>
      <c r="E41" s="270">
        <f>Cifras_Originales!D23</f>
        <v>0</v>
      </c>
      <c r="F41" s="270">
        <f>Cifras_Originales!E23</f>
        <v>0</v>
      </c>
      <c r="G41" s="270">
        <f>Cifras_Originales!F23</f>
        <v>0</v>
      </c>
      <c r="H41" s="270">
        <f>Cifras_Originales!G23</f>
        <v>0</v>
      </c>
      <c r="I41" s="270">
        <f>Cifras_Originales!H23</f>
        <v>0</v>
      </c>
      <c r="J41" s="270">
        <f>Cifras_Originales!I23</f>
        <v>0</v>
      </c>
      <c r="K41" s="270">
        <f>Cifras_Originales!J23</f>
        <v>0</v>
      </c>
      <c r="L41" s="270">
        <f>Cifras_Originales!K23</f>
        <v>0</v>
      </c>
      <c r="M41" s="270">
        <f>Cifras_Originales!L23</f>
        <v>0</v>
      </c>
      <c r="N41" s="270"/>
      <c r="O41" s="270"/>
    </row>
    <row r="42" spans="1:15" ht="12" customHeight="1" x14ac:dyDescent="0.25">
      <c r="A42" s="266" t="s">
        <v>236</v>
      </c>
      <c r="B42" s="270"/>
      <c r="C42" s="270">
        <f>Cifras_Originales!B24</f>
        <v>0</v>
      </c>
      <c r="D42" s="270">
        <f>Cifras_Originales!C24</f>
        <v>0</v>
      </c>
      <c r="E42" s="270">
        <f>Cifras_Originales!D24</f>
        <v>0</v>
      </c>
      <c r="F42" s="270">
        <f>Cifras_Originales!E24</f>
        <v>0</v>
      </c>
      <c r="G42" s="270">
        <f>Cifras_Originales!F24</f>
        <v>0</v>
      </c>
      <c r="H42" s="270">
        <f>Cifras_Originales!G24</f>
        <v>0</v>
      </c>
      <c r="I42" s="270">
        <f>Cifras_Originales!H24</f>
        <v>0</v>
      </c>
      <c r="J42" s="270">
        <f>Cifras_Originales!I24</f>
        <v>0</v>
      </c>
      <c r="K42" s="270">
        <f>Cifras_Originales!J24</f>
        <v>0</v>
      </c>
      <c r="L42" s="270">
        <f>Cifras_Originales!K24</f>
        <v>0</v>
      </c>
      <c r="M42" s="270">
        <f>Cifras_Originales!L24</f>
        <v>0</v>
      </c>
      <c r="N42" s="270"/>
      <c r="O42" s="270"/>
    </row>
    <row r="43" spans="1:15" ht="12" customHeight="1" x14ac:dyDescent="0.25">
      <c r="A43" s="266" t="s">
        <v>237</v>
      </c>
      <c r="B43" s="270"/>
      <c r="C43" s="270">
        <f>Cifras_Originales!B25</f>
        <v>0</v>
      </c>
      <c r="D43" s="270">
        <f>Cifras_Originales!C25</f>
        <v>0</v>
      </c>
      <c r="E43" s="270">
        <f>Cifras_Originales!D25</f>
        <v>0</v>
      </c>
      <c r="F43" s="270">
        <f>Cifras_Originales!E25</f>
        <v>0</v>
      </c>
      <c r="G43" s="270">
        <f>Cifras_Originales!F25</f>
        <v>0</v>
      </c>
      <c r="H43" s="270">
        <f>Cifras_Originales!G25</f>
        <v>0</v>
      </c>
      <c r="I43" s="270">
        <f>Cifras_Originales!H25</f>
        <v>0</v>
      </c>
      <c r="J43" s="270">
        <f>Cifras_Originales!I25</f>
        <v>0</v>
      </c>
      <c r="K43" s="270">
        <f>Cifras_Originales!J25</f>
        <v>0</v>
      </c>
      <c r="L43" s="270">
        <f>Cifras_Originales!K25</f>
        <v>0</v>
      </c>
      <c r="M43" s="270">
        <f>Cifras_Originales!L25</f>
        <v>0</v>
      </c>
      <c r="N43" s="270"/>
      <c r="O43" s="270"/>
    </row>
    <row r="44" spans="1:15" ht="12" customHeight="1" x14ac:dyDescent="0.25">
      <c r="A44" s="266" t="s">
        <v>238</v>
      </c>
      <c r="B44" s="270">
        <f>B45-SUM(B40:B43)</f>
        <v>0</v>
      </c>
      <c r="C44" s="270">
        <f>Cifras_Originales!B26</f>
        <v>0</v>
      </c>
      <c r="D44" s="270">
        <f>Cifras_Originales!C26</f>
        <v>0</v>
      </c>
      <c r="E44" s="270">
        <f>Cifras_Originales!D26</f>
        <v>0</v>
      </c>
      <c r="F44" s="270">
        <f>Cifras_Originales!E26</f>
        <v>0</v>
      </c>
      <c r="G44" s="270">
        <f>Cifras_Originales!F26</f>
        <v>0</v>
      </c>
      <c r="H44" s="270">
        <f>Cifras_Originales!G26</f>
        <v>0</v>
      </c>
      <c r="I44" s="270">
        <f>Cifras_Originales!H26</f>
        <v>0</v>
      </c>
      <c r="J44" s="270">
        <f>Cifras_Originales!I26</f>
        <v>0</v>
      </c>
      <c r="K44" s="270">
        <f>Cifras_Originales!J26</f>
        <v>0</v>
      </c>
      <c r="L44" s="270">
        <f>Cifras_Originales!K26</f>
        <v>0</v>
      </c>
      <c r="M44" s="270">
        <f>Cifras_Originales!L26</f>
        <v>0</v>
      </c>
      <c r="N44" s="270"/>
      <c r="O44" s="270"/>
    </row>
    <row r="45" spans="1:15" ht="12" customHeight="1" x14ac:dyDescent="0.3">
      <c r="A45" s="266" t="s">
        <v>239</v>
      </c>
      <c r="B45" s="287"/>
      <c r="C45" s="287">
        <f>Cifras_Originales!B27</f>
        <v>0</v>
      </c>
      <c r="D45" s="287">
        <f>Cifras_Originales!C27</f>
        <v>0</v>
      </c>
      <c r="E45" s="287">
        <f>Cifras_Originales!D27</f>
        <v>0</v>
      </c>
      <c r="F45" s="287">
        <f>Cifras_Originales!E27</f>
        <v>0</v>
      </c>
      <c r="G45" s="287">
        <f>Cifras_Originales!F27</f>
        <v>0</v>
      </c>
      <c r="H45" s="287">
        <f>Cifras_Originales!G27</f>
        <v>0</v>
      </c>
      <c r="I45" s="287">
        <f>Cifras_Originales!H27</f>
        <v>0</v>
      </c>
      <c r="J45" s="287">
        <f>Cifras_Originales!I27</f>
        <v>0</v>
      </c>
      <c r="K45" s="287">
        <f>Cifras_Originales!J27</f>
        <v>0</v>
      </c>
      <c r="L45" s="287">
        <f>Cifras_Originales!K27</f>
        <v>0</v>
      </c>
      <c r="M45" s="287">
        <f>Cifras_Originales!L27</f>
        <v>0</v>
      </c>
      <c r="N45" s="287"/>
      <c r="O45" s="287"/>
    </row>
    <row r="46" spans="1:15" ht="12" customHeight="1" x14ac:dyDescent="0.25"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</row>
    <row r="47" spans="1:15" ht="12" customHeight="1" x14ac:dyDescent="0.25">
      <c r="B47" s="26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</row>
    <row r="48" spans="1:15" ht="12" customHeight="1" x14ac:dyDescent="0.3">
      <c r="A48" s="285" t="s">
        <v>240</v>
      </c>
      <c r="B48" s="286"/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</row>
    <row r="49" spans="1:15" ht="12" customHeight="1" x14ac:dyDescent="0.25">
      <c r="A49" s="266" t="s">
        <v>241</v>
      </c>
      <c r="B49" s="270"/>
      <c r="C49" s="270">
        <f>Cifras_Originales!B31</f>
        <v>0</v>
      </c>
      <c r="D49" s="270">
        <f>Cifras_Originales!C31</f>
        <v>0</v>
      </c>
      <c r="E49" s="270">
        <f>Cifras_Originales!D31</f>
        <v>0</v>
      </c>
      <c r="F49" s="270">
        <f>Cifras_Originales!E31</f>
        <v>0</v>
      </c>
      <c r="G49" s="270">
        <f>Cifras_Originales!F31</f>
        <v>0</v>
      </c>
      <c r="H49" s="270">
        <f>Cifras_Originales!G31</f>
        <v>0</v>
      </c>
      <c r="I49" s="270">
        <f>Cifras_Originales!H31</f>
        <v>0</v>
      </c>
      <c r="J49" s="270">
        <f>Cifras_Originales!I31</f>
        <v>0</v>
      </c>
      <c r="K49" s="270">
        <f>Cifras_Originales!J31</f>
        <v>0</v>
      </c>
      <c r="L49" s="270">
        <f>Cifras_Originales!K31</f>
        <v>0</v>
      </c>
      <c r="M49" s="270">
        <f>Cifras_Originales!L31</f>
        <v>0</v>
      </c>
      <c r="N49" s="270"/>
      <c r="O49" s="270"/>
    </row>
    <row r="50" spans="1:15" ht="12" customHeight="1" x14ac:dyDescent="0.25">
      <c r="A50" s="266" t="s">
        <v>242</v>
      </c>
      <c r="B50" s="270"/>
      <c r="C50" s="270">
        <f>Cifras_Originales!B32</f>
        <v>0</v>
      </c>
      <c r="D50" s="270">
        <f>Cifras_Originales!C32</f>
        <v>0</v>
      </c>
      <c r="E50" s="270">
        <f>Cifras_Originales!D32</f>
        <v>0</v>
      </c>
      <c r="F50" s="270">
        <f>Cifras_Originales!E32</f>
        <v>0</v>
      </c>
      <c r="G50" s="270">
        <f>Cifras_Originales!F32</f>
        <v>0</v>
      </c>
      <c r="H50" s="270">
        <f>Cifras_Originales!G32</f>
        <v>0</v>
      </c>
      <c r="I50" s="270">
        <f>Cifras_Originales!H32</f>
        <v>0</v>
      </c>
      <c r="J50" s="270">
        <f>Cifras_Originales!I32</f>
        <v>0</v>
      </c>
      <c r="K50" s="270">
        <f>Cifras_Originales!J32</f>
        <v>0</v>
      </c>
      <c r="L50" s="270">
        <f>Cifras_Originales!K32</f>
        <v>0</v>
      </c>
      <c r="M50" s="270">
        <f>Cifras_Originales!L32</f>
        <v>0</v>
      </c>
      <c r="N50" s="270"/>
      <c r="O50" s="270"/>
    </row>
    <row r="51" spans="1:15" ht="12" customHeight="1" x14ac:dyDescent="0.25">
      <c r="A51" s="266" t="s">
        <v>243</v>
      </c>
      <c r="B51" s="270"/>
      <c r="C51" s="270">
        <f>Cifras_Originales!B33</f>
        <v>0</v>
      </c>
      <c r="D51" s="270">
        <f>Cifras_Originales!C33</f>
        <v>0</v>
      </c>
      <c r="E51" s="270">
        <f>Cifras_Originales!D33</f>
        <v>0</v>
      </c>
      <c r="F51" s="270">
        <f>Cifras_Originales!E33</f>
        <v>0</v>
      </c>
      <c r="G51" s="270">
        <f>Cifras_Originales!F33</f>
        <v>0</v>
      </c>
      <c r="H51" s="270">
        <f>Cifras_Originales!G33</f>
        <v>0</v>
      </c>
      <c r="I51" s="270">
        <f>Cifras_Originales!H33</f>
        <v>0</v>
      </c>
      <c r="J51" s="270">
        <f>Cifras_Originales!I33</f>
        <v>0</v>
      </c>
      <c r="K51" s="270">
        <f>Cifras_Originales!J33</f>
        <v>0</v>
      </c>
      <c r="L51" s="270">
        <f>Cifras_Originales!K33</f>
        <v>0</v>
      </c>
      <c r="M51" s="270">
        <f>Cifras_Originales!L33</f>
        <v>0</v>
      </c>
      <c r="N51" s="270"/>
      <c r="O51" s="270"/>
    </row>
    <row r="52" spans="1:15" ht="12" customHeight="1" x14ac:dyDescent="0.25">
      <c r="A52" s="266" t="s">
        <v>244</v>
      </c>
      <c r="B52" s="270"/>
      <c r="C52" s="270">
        <f>Cifras_Originales!B34</f>
        <v>0</v>
      </c>
      <c r="D52" s="270">
        <f>Cifras_Originales!C34</f>
        <v>0</v>
      </c>
      <c r="E52" s="270">
        <f>Cifras_Originales!D34</f>
        <v>0</v>
      </c>
      <c r="F52" s="270">
        <f>Cifras_Originales!E34</f>
        <v>0</v>
      </c>
      <c r="G52" s="270">
        <f>Cifras_Originales!F34</f>
        <v>0</v>
      </c>
      <c r="H52" s="270">
        <f>Cifras_Originales!G34</f>
        <v>0</v>
      </c>
      <c r="I52" s="270">
        <f>Cifras_Originales!H34</f>
        <v>0</v>
      </c>
      <c r="J52" s="270">
        <f>Cifras_Originales!I34</f>
        <v>0</v>
      </c>
      <c r="K52" s="270">
        <f>Cifras_Originales!J34</f>
        <v>0</v>
      </c>
      <c r="L52" s="270">
        <f>Cifras_Originales!K34</f>
        <v>0</v>
      </c>
      <c r="M52" s="270">
        <f>Cifras_Originales!L34</f>
        <v>0</v>
      </c>
      <c r="N52" s="270"/>
      <c r="O52" s="270"/>
    </row>
    <row r="53" spans="1:15" ht="12" customHeight="1" x14ac:dyDescent="0.25">
      <c r="A53" s="266" t="s">
        <v>245</v>
      </c>
      <c r="B53" s="270"/>
      <c r="C53" s="270">
        <f>Cifras_Originales!B35</f>
        <v>0</v>
      </c>
      <c r="D53" s="270">
        <f>Cifras_Originales!C35</f>
        <v>0</v>
      </c>
      <c r="E53" s="270">
        <f>Cifras_Originales!D35</f>
        <v>0</v>
      </c>
      <c r="F53" s="270">
        <f>Cifras_Originales!E35</f>
        <v>0</v>
      </c>
      <c r="G53" s="270">
        <f>Cifras_Originales!F35</f>
        <v>0</v>
      </c>
      <c r="H53" s="270">
        <f>Cifras_Originales!G35</f>
        <v>0</v>
      </c>
      <c r="I53" s="270">
        <f>Cifras_Originales!H35</f>
        <v>0</v>
      </c>
      <c r="J53" s="270">
        <f>Cifras_Originales!I35</f>
        <v>0</v>
      </c>
      <c r="K53" s="270">
        <f>Cifras_Originales!J35</f>
        <v>0</v>
      </c>
      <c r="L53" s="270">
        <f>Cifras_Originales!K35</f>
        <v>0</v>
      </c>
      <c r="M53" s="270">
        <f>Cifras_Originales!L35</f>
        <v>0</v>
      </c>
      <c r="N53" s="270"/>
      <c r="O53" s="270"/>
    </row>
    <row r="54" spans="1:15" ht="12" customHeight="1" x14ac:dyDescent="0.25">
      <c r="A54" s="266" t="s">
        <v>246</v>
      </c>
      <c r="B54" s="270"/>
      <c r="C54" s="270">
        <f>Cifras_Originales!B36</f>
        <v>0</v>
      </c>
      <c r="D54" s="270">
        <f>Cifras_Originales!C36</f>
        <v>0</v>
      </c>
      <c r="E54" s="270">
        <f>Cifras_Originales!D36</f>
        <v>0</v>
      </c>
      <c r="F54" s="270">
        <f>Cifras_Originales!E36</f>
        <v>0</v>
      </c>
      <c r="G54" s="270">
        <f>Cifras_Originales!F36</f>
        <v>0</v>
      </c>
      <c r="H54" s="270">
        <f>Cifras_Originales!G36</f>
        <v>0</v>
      </c>
      <c r="I54" s="270">
        <f>Cifras_Originales!H36</f>
        <v>0</v>
      </c>
      <c r="J54" s="270">
        <f>Cifras_Originales!I36</f>
        <v>0</v>
      </c>
      <c r="K54" s="270">
        <f>Cifras_Originales!J36</f>
        <v>0</v>
      </c>
      <c r="L54" s="270">
        <f>Cifras_Originales!K36</f>
        <v>0</v>
      </c>
      <c r="M54" s="270">
        <f>Cifras_Originales!L36</f>
        <v>0</v>
      </c>
      <c r="N54" s="270"/>
      <c r="O54" s="270"/>
    </row>
    <row r="55" spans="1:15" ht="12" customHeight="1" x14ac:dyDescent="0.25">
      <c r="A55" s="266" t="s">
        <v>247</v>
      </c>
      <c r="B55" s="270"/>
      <c r="C55" s="270">
        <f>Cifras_Originales!B37</f>
        <v>0</v>
      </c>
      <c r="D55" s="270">
        <f>Cifras_Originales!C37</f>
        <v>0</v>
      </c>
      <c r="E55" s="270">
        <f>Cifras_Originales!D37</f>
        <v>0</v>
      </c>
      <c r="F55" s="270">
        <f>Cifras_Originales!E37</f>
        <v>0</v>
      </c>
      <c r="G55" s="270">
        <f>Cifras_Originales!F37</f>
        <v>0</v>
      </c>
      <c r="H55" s="270">
        <f>Cifras_Originales!G37</f>
        <v>0</v>
      </c>
      <c r="I55" s="270">
        <f>Cifras_Originales!H37</f>
        <v>0</v>
      </c>
      <c r="J55" s="270">
        <f>Cifras_Originales!I37</f>
        <v>0</v>
      </c>
      <c r="K55" s="270">
        <f>Cifras_Originales!J37</f>
        <v>0</v>
      </c>
      <c r="L55" s="270">
        <f>Cifras_Originales!K37</f>
        <v>0</v>
      </c>
      <c r="M55" s="270">
        <f>Cifras_Originales!L37</f>
        <v>0</v>
      </c>
      <c r="N55" s="270"/>
      <c r="O55" s="270"/>
    </row>
    <row r="56" spans="1:15" ht="12" customHeight="1" x14ac:dyDescent="0.25">
      <c r="A56" s="266" t="s">
        <v>248</v>
      </c>
      <c r="B56" s="270">
        <f>B53-SUM(B54:B55)</f>
        <v>0</v>
      </c>
      <c r="C56" s="270">
        <f>Cifras_Originales!B38</f>
        <v>0</v>
      </c>
      <c r="D56" s="270">
        <f>Cifras_Originales!C38</f>
        <v>0</v>
      </c>
      <c r="E56" s="270">
        <f>Cifras_Originales!D38</f>
        <v>0</v>
      </c>
      <c r="F56" s="270">
        <f>Cifras_Originales!E38</f>
        <v>0</v>
      </c>
      <c r="G56" s="270">
        <f>Cifras_Originales!F38</f>
        <v>0</v>
      </c>
      <c r="H56" s="270">
        <f>Cifras_Originales!G38</f>
        <v>0</v>
      </c>
      <c r="I56" s="270">
        <f>Cifras_Originales!H38</f>
        <v>0</v>
      </c>
      <c r="J56" s="270">
        <f>Cifras_Originales!I38</f>
        <v>0</v>
      </c>
      <c r="K56" s="270">
        <f>Cifras_Originales!J38</f>
        <v>0</v>
      </c>
      <c r="L56" s="270">
        <f>Cifras_Originales!K38</f>
        <v>0</v>
      </c>
      <c r="M56" s="270">
        <f>Cifras_Originales!L38</f>
        <v>0</v>
      </c>
      <c r="N56" s="270"/>
      <c r="O56" s="270"/>
    </row>
    <row r="57" spans="1:15" ht="12" customHeight="1" x14ac:dyDescent="0.3">
      <c r="A57" s="266" t="s">
        <v>249</v>
      </c>
      <c r="B57" s="287"/>
      <c r="C57" s="287">
        <f>Cifras_Originales!B39</f>
        <v>0</v>
      </c>
      <c r="D57" s="287">
        <f>Cifras_Originales!C39</f>
        <v>0</v>
      </c>
      <c r="E57" s="287">
        <f>Cifras_Originales!D39</f>
        <v>0</v>
      </c>
      <c r="F57" s="287">
        <f>Cifras_Originales!E39</f>
        <v>0</v>
      </c>
      <c r="G57" s="287">
        <f>Cifras_Originales!F39</f>
        <v>0</v>
      </c>
      <c r="H57" s="287">
        <f>Cifras_Originales!G39</f>
        <v>0</v>
      </c>
      <c r="I57" s="287">
        <f>Cifras_Originales!H39</f>
        <v>0</v>
      </c>
      <c r="J57" s="287">
        <f>Cifras_Originales!I39</f>
        <v>0</v>
      </c>
      <c r="K57" s="287">
        <f>Cifras_Originales!J39</f>
        <v>0</v>
      </c>
      <c r="L57" s="287">
        <f>Cifras_Originales!K39</f>
        <v>0</v>
      </c>
      <c r="M57" s="287">
        <f>Cifras_Originales!L39</f>
        <v>0</v>
      </c>
      <c r="N57" s="287"/>
      <c r="O57" s="287"/>
    </row>
    <row r="58" spans="1:15" ht="12" customHeight="1" x14ac:dyDescent="0.25"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</row>
    <row r="59" spans="1:15" ht="12" customHeight="1" x14ac:dyDescent="0.25">
      <c r="A59" s="266" t="s">
        <v>368</v>
      </c>
      <c r="B59" s="270">
        <f>B60-B40</f>
        <v>0</v>
      </c>
      <c r="C59" s="270">
        <f t="shared" ref="C59:M59" si="20">C60-C40</f>
        <v>0</v>
      </c>
      <c r="D59" s="270">
        <f t="shared" si="20"/>
        <v>0</v>
      </c>
      <c r="E59" s="270">
        <f t="shared" si="20"/>
        <v>0</v>
      </c>
      <c r="F59" s="270">
        <f t="shared" si="20"/>
        <v>0</v>
      </c>
      <c r="G59" s="270">
        <f t="shared" si="20"/>
        <v>0</v>
      </c>
      <c r="H59" s="270">
        <f t="shared" si="20"/>
        <v>0</v>
      </c>
      <c r="I59" s="270">
        <f t="shared" si="20"/>
        <v>0</v>
      </c>
      <c r="J59" s="270">
        <f t="shared" si="20"/>
        <v>0</v>
      </c>
      <c r="K59" s="270">
        <f t="shared" si="20"/>
        <v>0</v>
      </c>
      <c r="L59" s="270">
        <f t="shared" si="20"/>
        <v>0</v>
      </c>
      <c r="M59" s="270">
        <f t="shared" si="20"/>
        <v>0</v>
      </c>
      <c r="N59" s="262"/>
      <c r="O59" s="262"/>
    </row>
    <row r="60" spans="1:15" ht="12" customHeight="1" x14ac:dyDescent="0.25">
      <c r="A60" s="266" t="s">
        <v>17</v>
      </c>
      <c r="B60" s="270">
        <f>B50+B51+B54+B55</f>
        <v>0</v>
      </c>
      <c r="C60" s="270">
        <f t="shared" ref="C60:M60" si="21">C50+C51+C54+C55</f>
        <v>0</v>
      </c>
      <c r="D60" s="270">
        <f t="shared" si="21"/>
        <v>0</v>
      </c>
      <c r="E60" s="270">
        <f t="shared" si="21"/>
        <v>0</v>
      </c>
      <c r="F60" s="270">
        <f t="shared" si="21"/>
        <v>0</v>
      </c>
      <c r="G60" s="270">
        <f t="shared" si="21"/>
        <v>0</v>
      </c>
      <c r="H60" s="270">
        <f t="shared" si="21"/>
        <v>0</v>
      </c>
      <c r="I60" s="270">
        <f t="shared" si="21"/>
        <v>0</v>
      </c>
      <c r="J60" s="270">
        <f t="shared" si="21"/>
        <v>0</v>
      </c>
      <c r="K60" s="270">
        <f t="shared" si="21"/>
        <v>0</v>
      </c>
      <c r="L60" s="270">
        <f t="shared" si="21"/>
        <v>0</v>
      </c>
      <c r="M60" s="270">
        <f t="shared" si="21"/>
        <v>0</v>
      </c>
      <c r="N60" s="270"/>
      <c r="O60" s="270"/>
    </row>
    <row r="61" spans="1:15" ht="12" customHeight="1" x14ac:dyDescent="0.25">
      <c r="B61" s="272" t="e">
        <f>B60/B45</f>
        <v>#DIV/0!</v>
      </c>
      <c r="C61" s="272" t="e">
        <f>C60/C45</f>
        <v>#DIV/0!</v>
      </c>
      <c r="D61" s="272" t="e">
        <f>D60/D45</f>
        <v>#DIV/0!</v>
      </c>
      <c r="E61" s="272" t="e">
        <f t="shared" ref="E61:M61" si="22">E60/E45</f>
        <v>#DIV/0!</v>
      </c>
      <c r="F61" s="272" t="e">
        <f t="shared" si="22"/>
        <v>#DIV/0!</v>
      </c>
      <c r="G61" s="272" t="e">
        <f t="shared" si="22"/>
        <v>#DIV/0!</v>
      </c>
      <c r="H61" s="272" t="e">
        <f t="shared" si="22"/>
        <v>#DIV/0!</v>
      </c>
      <c r="I61" s="272" t="e">
        <f t="shared" si="22"/>
        <v>#DIV/0!</v>
      </c>
      <c r="J61" s="272" t="e">
        <f t="shared" si="22"/>
        <v>#DIV/0!</v>
      </c>
      <c r="K61" s="272" t="e">
        <f t="shared" si="22"/>
        <v>#DIV/0!</v>
      </c>
      <c r="L61" s="272" t="e">
        <f t="shared" si="22"/>
        <v>#DIV/0!</v>
      </c>
      <c r="M61" s="272" t="e">
        <f t="shared" si="22"/>
        <v>#DIV/0!</v>
      </c>
      <c r="N61" s="272"/>
      <c r="O61" s="272"/>
    </row>
    <row r="62" spans="1:15" ht="12" customHeight="1" x14ac:dyDescent="0.25">
      <c r="B62" s="262"/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</row>
    <row r="63" spans="1:15" s="288" customFormat="1" ht="12" customHeight="1" x14ac:dyDescent="0.3">
      <c r="A63" s="285" t="s">
        <v>250</v>
      </c>
      <c r="B63" s="287">
        <v>0</v>
      </c>
      <c r="C63" s="287">
        <f>Cifras_Originales!B42</f>
        <v>0</v>
      </c>
      <c r="D63" s="287">
        <f>Cifras_Originales!C42</f>
        <v>0</v>
      </c>
      <c r="E63" s="287">
        <f>Cifras_Originales!D42</f>
        <v>0</v>
      </c>
      <c r="F63" s="287">
        <f>Cifras_Originales!E42</f>
        <v>0</v>
      </c>
      <c r="G63" s="287">
        <f>Cifras_Originales!F42</f>
        <v>0</v>
      </c>
      <c r="H63" s="287">
        <f>Cifras_Originales!G42</f>
        <v>0</v>
      </c>
      <c r="I63" s="287">
        <f>Cifras_Originales!H42</f>
        <v>0</v>
      </c>
      <c r="J63" s="287">
        <f>Cifras_Originales!I42</f>
        <v>0</v>
      </c>
      <c r="K63" s="287">
        <f>Cifras_Originales!J42</f>
        <v>0</v>
      </c>
      <c r="L63" s="287">
        <f>Cifras_Originales!K42</f>
        <v>0</v>
      </c>
      <c r="M63" s="287">
        <f>Cifras_Originales!L42</f>
        <v>0</v>
      </c>
      <c r="N63" s="287"/>
      <c r="O63" s="287"/>
    </row>
    <row r="64" spans="1:15" ht="12" customHeight="1" x14ac:dyDescent="0.25">
      <c r="B64" s="262"/>
      <c r="C64" s="262"/>
      <c r="D64" s="262"/>
      <c r="E64" s="262"/>
      <c r="F64" s="262"/>
      <c r="G64" s="262"/>
      <c r="H64" s="262"/>
      <c r="I64" s="262"/>
      <c r="J64" s="262"/>
      <c r="K64" s="262"/>
      <c r="L64" s="262"/>
      <c r="M64" s="262"/>
      <c r="N64" s="262"/>
      <c r="O64" s="262"/>
    </row>
    <row r="65" spans="1:242" ht="12" customHeight="1" x14ac:dyDescent="0.25">
      <c r="B65" s="262"/>
      <c r="C65" s="262"/>
      <c r="D65" s="262"/>
      <c r="E65" s="262"/>
      <c r="F65" s="262"/>
      <c r="G65" s="262"/>
      <c r="H65" s="262"/>
      <c r="I65" s="262"/>
      <c r="J65" s="262"/>
      <c r="K65" s="262"/>
      <c r="L65" s="262"/>
      <c r="M65" s="262"/>
      <c r="N65" s="262"/>
      <c r="O65" s="262"/>
    </row>
    <row r="66" spans="1:242" ht="12" customHeight="1" x14ac:dyDescent="0.25">
      <c r="A66" s="285" t="s">
        <v>251</v>
      </c>
      <c r="B66" s="270">
        <f>B45-B57-B63</f>
        <v>0</v>
      </c>
      <c r="C66" s="270">
        <f>C45-C57-C63</f>
        <v>0</v>
      </c>
      <c r="D66" s="270">
        <f>D45-D57-D63</f>
        <v>0</v>
      </c>
      <c r="E66" s="270">
        <f t="shared" ref="E66:M66" si="23">E45-E57-E63</f>
        <v>0</v>
      </c>
      <c r="F66" s="270">
        <f t="shared" si="23"/>
        <v>0</v>
      </c>
      <c r="G66" s="270">
        <f t="shared" si="23"/>
        <v>0</v>
      </c>
      <c r="H66" s="270">
        <f t="shared" si="23"/>
        <v>0</v>
      </c>
      <c r="I66" s="270">
        <f t="shared" si="23"/>
        <v>0</v>
      </c>
      <c r="J66" s="270">
        <f t="shared" si="23"/>
        <v>0</v>
      </c>
      <c r="K66" s="270">
        <f t="shared" si="23"/>
        <v>0</v>
      </c>
      <c r="L66" s="270">
        <f t="shared" si="23"/>
        <v>0</v>
      </c>
      <c r="M66" s="270">
        <f t="shared" si="23"/>
        <v>0</v>
      </c>
      <c r="N66" s="270"/>
      <c r="O66" s="270"/>
    </row>
    <row r="67" spans="1:242" ht="12" customHeight="1" x14ac:dyDescent="0.25">
      <c r="L67" s="266"/>
      <c r="M67" s="266"/>
      <c r="N67" s="266"/>
      <c r="O67" s="266"/>
    </row>
    <row r="68" spans="1:242" ht="12" customHeight="1" x14ac:dyDescent="0.25">
      <c r="L68" s="266"/>
      <c r="M68" s="266"/>
      <c r="N68" s="266"/>
      <c r="O68" s="266"/>
    </row>
    <row r="69" spans="1:242" ht="12" customHeight="1" x14ac:dyDescent="0.25">
      <c r="A69" s="269" t="s">
        <v>252</v>
      </c>
      <c r="B69" s="269"/>
      <c r="C69" s="269"/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</row>
    <row r="70" spans="1:242" ht="12" customHeight="1" x14ac:dyDescent="0.25">
      <c r="A70" s="266" t="s">
        <v>253</v>
      </c>
      <c r="B70" s="270"/>
      <c r="C70" s="270">
        <f>Cifras_Originales!B47</f>
        <v>0</v>
      </c>
      <c r="D70" s="270">
        <f>Cifras_Originales!C47</f>
        <v>0</v>
      </c>
      <c r="E70" s="270">
        <f>Cifras_Originales!D47</f>
        <v>0</v>
      </c>
      <c r="F70" s="270">
        <f>Cifras_Originales!E47</f>
        <v>0</v>
      </c>
      <c r="G70" s="270">
        <f>Cifras_Originales!F47</f>
        <v>0</v>
      </c>
      <c r="H70" s="270">
        <f>Cifras_Originales!G47</f>
        <v>0</v>
      </c>
      <c r="I70" s="270">
        <f>Cifras_Originales!H47</f>
        <v>0</v>
      </c>
      <c r="J70" s="270">
        <f>Cifras_Originales!I47</f>
        <v>0</v>
      </c>
      <c r="K70" s="270">
        <f>Cifras_Originales!J47</f>
        <v>0</v>
      </c>
      <c r="L70" s="270">
        <f>Cifras_Originales!K47</f>
        <v>0</v>
      </c>
      <c r="M70" s="270">
        <f>Cifras_Originales!L47</f>
        <v>0</v>
      </c>
      <c r="N70" s="270"/>
      <c r="O70" s="270"/>
    </row>
    <row r="71" spans="1:242" ht="12" customHeight="1" x14ac:dyDescent="0.25">
      <c r="A71" s="266" t="s">
        <v>254</v>
      </c>
      <c r="B71" s="270"/>
      <c r="C71" s="270">
        <f>+Cifras_Originales!B48</f>
        <v>0</v>
      </c>
      <c r="D71" s="270">
        <f>+Cifras_Originales!C48</f>
        <v>0</v>
      </c>
      <c r="E71" s="270">
        <f>+Cifras_Originales!D48</f>
        <v>0</v>
      </c>
      <c r="F71" s="270">
        <f>+Cifras_Originales!E48</f>
        <v>0</v>
      </c>
      <c r="G71" s="270">
        <f>+Cifras_Originales!F48</f>
        <v>0</v>
      </c>
      <c r="H71" s="270">
        <f>+Cifras_Originales!G48</f>
        <v>0</v>
      </c>
      <c r="I71" s="270">
        <f>+Cifras_Originales!H48</f>
        <v>0</v>
      </c>
      <c r="J71" s="270">
        <f>+Cifras_Originales!I48</f>
        <v>0</v>
      </c>
      <c r="K71" s="270">
        <f>+Cifras_Originales!J48</f>
        <v>0</v>
      </c>
      <c r="L71" s="270">
        <f>+Cifras_Originales!K48</f>
        <v>0</v>
      </c>
      <c r="M71" s="270">
        <f>+Cifras_Originales!L48</f>
        <v>0</v>
      </c>
      <c r="N71" s="270"/>
      <c r="O71" s="270"/>
    </row>
    <row r="72" spans="1:242" ht="12" customHeight="1" x14ac:dyDescent="0.25">
      <c r="A72" s="266" t="s">
        <v>172</v>
      </c>
      <c r="B72" s="272"/>
      <c r="C72" s="272">
        <f>Cifras_Originales!B49</f>
        <v>0</v>
      </c>
      <c r="D72" s="272">
        <f>Cifras_Originales!C49</f>
        <v>0</v>
      </c>
      <c r="E72" s="272">
        <f>Cifras_Originales!D49</f>
        <v>0</v>
      </c>
      <c r="F72" s="272">
        <f>Cifras_Originales!E49</f>
        <v>0</v>
      </c>
      <c r="G72" s="272">
        <f>Cifras_Originales!F49</f>
        <v>0</v>
      </c>
      <c r="H72" s="272">
        <f>Cifras_Originales!G49</f>
        <v>0</v>
      </c>
      <c r="I72" s="272">
        <f>Cifras_Originales!H49</f>
        <v>0</v>
      </c>
      <c r="J72" s="272">
        <f>Cifras_Originales!I49</f>
        <v>0</v>
      </c>
      <c r="K72" s="272">
        <f>Cifras_Originales!J49</f>
        <v>0</v>
      </c>
      <c r="L72" s="272">
        <f>Cifras_Originales!K49</f>
        <v>0</v>
      </c>
      <c r="M72" s="272">
        <f>Cifras_Originales!L49</f>
        <v>0</v>
      </c>
      <c r="N72" s="272"/>
      <c r="O72" s="272"/>
    </row>
    <row r="73" spans="1:242" ht="12" customHeight="1" x14ac:dyDescent="0.25">
      <c r="A73" s="266" t="s">
        <v>255</v>
      </c>
      <c r="B73" s="271"/>
      <c r="C73" s="271">
        <f>Cifras_Originales!B50</f>
        <v>0</v>
      </c>
      <c r="D73" s="271">
        <f>Cifras_Originales!C50</f>
        <v>0</v>
      </c>
      <c r="E73" s="271">
        <f>Cifras_Originales!D50</f>
        <v>0</v>
      </c>
      <c r="F73" s="271">
        <f>Cifras_Originales!E50</f>
        <v>0</v>
      </c>
      <c r="G73" s="271">
        <f>Cifras_Originales!F50</f>
        <v>0</v>
      </c>
      <c r="H73" s="271">
        <f>Cifras_Originales!G50</f>
        <v>0</v>
      </c>
      <c r="I73" s="271">
        <f>Cifras_Originales!H50</f>
        <v>0</v>
      </c>
      <c r="J73" s="271">
        <f>Cifras_Originales!I50</f>
        <v>0</v>
      </c>
      <c r="K73" s="271">
        <f>Cifras_Originales!J50</f>
        <v>0</v>
      </c>
      <c r="L73" s="271">
        <f>Cifras_Originales!K50</f>
        <v>0</v>
      </c>
      <c r="M73" s="271">
        <f>Cifras_Originales!L50</f>
        <v>0</v>
      </c>
      <c r="N73" s="271"/>
      <c r="O73" s="271"/>
    </row>
    <row r="74" spans="1:242" ht="12" customHeight="1" x14ac:dyDescent="0.25">
      <c r="A74" s="266" t="s">
        <v>256</v>
      </c>
      <c r="B74" s="270"/>
      <c r="C74" s="270">
        <f>+Cifras_Originales!B51</f>
        <v>0</v>
      </c>
      <c r="D74" s="270">
        <f>+Cifras_Originales!C51</f>
        <v>0</v>
      </c>
      <c r="E74" s="270">
        <f>+Cifras_Originales!D51</f>
        <v>0</v>
      </c>
      <c r="F74" s="270">
        <f>+Cifras_Originales!E51</f>
        <v>0</v>
      </c>
      <c r="G74" s="270">
        <f>+Cifras_Originales!F51</f>
        <v>0</v>
      </c>
      <c r="H74" s="270">
        <f>+Cifras_Originales!G51</f>
        <v>0</v>
      </c>
      <c r="I74" s="270">
        <f>+Cifras_Originales!H51</f>
        <v>0</v>
      </c>
      <c r="J74" s="270">
        <f>+Cifras_Originales!I51</f>
        <v>0</v>
      </c>
      <c r="K74" s="270">
        <f>+Cifras_Originales!J51</f>
        <v>0</v>
      </c>
      <c r="L74" s="270">
        <f>+Cifras_Originales!K51</f>
        <v>0</v>
      </c>
      <c r="M74" s="270">
        <f>+Cifras_Originales!L51</f>
        <v>0</v>
      </c>
      <c r="N74" s="270"/>
      <c r="O74" s="270"/>
    </row>
    <row r="75" spans="1:242" ht="12" customHeight="1" x14ac:dyDescent="0.25">
      <c r="A75" s="266" t="str">
        <f>Cifras_Originales!A52</f>
        <v>Vol. Diario en Millones USD</v>
      </c>
      <c r="B75" s="270"/>
      <c r="C75" s="270">
        <f>Cifras_Originales!B52</f>
        <v>0</v>
      </c>
      <c r="D75" s="270">
        <f>Cifras_Originales!C52</f>
        <v>0</v>
      </c>
      <c r="E75" s="270">
        <f>Cifras_Originales!D52</f>
        <v>0</v>
      </c>
      <c r="F75" s="270">
        <f>Cifras_Originales!E52</f>
        <v>0</v>
      </c>
      <c r="G75" s="270">
        <f>Cifras_Originales!F52</f>
        <v>0</v>
      </c>
      <c r="H75" s="270">
        <f>Cifras_Originales!G52</f>
        <v>0</v>
      </c>
      <c r="I75" s="270">
        <f>Cifras_Originales!H52</f>
        <v>0</v>
      </c>
      <c r="J75" s="270">
        <f>Cifras_Originales!I52</f>
        <v>0</v>
      </c>
      <c r="K75" s="270">
        <f>Cifras_Originales!J52</f>
        <v>0</v>
      </c>
      <c r="L75" s="270">
        <f>Cifras_Originales!K52</f>
        <v>0</v>
      </c>
      <c r="M75" s="270">
        <f>Cifras_Originales!L52</f>
        <v>0</v>
      </c>
      <c r="N75" s="270"/>
      <c r="O75" s="270"/>
      <c r="IH75" s="266">
        <f>Cifras_Originales!GM52</f>
        <v>0</v>
      </c>
    </row>
    <row r="76" spans="1:242" ht="12" customHeight="1" x14ac:dyDescent="0.25"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IH76" s="266"/>
    </row>
    <row r="77" spans="1:242" ht="12" customHeight="1" x14ac:dyDescent="0.25">
      <c r="B77" s="269">
        <f>+Cifras_Originales!B53</f>
        <v>2021</v>
      </c>
      <c r="C77" s="269">
        <f>+Cifras_Originales!C53</f>
        <v>2022</v>
      </c>
      <c r="D77" s="269">
        <f>+Cifras_Originales!D53</f>
        <v>2023</v>
      </c>
      <c r="H77" s="269"/>
      <c r="I77" s="289"/>
      <c r="J77" s="289"/>
      <c r="K77" s="289"/>
      <c r="L77" s="289"/>
      <c r="M77" s="289"/>
      <c r="N77" s="289"/>
      <c r="IH77" s="266"/>
    </row>
    <row r="78" spans="1:242" ht="12" customHeight="1" x14ac:dyDescent="0.25">
      <c r="A78" s="266" t="str">
        <f>Cifras_Originales!A54</f>
        <v>Posicion en Corto (%)</v>
      </c>
      <c r="B78" s="271">
        <f>Cifras_Originales!B54</f>
        <v>0</v>
      </c>
      <c r="C78" s="290"/>
      <c r="D78" s="290"/>
      <c r="H78" s="289"/>
      <c r="I78" s="289"/>
      <c r="J78" s="289"/>
      <c r="K78" s="289"/>
      <c r="L78" s="289"/>
      <c r="M78" s="289"/>
      <c r="N78" s="289"/>
      <c r="IH78" s="266"/>
    </row>
    <row r="79" spans="1:242" ht="12" customHeight="1" x14ac:dyDescent="0.25">
      <c r="A79" s="266" t="str">
        <f>Cifras_Originales!A55</f>
        <v>EPS</v>
      </c>
      <c r="B79" s="290">
        <f>Cifras_Originales!B55</f>
        <v>0</v>
      </c>
      <c r="C79" s="290">
        <f>Cifras_Originales!C55</f>
        <v>0</v>
      </c>
      <c r="D79" s="290">
        <f>Cifras_Originales!D55</f>
        <v>0</v>
      </c>
    </row>
    <row r="80" spans="1:242" ht="12" customHeight="1" x14ac:dyDescent="0.25"/>
    <row r="81" spans="1:8" x14ac:dyDescent="0.25">
      <c r="A81" s="285" t="str">
        <f>+Cifras_Originales!A57</f>
        <v>BONOS DE LA EMISORA A 3, 5 Y 10</v>
      </c>
      <c r="B81" s="269" t="s">
        <v>257</v>
      </c>
      <c r="C81" s="269" t="s">
        <v>258</v>
      </c>
      <c r="D81" s="269" t="s">
        <v>259</v>
      </c>
      <c r="E81" s="269" t="s">
        <v>260</v>
      </c>
      <c r="H81" s="269"/>
    </row>
    <row r="82" spans="1:8" ht="12.5" x14ac:dyDescent="0.25">
      <c r="A82" s="266">
        <f>+Cifras_Originales!A58</f>
        <v>0</v>
      </c>
      <c r="B82" s="290">
        <f>+Cifras_Originales!B58</f>
        <v>0</v>
      </c>
      <c r="C82" s="261">
        <f>+Cifras_Originales!C58</f>
        <v>0</v>
      </c>
      <c r="D82" s="271">
        <f>+Cifras_Originales!D58</f>
        <v>0</v>
      </c>
      <c r="E82" s="261">
        <f>+Cifras_Originales!E58</f>
        <v>0</v>
      </c>
    </row>
    <row r="83" spans="1:8" ht="12.5" x14ac:dyDescent="0.25">
      <c r="A83" s="266">
        <f>+Cifras_Originales!A59</f>
        <v>0</v>
      </c>
      <c r="B83" s="290">
        <f>+Cifras_Originales!B59</f>
        <v>0</v>
      </c>
      <c r="C83" s="261">
        <f>+Cifras_Originales!C59</f>
        <v>0</v>
      </c>
      <c r="D83" s="271">
        <f>+Cifras_Originales!D59</f>
        <v>0</v>
      </c>
      <c r="E83" s="261">
        <f>+Cifras_Originales!E59</f>
        <v>0</v>
      </c>
    </row>
    <row r="84" spans="1:8" ht="12.5" x14ac:dyDescent="0.25">
      <c r="A84" s="266">
        <f>+Cifras_Originales!A60</f>
        <v>0</v>
      </c>
      <c r="B84" s="290">
        <f>+Cifras_Originales!B60</f>
        <v>0</v>
      </c>
      <c r="C84" s="261">
        <f>+Cifras_Originales!C60</f>
        <v>0</v>
      </c>
      <c r="D84" s="271">
        <f>+Cifras_Originales!D60</f>
        <v>0</v>
      </c>
      <c r="E84" s="261">
        <f>+Cifras_Originales!E60</f>
        <v>0</v>
      </c>
    </row>
    <row r="85" spans="1:8" ht="12.5" x14ac:dyDescent="0.25">
      <c r="A85" s="266">
        <f>+Cifras_Originales!A61</f>
        <v>0</v>
      </c>
      <c r="B85" s="290">
        <f>+Cifras_Originales!B61</f>
        <v>0</v>
      </c>
      <c r="C85" s="261">
        <f>+Cifras_Originales!C61</f>
        <v>0</v>
      </c>
      <c r="D85" s="271">
        <f>+Cifras_Originales!D61</f>
        <v>0</v>
      </c>
      <c r="E85" s="261">
        <f>+Cifras_Originales!E61</f>
        <v>0</v>
      </c>
    </row>
    <row r="86" spans="1:8" ht="12.5" x14ac:dyDescent="0.25">
      <c r="C86" s="290"/>
      <c r="D86" s="290"/>
      <c r="E86" s="261"/>
      <c r="F86" s="291"/>
      <c r="G86" s="261"/>
    </row>
    <row r="87" spans="1:8" ht="12.5" x14ac:dyDescent="0.25">
      <c r="C87" s="290"/>
      <c r="D87" s="290"/>
      <c r="E87" s="261"/>
      <c r="F87" s="291"/>
      <c r="G87" s="261"/>
    </row>
    <row r="88" spans="1:8" ht="12.5" x14ac:dyDescent="0.25">
      <c r="C88" s="290"/>
      <c r="D88" s="290"/>
      <c r="E88" s="261"/>
      <c r="F88" s="291"/>
      <c r="G88" s="261"/>
    </row>
    <row r="89" spans="1:8" ht="12.5" x14ac:dyDescent="0.25">
      <c r="C89" s="290"/>
      <c r="D89" s="290"/>
      <c r="E89" s="261"/>
      <c r="F89" s="291"/>
      <c r="G89" s="261"/>
    </row>
    <row r="90" spans="1:8" ht="12.5" x14ac:dyDescent="0.25">
      <c r="C90" s="290"/>
      <c r="D90" s="290"/>
      <c r="E90" s="261"/>
      <c r="F90" s="291"/>
      <c r="G90" s="261"/>
    </row>
    <row r="91" spans="1:8" ht="12.5" x14ac:dyDescent="0.25">
      <c r="C91" s="290"/>
      <c r="D91" s="290"/>
      <c r="E91" s="261"/>
      <c r="F91" s="291"/>
      <c r="G91" s="261"/>
    </row>
    <row r="92" spans="1:8" ht="12.5" x14ac:dyDescent="0.25">
      <c r="C92" s="290"/>
      <c r="D92" s="290"/>
      <c r="E92" s="261"/>
      <c r="F92" s="291"/>
      <c r="G92" s="261"/>
    </row>
    <row r="93" spans="1:8" ht="12.5" x14ac:dyDescent="0.25">
      <c r="C93" s="290"/>
      <c r="D93" s="290"/>
      <c r="E93" s="261"/>
      <c r="F93" s="291"/>
      <c r="G93" s="261"/>
    </row>
    <row r="94" spans="1:8" ht="12.5" x14ac:dyDescent="0.25">
      <c r="C94" s="290"/>
      <c r="D94" s="290"/>
      <c r="E94" s="261"/>
      <c r="F94" s="291"/>
      <c r="G94" s="261"/>
    </row>
  </sheetData>
  <mergeCells count="2">
    <mergeCell ref="A1:L1"/>
    <mergeCell ref="A2:L2"/>
  </mergeCells>
  <printOptions horizontalCentered="1" verticalCentered="1"/>
  <pageMargins left="0.25" right="0.25" top="0.75" bottom="0.75" header="0.3" footer="0.3"/>
  <pageSetup paperSize="122" scale="5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X64"/>
  <sheetViews>
    <sheetView tabSelected="1" topLeftCell="A44" zoomScale="115" zoomScaleNormal="115" workbookViewId="0">
      <selection activeCell="A49" sqref="A49"/>
    </sheetView>
  </sheetViews>
  <sheetFormatPr defaultColWidth="11.453125" defaultRowHeight="14" x14ac:dyDescent="0.3"/>
  <cols>
    <col min="1" max="1" width="34.1796875" style="292" customWidth="1"/>
    <col min="2" max="2" width="14.453125" style="292" customWidth="1"/>
    <col min="3" max="7" width="14.453125" style="292" bestFit="1" customWidth="1"/>
    <col min="8" max="8" width="15.1796875" style="292" bestFit="1" customWidth="1"/>
    <col min="9" max="10" width="14.453125" style="292" bestFit="1" customWidth="1"/>
    <col min="11" max="12" width="14.453125" style="293" bestFit="1" customWidth="1"/>
    <col min="13" max="15" width="14.453125" style="292" customWidth="1"/>
    <col min="16" max="16" width="11.453125" style="292" customWidth="1"/>
    <col min="17" max="17" width="17.1796875" style="292" customWidth="1"/>
    <col min="18" max="18" width="18.1796875" style="292" bestFit="1" customWidth="1"/>
    <col min="19" max="29" width="14.81640625" style="292" customWidth="1"/>
    <col min="30" max="16384" width="11.453125" style="292"/>
  </cols>
  <sheetData>
    <row r="1" spans="1:30" x14ac:dyDescent="0.3">
      <c r="A1" s="292" t="s">
        <v>358</v>
      </c>
    </row>
    <row r="2" spans="1:30" x14ac:dyDescent="0.3">
      <c r="A2" s="292" t="s">
        <v>359</v>
      </c>
      <c r="B2" s="324"/>
      <c r="C2" s="642" t="str">
        <f>"Cifras en "&amp;A2&amp;" de "&amp;A1</f>
        <v>Cifras en Millones de USD</v>
      </c>
      <c r="D2" s="642"/>
      <c r="E2" s="642"/>
      <c r="F2" s="642"/>
      <c r="G2" s="642"/>
      <c r="H2" s="642"/>
      <c r="I2" s="642"/>
      <c r="J2" s="642"/>
      <c r="K2" s="642"/>
      <c r="L2" s="642"/>
    </row>
    <row r="3" spans="1:30" x14ac:dyDescent="0.3">
      <c r="A3" s="292" t="s">
        <v>450</v>
      </c>
      <c r="D3" s="297"/>
      <c r="G3" s="292" t="str">
        <f>A3&amp;" ("&amp;A4&amp;")"</f>
        <v>(Company name) ((ticker))</v>
      </c>
    </row>
    <row r="4" spans="1:30" x14ac:dyDescent="0.3">
      <c r="A4" s="292" t="s">
        <v>439</v>
      </c>
      <c r="D4" s="297"/>
      <c r="K4" s="292"/>
      <c r="L4" s="292"/>
    </row>
    <row r="5" spans="1:30" x14ac:dyDescent="0.3">
      <c r="A5" s="325" t="s">
        <v>261</v>
      </c>
      <c r="B5" s="325">
        <v>2023</v>
      </c>
      <c r="C5" s="325">
        <f>B5-1</f>
        <v>2022</v>
      </c>
      <c r="D5" s="325">
        <f>C5-1</f>
        <v>2021</v>
      </c>
      <c r="E5" s="325">
        <f t="shared" ref="E5:M5" si="0">D5-1</f>
        <v>2020</v>
      </c>
      <c r="F5" s="325">
        <f t="shared" si="0"/>
        <v>2019</v>
      </c>
      <c r="G5" s="325">
        <f t="shared" si="0"/>
        <v>2018</v>
      </c>
      <c r="H5" s="325">
        <f t="shared" si="0"/>
        <v>2017</v>
      </c>
      <c r="I5" s="325">
        <f t="shared" si="0"/>
        <v>2016</v>
      </c>
      <c r="J5" s="325">
        <f t="shared" si="0"/>
        <v>2015</v>
      </c>
      <c r="K5" s="325">
        <f t="shared" si="0"/>
        <v>2014</v>
      </c>
      <c r="L5" s="325">
        <f t="shared" si="0"/>
        <v>2013</v>
      </c>
      <c r="M5" s="325">
        <f t="shared" si="0"/>
        <v>2012</v>
      </c>
      <c r="S5" s="448"/>
    </row>
    <row r="6" spans="1:30" x14ac:dyDescent="0.3">
      <c r="A6" s="295" t="s">
        <v>210</v>
      </c>
      <c r="B6" s="296"/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3"/>
      <c r="P6" s="293"/>
    </row>
    <row r="7" spans="1:30" x14ac:dyDescent="0.3">
      <c r="A7" s="295" t="s">
        <v>212</v>
      </c>
      <c r="B7" s="296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3"/>
      <c r="P7" s="449"/>
      <c r="S7" s="450"/>
      <c r="T7" s="448"/>
    </row>
    <row r="8" spans="1:30" x14ac:dyDescent="0.3">
      <c r="A8" s="295" t="s">
        <v>215</v>
      </c>
      <c r="B8" s="296"/>
      <c r="C8" s="296"/>
      <c r="D8" s="296"/>
      <c r="E8" s="296"/>
      <c r="F8" s="296"/>
      <c r="G8" s="296"/>
      <c r="H8" s="296"/>
      <c r="I8" s="296"/>
      <c r="J8" s="296"/>
      <c r="K8" s="296"/>
      <c r="L8" s="296"/>
      <c r="M8" s="296"/>
      <c r="N8" s="296"/>
      <c r="O8" s="293"/>
      <c r="P8" s="451"/>
    </row>
    <row r="9" spans="1:30" x14ac:dyDescent="0.3">
      <c r="A9" s="295" t="s">
        <v>262</v>
      </c>
      <c r="B9" s="296"/>
      <c r="C9" s="296"/>
      <c r="D9" s="296"/>
      <c r="E9" s="296"/>
      <c r="F9" s="296"/>
      <c r="G9" s="296"/>
      <c r="H9" s="296"/>
      <c r="I9" s="296"/>
      <c r="J9" s="296"/>
      <c r="K9" s="296"/>
      <c r="L9" s="296"/>
      <c r="M9" s="296"/>
      <c r="N9" s="296"/>
      <c r="O9" s="293"/>
      <c r="P9" s="293"/>
      <c r="S9" s="325">
        <f>C5</f>
        <v>2022</v>
      </c>
      <c r="T9" s="325">
        <f t="shared" ref="T9:AB9" si="1">D5</f>
        <v>2021</v>
      </c>
      <c r="U9" s="325">
        <f t="shared" si="1"/>
        <v>2020</v>
      </c>
      <c r="V9" s="325">
        <f t="shared" si="1"/>
        <v>2019</v>
      </c>
      <c r="W9" s="325">
        <f t="shared" si="1"/>
        <v>2018</v>
      </c>
      <c r="X9" s="325">
        <f t="shared" si="1"/>
        <v>2017</v>
      </c>
      <c r="Y9" s="325">
        <f t="shared" si="1"/>
        <v>2016</v>
      </c>
      <c r="Z9" s="325">
        <f t="shared" si="1"/>
        <v>2015</v>
      </c>
      <c r="AA9" s="325">
        <f t="shared" si="1"/>
        <v>2014</v>
      </c>
      <c r="AB9" s="325">
        <f t="shared" si="1"/>
        <v>2013</v>
      </c>
      <c r="AC9" s="325"/>
    </row>
    <row r="10" spans="1:30" x14ac:dyDescent="0.3">
      <c r="A10" s="295" t="s">
        <v>263</v>
      </c>
      <c r="B10" s="296"/>
      <c r="C10" s="296"/>
      <c r="D10" s="296"/>
      <c r="E10" s="296"/>
      <c r="F10" s="296"/>
      <c r="G10" s="296"/>
      <c r="H10" s="296"/>
      <c r="I10" s="296"/>
      <c r="J10" s="296"/>
      <c r="K10" s="296"/>
      <c r="L10" s="296"/>
      <c r="M10" s="296"/>
      <c r="N10" s="296"/>
      <c r="O10" s="293"/>
      <c r="P10" s="293"/>
      <c r="R10" s="292" t="s">
        <v>360</v>
      </c>
      <c r="S10" s="297">
        <f>C24</f>
        <v>0</v>
      </c>
      <c r="T10" s="297">
        <f t="shared" ref="T10:AC10" si="2">D24</f>
        <v>0</v>
      </c>
      <c r="U10" s="297">
        <f t="shared" si="2"/>
        <v>0</v>
      </c>
      <c r="V10" s="297">
        <f t="shared" si="2"/>
        <v>0</v>
      </c>
      <c r="W10" s="297">
        <f t="shared" si="2"/>
        <v>0</v>
      </c>
      <c r="X10" s="297">
        <f t="shared" si="2"/>
        <v>0</v>
      </c>
      <c r="Y10" s="297">
        <f t="shared" si="2"/>
        <v>0</v>
      </c>
      <c r="Z10" s="297">
        <f t="shared" si="2"/>
        <v>0</v>
      </c>
      <c r="AA10" s="297">
        <f t="shared" si="2"/>
        <v>0</v>
      </c>
      <c r="AB10" s="297">
        <f t="shared" si="2"/>
        <v>0</v>
      </c>
      <c r="AC10" s="297">
        <f t="shared" si="2"/>
        <v>0</v>
      </c>
      <c r="AD10" s="297"/>
    </row>
    <row r="11" spans="1:30" x14ac:dyDescent="0.3">
      <c r="A11" s="295" t="s">
        <v>264</v>
      </c>
      <c r="B11" s="296"/>
      <c r="C11" s="296"/>
      <c r="D11" s="296"/>
      <c r="E11" s="296"/>
      <c r="F11" s="296"/>
      <c r="G11" s="296"/>
      <c r="H11" s="296"/>
      <c r="I11" s="296"/>
      <c r="J11" s="296"/>
      <c r="K11" s="296"/>
      <c r="L11" s="296"/>
      <c r="M11" s="296"/>
      <c r="N11" s="296"/>
      <c r="O11" s="293"/>
      <c r="P11" s="293"/>
      <c r="R11" s="292" t="s">
        <v>361</v>
      </c>
      <c r="S11" s="297">
        <f>C23</f>
        <v>0</v>
      </c>
      <c r="T11" s="297">
        <f t="shared" ref="T11:AC11" si="3">D23</f>
        <v>0</v>
      </c>
      <c r="U11" s="297">
        <f t="shared" si="3"/>
        <v>0</v>
      </c>
      <c r="V11" s="297">
        <f t="shared" si="3"/>
        <v>0</v>
      </c>
      <c r="W11" s="297">
        <f t="shared" si="3"/>
        <v>0</v>
      </c>
      <c r="X11" s="297">
        <f t="shared" si="3"/>
        <v>0</v>
      </c>
      <c r="Y11" s="297">
        <f t="shared" si="3"/>
        <v>0</v>
      </c>
      <c r="Z11" s="297">
        <f t="shared" si="3"/>
        <v>0</v>
      </c>
      <c r="AA11" s="297">
        <f t="shared" si="3"/>
        <v>0</v>
      </c>
      <c r="AB11" s="297">
        <f t="shared" si="3"/>
        <v>0</v>
      </c>
      <c r="AC11" s="297">
        <f t="shared" si="3"/>
        <v>0</v>
      </c>
      <c r="AD11" s="297"/>
    </row>
    <row r="12" spans="1:30" x14ac:dyDescent="0.3">
      <c r="A12" s="295" t="s">
        <v>221</v>
      </c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296"/>
      <c r="O12" s="293"/>
      <c r="P12" s="293"/>
      <c r="R12" s="292" t="s">
        <v>362</v>
      </c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</row>
    <row r="13" spans="1:30" x14ac:dyDescent="0.3">
      <c r="A13" s="295" t="s">
        <v>118</v>
      </c>
      <c r="B13" s="296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T13" s="297"/>
    </row>
    <row r="14" spans="1:30" x14ac:dyDescent="0.3">
      <c r="A14" s="295" t="s">
        <v>19</v>
      </c>
      <c r="B14" s="296"/>
      <c r="C14" s="296"/>
      <c r="D14" s="296"/>
      <c r="E14" s="296"/>
      <c r="F14" s="296"/>
      <c r="G14" s="296"/>
      <c r="H14" s="296"/>
      <c r="I14" s="296"/>
      <c r="J14" s="296"/>
      <c r="K14" s="296"/>
      <c r="L14" s="296"/>
      <c r="M14" s="296"/>
      <c r="N14" s="296"/>
      <c r="O14" s="293"/>
      <c r="P14" s="293"/>
      <c r="S14" s="293">
        <f>(S10-T10)</f>
        <v>0</v>
      </c>
      <c r="T14" s="293">
        <f t="shared" ref="T14:AB14" si="4">(T10-U10)</f>
        <v>0</v>
      </c>
      <c r="U14" s="293">
        <f t="shared" si="4"/>
        <v>0</v>
      </c>
      <c r="V14" s="293">
        <f t="shared" si="4"/>
        <v>0</v>
      </c>
      <c r="W14" s="293">
        <f t="shared" si="4"/>
        <v>0</v>
      </c>
      <c r="X14" s="293">
        <f t="shared" si="4"/>
        <v>0</v>
      </c>
      <c r="Y14" s="293">
        <f t="shared" si="4"/>
        <v>0</v>
      </c>
      <c r="Z14" s="293">
        <f t="shared" si="4"/>
        <v>0</v>
      </c>
      <c r="AA14" s="293">
        <f t="shared" si="4"/>
        <v>0</v>
      </c>
      <c r="AB14" s="293">
        <f t="shared" si="4"/>
        <v>0</v>
      </c>
      <c r="AC14" s="452"/>
      <c r="AD14" s="452"/>
    </row>
    <row r="15" spans="1:30" x14ac:dyDescent="0.3">
      <c r="A15" s="295" t="s">
        <v>223</v>
      </c>
      <c r="B15" s="296"/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296"/>
      <c r="N15" s="296"/>
      <c r="O15" s="293"/>
      <c r="P15" s="293"/>
      <c r="R15" s="297"/>
      <c r="S15" s="293">
        <f t="shared" ref="S15:AB16" si="5">(S11-T11)</f>
        <v>0</v>
      </c>
      <c r="T15" s="293">
        <f t="shared" si="5"/>
        <v>0</v>
      </c>
      <c r="U15" s="293">
        <f t="shared" si="5"/>
        <v>0</v>
      </c>
      <c r="V15" s="293">
        <f t="shared" si="5"/>
        <v>0</v>
      </c>
      <c r="W15" s="293">
        <f t="shared" si="5"/>
        <v>0</v>
      </c>
      <c r="X15" s="293">
        <f t="shared" si="5"/>
        <v>0</v>
      </c>
      <c r="Y15" s="293">
        <f t="shared" si="5"/>
        <v>0</v>
      </c>
      <c r="Z15" s="293">
        <f t="shared" si="5"/>
        <v>0</v>
      </c>
      <c r="AA15" s="293">
        <f t="shared" si="5"/>
        <v>0</v>
      </c>
      <c r="AB15" s="293">
        <f t="shared" si="5"/>
        <v>0</v>
      </c>
      <c r="AC15" s="452"/>
      <c r="AD15" s="452"/>
    </row>
    <row r="16" spans="1:30" x14ac:dyDescent="0.3">
      <c r="A16" s="295" t="s">
        <v>41</v>
      </c>
      <c r="B16" s="296"/>
      <c r="C16" s="296"/>
      <c r="D16" s="296"/>
      <c r="E16" s="296"/>
      <c r="F16" s="296"/>
      <c r="G16" s="296"/>
      <c r="H16" s="296"/>
      <c r="I16" s="296"/>
      <c r="J16" s="296"/>
      <c r="K16" s="296"/>
      <c r="L16" s="296"/>
      <c r="M16" s="296"/>
      <c r="N16" s="296"/>
      <c r="O16" s="293"/>
      <c r="P16" s="293"/>
      <c r="R16" s="297"/>
      <c r="S16" s="293">
        <f t="shared" si="5"/>
        <v>0</v>
      </c>
      <c r="T16" s="293">
        <f t="shared" si="5"/>
        <v>0</v>
      </c>
      <c r="U16" s="293">
        <f t="shared" si="5"/>
        <v>0</v>
      </c>
      <c r="V16" s="293">
        <f t="shared" si="5"/>
        <v>0</v>
      </c>
      <c r="W16" s="293">
        <f t="shared" si="5"/>
        <v>0</v>
      </c>
      <c r="X16" s="293">
        <f t="shared" si="5"/>
        <v>0</v>
      </c>
      <c r="Y16" s="293">
        <f t="shared" si="5"/>
        <v>0</v>
      </c>
      <c r="Z16" s="293">
        <f t="shared" si="5"/>
        <v>0</v>
      </c>
      <c r="AA16" s="293">
        <f t="shared" si="5"/>
        <v>0</v>
      </c>
      <c r="AB16" s="293">
        <f t="shared" si="5"/>
        <v>0</v>
      </c>
      <c r="AC16" s="452"/>
      <c r="AD16" s="452"/>
    </row>
    <row r="17" spans="1:102" x14ac:dyDescent="0.3">
      <c r="A17" s="295" t="s">
        <v>227</v>
      </c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6"/>
      <c r="O17" s="293"/>
      <c r="P17" s="293"/>
      <c r="R17" s="300" t="s">
        <v>363</v>
      </c>
      <c r="S17" s="299">
        <f>SUM(S14:S16)</f>
        <v>0</v>
      </c>
      <c r="T17" s="299">
        <f t="shared" ref="T17:AB17" si="6">SUM(T14:T16)</f>
        <v>0</v>
      </c>
      <c r="U17" s="299">
        <f t="shared" si="6"/>
        <v>0</v>
      </c>
      <c r="V17" s="299">
        <f t="shared" si="6"/>
        <v>0</v>
      </c>
      <c r="W17" s="299">
        <f t="shared" si="6"/>
        <v>0</v>
      </c>
      <c r="X17" s="299">
        <f t="shared" si="6"/>
        <v>0</v>
      </c>
      <c r="Y17" s="299">
        <f t="shared" si="6"/>
        <v>0</v>
      </c>
      <c r="Z17" s="299">
        <f t="shared" si="6"/>
        <v>0</v>
      </c>
      <c r="AA17" s="299">
        <f t="shared" si="6"/>
        <v>0</v>
      </c>
      <c r="AB17" s="299">
        <f t="shared" si="6"/>
        <v>0</v>
      </c>
      <c r="AC17" s="452"/>
      <c r="AD17" s="452"/>
    </row>
    <row r="18" spans="1:102" x14ac:dyDescent="0.3">
      <c r="A18" s="295" t="s">
        <v>265</v>
      </c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3"/>
      <c r="P18" s="293"/>
      <c r="S18" s="452"/>
    </row>
    <row r="19" spans="1:102" x14ac:dyDescent="0.3">
      <c r="B19" s="293">
        <f t="shared" ref="B19:M19" si="7">B8-B9-B10-B15</f>
        <v>0</v>
      </c>
      <c r="C19" s="293">
        <f t="shared" si="7"/>
        <v>0</v>
      </c>
      <c r="D19" s="293">
        <f t="shared" si="7"/>
        <v>0</v>
      </c>
      <c r="E19" s="293">
        <f t="shared" si="7"/>
        <v>0</v>
      </c>
      <c r="F19" s="293">
        <f t="shared" si="7"/>
        <v>0</v>
      </c>
      <c r="G19" s="293">
        <f t="shared" si="7"/>
        <v>0</v>
      </c>
      <c r="H19" s="293">
        <f t="shared" si="7"/>
        <v>0</v>
      </c>
      <c r="I19" s="293">
        <f t="shared" si="7"/>
        <v>0</v>
      </c>
      <c r="J19" s="293">
        <f t="shared" si="7"/>
        <v>0</v>
      </c>
      <c r="K19" s="293">
        <f t="shared" si="7"/>
        <v>0</v>
      </c>
      <c r="L19" s="293">
        <f t="shared" si="7"/>
        <v>0</v>
      </c>
      <c r="M19" s="293">
        <f t="shared" si="7"/>
        <v>0</v>
      </c>
      <c r="Q19" s="297"/>
      <c r="S19" s="452"/>
    </row>
    <row r="20" spans="1:102" x14ac:dyDescent="0.3">
      <c r="A20" s="325" t="s">
        <v>266</v>
      </c>
      <c r="B20" s="298">
        <f t="shared" ref="B20:M20" si="8">B16-B19</f>
        <v>0</v>
      </c>
      <c r="C20" s="298">
        <f t="shared" si="8"/>
        <v>0</v>
      </c>
      <c r="D20" s="298">
        <f t="shared" si="8"/>
        <v>0</v>
      </c>
      <c r="E20" s="298">
        <f t="shared" si="8"/>
        <v>0</v>
      </c>
      <c r="F20" s="298">
        <f t="shared" si="8"/>
        <v>0</v>
      </c>
      <c r="G20" s="298">
        <f t="shared" si="8"/>
        <v>0</v>
      </c>
      <c r="H20" s="298">
        <f t="shared" si="8"/>
        <v>0</v>
      </c>
      <c r="I20" s="298">
        <f t="shared" si="8"/>
        <v>0</v>
      </c>
      <c r="J20" s="298">
        <f t="shared" si="8"/>
        <v>0</v>
      </c>
      <c r="K20" s="298">
        <f t="shared" si="8"/>
        <v>0</v>
      </c>
      <c r="L20" s="298">
        <f t="shared" si="8"/>
        <v>0</v>
      </c>
      <c r="M20" s="298">
        <f t="shared" si="8"/>
        <v>0</v>
      </c>
      <c r="Q20" s="297"/>
      <c r="S20" s="452"/>
    </row>
    <row r="21" spans="1:102" x14ac:dyDescent="0.3">
      <c r="A21" s="294" t="s">
        <v>233</v>
      </c>
      <c r="B21" s="300"/>
      <c r="C21" s="300"/>
      <c r="D21" s="300"/>
      <c r="E21" s="300"/>
      <c r="F21" s="300"/>
      <c r="G21" s="300"/>
      <c r="H21" s="300"/>
      <c r="I21" s="300"/>
      <c r="J21" s="300"/>
      <c r="K21" s="299"/>
      <c r="L21" s="299"/>
      <c r="Q21" s="297"/>
      <c r="S21" s="452"/>
    </row>
    <row r="22" spans="1:102" x14ac:dyDescent="0.3">
      <c r="A22" s="295" t="s">
        <v>234</v>
      </c>
      <c r="B22" s="296"/>
      <c r="C22" s="296"/>
      <c r="D22" s="296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3"/>
      <c r="P22" s="293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</row>
    <row r="23" spans="1:102" s="302" customFormat="1" x14ac:dyDescent="0.3">
      <c r="A23" s="301" t="s">
        <v>235</v>
      </c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  <c r="N23" s="296"/>
      <c r="O23" s="293"/>
      <c r="P23" s="293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2"/>
      <c r="AE23" s="292"/>
      <c r="AF23" s="292"/>
      <c r="AG23" s="292"/>
      <c r="AH23" s="292"/>
      <c r="AI23" s="292"/>
      <c r="AJ23" s="292"/>
      <c r="AK23" s="292"/>
      <c r="AL23" s="292"/>
      <c r="AM23" s="292"/>
      <c r="AN23" s="292"/>
      <c r="AO23" s="292"/>
      <c r="AP23" s="292"/>
      <c r="AQ23" s="292"/>
      <c r="AR23" s="292"/>
      <c r="AS23" s="292"/>
      <c r="AT23" s="292"/>
      <c r="AU23" s="292"/>
      <c r="AV23" s="292"/>
      <c r="AW23" s="292"/>
      <c r="AX23" s="292"/>
      <c r="AY23" s="292"/>
      <c r="AZ23" s="292"/>
      <c r="BA23" s="292"/>
      <c r="BB23" s="292"/>
      <c r="BC23" s="292"/>
      <c r="BD23" s="292"/>
      <c r="BE23" s="292"/>
      <c r="BF23" s="292"/>
      <c r="BG23" s="292"/>
      <c r="BH23" s="292"/>
      <c r="BI23" s="292"/>
      <c r="BJ23" s="292"/>
      <c r="BK23" s="292"/>
      <c r="BL23" s="292"/>
      <c r="BM23" s="292"/>
      <c r="BN23" s="292"/>
      <c r="BO23" s="292"/>
      <c r="BP23" s="292"/>
      <c r="BQ23" s="292"/>
      <c r="BR23" s="292"/>
      <c r="BS23" s="292"/>
      <c r="BT23" s="292"/>
      <c r="BU23" s="292"/>
      <c r="BV23" s="292"/>
      <c r="BW23" s="292"/>
      <c r="BX23" s="292"/>
      <c r="BY23" s="292"/>
      <c r="BZ23" s="292"/>
      <c r="CA23" s="292"/>
      <c r="CB23" s="292"/>
      <c r="CC23" s="292"/>
      <c r="CD23" s="292"/>
      <c r="CE23" s="292"/>
      <c r="CF23" s="292"/>
      <c r="CG23" s="292"/>
      <c r="CH23" s="292"/>
      <c r="CI23" s="292"/>
      <c r="CJ23" s="292"/>
      <c r="CK23" s="292"/>
      <c r="CL23" s="292"/>
      <c r="CM23" s="292"/>
      <c r="CN23" s="292"/>
      <c r="CO23" s="292"/>
      <c r="CP23" s="292"/>
      <c r="CQ23" s="292"/>
      <c r="CR23" s="292"/>
      <c r="CS23" s="292"/>
      <c r="CT23" s="292"/>
      <c r="CU23" s="292"/>
      <c r="CV23" s="292"/>
      <c r="CW23" s="292"/>
      <c r="CX23" s="292"/>
    </row>
    <row r="24" spans="1:102" x14ac:dyDescent="0.3">
      <c r="A24" s="295" t="s">
        <v>236</v>
      </c>
      <c r="B24" s="296"/>
      <c r="C24" s="296"/>
      <c r="D24" s="296"/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3"/>
      <c r="P24" s="293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</row>
    <row r="25" spans="1:102" x14ac:dyDescent="0.3">
      <c r="A25" s="295" t="s">
        <v>267</v>
      </c>
      <c r="B25" s="296"/>
      <c r="C25" s="296"/>
      <c r="D25" s="296"/>
      <c r="E25" s="296"/>
      <c r="F25" s="296"/>
      <c r="G25" s="296"/>
      <c r="H25" s="296"/>
      <c r="I25" s="296"/>
      <c r="J25" s="296"/>
      <c r="K25" s="296"/>
      <c r="L25" s="296"/>
      <c r="M25" s="296"/>
      <c r="N25" s="296"/>
      <c r="O25" s="293"/>
      <c r="P25" s="293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  <c r="AC25" s="297"/>
    </row>
    <row r="26" spans="1:102" x14ac:dyDescent="0.3">
      <c r="A26" s="292" t="s">
        <v>238</v>
      </c>
      <c r="B26" s="293">
        <f t="shared" ref="B26:C26" si="9">B27-SUM(B22:B25)</f>
        <v>0</v>
      </c>
      <c r="C26" s="293">
        <f t="shared" si="9"/>
        <v>0</v>
      </c>
      <c r="D26" s="293">
        <f>D27-SUM(D22:D25)</f>
        <v>0</v>
      </c>
      <c r="E26" s="293">
        <f>E27-SUM(E22:E25)</f>
        <v>0</v>
      </c>
      <c r="F26" s="293">
        <f>F27-SUM(F22:F25)</f>
        <v>0</v>
      </c>
      <c r="G26" s="293">
        <f t="shared" ref="G26:M26" si="10">G27-SUM(G22:G25)</f>
        <v>0</v>
      </c>
      <c r="H26" s="293">
        <f t="shared" si="10"/>
        <v>0</v>
      </c>
      <c r="I26" s="293">
        <f t="shared" si="10"/>
        <v>0</v>
      </c>
      <c r="J26" s="293">
        <f t="shared" si="10"/>
        <v>0</v>
      </c>
      <c r="K26" s="293">
        <f t="shared" si="10"/>
        <v>0</v>
      </c>
      <c r="L26" s="293">
        <f t="shared" si="10"/>
        <v>0</v>
      </c>
      <c r="M26" s="293">
        <f t="shared" si="10"/>
        <v>0</v>
      </c>
      <c r="N26" s="293"/>
      <c r="O26" s="293"/>
      <c r="P26" s="293"/>
      <c r="Q26" s="297"/>
      <c r="R26" s="297"/>
      <c r="S26" s="297"/>
      <c r="T26" s="297"/>
      <c r="U26" s="297"/>
      <c r="V26" s="297"/>
      <c r="W26" s="297"/>
      <c r="X26" s="297"/>
      <c r="Y26" s="297"/>
      <c r="Z26" s="297"/>
    </row>
    <row r="27" spans="1:102" x14ac:dyDescent="0.3">
      <c r="A27" s="295" t="s">
        <v>239</v>
      </c>
      <c r="B27" s="303"/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303"/>
      <c r="N27" s="303"/>
      <c r="O27" s="293"/>
      <c r="P27" s="293"/>
      <c r="Q27" s="297"/>
      <c r="R27" s="297"/>
      <c r="S27" s="297"/>
      <c r="T27" s="297"/>
      <c r="U27" s="297"/>
      <c r="V27" s="297"/>
      <c r="W27" s="297"/>
      <c r="X27" s="297"/>
      <c r="Y27" s="297"/>
      <c r="Z27" s="297"/>
    </row>
    <row r="28" spans="1:102" x14ac:dyDescent="0.3">
      <c r="B28" s="297"/>
      <c r="C28" s="297"/>
      <c r="D28" s="297"/>
      <c r="E28" s="297"/>
      <c r="F28" s="297"/>
      <c r="G28" s="297"/>
      <c r="H28" s="297"/>
      <c r="I28" s="297"/>
      <c r="J28" s="297"/>
      <c r="K28" s="297"/>
      <c r="L28" s="297"/>
      <c r="Q28" s="297"/>
      <c r="R28" s="297"/>
      <c r="S28" s="297"/>
      <c r="T28" s="297"/>
      <c r="U28" s="297"/>
      <c r="V28" s="297"/>
      <c r="W28" s="297"/>
      <c r="X28" s="297"/>
      <c r="Y28" s="297"/>
      <c r="Z28" s="297"/>
    </row>
    <row r="29" spans="1:102" x14ac:dyDescent="0.3">
      <c r="B29" s="297"/>
      <c r="C29" s="297"/>
      <c r="D29" s="297"/>
      <c r="E29" s="297"/>
      <c r="F29" s="297"/>
      <c r="G29" s="297"/>
      <c r="H29" s="297"/>
      <c r="I29" s="297"/>
      <c r="J29" s="297"/>
      <c r="K29" s="297"/>
      <c r="L29" s="297"/>
      <c r="Q29" s="297"/>
      <c r="R29" s="297"/>
      <c r="S29" s="297"/>
      <c r="T29" s="297"/>
      <c r="U29" s="297"/>
      <c r="V29" s="297"/>
      <c r="W29" s="297"/>
      <c r="X29" s="297"/>
      <c r="Y29" s="297"/>
      <c r="Z29" s="297"/>
    </row>
    <row r="30" spans="1:102" x14ac:dyDescent="0.3">
      <c r="A30" s="294" t="s">
        <v>240</v>
      </c>
      <c r="B30" s="300"/>
      <c r="C30" s="300"/>
      <c r="D30" s="300"/>
      <c r="E30" s="300"/>
      <c r="F30" s="300"/>
      <c r="G30" s="300"/>
      <c r="H30" s="300"/>
      <c r="I30" s="300"/>
      <c r="J30" s="300"/>
      <c r="K30" s="299"/>
      <c r="L30" s="299"/>
      <c r="Q30" s="297"/>
      <c r="R30" s="297"/>
      <c r="S30" s="297"/>
      <c r="T30" s="297"/>
      <c r="U30" s="297"/>
      <c r="V30" s="297"/>
      <c r="W30" s="297"/>
      <c r="X30" s="297"/>
      <c r="Y30" s="297"/>
      <c r="Z30" s="297"/>
    </row>
    <row r="31" spans="1:102" s="294" customFormat="1" x14ac:dyDescent="0.3">
      <c r="A31" s="304" t="s">
        <v>241</v>
      </c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299"/>
      <c r="P31" s="299"/>
      <c r="Q31" s="297"/>
      <c r="R31" s="297"/>
      <c r="S31" s="297"/>
      <c r="T31" s="297"/>
      <c r="U31" s="297"/>
      <c r="V31" s="297"/>
      <c r="W31" s="297"/>
      <c r="X31" s="297"/>
      <c r="Y31" s="297"/>
      <c r="Z31" s="297"/>
    </row>
    <row r="32" spans="1:102" x14ac:dyDescent="0.3">
      <c r="A32" s="295" t="s">
        <v>242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3"/>
      <c r="P32" s="293"/>
      <c r="Q32" s="297"/>
      <c r="R32" s="297"/>
      <c r="S32" s="297"/>
      <c r="T32" s="297"/>
      <c r="U32" s="297"/>
      <c r="V32" s="297"/>
      <c r="W32" s="297"/>
      <c r="X32" s="297"/>
      <c r="Y32" s="297"/>
      <c r="Z32" s="297"/>
    </row>
    <row r="33" spans="1:26" x14ac:dyDescent="0.3">
      <c r="A33" s="295" t="s">
        <v>243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3"/>
      <c r="P33" s="293"/>
      <c r="Q33" s="297"/>
      <c r="R33" s="297"/>
      <c r="S33" s="297"/>
      <c r="T33" s="297"/>
      <c r="U33" s="297"/>
      <c r="V33" s="297"/>
      <c r="W33" s="297"/>
      <c r="X33" s="297"/>
      <c r="Y33" s="297"/>
      <c r="Z33" s="297"/>
    </row>
    <row r="34" spans="1:26" x14ac:dyDescent="0.3">
      <c r="A34" s="292" t="s">
        <v>244</v>
      </c>
      <c r="B34" s="293">
        <f>B31-B32-B33</f>
        <v>0</v>
      </c>
      <c r="C34" s="293">
        <f>C31-C32-C33</f>
        <v>0</v>
      </c>
      <c r="D34" s="293">
        <f t="shared" ref="D34:M34" si="11">D31-D32-D33</f>
        <v>0</v>
      </c>
      <c r="E34" s="293">
        <f t="shared" si="11"/>
        <v>0</v>
      </c>
      <c r="F34" s="293">
        <f t="shared" si="11"/>
        <v>0</v>
      </c>
      <c r="G34" s="293">
        <f t="shared" si="11"/>
        <v>0</v>
      </c>
      <c r="H34" s="293">
        <f t="shared" si="11"/>
        <v>0</v>
      </c>
      <c r="I34" s="293">
        <f t="shared" si="11"/>
        <v>0</v>
      </c>
      <c r="J34" s="293">
        <f t="shared" si="11"/>
        <v>0</v>
      </c>
      <c r="K34" s="293">
        <f t="shared" si="11"/>
        <v>0</v>
      </c>
      <c r="L34" s="293">
        <f t="shared" si="11"/>
        <v>0</v>
      </c>
      <c r="M34" s="293">
        <f t="shared" si="11"/>
        <v>0</v>
      </c>
      <c r="N34" s="293"/>
      <c r="O34" s="293"/>
      <c r="P34" s="293"/>
      <c r="Q34" s="297"/>
      <c r="R34" s="297"/>
      <c r="S34" s="297"/>
      <c r="T34" s="297"/>
      <c r="U34" s="297"/>
      <c r="V34" s="297"/>
      <c r="W34" s="297"/>
      <c r="X34" s="297"/>
      <c r="Y34" s="297"/>
      <c r="Z34" s="297"/>
    </row>
    <row r="35" spans="1:26" s="294" customFormat="1" x14ac:dyDescent="0.3">
      <c r="A35" s="304" t="s">
        <v>245</v>
      </c>
      <c r="B35" s="303"/>
      <c r="C35" s="303"/>
      <c r="D35" s="303"/>
      <c r="E35" s="303"/>
      <c r="F35" s="303"/>
      <c r="G35" s="303"/>
      <c r="H35" s="303"/>
      <c r="I35" s="303"/>
      <c r="J35" s="303"/>
      <c r="K35" s="303"/>
      <c r="L35" s="303"/>
      <c r="M35" s="303"/>
      <c r="N35" s="303"/>
      <c r="O35" s="299"/>
      <c r="P35" s="299"/>
      <c r="Q35" s="297"/>
      <c r="R35" s="297"/>
      <c r="S35" s="297"/>
      <c r="T35" s="297"/>
      <c r="U35" s="297"/>
      <c r="V35" s="297"/>
      <c r="W35" s="297"/>
      <c r="X35" s="297"/>
      <c r="Y35" s="297"/>
      <c r="Z35" s="297"/>
    </row>
    <row r="36" spans="1:26" x14ac:dyDescent="0.3">
      <c r="A36" s="295" t="s">
        <v>246</v>
      </c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3"/>
      <c r="P36" s="293"/>
      <c r="Q36" s="297"/>
      <c r="R36" s="297"/>
      <c r="S36" s="297"/>
      <c r="T36" s="297"/>
      <c r="U36" s="297"/>
      <c r="V36" s="297"/>
      <c r="W36" s="297"/>
      <c r="X36" s="297"/>
      <c r="Y36" s="297"/>
      <c r="Z36" s="297"/>
    </row>
    <row r="37" spans="1:26" x14ac:dyDescent="0.3">
      <c r="A37" s="295" t="s">
        <v>247</v>
      </c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3"/>
      <c r="P37" s="293"/>
      <c r="Q37" s="297"/>
      <c r="R37" s="293"/>
    </row>
    <row r="38" spans="1:26" x14ac:dyDescent="0.3">
      <c r="A38" s="292" t="s">
        <v>248</v>
      </c>
      <c r="B38" s="293">
        <f>B35-B36-B37</f>
        <v>0</v>
      </c>
      <c r="C38" s="293">
        <f>C35-C36-C37</f>
        <v>0</v>
      </c>
      <c r="D38" s="293">
        <f t="shared" ref="D38:M38" si="12">D35-D36-D37</f>
        <v>0</v>
      </c>
      <c r="E38" s="293">
        <f t="shared" si="12"/>
        <v>0</v>
      </c>
      <c r="F38" s="293">
        <f t="shared" si="12"/>
        <v>0</v>
      </c>
      <c r="G38" s="293">
        <f t="shared" si="12"/>
        <v>0</v>
      </c>
      <c r="H38" s="293">
        <f t="shared" si="12"/>
        <v>0</v>
      </c>
      <c r="I38" s="293">
        <f t="shared" si="12"/>
        <v>0</v>
      </c>
      <c r="J38" s="293">
        <f t="shared" si="12"/>
        <v>0</v>
      </c>
      <c r="K38" s="293">
        <f t="shared" si="12"/>
        <v>0</v>
      </c>
      <c r="L38" s="293">
        <f t="shared" si="12"/>
        <v>0</v>
      </c>
      <c r="M38" s="293">
        <f t="shared" si="12"/>
        <v>0</v>
      </c>
      <c r="N38" s="293"/>
      <c r="O38" s="293"/>
      <c r="P38" s="293"/>
      <c r="Q38" s="293"/>
      <c r="R38" s="293"/>
    </row>
    <row r="39" spans="1:26" s="294" customFormat="1" x14ac:dyDescent="0.3">
      <c r="A39" s="294" t="s">
        <v>249</v>
      </c>
      <c r="B39" s="299">
        <f>B31+B35</f>
        <v>0</v>
      </c>
      <c r="C39" s="299">
        <f>C31+C35</f>
        <v>0</v>
      </c>
      <c r="D39" s="299">
        <f>+D35+D31</f>
        <v>0</v>
      </c>
      <c r="E39" s="299">
        <f>+E35+E31</f>
        <v>0</v>
      </c>
      <c r="F39" s="299">
        <f>+F35+F31</f>
        <v>0</v>
      </c>
      <c r="G39" s="299">
        <f>+G35+G31</f>
        <v>0</v>
      </c>
      <c r="H39" s="299">
        <f>+H35+H31</f>
        <v>0</v>
      </c>
      <c r="I39" s="299">
        <f>I31+I35</f>
        <v>0</v>
      </c>
      <c r="J39" s="299">
        <f>J35+J31</f>
        <v>0</v>
      </c>
      <c r="K39" s="299">
        <f>K35+K31</f>
        <v>0</v>
      </c>
      <c r="L39" s="299">
        <f>L35+L31</f>
        <v>0</v>
      </c>
      <c r="M39" s="299">
        <f>M35+M31</f>
        <v>0</v>
      </c>
      <c r="N39" s="299"/>
      <c r="O39" s="299"/>
      <c r="P39" s="325"/>
      <c r="Q39" s="299"/>
      <c r="R39" s="299"/>
    </row>
    <row r="40" spans="1:26" x14ac:dyDescent="0.3">
      <c r="B40" s="297"/>
      <c r="C40" s="297"/>
      <c r="D40" s="297"/>
      <c r="E40" s="297"/>
      <c r="F40" s="297"/>
      <c r="G40" s="297"/>
      <c r="H40" s="297"/>
      <c r="I40" s="297"/>
      <c r="J40" s="297"/>
      <c r="K40" s="297"/>
      <c r="L40" s="297"/>
      <c r="P40" s="325"/>
    </row>
    <row r="41" spans="1:26" x14ac:dyDescent="0.3">
      <c r="B41" s="297"/>
      <c r="C41" s="297"/>
      <c r="D41" s="297"/>
      <c r="E41" s="297"/>
      <c r="F41" s="297"/>
      <c r="G41" s="297"/>
      <c r="H41" s="297"/>
      <c r="I41" s="297"/>
      <c r="J41" s="297"/>
      <c r="K41" s="297"/>
      <c r="L41" s="297"/>
      <c r="P41" s="325"/>
    </row>
    <row r="42" spans="1:26" s="294" customFormat="1" x14ac:dyDescent="0.3">
      <c r="A42" s="304" t="s">
        <v>250</v>
      </c>
      <c r="B42" s="303">
        <v>0</v>
      </c>
      <c r="C42" s="303">
        <v>0</v>
      </c>
      <c r="D42" s="303">
        <v>0</v>
      </c>
      <c r="E42" s="303">
        <v>0</v>
      </c>
      <c r="F42" s="303">
        <v>0</v>
      </c>
      <c r="G42" s="303">
        <v>0</v>
      </c>
      <c r="H42" s="303">
        <v>0</v>
      </c>
      <c r="I42" s="303">
        <v>0</v>
      </c>
      <c r="J42" s="303">
        <v>0</v>
      </c>
      <c r="K42" s="303">
        <v>0</v>
      </c>
      <c r="L42" s="303">
        <v>0</v>
      </c>
      <c r="M42" s="303">
        <v>0</v>
      </c>
      <c r="N42" s="303"/>
      <c r="O42" s="293"/>
      <c r="P42" s="299"/>
      <c r="Q42" s="297"/>
      <c r="R42" s="297"/>
      <c r="S42" s="297"/>
      <c r="T42" s="297"/>
      <c r="U42" s="297"/>
      <c r="V42" s="297"/>
      <c r="W42" s="297"/>
      <c r="X42" s="297"/>
      <c r="Y42" s="297"/>
      <c r="Z42" s="297"/>
    </row>
    <row r="43" spans="1:26" x14ac:dyDescent="0.3">
      <c r="B43" s="297"/>
      <c r="C43" s="297"/>
      <c r="D43" s="297"/>
      <c r="E43" s="297"/>
      <c r="F43" s="293"/>
      <c r="G43" s="293"/>
      <c r="H43" s="293"/>
      <c r="I43" s="293"/>
      <c r="J43" s="293"/>
      <c r="M43" s="293"/>
      <c r="N43" s="293"/>
      <c r="O43" s="293"/>
      <c r="P43" s="299"/>
      <c r="Q43" s="293"/>
      <c r="R43" s="293"/>
    </row>
    <row r="44" spans="1:26" x14ac:dyDescent="0.3">
      <c r="A44" s="294" t="s">
        <v>251</v>
      </c>
      <c r="B44" s="299">
        <f>B27-B39-B42</f>
        <v>0</v>
      </c>
      <c r="C44" s="299">
        <f>C27-C39-C42</f>
        <v>0</v>
      </c>
      <c r="D44" s="299">
        <f>D27-D39-D42</f>
        <v>0</v>
      </c>
      <c r="E44" s="299">
        <f>E27-E39-E42</f>
        <v>0</v>
      </c>
      <c r="F44" s="299">
        <f>F27-F39-F42</f>
        <v>0</v>
      </c>
      <c r="G44" s="299">
        <f t="shared" ref="G44:J44" si="13">G27-G39-G42</f>
        <v>0</v>
      </c>
      <c r="H44" s="299">
        <f t="shared" si="13"/>
        <v>0</v>
      </c>
      <c r="I44" s="299">
        <f t="shared" si="13"/>
        <v>0</v>
      </c>
      <c r="J44" s="299">
        <f t="shared" si="13"/>
        <v>0</v>
      </c>
      <c r="K44" s="299">
        <f>K27-K39-K42</f>
        <v>0</v>
      </c>
      <c r="L44" s="299">
        <f t="shared" ref="L44" si="14">L27-L39-L42</f>
        <v>0</v>
      </c>
      <c r="M44" s="299">
        <v>47791</v>
      </c>
      <c r="N44" s="299"/>
      <c r="O44" s="299"/>
      <c r="P44" s="299"/>
      <c r="Q44" s="299"/>
      <c r="R44" s="299"/>
    </row>
    <row r="45" spans="1:26" x14ac:dyDescent="0.3">
      <c r="B45" s="297"/>
      <c r="C45" s="297"/>
      <c r="D45" s="297"/>
      <c r="P45" s="325"/>
    </row>
    <row r="46" spans="1:26" x14ac:dyDescent="0.3">
      <c r="A46" s="325" t="s">
        <v>252</v>
      </c>
      <c r="B46" s="325"/>
      <c r="C46" s="325"/>
      <c r="D46" s="325"/>
      <c r="E46" s="325"/>
      <c r="F46" s="325"/>
      <c r="G46" s="325"/>
      <c r="H46" s="325"/>
      <c r="I46" s="325"/>
      <c r="J46" s="325"/>
      <c r="K46" s="299"/>
      <c r="L46" s="299"/>
      <c r="P46" s="325"/>
    </row>
    <row r="47" spans="1:26" x14ac:dyDescent="0.3">
      <c r="A47" s="295" t="s">
        <v>364</v>
      </c>
      <c r="B47" s="296"/>
      <c r="C47" s="296"/>
      <c r="D47" s="296"/>
      <c r="E47" s="296"/>
      <c r="F47" s="296"/>
      <c r="G47" s="296"/>
      <c r="H47" s="296"/>
      <c r="I47" s="296"/>
      <c r="J47" s="296"/>
      <c r="K47" s="296"/>
      <c r="L47" s="296"/>
      <c r="M47" s="296"/>
      <c r="N47" s="296"/>
      <c r="O47" s="293"/>
      <c r="P47" s="299"/>
      <c r="Q47" s="293"/>
      <c r="R47" s="293"/>
    </row>
    <row r="48" spans="1:26" x14ac:dyDescent="0.3">
      <c r="A48" s="295" t="s">
        <v>254</v>
      </c>
      <c r="B48" s="296"/>
      <c r="C48" s="296"/>
      <c r="D48" s="296"/>
      <c r="E48" s="296"/>
      <c r="F48" s="296"/>
      <c r="G48" s="296"/>
      <c r="H48" s="296"/>
      <c r="I48" s="296"/>
      <c r="J48" s="296"/>
      <c r="K48" s="296"/>
      <c r="L48" s="296"/>
      <c r="M48" s="296"/>
      <c r="N48" s="296"/>
      <c r="O48" s="293"/>
      <c r="P48" s="299"/>
      <c r="Q48" s="293"/>
      <c r="R48" s="293"/>
    </row>
    <row r="49" spans="1:18" x14ac:dyDescent="0.3">
      <c r="A49" s="295" t="s">
        <v>172</v>
      </c>
      <c r="B49" s="453"/>
      <c r="C49" s="453"/>
      <c r="D49" s="453"/>
      <c r="E49" s="453"/>
      <c r="F49" s="453"/>
      <c r="G49" s="453"/>
      <c r="H49" s="453"/>
      <c r="I49" s="453"/>
      <c r="J49" s="453"/>
      <c r="K49" s="453"/>
      <c r="L49" s="453"/>
      <c r="M49" s="453"/>
      <c r="N49" s="454"/>
      <c r="O49" s="455"/>
      <c r="P49" s="456"/>
      <c r="Q49" s="455"/>
      <c r="R49" s="455"/>
    </row>
    <row r="50" spans="1:18" x14ac:dyDescent="0.3">
      <c r="A50" s="295" t="s">
        <v>255</v>
      </c>
      <c r="B50" s="453"/>
      <c r="C50" s="453"/>
      <c r="D50" s="453"/>
      <c r="E50" s="453"/>
      <c r="F50" s="453"/>
      <c r="G50" s="453"/>
      <c r="H50" s="453"/>
      <c r="I50" s="453"/>
      <c r="J50" s="453"/>
      <c r="K50" s="453"/>
      <c r="L50" s="453"/>
      <c r="M50" s="453"/>
      <c r="N50" s="454"/>
      <c r="O50" s="455"/>
      <c r="P50" s="457"/>
      <c r="Q50" s="455"/>
      <c r="R50" s="458"/>
    </row>
    <row r="51" spans="1:18" x14ac:dyDescent="0.3">
      <c r="A51" s="295" t="s">
        <v>256</v>
      </c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99"/>
      <c r="Q51" s="299"/>
      <c r="R51" s="299"/>
    </row>
    <row r="52" spans="1:18" x14ac:dyDescent="0.3">
      <c r="A52" s="295" t="str">
        <f>"Vol. Diario en Millones "&amp;A1</f>
        <v>Vol. Diario en Millones USD</v>
      </c>
      <c r="B52" s="459"/>
      <c r="C52" s="459"/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296"/>
      <c r="P52" s="325"/>
    </row>
    <row r="53" spans="1:18" x14ac:dyDescent="0.3">
      <c r="B53" s="325">
        <v>2021</v>
      </c>
      <c r="C53" s="325">
        <f>B53+1</f>
        <v>2022</v>
      </c>
      <c r="D53" s="325">
        <f>C53+1</f>
        <v>2023</v>
      </c>
      <c r="E53" s="460"/>
      <c r="G53" s="460"/>
      <c r="H53" s="460"/>
      <c r="I53" s="460"/>
      <c r="J53" s="460"/>
      <c r="K53" s="460"/>
      <c r="L53" s="460"/>
      <c r="P53" s="325"/>
    </row>
    <row r="54" spans="1:18" x14ac:dyDescent="0.3">
      <c r="A54" s="295" t="s">
        <v>365</v>
      </c>
      <c r="B54" s="453"/>
      <c r="C54" s="453"/>
      <c r="D54" s="453"/>
      <c r="K54" s="292"/>
      <c r="L54" s="292"/>
      <c r="P54" s="325"/>
    </row>
    <row r="55" spans="1:18" x14ac:dyDescent="0.3">
      <c r="A55" s="295" t="s">
        <v>135</v>
      </c>
      <c r="B55" s="459"/>
      <c r="C55" s="459"/>
      <c r="D55" s="459"/>
      <c r="K55" s="292"/>
      <c r="L55" s="292"/>
      <c r="P55" s="325"/>
    </row>
    <row r="56" spans="1:18" x14ac:dyDescent="0.3">
      <c r="P56" s="325"/>
    </row>
    <row r="57" spans="1:18" x14ac:dyDescent="0.3">
      <c r="A57" s="325" t="s">
        <v>366</v>
      </c>
      <c r="B57" s="325" t="s">
        <v>257</v>
      </c>
      <c r="C57" s="325" t="s">
        <v>256</v>
      </c>
      <c r="D57" s="325" t="s">
        <v>367</v>
      </c>
      <c r="E57" s="325" t="s">
        <v>260</v>
      </c>
      <c r="J57" s="293"/>
      <c r="L57" s="262"/>
      <c r="P57" s="325"/>
    </row>
    <row r="58" spans="1:18" x14ac:dyDescent="0.3">
      <c r="A58" s="295"/>
      <c r="B58" s="461"/>
      <c r="C58" s="296"/>
      <c r="D58" s="462"/>
      <c r="E58" s="296"/>
      <c r="J58" s="293"/>
      <c r="L58" s="262"/>
      <c r="P58" s="325"/>
    </row>
    <row r="59" spans="1:18" x14ac:dyDescent="0.3">
      <c r="A59" s="295"/>
      <c r="B59" s="461"/>
      <c r="C59" s="296"/>
      <c r="D59" s="462"/>
      <c r="E59" s="296"/>
      <c r="J59" s="293"/>
      <c r="L59" s="262"/>
      <c r="P59" s="325"/>
    </row>
    <row r="60" spans="1:18" x14ac:dyDescent="0.3">
      <c r="A60" s="295"/>
      <c r="B60" s="461"/>
      <c r="C60" s="296"/>
      <c r="D60" s="462"/>
      <c r="E60" s="296"/>
      <c r="J60" s="293"/>
      <c r="L60" s="262"/>
      <c r="P60" s="325"/>
    </row>
    <row r="61" spans="1:18" x14ac:dyDescent="0.3">
      <c r="A61" s="295"/>
      <c r="B61" s="461"/>
      <c r="C61" s="296"/>
      <c r="D61" s="462"/>
      <c r="E61" s="296"/>
      <c r="J61" s="293"/>
      <c r="L61" s="262"/>
      <c r="P61" s="325"/>
    </row>
    <row r="62" spans="1:18" x14ac:dyDescent="0.3">
      <c r="P62" s="325"/>
    </row>
    <row r="63" spans="1:18" x14ac:dyDescent="0.3">
      <c r="P63" s="325"/>
    </row>
    <row r="64" spans="1:18" x14ac:dyDescent="0.3">
      <c r="P64" s="325"/>
    </row>
  </sheetData>
  <mergeCells count="1">
    <mergeCell ref="C2:L2"/>
  </mergeCells>
  <pageMargins left="0.75" right="0.75" top="1" bottom="1" header="0" footer="0"/>
  <pageSetup orientation="portrait" horizontalDpi="4294967292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B63"/>
  <sheetViews>
    <sheetView zoomScale="70" zoomScaleNormal="70" workbookViewId="0">
      <pane xSplit="1" ySplit="2" topLeftCell="Y3" activePane="bottomRight" state="frozen"/>
      <selection pane="topRight" activeCell="B1" sqref="B1"/>
      <selection pane="bottomLeft" activeCell="A3" sqref="A3"/>
      <selection pane="bottomRight" activeCell="AE6" sqref="AE6"/>
    </sheetView>
  </sheetViews>
  <sheetFormatPr defaultColWidth="8.81640625" defaultRowHeight="12.5" x14ac:dyDescent="0.25"/>
  <cols>
    <col min="1" max="2" width="13.81640625" customWidth="1"/>
    <col min="3" max="3" width="8.81640625" customWidth="1"/>
    <col min="4" max="4" width="8.26953125" customWidth="1"/>
    <col min="5" max="5" width="8.453125" customWidth="1"/>
    <col min="6" max="12" width="7.26953125" customWidth="1"/>
  </cols>
  <sheetData>
    <row r="2" spans="1:54" x14ac:dyDescent="0.25">
      <c r="B2" s="114" t="s">
        <v>414</v>
      </c>
      <c r="C2" s="114" t="s">
        <v>413</v>
      </c>
      <c r="D2" s="114" t="s">
        <v>412</v>
      </c>
      <c r="E2" s="114" t="s">
        <v>410</v>
      </c>
      <c r="F2" s="114" t="s">
        <v>409</v>
      </c>
      <c r="G2" t="s">
        <v>408</v>
      </c>
      <c r="H2" t="s">
        <v>407</v>
      </c>
      <c r="I2" t="s">
        <v>403</v>
      </c>
      <c r="J2" t="s">
        <v>404</v>
      </c>
      <c r="K2" t="s">
        <v>405</v>
      </c>
      <c r="L2" t="s">
        <v>406</v>
      </c>
      <c r="M2" t="s">
        <v>384</v>
      </c>
      <c r="N2" t="s">
        <v>385</v>
      </c>
      <c r="O2" t="s">
        <v>386</v>
      </c>
      <c r="P2" t="s">
        <v>387</v>
      </c>
      <c r="Q2" t="s">
        <v>380</v>
      </c>
      <c r="R2" t="s">
        <v>381</v>
      </c>
      <c r="S2" t="s">
        <v>382</v>
      </c>
      <c r="T2" t="s">
        <v>383</v>
      </c>
      <c r="U2" t="s">
        <v>379</v>
      </c>
      <c r="V2" t="s">
        <v>378</v>
      </c>
      <c r="W2" t="s">
        <v>377</v>
      </c>
      <c r="X2" s="114" t="s">
        <v>415</v>
      </c>
      <c r="Y2" s="114"/>
      <c r="Z2" s="114">
        <v>2019</v>
      </c>
      <c r="AA2" s="114">
        <v>2020</v>
      </c>
      <c r="AB2" s="114">
        <v>2021</v>
      </c>
      <c r="AC2">
        <v>2022</v>
      </c>
      <c r="AD2">
        <v>2023</v>
      </c>
      <c r="AE2">
        <v>2024</v>
      </c>
      <c r="AF2">
        <v>2025</v>
      </c>
      <c r="AG2">
        <v>2026</v>
      </c>
      <c r="AH2">
        <v>2027</v>
      </c>
      <c r="AI2">
        <v>2028</v>
      </c>
      <c r="AJ2">
        <v>2029</v>
      </c>
      <c r="AK2">
        <v>2030</v>
      </c>
      <c r="AL2">
        <v>2031</v>
      </c>
      <c r="AM2">
        <v>2032</v>
      </c>
      <c r="AN2">
        <v>2033</v>
      </c>
      <c r="AO2">
        <v>2034</v>
      </c>
      <c r="AP2">
        <v>2035</v>
      </c>
      <c r="AQ2">
        <v>2036</v>
      </c>
      <c r="AR2">
        <v>2037</v>
      </c>
      <c r="AS2">
        <v>2038</v>
      </c>
      <c r="AT2">
        <v>2039</v>
      </c>
      <c r="AU2">
        <v>2040</v>
      </c>
      <c r="AV2">
        <v>2041</v>
      </c>
      <c r="AW2">
        <v>2042</v>
      </c>
      <c r="AX2">
        <v>2043</v>
      </c>
      <c r="AY2">
        <v>2044</v>
      </c>
      <c r="AZ2">
        <v>2045</v>
      </c>
      <c r="BA2">
        <v>2046</v>
      </c>
      <c r="BB2">
        <v>2047</v>
      </c>
    </row>
    <row r="3" spans="1:54" x14ac:dyDescent="0.25">
      <c r="A3" s="114" t="s">
        <v>411</v>
      </c>
      <c r="B3" s="114"/>
      <c r="C3" s="114"/>
      <c r="D3" s="114"/>
      <c r="E3" s="114"/>
      <c r="F3" s="114"/>
    </row>
    <row r="4" spans="1:54" x14ac:dyDescent="0.25">
      <c r="A4" s="114" t="s">
        <v>416</v>
      </c>
      <c r="B4" s="114"/>
      <c r="C4" s="114"/>
      <c r="D4" s="114"/>
      <c r="E4" s="114"/>
      <c r="F4" s="114"/>
    </row>
    <row r="5" spans="1:54" x14ac:dyDescent="0.25">
      <c r="A5" s="114" t="s">
        <v>417</v>
      </c>
      <c r="B5" s="114"/>
      <c r="C5" s="114"/>
      <c r="D5" s="114"/>
      <c r="E5" s="114"/>
      <c r="F5" s="114"/>
      <c r="AE5" s="320">
        <v>4.4999999999999998E-2</v>
      </c>
      <c r="AF5" s="320">
        <f>0.987*AE5</f>
        <v>4.4414999999999996E-2</v>
      </c>
      <c r="AG5" s="320">
        <f t="shared" ref="AG5:BB5" si="0">0.987*AF5</f>
        <v>4.3837604999999995E-2</v>
      </c>
      <c r="AH5" s="320">
        <f t="shared" si="0"/>
        <v>4.3267716134999995E-2</v>
      </c>
      <c r="AI5" s="320">
        <f t="shared" si="0"/>
        <v>4.2705235825244992E-2</v>
      </c>
      <c r="AJ5" s="320">
        <f t="shared" si="0"/>
        <v>4.2150067759516803E-2</v>
      </c>
      <c r="AK5" s="320">
        <f t="shared" si="0"/>
        <v>4.1602116878643083E-2</v>
      </c>
      <c r="AL5" s="320">
        <f t="shared" si="0"/>
        <v>4.1061289359220723E-2</v>
      </c>
      <c r="AM5" s="320">
        <f t="shared" si="0"/>
        <v>4.0527492597550854E-2</v>
      </c>
      <c r="AN5" s="320">
        <f t="shared" si="0"/>
        <v>4.0000635193782691E-2</v>
      </c>
      <c r="AO5" s="320">
        <f t="shared" si="0"/>
        <v>3.9480626936263516E-2</v>
      </c>
      <c r="AP5" s="320">
        <f t="shared" si="0"/>
        <v>3.8967378786092091E-2</v>
      </c>
      <c r="AQ5" s="320">
        <f t="shared" si="0"/>
        <v>3.8460802861872895E-2</v>
      </c>
      <c r="AR5" s="320">
        <f t="shared" si="0"/>
        <v>3.7960812424668547E-2</v>
      </c>
      <c r="AS5" s="320">
        <f t="shared" si="0"/>
        <v>3.7467321863147857E-2</v>
      </c>
      <c r="AT5" s="320">
        <f t="shared" si="0"/>
        <v>3.6980246678926937E-2</v>
      </c>
      <c r="AU5" s="320">
        <f t="shared" si="0"/>
        <v>3.6499503472100889E-2</v>
      </c>
      <c r="AV5" s="320">
        <f t="shared" si="0"/>
        <v>3.6025009926963579E-2</v>
      </c>
      <c r="AW5" s="320">
        <f t="shared" si="0"/>
        <v>3.5556684797913053E-2</v>
      </c>
      <c r="AX5" s="320">
        <f t="shared" si="0"/>
        <v>3.5094447895540185E-2</v>
      </c>
      <c r="AY5" s="320">
        <f t="shared" si="0"/>
        <v>3.4638220072898164E-2</v>
      </c>
      <c r="AZ5" s="320">
        <f t="shared" si="0"/>
        <v>3.4187923211950487E-2</v>
      </c>
      <c r="BA5" s="320">
        <f t="shared" si="0"/>
        <v>3.3743480210195131E-2</v>
      </c>
      <c r="BB5" s="320">
        <f t="shared" si="0"/>
        <v>3.3304814967462591E-2</v>
      </c>
    </row>
    <row r="6" spans="1:54" x14ac:dyDescent="0.25">
      <c r="A6" s="114" t="s">
        <v>418</v>
      </c>
      <c r="B6" s="114"/>
      <c r="C6" s="114"/>
      <c r="D6" s="114"/>
      <c r="E6" s="114"/>
      <c r="F6" s="114"/>
      <c r="AE6" s="135">
        <v>0.09</v>
      </c>
      <c r="AF6">
        <f>AE6*0.975</f>
        <v>8.7749999999999995E-2</v>
      </c>
      <c r="AG6">
        <f t="shared" ref="AG6:BB6" si="1">AF6*0.975</f>
        <v>8.5556249999999986E-2</v>
      </c>
      <c r="AH6">
        <f t="shared" si="1"/>
        <v>8.3417343749999984E-2</v>
      </c>
      <c r="AI6">
        <f t="shared" si="1"/>
        <v>8.1331910156249979E-2</v>
      </c>
      <c r="AJ6">
        <f t="shared" si="1"/>
        <v>7.9298612402343732E-2</v>
      </c>
      <c r="AK6">
        <f t="shared" si="1"/>
        <v>7.731614709228514E-2</v>
      </c>
      <c r="AL6">
        <f t="shared" si="1"/>
        <v>7.5383243414978013E-2</v>
      </c>
      <c r="AM6">
        <f t="shared" si="1"/>
        <v>7.3498662329603559E-2</v>
      </c>
      <c r="AN6">
        <f t="shared" si="1"/>
        <v>7.166119577136347E-2</v>
      </c>
      <c r="AO6">
        <f t="shared" si="1"/>
        <v>6.9869665877079379E-2</v>
      </c>
      <c r="AP6">
        <f t="shared" si="1"/>
        <v>6.8122924230152399E-2</v>
      </c>
      <c r="AQ6">
        <f t="shared" si="1"/>
        <v>6.6419851124398591E-2</v>
      </c>
      <c r="AR6">
        <f t="shared" si="1"/>
        <v>6.4759354846288628E-2</v>
      </c>
      <c r="AS6">
        <f t="shared" si="1"/>
        <v>6.3140370975131407E-2</v>
      </c>
      <c r="AT6">
        <f>AS6*0.975</f>
        <v>6.1561861700753118E-2</v>
      </c>
      <c r="AU6">
        <f t="shared" si="1"/>
        <v>6.0022815158234287E-2</v>
      </c>
      <c r="AV6">
        <f t="shared" si="1"/>
        <v>5.8522244779278428E-2</v>
      </c>
      <c r="AW6">
        <f t="shared" si="1"/>
        <v>5.7059188659796464E-2</v>
      </c>
      <c r="AX6">
        <f t="shared" si="1"/>
        <v>5.5632708943301551E-2</v>
      </c>
      <c r="AY6">
        <f t="shared" si="1"/>
        <v>5.4241891219719014E-2</v>
      </c>
      <c r="AZ6">
        <f t="shared" si="1"/>
        <v>5.2885843939226039E-2</v>
      </c>
      <c r="BA6">
        <f t="shared" si="1"/>
        <v>5.1563697840745389E-2</v>
      </c>
      <c r="BB6">
        <f t="shared" si="1"/>
        <v>5.0274605394726751E-2</v>
      </c>
    </row>
    <row r="7" spans="1:54" x14ac:dyDescent="0.25">
      <c r="A7" s="114"/>
      <c r="B7" s="114"/>
      <c r="C7" s="114"/>
      <c r="D7" s="114"/>
      <c r="E7" s="114"/>
      <c r="F7" s="114"/>
      <c r="AE7" s="135"/>
    </row>
    <row r="8" spans="1:54" x14ac:dyDescent="0.25">
      <c r="A8" s="114" t="s">
        <v>391</v>
      </c>
      <c r="B8" s="114"/>
      <c r="C8" s="114"/>
      <c r="D8" s="114"/>
      <c r="E8" s="114"/>
      <c r="F8" s="114"/>
      <c r="AE8" s="135"/>
    </row>
    <row r="9" spans="1:54" x14ac:dyDescent="0.25">
      <c r="A9" s="114" t="s">
        <v>417</v>
      </c>
      <c r="B9" s="114"/>
      <c r="C9" s="114"/>
      <c r="D9" s="114"/>
      <c r="E9" s="114"/>
      <c r="F9" s="114"/>
      <c r="Z9">
        <f t="shared" ref="Z9:AD10" si="2">Z30/Z26</f>
        <v>0.67792204148997348</v>
      </c>
      <c r="AA9">
        <f t="shared" si="2"/>
        <v>0.68533660706600774</v>
      </c>
      <c r="AB9">
        <f t="shared" si="2"/>
        <v>0.64650696723516432</v>
      </c>
      <c r="AC9">
        <f t="shared" si="2"/>
        <v>0.63716520292600543</v>
      </c>
      <c r="AD9">
        <f t="shared" si="2"/>
        <v>0.63586480102249077</v>
      </c>
      <c r="AE9">
        <f>AD9*1.001</f>
        <v>0.63650066582351317</v>
      </c>
      <c r="AF9">
        <f t="shared" ref="AF9:BB9" si="3">AE9*1.001</f>
        <v>0.6371371664893366</v>
      </c>
      <c r="AG9">
        <f t="shared" si="3"/>
        <v>0.63777430365582588</v>
      </c>
      <c r="AH9">
        <f t="shared" si="3"/>
        <v>0.63841207795948163</v>
      </c>
      <c r="AI9">
        <f t="shared" si="3"/>
        <v>0.63905049003744108</v>
      </c>
      <c r="AJ9">
        <f t="shared" si="3"/>
        <v>0.6396895405274784</v>
      </c>
      <c r="AK9">
        <f t="shared" si="3"/>
        <v>0.64032923006800579</v>
      </c>
      <c r="AL9">
        <f t="shared" si="3"/>
        <v>0.64096955929807375</v>
      </c>
      <c r="AM9">
        <f t="shared" si="3"/>
        <v>0.6416105288573718</v>
      </c>
      <c r="AN9">
        <f t="shared" si="3"/>
        <v>0.64225213938622905</v>
      </c>
      <c r="AO9">
        <f t="shared" si="3"/>
        <v>0.64289439152561523</v>
      </c>
      <c r="AP9">
        <f t="shared" si="3"/>
        <v>0.64353728591714077</v>
      </c>
      <c r="AQ9">
        <f t="shared" si="3"/>
        <v>0.64418082320305781</v>
      </c>
      <c r="AR9">
        <f t="shared" si="3"/>
        <v>0.64482500402626075</v>
      </c>
      <c r="AS9">
        <f t="shared" si="3"/>
        <v>0.64546982903028693</v>
      </c>
      <c r="AT9">
        <f t="shared" si="3"/>
        <v>0.64611529885931718</v>
      </c>
      <c r="AU9">
        <f t="shared" si="3"/>
        <v>0.64676141415817645</v>
      </c>
      <c r="AV9">
        <f t="shared" si="3"/>
        <v>0.64740817557233454</v>
      </c>
      <c r="AW9">
        <f t="shared" si="3"/>
        <v>0.64805558374790684</v>
      </c>
      <c r="AX9">
        <f t="shared" si="3"/>
        <v>0.64870363933165465</v>
      </c>
      <c r="AY9">
        <f t="shared" si="3"/>
        <v>0.64935234297098621</v>
      </c>
      <c r="AZ9">
        <f t="shared" si="3"/>
        <v>0.65000169531395713</v>
      </c>
      <c r="BA9">
        <f t="shared" si="3"/>
        <v>0.65065169700927106</v>
      </c>
      <c r="BB9">
        <f t="shared" si="3"/>
        <v>0.65130234870628023</v>
      </c>
    </row>
    <row r="10" spans="1:54" x14ac:dyDescent="0.25">
      <c r="A10" s="114" t="s">
        <v>418</v>
      </c>
      <c r="B10" s="114"/>
      <c r="C10" s="114"/>
      <c r="D10" s="114"/>
      <c r="E10" s="114"/>
      <c r="F10" s="114"/>
      <c r="Z10">
        <f t="shared" si="2"/>
        <v>0.36261908362316647</v>
      </c>
      <c r="AA10">
        <f t="shared" si="2"/>
        <v>0.33984898080642761</v>
      </c>
      <c r="AB10">
        <f t="shared" si="2"/>
        <v>0.30274022652539279</v>
      </c>
      <c r="AC10">
        <f t="shared" si="2"/>
        <v>0.28254553366867619</v>
      </c>
      <c r="AD10">
        <f t="shared" si="2"/>
        <v>0.29105248779560761</v>
      </c>
      <c r="AE10">
        <f>AD10*1.001</f>
        <v>0.2913435402834032</v>
      </c>
      <c r="AF10">
        <f t="shared" ref="AF10:BB10" si="4">AE10*1.001</f>
        <v>0.29163488382368657</v>
      </c>
      <c r="AG10">
        <f t="shared" si="4"/>
        <v>0.29192651870751024</v>
      </c>
      <c r="AH10">
        <f t="shared" si="4"/>
        <v>0.2922184452262177</v>
      </c>
      <c r="AI10">
        <f t="shared" si="4"/>
        <v>0.2925106636714439</v>
      </c>
      <c r="AJ10">
        <f t="shared" si="4"/>
        <v>0.29280317433511532</v>
      </c>
      <c r="AK10">
        <f t="shared" si="4"/>
        <v>0.29309597750945043</v>
      </c>
      <c r="AL10">
        <f t="shared" si="4"/>
        <v>0.29338907348695986</v>
      </c>
      <c r="AM10">
        <f t="shared" si="4"/>
        <v>0.29368246256044678</v>
      </c>
      <c r="AN10">
        <f t="shared" si="4"/>
        <v>0.29397614502300717</v>
      </c>
      <c r="AO10">
        <f t="shared" si="4"/>
        <v>0.29427012116803014</v>
      </c>
      <c r="AP10">
        <f t="shared" si="4"/>
        <v>0.29456439128919815</v>
      </c>
      <c r="AQ10">
        <f t="shared" si="4"/>
        <v>0.29485895568048731</v>
      </c>
      <c r="AR10">
        <f t="shared" si="4"/>
        <v>0.29515381463616774</v>
      </c>
      <c r="AS10">
        <f t="shared" si="4"/>
        <v>0.29544896845080387</v>
      </c>
      <c r="AT10">
        <f t="shared" si="4"/>
        <v>0.29574441741925467</v>
      </c>
      <c r="AU10">
        <f t="shared" si="4"/>
        <v>0.29604016183667387</v>
      </c>
      <c r="AV10">
        <f t="shared" si="4"/>
        <v>0.29633620199851052</v>
      </c>
      <c r="AW10">
        <f t="shared" si="4"/>
        <v>0.296632538200509</v>
      </c>
      <c r="AX10">
        <f t="shared" si="4"/>
        <v>0.2969291707387095</v>
      </c>
      <c r="AY10">
        <f t="shared" si="4"/>
        <v>0.2972260999094482</v>
      </c>
      <c r="AZ10">
        <f t="shared" si="4"/>
        <v>0.2975233260093576</v>
      </c>
      <c r="BA10">
        <f t="shared" si="4"/>
        <v>0.29782084933536696</v>
      </c>
      <c r="BB10">
        <f t="shared" si="4"/>
        <v>0.29811867018470228</v>
      </c>
    </row>
    <row r="11" spans="1:54" x14ac:dyDescent="0.25">
      <c r="A11" s="114"/>
      <c r="B11" s="114"/>
      <c r="C11" s="114"/>
      <c r="D11" s="114"/>
      <c r="E11" s="114"/>
      <c r="F11" s="114"/>
    </row>
    <row r="12" spans="1:54" x14ac:dyDescent="0.25">
      <c r="A12" s="114" t="s">
        <v>392</v>
      </c>
      <c r="B12" s="114"/>
      <c r="C12" s="114"/>
      <c r="D12" s="114"/>
      <c r="E12" s="114"/>
      <c r="F12" s="114"/>
      <c r="Z12">
        <f>Z33/Z25</f>
        <v>6.233136285716482E-2</v>
      </c>
      <c r="AA12">
        <f t="shared" ref="AA12:AD12" si="5">AA33/AA25</f>
        <v>6.8309564140393061E-2</v>
      </c>
      <c r="AB12">
        <f t="shared" si="5"/>
        <v>5.9904269074427925E-2</v>
      </c>
      <c r="AC12">
        <f t="shared" si="5"/>
        <v>6.657148363798665E-2</v>
      </c>
      <c r="AD12">
        <f t="shared" si="5"/>
        <v>7.8317483273248417E-2</v>
      </c>
      <c r="AE12" s="114">
        <f>1.01*AD12</f>
        <v>7.9100658105980909E-2</v>
      </c>
      <c r="AF12" s="114">
        <f t="shared" ref="AF12:BB12" si="6">1.01*AE12</f>
        <v>7.9891664687040717E-2</v>
      </c>
      <c r="AG12" s="114">
        <f t="shared" si="6"/>
        <v>8.0690581333911118E-2</v>
      </c>
      <c r="AH12" s="114">
        <f t="shared" si="6"/>
        <v>8.1497487147250233E-2</v>
      </c>
      <c r="AI12" s="114">
        <f t="shared" si="6"/>
        <v>8.2312462018722735E-2</v>
      </c>
      <c r="AJ12" s="114">
        <f t="shared" si="6"/>
        <v>8.3135586638909964E-2</v>
      </c>
      <c r="AK12" s="114">
        <f t="shared" si="6"/>
        <v>8.3966942505299069E-2</v>
      </c>
      <c r="AL12" s="114">
        <f t="shared" si="6"/>
        <v>8.4806611930352063E-2</v>
      </c>
      <c r="AM12" s="114">
        <f t="shared" si="6"/>
        <v>8.5654678049655583E-2</v>
      </c>
      <c r="AN12" s="114">
        <f t="shared" si="6"/>
        <v>8.6511224830152139E-2</v>
      </c>
      <c r="AO12" s="114">
        <f t="shared" si="6"/>
        <v>8.7376337078453659E-2</v>
      </c>
      <c r="AP12" s="114">
        <f t="shared" si="6"/>
        <v>8.82501004492382E-2</v>
      </c>
      <c r="AQ12" s="114">
        <f t="shared" si="6"/>
        <v>8.9132601453730587E-2</v>
      </c>
      <c r="AR12" s="114">
        <f t="shared" si="6"/>
        <v>9.0023927468267886E-2</v>
      </c>
      <c r="AS12" s="114">
        <f t="shared" si="6"/>
        <v>9.0924166742950563E-2</v>
      </c>
      <c r="AT12" s="114">
        <f t="shared" si="6"/>
        <v>9.1833408410380069E-2</v>
      </c>
      <c r="AU12" s="114">
        <f t="shared" si="6"/>
        <v>9.2751742494483869E-2</v>
      </c>
      <c r="AV12" s="114">
        <f t="shared" si="6"/>
        <v>9.3679259919428715E-2</v>
      </c>
      <c r="AW12" s="114">
        <f t="shared" si="6"/>
        <v>9.4616052518622998E-2</v>
      </c>
      <c r="AX12" s="114">
        <f t="shared" si="6"/>
        <v>9.5562213043809227E-2</v>
      </c>
      <c r="AY12" s="114">
        <f t="shared" si="6"/>
        <v>9.6517835174247321E-2</v>
      </c>
      <c r="AZ12" s="114">
        <f t="shared" si="6"/>
        <v>9.7483013525989801E-2</v>
      </c>
      <c r="BA12" s="114">
        <f t="shared" si="6"/>
        <v>9.8457843661249697E-2</v>
      </c>
      <c r="BB12" s="114">
        <f t="shared" si="6"/>
        <v>9.9442422097862193E-2</v>
      </c>
    </row>
    <row r="13" spans="1:54" x14ac:dyDescent="0.25">
      <c r="A13" s="114" t="s">
        <v>393</v>
      </c>
      <c r="B13" s="114"/>
      <c r="C13" s="114"/>
      <c r="D13" s="114"/>
      <c r="E13" s="114"/>
      <c r="F13" s="114"/>
      <c r="Z13">
        <f>Z34/Z25</f>
        <v>7.0126146348213125E-2</v>
      </c>
      <c r="AA13">
        <f t="shared" ref="AA13:AD13" si="7">AA34/AA25</f>
        <v>7.2549769593646979E-2</v>
      </c>
      <c r="AB13">
        <f t="shared" si="7"/>
        <v>6.006555190163388E-2</v>
      </c>
      <c r="AC13">
        <f t="shared" si="7"/>
        <v>6.3637378020328261E-2</v>
      </c>
      <c r="AD13">
        <f t="shared" si="7"/>
        <v>6.5265004477000232E-2</v>
      </c>
      <c r="AE13">
        <f>AD13*1.001</f>
        <v>6.5330269481477229E-2</v>
      </c>
      <c r="AF13">
        <f t="shared" ref="AF13:BB13" si="8">AE13*1.001</f>
        <v>6.5395599750958697E-2</v>
      </c>
      <c r="AG13">
        <f t="shared" si="8"/>
        <v>6.546099535070965E-2</v>
      </c>
      <c r="AH13">
        <f t="shared" si="8"/>
        <v>6.5526456346060358E-2</v>
      </c>
      <c r="AI13">
        <f t="shared" si="8"/>
        <v>6.5591982802406412E-2</v>
      </c>
      <c r="AJ13">
        <f t="shared" si="8"/>
        <v>6.5657574785208811E-2</v>
      </c>
      <c r="AK13">
        <f t="shared" si="8"/>
        <v>6.5723232359994013E-2</v>
      </c>
      <c r="AL13">
        <f t="shared" si="8"/>
        <v>6.5788955592353995E-2</v>
      </c>
      <c r="AM13">
        <f t="shared" si="8"/>
        <v>6.5854744547946348E-2</v>
      </c>
      <c r="AN13">
        <f t="shared" si="8"/>
        <v>6.5920599292494289E-2</v>
      </c>
      <c r="AO13">
        <f t="shared" si="8"/>
        <v>6.5986519891786777E-2</v>
      </c>
      <c r="AP13">
        <f t="shared" si="8"/>
        <v>6.6052506411678563E-2</v>
      </c>
      <c r="AQ13">
        <f t="shared" si="8"/>
        <v>6.6118558918090237E-2</v>
      </c>
      <c r="AR13">
        <f t="shared" si="8"/>
        <v>6.6184677477008319E-2</v>
      </c>
      <c r="AS13">
        <f t="shared" si="8"/>
        <v>6.6250862154485321E-2</v>
      </c>
      <c r="AT13">
        <f t="shared" si="8"/>
        <v>6.6317113016639798E-2</v>
      </c>
      <c r="AU13">
        <f t="shared" si="8"/>
        <v>6.6383430129656432E-2</v>
      </c>
      <c r="AV13">
        <f t="shared" si="8"/>
        <v>6.6449813559786075E-2</v>
      </c>
      <c r="AW13">
        <f t="shared" si="8"/>
        <v>6.651626337334586E-2</v>
      </c>
      <c r="AX13">
        <f t="shared" si="8"/>
        <v>6.65827796367192E-2</v>
      </c>
      <c r="AY13">
        <f t="shared" si="8"/>
        <v>6.6649362416355912E-2</v>
      </c>
      <c r="AZ13">
        <f t="shared" si="8"/>
        <v>6.6716011778772261E-2</v>
      </c>
      <c r="BA13">
        <f t="shared" si="8"/>
        <v>6.6782727790551027E-2</v>
      </c>
      <c r="BB13">
        <f t="shared" si="8"/>
        <v>6.6849510518341565E-2</v>
      </c>
    </row>
    <row r="14" spans="1:54" x14ac:dyDescent="0.25">
      <c r="A14" s="114"/>
      <c r="B14" s="114"/>
      <c r="C14" s="114"/>
      <c r="D14" s="114"/>
      <c r="E14" s="114"/>
      <c r="F14" s="114"/>
    </row>
    <row r="15" spans="1:54" x14ac:dyDescent="0.25">
      <c r="A15" s="114" t="s">
        <v>419</v>
      </c>
      <c r="B15" s="114"/>
      <c r="C15" s="114"/>
      <c r="D15" s="114"/>
      <c r="E15" s="114"/>
      <c r="F15" s="114"/>
    </row>
    <row r="16" spans="1:54" x14ac:dyDescent="0.25">
      <c r="A16" s="114"/>
      <c r="B16" s="114"/>
      <c r="C16" s="114"/>
      <c r="D16" s="114"/>
      <c r="E16" s="114"/>
      <c r="F16" s="114"/>
    </row>
    <row r="17" spans="1:54" x14ac:dyDescent="0.25">
      <c r="A17" s="114" t="s">
        <v>333</v>
      </c>
      <c r="B17" s="114"/>
      <c r="C17" s="114"/>
      <c r="D17" s="114"/>
      <c r="E17" s="114"/>
      <c r="F17" s="114"/>
      <c r="Z17">
        <f>Z41/Z40</f>
        <v>0.15943836804235059</v>
      </c>
      <c r="AA17">
        <f t="shared" ref="AA17:AC17" si="9">AA41/AA40</f>
        <v>0.14428164731484103</v>
      </c>
      <c r="AB17">
        <f t="shared" si="9"/>
        <v>0.13302260844085087</v>
      </c>
      <c r="AC17">
        <f t="shared" si="9"/>
        <v>0.16204461684424407</v>
      </c>
      <c r="AE17" s="135"/>
    </row>
    <row r="18" spans="1:54" x14ac:dyDescent="0.25">
      <c r="A18" s="114"/>
      <c r="B18" s="114"/>
      <c r="C18" s="114"/>
      <c r="D18" s="114"/>
      <c r="E18" s="114"/>
      <c r="F18" s="114"/>
      <c r="AE18" s="135"/>
    </row>
    <row r="19" spans="1:54" x14ac:dyDescent="0.25">
      <c r="A19" t="s">
        <v>398</v>
      </c>
      <c r="B19" s="114"/>
      <c r="C19" s="114"/>
      <c r="D19" s="114"/>
      <c r="E19" s="114"/>
      <c r="F19" s="114"/>
      <c r="Z19">
        <f>Z52/Z25</f>
        <v>4.8225418373857493E-2</v>
      </c>
      <c r="AA19">
        <f t="shared" ref="AA19:AC19" si="10">AA52/AA25</f>
        <v>4.0274666229532081E-2</v>
      </c>
      <c r="AB19">
        <f t="shared" si="10"/>
        <v>3.084602410494865E-2</v>
      </c>
      <c r="AC19">
        <f t="shared" si="10"/>
        <v>2.8159298857803657E-2</v>
      </c>
      <c r="AE19" s="135"/>
    </row>
    <row r="20" spans="1:54" x14ac:dyDescent="0.25">
      <c r="A20" t="s">
        <v>399</v>
      </c>
      <c r="B20" s="114"/>
      <c r="C20" s="114"/>
      <c r="D20" s="114"/>
      <c r="E20" s="114"/>
      <c r="F20" s="114"/>
      <c r="Z20">
        <f>Z53/Z25</f>
        <v>2.3322853167495598E-2</v>
      </c>
      <c r="AA20">
        <f t="shared" ref="AA20:AC20" si="11">AA53/AA25</f>
        <v>2.4876600550061016E-2</v>
      </c>
      <c r="AB20">
        <f t="shared" si="11"/>
        <v>2.1611898845597662E-2</v>
      </c>
      <c r="AC20">
        <f t="shared" si="11"/>
        <v>2.2920005680550203E-2</v>
      </c>
      <c r="AE20" s="135"/>
    </row>
    <row r="21" spans="1:54" x14ac:dyDescent="0.25">
      <c r="A21" s="114" t="s">
        <v>421</v>
      </c>
      <c r="B21" s="114"/>
      <c r="C21" s="114"/>
      <c r="D21" s="114"/>
      <c r="E21" s="114"/>
      <c r="F21" s="114"/>
      <c r="U21" s="510">
        <f>((W25+V25)/(R25+S25))-1</f>
        <v>-1.999589429473414E-2</v>
      </c>
      <c r="Z21">
        <f>(Z53+Z54)/Z25</f>
        <v>3.1148385311368546E-2</v>
      </c>
      <c r="AA21">
        <f t="shared" ref="AA21:AC21" si="12">(AA53+AA54)/AA25</f>
        <v>3.4908839225543234E-2</v>
      </c>
      <c r="AB21">
        <f t="shared" si="12"/>
        <v>3.9533427916143865E-2</v>
      </c>
      <c r="AC21">
        <f t="shared" si="12"/>
        <v>3.8701284210099204E-2</v>
      </c>
      <c r="AE21" s="135"/>
    </row>
    <row r="22" spans="1:54" x14ac:dyDescent="0.25">
      <c r="A22" s="114" t="s">
        <v>118</v>
      </c>
      <c r="B22" s="114"/>
      <c r="C22" s="114"/>
      <c r="D22" s="114"/>
      <c r="E22" s="114"/>
      <c r="F22" s="114"/>
      <c r="U22">
        <f>((W25+V25)/(F25+G25))-1</f>
        <v>0.57956252682787235</v>
      </c>
      <c r="Z22">
        <f>Z55/Z25</f>
        <v>4.033838892433525E-2</v>
      </c>
      <c r="AA22">
        <f t="shared" ref="AA22:AC22" si="13">AA55/AA25</f>
        <v>2.6625138881299748E-2</v>
      </c>
      <c r="AB22">
        <f t="shared" si="13"/>
        <v>3.0302036264033657E-2</v>
      </c>
      <c r="AC22">
        <f t="shared" si="13"/>
        <v>2.7155058732831552E-2</v>
      </c>
      <c r="AE22" s="135"/>
    </row>
    <row r="23" spans="1:54" x14ac:dyDescent="0.25">
      <c r="A23" s="114" t="s">
        <v>423</v>
      </c>
      <c r="B23" s="114"/>
      <c r="C23" s="114"/>
      <c r="D23" s="114"/>
      <c r="E23" s="114"/>
      <c r="F23" s="114"/>
      <c r="Z23">
        <f>Z21/Z20</f>
        <v>1.3355306526038233</v>
      </c>
      <c r="AA23">
        <f t="shared" ref="AA23:AC23" si="14">AA21/AA20</f>
        <v>1.4032801288622054</v>
      </c>
      <c r="AB23">
        <f t="shared" si="14"/>
        <v>1.8292436124462434</v>
      </c>
      <c r="AC23">
        <f t="shared" si="14"/>
        <v>1.6885372870104003</v>
      </c>
      <c r="AE23" s="135"/>
    </row>
    <row r="24" spans="1:54" x14ac:dyDescent="0.25">
      <c r="A24" s="114"/>
      <c r="B24" s="114"/>
      <c r="C24" s="114"/>
      <c r="D24" s="114"/>
      <c r="E24" s="114"/>
      <c r="F24" s="114"/>
    </row>
    <row r="25" spans="1:54" x14ac:dyDescent="0.25">
      <c r="A25" t="s">
        <v>388</v>
      </c>
      <c r="C25">
        <f t="shared" ref="C25:W25" si="15">C26+C27</f>
        <v>53265</v>
      </c>
      <c r="D25">
        <f t="shared" si="15"/>
        <v>64040</v>
      </c>
      <c r="E25">
        <f t="shared" si="15"/>
        <v>84310</v>
      </c>
      <c r="F25">
        <f t="shared" si="15"/>
        <v>58015</v>
      </c>
      <c r="G25">
        <f t="shared" si="15"/>
        <v>53809</v>
      </c>
      <c r="H25">
        <f t="shared" si="15"/>
        <v>64040</v>
      </c>
      <c r="I25">
        <f t="shared" si="15"/>
        <v>91819</v>
      </c>
      <c r="J25">
        <f t="shared" si="15"/>
        <v>58313</v>
      </c>
      <c r="K25">
        <f t="shared" si="15"/>
        <v>59685</v>
      </c>
      <c r="L25">
        <f t="shared" si="15"/>
        <v>64698</v>
      </c>
      <c r="M25">
        <f t="shared" si="15"/>
        <v>111439</v>
      </c>
      <c r="N25">
        <f t="shared" si="15"/>
        <v>89584</v>
      </c>
      <c r="O25">
        <f t="shared" si="15"/>
        <v>81434</v>
      </c>
      <c r="P25">
        <f t="shared" si="15"/>
        <v>83360</v>
      </c>
      <c r="Q25">
        <f t="shared" si="15"/>
        <v>123945</v>
      </c>
      <c r="R25">
        <f t="shared" si="15"/>
        <v>97278</v>
      </c>
      <c r="S25">
        <f t="shared" si="15"/>
        <v>82959</v>
      </c>
      <c r="T25">
        <f t="shared" si="15"/>
        <v>90146</v>
      </c>
      <c r="U25">
        <f t="shared" si="15"/>
        <v>117154</v>
      </c>
      <c r="V25">
        <f t="shared" si="15"/>
        <v>94836</v>
      </c>
      <c r="W25">
        <f t="shared" si="15"/>
        <v>81797</v>
      </c>
      <c r="X25">
        <f>X26+X27</f>
        <v>89282</v>
      </c>
      <c r="Z25">
        <f>Z26+Z27</f>
        <v>260174</v>
      </c>
      <c r="AA25">
        <f>AA26+AA27</f>
        <v>274515</v>
      </c>
      <c r="AB25">
        <f>AB26+AB27</f>
        <v>365817</v>
      </c>
      <c r="AC25">
        <f>AC26+AC27</f>
        <v>394328</v>
      </c>
      <c r="AD25">
        <f>AD26+AD27</f>
        <v>383069</v>
      </c>
      <c r="AE25">
        <f t="shared" ref="AE25:BB25" si="16">AE26+AE27</f>
        <v>404095.69999999995</v>
      </c>
      <c r="AF25">
        <f t="shared" si="16"/>
        <v>426020.38502915</v>
      </c>
      <c r="AG25">
        <f t="shared" si="16"/>
        <v>448860.48893937253</v>
      </c>
      <c r="AH25">
        <f t="shared" si="16"/>
        <v>472632.31682514609</v>
      </c>
      <c r="AI25">
        <f t="shared" si="16"/>
        <v>497350.97627166676</v>
      </c>
      <c r="AJ25">
        <f t="shared" si="16"/>
        <v>523030.31453687267</v>
      </c>
      <c r="AK25">
        <f t="shared" si="16"/>
        <v>549682.8620322668</v>
      </c>
      <c r="AL25">
        <f t="shared" si="16"/>
        <v>577319.78240064369</v>
      </c>
      <c r="AM25">
        <f t="shared" si="16"/>
        <v>605950.82942131127</v>
      </c>
      <c r="AN25">
        <f t="shared" si="16"/>
        <v>635584.31090613932</v>
      </c>
      <c r="AO25">
        <f t="shared" si="16"/>
        <v>666227.05968362512</v>
      </c>
      <c r="AP25">
        <f t="shared" si="16"/>
        <v>697884.41170396539</v>
      </c>
      <c r="AQ25">
        <f t="shared" si="16"/>
        <v>730560.19123654719</v>
      </c>
      <c r="AR25">
        <f t="shared" si="16"/>
        <v>764256.70307296689</v>
      </c>
      <c r="AS25">
        <f t="shared" si="16"/>
        <v>798974.73159418046</v>
      </c>
      <c r="AT25">
        <f t="shared" si="16"/>
        <v>834713.54651011061</v>
      </c>
      <c r="AU25">
        <f t="shared" si="16"/>
        <v>871470.91503434</v>
      </c>
      <c r="AV25">
        <f t="shared" si="16"/>
        <v>909243.1202156581</v>
      </c>
      <c r="AW25">
        <f t="shared" si="16"/>
        <v>948024.98511235893</v>
      </c>
      <c r="AX25">
        <f t="shared" si="16"/>
        <v>987809.90246440098</v>
      </c>
      <c r="AY25">
        <f t="shared" si="16"/>
        <v>1028589.869492837</v>
      </c>
      <c r="AZ25">
        <f t="shared" si="16"/>
        <v>1070355.5274352536</v>
      </c>
      <c r="BA25">
        <f t="shared" si="16"/>
        <v>1113096.2054101799</v>
      </c>
      <c r="BB25">
        <f t="shared" si="16"/>
        <v>1156799.9681923776</v>
      </c>
    </row>
    <row r="26" spans="1:54" ht="13" x14ac:dyDescent="0.3">
      <c r="A26" s="508" t="s">
        <v>389</v>
      </c>
      <c r="B26" s="508"/>
      <c r="C26" s="508">
        <v>43095</v>
      </c>
      <c r="D26" s="508">
        <v>51529</v>
      </c>
      <c r="E26" s="508">
        <v>73435</v>
      </c>
      <c r="F26" s="508">
        <v>46565</v>
      </c>
      <c r="G26" s="508">
        <v>42354</v>
      </c>
      <c r="H26" s="508">
        <v>51529</v>
      </c>
      <c r="I26" s="508">
        <v>79104</v>
      </c>
      <c r="J26" s="508">
        <v>44965</v>
      </c>
      <c r="K26" s="508">
        <v>46529</v>
      </c>
      <c r="L26" s="508">
        <v>50149</v>
      </c>
      <c r="M26">
        <v>95678</v>
      </c>
      <c r="N26" s="247">
        <v>72683</v>
      </c>
      <c r="O26">
        <v>63948</v>
      </c>
      <c r="P26">
        <v>65083</v>
      </c>
      <c r="Q26">
        <v>104429</v>
      </c>
      <c r="R26">
        <v>77457</v>
      </c>
      <c r="S26">
        <v>63355</v>
      </c>
      <c r="T26">
        <v>70958</v>
      </c>
      <c r="U26">
        <v>96388</v>
      </c>
      <c r="V26">
        <v>73929</v>
      </c>
      <c r="W26">
        <v>60584</v>
      </c>
      <c r="X26">
        <v>67977</v>
      </c>
      <c r="Z26">
        <f>SUM(E26:H26)</f>
        <v>213883</v>
      </c>
      <c r="AA26">
        <f>SUM(I26:L26)</f>
        <v>220747</v>
      </c>
      <c r="AB26">
        <f>SUM(M26:P26)</f>
        <v>297392</v>
      </c>
      <c r="AC26">
        <f>SUM(Q26:T26)</f>
        <v>316199</v>
      </c>
      <c r="AD26">
        <f>SUM(U26:X26)</f>
        <v>298878</v>
      </c>
      <c r="AE26" s="114">
        <f>(1+AE5)*AD26</f>
        <v>312327.50999999995</v>
      </c>
      <c r="AF26" s="114">
        <f t="shared" ref="AF26:BB26" si="17">(1+AF5)*AE26</f>
        <v>326199.53635665</v>
      </c>
      <c r="AG26" s="114">
        <f t="shared" si="17"/>
        <v>340499.34278263594</v>
      </c>
      <c r="AH26" s="114">
        <f t="shared" si="17"/>
        <v>355231.97169030906</v>
      </c>
      <c r="AI26" s="114">
        <f t="shared" si="17"/>
        <v>370402.23681401042</v>
      </c>
      <c r="AJ26" s="114">
        <f t="shared" si="17"/>
        <v>386014.71619399753</v>
      </c>
      <c r="AK26" s="114">
        <f t="shared" si="17"/>
        <v>402073.74553397647</v>
      </c>
      <c r="AL26" s="114">
        <f t="shared" si="17"/>
        <v>418583.41194309283</v>
      </c>
      <c r="AM26" s="114">
        <f t="shared" si="17"/>
        <v>435547.54807207413</v>
      </c>
      <c r="AN26" s="114">
        <f t="shared" si="17"/>
        <v>452969.72665205173</v>
      </c>
      <c r="AO26" s="114">
        <f t="shared" si="17"/>
        <v>470853.25544342265</v>
      </c>
      <c r="AP26" s="114">
        <f t="shared" si="17"/>
        <v>489201.17260095105</v>
      </c>
      <c r="AQ26" s="114">
        <f t="shared" si="17"/>
        <v>508016.2424601533</v>
      </c>
      <c r="AR26" s="114">
        <f t="shared" si="17"/>
        <v>527300.95174886822</v>
      </c>
      <c r="AS26" s="114">
        <f t="shared" si="17"/>
        <v>547057.50622678723</v>
      </c>
      <c r="AT26" s="114">
        <f t="shared" si="17"/>
        <v>567287.82775461243</v>
      </c>
      <c r="AU26" s="114">
        <f t="shared" si="17"/>
        <v>587993.55179342255</v>
      </c>
      <c r="AV26" s="114">
        <f t="shared" si="17"/>
        <v>609176.02533377125</v>
      </c>
      <c r="AW26" s="114">
        <f t="shared" si="17"/>
        <v>630836.30525300954</v>
      </c>
      <c r="AX26" s="114">
        <f t="shared" si="17"/>
        <v>652975.15709832637</v>
      </c>
      <c r="AY26" s="114">
        <f t="shared" si="17"/>
        <v>675593.05429203343</v>
      </c>
      <c r="AZ26" s="114">
        <f t="shared" si="17"/>
        <v>698690.17775469646</v>
      </c>
      <c r="BA26" s="114">
        <f t="shared" si="17"/>
        <v>722266.41594081966</v>
      </c>
      <c r="BB26" s="114">
        <f t="shared" si="17"/>
        <v>746321.36528094101</v>
      </c>
    </row>
    <row r="27" spans="1:54" x14ac:dyDescent="0.25">
      <c r="A27" s="508" t="s">
        <v>390</v>
      </c>
      <c r="B27" s="508"/>
      <c r="C27" s="508">
        <v>10170</v>
      </c>
      <c r="D27" s="508">
        <v>12511</v>
      </c>
      <c r="E27" s="508">
        <v>10875</v>
      </c>
      <c r="F27" s="508">
        <v>11450</v>
      </c>
      <c r="G27" s="508">
        <v>11455</v>
      </c>
      <c r="H27" s="508">
        <v>12511</v>
      </c>
      <c r="I27" s="508">
        <v>12715</v>
      </c>
      <c r="J27" s="508">
        <v>13348</v>
      </c>
      <c r="K27" s="508">
        <v>13156</v>
      </c>
      <c r="L27" s="508">
        <v>14549</v>
      </c>
      <c r="M27">
        <v>15761</v>
      </c>
      <c r="N27">
        <v>16901</v>
      </c>
      <c r="O27">
        <v>17486</v>
      </c>
      <c r="P27">
        <v>18277</v>
      </c>
      <c r="Q27">
        <v>19516</v>
      </c>
      <c r="R27">
        <v>19821</v>
      </c>
      <c r="S27">
        <v>19604</v>
      </c>
      <c r="T27">
        <v>19188</v>
      </c>
      <c r="U27">
        <v>20766</v>
      </c>
      <c r="V27">
        <v>20907</v>
      </c>
      <c r="W27">
        <v>21213</v>
      </c>
      <c r="X27">
        <v>21305</v>
      </c>
      <c r="Z27">
        <f>SUM(E27:H27)</f>
        <v>46291</v>
      </c>
      <c r="AA27">
        <f>SUM(I27:L27)</f>
        <v>53768</v>
      </c>
      <c r="AB27">
        <f>SUM(M27:P27)</f>
        <v>68425</v>
      </c>
      <c r="AC27">
        <f>SUM(Q27:T27)</f>
        <v>78129</v>
      </c>
      <c r="AD27">
        <f>SUM(U27:X27)</f>
        <v>84191</v>
      </c>
      <c r="AE27" s="114">
        <f>(1+AE6)*AD27</f>
        <v>91768.19</v>
      </c>
      <c r="AF27" s="114">
        <f t="shared" ref="AF27:BB27" si="18">(1+AF6)*AE27</f>
        <v>99820.848672499997</v>
      </c>
      <c r="AG27" s="114">
        <f t="shared" si="18"/>
        <v>108361.14615673658</v>
      </c>
      <c r="AH27" s="114">
        <f t="shared" si="18"/>
        <v>117400.34513483704</v>
      </c>
      <c r="AI27" s="114">
        <f t="shared" si="18"/>
        <v>126948.73945765635</v>
      </c>
      <c r="AJ27" s="114">
        <f t="shared" si="18"/>
        <v>137015.59834287516</v>
      </c>
      <c r="AK27" s="114">
        <f t="shared" si="18"/>
        <v>147609.11649829036</v>
      </c>
      <c r="AL27" s="114">
        <f t="shared" si="18"/>
        <v>158736.3704575508</v>
      </c>
      <c r="AM27" s="114">
        <f t="shared" si="18"/>
        <v>170403.28134923716</v>
      </c>
      <c r="AN27" s="114">
        <f t="shared" si="18"/>
        <v>182614.58425408759</v>
      </c>
      <c r="AO27" s="114">
        <f t="shared" si="18"/>
        <v>195373.80424020247</v>
      </c>
      <c r="AP27" s="114">
        <f t="shared" si="18"/>
        <v>208683.23910301441</v>
      </c>
      <c r="AQ27" s="114">
        <f t="shared" si="18"/>
        <v>222543.9487763939</v>
      </c>
      <c r="AR27" s="114">
        <f t="shared" si="18"/>
        <v>236955.75132409864</v>
      </c>
      <c r="AS27" s="114">
        <f t="shared" si="18"/>
        <v>251917.22536739323</v>
      </c>
      <c r="AT27" s="114">
        <f t="shared" si="18"/>
        <v>267425.71875549818</v>
      </c>
      <c r="AU27" s="114">
        <f t="shared" si="18"/>
        <v>283477.36324091739</v>
      </c>
      <c r="AV27" s="114">
        <f t="shared" si="18"/>
        <v>300067.09488188679</v>
      </c>
      <c r="AW27" s="114">
        <f t="shared" si="18"/>
        <v>317188.67985934939</v>
      </c>
      <c r="AX27" s="114">
        <f t="shared" si="18"/>
        <v>334834.74536607461</v>
      </c>
      <c r="AY27" s="114">
        <f t="shared" si="18"/>
        <v>352996.81520080357</v>
      </c>
      <c r="AZ27" s="114">
        <f t="shared" si="18"/>
        <v>371665.34968055709</v>
      </c>
      <c r="BA27" s="114">
        <f t="shared" si="18"/>
        <v>390829.78946936032</v>
      </c>
      <c r="BB27" s="114">
        <f t="shared" si="18"/>
        <v>410478.60291143652</v>
      </c>
    </row>
    <row r="28" spans="1:54" x14ac:dyDescent="0.25">
      <c r="C28" s="114" t="s">
        <v>270</v>
      </c>
    </row>
    <row r="29" spans="1:54" x14ac:dyDescent="0.25">
      <c r="A29" t="s">
        <v>391</v>
      </c>
    </row>
    <row r="30" spans="1:54" x14ac:dyDescent="0.25">
      <c r="A30" s="508" t="s">
        <v>389</v>
      </c>
      <c r="B30" s="508"/>
      <c r="C30" s="508">
        <v>28956</v>
      </c>
      <c r="D30" s="508">
        <v>35238</v>
      </c>
      <c r="E30" s="508">
        <v>48238</v>
      </c>
      <c r="F30" s="508">
        <v>32047</v>
      </c>
      <c r="G30" s="508">
        <v>29473</v>
      </c>
      <c r="H30" s="508">
        <v>35238</v>
      </c>
      <c r="I30" s="508">
        <v>52075</v>
      </c>
      <c r="J30" s="508">
        <v>31321</v>
      </c>
      <c r="K30" s="508">
        <v>32693</v>
      </c>
      <c r="L30" s="508">
        <v>35197</v>
      </c>
      <c r="M30">
        <v>62130</v>
      </c>
      <c r="N30">
        <v>46447</v>
      </c>
      <c r="O30">
        <v>40899</v>
      </c>
      <c r="P30">
        <v>42790</v>
      </c>
      <c r="Q30">
        <v>64309</v>
      </c>
      <c r="R30">
        <v>49290</v>
      </c>
      <c r="S30">
        <v>41485</v>
      </c>
      <c r="T30">
        <v>46387</v>
      </c>
      <c r="U30">
        <v>60765</v>
      </c>
      <c r="V30">
        <v>46795</v>
      </c>
      <c r="W30">
        <v>39136</v>
      </c>
      <c r="X30">
        <v>43350</v>
      </c>
      <c r="Z30">
        <f>SUM(E30:H30)</f>
        <v>144996</v>
      </c>
      <c r="AA30">
        <f>SUM(I30:L30)</f>
        <v>151286</v>
      </c>
      <c r="AB30">
        <f>SUM(M30:P30)</f>
        <v>192266</v>
      </c>
      <c r="AC30">
        <f>SUM(Q30:T30)</f>
        <v>201471</v>
      </c>
      <c r="AD30">
        <f>SUM(U30:X30)</f>
        <v>190046</v>
      </c>
      <c r="AE30">
        <f>AE9*AE26</f>
        <v>198796.66806999993</v>
      </c>
      <c r="AF30">
        <f t="shared" ref="AF30:BB30" si="19">AF9*AF26</f>
        <v>207833.84830441131</v>
      </c>
      <c r="AG30">
        <f t="shared" si="19"/>
        <v>217161.731238462</v>
      </c>
      <c r="AH30">
        <f t="shared" si="19"/>
        <v>226784.38120445397</v>
      </c>
      <c r="AI30">
        <f t="shared" si="19"/>
        <v>236705.73094695766</v>
      </c>
      <c r="AJ30">
        <f t="shared" si="19"/>
        <v>246929.57643898326</v>
      </c>
      <c r="AK30">
        <f t="shared" si="19"/>
        <v>257459.57190833043</v>
      </c>
      <c r="AL30">
        <f t="shared" si="19"/>
        <v>268299.22508264828</v>
      </c>
      <c r="AM30">
        <f t="shared" si="19"/>
        <v>279451.89266105503</v>
      </c>
      <c r="AN30">
        <f t="shared" si="19"/>
        <v>290920.7760194756</v>
      </c>
      <c r="AO30">
        <f t="shared" si="19"/>
        <v>302708.91715615429</v>
      </c>
      <c r="AP30">
        <f t="shared" si="19"/>
        <v>314819.19488309877</v>
      </c>
      <c r="AQ30">
        <f t="shared" si="19"/>
        <v>327254.32126850577</v>
      </c>
      <c r="AR30">
        <f t="shared" si="19"/>
        <v>340016.83833451505</v>
      </c>
      <c r="AS30">
        <f t="shared" si="19"/>
        <v>353109.1150139395</v>
      </c>
      <c r="AT30">
        <f t="shared" si="19"/>
        <v>366533.34436892427</v>
      </c>
      <c r="AU30">
        <f t="shared" si="19"/>
        <v>380291.54107380292</v>
      </c>
      <c r="AV30">
        <f t="shared" si="19"/>
        <v>394385.53916374309</v>
      </c>
      <c r="AW30">
        <f t="shared" si="19"/>
        <v>408816.99005011184</v>
      </c>
      <c r="AX30">
        <f t="shared" si="19"/>
        <v>423587.36080284324</v>
      </c>
      <c r="AY30">
        <f t="shared" si="19"/>
        <v>438697.93269945658</v>
      </c>
      <c r="AZ30">
        <f t="shared" si="19"/>
        <v>454149.80003976275</v>
      </c>
      <c r="BA30">
        <f t="shared" si="19"/>
        <v>469943.86922469834</v>
      </c>
      <c r="BB30">
        <f t="shared" si="19"/>
        <v>486080.85809715459</v>
      </c>
    </row>
    <row r="31" spans="1:54" x14ac:dyDescent="0.25">
      <c r="A31" s="508" t="s">
        <v>390</v>
      </c>
      <c r="B31" s="508"/>
      <c r="C31" s="508">
        <v>3888</v>
      </c>
      <c r="D31" s="508">
        <v>4489</v>
      </c>
      <c r="E31" s="508">
        <v>4041</v>
      </c>
      <c r="F31" s="508">
        <v>4147</v>
      </c>
      <c r="G31" s="508">
        <v>4109</v>
      </c>
      <c r="H31" s="508">
        <v>4489</v>
      </c>
      <c r="I31" s="508">
        <v>4527</v>
      </c>
      <c r="J31" s="508">
        <v>4622</v>
      </c>
      <c r="K31" s="508">
        <v>4312</v>
      </c>
      <c r="L31" s="508">
        <v>4812</v>
      </c>
      <c r="M31">
        <v>4981</v>
      </c>
      <c r="N31">
        <v>5058</v>
      </c>
      <c r="O31">
        <v>5280</v>
      </c>
      <c r="P31">
        <v>5396</v>
      </c>
      <c r="Q31">
        <v>5393</v>
      </c>
      <c r="R31">
        <v>5429</v>
      </c>
      <c r="S31">
        <v>5589</v>
      </c>
      <c r="T31">
        <v>5664</v>
      </c>
      <c r="U31">
        <v>6057</v>
      </c>
      <c r="V31">
        <v>6065</v>
      </c>
      <c r="W31">
        <v>6248</v>
      </c>
      <c r="X31">
        <v>6134</v>
      </c>
      <c r="Z31">
        <f>SUM(E31:H31)</f>
        <v>16786</v>
      </c>
      <c r="AA31">
        <f>SUM(I31:L31)</f>
        <v>18273</v>
      </c>
      <c r="AB31">
        <f>SUM(M31:P31)</f>
        <v>20715</v>
      </c>
      <c r="AC31">
        <f>SUM(Q31:T31)</f>
        <v>22075</v>
      </c>
      <c r="AD31">
        <f>SUM(U31:X31)</f>
        <v>24504</v>
      </c>
      <c r="AE31">
        <f>AE10*AE27</f>
        <v>26736.069360000001</v>
      </c>
      <c r="AF31">
        <f t="shared" ref="AF31:BB31" si="20">AF10*AF27</f>
        <v>29111.241605786334</v>
      </c>
      <c r="AG31">
        <f t="shared" si="20"/>
        <v>31633.492160691811</v>
      </c>
      <c r="AH31">
        <f t="shared" si="20"/>
        <v>34306.546324323434</v>
      </c>
      <c r="AI31">
        <f t="shared" si="20"/>
        <v>37133.860031012278</v>
      </c>
      <c r="AJ31">
        <f t="shared" si="20"/>
        <v>40118.602128219012</v>
      </c>
      <c r="AK31">
        <f t="shared" si="20"/>
        <v>43263.638289372757</v>
      </c>
      <c r="AL31">
        <f t="shared" si="20"/>
        <v>46571.516657223656</v>
      </c>
      <c r="AM31">
        <f t="shared" si="20"/>
        <v>50044.455295024622</v>
      </c>
      <c r="AN31">
        <f t="shared" si="20"/>
        <v>53684.331503995818</v>
      </c>
      <c r="AO31">
        <f t="shared" si="20"/>
        <v>57492.67304682338</v>
      </c>
      <c r="AP31">
        <f t="shared" si="20"/>
        <v>61470.651298637633</v>
      </c>
      <c r="AQ31">
        <f t="shared" si="20"/>
        <v>65619.076329219373</v>
      </c>
      <c r="AR31">
        <f t="shared" si="20"/>
        <v>69938.393903286866</v>
      </c>
      <c r="AS31">
        <f t="shared" si="20"/>
        <v>74428.684369785013</v>
      </c>
      <c r="AT31">
        <f t="shared" si="20"/>
        <v>79089.663396270262</v>
      </c>
      <c r="AU31">
        <f t="shared" si="20"/>
        <v>83920.684490874773</v>
      </c>
      <c r="AV31">
        <f t="shared" si="20"/>
        <v>88920.743242025026</v>
      </c>
      <c r="AW31">
        <f t="shared" si="20"/>
        <v>94088.483195147477</v>
      </c>
      <c r="AX31">
        <f t="shared" si="20"/>
        <v>99422.203276055487</v>
      </c>
      <c r="AY31">
        <f t="shared" si="20"/>
        <v>104919.86666259107</v>
      </c>
      <c r="AZ31">
        <f t="shared" si="20"/>
        <v>110579.11099939028</v>
      </c>
      <c r="BA31">
        <f t="shared" si="20"/>
        <v>116397.25984532754</v>
      </c>
      <c r="BB31">
        <f t="shared" si="20"/>
        <v>122371.33523923192</v>
      </c>
    </row>
    <row r="33" spans="1:54" x14ac:dyDescent="0.25">
      <c r="A33" t="s">
        <v>392</v>
      </c>
      <c r="C33">
        <v>3701</v>
      </c>
      <c r="D33">
        <v>4110</v>
      </c>
      <c r="E33">
        <v>3902</v>
      </c>
      <c r="F33">
        <v>3948</v>
      </c>
      <c r="G33">
        <v>4257</v>
      </c>
      <c r="H33">
        <v>4110</v>
      </c>
      <c r="I33">
        <v>4451</v>
      </c>
      <c r="J33">
        <v>4565</v>
      </c>
      <c r="K33">
        <v>4758</v>
      </c>
      <c r="L33">
        <v>4978</v>
      </c>
      <c r="M33">
        <v>5163</v>
      </c>
      <c r="N33">
        <v>5262</v>
      </c>
      <c r="O33">
        <v>5717</v>
      </c>
      <c r="P33">
        <v>5772</v>
      </c>
      <c r="Q33">
        <v>6306</v>
      </c>
      <c r="R33">
        <v>6387</v>
      </c>
      <c r="S33">
        <v>6797</v>
      </c>
      <c r="T33">
        <v>6761</v>
      </c>
      <c r="U33">
        <v>7709</v>
      </c>
      <c r="V33">
        <v>7457</v>
      </c>
      <c r="W33">
        <v>7442</v>
      </c>
      <c r="X33">
        <v>7393</v>
      </c>
      <c r="Z33">
        <f>SUM(E33:H33)</f>
        <v>16217</v>
      </c>
      <c r="AA33">
        <f>SUM(I33:L33)</f>
        <v>18752</v>
      </c>
      <c r="AB33">
        <f>SUM(M33:P33)</f>
        <v>21914</v>
      </c>
      <c r="AC33">
        <f>SUM(Q33:T33)</f>
        <v>26251</v>
      </c>
      <c r="AD33">
        <f>SUM(U33:X33)</f>
        <v>30001</v>
      </c>
      <c r="AE33">
        <f>AE12*AE$25</f>
        <v>31964.235807797028</v>
      </c>
      <c r="AF33">
        <f t="shared" ref="AF33:BB33" si="21">AF12*AF$25</f>
        <v>34035.477750592836</v>
      </c>
      <c r="AG33">
        <f t="shared" si="21"/>
        <v>36218.813790341548</v>
      </c>
      <c r="AH33">
        <f t="shared" si="21"/>
        <v>38518.346165832445</v>
      </c>
      <c r="AI33">
        <f t="shared" si="21"/>
        <v>40938.183344336241</v>
      </c>
      <c r="AJ33">
        <f t="shared" si="21"/>
        <v>43482.432028956508</v>
      </c>
      <c r="AK33">
        <f t="shared" si="21"/>
        <v>46155.18927241159</v>
      </c>
      <c r="AL33">
        <f t="shared" si="21"/>
        <v>48960.534745766687</v>
      </c>
      <c r="AM33">
        <f t="shared" si="21"/>
        <v>51902.523208004182</v>
      </c>
      <c r="AN33">
        <f t="shared" si="21"/>
        <v>54985.177219318335</v>
      </c>
      <c r="AO33">
        <f t="shared" si="21"/>
        <v>58212.480137703489</v>
      </c>
      <c r="AP33">
        <f t="shared" si="21"/>
        <v>61588.369434832457</v>
      </c>
      <c r="AQ33">
        <f t="shared" si="21"/>
        <v>65116.730363448361</v>
      </c>
      <c r="AR33">
        <f t="shared" si="21"/>
        <v>68801.390004578323</v>
      </c>
      <c r="AS33">
        <f t="shared" si="21"/>
        <v>72646.111718873435</v>
      </c>
      <c r="AT33">
        <f t="shared" si="21"/>
        <v>76654.590022339762</v>
      </c>
      <c r="AU33">
        <f t="shared" si="21"/>
        <v>80830.445902697335</v>
      </c>
      <c r="AV33">
        <f t="shared" si="21"/>
        <v>85177.222588635006</v>
      </c>
      <c r="AW33">
        <f t="shared" si="21"/>
        <v>89698.38178035774</v>
      </c>
      <c r="AX33">
        <f t="shared" si="21"/>
        <v>94397.300346087504</v>
      </c>
      <c r="AY33">
        <f t="shared" si="21"/>
        <v>99277.267485610209</v>
      </c>
      <c r="AZ33">
        <f t="shared" si="21"/>
        <v>104341.48235858878</v>
      </c>
      <c r="BA33">
        <f t="shared" si="21"/>
        <v>109593.05217220577</v>
      </c>
      <c r="BB33">
        <f t="shared" si="21"/>
        <v>115034.99071977998</v>
      </c>
    </row>
    <row r="34" spans="1:54" x14ac:dyDescent="0.25">
      <c r="A34" t="s">
        <v>393</v>
      </c>
      <c r="C34">
        <v>4108</v>
      </c>
      <c r="D34">
        <v>4578</v>
      </c>
      <c r="E34">
        <v>4783</v>
      </c>
      <c r="F34">
        <v>4458</v>
      </c>
      <c r="G34">
        <v>4426</v>
      </c>
      <c r="H34">
        <v>4578</v>
      </c>
      <c r="I34">
        <v>5197</v>
      </c>
      <c r="J34">
        <v>4952</v>
      </c>
      <c r="K34">
        <v>4831</v>
      </c>
      <c r="L34">
        <v>4936</v>
      </c>
      <c r="M34">
        <v>5631</v>
      </c>
      <c r="N34">
        <v>5314</v>
      </c>
      <c r="O34">
        <v>5412</v>
      </c>
      <c r="P34">
        <v>5616</v>
      </c>
      <c r="Q34">
        <v>6449</v>
      </c>
      <c r="R34">
        <v>6193</v>
      </c>
      <c r="S34">
        <v>6012</v>
      </c>
      <c r="T34">
        <v>6440</v>
      </c>
      <c r="U34">
        <v>6607</v>
      </c>
      <c r="V34">
        <v>6201</v>
      </c>
      <c r="W34">
        <v>5973</v>
      </c>
      <c r="X34">
        <v>6220</v>
      </c>
      <c r="Z34">
        <f>SUM(E34:H34)</f>
        <v>18245</v>
      </c>
      <c r="AA34">
        <f>SUM(I34:L34)</f>
        <v>19916</v>
      </c>
      <c r="AB34">
        <f>SUM(M34:P34)</f>
        <v>21973</v>
      </c>
      <c r="AC34">
        <f>SUM(Q34:T34)</f>
        <v>25094</v>
      </c>
      <c r="AD34">
        <f>SUM(U34:X34)</f>
        <v>25001</v>
      </c>
      <c r="AE34">
        <f>AE13*AE$25</f>
        <v>26399.680977306176</v>
      </c>
      <c r="AF34">
        <f t="shared" ref="AF34:BB34" si="22">AF13*AF$25</f>
        <v>27859.858585115609</v>
      </c>
      <c r="AG34">
        <f t="shared" si="22"/>
        <v>29382.854379577526</v>
      </c>
      <c r="AH34">
        <f t="shared" si="22"/>
        <v>30969.920876180302</v>
      </c>
      <c r="AI34">
        <f t="shared" si="22"/>
        <v>32622.236682371207</v>
      </c>
      <c r="AJ34">
        <f t="shared" si="22"/>
        <v>34340.901991636005</v>
      </c>
      <c r="AK34">
        <f t="shared" si="22"/>
        <v>36126.934465653205</v>
      </c>
      <c r="AL34">
        <f t="shared" si="22"/>
        <v>37981.265526943418</v>
      </c>
      <c r="AM34">
        <f t="shared" si="22"/>
        <v>39904.737080156665</v>
      </c>
      <c r="AN34">
        <f t="shared" si="22"/>
        <v>41898.098675839719</v>
      </c>
      <c r="AO34">
        <f t="shared" si="22"/>
        <v>43962.005126260148</v>
      </c>
      <c r="AP34">
        <f t="shared" si="22"/>
        <v>46097.0145786867</v>
      </c>
      <c r="AQ34">
        <f t="shared" si="22"/>
        <v>48303.587047484914</v>
      </c>
      <c r="AR34">
        <f t="shared" si="22"/>
        <v>50582.083402526026</v>
      </c>
      <c r="AS34">
        <f t="shared" si="22"/>
        <v>52932.764807762956</v>
      </c>
      <c r="AT34">
        <f t="shared" si="22"/>
        <v>55355.792600431225</v>
      </c>
      <c r="AU34">
        <f t="shared" si="22"/>
        <v>57851.228598209869</v>
      </c>
      <c r="AV34">
        <f t="shared" si="22"/>
        <v>60419.035818848635</v>
      </c>
      <c r="AW34">
        <f t="shared" si="22"/>
        <v>63059.079594245952</v>
      </c>
      <c r="AX34">
        <f t="shared" si="22"/>
        <v>65771.129058756298</v>
      </c>
      <c r="AY34">
        <f t="shared" si="22"/>
        <v>68554.858989620319</v>
      </c>
      <c r="AZ34">
        <f t="shared" si="22"/>
        <v>71409.851975844373</v>
      </c>
      <c r="BA34">
        <f t="shared" si="22"/>
        <v>74335.600890603324</v>
      </c>
      <c r="BB34">
        <f t="shared" si="22"/>
        <v>77331.511641293531</v>
      </c>
    </row>
    <row r="36" spans="1:54" x14ac:dyDescent="0.25">
      <c r="A36" s="114" t="s">
        <v>420</v>
      </c>
      <c r="C36">
        <f>C25-C30-C31-C33-C34</f>
        <v>12612</v>
      </c>
      <c r="D36">
        <f t="shared" ref="D36:BB36" si="23">D25-D30-D31-D33-D34</f>
        <v>15625</v>
      </c>
      <c r="E36">
        <f t="shared" si="23"/>
        <v>23346</v>
      </c>
      <c r="F36">
        <f t="shared" si="23"/>
        <v>13415</v>
      </c>
      <c r="G36">
        <f t="shared" si="23"/>
        <v>11544</v>
      </c>
      <c r="H36">
        <f t="shared" si="23"/>
        <v>15625</v>
      </c>
      <c r="I36">
        <f t="shared" si="23"/>
        <v>25569</v>
      </c>
      <c r="J36">
        <f t="shared" si="23"/>
        <v>12853</v>
      </c>
      <c r="K36">
        <f t="shared" si="23"/>
        <v>13091</v>
      </c>
      <c r="L36">
        <f t="shared" si="23"/>
        <v>14775</v>
      </c>
      <c r="M36">
        <f t="shared" si="23"/>
        <v>33534</v>
      </c>
      <c r="N36">
        <f t="shared" si="23"/>
        <v>27503</v>
      </c>
      <c r="O36">
        <f t="shared" si="23"/>
        <v>24126</v>
      </c>
      <c r="P36">
        <f t="shared" si="23"/>
        <v>23786</v>
      </c>
      <c r="Q36">
        <f t="shared" si="23"/>
        <v>41488</v>
      </c>
      <c r="R36">
        <f t="shared" si="23"/>
        <v>29979</v>
      </c>
      <c r="S36">
        <f t="shared" si="23"/>
        <v>23076</v>
      </c>
      <c r="T36">
        <f t="shared" si="23"/>
        <v>24894</v>
      </c>
      <c r="U36">
        <f t="shared" si="23"/>
        <v>36016</v>
      </c>
      <c r="V36">
        <f t="shared" si="23"/>
        <v>28318</v>
      </c>
      <c r="W36">
        <f t="shared" si="23"/>
        <v>22998</v>
      </c>
      <c r="X36">
        <f>X25-X30-X31-X33-X34</f>
        <v>26185</v>
      </c>
      <c r="Z36">
        <f t="shared" si="23"/>
        <v>63930</v>
      </c>
      <c r="AA36">
        <f t="shared" si="23"/>
        <v>66288</v>
      </c>
      <c r="AB36">
        <f t="shared" si="23"/>
        <v>108949</v>
      </c>
      <c r="AC36">
        <f t="shared" si="23"/>
        <v>119437</v>
      </c>
      <c r="AD36">
        <f t="shared" si="23"/>
        <v>113517</v>
      </c>
      <c r="AE36">
        <f t="shared" si="23"/>
        <v>120199.04578489682</v>
      </c>
      <c r="AF36">
        <f t="shared" si="23"/>
        <v>127179.9587832439</v>
      </c>
      <c r="AG36">
        <f t="shared" si="23"/>
        <v>134463.59737029963</v>
      </c>
      <c r="AH36">
        <f t="shared" si="23"/>
        <v>142053.12225435593</v>
      </c>
      <c r="AI36">
        <f t="shared" si="23"/>
        <v>149950.9652669894</v>
      </c>
      <c r="AJ36">
        <f t="shared" si="23"/>
        <v>158158.8019490779</v>
      </c>
      <c r="AK36">
        <f t="shared" si="23"/>
        <v>166677.52809649881</v>
      </c>
      <c r="AL36">
        <f t="shared" si="23"/>
        <v>175507.24038806168</v>
      </c>
      <c r="AM36">
        <f t="shared" si="23"/>
        <v>184647.22117707078</v>
      </c>
      <c r="AN36">
        <f t="shared" si="23"/>
        <v>194095.92748750985</v>
      </c>
      <c r="AO36">
        <f t="shared" si="23"/>
        <v>203850.98421668384</v>
      </c>
      <c r="AP36">
        <f t="shared" si="23"/>
        <v>213909.18150870985</v>
      </c>
      <c r="AQ36">
        <f t="shared" si="23"/>
        <v>224266.47622788875</v>
      </c>
      <c r="AR36">
        <f t="shared" si="23"/>
        <v>234917.99742806063</v>
      </c>
      <c r="AS36">
        <f t="shared" si="23"/>
        <v>245858.05568381955</v>
      </c>
      <c r="AT36">
        <f t="shared" si="23"/>
        <v>257080.1561221451</v>
      </c>
      <c r="AU36">
        <f t="shared" si="23"/>
        <v>268577.01496875513</v>
      </c>
      <c r="AV36">
        <f t="shared" si="23"/>
        <v>280340.57940240635</v>
      </c>
      <c r="AW36">
        <f t="shared" si="23"/>
        <v>292362.050492496</v>
      </c>
      <c r="AX36">
        <f t="shared" si="23"/>
        <v>304631.90898065845</v>
      </c>
      <c r="AY36">
        <f t="shared" si="23"/>
        <v>317139.94365555886</v>
      </c>
      <c r="AZ36">
        <f t="shared" si="23"/>
        <v>329875.28206166747</v>
      </c>
      <c r="BA36">
        <f t="shared" si="23"/>
        <v>342826.42327734496</v>
      </c>
      <c r="BB36">
        <f t="shared" si="23"/>
        <v>355981.2724949175</v>
      </c>
    </row>
    <row r="37" spans="1:54" x14ac:dyDescent="0.25">
      <c r="AB37" s="114"/>
      <c r="AC37" s="114"/>
    </row>
    <row r="38" spans="1:54" x14ac:dyDescent="0.25">
      <c r="A38" t="s">
        <v>394</v>
      </c>
      <c r="C38">
        <v>672</v>
      </c>
      <c r="D38">
        <v>502</v>
      </c>
      <c r="E38">
        <v>560</v>
      </c>
      <c r="F38">
        <v>378</v>
      </c>
      <c r="G38">
        <v>367</v>
      </c>
      <c r="H38">
        <v>502</v>
      </c>
      <c r="I38">
        <v>349</v>
      </c>
      <c r="J38">
        <v>282</v>
      </c>
      <c r="K38">
        <v>46</v>
      </c>
      <c r="L38">
        <v>126</v>
      </c>
      <c r="M38">
        <v>45</v>
      </c>
      <c r="N38">
        <v>508</v>
      </c>
      <c r="O38">
        <v>243</v>
      </c>
      <c r="P38">
        <v>-538</v>
      </c>
      <c r="Q38">
        <v>-247</v>
      </c>
      <c r="R38">
        <v>160</v>
      </c>
      <c r="S38">
        <v>-10</v>
      </c>
      <c r="T38">
        <v>-237</v>
      </c>
      <c r="U38">
        <v>-393</v>
      </c>
      <c r="V38">
        <v>64</v>
      </c>
      <c r="W38">
        <v>-265</v>
      </c>
      <c r="Z38">
        <f>SUM(E38:H38)</f>
        <v>1807</v>
      </c>
      <c r="AA38">
        <f>SUM(I38:L38)</f>
        <v>803</v>
      </c>
      <c r="AB38">
        <f>SUM(M38:P38)</f>
        <v>258</v>
      </c>
      <c r="AC38">
        <f>SUM(Q38:T38)</f>
        <v>-334</v>
      </c>
    </row>
    <row r="39" spans="1:54" x14ac:dyDescent="0.25">
      <c r="AC39" s="114"/>
    </row>
    <row r="40" spans="1:54" x14ac:dyDescent="0.25">
      <c r="A40" t="s">
        <v>395</v>
      </c>
      <c r="C40">
        <f t="shared" ref="C40:W40" si="24">C26+C27-C30-C31-C33-C34+C38</f>
        <v>13284</v>
      </c>
      <c r="D40">
        <f t="shared" si="24"/>
        <v>16127</v>
      </c>
      <c r="E40">
        <f t="shared" si="24"/>
        <v>23906</v>
      </c>
      <c r="F40">
        <f t="shared" si="24"/>
        <v>13793</v>
      </c>
      <c r="G40">
        <f t="shared" si="24"/>
        <v>11911</v>
      </c>
      <c r="H40">
        <f t="shared" si="24"/>
        <v>16127</v>
      </c>
      <c r="I40">
        <f t="shared" si="24"/>
        <v>25918</v>
      </c>
      <c r="J40">
        <f t="shared" si="24"/>
        <v>13135</v>
      </c>
      <c r="K40">
        <f t="shared" si="24"/>
        <v>13137</v>
      </c>
      <c r="L40">
        <f t="shared" si="24"/>
        <v>14901</v>
      </c>
      <c r="M40">
        <f t="shared" si="24"/>
        <v>33579</v>
      </c>
      <c r="N40">
        <f t="shared" si="24"/>
        <v>28011</v>
      </c>
      <c r="O40">
        <f t="shared" si="24"/>
        <v>24369</v>
      </c>
      <c r="P40">
        <f t="shared" si="24"/>
        <v>23248</v>
      </c>
      <c r="Q40">
        <f t="shared" si="24"/>
        <v>41241</v>
      </c>
      <c r="R40">
        <f t="shared" si="24"/>
        <v>30139</v>
      </c>
      <c r="S40">
        <f t="shared" si="24"/>
        <v>23066</v>
      </c>
      <c r="T40">
        <f t="shared" si="24"/>
        <v>24657</v>
      </c>
      <c r="U40">
        <f t="shared" si="24"/>
        <v>35623</v>
      </c>
      <c r="V40">
        <f t="shared" si="24"/>
        <v>28382</v>
      </c>
      <c r="W40">
        <f t="shared" si="24"/>
        <v>22733</v>
      </c>
      <c r="Z40">
        <f>SUM(E40:H40)</f>
        <v>65737</v>
      </c>
      <c r="AA40">
        <f>SUM(I40:L40)</f>
        <v>67091</v>
      </c>
      <c r="AB40">
        <f>SUM(M40:P40)</f>
        <v>109207</v>
      </c>
      <c r="AC40">
        <f>SUM(Q40:T40)</f>
        <v>119103</v>
      </c>
    </row>
    <row r="41" spans="1:54" x14ac:dyDescent="0.25">
      <c r="A41" t="s">
        <v>396</v>
      </c>
      <c r="C41">
        <v>1765</v>
      </c>
      <c r="D41">
        <v>2441</v>
      </c>
      <c r="E41">
        <v>3941</v>
      </c>
      <c r="F41">
        <v>2232</v>
      </c>
      <c r="G41">
        <v>1867</v>
      </c>
      <c r="H41">
        <v>2441</v>
      </c>
      <c r="I41">
        <v>3682</v>
      </c>
      <c r="J41">
        <v>1886</v>
      </c>
      <c r="K41">
        <v>1884</v>
      </c>
      <c r="L41">
        <v>2228</v>
      </c>
      <c r="M41">
        <v>4824</v>
      </c>
      <c r="N41">
        <v>4381</v>
      </c>
      <c r="O41">
        <v>2625</v>
      </c>
      <c r="P41">
        <v>2697</v>
      </c>
      <c r="Q41">
        <v>6611</v>
      </c>
      <c r="R41">
        <v>5129</v>
      </c>
      <c r="S41">
        <v>3624</v>
      </c>
      <c r="T41">
        <v>3936</v>
      </c>
      <c r="U41">
        <v>5625</v>
      </c>
      <c r="V41">
        <v>4222</v>
      </c>
      <c r="W41">
        <v>2852</v>
      </c>
      <c r="Z41">
        <f>SUM(E41:H41)</f>
        <v>10481</v>
      </c>
      <c r="AA41">
        <f>SUM(I41:L41)</f>
        <v>9680</v>
      </c>
      <c r="AB41">
        <f>SUM(M41:P41)</f>
        <v>14527</v>
      </c>
      <c r="AC41">
        <f>SUM(Q41:T41)</f>
        <v>19300</v>
      </c>
    </row>
    <row r="42" spans="1:54" x14ac:dyDescent="0.25">
      <c r="A42" t="s">
        <v>397</v>
      </c>
      <c r="C42">
        <f t="shared" ref="C42:W42" si="25">C40-C41</f>
        <v>11519</v>
      </c>
      <c r="D42">
        <f t="shared" si="25"/>
        <v>13686</v>
      </c>
      <c r="E42">
        <f t="shared" si="25"/>
        <v>19965</v>
      </c>
      <c r="F42">
        <f t="shared" si="25"/>
        <v>11561</v>
      </c>
      <c r="G42">
        <f t="shared" si="25"/>
        <v>10044</v>
      </c>
      <c r="H42">
        <f t="shared" si="25"/>
        <v>13686</v>
      </c>
      <c r="I42">
        <f t="shared" si="25"/>
        <v>22236</v>
      </c>
      <c r="J42">
        <f t="shared" si="25"/>
        <v>11249</v>
      </c>
      <c r="K42">
        <f t="shared" si="25"/>
        <v>11253</v>
      </c>
      <c r="L42">
        <f t="shared" si="25"/>
        <v>12673</v>
      </c>
      <c r="M42">
        <f t="shared" si="25"/>
        <v>28755</v>
      </c>
      <c r="N42">
        <f t="shared" si="25"/>
        <v>23630</v>
      </c>
      <c r="O42">
        <f t="shared" si="25"/>
        <v>21744</v>
      </c>
      <c r="P42">
        <f t="shared" si="25"/>
        <v>20551</v>
      </c>
      <c r="Q42">
        <f t="shared" si="25"/>
        <v>34630</v>
      </c>
      <c r="R42">
        <f t="shared" si="25"/>
        <v>25010</v>
      </c>
      <c r="S42">
        <f t="shared" si="25"/>
        <v>19442</v>
      </c>
      <c r="T42">
        <f t="shared" si="25"/>
        <v>20721</v>
      </c>
      <c r="U42">
        <f t="shared" si="25"/>
        <v>29998</v>
      </c>
      <c r="V42">
        <f t="shared" si="25"/>
        <v>24160</v>
      </c>
      <c r="W42">
        <f t="shared" si="25"/>
        <v>19881</v>
      </c>
    </row>
    <row r="45" spans="1:54" x14ac:dyDescent="0.25">
      <c r="A45" t="s">
        <v>398</v>
      </c>
      <c r="E45">
        <v>3395</v>
      </c>
      <c r="F45">
        <v>6435</v>
      </c>
      <c r="G45">
        <v>9368</v>
      </c>
      <c r="H45">
        <v>12547</v>
      </c>
      <c r="I45">
        <v>2816</v>
      </c>
      <c r="J45">
        <v>5602</v>
      </c>
      <c r="K45">
        <v>8354</v>
      </c>
      <c r="L45">
        <v>11056</v>
      </c>
      <c r="M45">
        <v>2666</v>
      </c>
      <c r="N45">
        <v>5463</v>
      </c>
      <c r="O45">
        <v>8295</v>
      </c>
      <c r="P45">
        <v>11284</v>
      </c>
      <c r="Q45">
        <v>2697</v>
      </c>
      <c r="R45">
        <v>5434</v>
      </c>
      <c r="S45">
        <v>8239</v>
      </c>
      <c r="T45">
        <v>11104</v>
      </c>
      <c r="U45">
        <v>2916</v>
      </c>
      <c r="V45">
        <v>5814</v>
      </c>
      <c r="W45">
        <v>8866</v>
      </c>
    </row>
    <row r="46" spans="1:54" x14ac:dyDescent="0.25">
      <c r="A46" t="s">
        <v>399</v>
      </c>
      <c r="E46">
        <v>1559</v>
      </c>
      <c r="F46">
        <v>3073</v>
      </c>
      <c r="G46">
        <v>4569</v>
      </c>
      <c r="H46">
        <v>6068</v>
      </c>
      <c r="I46">
        <v>1710</v>
      </c>
      <c r="J46">
        <v>3407</v>
      </c>
      <c r="K46">
        <v>5105</v>
      </c>
      <c r="L46">
        <v>6829</v>
      </c>
      <c r="M46">
        <v>2020</v>
      </c>
      <c r="N46">
        <v>4001</v>
      </c>
      <c r="O46">
        <v>5961</v>
      </c>
      <c r="P46">
        <v>7906</v>
      </c>
      <c r="Q46">
        <v>2265</v>
      </c>
      <c r="R46">
        <v>4517</v>
      </c>
      <c r="S46">
        <v>6760</v>
      </c>
      <c r="T46">
        <v>9038</v>
      </c>
      <c r="U46">
        <v>2905</v>
      </c>
      <c r="V46">
        <v>5591</v>
      </c>
      <c r="W46">
        <v>8208</v>
      </c>
    </row>
    <row r="47" spans="1:54" x14ac:dyDescent="0.25">
      <c r="A47" t="s">
        <v>400</v>
      </c>
      <c r="E47">
        <v>1318</v>
      </c>
      <c r="F47">
        <v>1037</v>
      </c>
      <c r="G47">
        <v>2325</v>
      </c>
      <c r="H47">
        <v>2036</v>
      </c>
      <c r="I47">
        <v>1377</v>
      </c>
      <c r="J47">
        <v>1136</v>
      </c>
      <c r="K47">
        <v>2804</v>
      </c>
      <c r="L47">
        <v>2754</v>
      </c>
      <c r="M47">
        <v>2861</v>
      </c>
      <c r="N47">
        <v>3160</v>
      </c>
      <c r="O47">
        <v>5855</v>
      </c>
      <c r="P47">
        <v>6556</v>
      </c>
      <c r="Q47">
        <v>2888</v>
      </c>
      <c r="R47">
        <v>3218</v>
      </c>
      <c r="S47">
        <v>5915</v>
      </c>
      <c r="T47">
        <v>6223</v>
      </c>
      <c r="U47">
        <v>2316</v>
      </c>
      <c r="V47">
        <v>2734</v>
      </c>
      <c r="W47">
        <v>5119</v>
      </c>
    </row>
    <row r="48" spans="1:54" x14ac:dyDescent="0.25">
      <c r="A48" t="s">
        <v>118</v>
      </c>
      <c r="E48">
        <v>3355</v>
      </c>
      <c r="F48">
        <v>5718</v>
      </c>
      <c r="G48">
        <v>7718</v>
      </c>
      <c r="H48">
        <v>10495</v>
      </c>
      <c r="I48">
        <v>2107</v>
      </c>
      <c r="J48">
        <v>3960</v>
      </c>
      <c r="K48">
        <v>5525</v>
      </c>
      <c r="L48">
        <v>7309</v>
      </c>
      <c r="M48">
        <v>3500</v>
      </c>
      <c r="N48">
        <v>5769</v>
      </c>
      <c r="O48">
        <v>7862</v>
      </c>
      <c r="P48">
        <v>11085</v>
      </c>
      <c r="Q48">
        <v>2803</v>
      </c>
      <c r="R48">
        <v>5317</v>
      </c>
      <c r="S48">
        <v>7419</v>
      </c>
      <c r="T48">
        <v>10708</v>
      </c>
      <c r="U48">
        <v>3787</v>
      </c>
      <c r="V48">
        <v>6703</v>
      </c>
      <c r="W48">
        <v>8796</v>
      </c>
    </row>
    <row r="49" spans="1:29" x14ac:dyDescent="0.25">
      <c r="A49" t="s">
        <v>401</v>
      </c>
      <c r="E49">
        <v>3568</v>
      </c>
      <c r="F49">
        <v>7011</v>
      </c>
      <c r="G49">
        <v>10640</v>
      </c>
      <c r="H49">
        <v>14119</v>
      </c>
      <c r="I49">
        <v>3539</v>
      </c>
      <c r="J49">
        <v>6914</v>
      </c>
      <c r="K49">
        <v>10570</v>
      </c>
      <c r="L49">
        <v>14081</v>
      </c>
      <c r="M49">
        <v>3613</v>
      </c>
      <c r="N49">
        <v>7060</v>
      </c>
      <c r="O49">
        <v>10827</v>
      </c>
      <c r="P49">
        <v>14467</v>
      </c>
      <c r="Q49">
        <v>3732</v>
      </c>
      <c r="R49">
        <v>7327</v>
      </c>
      <c r="S49">
        <v>11138</v>
      </c>
      <c r="T49">
        <v>14841</v>
      </c>
      <c r="U49">
        <v>3768</v>
      </c>
      <c r="V49">
        <v>7418</v>
      </c>
      <c r="W49">
        <v>11267</v>
      </c>
    </row>
    <row r="50" spans="1:29" x14ac:dyDescent="0.25">
      <c r="A50" t="s">
        <v>402</v>
      </c>
      <c r="E50">
        <v>8796</v>
      </c>
      <c r="F50">
        <v>32498</v>
      </c>
      <c r="G50">
        <v>49463</v>
      </c>
      <c r="H50">
        <v>66897</v>
      </c>
      <c r="I50">
        <v>20706</v>
      </c>
      <c r="J50">
        <v>39280</v>
      </c>
      <c r="K50">
        <v>55171</v>
      </c>
      <c r="L50">
        <v>72358</v>
      </c>
      <c r="M50">
        <v>24775</v>
      </c>
      <c r="N50">
        <v>43323</v>
      </c>
      <c r="O50">
        <v>66223</v>
      </c>
      <c r="P50">
        <v>85971</v>
      </c>
      <c r="Q50">
        <v>20478</v>
      </c>
      <c r="R50">
        <v>43109</v>
      </c>
      <c r="S50">
        <v>64974</v>
      </c>
      <c r="T50">
        <v>89402</v>
      </c>
      <c r="U50">
        <v>19475</v>
      </c>
      <c r="V50">
        <v>39069</v>
      </c>
      <c r="W50">
        <v>56547</v>
      </c>
    </row>
    <row r="52" spans="1:29" x14ac:dyDescent="0.25">
      <c r="A52" t="s">
        <v>398</v>
      </c>
      <c r="E52">
        <f>E45</f>
        <v>3395</v>
      </c>
      <c r="F52">
        <f t="shared" ref="F52" si="26">F45-E45</f>
        <v>3040</v>
      </c>
      <c r="G52">
        <f t="shared" ref="G52" si="27">G45-F45</f>
        <v>2933</v>
      </c>
      <c r="H52">
        <f t="shared" ref="H52" si="28">H45-G45</f>
        <v>3179</v>
      </c>
      <c r="I52">
        <f>I45</f>
        <v>2816</v>
      </c>
      <c r="J52">
        <f t="shared" ref="J52:K52" si="29">J45-I45</f>
        <v>2786</v>
      </c>
      <c r="K52">
        <f t="shared" si="29"/>
        <v>2752</v>
      </c>
      <c r="L52">
        <f>L45-K45</f>
        <v>2702</v>
      </c>
      <c r="M52">
        <f>M45</f>
        <v>2666</v>
      </c>
      <c r="N52">
        <f>N45-M45</f>
        <v>2797</v>
      </c>
      <c r="O52">
        <f>O45-N45</f>
        <v>2832</v>
      </c>
      <c r="P52">
        <f>P45-O45</f>
        <v>2989</v>
      </c>
      <c r="Q52">
        <f>Q45</f>
        <v>2697</v>
      </c>
      <c r="R52">
        <f>R45-Q45</f>
        <v>2737</v>
      </c>
      <c r="S52">
        <f>S45-R45</f>
        <v>2805</v>
      </c>
      <c r="T52">
        <f>T45-S45</f>
        <v>2865</v>
      </c>
      <c r="U52">
        <f>U45</f>
        <v>2916</v>
      </c>
      <c r="V52">
        <f>V45-U45</f>
        <v>2898</v>
      </c>
      <c r="W52">
        <f>W45-V45</f>
        <v>3052</v>
      </c>
      <c r="X52">
        <v>3262</v>
      </c>
      <c r="Z52">
        <f>SUM(E52:H52)</f>
        <v>12547</v>
      </c>
      <c r="AA52">
        <f>SUM(I52:L52)</f>
        <v>11056</v>
      </c>
      <c r="AB52">
        <f>SUM(M52:P52)</f>
        <v>11284</v>
      </c>
      <c r="AC52">
        <f>SUM(Q52:T52)</f>
        <v>11104</v>
      </c>
    </row>
    <row r="53" spans="1:29" x14ac:dyDescent="0.25">
      <c r="A53" t="s">
        <v>399</v>
      </c>
      <c r="E53">
        <f t="shared" ref="E53:E57" si="30">E46</f>
        <v>1559</v>
      </c>
      <c r="F53">
        <f t="shared" ref="F53" si="31">F46-E46</f>
        <v>1514</v>
      </c>
      <c r="G53">
        <f t="shared" ref="G53" si="32">G46-F46</f>
        <v>1496</v>
      </c>
      <c r="H53">
        <f t="shared" ref="H53" si="33">H46-G46</f>
        <v>1499</v>
      </c>
      <c r="I53">
        <f t="shared" ref="I53:I57" si="34">I46</f>
        <v>1710</v>
      </c>
      <c r="J53">
        <f t="shared" ref="J53:L57" si="35">J46-I46</f>
        <v>1697</v>
      </c>
      <c r="K53">
        <f t="shared" si="35"/>
        <v>1698</v>
      </c>
      <c r="L53">
        <f t="shared" si="35"/>
        <v>1724</v>
      </c>
      <c r="M53">
        <f t="shared" ref="M53:M57" si="36">M46</f>
        <v>2020</v>
      </c>
      <c r="N53">
        <f t="shared" ref="N53:P53" si="37">N46-M46</f>
        <v>1981</v>
      </c>
      <c r="O53">
        <f t="shared" si="37"/>
        <v>1960</v>
      </c>
      <c r="P53">
        <f t="shared" si="37"/>
        <v>1945</v>
      </c>
      <c r="Q53">
        <f t="shared" ref="Q53:Q57" si="38">Q46</f>
        <v>2265</v>
      </c>
      <c r="R53">
        <f t="shared" ref="R53:T53" si="39">R46-Q46</f>
        <v>2252</v>
      </c>
      <c r="S53">
        <f t="shared" si="39"/>
        <v>2243</v>
      </c>
      <c r="T53">
        <f t="shared" si="39"/>
        <v>2278</v>
      </c>
      <c r="U53">
        <f t="shared" ref="U53:U57" si="40">U46</f>
        <v>2905</v>
      </c>
      <c r="V53">
        <f t="shared" ref="V53:W53" si="41">V46-U46</f>
        <v>2686</v>
      </c>
      <c r="W53">
        <f t="shared" si="41"/>
        <v>2617</v>
      </c>
      <c r="Z53">
        <f t="shared" ref="Z53:Z57" si="42">SUM(E53:H53)</f>
        <v>6068</v>
      </c>
      <c r="AA53">
        <f t="shared" ref="AA53:AA57" si="43">SUM(I53:L53)</f>
        <v>6829</v>
      </c>
      <c r="AB53">
        <f t="shared" ref="AB53:AB57" si="44">SUM(M53:P53)</f>
        <v>7906</v>
      </c>
      <c r="AC53">
        <f t="shared" ref="AC53:AC57" si="45">SUM(Q53:T53)</f>
        <v>9038</v>
      </c>
    </row>
    <row r="54" spans="1:29" x14ac:dyDescent="0.25">
      <c r="A54" t="s">
        <v>400</v>
      </c>
      <c r="E54">
        <f t="shared" si="30"/>
        <v>1318</v>
      </c>
      <c r="F54">
        <f t="shared" ref="F54" si="46">F47-E47</f>
        <v>-281</v>
      </c>
      <c r="G54">
        <f t="shared" ref="G54" si="47">G47-F47</f>
        <v>1288</v>
      </c>
      <c r="H54">
        <f t="shared" ref="H54" si="48">H47-G47</f>
        <v>-289</v>
      </c>
      <c r="I54">
        <f t="shared" si="34"/>
        <v>1377</v>
      </c>
      <c r="J54">
        <f t="shared" si="35"/>
        <v>-241</v>
      </c>
      <c r="K54">
        <f t="shared" si="35"/>
        <v>1668</v>
      </c>
      <c r="L54">
        <f t="shared" si="35"/>
        <v>-50</v>
      </c>
      <c r="M54">
        <f t="shared" si="36"/>
        <v>2861</v>
      </c>
      <c r="N54">
        <f t="shared" ref="N54:P54" si="49">N47-M47</f>
        <v>299</v>
      </c>
      <c r="O54">
        <f t="shared" si="49"/>
        <v>2695</v>
      </c>
      <c r="P54">
        <f t="shared" si="49"/>
        <v>701</v>
      </c>
      <c r="Q54">
        <f t="shared" si="38"/>
        <v>2888</v>
      </c>
      <c r="R54">
        <f t="shared" ref="R54:T54" si="50">R47-Q47</f>
        <v>330</v>
      </c>
      <c r="S54">
        <f t="shared" si="50"/>
        <v>2697</v>
      </c>
      <c r="T54">
        <f t="shared" si="50"/>
        <v>308</v>
      </c>
      <c r="U54">
        <f t="shared" si="40"/>
        <v>2316</v>
      </c>
      <c r="V54">
        <f t="shared" ref="V54:W54" si="51">V47-U47</f>
        <v>418</v>
      </c>
      <c r="W54">
        <f t="shared" si="51"/>
        <v>2385</v>
      </c>
      <c r="Z54">
        <f t="shared" si="42"/>
        <v>2036</v>
      </c>
      <c r="AA54">
        <f t="shared" si="43"/>
        <v>2754</v>
      </c>
      <c r="AB54">
        <f t="shared" si="44"/>
        <v>6556</v>
      </c>
      <c r="AC54">
        <f t="shared" si="45"/>
        <v>6223</v>
      </c>
    </row>
    <row r="55" spans="1:29" x14ac:dyDescent="0.25">
      <c r="A55" t="s">
        <v>118</v>
      </c>
      <c r="E55">
        <f t="shared" si="30"/>
        <v>3355</v>
      </c>
      <c r="F55">
        <f t="shared" ref="F55" si="52">F48-E48</f>
        <v>2363</v>
      </c>
      <c r="G55">
        <f t="shared" ref="G55" si="53">G48-F48</f>
        <v>2000</v>
      </c>
      <c r="H55">
        <f t="shared" ref="H55" si="54">H48-G48</f>
        <v>2777</v>
      </c>
      <c r="I55">
        <f t="shared" si="34"/>
        <v>2107</v>
      </c>
      <c r="J55">
        <f t="shared" si="35"/>
        <v>1853</v>
      </c>
      <c r="K55">
        <f t="shared" si="35"/>
        <v>1565</v>
      </c>
      <c r="L55">
        <f t="shared" si="35"/>
        <v>1784</v>
      </c>
      <c r="M55">
        <f t="shared" si="36"/>
        <v>3500</v>
      </c>
      <c r="N55">
        <f t="shared" ref="N55:P55" si="55">N48-M48</f>
        <v>2269</v>
      </c>
      <c r="O55">
        <f t="shared" si="55"/>
        <v>2093</v>
      </c>
      <c r="P55">
        <f t="shared" si="55"/>
        <v>3223</v>
      </c>
      <c r="Q55">
        <f t="shared" si="38"/>
        <v>2803</v>
      </c>
      <c r="R55">
        <f t="shared" ref="R55:T55" si="56">R48-Q48</f>
        <v>2514</v>
      </c>
      <c r="S55">
        <f t="shared" si="56"/>
        <v>2102</v>
      </c>
      <c r="T55">
        <f t="shared" si="56"/>
        <v>3289</v>
      </c>
      <c r="U55">
        <f t="shared" si="40"/>
        <v>3787</v>
      </c>
      <c r="V55">
        <f t="shared" ref="V55:W55" si="57">V48-U48</f>
        <v>2916</v>
      </c>
      <c r="W55">
        <f t="shared" si="57"/>
        <v>2093</v>
      </c>
      <c r="Z55">
        <f t="shared" si="42"/>
        <v>10495</v>
      </c>
      <c r="AA55">
        <f t="shared" si="43"/>
        <v>7309</v>
      </c>
      <c r="AB55">
        <f t="shared" si="44"/>
        <v>11085</v>
      </c>
      <c r="AC55">
        <f t="shared" si="45"/>
        <v>10708</v>
      </c>
    </row>
    <row r="56" spans="1:29" x14ac:dyDescent="0.25">
      <c r="A56" t="s">
        <v>401</v>
      </c>
      <c r="E56">
        <f t="shared" si="30"/>
        <v>3568</v>
      </c>
      <c r="F56">
        <f t="shared" ref="F56" si="58">F49-E49</f>
        <v>3443</v>
      </c>
      <c r="G56">
        <f t="shared" ref="G56" si="59">G49-F49</f>
        <v>3629</v>
      </c>
      <c r="H56">
        <f t="shared" ref="H56" si="60">H49-G49</f>
        <v>3479</v>
      </c>
      <c r="I56">
        <f t="shared" si="34"/>
        <v>3539</v>
      </c>
      <c r="J56">
        <f t="shared" si="35"/>
        <v>3375</v>
      </c>
      <c r="K56">
        <f t="shared" si="35"/>
        <v>3656</v>
      </c>
      <c r="L56">
        <f t="shared" si="35"/>
        <v>3511</v>
      </c>
      <c r="M56">
        <f t="shared" si="36"/>
        <v>3613</v>
      </c>
      <c r="N56">
        <f t="shared" ref="N56:P56" si="61">N49-M49</f>
        <v>3447</v>
      </c>
      <c r="O56">
        <f t="shared" si="61"/>
        <v>3767</v>
      </c>
      <c r="P56">
        <f t="shared" si="61"/>
        <v>3640</v>
      </c>
      <c r="Q56">
        <f t="shared" si="38"/>
        <v>3732</v>
      </c>
      <c r="R56">
        <f t="shared" ref="R56:T56" si="62">R49-Q49</f>
        <v>3595</v>
      </c>
      <c r="S56">
        <f t="shared" si="62"/>
        <v>3811</v>
      </c>
      <c r="T56">
        <f t="shared" si="62"/>
        <v>3703</v>
      </c>
      <c r="U56">
        <f t="shared" si="40"/>
        <v>3768</v>
      </c>
      <c r="V56">
        <f t="shared" ref="V56:W56" si="63">V49-U49</f>
        <v>3650</v>
      </c>
      <c r="W56">
        <f t="shared" si="63"/>
        <v>3849</v>
      </c>
      <c r="Z56">
        <f t="shared" si="42"/>
        <v>14119</v>
      </c>
      <c r="AA56">
        <f t="shared" si="43"/>
        <v>14081</v>
      </c>
      <c r="AB56">
        <f t="shared" si="44"/>
        <v>14467</v>
      </c>
      <c r="AC56">
        <f t="shared" si="45"/>
        <v>14841</v>
      </c>
    </row>
    <row r="57" spans="1:29" x14ac:dyDescent="0.25">
      <c r="A57" t="s">
        <v>402</v>
      </c>
      <c r="E57">
        <f t="shared" si="30"/>
        <v>8796</v>
      </c>
      <c r="F57">
        <f t="shared" ref="F57" si="64">F50-E50</f>
        <v>23702</v>
      </c>
      <c r="G57">
        <f t="shared" ref="G57" si="65">G50-F50</f>
        <v>16965</v>
      </c>
      <c r="H57">
        <f t="shared" ref="H57" si="66">H50-G50</f>
        <v>17434</v>
      </c>
      <c r="I57">
        <f t="shared" si="34"/>
        <v>20706</v>
      </c>
      <c r="J57">
        <f>J50-I50</f>
        <v>18574</v>
      </c>
      <c r="K57">
        <f t="shared" si="35"/>
        <v>15891</v>
      </c>
      <c r="L57">
        <f t="shared" si="35"/>
        <v>17187</v>
      </c>
      <c r="M57">
        <f t="shared" si="36"/>
        <v>24775</v>
      </c>
      <c r="N57">
        <f t="shared" ref="N57:P57" si="67">N50-M50</f>
        <v>18548</v>
      </c>
      <c r="O57">
        <f t="shared" si="67"/>
        <v>22900</v>
      </c>
      <c r="P57">
        <f t="shared" si="67"/>
        <v>19748</v>
      </c>
      <c r="Q57">
        <f t="shared" si="38"/>
        <v>20478</v>
      </c>
      <c r="R57">
        <f t="shared" ref="R57:T57" si="68">R50-Q50</f>
        <v>22631</v>
      </c>
      <c r="S57">
        <f t="shared" si="68"/>
        <v>21865</v>
      </c>
      <c r="T57">
        <f t="shared" si="68"/>
        <v>24428</v>
      </c>
      <c r="U57">
        <f t="shared" si="40"/>
        <v>19475</v>
      </c>
      <c r="V57">
        <f t="shared" ref="V57:W57" si="69">V50-U50</f>
        <v>19594</v>
      </c>
      <c r="W57">
        <f t="shared" si="69"/>
        <v>17478</v>
      </c>
      <c r="Z57">
        <f t="shared" si="42"/>
        <v>66897</v>
      </c>
      <c r="AA57">
        <f t="shared" si="43"/>
        <v>72358</v>
      </c>
      <c r="AB57">
        <f t="shared" si="44"/>
        <v>85971</v>
      </c>
      <c r="AC57">
        <f t="shared" si="45"/>
        <v>89402</v>
      </c>
    </row>
    <row r="63" spans="1:29" x14ac:dyDescent="0.25">
      <c r="J63">
        <v>-1</v>
      </c>
    </row>
  </sheetData>
  <phoneticPr fontId="7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235e0e40c567e6394453f2090fab65a6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be2affa39fb2f3cdc665ba7b2e6a6e47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B3ED4-AE09-4A5F-AFD9-51C7AB8401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F95F15-C902-4F29-BCC3-173A7BFB5290}">
  <ds:schemaRefs>
    <ds:schemaRef ds:uri="6ba73c8a-1af7-4183-b158-1cd1291da2b6"/>
    <ds:schemaRef ds:uri="8c89d0e4-a8d9-42ba-a773-c59a56f7723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206C075-38B2-4794-9284-163FF9CCD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a73c8a-1af7-4183-b158-1cd1291da2b6"/>
    <ds:schemaRef ds:uri="8c89d0e4-a8d9-42ba-a773-c59a56f77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11</vt:i4>
      </vt:variant>
      <vt:variant>
        <vt:lpstr>Intervalos com Nome</vt:lpstr>
      </vt:variant>
      <vt:variant>
        <vt:i4>2</vt:i4>
      </vt:variant>
    </vt:vector>
  </HeadingPairs>
  <TitlesOfParts>
    <vt:vector size="13" baseType="lpstr">
      <vt:lpstr>OP</vt:lpstr>
      <vt:lpstr>COVID-19 impact</vt:lpstr>
      <vt:lpstr>Segments</vt:lpstr>
      <vt:lpstr>Peers</vt:lpstr>
      <vt:lpstr>Acuerdo</vt:lpstr>
      <vt:lpstr>ESG</vt:lpstr>
      <vt:lpstr>DCF</vt:lpstr>
      <vt:lpstr>DCFF</vt:lpstr>
      <vt:lpstr>Cifras_en_Millones</vt:lpstr>
      <vt:lpstr>Cifras_Originales</vt:lpstr>
      <vt:lpstr>Q</vt:lpstr>
      <vt:lpstr>Cifras_en_Millones!Área_de_Impressão</vt:lpstr>
      <vt:lpstr>OP!Área_de_Impressão</vt:lpstr>
    </vt:vector>
  </TitlesOfParts>
  <Company>HIL CONSULTORES, S.C.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E. HERNANDEZ P.</dc:creator>
  <cp:lastModifiedBy>THOR CORDEIRO ALVES PINTO</cp:lastModifiedBy>
  <cp:lastPrinted>2019-08-19T22:45:59Z</cp:lastPrinted>
  <dcterms:created xsi:type="dcterms:W3CDTF">2000-04-19T14:51:26Z</dcterms:created>
  <dcterms:modified xsi:type="dcterms:W3CDTF">2025-02-11T11:36:31Z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