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omments6.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mc:AlternateContent xmlns:mc="http://schemas.openxmlformats.org/markup-compatibility/2006">
    <mc:Choice Requires="x15">
      <x15ac:absPath xmlns:x15ac="http://schemas.microsoft.com/office/spreadsheetml/2010/11/ac" url="https://phdisegutl.sharepoint.com/sites/LIS-GENERAL-SecuritiesResearch/Shared Documents/Securities Research/One Pagers/24-25/4th cycle/Team 3 (Daniel Cruz)/"/>
    </mc:Choice>
  </mc:AlternateContent>
  <xr:revisionPtr revIDLastSave="4515" documentId="11_ACEC97DE5A4321A612194BFFC2F50950DC1BDF3B" xr6:coauthVersionLast="47" xr6:coauthVersionMax="47" xr10:uidLastSave="{1929F536-CA43-4ED4-B9C5-41EB8A5E6DAC}"/>
  <bookViews>
    <workbookView xWindow="-120" yWindow="-120" windowWidth="29040" windowHeight="15840" tabRatio="644" activeTab="1" xr2:uid="{00000000-000D-0000-FFFF-FFFF00000000}"/>
  </bookViews>
  <sheets>
    <sheet name="OP" sheetId="1" r:id="rId1"/>
    <sheet name="Segments" sheetId="3" r:id="rId2"/>
    <sheet name="COVID-19 impact" sheetId="12" state="hidden" r:id="rId3"/>
    <sheet name="Peers" sheetId="10" r:id="rId4"/>
    <sheet name="Acuerdo" sheetId="11" state="hidden" r:id="rId5"/>
    <sheet name="ESG" sheetId="7" r:id="rId6"/>
    <sheet name="DCF" sheetId="4" state="hidden" r:id="rId7"/>
    <sheet name="DCFF" sheetId="16" r:id="rId8"/>
    <sheet name="Cifras_en_Millones" sheetId="17" r:id="rId9"/>
    <sheet name="Cifras_Originales" sheetId="18" r:id="rId10"/>
    <sheet name="Q" sheetId="19" r:id="rId11"/>
  </sheets>
  <externalReferences>
    <externalReference r:id="rId12"/>
  </externalReferences>
  <definedNames>
    <definedName name="Benchmark">[1]ControlsH!$B$3</definedName>
    <definedName name="BestConsOv">#REF!</definedName>
    <definedName name="Broker_Name">OFFSET(#REF!,0,0,[1]ControlsH!$E$5, 1)</definedName>
    <definedName name="calCODE">[1]ControlsH!$C$4</definedName>
    <definedName name="Chart_Benchmark_100_Size">OFFSET(#REF!, 0, 0, [1]ControlsH!$E$3, 1)</definedName>
    <definedName name="Chart_Date_Size">OFFSET(#REF!, 0, 0, [1]ControlsH!$E$3, 1)</definedName>
    <definedName name="Chart_Date_VAL1_Size">OFFSET(#REF!, 0, 0, [1]ControlsH!$I$3, 1)</definedName>
    <definedName name="Chart_Date_VAL2_Size">OFFSET(#REF!, 0, 0, [1]ControlsH!$I$5, 1)</definedName>
    <definedName name="Chart_Peer_100_Size">OFFSET(#REF!, 0, 0, [1]ControlsH!$E$3, 1)</definedName>
    <definedName name="Chart_Price_100_Size">OFFSET(#REF!, 0, 0, [1]ControlsH!$E$3, 1)</definedName>
    <definedName name="Chart_Price_Size">OFFSET(#REF!, 0, 0, [1]ControlsH!$E$3, 1)</definedName>
    <definedName name="Chart_VAL1_FY1_Size">OFFSET(#REF!, 0, 0, [1]ControlsH!$F$3, 1)</definedName>
    <definedName name="Chart_VAL1_FY2_Size">OFFSET(#REF!, 0, 0, [1]ControlsH!$G$3, 1)</definedName>
    <definedName name="Chart_VAL1_FY3_Size">OFFSET(#REF!, 0, 0, [1]ControlsH!$H$3, 1)</definedName>
    <definedName name="Chart_VAL2_FY1_Size">OFFSET(#REF!, 0, 0, [1]ControlsH!$F$5, 1)</definedName>
    <definedName name="Chart_VAL2_FY2_Size">OFFSET(#REF!, 0, 0, [1]ControlsH!$G$5, 1)</definedName>
    <definedName name="Chart_VAL2_FY3_Size">OFFSET(#REF!, 0, 0, [1]ControlsH!$H$5, 1)</definedName>
    <definedName name="Chart_Volume_Size">OFFSET(#REF!, 0, 0, [1]ControlsH!$E$3, 1)</definedName>
    <definedName name="compNAME">[1]ControlsH!$B$6</definedName>
    <definedName name="CURRENCY">[1]ControlsH!$B$9</definedName>
    <definedName name="currPRICE">[1]Overview!$E$19</definedName>
    <definedName name="custBenchmark">[1]Overview!$C$9</definedName>
    <definedName name="custED">#REF!</definedName>
    <definedName name="custSD">#REF!</definedName>
    <definedName name="dayCODE">[1]ControlsH!$C$5</definedName>
    <definedName name="ED">[1]ControlsH!$B$5</definedName>
    <definedName name="ESTBrokersItem">#REF!</definedName>
    <definedName name="ESTBrokersPeriod">#REF!</definedName>
    <definedName name="ESTDetailBroker">#REF!</definedName>
    <definedName name="ESTDetailBroker2">#REF!</definedName>
    <definedName name="ESTDetailPeriod">#REF!</definedName>
    <definedName name="EstDetPerO">#REF!</definedName>
    <definedName name="EstDetPerT">#REF!</definedName>
    <definedName name="FinancialsPeriod">#REF!</definedName>
    <definedName name="fundTICKER">[1]ControlsH!$B$15</definedName>
    <definedName name="GraphValRatio1">#REF!</definedName>
    <definedName name="GraphValRatio2">#REF!</definedName>
    <definedName name="Index1">#REF!</definedName>
    <definedName name="Lang">[1]Overview!$D$11</definedName>
    <definedName name="newCrncy">[1]ControlsH!$B$21:$B$199</definedName>
    <definedName name="newEstBrokerPeriod">#REF!</definedName>
    <definedName name="newEstBrokersItem">#REF!</definedName>
    <definedName name="newEstDetailBroker">#REF!</definedName>
    <definedName name="newEstDetailBroker2">#REF!</definedName>
    <definedName name="newEstDetailPeriod">#REF!</definedName>
    <definedName name="newFinancialsPeriod">#REF!</definedName>
    <definedName name="newOverviewCon">#REF!</definedName>
    <definedName name="newOverviewYear">#REF!</definedName>
    <definedName name="newOwners">#REF!</definedName>
    <definedName name="newPeersRatio">#REF!</definedName>
    <definedName name="newPeriod">#REF!</definedName>
    <definedName name="newValRatio1">#REF!</definedName>
    <definedName name="newValRatio2">#REF!</definedName>
    <definedName name="OverviewValRatioPeriod">[1]Overview!$D$30</definedName>
    <definedName name="PeerDate1">[1]Peers!$S$11</definedName>
    <definedName name="peerHist1">#REF!</definedName>
    <definedName name="PeerIndex">[1]ControlsH!$F$35:$F$36</definedName>
    <definedName name="Peers">OFFSET([1]Peers!$C$18,0,0,MAX(COUNTA([1]Peers!$C$18:$C$47),1),1)</definedName>
    <definedName name="peersWEIGHT">[1]ControlsH!$B$13</definedName>
    <definedName name="PERIODICITY">[1]ControlsH!$C$3</definedName>
    <definedName name="_xlnm.Print_Area" localSheetId="8">Cifras_en_Millones!$A$1:$L$88</definedName>
    <definedName name="_xlnm.Print_Area" localSheetId="0">OP!$A$1:$M$53</definedName>
    <definedName name="_xlnm.Print_Area" localSheetId="1">Segments!#REF!</definedName>
    <definedName name="salesGEOG">OFFSET([1]Overview!$W$16, 0, 0,#REF!, 1)</definedName>
    <definedName name="salesPROD">OFFSET([1]Overview!$Q$16, 0, 0,#REF!, 1)</definedName>
    <definedName name="SD">[1]ControlsH!$B$4</definedName>
    <definedName name="shBroker1">#REF!</definedName>
    <definedName name="shBrokerRange">#REF!</definedName>
    <definedName name="shOverviewYear">#REF!</definedName>
    <definedName name="shPeer1">#REF!</definedName>
    <definedName name="shPeerRange">#REF!</definedName>
    <definedName name="shPeersDate1">#REF!</definedName>
    <definedName name="Slicer_State">#N/A</definedName>
    <definedName name="startingDate">#REF!</definedName>
    <definedName name="Target_Price">OFFSET(#REF!,0,0,[1]ControlsH!$E$5, 1)</definedName>
    <definedName name="TICKER">[1]Overview!$D$8</definedName>
    <definedName name="Top20OwnerType">[1]Owners!$E$24</definedName>
    <definedName name="ViewConsolidatedOrParent">[1]Overview!$O$13</definedName>
    <definedName name="ViewYear">[1]Overview!$U$13</definedName>
    <definedName name="YTDdt">[1]ControlsH!$G$34</definedName>
  </definedNames>
  <calcPr calcId="191029"/>
  <pivotCaches>
    <pivotCache cacheId="0" r:id="rId13"/>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4" i="18" l="1"/>
  <c r="B38" i="18"/>
  <c r="B39" i="18"/>
  <c r="B34" i="18"/>
  <c r="B12" i="18"/>
  <c r="T17" i="18"/>
  <c r="T16" i="18"/>
  <c r="T15" i="18"/>
  <c r="T14" i="18"/>
  <c r="T11" i="18"/>
  <c r="T10" i="18"/>
  <c r="B19" i="18"/>
  <c r="B20" i="18" s="1"/>
  <c r="B26" i="18"/>
  <c r="Q22" i="16"/>
  <c r="R22" i="16"/>
  <c r="S22" i="16"/>
  <c r="T22" i="16"/>
  <c r="U22" i="16"/>
  <c r="V22" i="16"/>
  <c r="W22" i="16"/>
  <c r="X22" i="16"/>
  <c r="Y22" i="16"/>
  <c r="Z22" i="16"/>
  <c r="AA22" i="16"/>
  <c r="AB22" i="16"/>
  <c r="AC22" i="16"/>
  <c r="AD22" i="16"/>
  <c r="AE22" i="16"/>
  <c r="AF22" i="16"/>
  <c r="N22" i="16"/>
  <c r="O22" i="16"/>
  <c r="P22" i="16"/>
  <c r="M22" i="16"/>
  <c r="L22" i="16"/>
  <c r="H22" i="16"/>
  <c r="I22" i="16"/>
  <c r="J22" i="16"/>
  <c r="K22" i="16"/>
  <c r="G7" i="16"/>
  <c r="H38" i="16"/>
  <c r="B16" i="10"/>
  <c r="B17" i="10"/>
  <c r="I29" i="16"/>
  <c r="J29" i="16" s="1"/>
  <c r="K29" i="16" s="1"/>
  <c r="L29" i="16" s="1"/>
  <c r="M29" i="16" s="1"/>
  <c r="N29" i="16" s="1"/>
  <c r="O29" i="16" s="1"/>
  <c r="P29" i="16" s="1"/>
  <c r="Q29" i="16" s="1"/>
  <c r="R29" i="16" s="1"/>
  <c r="S29" i="16" s="1"/>
  <c r="T29" i="16" s="1"/>
  <c r="U29" i="16" s="1"/>
  <c r="V29" i="16" s="1"/>
  <c r="W29" i="16" s="1"/>
  <c r="X29" i="16" s="1"/>
  <c r="Y29" i="16" s="1"/>
  <c r="Z29" i="16" s="1"/>
  <c r="AA29" i="16" s="1"/>
  <c r="AB29" i="16" s="1"/>
  <c r="AC29" i="16" s="1"/>
  <c r="AD29" i="16" s="1"/>
  <c r="AE29" i="16" s="1"/>
  <c r="AF29" i="16" s="1"/>
  <c r="H29" i="16"/>
  <c r="D47" i="16"/>
  <c r="G30" i="16"/>
  <c r="D21" i="16"/>
  <c r="AO13" i="16"/>
  <c r="AO15" i="16" s="1"/>
  <c r="AP14" i="16"/>
  <c r="AQ14" i="16"/>
  <c r="AR14" i="16"/>
  <c r="AS14" i="16"/>
  <c r="AM15" i="16"/>
  <c r="AM17" i="16" s="1"/>
  <c r="AN15" i="16"/>
  <c r="AP15" i="16"/>
  <c r="AQ15" i="16"/>
  <c r="AR15" i="16"/>
  <c r="AS15" i="16"/>
  <c r="AP16" i="16"/>
  <c r="H8" i="16"/>
  <c r="I6" i="16"/>
  <c r="J6" i="16" s="1"/>
  <c r="H6" i="16"/>
  <c r="H20" i="16" s="1"/>
  <c r="AI6" i="16"/>
  <c r="AI8" i="16" s="1"/>
  <c r="AJ6" i="16"/>
  <c r="AK6" i="16"/>
  <c r="AL6" i="16"/>
  <c r="AM6" i="16"/>
  <c r="AN6" i="16"/>
  <c r="AO6" i="16"/>
  <c r="AP6" i="16"/>
  <c r="AI7" i="16" s="1"/>
  <c r="AQ6" i="16"/>
  <c r="AR6" i="16"/>
  <c r="AS6" i="16"/>
  <c r="E21" i="16"/>
  <c r="F21" i="16"/>
  <c r="G21" i="16"/>
  <c r="D24" i="16"/>
  <c r="E24" i="16"/>
  <c r="F24" i="16"/>
  <c r="G24" i="16"/>
  <c r="E30" i="16"/>
  <c r="F30" i="16"/>
  <c r="D7" i="16"/>
  <c r="E7" i="16"/>
  <c r="F7" i="16"/>
  <c r="D11" i="16"/>
  <c r="E11" i="16"/>
  <c r="F11" i="16"/>
  <c r="G11" i="16"/>
  <c r="D14" i="16"/>
  <c r="E14" i="16"/>
  <c r="F14" i="16"/>
  <c r="F16" i="16" s="1"/>
  <c r="G14" i="16"/>
  <c r="G16" i="16" s="1"/>
  <c r="D16" i="16"/>
  <c r="E16" i="16"/>
  <c r="C20" i="3"/>
  <c r="C19" i="3"/>
  <c r="C18" i="3"/>
  <c r="C17" i="3"/>
  <c r="K6" i="16" l="1"/>
  <c r="J10" i="16"/>
  <c r="J19" i="16" s="1"/>
  <c r="J8" i="16"/>
  <c r="J20" i="16"/>
  <c r="J12" i="16"/>
  <c r="H10" i="16"/>
  <c r="H19" i="16" s="1"/>
  <c r="I12" i="16"/>
  <c r="H12" i="16"/>
  <c r="I20" i="16"/>
  <c r="I8" i="16"/>
  <c r="I10" i="16"/>
  <c r="I19" i="16" s="1"/>
  <c r="E187" i="3" a="1"/>
  <c r="E187" i="3" s="1"/>
  <c r="E191" i="3" s="1"/>
  <c r="D187" i="3" a="1"/>
  <c r="D187" i="3" s="1"/>
  <c r="D191" i="3" s="1"/>
  <c r="D211" i="3"/>
  <c r="E211" i="3" s="1"/>
  <c r="F211" i="3" s="1"/>
  <c r="C191" i="3"/>
  <c r="F191" i="3"/>
  <c r="D197" i="3"/>
  <c r="E197" i="3" s="1"/>
  <c r="F197" i="3" s="1"/>
  <c r="H197" i="3"/>
  <c r="I197" i="3" s="1"/>
  <c r="J197" i="3" s="1"/>
  <c r="K197" i="3" s="1"/>
  <c r="L197" i="3" s="1"/>
  <c r="C206" i="3"/>
  <c r="C203" i="3" s="1"/>
  <c r="F206" i="3"/>
  <c r="F199" i="3" s="1"/>
  <c r="G206" i="3"/>
  <c r="H206" i="3"/>
  <c r="I206" i="3"/>
  <c r="J206" i="3"/>
  <c r="H13" i="16" l="1"/>
  <c r="H14" i="16" s="1"/>
  <c r="H15" i="16" s="1"/>
  <c r="H24" i="16"/>
  <c r="H9" i="16"/>
  <c r="H11" i="16" s="1"/>
  <c r="J24" i="16"/>
  <c r="J13" i="16"/>
  <c r="J14" i="16" s="1"/>
  <c r="J15" i="16" s="1"/>
  <c r="J9" i="16"/>
  <c r="J11" i="16" s="1"/>
  <c r="I24" i="16"/>
  <c r="I13" i="16"/>
  <c r="I14" i="16" s="1"/>
  <c r="I15" i="16" s="1"/>
  <c r="I9" i="16"/>
  <c r="I11" i="16" s="1"/>
  <c r="L6" i="16"/>
  <c r="K8" i="16"/>
  <c r="K10" i="16"/>
  <c r="K19" i="16" s="1"/>
  <c r="K20" i="16"/>
  <c r="K12" i="16"/>
  <c r="J207" i="3"/>
  <c r="I207" i="3"/>
  <c r="H207" i="3"/>
  <c r="C201" i="3"/>
  <c r="F205" i="3"/>
  <c r="F201" i="3"/>
  <c r="G207" i="3"/>
  <c r="C205" i="3"/>
  <c r="C199" i="3"/>
  <c r="F203" i="3"/>
  <c r="E206" i="3"/>
  <c r="E203" i="3" s="1"/>
  <c r="D206" i="3"/>
  <c r="D205" i="3" s="1"/>
  <c r="D26" i="1"/>
  <c r="E26" i="1"/>
  <c r="G26" i="1"/>
  <c r="I26" i="1"/>
  <c r="D33" i="16"/>
  <c r="H26" i="1"/>
  <c r="J18" i="16" l="1"/>
  <c r="J21" i="16" s="1"/>
  <c r="H16" i="16"/>
  <c r="I18" i="16"/>
  <c r="I21" i="16" s="1"/>
  <c r="K13" i="16"/>
  <c r="K14" i="16" s="1"/>
  <c r="K15" i="16" s="1"/>
  <c r="K9" i="16"/>
  <c r="K11" i="16" s="1"/>
  <c r="K24" i="16"/>
  <c r="M6" i="16"/>
  <c r="L20" i="16"/>
  <c r="L10" i="16"/>
  <c r="L19" i="16" s="1"/>
  <c r="L8" i="16"/>
  <c r="L12" i="16"/>
  <c r="K206" i="3"/>
  <c r="K207" i="3" s="1"/>
  <c r="G202" i="3"/>
  <c r="G204" i="3"/>
  <c r="G198" i="3"/>
  <c r="G200" i="3"/>
  <c r="D201" i="3"/>
  <c r="D203" i="3"/>
  <c r="E201" i="3"/>
  <c r="E205" i="3"/>
  <c r="E199" i="3"/>
  <c r="D199" i="3"/>
  <c r="C11" i="1"/>
  <c r="E21" i="3"/>
  <c r="J16" i="16" l="1"/>
  <c r="J27" i="16" s="1"/>
  <c r="I16" i="16"/>
  <c r="I28" i="16" s="1"/>
  <c r="H18" i="16"/>
  <c r="H21" i="16" s="1"/>
  <c r="H32" i="16" s="1"/>
  <c r="K18" i="16"/>
  <c r="K21" i="16" s="1"/>
  <c r="H27" i="16"/>
  <c r="H28" i="16"/>
  <c r="M12" i="16"/>
  <c r="M20" i="16"/>
  <c r="M8" i="16"/>
  <c r="N6" i="16"/>
  <c r="M10" i="16"/>
  <c r="M19" i="16" s="1"/>
  <c r="L206" i="3"/>
  <c r="L207" i="3" s="1"/>
  <c r="L9" i="16"/>
  <c r="L11" i="16" s="1"/>
  <c r="L13" i="16"/>
  <c r="L14" i="16" s="1"/>
  <c r="L15" i="16" s="1"/>
  <c r="L24" i="16"/>
  <c r="G208" i="3"/>
  <c r="H20" i="3"/>
  <c r="H19" i="3"/>
  <c r="H18" i="3"/>
  <c r="H17" i="3"/>
  <c r="D34" i="18"/>
  <c r="J28" i="16" l="1"/>
  <c r="K16" i="16"/>
  <c r="K28" i="16" s="1"/>
  <c r="I27" i="16"/>
  <c r="L16" i="16"/>
  <c r="N12" i="16"/>
  <c r="N20" i="16"/>
  <c r="N8" i="16"/>
  <c r="O6" i="16"/>
  <c r="N10" i="16"/>
  <c r="N19" i="16" s="1"/>
  <c r="M13" i="16"/>
  <c r="M14" i="16" s="1"/>
  <c r="M15" i="16" s="1"/>
  <c r="M24" i="16"/>
  <c r="M9" i="16"/>
  <c r="M11" i="16" s="1"/>
  <c r="J30" i="16"/>
  <c r="H33" i="16"/>
  <c r="H30" i="16"/>
  <c r="I30" i="16"/>
  <c r="C19" i="18"/>
  <c r="C21" i="17"/>
  <c r="K27" i="16" l="1"/>
  <c r="L18" i="16"/>
  <c r="L21" i="16" s="1"/>
  <c r="N13" i="16"/>
  <c r="N24" i="16"/>
  <c r="N9" i="16"/>
  <c r="N11" i="16" s="1"/>
  <c r="N14" i="16"/>
  <c r="N15" i="16" s="1"/>
  <c r="M18" i="16"/>
  <c r="M21" i="16" s="1"/>
  <c r="O12" i="16"/>
  <c r="O20" i="16"/>
  <c r="P6" i="16"/>
  <c r="O10" i="16"/>
  <c r="O19" i="16" s="1"/>
  <c r="O8" i="16"/>
  <c r="K30" i="16"/>
  <c r="L27" i="16"/>
  <c r="L28" i="16"/>
  <c r="D5" i="18"/>
  <c r="D2" i="18"/>
  <c r="I22" i="3"/>
  <c r="I23" i="3"/>
  <c r="I24" i="3"/>
  <c r="I25" i="3"/>
  <c r="I26" i="3"/>
  <c r="I9" i="3"/>
  <c r="I10" i="3"/>
  <c r="I11" i="3"/>
  <c r="I12" i="3"/>
  <c r="I13" i="3"/>
  <c r="F8" i="1"/>
  <c r="F15" i="1"/>
  <c r="F16" i="1"/>
  <c r="F17" i="1"/>
  <c r="F18" i="1"/>
  <c r="C9" i="1"/>
  <c r="C12" i="1" s="1"/>
  <c r="L30" i="16" l="1"/>
  <c r="M16" i="16"/>
  <c r="O24" i="16"/>
  <c r="O9" i="16"/>
  <c r="O11" i="16" s="1"/>
  <c r="O13" i="16"/>
  <c r="O14" i="16" s="1"/>
  <c r="O15" i="16" s="1"/>
  <c r="P12" i="16"/>
  <c r="P20" i="16"/>
  <c r="Q6" i="16"/>
  <c r="P10" i="16"/>
  <c r="P19" i="16" s="1"/>
  <c r="P8" i="16"/>
  <c r="N18" i="16"/>
  <c r="N21" i="16" s="1"/>
  <c r="B11" i="10"/>
  <c r="O16" i="16" l="1"/>
  <c r="N16" i="16"/>
  <c r="P24" i="16"/>
  <c r="P9" i="16"/>
  <c r="P11" i="16" s="1"/>
  <c r="P13" i="16"/>
  <c r="P14" i="16" s="1"/>
  <c r="P15" i="16" s="1"/>
  <c r="R6" i="16"/>
  <c r="Q12" i="16"/>
  <c r="Q20" i="16"/>
  <c r="Q10" i="16"/>
  <c r="Q19" i="16" s="1"/>
  <c r="Q8" i="16"/>
  <c r="M28" i="16"/>
  <c r="M27" i="16"/>
  <c r="I3" i="16"/>
  <c r="J3" i="16" s="1"/>
  <c r="K3" i="16" s="1"/>
  <c r="L3" i="16" s="1"/>
  <c r="M3" i="16" s="1"/>
  <c r="N3" i="16" s="1"/>
  <c r="O3" i="16" s="1"/>
  <c r="P3" i="16" s="1"/>
  <c r="Q3" i="16" s="1"/>
  <c r="R3" i="16" s="1"/>
  <c r="S3" i="16" s="1"/>
  <c r="T3" i="16" s="1"/>
  <c r="U3" i="16" s="1"/>
  <c r="V3" i="16" s="1"/>
  <c r="W3" i="16" s="1"/>
  <c r="X3" i="16" s="1"/>
  <c r="Y3" i="16" s="1"/>
  <c r="Z3" i="16" s="1"/>
  <c r="AA3" i="16" s="1"/>
  <c r="AB3" i="16" s="1"/>
  <c r="AC3" i="16" s="1"/>
  <c r="AD3" i="16" s="1"/>
  <c r="AE3" i="16" s="1"/>
  <c r="AF3" i="16" s="1"/>
  <c r="AC38" i="19"/>
  <c r="AB38" i="19"/>
  <c r="AA38" i="19"/>
  <c r="Z38" i="19"/>
  <c r="AC41" i="19"/>
  <c r="AB41" i="19"/>
  <c r="AA41" i="19"/>
  <c r="Z41" i="19"/>
  <c r="C25" i="19"/>
  <c r="C36" i="19" s="1"/>
  <c r="D25" i="19"/>
  <c r="D36" i="19" s="1"/>
  <c r="E25" i="19"/>
  <c r="E36" i="19" s="1"/>
  <c r="F25" i="19"/>
  <c r="F36" i="19" s="1"/>
  <c r="G25" i="19"/>
  <c r="G36" i="19" s="1"/>
  <c r="H25" i="19"/>
  <c r="H36" i="19" s="1"/>
  <c r="I25" i="19"/>
  <c r="I36" i="19" s="1"/>
  <c r="J25" i="19"/>
  <c r="J36" i="19" s="1"/>
  <c r="K25" i="19"/>
  <c r="K36" i="19" s="1"/>
  <c r="L25" i="19"/>
  <c r="L36" i="19" s="1"/>
  <c r="M25" i="19"/>
  <c r="M36" i="19" s="1"/>
  <c r="N25" i="19"/>
  <c r="N36" i="19" s="1"/>
  <c r="O25" i="19"/>
  <c r="O36" i="19" s="1"/>
  <c r="P25" i="19"/>
  <c r="P36" i="19" s="1"/>
  <c r="Q25" i="19"/>
  <c r="Q36" i="19" s="1"/>
  <c r="R25" i="19"/>
  <c r="R36" i="19" s="1"/>
  <c r="S25" i="19"/>
  <c r="S36" i="19" s="1"/>
  <c r="T25" i="19"/>
  <c r="T36" i="19" s="1"/>
  <c r="U25" i="19"/>
  <c r="U36" i="19" s="1"/>
  <c r="V25" i="19"/>
  <c r="V36" i="19" s="1"/>
  <c r="W25" i="19"/>
  <c r="X25" i="19"/>
  <c r="X36" i="19" s="1"/>
  <c r="AD34" i="19"/>
  <c r="AC34" i="19"/>
  <c r="AB34" i="19"/>
  <c r="AA34" i="19"/>
  <c r="Z34" i="19"/>
  <c r="AD33" i="19"/>
  <c r="AC33" i="19"/>
  <c r="AB33" i="19"/>
  <c r="AA33" i="19"/>
  <c r="Z33" i="19"/>
  <c r="AD31" i="19"/>
  <c r="AC31" i="19"/>
  <c r="AB31" i="19"/>
  <c r="AA31" i="19"/>
  <c r="Z31" i="19"/>
  <c r="AD30" i="19"/>
  <c r="AC30" i="19"/>
  <c r="AB30" i="19"/>
  <c r="AA30" i="19"/>
  <c r="Z30" i="19"/>
  <c r="AF5" i="19"/>
  <c r="AG5" i="19" s="1"/>
  <c r="AH5" i="19" s="1"/>
  <c r="AI5" i="19" s="1"/>
  <c r="AJ5" i="19" s="1"/>
  <c r="AK5" i="19" s="1"/>
  <c r="AL5" i="19" s="1"/>
  <c r="AM5" i="19" s="1"/>
  <c r="AN5" i="19" s="1"/>
  <c r="AO5" i="19" s="1"/>
  <c r="AP5" i="19" s="1"/>
  <c r="AQ5" i="19" s="1"/>
  <c r="AR5" i="19" s="1"/>
  <c r="AS5" i="19" s="1"/>
  <c r="AT5" i="19" s="1"/>
  <c r="AU5" i="19" s="1"/>
  <c r="AV5" i="19" s="1"/>
  <c r="AW5" i="19" s="1"/>
  <c r="AX5" i="19" s="1"/>
  <c r="AY5" i="19" s="1"/>
  <c r="AZ5" i="19" s="1"/>
  <c r="BA5" i="19" s="1"/>
  <c r="BB5" i="19" s="1"/>
  <c r="AF6" i="19"/>
  <c r="Z27" i="19"/>
  <c r="AA27" i="19"/>
  <c r="Z26" i="19"/>
  <c r="AA26" i="19"/>
  <c r="AB27" i="19"/>
  <c r="AB26" i="19"/>
  <c r="AC27" i="19"/>
  <c r="AC26" i="19"/>
  <c r="AD27" i="19"/>
  <c r="AE27" i="19" s="1"/>
  <c r="AD26" i="19"/>
  <c r="AE26" i="19" s="1"/>
  <c r="C40" i="19"/>
  <c r="C42" i="19" s="1"/>
  <c r="D40" i="19"/>
  <c r="D42" i="19" s="1"/>
  <c r="E53" i="19"/>
  <c r="E54" i="19"/>
  <c r="E55" i="19"/>
  <c r="E56" i="19"/>
  <c r="E57" i="19"/>
  <c r="E52" i="19"/>
  <c r="I53" i="19"/>
  <c r="I54" i="19"/>
  <c r="I55" i="19"/>
  <c r="I56" i="19"/>
  <c r="I57" i="19"/>
  <c r="I52" i="19"/>
  <c r="J57" i="19"/>
  <c r="F57" i="19"/>
  <c r="F56" i="19"/>
  <c r="F55" i="19"/>
  <c r="F54" i="19"/>
  <c r="F53" i="19"/>
  <c r="F52" i="19"/>
  <c r="G57" i="19"/>
  <c r="G56" i="19"/>
  <c r="G55" i="19"/>
  <c r="G54" i="19"/>
  <c r="G53" i="19"/>
  <c r="G52" i="19"/>
  <c r="H57" i="19"/>
  <c r="H56" i="19"/>
  <c r="H55" i="19"/>
  <c r="H54" i="19"/>
  <c r="H53" i="19"/>
  <c r="H52" i="19"/>
  <c r="J52" i="19"/>
  <c r="K52" i="19"/>
  <c r="J53" i="19"/>
  <c r="K53" i="19"/>
  <c r="J54" i="19"/>
  <c r="K54" i="19"/>
  <c r="J55" i="19"/>
  <c r="K55" i="19"/>
  <c r="J56" i="19"/>
  <c r="K56" i="19"/>
  <c r="K57" i="19"/>
  <c r="L53" i="19"/>
  <c r="L54" i="19"/>
  <c r="L55" i="19"/>
  <c r="L56" i="19"/>
  <c r="L57" i="19"/>
  <c r="L52" i="19"/>
  <c r="E40" i="19"/>
  <c r="E42" i="19" s="1"/>
  <c r="I40" i="19"/>
  <c r="I42" i="19" s="1"/>
  <c r="F40" i="19"/>
  <c r="F42" i="19" s="1"/>
  <c r="J40" i="19"/>
  <c r="J42" i="19" s="1"/>
  <c r="G40" i="19"/>
  <c r="G42" i="19" s="1"/>
  <c r="K40" i="19"/>
  <c r="K42" i="19" s="1"/>
  <c r="H40" i="19"/>
  <c r="H42" i="19" s="1"/>
  <c r="L40" i="19"/>
  <c r="L42" i="19" s="1"/>
  <c r="M53" i="19"/>
  <c r="N53" i="19"/>
  <c r="O53" i="19"/>
  <c r="P53" i="19"/>
  <c r="M54" i="19"/>
  <c r="N54" i="19"/>
  <c r="O54" i="19"/>
  <c r="P54" i="19"/>
  <c r="M55" i="19"/>
  <c r="N55" i="19"/>
  <c r="O55" i="19"/>
  <c r="P55" i="19"/>
  <c r="M56" i="19"/>
  <c r="N56" i="19"/>
  <c r="O56" i="19"/>
  <c r="P56" i="19"/>
  <c r="M57" i="19"/>
  <c r="N57" i="19"/>
  <c r="O57" i="19"/>
  <c r="P57" i="19"/>
  <c r="M52" i="19"/>
  <c r="N52" i="19"/>
  <c r="O52" i="19"/>
  <c r="P52" i="19"/>
  <c r="M40" i="19"/>
  <c r="M42" i="19" s="1"/>
  <c r="N40" i="19"/>
  <c r="N42" i="19" s="1"/>
  <c r="O40" i="19"/>
  <c r="O42" i="19" s="1"/>
  <c r="Q53" i="19"/>
  <c r="R53" i="19"/>
  <c r="S53" i="19"/>
  <c r="T53" i="19"/>
  <c r="U53" i="19"/>
  <c r="V53" i="19"/>
  <c r="W53" i="19"/>
  <c r="Q54" i="19"/>
  <c r="R54" i="19"/>
  <c r="S54" i="19"/>
  <c r="T54" i="19"/>
  <c r="U54" i="19"/>
  <c r="V54" i="19"/>
  <c r="W54" i="19"/>
  <c r="Q55" i="19"/>
  <c r="R55" i="19"/>
  <c r="S55" i="19"/>
  <c r="T55" i="19"/>
  <c r="U55" i="19"/>
  <c r="V55" i="19"/>
  <c r="W55" i="19"/>
  <c r="Q56" i="19"/>
  <c r="R56" i="19"/>
  <c r="S56" i="19"/>
  <c r="T56" i="19"/>
  <c r="U56" i="19"/>
  <c r="V56" i="19"/>
  <c r="W56" i="19"/>
  <c r="Q57" i="19"/>
  <c r="R57" i="19"/>
  <c r="S57" i="19"/>
  <c r="T57" i="19"/>
  <c r="U57" i="19"/>
  <c r="V57" i="19"/>
  <c r="W57" i="19"/>
  <c r="W52" i="19"/>
  <c r="V52" i="19"/>
  <c r="U52" i="19"/>
  <c r="T52" i="19"/>
  <c r="S52" i="19"/>
  <c r="R52" i="19"/>
  <c r="Q52" i="19"/>
  <c r="AC52" i="19" s="1"/>
  <c r="P40" i="19"/>
  <c r="P42" i="19" s="1"/>
  <c r="T40" i="19"/>
  <c r="T42" i="19" s="1"/>
  <c r="Q40" i="19"/>
  <c r="Q42" i="19" s="1"/>
  <c r="U40" i="19"/>
  <c r="U42" i="19" s="1"/>
  <c r="V40" i="19"/>
  <c r="V42" i="19" s="1"/>
  <c r="R40" i="19"/>
  <c r="R42" i="19" s="1"/>
  <c r="S40" i="19"/>
  <c r="S42" i="19" s="1"/>
  <c r="W40" i="19"/>
  <c r="W42" i="19" s="1"/>
  <c r="C39" i="1"/>
  <c r="O18" i="16" l="1"/>
  <c r="O21" i="16" s="1"/>
  <c r="P16" i="16"/>
  <c r="P18" i="16"/>
  <c r="P21" i="16" s="1"/>
  <c r="O27" i="16"/>
  <c r="O28" i="16"/>
  <c r="Q24" i="16"/>
  <c r="Q9" i="16"/>
  <c r="Q11" i="16" s="1"/>
  <c r="Q13" i="16"/>
  <c r="Q14" i="16" s="1"/>
  <c r="Q15" i="16" s="1"/>
  <c r="N27" i="16"/>
  <c r="N28" i="16"/>
  <c r="R12" i="16"/>
  <c r="R20" i="16"/>
  <c r="S6" i="16"/>
  <c r="R10" i="16"/>
  <c r="R19" i="16" s="1"/>
  <c r="R8" i="16"/>
  <c r="M30" i="16"/>
  <c r="AB25" i="19"/>
  <c r="W36" i="19"/>
  <c r="U22" i="19"/>
  <c r="U21" i="19"/>
  <c r="Z10" i="19"/>
  <c r="AC54" i="19"/>
  <c r="AA57" i="19"/>
  <c r="Z55" i="19"/>
  <c r="AA55" i="19"/>
  <c r="AA22" i="19" s="1"/>
  <c r="AB56" i="19"/>
  <c r="AB54" i="19"/>
  <c r="AA54" i="19"/>
  <c r="AC25" i="19"/>
  <c r="AC19" i="19" s="1"/>
  <c r="AC56" i="19"/>
  <c r="AB55" i="19"/>
  <c r="AB22" i="19" s="1"/>
  <c r="AB53" i="19"/>
  <c r="Z52" i="19"/>
  <c r="Z53" i="19"/>
  <c r="AA52" i="19"/>
  <c r="AB52" i="19"/>
  <c r="AB19" i="19" s="1"/>
  <c r="AA53" i="19"/>
  <c r="AB36" i="19"/>
  <c r="AC55" i="19"/>
  <c r="AC53" i="19"/>
  <c r="Z57" i="19"/>
  <c r="AB57" i="19"/>
  <c r="Z54" i="19"/>
  <c r="AC57" i="19"/>
  <c r="AA56" i="19"/>
  <c r="Z56" i="19"/>
  <c r="Z40" i="19"/>
  <c r="Z17" i="19" s="1"/>
  <c r="AA40" i="19"/>
  <c r="AA17" i="19" s="1"/>
  <c r="AB40" i="19"/>
  <c r="AB17" i="19" s="1"/>
  <c r="AC40" i="19"/>
  <c r="AC17" i="19" s="1"/>
  <c r="AE25" i="19"/>
  <c r="AA25" i="19"/>
  <c r="AB12" i="19"/>
  <c r="AB13" i="19"/>
  <c r="Z25" i="19"/>
  <c r="AC9" i="19"/>
  <c r="AB10" i="19"/>
  <c r="AA9" i="19"/>
  <c r="AA10" i="19"/>
  <c r="AC10" i="19"/>
  <c r="Z9" i="19"/>
  <c r="AB9" i="19"/>
  <c r="AF27" i="19"/>
  <c r="AG6" i="19"/>
  <c r="AH6" i="19" s="1"/>
  <c r="AI6" i="19" s="1"/>
  <c r="AJ6" i="19" s="1"/>
  <c r="AK6" i="19" s="1"/>
  <c r="AL6" i="19" s="1"/>
  <c r="AM6" i="19" s="1"/>
  <c r="AN6" i="19" s="1"/>
  <c r="AO6" i="19" s="1"/>
  <c r="AP6" i="19" s="1"/>
  <c r="AQ6" i="19" s="1"/>
  <c r="AR6" i="19" s="1"/>
  <c r="AS6" i="19" s="1"/>
  <c r="AT6" i="19" s="1"/>
  <c r="AU6" i="19" s="1"/>
  <c r="AV6" i="19" s="1"/>
  <c r="AW6" i="19" s="1"/>
  <c r="AX6" i="19" s="1"/>
  <c r="AY6" i="19" s="1"/>
  <c r="AZ6" i="19" s="1"/>
  <c r="BA6" i="19" s="1"/>
  <c r="BB6" i="19" s="1"/>
  <c r="AD9" i="19"/>
  <c r="AE9" i="19" s="1"/>
  <c r="AD10" i="19"/>
  <c r="AE10" i="19" s="1"/>
  <c r="AF26" i="19"/>
  <c r="AD25" i="19"/>
  <c r="AD36" i="19" s="1"/>
  <c r="C42" i="1"/>
  <c r="C41" i="1"/>
  <c r="N37" i="1"/>
  <c r="D38" i="1"/>
  <c r="C38" i="1"/>
  <c r="N30" i="16" l="1"/>
  <c r="O30" i="16"/>
  <c r="P27" i="16"/>
  <c r="P28" i="16"/>
  <c r="S10" i="16"/>
  <c r="S19" i="16" s="1"/>
  <c r="S8" i="16"/>
  <c r="S12" i="16"/>
  <c r="T6" i="16"/>
  <c r="S20" i="16"/>
  <c r="Q18" i="16"/>
  <c r="Q21" i="16" s="1"/>
  <c r="R24" i="16"/>
  <c r="R9" i="16"/>
  <c r="R11" i="16" s="1"/>
  <c r="R13" i="16"/>
  <c r="R14" i="16" s="1"/>
  <c r="R15" i="16" s="1"/>
  <c r="AC36" i="19"/>
  <c r="AC22" i="19"/>
  <c r="Z22" i="19"/>
  <c r="AC12" i="19"/>
  <c r="AA19" i="19"/>
  <c r="Z21" i="19"/>
  <c r="Z23" i="19" s="1"/>
  <c r="Z20" i="19"/>
  <c r="Z19" i="19"/>
  <c r="AC21" i="19"/>
  <c r="AC20" i="19"/>
  <c r="AB20" i="19"/>
  <c r="AB21" i="19"/>
  <c r="AB23" i="19" s="1"/>
  <c r="AA21" i="19"/>
  <c r="AA20" i="19"/>
  <c r="AC13" i="19"/>
  <c r="Z13" i="19"/>
  <c r="Z36" i="19"/>
  <c r="AA12" i="19"/>
  <c r="AA36" i="19"/>
  <c r="AA13" i="19"/>
  <c r="AD12" i="19"/>
  <c r="AE12" i="19" s="1"/>
  <c r="AD13" i="19"/>
  <c r="AE13" i="19" s="1"/>
  <c r="Z12" i="19"/>
  <c r="AF10" i="19"/>
  <c r="AE31" i="19"/>
  <c r="AF9" i="19"/>
  <c r="AE30" i="19"/>
  <c r="AF25" i="19"/>
  <c r="AG27" i="19"/>
  <c r="AH27" i="19" s="1"/>
  <c r="AI27" i="19" s="1"/>
  <c r="AJ27" i="19" s="1"/>
  <c r="AK27" i="19" s="1"/>
  <c r="AL27" i="19" s="1"/>
  <c r="AM27" i="19" s="1"/>
  <c r="AN27" i="19" s="1"/>
  <c r="AO27" i="19" s="1"/>
  <c r="AP27" i="19" s="1"/>
  <c r="AQ27" i="19" s="1"/>
  <c r="AR27" i="19" s="1"/>
  <c r="AS27" i="19" s="1"/>
  <c r="AT27" i="19" s="1"/>
  <c r="AU27" i="19" s="1"/>
  <c r="AV27" i="19" s="1"/>
  <c r="AW27" i="19" s="1"/>
  <c r="AX27" i="19" s="1"/>
  <c r="AY27" i="19" s="1"/>
  <c r="AZ27" i="19" s="1"/>
  <c r="BA27" i="19" s="1"/>
  <c r="BB27" i="19" s="1"/>
  <c r="AG26" i="19"/>
  <c r="AH26" i="19" s="1"/>
  <c r="B60" i="17"/>
  <c r="B59" i="17" s="1"/>
  <c r="B66" i="17"/>
  <c r="B56" i="17"/>
  <c r="B35" i="17"/>
  <c r="B36" i="17" s="1"/>
  <c r="B24" i="17"/>
  <c r="B19" i="17"/>
  <c r="B20" i="17" s="1"/>
  <c r="B16" i="17"/>
  <c r="B22" i="17" s="1"/>
  <c r="B12" i="17"/>
  <c r="B9" i="17"/>
  <c r="B10" i="17" s="1"/>
  <c r="B8" i="17"/>
  <c r="D67" i="16"/>
  <c r="D53" i="18"/>
  <c r="E53" i="18" s="1"/>
  <c r="D77" i="17" s="1"/>
  <c r="A52" i="18"/>
  <c r="A75" i="17" s="1"/>
  <c r="N39" i="18"/>
  <c r="N44" i="18" s="1"/>
  <c r="M39" i="18"/>
  <c r="M44" i="18" s="1"/>
  <c r="L39" i="18"/>
  <c r="L44" i="18" s="1"/>
  <c r="K39" i="18"/>
  <c r="K57" i="17" s="1"/>
  <c r="J39" i="18"/>
  <c r="J44" i="18" s="1"/>
  <c r="I39" i="18"/>
  <c r="I44" i="18" s="1"/>
  <c r="H39" i="18"/>
  <c r="H57" i="17" s="1"/>
  <c r="G39" i="18"/>
  <c r="G57" i="17" s="1"/>
  <c r="F39" i="18"/>
  <c r="F44" i="18" s="1"/>
  <c r="E39" i="18"/>
  <c r="E44" i="18" s="1"/>
  <c r="D39" i="18"/>
  <c r="D57" i="17" s="1"/>
  <c r="C39" i="18"/>
  <c r="C57" i="17" s="1"/>
  <c r="E8" i="1" s="1"/>
  <c r="N38" i="18"/>
  <c r="M38" i="18"/>
  <c r="M56" i="17" s="1"/>
  <c r="L38" i="18"/>
  <c r="L56" i="17" s="1"/>
  <c r="K38" i="18"/>
  <c r="K56" i="17" s="1"/>
  <c r="J38" i="18"/>
  <c r="J56" i="17" s="1"/>
  <c r="I38" i="18"/>
  <c r="I56" i="17" s="1"/>
  <c r="H38" i="18"/>
  <c r="H56" i="17" s="1"/>
  <c r="G38" i="18"/>
  <c r="G56" i="17" s="1"/>
  <c r="F38" i="18"/>
  <c r="E38" i="18"/>
  <c r="E56" i="17" s="1"/>
  <c r="D38" i="18"/>
  <c r="D56" i="17" s="1"/>
  <c r="C38" i="18"/>
  <c r="C56" i="17" s="1"/>
  <c r="N34" i="18"/>
  <c r="M34" i="18"/>
  <c r="M52" i="17" s="1"/>
  <c r="L34" i="18"/>
  <c r="L52" i="17" s="1"/>
  <c r="K34" i="18"/>
  <c r="K52" i="17" s="1"/>
  <c r="J34" i="18"/>
  <c r="J52" i="17" s="1"/>
  <c r="I34" i="18"/>
  <c r="I52" i="17" s="1"/>
  <c r="H34" i="18"/>
  <c r="H52" i="17" s="1"/>
  <c r="G34" i="18"/>
  <c r="G52" i="17" s="1"/>
  <c r="F34" i="18"/>
  <c r="F52" i="17" s="1"/>
  <c r="E34" i="18"/>
  <c r="E52" i="17" s="1"/>
  <c r="D52" i="17"/>
  <c r="C34" i="18"/>
  <c r="C52" i="17" s="1"/>
  <c r="N26" i="18"/>
  <c r="M26" i="18"/>
  <c r="M44" i="17" s="1"/>
  <c r="L26" i="18"/>
  <c r="L44" i="17" s="1"/>
  <c r="K26" i="18"/>
  <c r="K44" i="17" s="1"/>
  <c r="J26" i="18"/>
  <c r="J44" i="17" s="1"/>
  <c r="I26" i="18"/>
  <c r="I44" i="17" s="1"/>
  <c r="H26" i="18"/>
  <c r="H44" i="17" s="1"/>
  <c r="G26" i="18"/>
  <c r="G44" i="17" s="1"/>
  <c r="F26" i="18"/>
  <c r="F44" i="17" s="1"/>
  <c r="E26" i="18"/>
  <c r="E44" i="17" s="1"/>
  <c r="D26" i="18"/>
  <c r="D44" i="17" s="1"/>
  <c r="C26" i="18"/>
  <c r="C44" i="17" s="1"/>
  <c r="E12" i="1" s="1"/>
  <c r="N19" i="18"/>
  <c r="N20" i="18" s="1"/>
  <c r="M19" i="18"/>
  <c r="M20" i="18" s="1"/>
  <c r="I19" i="18"/>
  <c r="I20" i="18" s="1"/>
  <c r="H19" i="18"/>
  <c r="H20" i="18" s="1"/>
  <c r="J29" i="17"/>
  <c r="I29" i="17"/>
  <c r="AD16" i="18"/>
  <c r="AC16" i="18"/>
  <c r="AB16" i="18"/>
  <c r="AA16" i="18"/>
  <c r="Z16" i="18"/>
  <c r="Y16" i="18"/>
  <c r="X16" i="18"/>
  <c r="W16" i="18"/>
  <c r="V16" i="18"/>
  <c r="U16" i="18"/>
  <c r="M33" i="17"/>
  <c r="E33" i="17"/>
  <c r="L31" i="1" s="1"/>
  <c r="AE11" i="18"/>
  <c r="AD11" i="18"/>
  <c r="AC11" i="18"/>
  <c r="AB11" i="18"/>
  <c r="AA11" i="18"/>
  <c r="Z11" i="18"/>
  <c r="Y11" i="18"/>
  <c r="X11" i="18"/>
  <c r="W11" i="18"/>
  <c r="W15" i="18" s="1"/>
  <c r="V11" i="18"/>
  <c r="U11" i="18"/>
  <c r="AE10" i="18"/>
  <c r="AD10" i="18"/>
  <c r="AC10" i="18"/>
  <c r="AB10" i="18"/>
  <c r="AA10" i="18"/>
  <c r="Z10" i="18"/>
  <c r="Y10" i="18"/>
  <c r="X10" i="18"/>
  <c r="X14" i="18" s="1"/>
  <c r="W10" i="18"/>
  <c r="V10" i="18"/>
  <c r="U10" i="18"/>
  <c r="U9" i="18"/>
  <c r="L19" i="18"/>
  <c r="L20" i="18" s="1"/>
  <c r="K19" i="18"/>
  <c r="K20" i="18" s="1"/>
  <c r="J19" i="18"/>
  <c r="J20" i="18" s="1"/>
  <c r="G19" i="18"/>
  <c r="G20" i="18" s="1"/>
  <c r="E14" i="17"/>
  <c r="D14" i="17"/>
  <c r="E7" i="17"/>
  <c r="D7" i="17"/>
  <c r="E5" i="18"/>
  <c r="F5" i="18" s="1"/>
  <c r="H3" i="18"/>
  <c r="A1" i="17" s="1"/>
  <c r="E85" i="17"/>
  <c r="D85" i="17"/>
  <c r="C85" i="17"/>
  <c r="B85" i="17"/>
  <c r="A85" i="17"/>
  <c r="E84" i="17"/>
  <c r="D84" i="17"/>
  <c r="C84" i="17"/>
  <c r="B84" i="17"/>
  <c r="A84" i="17"/>
  <c r="E83" i="17"/>
  <c r="D83" i="17"/>
  <c r="C83" i="17"/>
  <c r="B83" i="17"/>
  <c r="A83" i="17"/>
  <c r="E82" i="17"/>
  <c r="D82" i="17"/>
  <c r="C82" i="17"/>
  <c r="B82" i="17"/>
  <c r="A82" i="17"/>
  <c r="A81" i="17"/>
  <c r="D79" i="17"/>
  <c r="C79" i="17"/>
  <c r="B79" i="17"/>
  <c r="A79" i="17"/>
  <c r="B78" i="17"/>
  <c r="A78" i="17"/>
  <c r="B77" i="17"/>
  <c r="IH75" i="17"/>
  <c r="M75" i="17"/>
  <c r="L75" i="17"/>
  <c r="K75" i="17"/>
  <c r="J75" i="17"/>
  <c r="I75" i="17"/>
  <c r="H75" i="17"/>
  <c r="G75" i="17"/>
  <c r="F75" i="17"/>
  <c r="E75" i="17"/>
  <c r="D75" i="17"/>
  <c r="C75" i="17"/>
  <c r="M74" i="17"/>
  <c r="L74" i="17"/>
  <c r="K74" i="17"/>
  <c r="J74" i="17"/>
  <c r="I74" i="17"/>
  <c r="H74" i="17"/>
  <c r="G74" i="17"/>
  <c r="F74" i="17"/>
  <c r="E74" i="17"/>
  <c r="D74" i="17"/>
  <c r="C74" i="17"/>
  <c r="M73" i="17"/>
  <c r="L73" i="17"/>
  <c r="K73" i="17"/>
  <c r="J73" i="17"/>
  <c r="I73" i="17"/>
  <c r="H73" i="17"/>
  <c r="G73" i="17"/>
  <c r="F73" i="17"/>
  <c r="E73" i="17"/>
  <c r="D73" i="17"/>
  <c r="C73" i="17"/>
  <c r="M72" i="17"/>
  <c r="L72" i="17"/>
  <c r="K72" i="17"/>
  <c r="J72" i="17"/>
  <c r="I72" i="17"/>
  <c r="H72" i="17"/>
  <c r="G72" i="17"/>
  <c r="F72" i="17"/>
  <c r="E72" i="17"/>
  <c r="D72" i="17"/>
  <c r="C72" i="17"/>
  <c r="M71" i="17"/>
  <c r="L71" i="17"/>
  <c r="K71" i="17"/>
  <c r="J71" i="17"/>
  <c r="I71" i="17"/>
  <c r="H71" i="17"/>
  <c r="G71" i="17"/>
  <c r="F71" i="17"/>
  <c r="E71" i="17"/>
  <c r="D71" i="17"/>
  <c r="C71" i="17"/>
  <c r="M70" i="17"/>
  <c r="L70" i="17"/>
  <c r="K70" i="17"/>
  <c r="J70" i="17"/>
  <c r="I70" i="17"/>
  <c r="H70" i="17"/>
  <c r="G70" i="17"/>
  <c r="F70" i="17"/>
  <c r="E70" i="17"/>
  <c r="D70" i="17"/>
  <c r="C70" i="17"/>
  <c r="M63" i="17"/>
  <c r="L63" i="17"/>
  <c r="K63" i="17"/>
  <c r="J63" i="17"/>
  <c r="I63" i="17"/>
  <c r="H63" i="17"/>
  <c r="G63" i="17"/>
  <c r="F63" i="17"/>
  <c r="E63" i="17"/>
  <c r="D63" i="17"/>
  <c r="C63" i="17"/>
  <c r="F57" i="17"/>
  <c r="E57" i="17"/>
  <c r="F56" i="17"/>
  <c r="M55" i="17"/>
  <c r="L55" i="17"/>
  <c r="K55" i="17"/>
  <c r="J55" i="17"/>
  <c r="I55" i="17"/>
  <c r="H55" i="17"/>
  <c r="G55" i="17"/>
  <c r="F55" i="17"/>
  <c r="E55" i="17"/>
  <c r="D55" i="17"/>
  <c r="C55" i="17"/>
  <c r="M54" i="17"/>
  <c r="L54" i="17"/>
  <c r="K54" i="17"/>
  <c r="J54" i="17"/>
  <c r="I54" i="17"/>
  <c r="H54" i="17"/>
  <c r="G54" i="17"/>
  <c r="F54" i="17"/>
  <c r="E54" i="17"/>
  <c r="D54" i="17"/>
  <c r="C54" i="17"/>
  <c r="M53" i="17"/>
  <c r="L53" i="17"/>
  <c r="K53" i="17"/>
  <c r="J53" i="17"/>
  <c r="I53" i="17"/>
  <c r="H53" i="17"/>
  <c r="G53" i="17"/>
  <c r="F53" i="17"/>
  <c r="E53" i="17"/>
  <c r="D53" i="17"/>
  <c r="C53" i="17"/>
  <c r="M51" i="17"/>
  <c r="L51" i="17"/>
  <c r="K51" i="17"/>
  <c r="J51" i="17"/>
  <c r="I51" i="17"/>
  <c r="H51" i="17"/>
  <c r="G51" i="17"/>
  <c r="F51" i="17"/>
  <c r="E51" i="17"/>
  <c r="D51" i="17"/>
  <c r="C51" i="17"/>
  <c r="M50" i="17"/>
  <c r="L50" i="17"/>
  <c r="K50" i="17"/>
  <c r="J50" i="17"/>
  <c r="I50" i="17"/>
  <c r="H50" i="17"/>
  <c r="G50" i="17"/>
  <c r="F50" i="17"/>
  <c r="E50" i="17"/>
  <c r="D50" i="17"/>
  <c r="C50" i="17"/>
  <c r="M49" i="17"/>
  <c r="L49" i="17"/>
  <c r="K49" i="17"/>
  <c r="J49" i="17"/>
  <c r="I49" i="17"/>
  <c r="H49" i="17"/>
  <c r="G49" i="17"/>
  <c r="F49" i="17"/>
  <c r="E49" i="17"/>
  <c r="D49" i="17"/>
  <c r="C49" i="17"/>
  <c r="M45" i="17"/>
  <c r="L45" i="17"/>
  <c r="K45" i="17"/>
  <c r="J45" i="17"/>
  <c r="I45" i="17"/>
  <c r="H45" i="17"/>
  <c r="G45" i="17"/>
  <c r="F45" i="17"/>
  <c r="E45" i="17"/>
  <c r="D45" i="17"/>
  <c r="C45" i="17"/>
  <c r="E7" i="1" s="1"/>
  <c r="M43" i="17"/>
  <c r="L43" i="17"/>
  <c r="K43" i="17"/>
  <c r="J43" i="17"/>
  <c r="I43" i="17"/>
  <c r="H43" i="17"/>
  <c r="G43" i="17"/>
  <c r="F43" i="17"/>
  <c r="E43" i="17"/>
  <c r="D43" i="17"/>
  <c r="C43" i="17"/>
  <c r="M42" i="17"/>
  <c r="L42" i="17"/>
  <c r="K42" i="17"/>
  <c r="J42" i="17"/>
  <c r="I42" i="17"/>
  <c r="H42" i="17"/>
  <c r="G42" i="17"/>
  <c r="F42" i="17"/>
  <c r="E42" i="17"/>
  <c r="D42" i="17"/>
  <c r="C42" i="17"/>
  <c r="M41" i="17"/>
  <c r="L41" i="17"/>
  <c r="K41" i="17"/>
  <c r="J41" i="17"/>
  <c r="I41" i="17"/>
  <c r="H41" i="17"/>
  <c r="G41" i="17"/>
  <c r="F41" i="17"/>
  <c r="E41" i="17"/>
  <c r="D41" i="17"/>
  <c r="C41" i="17"/>
  <c r="M40" i="17"/>
  <c r="M26" i="17" s="1"/>
  <c r="L40" i="17"/>
  <c r="K40" i="17"/>
  <c r="J40" i="17"/>
  <c r="I40" i="17"/>
  <c r="H40" i="17"/>
  <c r="G40" i="17"/>
  <c r="F40" i="17"/>
  <c r="E40" i="17"/>
  <c r="D40" i="17"/>
  <c r="C40" i="17"/>
  <c r="M34" i="17"/>
  <c r="L34" i="17"/>
  <c r="K34" i="17"/>
  <c r="J34" i="17"/>
  <c r="I34" i="17"/>
  <c r="H34" i="17"/>
  <c r="G34" i="17"/>
  <c r="F34" i="17"/>
  <c r="E34" i="17"/>
  <c r="D34" i="17"/>
  <c r="C34" i="17"/>
  <c r="L33" i="17"/>
  <c r="K33" i="17"/>
  <c r="J33" i="17"/>
  <c r="I33" i="17"/>
  <c r="H33" i="17"/>
  <c r="G33" i="17"/>
  <c r="F33" i="17"/>
  <c r="D33" i="17"/>
  <c r="K31" i="1" s="1"/>
  <c r="C33" i="17"/>
  <c r="M29" i="17"/>
  <c r="L29" i="17"/>
  <c r="K29" i="17"/>
  <c r="H29" i="17"/>
  <c r="G29" i="17"/>
  <c r="F29" i="17"/>
  <c r="E29" i="17"/>
  <c r="L34" i="1" s="1"/>
  <c r="D29" i="17"/>
  <c r="K34" i="1" s="1"/>
  <c r="C29" i="17"/>
  <c r="M27" i="17"/>
  <c r="L27" i="17"/>
  <c r="K27" i="17"/>
  <c r="J27" i="17"/>
  <c r="I27" i="17"/>
  <c r="H27" i="17"/>
  <c r="G27" i="17"/>
  <c r="F27" i="17"/>
  <c r="E27" i="17"/>
  <c r="L33" i="1" s="1"/>
  <c r="D27" i="17"/>
  <c r="K33" i="1" s="1"/>
  <c r="C27" i="17"/>
  <c r="B28" i="17" s="1"/>
  <c r="B37" i="17" s="1"/>
  <c r="M23" i="17"/>
  <c r="L23" i="17"/>
  <c r="K23" i="17"/>
  <c r="J23" i="17"/>
  <c r="I23" i="17"/>
  <c r="H23" i="17"/>
  <c r="G23" i="17"/>
  <c r="F23" i="17"/>
  <c r="E23" i="17"/>
  <c r="L27" i="1" s="1"/>
  <c r="D23" i="17"/>
  <c r="C23" i="17"/>
  <c r="E15" i="1" s="1"/>
  <c r="M21" i="17"/>
  <c r="L21" i="17"/>
  <c r="K21" i="17"/>
  <c r="J21" i="17"/>
  <c r="I21" i="17"/>
  <c r="H21" i="17"/>
  <c r="G21" i="17"/>
  <c r="F21" i="17"/>
  <c r="E21" i="17"/>
  <c r="D21" i="17"/>
  <c r="M18" i="17"/>
  <c r="K18" i="17"/>
  <c r="M17" i="17"/>
  <c r="H27" i="1" s="1"/>
  <c r="L17" i="17"/>
  <c r="H28" i="1" s="1"/>
  <c r="K17" i="17"/>
  <c r="H29" i="1" s="1"/>
  <c r="J17" i="17"/>
  <c r="H30" i="1" s="1"/>
  <c r="I17" i="17"/>
  <c r="H31" i="1" s="1"/>
  <c r="H17" i="17"/>
  <c r="H32" i="1" s="1"/>
  <c r="G17" i="17"/>
  <c r="H33" i="1" s="1"/>
  <c r="F17" i="17"/>
  <c r="H34" i="1" s="1"/>
  <c r="E17" i="17"/>
  <c r="H35" i="1" s="1"/>
  <c r="D17" i="17"/>
  <c r="C17" i="17"/>
  <c r="H37" i="1" s="1"/>
  <c r="M15" i="17"/>
  <c r="L15" i="17"/>
  <c r="K15" i="17"/>
  <c r="J15" i="17"/>
  <c r="I15" i="17"/>
  <c r="H15" i="17"/>
  <c r="G15" i="17"/>
  <c r="F15" i="17"/>
  <c r="E15" i="17"/>
  <c r="D15" i="17"/>
  <c r="C15" i="17"/>
  <c r="M14" i="17"/>
  <c r="K14" i="17"/>
  <c r="J14" i="17"/>
  <c r="I14" i="17"/>
  <c r="H14" i="17"/>
  <c r="G14" i="17"/>
  <c r="F14" i="17"/>
  <c r="C14" i="17"/>
  <c r="M11" i="17"/>
  <c r="D27" i="1" s="1"/>
  <c r="L11" i="17"/>
  <c r="D28" i="1" s="1"/>
  <c r="K11" i="17"/>
  <c r="D29" i="1" s="1"/>
  <c r="J11" i="17"/>
  <c r="D30" i="1" s="1"/>
  <c r="I11" i="17"/>
  <c r="D31" i="1" s="1"/>
  <c r="H11" i="17"/>
  <c r="D32" i="1" s="1"/>
  <c r="G11" i="17"/>
  <c r="D33" i="1" s="1"/>
  <c r="M7" i="17"/>
  <c r="L7" i="17"/>
  <c r="K7" i="17"/>
  <c r="J7" i="17"/>
  <c r="I7" i="17"/>
  <c r="H7" i="17"/>
  <c r="G7" i="17"/>
  <c r="F7" i="17"/>
  <c r="M5" i="17"/>
  <c r="L5" i="17"/>
  <c r="K5" i="17"/>
  <c r="J5" i="17"/>
  <c r="I5" i="17"/>
  <c r="H5" i="17"/>
  <c r="G5" i="17"/>
  <c r="F5" i="17"/>
  <c r="E5" i="17"/>
  <c r="D5" i="17"/>
  <c r="C5" i="17"/>
  <c r="D4" i="17"/>
  <c r="C4" i="17"/>
  <c r="A2" i="17"/>
  <c r="F3" i="16"/>
  <c r="F39" i="16" s="1"/>
  <c r="E3" i="16"/>
  <c r="D3" i="16"/>
  <c r="Z15" i="18" l="1"/>
  <c r="H36" i="1"/>
  <c r="J10" i="1"/>
  <c r="J11" i="1" s="1"/>
  <c r="B10" i="10" s="1"/>
  <c r="K27" i="1"/>
  <c r="J12" i="1"/>
  <c r="V15" i="18"/>
  <c r="L11" i="1"/>
  <c r="B9" i="10"/>
  <c r="B6" i="17"/>
  <c r="C27" i="3"/>
  <c r="C4" i="3"/>
  <c r="D27" i="3"/>
  <c r="D4" i="3"/>
  <c r="Q16" i="16"/>
  <c r="U6" i="16"/>
  <c r="T10" i="16"/>
  <c r="T19" i="16" s="1"/>
  <c r="T8" i="16"/>
  <c r="T12" i="16"/>
  <c r="T20" i="16"/>
  <c r="S24" i="16"/>
  <c r="S9" i="16"/>
  <c r="S11" i="16" s="1"/>
  <c r="S13" i="16"/>
  <c r="R18" i="16"/>
  <c r="R21" i="16" s="1"/>
  <c r="S14" i="16"/>
  <c r="S15" i="16" s="1"/>
  <c r="P30" i="16"/>
  <c r="AC15" i="18"/>
  <c r="L13" i="17"/>
  <c r="K44" i="18"/>
  <c r="E4" i="17"/>
  <c r="L57" i="17"/>
  <c r="L66" i="17" s="1"/>
  <c r="I26" i="17"/>
  <c r="I28" i="17"/>
  <c r="I30" i="17" s="1"/>
  <c r="F31" i="1" s="1"/>
  <c r="Y15" i="18"/>
  <c r="X15" i="18"/>
  <c r="Z14" i="18"/>
  <c r="Z17" i="18" s="1"/>
  <c r="H18" i="17" s="1"/>
  <c r="D44" i="18"/>
  <c r="U15" i="18"/>
  <c r="AA14" i="18"/>
  <c r="L60" i="17"/>
  <c r="L59" i="17" s="1"/>
  <c r="G28" i="1" s="1"/>
  <c r="J60" i="17"/>
  <c r="J59" i="17" s="1"/>
  <c r="G30" i="1" s="1"/>
  <c r="K60" i="17"/>
  <c r="K59" i="17" s="1"/>
  <c r="G29" i="1" s="1"/>
  <c r="C77" i="17"/>
  <c r="AD14" i="18"/>
  <c r="C44" i="18"/>
  <c r="AA23" i="19"/>
  <c r="F66" i="17"/>
  <c r="AC23" i="19"/>
  <c r="C60" i="17"/>
  <c r="G37" i="16" s="1"/>
  <c r="V14" i="18"/>
  <c r="AA15" i="18"/>
  <c r="X17" i="18"/>
  <c r="F12" i="18" s="1"/>
  <c r="F18" i="17" s="1"/>
  <c r="Y14" i="18"/>
  <c r="Y17" i="18" s="1"/>
  <c r="G18" i="17" s="1"/>
  <c r="AD15" i="18"/>
  <c r="D60" i="17"/>
  <c r="F37" i="16" s="1"/>
  <c r="I35" i="17"/>
  <c r="AB14" i="18"/>
  <c r="E60" i="17"/>
  <c r="E37" i="16" s="1"/>
  <c r="M60" i="17"/>
  <c r="M59" i="17" s="1"/>
  <c r="G27" i="1" s="1"/>
  <c r="F60" i="17"/>
  <c r="F61" i="17" s="1"/>
  <c r="G60" i="17"/>
  <c r="G59" i="17" s="1"/>
  <c r="G33" i="1" s="1"/>
  <c r="H60" i="17"/>
  <c r="H59" i="17" s="1"/>
  <c r="G32" i="1" s="1"/>
  <c r="I60" i="17"/>
  <c r="I61" i="17" s="1"/>
  <c r="J57" i="17"/>
  <c r="J66" i="17" s="1"/>
  <c r="I57" i="17"/>
  <c r="I66" i="17" s="1"/>
  <c r="M57" i="17"/>
  <c r="M66" i="17" s="1"/>
  <c r="G66" i="17"/>
  <c r="U14" i="18"/>
  <c r="AC14" i="18"/>
  <c r="J26" i="17"/>
  <c r="W14" i="18"/>
  <c r="W17" i="18" s="1"/>
  <c r="E12" i="18" s="1"/>
  <c r="E18" i="17" s="1"/>
  <c r="L29" i="1" s="1"/>
  <c r="AB15" i="18"/>
  <c r="B25" i="17"/>
  <c r="J17" i="1"/>
  <c r="H19" i="17"/>
  <c r="H20" i="17" s="1"/>
  <c r="AG25" i="19"/>
  <c r="AF13" i="19"/>
  <c r="AE34" i="19"/>
  <c r="AF12" i="19"/>
  <c r="AE33" i="19"/>
  <c r="AG9" i="19"/>
  <c r="AF30" i="19"/>
  <c r="AG10" i="19"/>
  <c r="AF31" i="19"/>
  <c r="AH25" i="19"/>
  <c r="AI26" i="19"/>
  <c r="F40" i="16"/>
  <c r="B26" i="17"/>
  <c r="B30" i="17" s="1"/>
  <c r="I6" i="17"/>
  <c r="H28" i="17"/>
  <c r="H37" i="17" s="1"/>
  <c r="E32" i="1" s="1"/>
  <c r="E8" i="17"/>
  <c r="B44" i="17"/>
  <c r="B61" i="17"/>
  <c r="M24" i="17"/>
  <c r="J19" i="17"/>
  <c r="J20" i="17" s="1"/>
  <c r="C35" i="17"/>
  <c r="D24" i="17"/>
  <c r="L24" i="17"/>
  <c r="M12" i="17"/>
  <c r="F25" i="17"/>
  <c r="H25" i="17"/>
  <c r="J9" i="17"/>
  <c r="J10" i="17" s="1"/>
  <c r="G26" i="17"/>
  <c r="D66" i="17"/>
  <c r="K35" i="17"/>
  <c r="F8" i="17"/>
  <c r="G19" i="17"/>
  <c r="G20" i="17" s="1"/>
  <c r="F35" i="17"/>
  <c r="L26" i="17"/>
  <c r="H6" i="17"/>
  <c r="H8" i="17"/>
  <c r="J25" i="17"/>
  <c r="H35" i="17"/>
  <c r="E26" i="17"/>
  <c r="H9" i="17"/>
  <c r="H10" i="17" s="1"/>
  <c r="G8" i="17"/>
  <c r="I9" i="17"/>
  <c r="I10" i="17" s="1"/>
  <c r="G12" i="17"/>
  <c r="I24" i="17"/>
  <c r="D35" i="17"/>
  <c r="L35" i="17"/>
  <c r="E66" i="17"/>
  <c r="D8" i="17"/>
  <c r="I25" i="17"/>
  <c r="K9" i="17"/>
  <c r="K10" i="17" s="1"/>
  <c r="I8" i="17"/>
  <c r="C24" i="17"/>
  <c r="K24" i="17"/>
  <c r="M37" i="17"/>
  <c r="E27" i="1" s="1"/>
  <c r="L8" i="17"/>
  <c r="J8" i="17"/>
  <c r="I19" i="17"/>
  <c r="I20" i="17" s="1"/>
  <c r="D25" i="17"/>
  <c r="L25" i="17"/>
  <c r="F26" i="17"/>
  <c r="G35" i="17"/>
  <c r="M35" i="17"/>
  <c r="H12" i="17"/>
  <c r="M9" i="17"/>
  <c r="M10" i="17" s="1"/>
  <c r="E25" i="17"/>
  <c r="J28" i="17"/>
  <c r="D26" i="17"/>
  <c r="E35" i="17"/>
  <c r="J24" i="17"/>
  <c r="K16" i="17"/>
  <c r="K22" i="17" s="1"/>
  <c r="K19" i="17"/>
  <c r="K20" i="17" s="1"/>
  <c r="H26" i="17"/>
  <c r="M30" i="17"/>
  <c r="F27" i="1" s="1"/>
  <c r="G9" i="17"/>
  <c r="G10" i="17" s="1"/>
  <c r="M8" i="17"/>
  <c r="L12" i="17"/>
  <c r="M16" i="17"/>
  <c r="M22" i="17" s="1"/>
  <c r="L19" i="17"/>
  <c r="L20" i="17" s="1"/>
  <c r="G25" i="17"/>
  <c r="E24" i="17"/>
  <c r="J35" i="17"/>
  <c r="C66" i="17"/>
  <c r="K66" i="17"/>
  <c r="F19" i="18"/>
  <c r="F20" i="18" s="1"/>
  <c r="F11" i="17"/>
  <c r="H66" i="17"/>
  <c r="C7" i="17"/>
  <c r="C8" i="17" s="1"/>
  <c r="G5" i="18"/>
  <c r="W9" i="18"/>
  <c r="F4" i="17"/>
  <c r="J6" i="17"/>
  <c r="I12" i="17"/>
  <c r="L14" i="17"/>
  <c r="L16" i="17" s="1"/>
  <c r="L22" i="17" s="1"/>
  <c r="M19" i="17"/>
  <c r="M20" i="17" s="1"/>
  <c r="F24" i="17"/>
  <c r="C25" i="17"/>
  <c r="K25" i="17"/>
  <c r="C28" i="17"/>
  <c r="C37" i="17" s="1"/>
  <c r="E37" i="1" s="1"/>
  <c r="K28" i="17"/>
  <c r="K37" i="17" s="1"/>
  <c r="E29" i="1" s="1"/>
  <c r="V9" i="18"/>
  <c r="K8" i="17"/>
  <c r="C6" i="17"/>
  <c r="G5" i="16" s="1"/>
  <c r="K6" i="17"/>
  <c r="J12" i="17"/>
  <c r="G13" i="17"/>
  <c r="G16" i="17"/>
  <c r="G22" i="17" s="1"/>
  <c r="G24" i="17"/>
  <c r="D28" i="17"/>
  <c r="L28" i="17"/>
  <c r="D6" i="17"/>
  <c r="F5" i="16" s="1"/>
  <c r="L6" i="17"/>
  <c r="L9" i="17"/>
  <c r="L10" i="17" s="1"/>
  <c r="K12" i="17"/>
  <c r="H13" i="17"/>
  <c r="H16" i="17"/>
  <c r="H22" i="17" s="1"/>
  <c r="H24" i="17"/>
  <c r="C26" i="17"/>
  <c r="K26" i="17"/>
  <c r="E28" i="17"/>
  <c r="G44" i="18"/>
  <c r="E6" i="17"/>
  <c r="E5" i="16" s="1"/>
  <c r="I13" i="17"/>
  <c r="I16" i="17"/>
  <c r="I22" i="17" s="1"/>
  <c r="F28" i="17"/>
  <c r="H44" i="18"/>
  <c r="F6" i="17"/>
  <c r="D5" i="16" s="1"/>
  <c r="J13" i="17"/>
  <c r="J16" i="17"/>
  <c r="J22" i="17" s="1"/>
  <c r="G28" i="17"/>
  <c r="G37" i="17" s="1"/>
  <c r="E33" i="1" s="1"/>
  <c r="G6" i="17"/>
  <c r="K13" i="17"/>
  <c r="E36" i="17" l="1"/>
  <c r="I35" i="1"/>
  <c r="C36" i="17"/>
  <c r="I37" i="1"/>
  <c r="J36" i="17"/>
  <c r="I30" i="1"/>
  <c r="F36" i="17"/>
  <c r="I34" i="1"/>
  <c r="G36" i="17"/>
  <c r="I33" i="1"/>
  <c r="D36" i="17"/>
  <c r="I36" i="1"/>
  <c r="F9" i="17"/>
  <c r="F10" i="17" s="1"/>
  <c r="D34" i="1"/>
  <c r="M36" i="17"/>
  <c r="I27" i="1"/>
  <c r="L36" i="17"/>
  <c r="I28" i="1"/>
  <c r="K36" i="17"/>
  <c r="I29" i="1"/>
  <c r="AC17" i="18"/>
  <c r="I36" i="17"/>
  <c r="I31" i="1"/>
  <c r="H36" i="17"/>
  <c r="I32" i="1"/>
  <c r="V17" i="18"/>
  <c r="D12" i="18" s="1"/>
  <c r="D18" i="17" s="1"/>
  <c r="K29" i="1" s="1"/>
  <c r="R16" i="16"/>
  <c r="R27" i="16" s="1"/>
  <c r="S18" i="16"/>
  <c r="S21" i="16" s="1"/>
  <c r="T24" i="16"/>
  <c r="T9" i="16"/>
  <c r="T11" i="16" s="1"/>
  <c r="T13" i="16"/>
  <c r="T14" i="16" s="1"/>
  <c r="T15" i="16" s="1"/>
  <c r="U10" i="16"/>
  <c r="U19" i="16" s="1"/>
  <c r="U8" i="16"/>
  <c r="U12" i="16"/>
  <c r="U20" i="16"/>
  <c r="V6" i="16"/>
  <c r="Q27" i="16"/>
  <c r="Q28" i="16"/>
  <c r="AD17" i="18"/>
  <c r="L18" i="17" s="1"/>
  <c r="U17" i="18"/>
  <c r="C12" i="18" s="1"/>
  <c r="C18" i="17" s="1"/>
  <c r="E59" i="17"/>
  <c r="M61" i="17"/>
  <c r="M31" i="17"/>
  <c r="M32" i="17" s="1"/>
  <c r="L61" i="17"/>
  <c r="K61" i="17"/>
  <c r="AB17" i="18"/>
  <c r="J18" i="17" s="1"/>
  <c r="J61" i="17"/>
  <c r="I37" i="17"/>
  <c r="E31" i="1" s="1"/>
  <c r="AA17" i="18"/>
  <c r="I18" i="17" s="1"/>
  <c r="E61" i="17"/>
  <c r="E30" i="17"/>
  <c r="C61" i="17"/>
  <c r="C59" i="17"/>
  <c r="I59" i="17"/>
  <c r="G31" i="1" s="1"/>
  <c r="D59" i="17"/>
  <c r="D61" i="17"/>
  <c r="B31" i="17"/>
  <c r="B32" i="17" s="1"/>
  <c r="F59" i="17"/>
  <c r="G34" i="1" s="1"/>
  <c r="D37" i="16"/>
  <c r="H61" i="17"/>
  <c r="G61" i="17"/>
  <c r="L30" i="17"/>
  <c r="J30" i="17"/>
  <c r="F30" i="17"/>
  <c r="C30" i="17"/>
  <c r="AE36" i="19"/>
  <c r="AF33" i="19"/>
  <c r="AG12" i="19"/>
  <c r="AG13" i="19"/>
  <c r="AF34" i="19"/>
  <c r="AH10" i="19"/>
  <c r="AG31" i="19"/>
  <c r="AH9" i="19"/>
  <c r="AG30" i="19"/>
  <c r="AJ26" i="19"/>
  <c r="AI25" i="19"/>
  <c r="H30" i="17"/>
  <c r="D30" i="17"/>
  <c r="I31" i="17"/>
  <c r="I32" i="17" s="1"/>
  <c r="J37" i="17"/>
  <c r="E30" i="1" s="1"/>
  <c r="L37" i="17"/>
  <c r="E28" i="1" s="1"/>
  <c r="C20" i="18"/>
  <c r="C11" i="17"/>
  <c r="D37" i="17"/>
  <c r="E36" i="1" s="1"/>
  <c r="F12" i="17"/>
  <c r="F19" i="17"/>
  <c r="F20" i="17" s="1"/>
  <c r="F16" i="17"/>
  <c r="F22" i="17" s="1"/>
  <c r="F13" i="17"/>
  <c r="H5" i="18"/>
  <c r="G4" i="17"/>
  <c r="X9" i="18"/>
  <c r="D19" i="18"/>
  <c r="D20" i="18" s="1"/>
  <c r="D11" i="17"/>
  <c r="D36" i="1" s="1"/>
  <c r="B15" i="10" s="1"/>
  <c r="E37" i="17"/>
  <c r="E35" i="1" s="1"/>
  <c r="F37" i="17"/>
  <c r="E34" i="1" s="1"/>
  <c r="E19" i="18"/>
  <c r="E20" i="18" s="1"/>
  <c r="E11" i="17"/>
  <c r="D35" i="1" s="1"/>
  <c r="K30" i="17"/>
  <c r="G30" i="17"/>
  <c r="R28" i="16" l="1"/>
  <c r="R30" i="16" s="1"/>
  <c r="D31" i="17"/>
  <c r="D32" i="17" s="1"/>
  <c r="F36" i="1"/>
  <c r="L31" i="17"/>
  <c r="L32" i="17" s="1"/>
  <c r="F28" i="1"/>
  <c r="L35" i="1"/>
  <c r="G35" i="1"/>
  <c r="L41" i="1"/>
  <c r="K41" i="1"/>
  <c r="K42" i="1" s="1"/>
  <c r="G37" i="1"/>
  <c r="E17" i="1"/>
  <c r="G31" i="17"/>
  <c r="G32" i="17" s="1"/>
  <c r="F33" i="1"/>
  <c r="K31" i="17"/>
  <c r="K32" i="17" s="1"/>
  <c r="F29" i="1"/>
  <c r="H31" i="17"/>
  <c r="H32" i="17" s="1"/>
  <c r="F32" i="1"/>
  <c r="B13" i="17"/>
  <c r="E14" i="1"/>
  <c r="D37" i="1"/>
  <c r="B14" i="10" s="1"/>
  <c r="E31" i="17"/>
  <c r="E32" i="17" s="1"/>
  <c r="F35" i="1"/>
  <c r="F31" i="17"/>
  <c r="F32" i="17" s="1"/>
  <c r="F34" i="1"/>
  <c r="K35" i="1"/>
  <c r="G36" i="1"/>
  <c r="C31" i="17"/>
  <c r="C32" i="17" s="1"/>
  <c r="F37" i="1"/>
  <c r="J31" i="17"/>
  <c r="J32" i="17" s="1"/>
  <c r="F30" i="1"/>
  <c r="S16" i="16"/>
  <c r="S27" i="16" s="1"/>
  <c r="T18" i="16"/>
  <c r="T21" i="16" s="1"/>
  <c r="U24" i="16"/>
  <c r="U9" i="16"/>
  <c r="U11" i="16" s="1"/>
  <c r="U13" i="16"/>
  <c r="U14" i="16" s="1"/>
  <c r="U15" i="16" s="1"/>
  <c r="V10" i="16"/>
  <c r="V19" i="16" s="1"/>
  <c r="V8" i="16"/>
  <c r="V12" i="16"/>
  <c r="V20" i="16"/>
  <c r="W6" i="16"/>
  <c r="Q30" i="16"/>
  <c r="AF36" i="19"/>
  <c r="AG34" i="19"/>
  <c r="AH13" i="19"/>
  <c r="AG33" i="19"/>
  <c r="AH12" i="19"/>
  <c r="AI9" i="19"/>
  <c r="AH30" i="19"/>
  <c r="AI10" i="19"/>
  <c r="AH31" i="19"/>
  <c r="AK26" i="19"/>
  <c r="AJ25" i="19"/>
  <c r="D12" i="17"/>
  <c r="D16" i="17"/>
  <c r="D22" i="17" s="1"/>
  <c r="D13" i="17"/>
  <c r="D19" i="17"/>
  <c r="D20" i="17" s="1"/>
  <c r="D9" i="17"/>
  <c r="D10" i="17" s="1"/>
  <c r="C16" i="17"/>
  <c r="C22" i="17" s="1"/>
  <c r="C13" i="17"/>
  <c r="C19" i="17"/>
  <c r="C12" i="17"/>
  <c r="C9" i="17"/>
  <c r="C10" i="17" s="1"/>
  <c r="E12" i="17"/>
  <c r="E16" i="17"/>
  <c r="E22" i="17" s="1"/>
  <c r="E19" i="17"/>
  <c r="E20" i="17" s="1"/>
  <c r="E13" i="17"/>
  <c r="E9" i="17"/>
  <c r="E10" i="17" s="1"/>
  <c r="Y9" i="18"/>
  <c r="H4" i="17"/>
  <c r="I5" i="18"/>
  <c r="S28" i="16" l="1"/>
  <c r="E11" i="1"/>
  <c r="E10" i="1"/>
  <c r="E16" i="1"/>
  <c r="J18" i="1"/>
  <c r="S30" i="16"/>
  <c r="V13" i="16"/>
  <c r="V14" i="16" s="1"/>
  <c r="V15" i="16" s="1"/>
  <c r="V24" i="16"/>
  <c r="V9" i="16"/>
  <c r="V11" i="16" s="1"/>
  <c r="W10" i="16"/>
  <c r="W19" i="16" s="1"/>
  <c r="W8" i="16"/>
  <c r="W12" i="16"/>
  <c r="W20" i="16"/>
  <c r="X6" i="16"/>
  <c r="U16" i="16"/>
  <c r="T16" i="16"/>
  <c r="C20" i="17"/>
  <c r="J16" i="1"/>
  <c r="AG36" i="19"/>
  <c r="AH34" i="19"/>
  <c r="AI13" i="19"/>
  <c r="AI12" i="19"/>
  <c r="AH33" i="19"/>
  <c r="AJ10" i="19"/>
  <c r="AI31" i="19"/>
  <c r="AJ9" i="19"/>
  <c r="AI30" i="19"/>
  <c r="AK25" i="19"/>
  <c r="AL26" i="19"/>
  <c r="Z9" i="18"/>
  <c r="I4" i="17"/>
  <c r="J5" i="18"/>
  <c r="U18" i="16" l="1"/>
  <c r="U21" i="16" s="1"/>
  <c r="U27" i="16"/>
  <c r="U28" i="16"/>
  <c r="T27" i="16"/>
  <c r="T28" i="16"/>
  <c r="W13" i="16"/>
  <c r="W14" i="16" s="1"/>
  <c r="W15" i="16" s="1"/>
  <c r="W9" i="16"/>
  <c r="W11" i="16" s="1"/>
  <c r="W24" i="16"/>
  <c r="V18" i="16"/>
  <c r="V21" i="16" s="1"/>
  <c r="X10" i="16"/>
  <c r="X19" i="16" s="1"/>
  <c r="X8" i="16"/>
  <c r="X12" i="16"/>
  <c r="X20" i="16"/>
  <c r="Y6" i="16"/>
  <c r="AH36" i="19"/>
  <c r="AI34" i="19"/>
  <c r="AJ13" i="19"/>
  <c r="AI33" i="19"/>
  <c r="AI36" i="19" s="1"/>
  <c r="AJ12" i="19"/>
  <c r="AK9" i="19"/>
  <c r="AJ30" i="19"/>
  <c r="AK10" i="19"/>
  <c r="AJ31" i="19"/>
  <c r="AL25" i="19"/>
  <c r="AM26" i="19"/>
  <c r="AA9" i="18"/>
  <c r="J4" i="17"/>
  <c r="K5" i="18"/>
  <c r="W18" i="16" l="1"/>
  <c r="W21" i="16" s="1"/>
  <c r="X13" i="16"/>
  <c r="X14" i="16" s="1"/>
  <c r="X15" i="16" s="1"/>
  <c r="X24" i="16"/>
  <c r="X9" i="16"/>
  <c r="X11" i="16" s="1"/>
  <c r="V16" i="16"/>
  <c r="Z6" i="16"/>
  <c r="Y10" i="16"/>
  <c r="Y19" i="16" s="1"/>
  <c r="Y8" i="16"/>
  <c r="Y12" i="16"/>
  <c r="Y20" i="16"/>
  <c r="T30" i="16"/>
  <c r="U30" i="16"/>
  <c r="AJ33" i="19"/>
  <c r="AK12" i="19"/>
  <c r="AK13" i="19"/>
  <c r="AJ34" i="19"/>
  <c r="AL10" i="19"/>
  <c r="AK31" i="19"/>
  <c r="AL9" i="19"/>
  <c r="AK30" i="19"/>
  <c r="AN26" i="19"/>
  <c r="AM25" i="19"/>
  <c r="AB9" i="18"/>
  <c r="K4" i="17"/>
  <c r="L5" i="18"/>
  <c r="X18" i="16" l="1"/>
  <c r="X21" i="16" s="1"/>
  <c r="AA6" i="16"/>
  <c r="Z10" i="16"/>
  <c r="Z19" i="16" s="1"/>
  <c r="Z8" i="16"/>
  <c r="Z20" i="16"/>
  <c r="Z12" i="16"/>
  <c r="V27" i="16"/>
  <c r="V28" i="16"/>
  <c r="W16" i="16"/>
  <c r="Y9" i="16"/>
  <c r="Y11" i="16" s="1"/>
  <c r="Y13" i="16"/>
  <c r="Y14" i="16" s="1"/>
  <c r="Y15" i="16" s="1"/>
  <c r="Y24" i="16"/>
  <c r="AJ36" i="19"/>
  <c r="AK34" i="19"/>
  <c r="AL13" i="19"/>
  <c r="AK33" i="19"/>
  <c r="AL12" i="19"/>
  <c r="AM9" i="19"/>
  <c r="AL30" i="19"/>
  <c r="AM10" i="19"/>
  <c r="AL31" i="19"/>
  <c r="AO26" i="19"/>
  <c r="AN25" i="19"/>
  <c r="L4" i="17"/>
  <c r="M5" i="18"/>
  <c r="AC9" i="18"/>
  <c r="V30" i="16" l="1"/>
  <c r="Y18" i="16"/>
  <c r="Y21" i="16" s="1"/>
  <c r="W27" i="16"/>
  <c r="W28" i="16"/>
  <c r="Z9" i="16"/>
  <c r="Z11" i="16" s="1"/>
  <c r="Z13" i="16"/>
  <c r="Z14" i="16" s="1"/>
  <c r="Z15" i="16" s="1"/>
  <c r="Z24" i="16"/>
  <c r="AA20" i="16"/>
  <c r="AA8" i="16"/>
  <c r="AB6" i="16"/>
  <c r="AA10" i="16"/>
  <c r="AA19" i="16" s="1"/>
  <c r="AA12" i="16"/>
  <c r="X16" i="16"/>
  <c r="AK36" i="19"/>
  <c r="AL33" i="19"/>
  <c r="AM12" i="19"/>
  <c r="AM13" i="19"/>
  <c r="AL34" i="19"/>
  <c r="AN10" i="19"/>
  <c r="AM31" i="19"/>
  <c r="AN9" i="19"/>
  <c r="AM30" i="19"/>
  <c r="AP26" i="19"/>
  <c r="AO25" i="19"/>
  <c r="M4" i="17"/>
  <c r="N5" i="18"/>
  <c r="AD9" i="18"/>
  <c r="Y16" i="16" l="1"/>
  <c r="Y28" i="16" s="1"/>
  <c r="Z16" i="16"/>
  <c r="AB20" i="16"/>
  <c r="AC6" i="16"/>
  <c r="AB10" i="16"/>
  <c r="AB19" i="16" s="1"/>
  <c r="AB8" i="16"/>
  <c r="AB12" i="16"/>
  <c r="AA13" i="16"/>
  <c r="AA14" i="16" s="1"/>
  <c r="AA15" i="16" s="1"/>
  <c r="AA24" i="16"/>
  <c r="AA9" i="16"/>
  <c r="AA11" i="16" s="1"/>
  <c r="W30" i="16"/>
  <c r="Y27" i="16"/>
  <c r="X27" i="16"/>
  <c r="X28" i="16"/>
  <c r="AL36" i="19"/>
  <c r="AN13" i="19"/>
  <c r="AM34" i="19"/>
  <c r="AN12" i="19"/>
  <c r="AM33" i="19"/>
  <c r="AO9" i="19"/>
  <c r="AN30" i="19"/>
  <c r="AO10" i="19"/>
  <c r="AN31" i="19"/>
  <c r="AQ26" i="19"/>
  <c r="AP25" i="19"/>
  <c r="J24" i="1"/>
  <c r="H37" i="16"/>
  <c r="F33" i="16"/>
  <c r="E33" i="16"/>
  <c r="I4" i="16"/>
  <c r="J4" i="16" s="1"/>
  <c r="K4" i="16" s="1"/>
  <c r="L4" i="16" s="1"/>
  <c r="M4" i="16" s="1"/>
  <c r="N4" i="16" s="1"/>
  <c r="O4" i="16" s="1"/>
  <c r="P4" i="16" s="1"/>
  <c r="Q4" i="16" s="1"/>
  <c r="R4" i="16" s="1"/>
  <c r="S4" i="16" s="1"/>
  <c r="T4" i="16" s="1"/>
  <c r="U4" i="16" s="1"/>
  <c r="V4" i="16" s="1"/>
  <c r="W4" i="16" s="1"/>
  <c r="X4" i="16" s="1"/>
  <c r="Y4" i="16" s="1"/>
  <c r="Z4" i="16" s="1"/>
  <c r="AA4" i="16" s="1"/>
  <c r="AB4" i="16" s="1"/>
  <c r="AC4" i="16" s="1"/>
  <c r="AD4" i="16" s="1"/>
  <c r="AE4" i="16" s="1"/>
  <c r="AF4" i="16" s="1"/>
  <c r="Z18" i="16" l="1"/>
  <c r="Z21" i="16" s="1"/>
  <c r="AA16" i="16"/>
  <c r="Z28" i="16"/>
  <c r="Z27" i="16"/>
  <c r="Z30" i="16" s="1"/>
  <c r="AB13" i="16"/>
  <c r="AB14" i="16" s="1"/>
  <c r="AB15" i="16" s="1"/>
  <c r="AB24" i="16"/>
  <c r="AB9" i="16"/>
  <c r="AB11" i="16" s="1"/>
  <c r="AC12" i="16"/>
  <c r="AC20" i="16"/>
  <c r="AC8" i="16"/>
  <c r="AD6" i="16"/>
  <c r="AC10" i="16"/>
  <c r="AC19" i="16" s="1"/>
  <c r="X30" i="16"/>
  <c r="Y30" i="16"/>
  <c r="AM36" i="19"/>
  <c r="AO12" i="19"/>
  <c r="AN33" i="19"/>
  <c r="AO13" i="19"/>
  <c r="AN34" i="19"/>
  <c r="AP10" i="19"/>
  <c r="AO31" i="19"/>
  <c r="AP9" i="19"/>
  <c r="AO30" i="19"/>
  <c r="AR26" i="19"/>
  <c r="AQ25" i="19"/>
  <c r="AE40" i="16"/>
  <c r="AD40" i="16"/>
  <c r="AB40" i="16"/>
  <c r="L40" i="16"/>
  <c r="T39" i="16"/>
  <c r="AA40" i="16"/>
  <c r="K40" i="16"/>
  <c r="S39" i="16"/>
  <c r="Y40" i="16"/>
  <c r="V40" i="16"/>
  <c r="U40" i="16"/>
  <c r="T40" i="16"/>
  <c r="Z40" i="16"/>
  <c r="J40" i="16"/>
  <c r="R39" i="16"/>
  <c r="I40" i="16"/>
  <c r="Q39" i="16"/>
  <c r="AD39" i="16"/>
  <c r="AC39" i="16"/>
  <c r="X40" i="16"/>
  <c r="H40" i="16"/>
  <c r="P39" i="16"/>
  <c r="W40" i="16"/>
  <c r="AE39" i="16"/>
  <c r="O39" i="16"/>
  <c r="N39" i="16"/>
  <c r="M39" i="16"/>
  <c r="AB39" i="16"/>
  <c r="G39" i="16"/>
  <c r="AC40" i="16"/>
  <c r="L39" i="16"/>
  <c r="U39" i="16"/>
  <c r="S40" i="16"/>
  <c r="AA39" i="16"/>
  <c r="K39" i="16"/>
  <c r="R40" i="16"/>
  <c r="Q40" i="16"/>
  <c r="I39" i="16"/>
  <c r="X39" i="16"/>
  <c r="O40" i="16"/>
  <c r="G40" i="16"/>
  <c r="N40" i="16"/>
  <c r="M40" i="16"/>
  <c r="Z39" i="16"/>
  <c r="J39" i="16"/>
  <c r="Y39" i="16"/>
  <c r="P40" i="16"/>
  <c r="H39" i="16"/>
  <c r="W39" i="16"/>
  <c r="V39" i="16"/>
  <c r="J38" i="16"/>
  <c r="AC38" i="16"/>
  <c r="K38" i="16"/>
  <c r="U38" i="16"/>
  <c r="AD38" i="16"/>
  <c r="M38" i="16"/>
  <c r="V38" i="16"/>
  <c r="AE38" i="16"/>
  <c r="N38" i="16"/>
  <c r="W38" i="16"/>
  <c r="AF38" i="16"/>
  <c r="X38" i="16"/>
  <c r="G38" i="16"/>
  <c r="P38" i="16"/>
  <c r="Y38" i="16"/>
  <c r="Q38" i="16"/>
  <c r="Z38" i="16"/>
  <c r="S38" i="16"/>
  <c r="O38" i="16"/>
  <c r="I38" i="16"/>
  <c r="R38" i="16"/>
  <c r="AA38" i="16"/>
  <c r="E32" i="16"/>
  <c r="E34" i="16" s="1"/>
  <c r="I37" i="16"/>
  <c r="L38" i="16"/>
  <c r="T38" i="16"/>
  <c r="AB38" i="16"/>
  <c r="AA18" i="16" l="1"/>
  <c r="AA21" i="16" s="1"/>
  <c r="AB18" i="16"/>
  <c r="AB21" i="16" s="1"/>
  <c r="AC13" i="16"/>
  <c r="AC14" i="16" s="1"/>
  <c r="AC15" i="16" s="1"/>
  <c r="AC24" i="16"/>
  <c r="AC9" i="16"/>
  <c r="AC11" i="16" s="1"/>
  <c r="AA28" i="16"/>
  <c r="AA27" i="16"/>
  <c r="AD12" i="16"/>
  <c r="AD10" i="16"/>
  <c r="AD19" i="16" s="1"/>
  <c r="AD20" i="16"/>
  <c r="AD8" i="16"/>
  <c r="AE6" i="16"/>
  <c r="D32" i="16"/>
  <c r="D34" i="16" s="1"/>
  <c r="E36" i="16" s="1"/>
  <c r="AN36" i="19"/>
  <c r="AP13" i="19"/>
  <c r="AO34" i="19"/>
  <c r="AP12" i="19"/>
  <c r="AO33" i="19"/>
  <c r="AQ9" i="19"/>
  <c r="AP30" i="19"/>
  <c r="AQ10" i="19"/>
  <c r="AP31" i="19"/>
  <c r="AS26" i="19"/>
  <c r="AR25" i="19"/>
  <c r="F32" i="16"/>
  <c r="F34" i="16" s="1"/>
  <c r="J37" i="16"/>
  <c r="AA30" i="16" l="1"/>
  <c r="AB16" i="16"/>
  <c r="AB28" i="16" s="1"/>
  <c r="AD13" i="16"/>
  <c r="AD14" i="16" s="1"/>
  <c r="AD15" i="16" s="1"/>
  <c r="AD9" i="16"/>
  <c r="AD11" i="16" s="1"/>
  <c r="AD24" i="16"/>
  <c r="AC16" i="16"/>
  <c r="AE12" i="16"/>
  <c r="AE20" i="16"/>
  <c r="AF6" i="16"/>
  <c r="AE10" i="16"/>
  <c r="AE19" i="16" s="1"/>
  <c r="AE8" i="16"/>
  <c r="AC18" i="16"/>
  <c r="AC21" i="16" s="1"/>
  <c r="F36" i="16"/>
  <c r="AO36" i="19"/>
  <c r="AQ12" i="19"/>
  <c r="AP33" i="19"/>
  <c r="AQ13" i="19"/>
  <c r="AP34" i="19"/>
  <c r="AR10" i="19"/>
  <c r="AQ31" i="19"/>
  <c r="AR9" i="19"/>
  <c r="AQ30" i="19"/>
  <c r="AT26" i="19"/>
  <c r="AS25" i="19"/>
  <c r="K37" i="16"/>
  <c r="AB27" i="16" l="1"/>
  <c r="AB30" i="16"/>
  <c r="AC28" i="16"/>
  <c r="AC27" i="16"/>
  <c r="AD18" i="16"/>
  <c r="AD21" i="16" s="1"/>
  <c r="AE24" i="16"/>
  <c r="AE9" i="16"/>
  <c r="AE11" i="16" s="1"/>
  <c r="AE13" i="16"/>
  <c r="AE14" i="16" s="1"/>
  <c r="AE15" i="16" s="1"/>
  <c r="AF12" i="16"/>
  <c r="AF20" i="16"/>
  <c r="AF10" i="16"/>
  <c r="AF19" i="16" s="1"/>
  <c r="AF8" i="16"/>
  <c r="AP36" i="19"/>
  <c r="AR13" i="19"/>
  <c r="AQ34" i="19"/>
  <c r="AR12" i="19"/>
  <c r="AQ33" i="19"/>
  <c r="AS9" i="19"/>
  <c r="AR30" i="19"/>
  <c r="AS10" i="19"/>
  <c r="AR31" i="19"/>
  <c r="AU26" i="19"/>
  <c r="AT25" i="19"/>
  <c r="G32" i="16"/>
  <c r="G33" i="16"/>
  <c r="L37" i="16"/>
  <c r="AC30" i="16" l="1"/>
  <c r="AE16" i="16"/>
  <c r="AF24" i="16"/>
  <c r="AF9" i="16"/>
  <c r="AF11" i="16" s="1"/>
  <c r="AF13" i="16"/>
  <c r="AF14" i="16" s="1"/>
  <c r="AF15" i="16" s="1"/>
  <c r="AD16" i="16"/>
  <c r="AQ36" i="19"/>
  <c r="AS12" i="19"/>
  <c r="AR33" i="19"/>
  <c r="AS13" i="19"/>
  <c r="AR34" i="19"/>
  <c r="AT10" i="19"/>
  <c r="AS31" i="19"/>
  <c r="AT9" i="19"/>
  <c r="AS30" i="19"/>
  <c r="AV26" i="19"/>
  <c r="AU25" i="19"/>
  <c r="M37" i="16"/>
  <c r="G34" i="16"/>
  <c r="G36" i="16" s="1"/>
  <c r="AE18" i="16" l="1"/>
  <c r="AE21" i="16" s="1"/>
  <c r="AF16" i="16"/>
  <c r="AE27" i="16"/>
  <c r="AE28" i="16"/>
  <c r="AD27" i="16"/>
  <c r="AD28" i="16"/>
  <c r="AR36" i="19"/>
  <c r="AT13" i="19"/>
  <c r="AS34" i="19"/>
  <c r="AT12" i="19"/>
  <c r="AS33" i="19"/>
  <c r="AU9" i="19"/>
  <c r="AT30" i="19"/>
  <c r="AU10" i="19"/>
  <c r="AT31" i="19"/>
  <c r="AW26" i="19"/>
  <c r="AV25" i="19"/>
  <c r="N37" i="16"/>
  <c r="AF18" i="16" l="1"/>
  <c r="AF21" i="16" s="1"/>
  <c r="AF27" i="16"/>
  <c r="AF28" i="16"/>
  <c r="AD30" i="16"/>
  <c r="AE30" i="16"/>
  <c r="AS36" i="19"/>
  <c r="AU12" i="19"/>
  <c r="AT33" i="19"/>
  <c r="AU13" i="19"/>
  <c r="AT34" i="19"/>
  <c r="AV10" i="19"/>
  <c r="AU31" i="19"/>
  <c r="AV9" i="19"/>
  <c r="AU30" i="19"/>
  <c r="AX26" i="19"/>
  <c r="AW25" i="19"/>
  <c r="O37" i="16"/>
  <c r="AF30" i="16" l="1"/>
  <c r="AT36" i="19"/>
  <c r="AV13" i="19"/>
  <c r="AU34" i="19"/>
  <c r="AV12" i="19"/>
  <c r="AU33" i="19"/>
  <c r="AW9" i="19"/>
  <c r="AV30" i="19"/>
  <c r="AW10" i="19"/>
  <c r="AV31" i="19"/>
  <c r="AY26" i="19"/>
  <c r="AX25" i="19"/>
  <c r="P37" i="16"/>
  <c r="AU36" i="19" l="1"/>
  <c r="AW12" i="19"/>
  <c r="AV33" i="19"/>
  <c r="AW13" i="19"/>
  <c r="AV34" i="19"/>
  <c r="AX10" i="19"/>
  <c r="AW31" i="19"/>
  <c r="AX9" i="19"/>
  <c r="AW30" i="19"/>
  <c r="AZ26" i="19"/>
  <c r="AY25" i="19"/>
  <c r="H42" i="16"/>
  <c r="Q37" i="16"/>
  <c r="AV36" i="19" l="1"/>
  <c r="AX13" i="19"/>
  <c r="AW34" i="19"/>
  <c r="AX12" i="19"/>
  <c r="AW33" i="19"/>
  <c r="AY9" i="19"/>
  <c r="AX30" i="19"/>
  <c r="AY10" i="19"/>
  <c r="AX31" i="19"/>
  <c r="BA26" i="19"/>
  <c r="AZ25" i="19"/>
  <c r="R37" i="16"/>
  <c r="AW36" i="19" l="1"/>
  <c r="AY12" i="19"/>
  <c r="AX33" i="19"/>
  <c r="AY13" i="19"/>
  <c r="AX34" i="19"/>
  <c r="AZ10" i="19"/>
  <c r="AY31" i="19"/>
  <c r="AZ9" i="19"/>
  <c r="AY30" i="19"/>
  <c r="BB26" i="19"/>
  <c r="BB25" i="19" s="1"/>
  <c r="BA25" i="19"/>
  <c r="H34" i="16"/>
  <c r="H36" i="16" s="1"/>
  <c r="S37" i="16"/>
  <c r="AX36" i="19" l="1"/>
  <c r="AZ13" i="19"/>
  <c r="AY34" i="19"/>
  <c r="AZ12" i="19"/>
  <c r="AY33" i="19"/>
  <c r="AY36" i="19" s="1"/>
  <c r="BA9" i="19"/>
  <c r="AZ30" i="19"/>
  <c r="BA10" i="19"/>
  <c r="AZ31" i="19"/>
  <c r="T37" i="16"/>
  <c r="BA12" i="19" l="1"/>
  <c r="AZ33" i="19"/>
  <c r="BA13" i="19"/>
  <c r="AZ34" i="19"/>
  <c r="BB10" i="19"/>
  <c r="BB31" i="19" s="1"/>
  <c r="BA31" i="19"/>
  <c r="BB9" i="19"/>
  <c r="BB30" i="19" s="1"/>
  <c r="BA30" i="19"/>
  <c r="U37" i="16"/>
  <c r="I32" i="16" l="1"/>
  <c r="AZ36" i="19"/>
  <c r="BB13" i="19"/>
  <c r="BB34" i="19" s="1"/>
  <c r="BA34" i="19"/>
  <c r="BB12" i="19"/>
  <c r="BB33" i="19" s="1"/>
  <c r="BB36" i="19" s="1"/>
  <c r="BA33" i="19"/>
  <c r="BA36" i="19" s="1"/>
  <c r="I42" i="16"/>
  <c r="V37" i="16"/>
  <c r="I33" i="16" l="1"/>
  <c r="I34" i="16" s="1"/>
  <c r="W37" i="16"/>
  <c r="I36" i="16" l="1"/>
  <c r="X37" i="16"/>
  <c r="Y37" i="16" l="1"/>
  <c r="Z37" i="16" l="1"/>
  <c r="AA37" i="16" l="1"/>
  <c r="J42" i="16" l="1"/>
  <c r="AB37" i="16"/>
  <c r="J32" i="16"/>
  <c r="AC37" i="16" l="1"/>
  <c r="J33" i="16"/>
  <c r="J34" i="16" l="1"/>
  <c r="J36" i="16" s="1"/>
  <c r="AD37" i="16"/>
  <c r="AE37" i="16" l="1"/>
  <c r="AF37" i="16" l="1"/>
  <c r="K32" i="16" l="1"/>
  <c r="K33" i="16" l="1"/>
  <c r="K34" i="16" l="1"/>
  <c r="K36" i="16" s="1"/>
  <c r="L32" i="16" l="1"/>
  <c r="L33" i="16" l="1"/>
  <c r="L34" i="16" l="1"/>
  <c r="L36" i="16" s="1"/>
  <c r="M32" i="16" l="1"/>
  <c r="M33" i="16" l="1"/>
  <c r="M34" i="16" l="1"/>
  <c r="M36" i="16" s="1"/>
  <c r="N32" i="16" l="1"/>
  <c r="N33" i="16" l="1"/>
  <c r="N34" i="16" l="1"/>
  <c r="N36" i="16" s="1"/>
  <c r="O32" i="16" l="1"/>
  <c r="O33" i="16" l="1"/>
  <c r="O34" i="16" l="1"/>
  <c r="O36" i="16" s="1"/>
  <c r="P32" i="16" l="1"/>
  <c r="P33" i="16" l="1"/>
  <c r="P34" i="16" l="1"/>
  <c r="P36" i="16" s="1"/>
  <c r="Q32" i="16" l="1"/>
  <c r="Q33" i="16" l="1"/>
  <c r="Q34" i="16" l="1"/>
  <c r="Q36" i="16" l="1"/>
  <c r="R32" i="16" l="1"/>
  <c r="R33" i="16" l="1"/>
  <c r="R34" i="16" l="1"/>
  <c r="R36" i="16" s="1"/>
  <c r="S32" i="16" l="1"/>
  <c r="S33" i="16" l="1"/>
  <c r="S34" i="16" l="1"/>
  <c r="S36" i="16" s="1"/>
  <c r="T32" i="16" l="1"/>
  <c r="T33" i="16" l="1"/>
  <c r="T34" i="16" l="1"/>
  <c r="T36" i="16" s="1"/>
  <c r="U32" i="16" l="1"/>
  <c r="U33" i="16" l="1"/>
  <c r="U34" i="16" l="1"/>
  <c r="U36" i="16" s="1"/>
  <c r="V32" i="16" l="1"/>
  <c r="V33" i="16" l="1"/>
  <c r="V34" i="16" s="1"/>
  <c r="V36" i="16" l="1"/>
  <c r="W32" i="16" l="1"/>
  <c r="W33" i="16" l="1"/>
  <c r="W34" i="16" l="1"/>
  <c r="W36" i="16" s="1"/>
  <c r="X32" i="16" l="1"/>
  <c r="X33" i="16" l="1"/>
  <c r="X34" i="16" l="1"/>
  <c r="X36" i="16" s="1"/>
  <c r="Y32" i="16" l="1"/>
  <c r="Y33" i="16" l="1"/>
  <c r="Y34" i="16" l="1"/>
  <c r="Y36" i="16" s="1"/>
  <c r="Z32" i="16" l="1"/>
  <c r="Z33" i="16" l="1"/>
  <c r="Z34" i="16" l="1"/>
  <c r="Z36" i="16" s="1"/>
  <c r="AA32" i="16" l="1"/>
  <c r="AA33" i="16" l="1"/>
  <c r="AA34" i="16" l="1"/>
  <c r="AA36" i="16" s="1"/>
  <c r="AB32" i="16" l="1"/>
  <c r="AB33" i="16" l="1"/>
  <c r="AB34" i="16" l="1"/>
  <c r="AB36" i="16" s="1"/>
  <c r="AC32" i="16" l="1"/>
  <c r="AC33" i="16" l="1"/>
  <c r="AC34" i="16" l="1"/>
  <c r="AC36" i="16" s="1"/>
  <c r="AD32" i="16" l="1"/>
  <c r="AD33" i="16" l="1"/>
  <c r="AD34" i="16" l="1"/>
  <c r="AD36" i="16" s="1"/>
  <c r="AE32" i="16" l="1"/>
  <c r="AE33" i="16" l="1"/>
  <c r="AE34" i="16" l="1"/>
  <c r="AE36" i="16" s="1"/>
  <c r="AE61" i="16" l="1"/>
  <c r="AE62" i="16" s="1"/>
  <c r="D62" i="16"/>
  <c r="AF32" i="16" l="1"/>
  <c r="AF33" i="16" l="1"/>
  <c r="AF34" i="16" s="1"/>
  <c r="AF36" i="16" s="1"/>
  <c r="D63" i="16"/>
  <c r="D64" i="16" l="1"/>
  <c r="D66" i="16" s="1"/>
  <c r="H24" i="1" l="1"/>
  <c r="L21" i="1"/>
  <c r="I44" i="16"/>
  <c r="H44" i="16"/>
  <c r="E62" i="16"/>
  <c r="E63" i="16"/>
  <c r="D65" i="16" l="1"/>
  <c r="L23" i="1" s="1"/>
  <c r="O36" i="1" l="1"/>
  <c r="N36" i="1"/>
  <c r="D41" i="1" l="1"/>
  <c r="D39" i="1"/>
  <c r="O37" i="1"/>
  <c r="D42" i="1"/>
  <c r="L40" i="1"/>
  <c r="K40" i="1"/>
  <c r="J13" i="1" l="1"/>
  <c r="B59" i="4"/>
  <c r="E61" i="4"/>
  <c r="D61" i="4"/>
  <c r="B43" i="4" l="1"/>
  <c r="C43" i="4"/>
  <c r="D42" i="4"/>
  <c r="E38" i="4" l="1"/>
  <c r="D38" i="4"/>
  <c r="C50" i="4" l="1"/>
  <c r="B50" i="4"/>
  <c r="C47" i="4"/>
  <c r="C40" i="4" l="1"/>
  <c r="B40" i="4"/>
  <c r="C38" i="4"/>
  <c r="B38" i="4"/>
  <c r="C37" i="4"/>
  <c r="B37" i="4"/>
  <c r="R35" i="1" l="1"/>
  <c r="Q35" i="1"/>
  <c r="O35" i="1"/>
  <c r="N35" i="1"/>
  <c r="C36" i="4" s="1"/>
  <c r="D43" i="4" l="1"/>
  <c r="E43" i="4" s="1"/>
  <c r="F43" i="4" s="1"/>
  <c r="G43" i="4" s="1"/>
  <c r="H43" i="4" s="1"/>
  <c r="I43" i="4" s="1"/>
  <c r="J43" i="4" s="1"/>
  <c r="K43" i="4" s="1"/>
  <c r="L43" i="4" s="1"/>
  <c r="M43" i="4" s="1"/>
  <c r="N43" i="4" s="1"/>
  <c r="O43" i="4" s="1"/>
  <c r="P43" i="4" s="1"/>
  <c r="Q43" i="4" s="1"/>
  <c r="R43" i="4" s="1"/>
  <c r="S43" i="4" s="1"/>
  <c r="T43" i="4" s="1"/>
  <c r="U43" i="4" s="1"/>
  <c r="V43" i="4" s="1"/>
  <c r="W43" i="4" s="1"/>
  <c r="X43" i="4" s="1"/>
  <c r="Y43" i="4" s="1"/>
  <c r="Z43" i="4" s="1"/>
  <c r="AA43" i="4" s="1"/>
  <c r="AB43" i="4" s="1"/>
  <c r="AC43" i="4" s="1"/>
  <c r="P35" i="1" l="1"/>
  <c r="L42" i="1" l="1"/>
  <c r="B47" i="4"/>
  <c r="S35" i="1"/>
  <c r="F13" i="1"/>
  <c r="D48" i="4" l="1"/>
  <c r="E42" i="4" s="1"/>
  <c r="E48" i="4" l="1"/>
  <c r="F42" i="4" s="1"/>
  <c r="O27" i="1"/>
  <c r="O29" i="1"/>
  <c r="O30" i="1"/>
  <c r="O31" i="1"/>
  <c r="O32" i="1"/>
  <c r="O33" i="1"/>
  <c r="O34" i="1"/>
  <c r="F48" i="4" l="1"/>
  <c r="G42" i="4" s="1"/>
  <c r="G48" i="4" l="1"/>
  <c r="H42" i="4" s="1"/>
  <c r="H48" i="4" l="1"/>
  <c r="I42" i="4" s="1"/>
  <c r="B44" i="4"/>
  <c r="C44" i="4"/>
  <c r="I48" i="4" l="1"/>
  <c r="J42" i="4" s="1"/>
  <c r="E47" i="4"/>
  <c r="I6" i="3"/>
  <c r="I5" i="3" l="1"/>
  <c r="J48" i="4"/>
  <c r="K42" i="4" s="1"/>
  <c r="E13" i="1"/>
  <c r="K48" i="4" l="1"/>
  <c r="L42" i="4" s="1"/>
  <c r="F47" i="4"/>
  <c r="N29" i="1"/>
  <c r="N32" i="1"/>
  <c r="N33" i="1"/>
  <c r="L48" i="4" l="1"/>
  <c r="M42" i="4" s="1"/>
  <c r="G47" i="4"/>
  <c r="M48" i="4" l="1"/>
  <c r="N42" i="4" s="1"/>
  <c r="I8" i="3"/>
  <c r="I7" i="3"/>
  <c r="I21" i="3" l="1"/>
  <c r="N48" i="4"/>
  <c r="O42" i="4" s="1"/>
  <c r="O48" i="4" l="1"/>
  <c r="P42" i="4" s="1"/>
  <c r="B41" i="4"/>
  <c r="P48" i="4" l="1"/>
  <c r="Q42" i="4" s="1"/>
  <c r="E40" i="4"/>
  <c r="F40" i="4" s="1"/>
  <c r="G40" i="4" s="1"/>
  <c r="H40" i="4" s="1"/>
  <c r="I40" i="4" s="1"/>
  <c r="J40" i="4" s="1"/>
  <c r="K40" i="4" s="1"/>
  <c r="L40" i="4" s="1"/>
  <c r="M40" i="4" s="1"/>
  <c r="N40" i="4" s="1"/>
  <c r="O40" i="4" s="1"/>
  <c r="P40" i="4" s="1"/>
  <c r="Q40" i="4" s="1"/>
  <c r="R40" i="4" s="1"/>
  <c r="S40" i="4" s="1"/>
  <c r="T40" i="4" s="1"/>
  <c r="U40" i="4" s="1"/>
  <c r="V40" i="4" s="1"/>
  <c r="W40" i="4" s="1"/>
  <c r="X40" i="4" s="1"/>
  <c r="Y40" i="4" s="1"/>
  <c r="Z40" i="4" s="1"/>
  <c r="AA40" i="4" s="1"/>
  <c r="AB40" i="4" s="1"/>
  <c r="AC40" i="4" s="1"/>
  <c r="C41" i="4"/>
  <c r="Q48" i="4" l="1"/>
  <c r="R42" i="4" s="1"/>
  <c r="B27" i="1"/>
  <c r="R48" i="4" l="1"/>
  <c r="S42" i="4" s="1"/>
  <c r="S48" i="4" l="1"/>
  <c r="T42" i="4" s="1"/>
  <c r="T48" i="4" l="1"/>
  <c r="U42" i="4" s="1"/>
  <c r="C49" i="4"/>
  <c r="U48" i="4" l="1"/>
  <c r="V42" i="4" s="1"/>
  <c r="V48" i="4" l="1"/>
  <c r="W42" i="4" s="1"/>
  <c r="N13" i="1"/>
  <c r="W48" i="4" l="1"/>
  <c r="X42" i="4" s="1"/>
  <c r="B49" i="4"/>
  <c r="X48" i="4" l="1"/>
  <c r="Y42" i="4" s="1"/>
  <c r="H47" i="4"/>
  <c r="E14" i="3"/>
  <c r="N27" i="1"/>
  <c r="E35" i="4"/>
  <c r="F35" i="4" s="1"/>
  <c r="G35" i="4" s="1"/>
  <c r="H35" i="4" s="1"/>
  <c r="I35" i="4" s="1"/>
  <c r="J35" i="4" s="1"/>
  <c r="K35" i="4" s="1"/>
  <c r="L35" i="4" s="1"/>
  <c r="M35" i="4" s="1"/>
  <c r="N35" i="4" s="1"/>
  <c r="O35" i="4" s="1"/>
  <c r="P35" i="4" s="1"/>
  <c r="Q35" i="4" s="1"/>
  <c r="R35" i="4" s="1"/>
  <c r="S35" i="4" s="1"/>
  <c r="T35" i="4" s="1"/>
  <c r="U35" i="4" s="1"/>
  <c r="V35" i="4" s="1"/>
  <c r="W35" i="4" s="1"/>
  <c r="X35" i="4" s="1"/>
  <c r="Y35" i="4" s="1"/>
  <c r="Z35" i="4" s="1"/>
  <c r="AA35" i="4" s="1"/>
  <c r="AB35" i="4" s="1"/>
  <c r="AC35" i="4" s="1"/>
  <c r="B46" i="4"/>
  <c r="C46" i="4"/>
  <c r="C53" i="4" s="1"/>
  <c r="D37" i="4"/>
  <c r="D3" i="3"/>
  <c r="D16" i="3"/>
  <c r="D14" i="3"/>
  <c r="E27" i="3"/>
  <c r="F6" i="1"/>
  <c r="E9" i="1"/>
  <c r="J14" i="1"/>
  <c r="B12" i="10" s="1"/>
  <c r="J15" i="1"/>
  <c r="B13" i="10" s="1"/>
  <c r="L12" i="1"/>
  <c r="L26" i="1"/>
  <c r="B28" i="1"/>
  <c r="B29" i="1" s="1"/>
  <c r="B30" i="1" s="1"/>
  <c r="B31" i="1" s="1"/>
  <c r="B32" i="1" s="1"/>
  <c r="B33" i="1" s="1"/>
  <c r="B34" i="1" s="1"/>
  <c r="B35" i="1" s="1"/>
  <c r="B36" i="1" s="1"/>
  <c r="B37" i="1" s="1"/>
  <c r="P28" i="1"/>
  <c r="S28" i="1"/>
  <c r="N28" i="1"/>
  <c r="O28" i="1"/>
  <c r="D40" i="1" s="1"/>
  <c r="Q28" i="1"/>
  <c r="R28" i="1"/>
  <c r="P29" i="1"/>
  <c r="Q29" i="1"/>
  <c r="R29" i="1"/>
  <c r="S29" i="1"/>
  <c r="N30" i="1"/>
  <c r="P30" i="1"/>
  <c r="Q30" i="1"/>
  <c r="R30" i="1"/>
  <c r="S30" i="1"/>
  <c r="S31" i="1"/>
  <c r="N31" i="1"/>
  <c r="P31" i="1"/>
  <c r="Q31" i="1"/>
  <c r="R31" i="1"/>
  <c r="Q32" i="1"/>
  <c r="R32" i="1"/>
  <c r="S32" i="1"/>
  <c r="Q33" i="1"/>
  <c r="R33" i="1"/>
  <c r="P34" i="1"/>
  <c r="N34" i="1"/>
  <c r="B36" i="4" s="1"/>
  <c r="Q34" i="1"/>
  <c r="R34" i="1"/>
  <c r="P32" i="1"/>
  <c r="P33" i="1"/>
  <c r="S34" i="1"/>
  <c r="S33" i="1"/>
  <c r="C40" i="1" l="1"/>
  <c r="F27" i="3"/>
  <c r="F19" i="3"/>
  <c r="I19" i="3" s="1"/>
  <c r="H17" i="1" s="1"/>
  <c r="F18" i="3"/>
  <c r="I18" i="3" s="1"/>
  <c r="H16" i="1" s="1"/>
  <c r="F17" i="3"/>
  <c r="I17" i="3" s="1"/>
  <c r="H15" i="1" s="1"/>
  <c r="F20" i="3"/>
  <c r="I20" i="3" s="1"/>
  <c r="H18" i="1" s="1"/>
  <c r="L18" i="1"/>
  <c r="L13" i="1"/>
  <c r="Y33" i="4"/>
  <c r="Q33" i="4"/>
  <c r="I33" i="4"/>
  <c r="Z32" i="4"/>
  <c r="R32" i="4"/>
  <c r="J32" i="4"/>
  <c r="AA31" i="4"/>
  <c r="S31" i="4"/>
  <c r="K31" i="4"/>
  <c r="X33" i="4"/>
  <c r="P33" i="4"/>
  <c r="H33" i="4"/>
  <c r="Y32" i="4"/>
  <c r="Q32" i="4"/>
  <c r="I32" i="4"/>
  <c r="Z31" i="4"/>
  <c r="R31" i="4"/>
  <c r="J31" i="4"/>
  <c r="Z33" i="4"/>
  <c r="AB31" i="4"/>
  <c r="W33" i="4"/>
  <c r="O33" i="4"/>
  <c r="G33" i="4"/>
  <c r="X32" i="4"/>
  <c r="P32" i="4"/>
  <c r="H32" i="4"/>
  <c r="Y31" i="4"/>
  <c r="Q31" i="4"/>
  <c r="I31" i="4"/>
  <c r="D69" i="4"/>
  <c r="V33" i="4"/>
  <c r="N33" i="4"/>
  <c r="F33" i="4"/>
  <c r="W32" i="4"/>
  <c r="O32" i="4"/>
  <c r="G32" i="4"/>
  <c r="X31" i="4"/>
  <c r="P31" i="4"/>
  <c r="H31" i="4"/>
  <c r="AC33" i="4"/>
  <c r="U33" i="4"/>
  <c r="M33" i="4"/>
  <c r="E33" i="4"/>
  <c r="V32" i="4"/>
  <c r="N32" i="4"/>
  <c r="F32" i="4"/>
  <c r="W31" i="4"/>
  <c r="O31" i="4"/>
  <c r="G31" i="4"/>
  <c r="R33" i="4"/>
  <c r="AB33" i="4"/>
  <c r="T33" i="4"/>
  <c r="L33" i="4"/>
  <c r="AC32" i="4"/>
  <c r="U32" i="4"/>
  <c r="M32" i="4"/>
  <c r="E32" i="4"/>
  <c r="V31" i="4"/>
  <c r="N31" i="4"/>
  <c r="F31" i="4"/>
  <c r="AA32" i="4"/>
  <c r="K32" i="4"/>
  <c r="L31" i="4"/>
  <c r="AA33" i="4"/>
  <c r="S33" i="4"/>
  <c r="K33" i="4"/>
  <c r="AB32" i="4"/>
  <c r="T32" i="4"/>
  <c r="L32" i="4"/>
  <c r="AC31" i="4"/>
  <c r="U31" i="4"/>
  <c r="M31" i="4"/>
  <c r="E31" i="4"/>
  <c r="J33" i="4"/>
  <c r="S32" i="4"/>
  <c r="T31" i="4"/>
  <c r="Y48" i="4"/>
  <c r="Z42" i="4" s="1"/>
  <c r="L19" i="1"/>
  <c r="B22" i="10" s="1"/>
  <c r="I47" i="4"/>
  <c r="J47" i="4" s="1"/>
  <c r="K47" i="4" s="1"/>
  <c r="L47" i="4" s="1"/>
  <c r="M47" i="4" s="1"/>
  <c r="N47" i="4" s="1"/>
  <c r="O47" i="4" s="1"/>
  <c r="P47" i="4" s="1"/>
  <c r="Q47" i="4" s="1"/>
  <c r="R47" i="4" s="1"/>
  <c r="S47" i="4" s="1"/>
  <c r="T47" i="4" s="1"/>
  <c r="U47" i="4" s="1"/>
  <c r="V47" i="4" s="1"/>
  <c r="W47" i="4" s="1"/>
  <c r="X47" i="4" s="1"/>
  <c r="Y47" i="4" s="1"/>
  <c r="Z47" i="4" s="1"/>
  <c r="AA47" i="4" s="1"/>
  <c r="AB47" i="4" s="1"/>
  <c r="AC47" i="4" s="1"/>
  <c r="D39" i="4"/>
  <c r="D44" i="4" s="1"/>
  <c r="E37" i="4"/>
  <c r="H27" i="3"/>
  <c r="G27" i="3"/>
  <c r="L16" i="1"/>
  <c r="F4" i="3" l="1"/>
  <c r="H4" i="3"/>
  <c r="C14" i="3"/>
  <c r="G4" i="3" s="1"/>
  <c r="L14" i="1"/>
  <c r="B20" i="10"/>
  <c r="Z48" i="4"/>
  <c r="AA42" i="4" s="1"/>
  <c r="H64" i="4"/>
  <c r="H65" i="4"/>
  <c r="D45" i="4"/>
  <c r="D41" i="4"/>
  <c r="F37" i="4"/>
  <c r="E39" i="4"/>
  <c r="E44" i="4" s="1"/>
  <c r="L15" i="1"/>
  <c r="I4" i="3" l="1"/>
  <c r="H8" i="1" s="1"/>
  <c r="G14" i="3"/>
  <c r="H14" i="3"/>
  <c r="F14" i="3"/>
  <c r="AA48" i="4"/>
  <c r="AB42" i="4" s="1"/>
  <c r="D50" i="4"/>
  <c r="D49" i="4"/>
  <c r="D46" i="4"/>
  <c r="D53" i="4" s="1"/>
  <c r="G37" i="4"/>
  <c r="F39" i="4"/>
  <c r="F44" i="4" s="1"/>
  <c r="E41" i="4"/>
  <c r="AB48" i="4" l="1"/>
  <c r="AC42" i="4" s="1"/>
  <c r="E49" i="4"/>
  <c r="E45" i="4"/>
  <c r="E46" i="4" s="1"/>
  <c r="E53" i="4" s="1"/>
  <c r="G39" i="4"/>
  <c r="G44" i="4" s="1"/>
  <c r="H37" i="4"/>
  <c r="F41" i="4"/>
  <c r="H63" i="4"/>
  <c r="AC48" i="4" l="1"/>
  <c r="E50" i="4"/>
  <c r="F45" i="4"/>
  <c r="F46" i="4" s="1"/>
  <c r="F53" i="4" s="1"/>
  <c r="G41" i="4"/>
  <c r="I37" i="4"/>
  <c r="H39" i="4"/>
  <c r="H44" i="4" s="1"/>
  <c r="E68" i="4" l="1"/>
  <c r="F50" i="4"/>
  <c r="F68" i="4" s="1"/>
  <c r="G45" i="4"/>
  <c r="G46" i="4" s="1"/>
  <c r="H45" i="4"/>
  <c r="I39" i="4"/>
  <c r="I44" i="4" s="1"/>
  <c r="H41" i="4"/>
  <c r="J37" i="4"/>
  <c r="H50" i="4" l="1"/>
  <c r="H68" i="4" s="1"/>
  <c r="G50" i="4"/>
  <c r="G68" i="4" s="1"/>
  <c r="H46" i="4"/>
  <c r="I45" i="4"/>
  <c r="I41" i="4"/>
  <c r="K37" i="4"/>
  <c r="J39" i="4"/>
  <c r="J44" i="4" s="1"/>
  <c r="I50" i="4" l="1"/>
  <c r="I68" i="4" s="1"/>
  <c r="I46" i="4"/>
  <c r="J41" i="4"/>
  <c r="K39" i="4"/>
  <c r="K44" i="4" s="1"/>
  <c r="L37" i="4"/>
  <c r="J45" i="4" l="1"/>
  <c r="J46" i="4" s="1"/>
  <c r="K41" i="4"/>
  <c r="M37" i="4"/>
  <c r="L39" i="4"/>
  <c r="L44" i="4" s="1"/>
  <c r="J50" i="4" l="1"/>
  <c r="K45" i="4"/>
  <c r="K46" i="4" s="1"/>
  <c r="N37" i="4"/>
  <c r="L41" i="4"/>
  <c r="M39" i="4"/>
  <c r="M44" i="4" s="1"/>
  <c r="J68" i="4" l="1"/>
  <c r="K50" i="4"/>
  <c r="K68" i="4" s="1"/>
  <c r="L45" i="4"/>
  <c r="L46" i="4" s="1"/>
  <c r="O37" i="4"/>
  <c r="N39" i="4"/>
  <c r="N44" i="4" s="1"/>
  <c r="M41" i="4"/>
  <c r="L50" i="4" l="1"/>
  <c r="L68" i="4" s="1"/>
  <c r="M45" i="4"/>
  <c r="M46" i="4" s="1"/>
  <c r="O39" i="4"/>
  <c r="O44" i="4" s="1"/>
  <c r="P37" i="4"/>
  <c r="N41" i="4"/>
  <c r="M50" i="4" l="1"/>
  <c r="M68" i="4" s="1"/>
  <c r="N45" i="4"/>
  <c r="N46" i="4" s="1"/>
  <c r="O41" i="4"/>
  <c r="Q37" i="4"/>
  <c r="P39" i="4"/>
  <c r="P44" i="4" s="1"/>
  <c r="N50" i="4" l="1"/>
  <c r="N68" i="4" s="1"/>
  <c r="O45" i="4"/>
  <c r="O46" i="4" s="1"/>
  <c r="P41" i="4"/>
  <c r="Q39" i="4"/>
  <c r="Q44" i="4" s="1"/>
  <c r="R37" i="4"/>
  <c r="O50" i="4" l="1"/>
  <c r="O68" i="4" s="1"/>
  <c r="P45" i="4"/>
  <c r="P46" i="4" s="1"/>
  <c r="Q41" i="4"/>
  <c r="Q45" i="4"/>
  <c r="S37" i="4"/>
  <c r="R39" i="4"/>
  <c r="R44" i="4" s="1"/>
  <c r="Q50" i="4" l="1"/>
  <c r="Q68" i="4" s="1"/>
  <c r="P50" i="4"/>
  <c r="P68" i="4" s="1"/>
  <c r="R41" i="4"/>
  <c r="Q46" i="4"/>
  <c r="S39" i="4"/>
  <c r="S44" i="4" s="1"/>
  <c r="T37" i="4"/>
  <c r="R45" i="4" l="1"/>
  <c r="R46" i="4" s="1"/>
  <c r="S41" i="4"/>
  <c r="S45" i="4"/>
  <c r="U37" i="4"/>
  <c r="T39" i="4"/>
  <c r="T44" i="4" s="1"/>
  <c r="S50" i="4" l="1"/>
  <c r="S68" i="4" s="1"/>
  <c r="R50" i="4"/>
  <c r="R68" i="4" s="1"/>
  <c r="T45" i="4"/>
  <c r="T41" i="4"/>
  <c r="V37" i="4"/>
  <c r="U39" i="4"/>
  <c r="U44" i="4" s="1"/>
  <c r="S46" i="4"/>
  <c r="T50" i="4" l="1"/>
  <c r="T68" i="4" s="1"/>
  <c r="T46" i="4"/>
  <c r="U41" i="4"/>
  <c r="U45" i="4"/>
  <c r="W37" i="4"/>
  <c r="V39" i="4"/>
  <c r="V44" i="4" s="1"/>
  <c r="U50" i="4" l="1"/>
  <c r="U68" i="4" s="1"/>
  <c r="X37" i="4"/>
  <c r="W39" i="4"/>
  <c r="W44" i="4" s="1"/>
  <c r="U46" i="4"/>
  <c r="V41" i="4"/>
  <c r="V45" i="4" l="1"/>
  <c r="V46" i="4" s="1"/>
  <c r="W45" i="4"/>
  <c r="W41" i="4"/>
  <c r="X39" i="4"/>
  <c r="X44" i="4" s="1"/>
  <c r="Y37" i="4"/>
  <c r="W50" i="4" l="1"/>
  <c r="W68" i="4" s="1"/>
  <c r="V50" i="4"/>
  <c r="V68" i="4" s="1"/>
  <c r="W46" i="4"/>
  <c r="X41" i="4"/>
  <c r="X45" i="4"/>
  <c r="Y39" i="4"/>
  <c r="Y44" i="4" s="1"/>
  <c r="Z37" i="4"/>
  <c r="X50" i="4" l="1"/>
  <c r="X68" i="4" s="1"/>
  <c r="Y41" i="4"/>
  <c r="AA37" i="4"/>
  <c r="X46" i="4"/>
  <c r="Z39" i="4"/>
  <c r="Z44" i="4" s="1"/>
  <c r="Y45" i="4" l="1"/>
  <c r="Y46" i="4" s="1"/>
  <c r="Z41" i="4"/>
  <c r="Z45" i="4"/>
  <c r="AA39" i="4"/>
  <c r="AA44" i="4" s="1"/>
  <c r="AB37" i="4"/>
  <c r="Z50" i="4" l="1"/>
  <c r="Z68" i="4" s="1"/>
  <c r="Y50" i="4"/>
  <c r="Y68" i="4" s="1"/>
  <c r="AA41" i="4"/>
  <c r="AB39" i="4"/>
  <c r="AB44" i="4" s="1"/>
  <c r="AC37" i="4"/>
  <c r="Z46" i="4"/>
  <c r="AA45" i="4" l="1"/>
  <c r="AA46" i="4" s="1"/>
  <c r="AB45" i="4"/>
  <c r="AB41" i="4"/>
  <c r="AC39" i="4"/>
  <c r="AC44" i="4" s="1"/>
  <c r="AB50" i="4" l="1"/>
  <c r="AA50" i="4"/>
  <c r="AA68" i="4" s="1"/>
  <c r="AB46" i="4"/>
  <c r="AC45" i="4"/>
  <c r="AC41" i="4"/>
  <c r="AB68" i="4" l="1"/>
  <c r="D68" i="4" s="1"/>
  <c r="E62" i="4"/>
  <c r="D62" i="4"/>
  <c r="AC50" i="4"/>
  <c r="AC46" i="4"/>
  <c r="AC68" i="4" l="1"/>
  <c r="D63" i="4"/>
  <c r="D64" i="4" s="1"/>
  <c r="E63" i="4"/>
  <c r="E64" i="4" s="1"/>
  <c r="AC52" i="4"/>
  <c r="C63" i="4" s="1"/>
  <c r="D51" i="4" l="1"/>
  <c r="E51" i="4" s="1"/>
  <c r="F51" i="4" s="1"/>
  <c r="G51" i="4" s="1"/>
  <c r="H51" i="4" s="1"/>
  <c r="I51" i="4" s="1"/>
  <c r="J51" i="4" s="1"/>
  <c r="K51" i="4" s="1"/>
  <c r="L51" i="4" s="1"/>
  <c r="M51" i="4" s="1"/>
  <c r="N51" i="4" s="1"/>
  <c r="O51" i="4" s="1"/>
  <c r="P51" i="4" s="1"/>
  <c r="Q51" i="4" s="1"/>
  <c r="R51" i="4" s="1"/>
  <c r="S51" i="4" s="1"/>
  <c r="T51" i="4" s="1"/>
  <c r="U51" i="4" s="1"/>
  <c r="V51" i="4" s="1"/>
  <c r="W51" i="4" s="1"/>
  <c r="X51" i="4" s="1"/>
  <c r="Y51" i="4" s="1"/>
  <c r="Z51" i="4" s="1"/>
  <c r="AA51" i="4" s="1"/>
  <c r="AB51" i="4" s="1"/>
  <c r="AC51" i="4" l="1"/>
  <c r="AB52" i="4"/>
  <c r="C62" i="4" s="1"/>
  <c r="B61" i="4" l="1"/>
  <c r="B62" i="4" s="1"/>
  <c r="B63" i="4" l="1"/>
  <c r="B67" i="4" s="1"/>
  <c r="F56" i="4"/>
  <c r="D55" i="4"/>
  <c r="F55" i="4"/>
  <c r="B64" i="4"/>
  <c r="D56" i="4"/>
  <c r="E56" i="4"/>
  <c r="E55" i="4"/>
  <c r="B65" i="4" l="1"/>
  <c r="D65" i="4"/>
  <c r="E65" i="4"/>
  <c r="B69" i="4"/>
  <c r="B6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bloomberg-alunos</author>
    <author>林伊婧</author>
    <author>tc={2D21B422-214D-4BD4-8EBB-116C79AFB833}</author>
    <author>tc={0F7700B8-A92C-43DA-BC7C-8450F2E84BCF}</author>
    <author>tc={84352CAE-28FA-49D1-825E-482847CF9FA6}</author>
    <author>tc={EC058790-77DD-456D-AEFB-AB2468C78050}</author>
    <author>tc={A5ED3A09-5CB3-485C-A331-4B7D8BE03701}</author>
    <author>tc={3EA7F963-A939-4D0A-AA26-CA0E900D8242}</author>
    <author>Lalo Rodriguez</author>
    <author>tc={2E2CC02E-A12E-48C9-9881-2D193DB0AFE4}</author>
    <author>tc={01C42181-0911-4B10-9B2A-F0D52B0B7CB5}</author>
    <author>tc={0E1C60ED-E9D7-4AA7-9480-D41266B13B8B}</author>
    <author>tc={0905C6C6-CD96-4462-8FA9-5AC629D4F0ED}</author>
    <author>tc={299D4AD3-1BF8-47E1-B65A-69D81D8ED374}</author>
    <author>tc={08011969-9D32-4FF4-B8D2-9885B5A317A2}</author>
    <author>tc={BC570A57-A854-4E0D-8BD2-09E26F818634}</author>
    <author>tc={E9E5579E-22A8-4064-B2B4-79FF769877C3}</author>
    <author>tc={4E313B51-C58F-4199-84C7-79C93DA3E047}</author>
    <author>tc={5A498304-FC5E-451C-889F-A7CAD1384612}</author>
    <author>tc={32AF07B8-E1A3-4874-A554-8A2766E9EBED}</author>
    <author>tc={3A50845A-A050-4EE1-AD8C-5EAA5B3FB846}</author>
    <author>tc={2116221E-A842-47FD-9E3A-4E5CE681E60C}</author>
    <author>tc={E3E1D7E6-2B65-4479-B18C-025D2591937F}</author>
  </authors>
  <commentList>
    <comment ref="B2" authorId="0" shapeId="0" xr:uid="{00000000-0006-0000-0000-000001000000}">
      <text>
        <r>
          <rPr>
            <b/>
            <sz val="9"/>
            <color indexed="81"/>
            <rFont val="Tahoma"/>
            <family val="2"/>
          </rPr>
          <t>(date of last modification)</t>
        </r>
      </text>
    </comment>
    <comment ref="D2" authorId="0" shapeId="0" xr:uid="{00000000-0006-0000-0000-000002000000}">
      <text>
        <r>
          <rPr>
            <b/>
            <sz val="9"/>
            <color indexed="81"/>
            <rFont val="Tahoma"/>
            <family val="2"/>
          </rPr>
          <t>Date of last report/release</t>
        </r>
      </text>
    </comment>
    <comment ref="K2" authorId="0" shapeId="0" xr:uid="{00000000-0006-0000-0000-000003000000}">
      <text>
        <r>
          <rPr>
            <b/>
            <sz val="9"/>
            <color indexed="81"/>
            <rFont val="Tahoma"/>
            <family val="2"/>
          </rPr>
          <t>Stock market</t>
        </r>
      </text>
    </comment>
    <comment ref="B7" authorId="1" shapeId="0" xr:uid="{00000000-0006-0000-0000-000004000000}">
      <text>
        <r>
          <rPr>
            <b/>
            <sz val="10"/>
            <color rgb="FF000000"/>
            <rFont val="Tahoma"/>
            <family val="2"/>
          </rPr>
          <t>Last price</t>
        </r>
        <r>
          <rPr>
            <sz val="10"/>
            <color rgb="FF000000"/>
            <rFont val="Tahoma"/>
            <family val="2"/>
          </rPr>
          <t xml:space="preserve">
</t>
        </r>
      </text>
    </comment>
    <comment ref="D7" authorId="1" shapeId="0" xr:uid="{00000000-0006-0000-0000-000005000000}">
      <text>
        <r>
          <rPr>
            <b/>
            <sz val="10"/>
            <color rgb="FF000000"/>
            <rFont val="Tahoma"/>
            <family val="2"/>
          </rPr>
          <t>Total Assets</t>
        </r>
        <r>
          <rPr>
            <sz val="10"/>
            <color rgb="FF000000"/>
            <rFont val="Tahoma"/>
            <family val="2"/>
          </rPr>
          <t xml:space="preserve">
</t>
        </r>
      </text>
    </comment>
    <comment ref="I7" authorId="0" shapeId="0" xr:uid="{00000000-0006-0000-0000-000006000000}">
      <text>
        <r>
          <rPr>
            <b/>
            <sz val="9"/>
            <color indexed="81"/>
            <rFont val="Tahoma"/>
            <family val="2"/>
          </rPr>
          <t>End of financial year</t>
        </r>
      </text>
    </comment>
    <comment ref="D8" authorId="1" shapeId="0" xr:uid="{00000000-0006-0000-0000-000007000000}">
      <text>
        <r>
          <rPr>
            <b/>
            <sz val="10"/>
            <color rgb="FF000000"/>
            <rFont val="Tahoma"/>
            <family val="2"/>
          </rPr>
          <t>Total liabilities</t>
        </r>
        <r>
          <rPr>
            <sz val="10"/>
            <color rgb="FF000000"/>
            <rFont val="Tahoma"/>
            <family val="2"/>
          </rPr>
          <t xml:space="preserve">
</t>
        </r>
      </text>
    </comment>
    <comment ref="B10" authorId="1" shapeId="0" xr:uid="{00000000-0006-0000-0000-000008000000}">
      <text>
        <r>
          <rPr>
            <b/>
            <sz val="10"/>
            <color rgb="FF000000"/>
            <rFont val="Tahoma"/>
            <family val="2"/>
          </rPr>
          <t>Debt</t>
        </r>
        <r>
          <rPr>
            <sz val="10"/>
            <color rgb="FF000000"/>
            <rFont val="Tahoma"/>
            <family val="2"/>
          </rPr>
          <t xml:space="preserve">
</t>
        </r>
      </text>
    </comment>
    <comment ref="D10" authorId="1" shapeId="0" xr:uid="{00000000-0006-0000-0000-000009000000}">
      <text>
        <r>
          <rPr>
            <b/>
            <sz val="10"/>
            <color rgb="FF000000"/>
            <rFont val="Tahoma"/>
            <family val="2"/>
          </rPr>
          <t>EBITDA/Net financial cost</t>
        </r>
        <r>
          <rPr>
            <sz val="10"/>
            <color rgb="FF000000"/>
            <rFont val="Tahoma"/>
            <family val="2"/>
          </rPr>
          <t xml:space="preserve">
</t>
        </r>
      </text>
    </comment>
    <comment ref="D11" authorId="1" shapeId="0" xr:uid="{00000000-0006-0000-0000-00000A000000}">
      <text>
        <r>
          <rPr>
            <b/>
            <sz val="10"/>
            <color rgb="FF000000"/>
            <rFont val="Tahoma"/>
            <family val="2"/>
          </rPr>
          <t>Debt/EBITDA</t>
        </r>
        <r>
          <rPr>
            <sz val="10"/>
            <color rgb="FF000000"/>
            <rFont val="Tahoma"/>
            <family val="2"/>
          </rPr>
          <t xml:space="preserve">
</t>
        </r>
      </text>
    </comment>
    <comment ref="D12" authorId="1" shapeId="0" xr:uid="{00000000-0006-0000-0000-00000B000000}">
      <text>
        <r>
          <rPr>
            <b/>
            <sz val="10"/>
            <color rgb="FF000000"/>
            <rFont val="Tahoma"/>
            <family val="2"/>
          </rPr>
          <t>Other assets</t>
        </r>
        <r>
          <rPr>
            <sz val="10"/>
            <color rgb="FF000000"/>
            <rFont val="Tahoma"/>
            <family val="2"/>
          </rPr>
          <t xml:space="preserve">
</t>
        </r>
      </text>
    </comment>
    <comment ref="B13" authorId="1" shapeId="0" xr:uid="{00000000-0006-0000-0000-00000C000000}">
      <text>
        <r>
          <rPr>
            <sz val="10"/>
            <color rgb="FF000000"/>
            <rFont val="Arial"/>
            <family val="2"/>
          </rPr>
          <t>'Holdings (nac/int'l)</t>
        </r>
      </text>
    </comment>
    <comment ref="D13" authorId="1" shapeId="0" xr:uid="{00000000-0006-0000-0000-00000D000000}">
      <text>
        <r>
          <rPr>
            <b/>
            <sz val="10"/>
            <color rgb="FF000000"/>
            <rFont val="Tahoma"/>
            <family val="2"/>
          </rPr>
          <t>Debt/asset</t>
        </r>
      </text>
    </comment>
    <comment ref="B14" authorId="1" shapeId="0" xr:uid="{00000000-0006-0000-0000-00000E000000}">
      <text>
        <r>
          <rPr>
            <sz val="10"/>
            <color rgb="FF000000"/>
            <rFont val="Arial"/>
            <family val="2"/>
          </rPr>
          <t>t liq. (Holdings/Vol.)</t>
        </r>
      </text>
    </comment>
    <comment ref="D14" authorId="1" shapeId="0" xr:uid="{00000000-0006-0000-0000-00000F000000}">
      <text>
        <r>
          <rPr>
            <b/>
            <sz val="10"/>
            <color rgb="FF000000"/>
            <rFont val="Tahoma"/>
            <family val="2"/>
          </rPr>
          <t>Operating margin</t>
        </r>
      </text>
    </comment>
    <comment ref="E14" authorId="2" shapeId="0" xr:uid="{2D21B422-214D-4BD4-8EBB-116C79AFB833}">
      <text>
        <t>[Threaded comment]
Your version of Excel allows you to read this threaded comment; however, any edits to it will get removed if the file is opened in a newer version of Excel. Learn more: https://go.microsoft.com/fwlink/?linkid=870924
Comment:
    Industry average is 4,69%.
Since the specialty retail industry is an agreggation of many different types of businesses, this is not a good benchmark in my opinion.</t>
      </text>
    </comment>
    <comment ref="J14" authorId="3" shapeId="0" xr:uid="{0F7700B8-A92C-43DA-BC7C-8450F2E84BCF}">
      <text>
        <t>[Threaded comment]
Your version of Excel allows you to read this threaded comment; however, any edits to it will get removed if the file is opened in a newer version of Excel. Learn more: https://go.microsoft.com/fwlink/?linkid=870924
Comment:
    Industry average is 4,3%.
Since the specialty retail industry is an agreggation of many different types of businesses, this is not a good benchmark in my opinion.</t>
      </text>
    </comment>
    <comment ref="C15" authorId="4" shapeId="0" xr:uid="{84352CAE-28FA-49D1-825E-482847CF9FA6}">
      <text>
        <t xml:space="preserve">[Threaded comment]
Your version of Excel allows you to read this threaded comment; however, any edits to it will get removed if the file is opened in a newer version of Excel. Learn more: https://go.microsoft.com/fwlink/?linkid=870924
Comment:
    The company stated that the existence of Convertible Senior Notes may encourage short selling by market participants because the conversion of the Convertible Senior Notes could depress the price of the company’s common stock. </t>
      </text>
    </comment>
    <comment ref="D15" authorId="1" shapeId="0" xr:uid="{00000000-0006-0000-0000-000010000000}">
      <text>
        <r>
          <rPr>
            <b/>
            <sz val="10"/>
            <color rgb="FF000000"/>
            <rFont val="Tahoma"/>
            <family val="2"/>
          </rPr>
          <t>Net income margin</t>
        </r>
        <r>
          <rPr>
            <sz val="10"/>
            <color rgb="FF000000"/>
            <rFont val="Tahoma"/>
            <family val="2"/>
          </rPr>
          <t xml:space="preserve">
</t>
        </r>
      </text>
    </comment>
    <comment ref="E15" authorId="5" shapeId="0" xr:uid="{EC058790-77DD-456D-AEFB-AB2468C78050}">
      <text>
        <t>[Threaded comment]
Your version of Excel allows you to read this threaded comment; however, any edits to it will get removed if the file is opened in a newer version of Excel. Learn more: https://go.microsoft.com/fwlink/?linkid=870924
Comment:
    Industry average is 2,5%.
Since the specialty retail industry is an agreggation of many different types of businesses, this is not a good benchmark in my opinion.</t>
      </text>
    </comment>
    <comment ref="J15" authorId="6" shapeId="0" xr:uid="{A5ED3A09-5CB3-485C-A331-4B7D8BE03701}">
      <text>
        <t>[Threaded comment]
Your version of Excel allows you to read this threaded comment; however, any edits to it will get removed if the file is opened in a newer version of Excel. Learn more: https://go.microsoft.com/fwlink/?linkid=870924
Comment:
    Industry average is 17,94%.
Since the specialty retail industry is an agreggation of many different types of businesses, this is not a good benchmark in my opinion.</t>
      </text>
    </comment>
    <comment ref="D16" authorId="1" shapeId="0" xr:uid="{00000000-0006-0000-0000-000011000000}">
      <text>
        <r>
          <rPr>
            <b/>
            <sz val="10"/>
            <color rgb="FF000000"/>
            <rFont val="Tahoma"/>
            <family val="2"/>
          </rPr>
          <t>EBITDA/Revenue</t>
        </r>
        <r>
          <rPr>
            <sz val="10"/>
            <color rgb="FF000000"/>
            <rFont val="Tahoma"/>
            <family val="2"/>
          </rPr>
          <t xml:space="preserve">
</t>
        </r>
      </text>
    </comment>
    <comment ref="E16" authorId="7" shapeId="0" xr:uid="{3EA7F963-A939-4D0A-AA26-CA0E900D8242}">
      <text>
        <t>[Threaded comment]
Your version of Excel allows you to read this threaded comment; however, any edits to it will get removed if the file is opened in a newer version of Excel. Learn more: https://go.microsoft.com/fwlink/?linkid=870924
Comment:
    Industry average is 6,82%.
Since the specialty retail industry is an agreggation of many different types of businesses, this is not a good benchmark in my opinion.</t>
      </text>
    </comment>
    <comment ref="C17" authorId="8" shapeId="0" xr:uid="{00000000-0006-0000-0000-000012000000}">
      <text>
        <r>
          <rPr>
            <b/>
            <sz val="9"/>
            <color rgb="FF000000"/>
            <rFont val="Tahoma"/>
            <family val="2"/>
          </rPr>
          <t>Write a brief conclusion for each section of ESG, justifying why you chose this traffic light</t>
        </r>
      </text>
    </comment>
    <comment ref="D17" authorId="1" shapeId="0" xr:uid="{00000000-0006-0000-0000-000013000000}">
      <text>
        <r>
          <rPr>
            <b/>
            <sz val="10"/>
            <color rgb="FF000000"/>
            <rFont val="Tahoma"/>
            <family val="2"/>
          </rPr>
          <t>林伊婧</t>
        </r>
        <r>
          <rPr>
            <b/>
            <sz val="10"/>
            <color rgb="FF000000"/>
            <rFont val="Tahoma"/>
            <family val="2"/>
          </rPr>
          <t>:</t>
        </r>
        <r>
          <rPr>
            <sz val="10"/>
            <color rgb="FF000000"/>
            <rFont val="Tahoma"/>
            <family val="2"/>
          </rPr>
          <t xml:space="preserve">
</t>
        </r>
      </text>
    </comment>
    <comment ref="B21" authorId="9" shapeId="0" xr:uid="{2E2CC02E-A12E-48C9-9881-2D193DB0AFE4}">
      <text>
        <t>[Threaded comment]
Your version of Excel allows you to read this threaded comment; however, any edits to it will get removed if the file is opened in a newer version of Excel. Learn more: https://go.microsoft.com/fwlink/?linkid=870924
Comment:
    Source for USA population's increased purchasing power: https://home.treasury.gov/news/featured-stories/the-purchasing-power-of-american-households
Source for growing interest in sporting goods: https://www.statista.com/topics/961/sporting-goods/#topicOverview</t>
      </text>
    </comment>
    <comment ref="I24" authorId="1" shapeId="0" xr:uid="{00000000-0006-0000-0000-000014000000}">
      <text>
        <r>
          <rPr>
            <b/>
            <sz val="10"/>
            <color rgb="FF000000"/>
            <rFont val="Tahoma"/>
            <family val="2"/>
          </rPr>
          <t>Discount rate</t>
        </r>
        <r>
          <rPr>
            <sz val="10"/>
            <color rgb="FF000000"/>
            <rFont val="Tahoma"/>
            <family val="2"/>
          </rPr>
          <t xml:space="preserve">
</t>
        </r>
      </text>
    </comment>
    <comment ref="E28" authorId="10" shapeId="0" xr:uid="{01C42181-0911-4B10-9B2A-F0D52B0B7CB5}">
      <text>
        <t>[Threaded comment]
Your version of Excel allows you to read this threaded comment; however, any edits to it will get removed if the file is opened in a newer version of Excel. Learn more: https://go.microsoft.com/fwlink/?linkid=870924
Comment:
    Lower share repurchases</t>
      </text>
    </comment>
    <comment ref="E29" authorId="11" shapeId="0" xr:uid="{0E1C60ED-E9D7-4AA7-9480-D41266B13B8B}">
      <text>
        <t>[Threaded comment]
Your version of Excel allows you to read this threaded comment; however, any edits to it will get removed if the file is opened in a newer version of Excel. Learn more: https://go.microsoft.com/fwlink/?linkid=870924
Comment:
    Higher amounts of share buyback compared to 2014</t>
      </text>
    </comment>
    <comment ref="D30" authorId="12" shapeId="0" xr:uid="{0905C6C6-CD96-4462-8FA9-5AC629D4F0ED}">
      <text>
        <t>[Threaded comment]
Your version of Excel allows you to read this threaded comment; however, any edits to it will get removed if the file is opened in a newer version of Excel. Learn more: https://go.microsoft.com/fwlink/?linkid=870924
Comment:
    Lower operating income due to inventory write-down.</t>
      </text>
    </comment>
    <comment ref="E33" authorId="13" shapeId="0" xr:uid="{299D4AD3-1BF8-47E1-B65A-69D81D8ED374}">
      <text>
        <t>[Threaded comment]
Your version of Excel allows you to read this threaded comment; however, any edits to it will get removed if the file is opened in a newer version of Excel. Learn more: https://go.microsoft.com/fwlink/?linkid=870924
Comment:
    High amounts of share repurchases</t>
      </text>
    </comment>
    <comment ref="G33" authorId="14" shapeId="0" xr:uid="{08011969-9D32-4FF4-B8D2-9885B5A317A2}">
      <text>
        <t xml:space="preserve">[Threaded comment]
Your version of Excel allows you to read this threaded comment; however, any edits to it will get removed if the file is opened in a newer version of Excel. Learn more: https://go.microsoft.com/fwlink/?linkid=870924
Comment:
    Higher values of debt.
"During fiscal 2017, we financed $62.5 million for the purchase of a corporate aircraft. During fiscal 2019, we sold the aircraft and extinguished the related debt, which was $56.1 million as of the end of fiscal 2018." - Annual report 2019, page 15 </t>
      </text>
    </comment>
    <comment ref="D34" authorId="15" shapeId="0" xr:uid="{BC570A57-A854-4E0D-8BD2-09E26F818634}">
      <text>
        <t xml:space="preserve">[Threaded comment]
Your version of Excel allows you to read this threaded comment; however, any edits to it will get removed if the file is opened in a newer version of Excel. Learn more: https://go.microsoft.com/fwlink/?linkid=870924
Comment:
    This increase was due primarily to merchandise margin expansion and an increase in eCommerce shipping and fulfillment costs. </t>
      </text>
    </comment>
    <comment ref="D35" authorId="16" shapeId="0" xr:uid="{E9E5579E-22A8-4064-B2B4-79FF769877C3}">
      <text>
        <t>[Threaded comment]
Your version of Excel allows you to read this threaded comment; however, any edits to it will get removed if the file is opened in a newer version of Excel. Learn more: https://go.microsoft.com/fwlink/?linkid=870924
Comment:
    Primarily due to higher merchandise margin, due to an implementation of a different promotional strategy.</t>
      </text>
    </comment>
    <comment ref="E35" authorId="17" shapeId="0" xr:uid="{4E313B51-C58F-4199-84C7-79C93DA3E047}">
      <text>
        <t>[Threaded comment]
Your version of Excel allows you to read this threaded comment; however, any edits to it will get removed if the file is opened in a newer version of Excel. Learn more: https://go.microsoft.com/fwlink/?linkid=870924
Comment:
    Higher dividends and higher amounts of share repurchases</t>
      </text>
    </comment>
    <comment ref="E36" authorId="18" shapeId="0" xr:uid="{5A498304-FC5E-451C-889F-A7CAD1384612}">
      <text>
        <t>[Threaded comment]
Your version of Excel allows you to read this threaded comment; however, any edits to it will get removed if the file is opened in a newer version of Excel. Learn more: https://go.microsoft.com/fwlink/?linkid=870924
Comment:
    Lower amounts of dividends paid</t>
      </text>
    </comment>
    <comment ref="F36" authorId="19" shapeId="0" xr:uid="{32AF07B8-E1A3-4874-A554-8A2766E9EBED}">
      <text>
        <t>[Threaded comment]
Your version of Excel allows you to read this threaded comment; however, any edits to it will get removed if the file is opened in a newer version of Excel. Learn more: https://go.microsoft.com/fwlink/?linkid=870924
Comment:
    The decrease was primarily due to a decrease in earnings and an increase in cash payments for inventory and accounts payable to replenish inventory levels after a sales increase in fiscal 2021 and supply chain disruptions following the emergence of COVID-19.</t>
      </text>
    </comment>
    <comment ref="E37" authorId="20" shapeId="0" xr:uid="{3A50845A-A050-4EE1-AD8C-5EAA5B3FB846}">
      <text>
        <t>[Threaded comment]
Your version of Excel allows you to read this threaded comment; however, any edits to it will get removed if the file is opened in a newer version of Excel. Learn more: https://go.microsoft.com/fwlink/?linkid=870924
Comment:
    Higher dividends and higher amounts of share repurchases</t>
      </text>
    </comment>
    <comment ref="B53" authorId="0" shapeId="0" xr:uid="{00000000-0006-0000-0000-000015000000}">
      <text>
        <r>
          <rPr>
            <b/>
            <sz val="9"/>
            <color indexed="81"/>
            <rFont val="Tahoma"/>
            <family val="2"/>
          </rPr>
          <t>average of last 3 years</t>
        </r>
        <r>
          <rPr>
            <sz val="9"/>
            <color indexed="81"/>
            <rFont val="Tahoma"/>
            <family val="2"/>
          </rPr>
          <t xml:space="preserve">
</t>
        </r>
      </text>
    </comment>
    <comment ref="B55" authorId="21" shapeId="0" xr:uid="{2116221E-A842-47FD-9E3A-4E5CE681E60C}">
      <text>
        <t>[Threaded comment]
Your version of Excel allows you to read this threaded comment; however, any edits to it will get removed if the file is opened in a newer version of Excel. Learn more: https://go.microsoft.com/fwlink/?linkid=870924
Comment:
    Source: https://www.tipranks.com/news/class-action-suit-against-dicks-sporting-goods-inc-dks</t>
      </text>
    </comment>
    <comment ref="B57" authorId="22" shapeId="0" xr:uid="{E3E1D7E6-2B65-4479-B18C-025D2591937F}">
      <text>
        <t>[Threaded comment]
Your version of Excel allows you to read this threaded comment; however, any edits to it will get removed if the file is opened in a newer version of Excel. Learn more: https://go.microsoft.com/fwlink/?linkid=870924
Comment:
    Source: https://violationtracker.goodjobsfirst.org/parent/dicks-sporting-goods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tc={E2027ED7-1532-4F7F-9C04-35C53C8FFB8A}</author>
  </authors>
  <commentList>
    <comment ref="D40" authorId="0" shapeId="0" xr:uid="{E2027ED7-1532-4F7F-9C04-35C53C8FFB8A}">
      <text>
        <t>[Threaded comment]
Your version of Excel allows you to read this threaded comment; however, any edits to it will get removed if the file is opened in a newer version of Excel. Learn more: https://go.microsoft.com/fwlink/?linkid=870924
Comment:
    A specialty concept store is a retail space that emphasizes a specific theme or experience, often incorporating unique product selections, personalized services, and interactive elements. These stores aim to create a memorable shopping experience that resonates with customers on a deeper level.</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tc={4B1DBFCE-EDBF-4E8C-984C-B1607F6DD623}</author>
    <author>tc={AA3614D3-3E77-480D-BE03-E1AFA60EF58A}</author>
    <author>tc={7E306D2A-1DEB-485F-B7E4-BED96CD58106}</author>
  </authors>
  <commentList>
    <comment ref="C2" authorId="0" shapeId="0" xr:uid="{4B1DBFCE-EDBF-4E8C-984C-B1607F6DD623}">
      <text>
        <t>[Threaded comment]
Your version of Excel allows you to read this threaded comment; however, any edits to it will get removed if the file is opened in a newer version of Excel. Learn more: https://go.microsoft.com/fwlink/?linkid=870924
Comment:
    Hibbett Sports is a leading athletic-inspired fashion retailer that specializes in premium footwear, apparel, and sporting goods. With over 1,000 stores across the United States, primarily in small to mid-sized markets, Hibbett offers top brands like Nike, Adidas, Jordan, and Under Armour. The company focuses on providing a curated selection of high-quality products for sports enthusiasts, sneakerheads, and active individuals.
Hibbett Sports is a strong peer to DICK’s Sporting Goods due to its similar product mix, emphasis on athletic performance and lifestyle brands, and commitment to exceptional customer service. While DICK’s operates larger-format stores with a broad sporting goods selection, Hibbett’s smaller, community-focused locations offer a more personalized shopping experience, making both companies key players in the athletic retail space.</t>
      </text>
    </comment>
    <comment ref="D2" authorId="1" shapeId="0" xr:uid="{AA3614D3-3E77-480D-BE03-E1AFA60EF58A}">
      <text>
        <t>[Threaded comment]
Your version of Excel allows you to read this threaded comment; however, any edits to it will get removed if the file is opened in a newer version of Excel. Learn more: https://go.microsoft.com/fwlink/?linkid=870924
Comment:
    Academy Sports and Outdoors is a leading full-line sporting goods and outdoor retailer, offering a wide selection of products, including athletic and casual footwear, sports apparel, outdoor and hunting gear, fishing equipment, and fitness essentials. The company operates over 250 stores across the Southern and Midwest United States, serving a broad customer base with quality products from top brands like Nike, Under Armour, Columbia, and Yeti.
Academy Sports and Outdoors is a strong peer to DICK’s Sporting Goods due to its similar focus on sports, outdoor recreation, and active lifestyles. Both retailers cater to athletes, outdoor enthusiasts, and families, providing a diverse range of products. While DICK’s has a national presence with a wider footprint, Academy’s stronghold in the South and competitive pricing make it a formidable competitor in the sporting goods retail industry.</t>
      </text>
    </comment>
    <comment ref="E2" authorId="2" shapeId="0" xr:uid="{7E306D2A-1DEB-485F-B7E4-BED96CD58106}">
      <text>
        <t xml:space="preserve">[Threaded comment]
Your version of Excel allows you to read this threaded comment; however, any edits to it will get removed if the file is opened in a newer version of Excel. Learn more: https://go.microsoft.com/fwlink/?linkid=870924
Comment:
    Foot Locker is a global retailer specializing in athletic footwear, apparel, and accessories, with a strong emphasis on sneaker culture and sports-inspired fashion. The company operates thousands of stores across North America, Europe, Asia, and Australia, offering top brands such as Nike, Adidas, Jordan, Puma, and New Balance. Foot Locker caters to sneaker enthusiasts, athletes, and casual wear customers through its various store formats, including Champs Sports, Eastbay, and Kids Foot Locker.
Foot Locker is a strong peer to DICK’s Sporting Goods due to its shared focus on athletic performance and lifestyle products. While DICK’s offers a broader selection of sporting equipment and outdoor gear, Foot Locker excels in curated sneaker collections and exclusive releases. Both retailers are key players in the athletic retail market, serving overlapping customer segments with premium footwear and apparel.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林伊婧</author>
  </authors>
  <commentList>
    <comment ref="C3" authorId="0" shapeId="0" xr:uid="{00000000-0006-0000-0500-000001000000}">
      <text>
        <r>
          <rPr>
            <b/>
            <sz val="10"/>
            <color rgb="FF000000"/>
            <rFont val="Tahoma"/>
            <family val="2"/>
          </rPr>
          <t>Impact, scale from: none,low,medium and high</t>
        </r>
      </text>
    </comment>
    <comment ref="D3" authorId="0" shapeId="0" xr:uid="{00000000-0006-0000-0500-000002000000}">
      <text>
        <r>
          <rPr>
            <b/>
            <sz val="10"/>
            <color rgb="FF000000"/>
            <rFont val="Tahoma"/>
            <family val="2"/>
          </rPr>
          <t>Does the company report? Yes/No</t>
        </r>
        <r>
          <rPr>
            <sz val="10"/>
            <color rgb="FF000000"/>
            <rFont val="Tahoma"/>
            <family val="2"/>
          </rPr>
          <t xml:space="preserve">
</t>
        </r>
      </text>
    </comment>
    <comment ref="F3" authorId="0" shapeId="0" xr:uid="{00000000-0006-0000-0500-000003000000}">
      <text>
        <r>
          <rPr>
            <b/>
            <sz val="10"/>
            <color rgb="FF000000"/>
            <rFont val="Tahoma"/>
            <family val="2"/>
          </rPr>
          <t>Mitigation plan
yes/no</t>
        </r>
      </text>
    </comment>
    <comment ref="G3" authorId="0" shapeId="0" xr:uid="{00000000-0006-0000-0500-000004000000}">
      <text>
        <r>
          <rPr>
            <b/>
            <sz val="10"/>
            <color rgb="FF000000"/>
            <rFont val="Tahoma"/>
            <family val="2"/>
          </rPr>
          <t>Traffic lights</t>
        </r>
      </text>
    </comment>
    <comment ref="H3" authorId="0" shapeId="0" xr:uid="{00000000-0006-0000-0500-000005000000}">
      <text>
        <r>
          <rPr>
            <b/>
            <sz val="10"/>
            <color rgb="FF000000"/>
            <rFont val="Tahoma"/>
            <family val="2"/>
          </rPr>
          <t>Comments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Fernanda Salas</author>
    <author>sistemas</author>
  </authors>
  <commentList>
    <comment ref="D36" authorId="0" shapeId="0" xr:uid="{00000000-0006-0000-0600-000001000000}">
      <text>
        <r>
          <rPr>
            <sz val="9"/>
            <color indexed="81"/>
            <rFont val="Tahoma"/>
            <family val="2"/>
          </rPr>
          <t>Real al 3Q 2021</t>
        </r>
      </text>
    </comment>
    <comment ref="D38" authorId="0" shapeId="0" xr:uid="{00000000-0006-0000-0600-000002000000}">
      <text>
        <r>
          <rPr>
            <sz val="9"/>
            <color indexed="81"/>
            <rFont val="Tahoma"/>
            <family val="2"/>
          </rPr>
          <t>Tienen 30.2% al 3Q 2021</t>
        </r>
      </text>
    </comment>
    <comment ref="D42" authorId="0" shapeId="0" xr:uid="{00000000-0006-0000-0600-000003000000}">
      <text>
        <r>
          <rPr>
            <sz val="9"/>
            <color indexed="81"/>
            <rFont val="Tahoma"/>
            <family val="2"/>
          </rPr>
          <t xml:space="preserve">siempre han traído productos financieros… </t>
        </r>
      </text>
    </comment>
    <comment ref="D43" authorId="1" shapeId="0" xr:uid="{00000000-0006-0000-0600-000004000000}">
      <text>
        <r>
          <rPr>
            <b/>
            <sz val="9"/>
            <color indexed="81"/>
            <rFont val="Tahoma"/>
            <family val="2"/>
          </rPr>
          <t>sistemas:</t>
        </r>
        <r>
          <rPr>
            <sz val="9"/>
            <color indexed="81"/>
            <rFont val="Tahoma"/>
            <family val="2"/>
          </rPr>
          <t xml:space="preserve">
Agregamos a otros gastos el pago por la retención de impuestos de las acciones que otorga a los empleados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林伊婧</author>
    <author>tc={051A41DA-4220-462B-8DCC-691CAC823B4D}</author>
    <author>tc={7244E7E0-48A3-4572-94BE-C4875844080C}</author>
  </authors>
  <commentList>
    <comment ref="A6" authorId="0" shapeId="0" xr:uid="{00000000-0006-0000-0900-000001000000}">
      <text>
        <r>
          <rPr>
            <b/>
            <sz val="10"/>
            <color rgb="FF000000"/>
            <rFont val="Tahoma"/>
            <family val="2"/>
          </rPr>
          <t>Net Sales</t>
        </r>
      </text>
    </comment>
    <comment ref="A7" authorId="0" shapeId="0" xr:uid="{00000000-0006-0000-0900-000002000000}">
      <text>
        <r>
          <rPr>
            <b/>
            <sz val="10"/>
            <color rgb="FF000000"/>
            <rFont val="Tahoma"/>
            <family val="2"/>
          </rPr>
          <t>Gross Profit</t>
        </r>
      </text>
    </comment>
    <comment ref="A8" authorId="0" shapeId="0" xr:uid="{00000000-0006-0000-0900-000003000000}">
      <text>
        <r>
          <rPr>
            <b/>
            <sz val="10"/>
            <color rgb="FF000000"/>
            <rFont val="Tahoma"/>
            <family val="2"/>
          </rPr>
          <t>Operating income</t>
        </r>
      </text>
    </comment>
    <comment ref="A9" authorId="0" shapeId="0" xr:uid="{00000000-0006-0000-0900-000004000000}">
      <text>
        <r>
          <rPr>
            <b/>
            <sz val="10"/>
            <color rgb="FF000000"/>
            <rFont val="Tahoma"/>
            <family val="2"/>
          </rPr>
          <t>Net financial cost</t>
        </r>
      </text>
    </comment>
    <comment ref="A10" authorId="0" shapeId="0" xr:uid="{00000000-0006-0000-0900-000005000000}">
      <text>
        <r>
          <rPr>
            <b/>
            <sz val="10"/>
            <color rgb="FF000000"/>
            <rFont val="Tahoma"/>
            <family val="2"/>
          </rPr>
          <t>Other expenses (income)</t>
        </r>
      </text>
    </comment>
    <comment ref="A11" authorId="0" shapeId="0" xr:uid="{00000000-0006-0000-0900-000006000000}">
      <text>
        <r>
          <rPr>
            <b/>
            <sz val="10"/>
            <color rgb="FF000000"/>
            <rFont val="Tahoma"/>
            <family val="2"/>
          </rPr>
          <t>Depreciation and amortization</t>
        </r>
      </text>
    </comment>
    <comment ref="A12" authorId="0" shapeId="0" xr:uid="{00000000-0006-0000-0900-000007000000}">
      <text>
        <r>
          <rPr>
            <b/>
            <sz val="10"/>
            <color rgb="FF000000"/>
            <rFont val="Tahoma"/>
            <family val="2"/>
          </rPr>
          <t>Working Capital</t>
        </r>
      </text>
    </comment>
    <comment ref="A14" authorId="0" shapeId="0" xr:uid="{00000000-0006-0000-0900-000008000000}">
      <text>
        <r>
          <rPr>
            <b/>
            <sz val="10"/>
            <color rgb="FF000000"/>
            <rFont val="Tahoma"/>
            <family val="2"/>
          </rPr>
          <t>Investments</t>
        </r>
      </text>
    </comment>
    <comment ref="F14" authorId="1" shapeId="0" xr:uid="{051A41DA-4220-462B-8DCC-691CAC823B4D}">
      <text>
        <t xml:space="preserve">[Threaded comment]
Your version of Excel allows you to read this threaded comment; however, any edits to it will get removed if the file is opened in a newer version of Excel. Learn more: https://go.microsoft.com/fwlink/?linkid=870924
Comment:
    Merger and integration costs of $8.5 million to convert former The Sports Authority (“TSA”) and Golfsmith stores to DICK’S Sporting Goods and Golf Galaxy stores </t>
      </text>
    </comment>
    <comment ref="A15" authorId="2" shapeId="0" xr:uid="{7244E7E0-48A3-4572-94BE-C4875844080C}">
      <text>
        <t>[Threaded comment]
Your version of Excel allows you to read this threaded comment; however, any edits to it will get removed if the file is opened in a newer version of Excel. Learn more: https://go.microsoft.com/fwlink/?linkid=870924
Comment:
    Income Tax and Employee Benefits and Stock Based Compensation?</t>
      </text>
    </comment>
    <comment ref="A16" authorId="0" shapeId="0" xr:uid="{00000000-0006-0000-0900-000009000000}">
      <text>
        <r>
          <rPr>
            <b/>
            <sz val="10"/>
            <color rgb="FF000000"/>
            <rFont val="Tahoma"/>
            <family val="2"/>
          </rPr>
          <t>Net income</t>
        </r>
      </text>
    </comment>
    <comment ref="A17" authorId="0" shapeId="0" xr:uid="{00000000-0006-0000-0900-00000A000000}">
      <text>
        <r>
          <rPr>
            <b/>
            <sz val="10"/>
            <color rgb="FF000000"/>
            <rFont val="Tahoma"/>
            <family val="2"/>
          </rPr>
          <t>Dividends</t>
        </r>
      </text>
    </comment>
    <comment ref="A18" authorId="0" shapeId="0" xr:uid="{00000000-0006-0000-0900-00000B000000}">
      <text>
        <r>
          <rPr>
            <b/>
            <sz val="10"/>
            <color rgb="FF000000"/>
            <rFont val="Tahoma"/>
            <family val="2"/>
          </rPr>
          <t>Purchase of shares</t>
        </r>
      </text>
    </comment>
    <comment ref="A22" authorId="0" shapeId="0" xr:uid="{00000000-0006-0000-0900-00000C000000}">
      <text>
        <r>
          <rPr>
            <b/>
            <sz val="10"/>
            <color rgb="FF000000"/>
            <rFont val="Tahoma"/>
            <family val="2"/>
          </rPr>
          <t>Cash &amp; equivalents</t>
        </r>
      </text>
    </comment>
    <comment ref="A23" authorId="0" shapeId="0" xr:uid="{00000000-0006-0000-0900-00000D000000}">
      <text>
        <r>
          <rPr>
            <b/>
            <sz val="10"/>
            <color rgb="FF000000"/>
            <rFont val="Tahoma"/>
            <family val="2"/>
          </rPr>
          <t>Accounts receivables</t>
        </r>
      </text>
    </comment>
    <comment ref="A24" authorId="0" shapeId="0" xr:uid="{00000000-0006-0000-0900-00000E000000}">
      <text>
        <r>
          <rPr>
            <b/>
            <sz val="10"/>
            <color rgb="FF000000"/>
            <rFont val="Tahoma"/>
            <family val="2"/>
          </rPr>
          <t>Inventories</t>
        </r>
      </text>
    </comment>
    <comment ref="A25" authorId="0" shapeId="0" xr:uid="{00000000-0006-0000-0900-00000F000000}">
      <text>
        <r>
          <rPr>
            <b/>
            <sz val="10"/>
            <color rgb="FF000000"/>
            <rFont val="Tahoma"/>
            <family val="2"/>
          </rPr>
          <t>PP&amp;E (net)</t>
        </r>
      </text>
    </comment>
    <comment ref="A26" authorId="0" shapeId="0" xr:uid="{00000000-0006-0000-0900-000010000000}">
      <text>
        <r>
          <rPr>
            <b/>
            <sz val="10"/>
            <color rgb="FF000000"/>
            <rFont val="Tahoma"/>
            <family val="2"/>
          </rPr>
          <t>Other assets</t>
        </r>
      </text>
    </comment>
    <comment ref="A27" authorId="0" shapeId="0" xr:uid="{00000000-0006-0000-0900-000011000000}">
      <text>
        <r>
          <rPr>
            <b/>
            <sz val="10"/>
            <color rgb="FF000000"/>
            <rFont val="Tahoma"/>
            <family val="2"/>
          </rPr>
          <t>Total assets</t>
        </r>
      </text>
    </comment>
    <comment ref="A31" authorId="0" shapeId="0" xr:uid="{00000000-0006-0000-0900-000012000000}">
      <text>
        <r>
          <rPr>
            <b/>
            <sz val="10"/>
            <color rgb="FF000000"/>
            <rFont val="Tahoma"/>
            <family val="2"/>
          </rPr>
          <t>Current liabilities</t>
        </r>
      </text>
    </comment>
    <comment ref="A32" authorId="0" shapeId="0" xr:uid="{00000000-0006-0000-0900-000013000000}">
      <text>
        <r>
          <rPr>
            <b/>
            <sz val="10"/>
            <color rgb="FF000000"/>
            <rFont val="Tahoma"/>
            <family val="2"/>
          </rPr>
          <t>short-term debt</t>
        </r>
      </text>
    </comment>
    <comment ref="A34" authorId="0" shapeId="0" xr:uid="{00000000-0006-0000-0900-000014000000}">
      <text>
        <r>
          <rPr>
            <b/>
            <sz val="10"/>
            <color rgb="FF000000"/>
            <rFont val="Tahoma"/>
            <family val="2"/>
          </rPr>
          <t>Other current liabilities</t>
        </r>
      </text>
    </comment>
    <comment ref="A35" authorId="0" shapeId="0" xr:uid="{00000000-0006-0000-0900-000015000000}">
      <text>
        <r>
          <rPr>
            <b/>
            <sz val="10"/>
            <color rgb="FF000000"/>
            <rFont val="Tahoma"/>
            <family val="2"/>
          </rPr>
          <t>Non-current liabilities</t>
        </r>
      </text>
    </comment>
    <comment ref="A36" authorId="0" shapeId="0" xr:uid="{00000000-0006-0000-0900-000016000000}">
      <text>
        <r>
          <rPr>
            <b/>
            <sz val="10"/>
            <color rgb="FF000000"/>
            <rFont val="Tahoma"/>
            <family val="2"/>
          </rPr>
          <t>Long-term debt</t>
        </r>
      </text>
    </comment>
    <comment ref="A38" authorId="0" shapeId="0" xr:uid="{00000000-0006-0000-0900-000017000000}">
      <text>
        <r>
          <rPr>
            <b/>
            <sz val="10"/>
            <color rgb="FF000000"/>
            <rFont val="Tahoma"/>
            <family val="2"/>
          </rPr>
          <t>Other non-current liabilities</t>
        </r>
      </text>
    </comment>
    <comment ref="A39" authorId="0" shapeId="0" xr:uid="{00000000-0006-0000-0900-000018000000}">
      <text>
        <r>
          <rPr>
            <b/>
            <sz val="10"/>
            <color rgb="FF000000"/>
            <rFont val="Tahoma"/>
            <family val="2"/>
          </rPr>
          <t>Total liabilities</t>
        </r>
      </text>
    </comment>
    <comment ref="A42" authorId="0" shapeId="0" xr:uid="{00000000-0006-0000-0900-000019000000}">
      <text>
        <r>
          <rPr>
            <b/>
            <sz val="10"/>
            <color rgb="FF000000"/>
            <rFont val="Tahoma"/>
            <family val="2"/>
          </rPr>
          <t>Minority Interest</t>
        </r>
      </text>
    </comment>
    <comment ref="A44" authorId="0" shapeId="0" xr:uid="{00000000-0006-0000-0900-00001A000000}">
      <text>
        <r>
          <rPr>
            <b/>
            <sz val="10"/>
            <color rgb="FF000000"/>
            <rFont val="Tahoma"/>
            <family val="2"/>
          </rPr>
          <t>Shareholder's equity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<sst xmlns="http://schemas.openxmlformats.org/spreadsheetml/2006/main" count="1047" uniqueCount="648">
  <si>
    <t>Ingresos</t>
  </si>
  <si>
    <t>Margen Operativo</t>
  </si>
  <si>
    <t>Insiders Own:</t>
  </si>
  <si>
    <t>EBIT</t>
  </si>
  <si>
    <t>+Dep&amp;Amort</t>
  </si>
  <si>
    <t>=EBIDTA</t>
  </si>
  <si>
    <t>Deuda/Activo</t>
  </si>
  <si>
    <t>Precio/Valor en libros</t>
  </si>
  <si>
    <t>AAG</t>
  </si>
  <si>
    <t>Ventas</t>
  </si>
  <si>
    <t>Crecimiento</t>
  </si>
  <si>
    <t>ISR &amp; PTU</t>
  </si>
  <si>
    <t>FNP</t>
  </si>
  <si>
    <t>F(t)</t>
  </si>
  <si>
    <t>VPN/Acción</t>
  </si>
  <si>
    <t>VPN*@i%</t>
  </si>
  <si>
    <t>Calificación (S&amp;P)</t>
  </si>
  <si>
    <t>Deuda</t>
  </si>
  <si>
    <t>Utilidad antes de Impuestos</t>
  </si>
  <si>
    <t>Inversiones</t>
  </si>
  <si>
    <t>CVAR</t>
  </si>
  <si>
    <t>Dep&amp;Amort</t>
  </si>
  <si>
    <t>EBIDTA</t>
  </si>
  <si>
    <t>Otros Gastos</t>
  </si>
  <si>
    <t>Precio/Utilidad(p)</t>
  </si>
  <si>
    <t>Precio/FNP (p)</t>
  </si>
  <si>
    <t>Float:</t>
  </si>
  <si>
    <t>Último Año</t>
  </si>
  <si>
    <t>Outstanding Shares</t>
  </si>
  <si>
    <t>Market Cap.</t>
  </si>
  <si>
    <t>Cash Flow</t>
  </si>
  <si>
    <t>Investing Activities</t>
  </si>
  <si>
    <r>
      <t>D</t>
    </r>
    <r>
      <rPr>
        <b/>
        <sz val="10"/>
        <rFont val="Arial"/>
        <family val="2"/>
      </rPr>
      <t xml:space="preserve"> Cash and Equivalents</t>
    </r>
  </si>
  <si>
    <r>
      <t>Inv/</t>
    </r>
    <r>
      <rPr>
        <sz val="10"/>
        <rFont val="Symbol"/>
        <family val="1"/>
        <charset val="2"/>
      </rPr>
      <t>D</t>
    </r>
    <r>
      <rPr>
        <sz val="10"/>
        <rFont val="Arial"/>
        <family val="2"/>
      </rPr>
      <t xml:space="preserve"> Vts</t>
    </r>
  </si>
  <si>
    <t>Año</t>
  </si>
  <si>
    <t>Último Precio</t>
  </si>
  <si>
    <t>+Deuda Total</t>
  </si>
  <si>
    <t>Cash/Precio</t>
  </si>
  <si>
    <t>Margen neto (p)</t>
  </si>
  <si>
    <t>Ebidta/Ingresos(p)</t>
  </si>
  <si>
    <t>Utilidad Neta (p)</t>
  </si>
  <si>
    <t>Utilidad Neta</t>
  </si>
  <si>
    <t>UPA</t>
  </si>
  <si>
    <t>Riesgos</t>
  </si>
  <si>
    <t>Oportunidades</t>
  </si>
  <si>
    <t>Tesis de inversión</t>
  </si>
  <si>
    <t>FNP(p)/Activos</t>
  </si>
  <si>
    <t>=Enterprise Value</t>
  </si>
  <si>
    <t>-Cash</t>
  </si>
  <si>
    <t>EV/Activos</t>
  </si>
  <si>
    <t>"Otros activos"/Activo</t>
  </si>
  <si>
    <t>EV/Ebidta (p)</t>
  </si>
  <si>
    <t>TDY(p)/Precio</t>
  </si>
  <si>
    <t xml:space="preserve">   Perpetuidad</t>
  </si>
  <si>
    <t>"TELP"</t>
  </si>
  <si>
    <t>Margen de Operación (p)</t>
  </si>
  <si>
    <t>ROA</t>
  </si>
  <si>
    <t>Crec</t>
  </si>
  <si>
    <t>Ut. Op.</t>
  </si>
  <si>
    <t>Ebidta(p)</t>
  </si>
  <si>
    <t>CIF/Deuda Neta Promedio</t>
  </si>
  <si>
    <t>Supuestos de valuación</t>
  </si>
  <si>
    <t>DCF Value</t>
  </si>
  <si>
    <t>Ebidta/CIF</t>
  </si>
  <si>
    <t>Margen</t>
  </si>
  <si>
    <t>% Vts</t>
  </si>
  <si>
    <t>Div. Yield:</t>
  </si>
  <si>
    <t>Profit</t>
  </si>
  <si>
    <t>Deuda/Ebidta</t>
  </si>
  <si>
    <t xml:space="preserve">   DCF 25Y</t>
  </si>
  <si>
    <t>Impacto</t>
  </si>
  <si>
    <t>¿Reporta?</t>
  </si>
  <si>
    <t>Mitigación</t>
  </si>
  <si>
    <t>Semáforo</t>
  </si>
  <si>
    <t>Ambiental</t>
  </si>
  <si>
    <t>Emisiones directas CO2</t>
  </si>
  <si>
    <t>Uso total de agua</t>
  </si>
  <si>
    <t>"Best in class"</t>
  </si>
  <si>
    <t>Total Energy Consumption</t>
  </si>
  <si>
    <t>Waste Management</t>
  </si>
  <si>
    <t>Land Degradation/Deforestation/Biodiversity loss/Animal sufering/…</t>
  </si>
  <si>
    <t>Social</t>
  </si>
  <si>
    <t>% Rotación de empleados</t>
  </si>
  <si>
    <t>Sueldos y compensaciones</t>
  </si>
  <si>
    <t>Temas de reputación</t>
  </si>
  <si>
    <t>Temas de discriminación</t>
  </si>
  <si>
    <t>Seguridad laboral</t>
  </si>
  <si>
    <t>Daños a la salud</t>
  </si>
  <si>
    <t>PXP?</t>
  </si>
  <si>
    <t>Supply chain</t>
  </si>
  <si>
    <t>Community involvement</t>
  </si>
  <si>
    <t>Public Sector</t>
  </si>
  <si>
    <t>Litigios</t>
  </si>
  <si>
    <t>Gobierno</t>
  </si>
  <si>
    <t>Diversidad (Género, edad, industria, región)</t>
  </si>
  <si>
    <t>% independientes</t>
  </si>
  <si>
    <t>CEO/Chairman</t>
  </si>
  <si>
    <t>Auditoría/Consultoría</t>
  </si>
  <si>
    <t>Esquemas de compensación al management</t>
  </si>
  <si>
    <t>Comentarios</t>
  </si>
  <si>
    <t>MITIGACIÓN</t>
  </si>
  <si>
    <t>RANKING</t>
  </si>
  <si>
    <t>IMPACTO</t>
  </si>
  <si>
    <t>PARÁMETROS</t>
  </si>
  <si>
    <t>KSF</t>
  </si>
  <si>
    <t>Acción</t>
  </si>
  <si>
    <t>Div.+Recompra</t>
  </si>
  <si>
    <t>Tasa de descuento:</t>
  </si>
  <si>
    <t>(p) = Promedio de últimos 3 años</t>
  </si>
  <si>
    <t>Análisis ESG</t>
  </si>
  <si>
    <t>Ranking</t>
  </si>
  <si>
    <t>TOTAL</t>
  </si>
  <si>
    <t>Discounted Cash Flow</t>
  </si>
  <si>
    <r>
      <rPr>
        <b/>
        <sz val="10"/>
        <color indexed="9"/>
        <rFont val="Symbol"/>
        <family val="1"/>
        <charset val="2"/>
      </rPr>
      <t>D</t>
    </r>
    <r>
      <rPr>
        <b/>
        <sz val="10"/>
        <color indexed="9"/>
        <rFont val="Arial"/>
        <family val="2"/>
      </rPr>
      <t xml:space="preserve"> Analista</t>
    </r>
  </si>
  <si>
    <t>Múltiplos</t>
  </si>
  <si>
    <t>*Nota: Estos múltiplos no consideran el promedio de los últimos 3 años, únicamente valores del último año reportado</t>
  </si>
  <si>
    <t>Año termina:</t>
  </si>
  <si>
    <t>Ut. Operativa</t>
  </si>
  <si>
    <t>Capex</t>
  </si>
  <si>
    <t>Adquisiones</t>
  </si>
  <si>
    <t>Dividends</t>
  </si>
  <si>
    <t>Stock Repurchases</t>
  </si>
  <si>
    <t>FNP (p)</t>
  </si>
  <si>
    <t>FX</t>
  </si>
  <si>
    <t>NOTES:</t>
  </si>
  <si>
    <t>t inversiones; t adq. neto dep.</t>
  </si>
  <si>
    <t>E</t>
  </si>
  <si>
    <t>S</t>
  </si>
  <si>
    <t>G</t>
  </si>
  <si>
    <t>Semáforo ESG</t>
  </si>
  <si>
    <t>ROIC</t>
  </si>
  <si>
    <t>ESG</t>
  </si>
  <si>
    <t>Riesgos claros</t>
  </si>
  <si>
    <t>Deuda/Activos</t>
  </si>
  <si>
    <t>Activos</t>
  </si>
  <si>
    <t>EPS</t>
  </si>
  <si>
    <t>E$/UN</t>
  </si>
  <si>
    <t>EEV/EBIDA</t>
  </si>
  <si>
    <t>% Short</t>
  </si>
  <si>
    <t>Participación adicional del CEO en otros consejos o excesiva del Ch.</t>
  </si>
  <si>
    <t>Salidas recientes de consejeros/C-level executives?</t>
  </si>
  <si>
    <t>t liq. (Pos prom./Vol.)</t>
  </si>
  <si>
    <t>PO / Precio Stand By</t>
  </si>
  <si>
    <t>Transparencia (segmentos, fuente de riqueza, adquisiciones, otros)</t>
  </si>
  <si>
    <t xml:space="preserve">Factor D&amp;A </t>
  </si>
  <si>
    <t>CP</t>
  </si>
  <si>
    <t>LP</t>
  </si>
  <si>
    <t>CHECKLIST</t>
  </si>
  <si>
    <t>Peer Analysis</t>
  </si>
  <si>
    <t>Consenso</t>
  </si>
  <si>
    <t>PO/Stand By</t>
  </si>
  <si>
    <t>Activo:</t>
  </si>
  <si>
    <t>Pasivo:</t>
  </si>
  <si>
    <t>CER</t>
  </si>
  <si>
    <t>Consenso EPS</t>
  </si>
  <si>
    <t>Acuerdo</t>
  </si>
  <si>
    <t>Depreciación</t>
  </si>
  <si>
    <t>Capex + Adq</t>
  </si>
  <si>
    <t>Invertir</t>
  </si>
  <si>
    <t>NO invertir</t>
  </si>
  <si>
    <t>Mantener sin elevar posición</t>
  </si>
  <si>
    <t>Mantener (y seguir comprando)</t>
  </si>
  <si>
    <t>Liquidar</t>
  </si>
  <si>
    <t>PENDIENTE</t>
  </si>
  <si>
    <t>Tenencia % (nac/int'l)</t>
  </si>
  <si>
    <t>Factor CIF</t>
  </si>
  <si>
    <t>Factor ISR</t>
  </si>
  <si>
    <t>Factor inv</t>
  </si>
  <si>
    <t>Suma D&amp;A</t>
  </si>
  <si>
    <t>Suma Inv.</t>
  </si>
  <si>
    <t>Inv.+Goodwill</t>
  </si>
  <si>
    <t>Liquidez y Solvencia</t>
  </si>
  <si>
    <t>Float</t>
  </si>
  <si>
    <t>(Capex + Adq.)/Revenue</t>
  </si>
  <si>
    <t>VER DCF</t>
  </si>
  <si>
    <t>SIC: Sí</t>
  </si>
  <si>
    <t>**Cifras en USD</t>
  </si>
  <si>
    <t>Tax (p) últ. 5a</t>
  </si>
  <si>
    <t>2019 (Real)</t>
  </si>
  <si>
    <t>CIF</t>
  </si>
  <si>
    <t>CAGR</t>
  </si>
  <si>
    <t>Deuda/EBITDA</t>
  </si>
  <si>
    <t>Millones de USD</t>
  </si>
  <si>
    <t>Inversiones y Capex</t>
  </si>
  <si>
    <r>
      <t xml:space="preserve">%Vts; %Op.Mg.; </t>
    </r>
    <r>
      <rPr>
        <b/>
        <sz val="10"/>
        <rFont val="Symbol"/>
        <family val="1"/>
        <charset val="2"/>
      </rPr>
      <t>D</t>
    </r>
  </si>
  <si>
    <r>
      <t xml:space="preserve">%Vts; </t>
    </r>
    <r>
      <rPr>
        <b/>
        <sz val="10"/>
        <rFont val="Symbol"/>
        <family val="1"/>
        <charset val="2"/>
      </rPr>
      <t>D</t>
    </r>
  </si>
  <si>
    <t>tiempo promedio como consejeros independientes</t>
  </si>
  <si>
    <t>Tiempo que tardan en reportar luego del final del trimestre/año</t>
  </si>
  <si>
    <t>https://www.apple.com/newsroom/2020/03/apples-covid-19-response/</t>
  </si>
  <si>
    <t>https://glg.it/articles/how-might-the-wuhan-coronavirus-impact-apples-supply-chain/</t>
  </si>
  <si>
    <t>https://www.cnbc.com/2020/02/18/the-significance-of-apples-coronavirus-warning.html</t>
  </si>
  <si>
    <t>March 13</t>
  </si>
  <si>
    <t>January 29</t>
  </si>
  <si>
    <t>Ferbuary 18</t>
  </si>
  <si>
    <t>Otros:</t>
  </si>
  <si>
    <t>https://www.macrumors.com/guide/covid-19-coronavirus/</t>
  </si>
  <si>
    <t>2020 (Real)</t>
  </si>
  <si>
    <t>ROA (p)</t>
  </si>
  <si>
    <t>ROIC (p)</t>
  </si>
  <si>
    <t>b</t>
  </si>
  <si>
    <t>Precio/Utilidad</t>
  </si>
  <si>
    <t>EV/Ebitda</t>
  </si>
  <si>
    <t>Resultados</t>
  </si>
  <si>
    <t>Ventas Netas</t>
  </si>
  <si>
    <r>
      <t xml:space="preserve">     </t>
    </r>
    <r>
      <rPr>
        <i/>
        <sz val="9"/>
        <rFont val="Arial"/>
        <family val="2"/>
      </rPr>
      <t>Crecimiento vs. Año pasado</t>
    </r>
  </si>
  <si>
    <t>Utilidad Bruta</t>
  </si>
  <si>
    <r>
      <t xml:space="preserve">     </t>
    </r>
    <r>
      <rPr>
        <i/>
        <sz val="9"/>
        <rFont val="Arial"/>
        <family val="2"/>
      </rPr>
      <t>porcentaje sobre ventas</t>
    </r>
  </si>
  <si>
    <t>Gastos de Operación</t>
  </si>
  <si>
    <t>Utilidad de Operación</t>
  </si>
  <si>
    <r>
      <t xml:space="preserve">     </t>
    </r>
    <r>
      <rPr>
        <i/>
        <sz val="9"/>
        <rFont val="Arial"/>
        <family val="2"/>
      </rPr>
      <t>Crecimiento vs año anterior</t>
    </r>
  </si>
  <si>
    <t>CIF (Productos Financieros)</t>
  </si>
  <si>
    <t>Otros Gastos (Productos)</t>
  </si>
  <si>
    <t>Utilidad antes de Impuestos y partidas extra.</t>
  </si>
  <si>
    <t>Depreciación y amortización del ejercicio</t>
  </si>
  <si>
    <t>Capital de Trabajo</t>
  </si>
  <si>
    <r>
      <t xml:space="preserve">EBITDA </t>
    </r>
    <r>
      <rPr>
        <i/>
        <sz val="9"/>
        <rFont val="Arial"/>
        <family val="2"/>
      </rPr>
      <t>(flujo operativo)</t>
    </r>
  </si>
  <si>
    <t>I.S.R Y P.T.U.</t>
  </si>
  <si>
    <t xml:space="preserve">     % Tax</t>
  </si>
  <si>
    <t xml:space="preserve">     Crecimiento vs año anterior</t>
  </si>
  <si>
    <t>Efectivo Generado</t>
  </si>
  <si>
    <t>Dividendos</t>
  </si>
  <si>
    <t>Recompra de Acciones</t>
  </si>
  <si>
    <t>FNP (ajustado por deuda)</t>
  </si>
  <si>
    <t>FNP (ajustado por inversiones)</t>
  </si>
  <si>
    <t>Capex + Inversiones</t>
  </si>
  <si>
    <t>Dividendos + Recompra de Acciones</t>
  </si>
  <si>
    <t xml:space="preserve">Activo   </t>
  </si>
  <si>
    <t>Caja</t>
  </si>
  <si>
    <t>Cuentas y documentos por cobrar</t>
  </si>
  <si>
    <t>Inventarios</t>
  </si>
  <si>
    <t xml:space="preserve"> Activos Fijos (Net Plant)</t>
  </si>
  <si>
    <t>Otros Activos</t>
  </si>
  <si>
    <t>Total Activo</t>
  </si>
  <si>
    <t>Pasivo</t>
  </si>
  <si>
    <t>Pasivo Corto Plazo</t>
  </si>
  <si>
    <t xml:space="preserve">   Deuda a corto plazo</t>
  </si>
  <si>
    <t xml:space="preserve">   Short-Term Leases</t>
  </si>
  <si>
    <t xml:space="preserve">   Otros Pasivos a Corto Plazo</t>
  </si>
  <si>
    <t>Pasivo Largo Plazo</t>
  </si>
  <si>
    <t xml:space="preserve">   Deuda a largo plazo</t>
  </si>
  <si>
    <t xml:space="preserve">   Long-Term Leases</t>
  </si>
  <si>
    <t xml:space="preserve">   Otros Pasivos a Largo Plazo</t>
  </si>
  <si>
    <t>Total pasivos</t>
  </si>
  <si>
    <t>Interés Minoritario</t>
  </si>
  <si>
    <t>Capital Contable</t>
  </si>
  <si>
    <t>OTROS DATOS AL FIN DE AÑO</t>
  </si>
  <si>
    <t>Numero deEmpleados</t>
  </si>
  <si>
    <t>Acciones en circulación (millones)</t>
  </si>
  <si>
    <t>Insiders Own</t>
  </si>
  <si>
    <t>S&amp;P</t>
  </si>
  <si>
    <t>Precio Medio</t>
  </si>
  <si>
    <t>Moody's</t>
  </si>
  <si>
    <t>YTM</t>
  </si>
  <si>
    <t>DIVISA</t>
  </si>
  <si>
    <t>RESULTADOS</t>
  </si>
  <si>
    <t>CIF (Poductos)</t>
  </si>
  <si>
    <t>Otros Gastos (Ingresos)</t>
  </si>
  <si>
    <t xml:space="preserve">Depreciación y amortización </t>
  </si>
  <si>
    <t>Compra de Acciones</t>
  </si>
  <si>
    <t>POSICIÓN FINANCIERA</t>
  </si>
  <si>
    <t>Activos Fijos (Net Plant)</t>
  </si>
  <si>
    <t>Analista: Research</t>
  </si>
  <si>
    <t>Deuda + Lease Liabilities</t>
  </si>
  <si>
    <t xml:space="preserve"> </t>
  </si>
  <si>
    <t>Normal</t>
  </si>
  <si>
    <t>Duración</t>
  </si>
  <si>
    <r>
      <t xml:space="preserve">b </t>
    </r>
    <r>
      <rPr>
        <sz val="10"/>
        <rFont val="Arial"/>
        <family val="2"/>
      </rPr>
      <t>(Bloomberg; Yahoo)</t>
    </r>
  </si>
  <si>
    <t>Cash Flow from Operations (BWC)</t>
  </si>
  <si>
    <t>Working Capital</t>
  </si>
  <si>
    <t>Endeudamiento Neto</t>
  </si>
  <si>
    <t>Otros Financiemientos</t>
  </si>
  <si>
    <t>VALUATION MODEL</t>
  </si>
  <si>
    <t>Section</t>
  </si>
  <si>
    <t>Line #</t>
  </si>
  <si>
    <t>ITEM</t>
  </si>
  <si>
    <t>2021 (Real)</t>
  </si>
  <si>
    <t>Notes</t>
  </si>
  <si>
    <t>INCOME STATEMENT</t>
  </si>
  <si>
    <t>Growth</t>
  </si>
  <si>
    <t>Revenues/Sales</t>
  </si>
  <si>
    <t>EBIT/Operating Margin</t>
  </si>
  <si>
    <t>5a</t>
  </si>
  <si>
    <t>(Dep&amp;Amort)</t>
  </si>
  <si>
    <t>5b</t>
  </si>
  <si>
    <t>(Stock based compensation)</t>
  </si>
  <si>
    <t>Other income/(cost)</t>
  </si>
  <si>
    <t>Earnings before taxes</t>
  </si>
  <si>
    <t>(Income tax)</t>
  </si>
  <si>
    <t>Net income</t>
  </si>
  <si>
    <t>CASH FLOW STATEMENT</t>
  </si>
  <si>
    <t>Operating cash flows before WK</t>
  </si>
  <si>
    <t>(Stock-based compensation)</t>
  </si>
  <si>
    <t>(Working Capital Flows)</t>
  </si>
  <si>
    <t>-Total Operating Cash Flow</t>
  </si>
  <si>
    <t>(CAPEX and Acquisitions)</t>
  </si>
  <si>
    <t>(Other investing flows)</t>
  </si>
  <si>
    <t>-Total Investing Flows</t>
  </si>
  <si>
    <t>(Flows related to leases)</t>
  </si>
  <si>
    <t>Flows related to debt</t>
  </si>
  <si>
    <t>(Dividends)</t>
  </si>
  <si>
    <t>Other financing flows</t>
  </si>
  <si>
    <t>-Total Financing flows</t>
  </si>
  <si>
    <t>SUMMARY</t>
  </si>
  <si>
    <t>Cash before shareholder returns</t>
  </si>
  <si>
    <t>Returns to shareholders</t>
  </si>
  <si>
    <t>Excess cash acumulation</t>
  </si>
  <si>
    <t>CASH &amp; DEBT &amp; DISCOUNTING</t>
  </si>
  <si>
    <t>Ending cash balance</t>
  </si>
  <si>
    <t>Total Debt</t>
  </si>
  <si>
    <t>Discount factor</t>
  </si>
  <si>
    <t>Discount rate</t>
  </si>
  <si>
    <t>Total</t>
  </si>
  <si>
    <t>Risk free rate</t>
  </si>
  <si>
    <t>Equity premium</t>
  </si>
  <si>
    <t>Firm premium</t>
  </si>
  <si>
    <t>Discount Rate</t>
  </si>
  <si>
    <t>Short Term</t>
  </si>
  <si>
    <t>Long Term</t>
  </si>
  <si>
    <t>Reference (line)</t>
  </si>
  <si>
    <t>Modelling factors</t>
  </si>
  <si>
    <t>Depreciation factor</t>
  </si>
  <si>
    <t>Stock-based comp</t>
  </si>
  <si>
    <t>% revenue (l2)</t>
  </si>
  <si>
    <t>Tax Rate</t>
  </si>
  <si>
    <t>% (line 9)</t>
  </si>
  <si>
    <t>Interest Rate on debt</t>
  </si>
  <si>
    <t>% debt (l29)</t>
  </si>
  <si>
    <t>Interest Rate on cash</t>
  </si>
  <si>
    <t>% of cash (l28)</t>
  </si>
  <si>
    <t>Working capital flows</t>
  </si>
  <si>
    <t>% of change revenues (l2)</t>
  </si>
  <si>
    <t>Capex / Adq</t>
  </si>
  <si>
    <t>Valuation</t>
  </si>
  <si>
    <t>$ millions</t>
  </si>
  <si>
    <t>%</t>
  </si>
  <si>
    <t>Value of flows</t>
  </si>
  <si>
    <t>Present value of flows (l27), plus cash minus debt</t>
  </si>
  <si>
    <t>Value of perpetuity</t>
  </si>
  <si>
    <t>Present value of perpetuity (column AF flow, dividend by growth minus discount rate)</t>
  </si>
  <si>
    <t>Total Value</t>
  </si>
  <si>
    <t>Final market value of firm's equity, compare to its mkt cap</t>
  </si>
  <si>
    <t>Total value vs Mkt Cap</t>
  </si>
  <si>
    <t>Gives degree of undervaluation (if positive, meaning it's worth more than what the market thinks) or overvaluation (negative, worth less than what the market thinks)</t>
  </si>
  <si>
    <t>Estimated NPV per share</t>
  </si>
  <si>
    <t>If we divide total value by # of shares, we get the estimated share value</t>
  </si>
  <si>
    <t>Actual share price</t>
  </si>
  <si>
    <t>USD</t>
  </si>
  <si>
    <t>Millones</t>
  </si>
  <si>
    <t>Inventories</t>
  </si>
  <si>
    <t>Por cobrar</t>
  </si>
  <si>
    <t>Por pagar</t>
  </si>
  <si>
    <t>Capital de trabajo</t>
  </si>
  <si>
    <t>Numero de Empleados</t>
  </si>
  <si>
    <t>Posicion en Corto (%)</t>
  </si>
  <si>
    <t>BONOS DE LA EMISORA A 3, 5 Y 10</t>
  </si>
  <si>
    <t>YTM (%)</t>
  </si>
  <si>
    <t>Deuda Neta</t>
  </si>
  <si>
    <t>2022 (Real)</t>
  </si>
  <si>
    <t>Rentabilidad (2022)</t>
  </si>
  <si>
    <t>4.0%; 4.4%; 5%</t>
  </si>
  <si>
    <t>Bonos 1;5;40a (USD)</t>
  </si>
  <si>
    <t>Multiplos (USD)</t>
  </si>
  <si>
    <t>Margen Operativo 2022</t>
  </si>
  <si>
    <t>Precio/Ventas</t>
  </si>
  <si>
    <t>3Q23</t>
  </si>
  <si>
    <t>2Q23</t>
  </si>
  <si>
    <t>1Q23</t>
  </si>
  <si>
    <t>1Q22</t>
  </si>
  <si>
    <t>2Q22</t>
  </si>
  <si>
    <t>3Q22</t>
  </si>
  <si>
    <t>4Q22</t>
  </si>
  <si>
    <t>1Q21</t>
  </si>
  <si>
    <t>2Q21</t>
  </si>
  <si>
    <t>3Q21</t>
  </si>
  <si>
    <t>4Q21</t>
  </si>
  <si>
    <t>Revenue</t>
  </si>
  <si>
    <t>-Products</t>
  </si>
  <si>
    <t>-Services</t>
  </si>
  <si>
    <t>COGS</t>
  </si>
  <si>
    <t>R&amp;D</t>
  </si>
  <si>
    <t>SGA</t>
  </si>
  <si>
    <t>Other</t>
  </si>
  <si>
    <t>efore tax</t>
  </si>
  <si>
    <t>Tax</t>
  </si>
  <si>
    <t>NI</t>
  </si>
  <si>
    <t>DA</t>
  </si>
  <si>
    <t>SBC</t>
  </si>
  <si>
    <t>Other SBC</t>
  </si>
  <si>
    <t>Divs</t>
  </si>
  <si>
    <t>Repurch</t>
  </si>
  <si>
    <t>1Q20</t>
  </si>
  <si>
    <t>2Q20</t>
  </si>
  <si>
    <t>3Q20</t>
  </si>
  <si>
    <t>4Q20</t>
  </si>
  <si>
    <t>4Q19</t>
  </si>
  <si>
    <t>3Q19</t>
  </si>
  <si>
    <t>2Q19</t>
  </si>
  <si>
    <t>1Q19</t>
  </si>
  <si>
    <t>Shares</t>
  </si>
  <si>
    <t>4Q18</t>
  </si>
  <si>
    <t>3Q18</t>
  </si>
  <si>
    <t>3Q17</t>
  </si>
  <si>
    <t>4Q23e</t>
  </si>
  <si>
    <t xml:space="preserve">Growth </t>
  </si>
  <si>
    <t>Prods</t>
  </si>
  <si>
    <t>Serv</t>
  </si>
  <si>
    <t>Utiilidad oP</t>
  </si>
  <si>
    <t>Ut OP</t>
  </si>
  <si>
    <t>Net SBC</t>
  </si>
  <si>
    <t>Net SBC Factor</t>
  </si>
  <si>
    <t>Crecimiento (1S23/1S22)</t>
  </si>
  <si>
    <t>Crecimiento (1S23/1S19)</t>
  </si>
  <si>
    <t>(historical stock price of the company and its peers; source: Bloomberg)</t>
  </si>
  <si>
    <t>2024 Est.</t>
  </si>
  <si>
    <t>Regions (2023)</t>
  </si>
  <si>
    <t>Products (2023)</t>
  </si>
  <si>
    <t>2023 (Real)</t>
  </si>
  <si>
    <t>(You can make up a table with different indicators in order to link them to the multiples/ratios. At the end, put the table unvisible with white color)</t>
  </si>
  <si>
    <t>NONE</t>
  </si>
  <si>
    <t>LOW</t>
  </si>
  <si>
    <t>MEDIUM</t>
  </si>
  <si>
    <t>HIGH</t>
  </si>
  <si>
    <t>Medium high</t>
  </si>
  <si>
    <t>Medium</t>
  </si>
  <si>
    <t>"Villain"</t>
  </si>
  <si>
    <t>Is there evidence of progam/plan/etc…</t>
  </si>
  <si>
    <t>TRAFFIC LIGHTS</t>
  </si>
  <si>
    <t>(DKS)</t>
  </si>
  <si>
    <t>(DICK´S Sporting Goods)</t>
  </si>
  <si>
    <t>(HIBB)</t>
  </si>
  <si>
    <t>(Hibbett Sports)</t>
  </si>
  <si>
    <t>(ASO)</t>
  </si>
  <si>
    <t>(Academy Sports and Outdoors)</t>
  </si>
  <si>
    <t>(Foot Locker)</t>
  </si>
  <si>
    <t>(FL)</t>
  </si>
  <si>
    <t>13,425.4M</t>
  </si>
  <si>
    <t>1,703.0M</t>
  </si>
  <si>
    <t>6,051.4M</t>
  </si>
  <si>
    <t>8,124.0M</t>
  </si>
  <si>
    <t>DICK'S Sporting Goods, Inc.</t>
  </si>
  <si>
    <t>DKS</t>
  </si>
  <si>
    <t>No</t>
  </si>
  <si>
    <t>Best in class</t>
  </si>
  <si>
    <t>Medium High</t>
  </si>
  <si>
    <t>Villain</t>
  </si>
  <si>
    <t xml:space="preserve">Medium high </t>
  </si>
  <si>
    <t xml:space="preserve">Villain </t>
  </si>
  <si>
    <t>Yes</t>
  </si>
  <si>
    <t>Hardlines</t>
  </si>
  <si>
    <t>Apparel</t>
  </si>
  <si>
    <t>Footwear</t>
  </si>
  <si>
    <t>United States</t>
  </si>
  <si>
    <t>NA</t>
  </si>
  <si>
    <t>OI</t>
  </si>
  <si>
    <t>NYSE</t>
  </si>
  <si>
    <t>Report (quarter): 26/11/2024</t>
  </si>
  <si>
    <r>
      <t>DESCRIPTION:</t>
    </r>
    <r>
      <rPr>
        <sz val="9.5"/>
        <rFont val="Arial"/>
        <family val="2"/>
      </rPr>
      <t xml:space="preserve"> Dick’s Sporting Goods is a leading U.S. retailer offering sports equipment, apparel, and footwear, catering to athletes and outdoor enthusiasts. Founded in 1948, it operates hundreds of stores nationwide.
</t>
    </r>
  </si>
  <si>
    <t>BBB</t>
  </si>
  <si>
    <t>Año fiscal de DICK'S Sporting Goods cierra en febrero</t>
  </si>
  <si>
    <t>—</t>
  </si>
  <si>
    <t>DICK's Sporting Goods (DKS); Hibbett Sports (HIBB); Academy Sports and Outdoors (ASO); Foot Locker (FL)</t>
  </si>
  <si>
    <t>Pros</t>
  </si>
  <si>
    <t>Cons</t>
  </si>
  <si>
    <r>
      <rPr>
        <b/>
        <sz val="10"/>
        <rFont val="Arial"/>
        <family val="2"/>
      </rPr>
      <t>Expansion into New Markets</t>
    </r>
    <r>
      <rPr>
        <sz val="10"/>
        <rFont val="Arial"/>
        <family val="2"/>
      </rPr>
      <t xml:space="preserve"> – Entering international markets or expanding e-commerce could increase revenue streams.
</t>
    </r>
    <r>
      <rPr>
        <b/>
        <sz val="10"/>
        <rFont val="Arial"/>
        <family val="2"/>
      </rPr>
      <t>Growing Demand for Athleisure</t>
    </r>
    <r>
      <rPr>
        <sz val="10"/>
        <rFont val="Arial"/>
        <family val="2"/>
      </rPr>
      <t xml:space="preserve"> – The rising popularity of athletic apparel as everyday wear presents an opportunity for growth.
</t>
    </r>
    <r>
      <rPr>
        <b/>
        <sz val="10"/>
        <rFont val="Arial"/>
        <family val="2"/>
      </rPr>
      <t>Technology Integration</t>
    </r>
    <r>
      <rPr>
        <sz val="10"/>
        <rFont val="Arial"/>
        <family val="2"/>
      </rPr>
      <t xml:space="preserve"> – Enhanced digital tools, such as AI-driven personalization and augmented reality shopping experiences, could improve customer engagement.</t>
    </r>
  </si>
  <si>
    <r>
      <rPr>
        <b/>
        <sz val="10"/>
        <rFont val="Arial"/>
        <family val="2"/>
      </rPr>
      <t>Intense Competition</t>
    </r>
    <r>
      <rPr>
        <sz val="10"/>
        <rFont val="Arial"/>
        <family val="2"/>
      </rPr>
      <t xml:space="preserve"> – Faces competition from major retailers like Amazon, Walmart, and other specialty sporting goods stores.
</t>
    </r>
    <r>
      <rPr>
        <b/>
        <sz val="10"/>
        <rFont val="Arial"/>
        <family val="2"/>
      </rPr>
      <t>Economic Downturns</t>
    </r>
    <r>
      <rPr>
        <sz val="10"/>
        <rFont val="Arial"/>
        <family val="2"/>
      </rPr>
      <t xml:space="preserve"> – Inflation or economic recessions may reduce consumer spending on non-essential goods like sporting equipment.
</t>
    </r>
    <r>
      <rPr>
        <b/>
        <sz val="10"/>
        <rFont val="Arial"/>
        <family val="2"/>
      </rPr>
      <t>Supply Chain Disruptions</t>
    </r>
    <r>
      <rPr>
        <sz val="10"/>
        <rFont val="Arial"/>
        <family val="2"/>
      </rPr>
      <t xml:space="preserve"> – Global supply chain challenges, including material shortages and shipping delays, can impact product availability and pricing.</t>
    </r>
  </si>
  <si>
    <r>
      <rPr>
        <b/>
        <sz val="10"/>
        <rFont val="Arial"/>
        <family val="2"/>
      </rPr>
      <t>Strong Brand Recognition</t>
    </r>
    <r>
      <rPr>
        <sz val="10"/>
        <rFont val="Arial"/>
        <family val="2"/>
      </rPr>
      <t xml:space="preserve"> – DICK'S is a well-known and trusted brand in the sporting goods industry with a loyal customer base.
</t>
    </r>
    <r>
      <rPr>
        <b/>
        <sz val="10"/>
        <rFont val="Arial"/>
        <family val="2"/>
      </rPr>
      <t>Diverse Product Range</t>
    </r>
    <r>
      <rPr>
        <sz val="10"/>
        <rFont val="Arial"/>
        <family val="2"/>
      </rPr>
      <t xml:space="preserve"> – Offers a wide variety of sports equipment, apparel, and footwear, catering to different customer needs.
</t>
    </r>
    <r>
      <rPr>
        <b/>
        <sz val="10"/>
        <rFont val="Arial"/>
        <family val="2"/>
      </rPr>
      <t>Flexible Retail Strategy</t>
    </r>
    <r>
      <rPr>
        <sz val="10"/>
        <rFont val="Arial"/>
        <family val="2"/>
      </rPr>
      <t xml:space="preserve"> – Strong presence in both physical stores and e-commerce, allowing flexibility in customer shopping experiences.</t>
    </r>
  </si>
  <si>
    <t>-</t>
  </si>
  <si>
    <t>A class action lawsuit was filed against DICK’s Sporting Goods  on February 16th, 2024. The shareholders alleged that they bought DICK’s Sporting Goods’ stock at artificially inflated prices between May 25, 2022, and August 21, 2023</t>
  </si>
  <si>
    <t>and are now seeking compensation for their financial losses.</t>
  </si>
  <si>
    <t>The company has also had to face many lawsuits due to wage and working hours violations and workplace safety and health violations.</t>
  </si>
  <si>
    <t>HOLD</t>
  </si>
  <si>
    <t>(Repurchases)/Issuance of stock</t>
  </si>
  <si>
    <t>Factories By Region:</t>
  </si>
  <si>
    <t>Asia</t>
  </si>
  <si>
    <t>Latin America</t>
  </si>
  <si>
    <t>North America</t>
  </si>
  <si>
    <t>EMEA</t>
  </si>
  <si>
    <t>9% of factories based on High-risk countries based on BSCI criteria</t>
  </si>
  <si>
    <t>Beginning Stores</t>
  </si>
  <si>
    <t>Q1 New Stores</t>
  </si>
  <si>
    <t>Q2 New Stores</t>
  </si>
  <si>
    <t>Q3 New Stores</t>
  </si>
  <si>
    <t>Stores Acquired</t>
  </si>
  <si>
    <t>Closed Stores</t>
  </si>
  <si>
    <t>Total Stores</t>
  </si>
  <si>
    <t>Relocated Stores</t>
  </si>
  <si>
    <t>Specialty Concept Stores</t>
  </si>
  <si>
    <t>39 Weeks Ended Nov 2, 2024</t>
  </si>
  <si>
    <t>(All)</t>
  </si>
  <si>
    <t>State</t>
  </si>
  <si>
    <t>Dick's Stores</t>
  </si>
  <si>
    <t>Dick's %</t>
  </si>
  <si>
    <t>Specialty Stores</t>
  </si>
  <si>
    <t>Specialty %</t>
  </si>
  <si>
    <t>California</t>
  </si>
  <si>
    <t>6.67%</t>
  </si>
  <si>
    <t>0.82%</t>
  </si>
  <si>
    <t>Florida</t>
  </si>
  <si>
    <t>5.61%</t>
  </si>
  <si>
    <t>1.05%</t>
  </si>
  <si>
    <t>Texas</t>
  </si>
  <si>
    <t>Pennsylvania</t>
  </si>
  <si>
    <t>4.56%</t>
  </si>
  <si>
    <t>1.17%</t>
  </si>
  <si>
    <t>New York</t>
  </si>
  <si>
    <t>5.03%</t>
  </si>
  <si>
    <t>0.35%</t>
  </si>
  <si>
    <t>Ohio</t>
  </si>
  <si>
    <t>4.21%</t>
  </si>
  <si>
    <t>North Carolina</t>
  </si>
  <si>
    <t>3.63%</t>
  </si>
  <si>
    <t>Illinois</t>
  </si>
  <si>
    <t>3.74%</t>
  </si>
  <si>
    <t>0.58%</t>
  </si>
  <si>
    <t>Virginia</t>
  </si>
  <si>
    <t>3.16%</t>
  </si>
  <si>
    <t>0.70%</t>
  </si>
  <si>
    <t>Georgia</t>
  </si>
  <si>
    <t>2.69%</t>
  </si>
  <si>
    <t>Count of Dick's %</t>
  </si>
  <si>
    <t>Michigan</t>
  </si>
  <si>
    <t>2.46%</t>
  </si>
  <si>
    <t>New Jersey</t>
  </si>
  <si>
    <t>2.22%</t>
  </si>
  <si>
    <t>0.47%</t>
  </si>
  <si>
    <t>Indiana</t>
  </si>
  <si>
    <t>2.34%</t>
  </si>
  <si>
    <t>0.23%</t>
  </si>
  <si>
    <t>Massachusetts</t>
  </si>
  <si>
    <t>2.11%</t>
  </si>
  <si>
    <t>Tennessee</t>
  </si>
  <si>
    <t>1.99%</t>
  </si>
  <si>
    <t>Maryland</t>
  </si>
  <si>
    <t>Colorado</t>
  </si>
  <si>
    <t>1.87%</t>
  </si>
  <si>
    <t>Wisconsin</t>
  </si>
  <si>
    <t>1.52%</t>
  </si>
  <si>
    <t>Washington</t>
  </si>
  <si>
    <t>Missouri</t>
  </si>
  <si>
    <t>Kentucky</t>
  </si>
  <si>
    <t>1.40%</t>
  </si>
  <si>
    <t>Alabama</t>
  </si>
  <si>
    <t>0.12%</t>
  </si>
  <si>
    <t>Connecticut</t>
  </si>
  <si>
    <t>1.29%</t>
  </si>
  <si>
    <t>South Carolina</t>
  </si>
  <si>
    <t>Minnesota</t>
  </si>
  <si>
    <t>Arizona</t>
  </si>
  <si>
    <t>Kansas</t>
  </si>
  <si>
    <t>Oregon</t>
  </si>
  <si>
    <t>Iowa</t>
  </si>
  <si>
    <t>Oklahoma</t>
  </si>
  <si>
    <t>Louisiana</t>
  </si>
  <si>
    <t>0.94%</t>
  </si>
  <si>
    <t>Idaho</t>
  </si>
  <si>
    <t>New Hampshire</t>
  </si>
  <si>
    <t>Mississippi</t>
  </si>
  <si>
    <t>Utah</t>
  </si>
  <si>
    <t>Nevada</t>
  </si>
  <si>
    <t>West Virginia</t>
  </si>
  <si>
    <t>Arkansas</t>
  </si>
  <si>
    <t>Nebraska</t>
  </si>
  <si>
    <t>New Mexico</t>
  </si>
  <si>
    <t>Delaware</t>
  </si>
  <si>
    <t>Maine</t>
  </si>
  <si>
    <t>Rhode Island</t>
  </si>
  <si>
    <t>Vermont</t>
  </si>
  <si>
    <t>District of Columbia</t>
  </si>
  <si>
    <t>North Dakota</t>
  </si>
  <si>
    <t>Wyoming</t>
  </si>
  <si>
    <t>South Dakota</t>
  </si>
  <si>
    <t>Details for Count of Dick's % - State: Alabama (+)</t>
  </si>
  <si>
    <r>
      <rPr>
        <b/>
        <sz val="10"/>
        <rFont val="Arial"/>
        <family val="2"/>
      </rPr>
      <t>Sensitivity to economy downturns</t>
    </r>
    <r>
      <rPr>
        <sz val="10"/>
        <rFont val="Arial"/>
        <family val="2"/>
      </rPr>
      <t xml:space="preserve"> </t>
    </r>
    <r>
      <rPr>
        <b/>
        <sz val="10"/>
        <rFont val="Arial"/>
        <family val="2"/>
      </rPr>
      <t>-</t>
    </r>
    <r>
      <rPr>
        <sz val="10"/>
        <rFont val="Arial"/>
        <family val="2"/>
      </rPr>
      <t xml:space="preserve"> Sportings goods are not an essential good. Therefore, in case of a lower disposable income due to unfortunate economic circumstances, clients will buy less sporting goods.
</t>
    </r>
    <r>
      <rPr>
        <b/>
        <sz val="10"/>
        <rFont val="Arial"/>
        <family val="2"/>
      </rPr>
      <t>Supply chain problems</t>
    </r>
    <r>
      <rPr>
        <sz val="10"/>
        <rFont val="Arial"/>
        <family val="2"/>
      </rPr>
      <t xml:space="preserve"> </t>
    </r>
    <r>
      <rPr>
        <b/>
        <sz val="10"/>
        <rFont val="Arial"/>
        <family val="2"/>
      </rPr>
      <t>-</t>
    </r>
    <r>
      <rPr>
        <sz val="10"/>
        <rFont val="Arial"/>
        <family val="2"/>
      </rPr>
      <t xml:space="preserve"> Increased protectionist measures by the USA and the continuation of wars and political tensions may impact the company's supply chain, resulting in a decrease in revenues.</t>
    </r>
  </si>
  <si>
    <r>
      <rPr>
        <b/>
        <sz val="10"/>
        <rFont val="Arial"/>
        <family val="2"/>
      </rPr>
      <t xml:space="preserve">Investment in e-commerce - </t>
    </r>
    <r>
      <rPr>
        <sz val="10"/>
        <rFont val="Arial"/>
        <family val="2"/>
      </rPr>
      <t>The company has successfully integrated online and offline sales, with a variety of options for customer shopping. Investments in technology enhance efficiency and position DICK’S well for future retail trends.</t>
    </r>
    <r>
      <rPr>
        <b/>
        <sz val="10"/>
        <rFont val="Arial"/>
        <family val="2"/>
      </rPr>
      <t xml:space="preserve">
Growing demand for sporting goods -</t>
    </r>
    <r>
      <rPr>
        <sz val="10"/>
        <rFont val="Arial"/>
        <family val="2"/>
      </rPr>
      <t xml:space="preserve"> With the population's increased purchasing power and its growing interest in sporting goods, the company's revenue is expected to grow.</t>
    </r>
  </si>
  <si>
    <t>(See Comment)</t>
  </si>
  <si>
    <t>House of Sports</t>
  </si>
  <si>
    <t>170000 Sq Ft turf Fielf, Rock Climbing Wall, Batting Cages, Golf Hitting Bays, Health and Wellness Destination</t>
  </si>
  <si>
    <t>Golf Galaxy</t>
  </si>
  <si>
    <t>Specialized Golf Equipment ans Services</t>
  </si>
  <si>
    <t>Specialty Concept Stores generate higher sales per square foot when compared to regular stores (no numbers are provided)</t>
  </si>
  <si>
    <t>Public Lands</t>
  </si>
  <si>
    <t>Field House</t>
  </si>
  <si>
    <t>Going, Going, Gone!</t>
  </si>
  <si>
    <t>Specialty Concept / Number of stores</t>
  </si>
  <si>
    <t>A next-generation format of the traditional 50,000 sq. ft. DICK's stores, inspired by the House of Sport concept.</t>
  </si>
  <si>
    <t>Off-price stores offering discounts on footwear and apparel brands.</t>
  </si>
  <si>
    <t>Only cells in blue are considered Specialty Concept Stores, despite that in practice all other mentioned stores are different from the main Dicks Sporting Goods store</t>
  </si>
  <si>
    <t>Focuses on outdoor activities and gear, catering to enthusiasts of hiking, camping, and other outdoor sports.</t>
  </si>
  <si>
    <t>Question by:</t>
  </si>
  <si>
    <t xml:space="preserve"> I guess officially the Tariff Man has come up. So, we had an update</t>
  </si>
  <si>
    <t>yesterday evening, 25% Canada, Mexico and obviously the 10% in China. Historically, you've already told us that</t>
  </si>
  <si>
    <t>you don't have much exposure. But for the private label, so can you just update us? I'm assuming that this doesn't</t>
  </si>
  <si>
    <t>change the answer that you've given us before, but just remind us now that we have some quazi-official numbers.</t>
  </si>
  <si>
    <t>How are you thinking about that? Thank you.</t>
  </si>
  <si>
    <t xml:space="preserve"> In terms of tariffs, I think so I would</t>
  </si>
  <si>
    <t>say does that a slightly more information is known. We still don't know about the timing and likely – the categories</t>
  </si>
  <si>
    <t>that would be impacted. So, still a lot to be learned more, but like you said, we have navigated the situation back</t>
  </si>
  <si>
    <t>in 2018, 2019 effectively as well. Vertical brands perspective, we have a very small or actually very, very</t>
  </si>
  <si>
    <t>negligible amount of exposure because we have diversified our supply chain, both from China as well as there's</t>
  </si>
  <si>
    <t>not much of an exposure, even if you look into Mexico or Canada.</t>
  </si>
  <si>
    <t>% of Factories Doesn't correlate to Production %</t>
  </si>
  <si>
    <t>Adrienne Yih, Analyst at Barclays Capital, Inc. :</t>
  </si>
  <si>
    <t>Navdeep Gupta, Executive Vice President &amp; Chief Financial Officer, Dick's Sporting Goods, Inc. :</t>
  </si>
  <si>
    <r>
      <rPr>
        <b/>
        <sz val="10"/>
        <rFont val="Arial"/>
        <family val="2"/>
      </rPr>
      <t>High Dependence on U.S. Market</t>
    </r>
    <r>
      <rPr>
        <sz val="10"/>
        <rFont val="Arial"/>
        <family val="2"/>
      </rPr>
      <t xml:space="preserve"> – Limited international presence makes the company vulnerable to domestic economic fluctuations.
</t>
    </r>
    <r>
      <rPr>
        <b/>
        <sz val="10"/>
        <rFont val="Arial"/>
        <family val="2"/>
      </rPr>
      <t xml:space="preserve">High Operating Costs </t>
    </r>
    <r>
      <rPr>
        <sz val="10"/>
        <rFont val="Arial"/>
        <family val="2"/>
      </rPr>
      <t xml:space="preserve">– Large physical store network leads to significant expenses related to maintenance, staffing, and logistics.
</t>
    </r>
    <r>
      <rPr>
        <b/>
        <sz val="10"/>
        <rFont val="Arial"/>
        <family val="2"/>
      </rPr>
      <t xml:space="preserve">Large Dependency on Asia – </t>
    </r>
    <r>
      <rPr>
        <sz val="10"/>
        <rFont val="Arial"/>
        <family val="2"/>
      </rPr>
      <t>89% of the company's factories are in Asia, making it's operations susceptible to economic and political changes in this region.</t>
    </r>
  </si>
  <si>
    <t>interest expense as percentage of revenues</t>
  </si>
  <si>
    <t>interest expense</t>
  </si>
  <si>
    <t>revenues</t>
  </si>
  <si>
    <t>short term average</t>
  </si>
  <si>
    <t>long term average</t>
  </si>
  <si>
    <t>(Interest Expense)</t>
  </si>
  <si>
    <t>other income/cost as % of capex</t>
  </si>
  <si>
    <t>other income/cost</t>
  </si>
  <si>
    <t>short term</t>
  </si>
  <si>
    <t>long term</t>
  </si>
  <si>
    <t xml:space="preserve">average short </t>
  </si>
  <si>
    <t>average long</t>
  </si>
  <si>
    <t>Stock-Repurchase</t>
  </si>
  <si>
    <t>% of net income</t>
  </si>
  <si>
    <t>% net income</t>
  </si>
  <si>
    <t>growing with revenue</t>
  </si>
  <si>
    <t>The firm is one of the best in the industry regarding this metric.</t>
  </si>
  <si>
    <t>The company has faced some lawsuits.</t>
  </si>
  <si>
    <t xml:space="preserve">
The company has faced lawsuits regarding this matter.</t>
  </si>
  <si>
    <t xml:space="preserve"> The company offers medical, dental, vision, disability and life insurance, flexible paid time off programs covering parental and family leave and hybrid work arrangements.</t>
  </si>
  <si>
    <t>The company plans to achieve 50% female employees compared to the total workforce.</t>
  </si>
  <si>
    <t>The company offers a company-matched retirement savings 401K plan that vests immediately and is open for all teammates.</t>
  </si>
  <si>
    <t>% PPE</t>
  </si>
  <si>
    <t>The firm has taken steps to reduce carbon emissions by optimizing its supply chain and investing in more energy-efficient logistics.</t>
  </si>
  <si>
    <t>The company is committed to increasing energy efficiency across its stores, with some locations using LED lighting and other energy-saving technologies.</t>
  </si>
  <si>
    <t>The company has implemented recycling programs and is working to reduce plastic usage in packaging.</t>
  </si>
  <si>
    <t>Dick’s has policies to source sustainable products, including eco-friendly athletic wear and responsibly sourced outdoor gear.</t>
  </si>
  <si>
    <t>Dick’s has been recognized for its diversity, equity, and inclusion (DEI) initiatives, ensuring fair hiring and promotion practices.</t>
  </si>
  <si>
    <t>The company had some ethical issues about sourcing policies to ensure suppliers follow labor practices.</t>
  </si>
  <si>
    <t>Dick’s Sporting Goods Foundation supports youth sports through grants and donations.</t>
  </si>
  <si>
    <t>The company rarely engages in advocacy related to sports policies and youth development.</t>
  </si>
  <si>
    <t>Dick’s has faced some legal disputes, including employment-related cases, but actively addresses compliance and workplace policies.</t>
  </si>
  <si>
    <t>A portion of the board consists of independent directors to ensure balanced decision-making.</t>
  </si>
  <si>
    <t>Board members serve standard terms with periodic reviews to bring fresh perspectives.</t>
  </si>
  <si>
    <t>The company has experienced leadership changes, such as the transition of CEO Lauren Hobart in 2021</t>
  </si>
  <si>
    <t>The CEO and Chairman roles are separate, reinforcing independent leadership.</t>
  </si>
  <si>
    <t>Dick’s provides clear financial reports and corporate social responsibility (CSR) disclosures.</t>
  </si>
  <si>
    <t>The company follows standard reporting timelines in compliance with SEC regulations.</t>
  </si>
  <si>
    <t>CEO involvement in external boards is balanced to ensure focus on the company.</t>
  </si>
  <si>
    <t>The company undergoes independent financial audits to maintain credibility.</t>
  </si>
  <si>
    <t>Executive pay is tied to performance metrics, with bonuses based on company success. However its rare that employees get a raise</t>
  </si>
  <si>
    <r>
      <rPr>
        <b/>
        <sz val="9.5"/>
        <color rgb="FF00B050"/>
        <rFont val="Arial"/>
        <family val="2"/>
      </rPr>
      <t xml:space="preserve">Lauren R. Hobart </t>
    </r>
    <r>
      <rPr>
        <sz val="9.5"/>
        <rFont val="Arial"/>
        <family val="2"/>
      </rPr>
      <t>(55 yo; dir. s. 2018; Pres. &amp; CEO; ex Senior VP and CMO),</t>
    </r>
    <r>
      <rPr>
        <b/>
        <sz val="9.5"/>
        <rFont val="Arial"/>
        <family val="2"/>
      </rPr>
      <t xml:space="preserve"> </t>
    </r>
    <r>
      <rPr>
        <b/>
        <sz val="9.5"/>
        <color rgb="FF00B050"/>
        <rFont val="Arial"/>
        <family val="2"/>
      </rPr>
      <t>Edward W. Stack</t>
    </r>
    <r>
      <rPr>
        <b/>
        <sz val="9.5"/>
        <rFont val="Arial"/>
        <family val="2"/>
      </rPr>
      <t xml:space="preserve"> </t>
    </r>
    <r>
      <rPr>
        <sz val="9.5"/>
        <rFont val="Arial"/>
        <family val="2"/>
      </rPr>
      <t>(69 yo; Ch;</t>
    </r>
    <r>
      <rPr>
        <b/>
        <sz val="9.5"/>
        <rFont val="Arial"/>
        <family val="2"/>
      </rPr>
      <t xml:space="preserve"> </t>
    </r>
    <r>
      <rPr>
        <sz val="9.5"/>
        <rFont val="Arial"/>
        <family val="2"/>
      </rPr>
      <t>dir. s. 1984; ex CEO),</t>
    </r>
    <r>
      <rPr>
        <b/>
        <sz val="9.5"/>
        <rFont val="Arial"/>
        <family val="2"/>
      </rPr>
      <t xml:space="preserve"> William J. Colombo </t>
    </r>
    <r>
      <rPr>
        <sz val="9.5"/>
        <rFont val="Arial"/>
        <family val="2"/>
      </rPr>
      <t xml:space="preserve">(68 yo; dir. s. 2002; Vice Ch; ex Pres. &amp; COO), </t>
    </r>
    <r>
      <rPr>
        <b/>
        <sz val="9.5"/>
        <rFont val="Arial"/>
        <family val="2"/>
      </rPr>
      <t xml:space="preserve">Mark J. Barrenechea </t>
    </r>
    <r>
      <rPr>
        <sz val="9.5"/>
        <rFont val="Arial"/>
        <family val="2"/>
      </rPr>
      <t xml:space="preserve">(59 yo; dir. s. 2014; CEO &amp; CTO OpenText Corp.), </t>
    </r>
    <r>
      <rPr>
        <b/>
        <sz val="9.5"/>
        <rFont val="Arial"/>
        <family val="2"/>
      </rPr>
      <t xml:space="preserve">Emanuel Chirico </t>
    </r>
    <r>
      <rPr>
        <sz val="9.5"/>
        <rFont val="Arial"/>
        <family val="2"/>
      </rPr>
      <t xml:space="preserve">(66 yo; dir. s. 2003; ex Ch &amp; CEO PVH Corp.), </t>
    </r>
    <r>
      <rPr>
        <b/>
        <sz val="9.5"/>
        <rFont val="Arial"/>
        <family val="2"/>
      </rPr>
      <t>Robert W. Eddy</t>
    </r>
    <r>
      <rPr>
        <sz val="9.5"/>
        <rFont val="Arial"/>
        <family val="2"/>
      </rPr>
      <t xml:space="preserve"> (51 yo; dir. s. 2023; Ch, Pres &amp; CEO BJ's Wholesale Club Holdings, Inc.), </t>
    </r>
    <r>
      <rPr>
        <b/>
        <sz val="9.5"/>
        <rFont val="Arial"/>
        <family val="2"/>
      </rPr>
      <t>Anne Fink</t>
    </r>
    <r>
      <rPr>
        <sz val="9.5"/>
        <rFont val="Arial"/>
        <family val="2"/>
      </rPr>
      <t xml:space="preserve"> (60 yo; dir. s. 2019; Pres. Global Foodservice PepsiCo, Inc.), </t>
    </r>
    <r>
      <rPr>
        <b/>
        <sz val="9.5"/>
        <rFont val="Arial"/>
        <family val="2"/>
      </rPr>
      <t xml:space="preserve">Larry Fitzgerald Jr. </t>
    </r>
    <r>
      <rPr>
        <sz val="9.5"/>
        <rFont val="Arial"/>
        <family val="2"/>
      </rPr>
      <t xml:space="preserve">(40 yo; dir. s. 2020; Pres. Larry Fitzgerald Enterprises), </t>
    </r>
    <r>
      <rPr>
        <b/>
        <sz val="9.5"/>
        <rFont val="Arial"/>
        <family val="2"/>
      </rPr>
      <t xml:space="preserve">Sandeep Mathrani </t>
    </r>
    <r>
      <rPr>
        <sz val="9.5"/>
        <rFont val="Arial"/>
        <family val="2"/>
      </rPr>
      <t xml:space="preserve">(61 yo; dir. s. 2020; dir. Sycamore Partners; ex CEO WeWork), </t>
    </r>
    <r>
      <rPr>
        <b/>
        <sz val="9.5"/>
        <rFont val="Arial"/>
        <family val="2"/>
      </rPr>
      <t xml:space="preserve">Desiree Ralls-Morrison </t>
    </r>
    <r>
      <rPr>
        <sz val="9.5"/>
        <rFont val="Arial"/>
        <family val="2"/>
      </rPr>
      <t xml:space="preserve">(57 yo; dir. s. 2020; Exec. VP McDonald's Corporation), </t>
    </r>
    <r>
      <rPr>
        <b/>
        <sz val="9.5"/>
        <rFont val="Arial"/>
        <family val="2"/>
      </rPr>
      <t xml:space="preserve">Lawrence J. Schorr </t>
    </r>
    <r>
      <rPr>
        <sz val="9.5"/>
        <rFont val="Arial"/>
        <family val="2"/>
      </rPr>
      <t xml:space="preserve">(70 yo; dir. s. 1985; Lead dir. DICK's Sporting Goods, Inc.; Deputy Ch SURTECO North America), </t>
    </r>
    <r>
      <rPr>
        <b/>
        <sz val="9.5"/>
        <rFont val="Arial"/>
        <family val="2"/>
      </rPr>
      <t xml:space="preserve">Larry D. Stone </t>
    </r>
    <r>
      <rPr>
        <sz val="9.5"/>
        <rFont val="Arial"/>
        <family val="2"/>
      </rPr>
      <t>(72 yo; dir. s. 2007; ex Pres. &amp; COO Lowe's Companies Inc.)</t>
    </r>
  </si>
  <si>
    <t>The company does not disclose employee turnover %.
Most employees do not stay with the company for more than a year.</t>
  </si>
  <si>
    <t>The company applies required employee training and special training in stores that sell firearms. The company has suffered some cases of data breaching, which puts it employees at risk, though there have been investments in the improvement of cybersecurity protocols.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</si>
</sst>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4" formatCode="_-* #,##0.00\ &quot;€&quot;_-;\-* #,##0.00\ &quot;€&quot;_-;_-* &quot;-&quot;??\ &quot;€&quot;_-;_-@_-"/>
    <numFmt numFmtId="43" formatCode="_-* #,##0.00_-;\-* #,##0.00_-;_-* &quot;-&quot;??_-;_-@_-"/>
    <numFmt numFmtId="164" formatCode="&quot;$&quot;#,##0;[Red]\-&quot;$&quot;#,##0"/>
    <numFmt numFmtId="165" formatCode="&quot;$&quot;#,##0.00;[Red]\-&quot;$&quot;#,##0.00"/>
    <numFmt numFmtId="166" formatCode="_-&quot;$&quot;* #,##0.00_-;\-&quot;$&quot;* #,##0.00_-;_-&quot;$&quot;* &quot;-&quot;??_-;_-@_-"/>
    <numFmt numFmtId="167" formatCode="&quot;$&quot;#,##0.00"/>
    <numFmt numFmtId="168" formatCode="&quot;$&quot;#,##0.0"/>
    <numFmt numFmtId="169" formatCode="&quot;$&quot;#,##0"/>
    <numFmt numFmtId="170" formatCode="0.0%"/>
    <numFmt numFmtId="171" formatCode="0.0"/>
    <numFmt numFmtId="172" formatCode="#,##0.0"/>
    <numFmt numFmtId="173" formatCode="#,##0.000"/>
    <numFmt numFmtId="174" formatCode="0.000"/>
    <numFmt numFmtId="175" formatCode="_-[$$-409]* #,##0.00_ ;_-[$$-409]* \-#,##0.00\ ;_-[$$-409]* &quot;-&quot;??_ ;_-@_ "/>
    <numFmt numFmtId="176" formatCode="0.000%"/>
  </numFmts>
  <fonts count="93"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2"/>
      <name val="Arial"/>
      <family val="2"/>
    </font>
    <font>
      <u/>
      <sz val="10"/>
      <color indexed="12"/>
      <name val="Arial"/>
      <family val="2"/>
    </font>
    <font>
      <sz val="10"/>
      <color indexed="8"/>
      <name val="Arial"/>
      <family val="2"/>
    </font>
    <font>
      <sz val="10"/>
      <name val="Arial"/>
      <family val="2"/>
    </font>
    <font>
      <b/>
      <sz val="10"/>
      <name val="Arial"/>
      <family val="2"/>
    </font>
    <font>
      <b/>
      <sz val="10"/>
      <name val="Symbol"/>
      <family val="1"/>
      <charset val="2"/>
    </font>
    <font>
      <sz val="7.9"/>
      <name val="Arial"/>
      <family val="2"/>
    </font>
    <font>
      <b/>
      <sz val="9"/>
      <color indexed="8"/>
      <name val="Arial"/>
      <family val="2"/>
    </font>
    <font>
      <sz val="10"/>
      <name val="Symbol"/>
      <family val="1"/>
      <charset val="2"/>
    </font>
    <font>
      <b/>
      <sz val="16"/>
      <color indexed="9"/>
      <name val="Arial"/>
      <family val="2"/>
    </font>
    <font>
      <b/>
      <sz val="10"/>
      <color indexed="9"/>
      <name val="Arial"/>
      <family val="2"/>
    </font>
    <font>
      <b/>
      <sz val="10"/>
      <color indexed="8"/>
      <name val="Arial"/>
      <family val="2"/>
    </font>
    <font>
      <sz val="10"/>
      <color indexed="63"/>
      <name val="Arial"/>
      <family val="2"/>
    </font>
    <font>
      <b/>
      <sz val="9.3000000000000007"/>
      <name val="Arial"/>
      <family val="2"/>
    </font>
    <font>
      <sz val="8"/>
      <name val="Arial"/>
      <family val="2"/>
    </font>
    <font>
      <b/>
      <sz val="10"/>
      <color indexed="9"/>
      <name val="Symbol"/>
      <family val="1"/>
      <charset val="2"/>
    </font>
    <font>
      <sz val="10"/>
      <name val="Arial"/>
      <family val="2"/>
    </font>
    <font>
      <b/>
      <sz val="9.5"/>
      <name val="Arial"/>
      <family val="2"/>
    </font>
    <font>
      <sz val="9.5"/>
      <name val="Arial"/>
      <family val="2"/>
    </font>
    <font>
      <b/>
      <sz val="9"/>
      <name val="Arial"/>
      <family val="2"/>
    </font>
    <font>
      <sz val="10"/>
      <name val="Arial"/>
      <family val="2"/>
    </font>
    <font>
      <b/>
      <sz val="11"/>
      <name val="Arial"/>
      <family val="2"/>
    </font>
    <font>
      <sz val="12"/>
      <name val="Arial"/>
      <family val="2"/>
    </font>
    <font>
      <sz val="9"/>
      <color indexed="81"/>
      <name val="Tahoma"/>
      <family val="2"/>
    </font>
    <font>
      <sz val="11"/>
      <color theme="1"/>
      <name val="Calibri"/>
      <family val="2"/>
      <scheme val="minor"/>
    </font>
    <font>
      <sz val="10"/>
      <color rgb="FFFF0000"/>
      <name val="Arial"/>
      <family val="2"/>
    </font>
    <font>
      <sz val="10"/>
      <color theme="0"/>
      <name val="Arial"/>
      <family val="2"/>
    </font>
    <font>
      <sz val="10"/>
      <color rgb="FF00B0F0"/>
      <name val="Arial"/>
      <family val="2"/>
    </font>
    <font>
      <b/>
      <sz val="10"/>
      <color theme="0"/>
      <name val="Arial"/>
      <family val="2"/>
    </font>
    <font>
      <b/>
      <sz val="11"/>
      <color theme="3"/>
      <name val="Arial"/>
      <family val="2"/>
    </font>
    <font>
      <sz val="10"/>
      <color rgb="FF333333"/>
      <name val="Arial"/>
      <family val="2"/>
    </font>
    <font>
      <b/>
      <sz val="14"/>
      <color rgb="FFFF0000"/>
      <name val="Arial"/>
      <family val="2"/>
    </font>
    <font>
      <b/>
      <sz val="10"/>
      <color rgb="FF002060"/>
      <name val="Arial"/>
      <family val="2"/>
    </font>
    <font>
      <b/>
      <sz val="11"/>
      <color theme="0"/>
      <name val="Arial"/>
      <family val="2"/>
    </font>
    <font>
      <b/>
      <sz val="16"/>
      <color theme="0"/>
      <name val="Arial"/>
      <family val="2"/>
    </font>
    <font>
      <sz val="7.9"/>
      <color theme="0"/>
      <name val="Arial"/>
      <family val="2"/>
    </font>
    <font>
      <b/>
      <sz val="9"/>
      <color indexed="81"/>
      <name val="Tahoma"/>
      <family val="2"/>
    </font>
    <font>
      <sz val="10"/>
      <color rgb="FF0070C0"/>
      <name val="Arial"/>
      <family val="2"/>
    </font>
    <font>
      <sz val="10"/>
      <color rgb="FF00B050"/>
      <name val="Arial"/>
      <family val="2"/>
    </font>
    <font>
      <sz val="10"/>
      <color rgb="FF92D050"/>
      <name val="Arial"/>
      <family val="2"/>
    </font>
    <font>
      <u/>
      <sz val="10"/>
      <color theme="0"/>
      <name val="Arial"/>
      <family val="2"/>
    </font>
    <font>
      <b/>
      <sz val="10"/>
      <color rgb="FFFF0000"/>
      <name val="Arial"/>
      <family val="2"/>
    </font>
    <font>
      <b/>
      <sz val="10"/>
      <color rgb="FF0070C0"/>
      <name val="Arial"/>
      <family val="2"/>
    </font>
    <font>
      <sz val="10"/>
      <color rgb="FF002060"/>
      <name val="Arial"/>
      <family val="2"/>
    </font>
    <font>
      <sz val="11"/>
      <color theme="0"/>
      <name val="Calibri"/>
      <family val="2"/>
      <scheme val="minor"/>
    </font>
    <font>
      <b/>
      <sz val="7.2"/>
      <color theme="0"/>
      <name val="Arial"/>
      <family val="2"/>
    </font>
    <font>
      <i/>
      <sz val="10"/>
      <name val="Arial"/>
      <family val="2"/>
    </font>
    <font>
      <sz val="7.5"/>
      <name val="Arial"/>
      <family val="2"/>
    </font>
    <font>
      <sz val="9"/>
      <name val="Arial"/>
      <family val="2"/>
    </font>
    <font>
      <i/>
      <sz val="9"/>
      <name val="Arial"/>
      <family val="2"/>
    </font>
    <font>
      <b/>
      <sz val="7.5"/>
      <name val="Arial"/>
      <family val="2"/>
    </font>
    <font>
      <sz val="11"/>
      <name val="Arial"/>
      <family val="2"/>
    </font>
    <font>
      <b/>
      <sz val="11"/>
      <color theme="1"/>
      <name val="Calibri"/>
      <family val="2"/>
      <scheme val="minor"/>
    </font>
    <font>
      <b/>
      <sz val="11"/>
      <name val="Calibri"/>
      <family val="2"/>
      <scheme val="minor"/>
    </font>
    <font>
      <sz val="10"/>
      <color rgb="FFC00000"/>
      <name val="Arial"/>
      <family val="2"/>
    </font>
    <font>
      <sz val="11"/>
      <color rgb="FFC00000"/>
      <name val="Calibri"/>
      <family val="2"/>
      <scheme val="minor"/>
    </font>
    <font>
      <sz val="11"/>
      <name val="Calibri"/>
      <family val="2"/>
      <scheme val="minor"/>
    </font>
    <font>
      <sz val="10"/>
      <color rgb="FF000000"/>
      <name val="Arial"/>
      <family val="2"/>
    </font>
    <font>
      <sz val="10"/>
      <name val="Arial"/>
      <family val="2"/>
    </font>
    <font>
      <sz val="8"/>
      <name val="Arial"/>
      <family val="2"/>
    </font>
    <font>
      <sz val="10"/>
      <color theme="1"/>
      <name val="Arial"/>
      <family val="2"/>
    </font>
    <font>
      <b/>
      <sz val="10"/>
      <color rgb="FF000000"/>
      <name val="Tahoma"/>
      <family val="2"/>
    </font>
    <font>
      <sz val="10"/>
      <color rgb="FF000000"/>
      <name val="Tahoma"/>
      <family val="2"/>
    </font>
    <font>
      <b/>
      <sz val="9"/>
      <color rgb="FF000000"/>
      <name val="Tahoma"/>
      <family val="2"/>
    </font>
    <font>
      <sz val="12"/>
      <color theme="1"/>
      <name val="Calibri"/>
      <family val="2"/>
    </font>
    <font>
      <sz val="16"/>
      <color theme="1"/>
      <name val="Arial"/>
      <family val="2"/>
    </font>
    <font>
      <b/>
      <sz val="11"/>
      <color theme="1"/>
      <name val="Arial"/>
      <family val="2"/>
    </font>
    <font>
      <sz val="10"/>
      <name val="Arial"/>
      <family val="2"/>
    </font>
    <font>
      <b/>
      <sz val="10"/>
      <color indexed="63"/>
      <name val="Arial"/>
      <family val="2"/>
    </font>
    <font>
      <b/>
      <sz val="9.5"/>
      <color rgb="FF00B050"/>
      <name val="Arial"/>
      <family val="2"/>
    </font>
    <font>
      <b/>
      <sz val="10"/>
      <name val="Arial"/>
      <family val="2"/>
    </font>
    <font>
      <b/>
      <sz val="12"/>
      <color theme="0"/>
      <name val="Arial"/>
      <family val="2"/>
    </font>
    <font>
      <b/>
      <sz val="10"/>
      <color theme="5"/>
      <name val="Arial"/>
      <family val="2"/>
    </font>
    <font>
      <b/>
      <sz val="10"/>
      <color rgb="FFC00000"/>
      <name val="Arial"/>
      <family val="2"/>
    </font>
    <font>
      <b/>
      <sz val="11"/>
      <color rgb="FFC00000"/>
      <name val="Calibri"/>
      <family val="2"/>
      <scheme val="minor"/>
    </font>
    <font>
      <sz val="10"/>
      <color theme="5"/>
      <name val="Arial"/>
      <family val="2"/>
    </font>
    <font>
      <b/>
      <sz val="10"/>
      <name val="Arial"/>
      <family val="2"/>
    </font>
  </fonts>
  <fills count="24">
    <fill>
      <patternFill patternType="none"/>
    </fill>
    <fill>
      <patternFill patternType="gray125"/>
    </fill>
    <fill>
      <patternFill patternType="solid">
        <fgColor rgb="FF4F81BD"/>
        <bgColor indexed="64"/>
      </patternFill>
    </fill>
    <fill>
      <patternFill patternType="solid">
        <fgColor rgb="FFFFFFFF"/>
        <bgColor indexed="64"/>
      </patternFill>
    </fill>
    <fill>
      <patternFill patternType="solid">
        <fgColor theme="3"/>
        <bgColor indexed="64"/>
      </patternFill>
    </fill>
    <fill>
      <patternFill patternType="solid">
        <fgColor theme="0" tint="-0.499984740745262"/>
        <bgColor indexed="64"/>
      </patternFill>
    </fill>
    <fill>
      <patternFill patternType="solid">
        <fgColor rgb="FF92D050"/>
        <bgColor indexed="64"/>
      </patternFill>
    </fill>
    <fill>
      <patternFill patternType="solid">
        <fgColor theme="0" tint="-0.14999847407452621"/>
        <bgColor indexed="64"/>
      </patternFill>
    </fill>
    <fill>
      <patternFill patternType="solid">
        <fgColor rgb="FFFFC000"/>
        <bgColor indexed="64"/>
      </patternFill>
    </fill>
    <fill>
      <patternFill patternType="solid">
        <fgColor theme="0"/>
        <bgColor indexed="64"/>
      </patternFill>
    </fill>
    <fill>
      <patternFill patternType="solid">
        <fgColor rgb="FFFF0000"/>
        <bgColor indexed="64"/>
      </patternFill>
    </fill>
    <fill>
      <patternFill patternType="solid">
        <fgColor theme="1"/>
        <bgColor indexed="64"/>
      </patternFill>
    </fill>
    <fill>
      <patternFill patternType="solid">
        <fgColor theme="4" tint="-0.499984740745262"/>
        <bgColor indexed="64"/>
      </patternFill>
    </fill>
    <fill>
      <patternFill patternType="solid">
        <fgColor rgb="FFFFFF00"/>
        <bgColor indexed="64"/>
      </patternFill>
    </fill>
    <fill>
      <patternFill patternType="solid">
        <fgColor theme="9" tint="0.79998168889431442"/>
        <bgColor indexed="64"/>
      </patternFill>
    </fill>
    <fill>
      <patternFill patternType="solid">
        <fgColor indexed="57"/>
        <bgColor indexed="64"/>
      </patternFill>
    </fill>
    <fill>
      <patternFill patternType="solid">
        <fgColor theme="0" tint="-0.34998626667073579"/>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2"/>
        <bgColor indexed="64"/>
      </patternFill>
    </fill>
    <fill>
      <patternFill patternType="solid">
        <fgColor rgb="FF00B050"/>
        <bgColor indexed="64"/>
      </patternFill>
    </fill>
    <fill>
      <patternFill patternType="solid">
        <fgColor theme="4"/>
        <bgColor indexed="64"/>
      </patternFill>
    </fill>
    <fill>
      <patternFill patternType="solid">
        <fgColor theme="5" tint="0.79998168889431442"/>
        <bgColor indexed="64"/>
      </patternFill>
    </fill>
    <fill>
      <patternFill patternType="solid">
        <fgColor theme="0" tint="-4.9989318521683403E-2"/>
        <bgColor indexed="64"/>
      </patternFill>
    </fill>
  </fills>
  <borders count="105">
    <border>
      <left/>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medium">
        <color theme="3"/>
      </left>
      <right/>
      <top style="thin">
        <color theme="0" tint="-0.499984740745262"/>
      </top>
      <bottom style="thin">
        <color theme="0" tint="-0.499984740745262"/>
      </bottom>
      <diagonal/>
    </border>
    <border>
      <left style="thin">
        <color theme="0" tint="-0.499984740745262"/>
      </left>
      <right style="medium">
        <color theme="3"/>
      </right>
      <top style="thin">
        <color theme="0" tint="-0.499984740745262"/>
      </top>
      <bottom style="thin">
        <color theme="0" tint="-0.499984740745262"/>
      </bottom>
      <diagonal/>
    </border>
    <border>
      <left style="medium">
        <color theme="3"/>
      </left>
      <right/>
      <top style="thin">
        <color theme="0" tint="-0.499984740745262"/>
      </top>
      <bottom/>
      <diagonal/>
    </border>
    <border>
      <left style="thin">
        <color theme="0" tint="-0.499984740745262"/>
      </left>
      <right style="medium">
        <color theme="3"/>
      </right>
      <top style="thin">
        <color theme="0" tint="-0.499984740745262"/>
      </top>
      <bottom/>
      <diagonal/>
    </border>
    <border>
      <left style="medium">
        <color theme="3"/>
      </left>
      <right/>
      <top/>
      <bottom/>
      <diagonal/>
    </border>
    <border>
      <left/>
      <right style="medium">
        <color theme="3"/>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medium">
        <color theme="3"/>
      </left>
      <right style="thin">
        <color theme="0" tint="-0.499984740745262"/>
      </right>
      <top style="thin">
        <color theme="0" tint="-0.499984740745262"/>
      </top>
      <bottom/>
      <diagonal/>
    </border>
    <border>
      <left/>
      <right style="medium">
        <color theme="3"/>
      </right>
      <top/>
      <bottom/>
      <diagonal/>
    </border>
    <border>
      <left style="medium">
        <color theme="3"/>
      </left>
      <right style="thin">
        <color theme="0" tint="-0.499984740745262"/>
      </right>
      <top/>
      <bottom/>
      <diagonal/>
    </border>
    <border>
      <left style="medium">
        <color theme="3"/>
      </left>
      <right style="thin">
        <color theme="0" tint="-0.499984740745262"/>
      </right>
      <top/>
      <bottom style="thin">
        <color theme="0" tint="-0.499984740745262"/>
      </bottom>
      <diagonal/>
    </border>
    <border>
      <left style="medium">
        <color theme="3"/>
      </left>
      <right/>
      <top style="thin">
        <color theme="0" tint="-0.499984740745262"/>
      </top>
      <bottom style="medium">
        <color theme="3"/>
      </bottom>
      <diagonal/>
    </border>
    <border>
      <left/>
      <right/>
      <top style="thin">
        <color theme="0" tint="-0.499984740745262"/>
      </top>
      <bottom style="medium">
        <color theme="3"/>
      </bottom>
      <diagonal/>
    </border>
    <border>
      <left/>
      <right style="medium">
        <color theme="3"/>
      </right>
      <top style="thin">
        <color theme="0" tint="-0.499984740745262"/>
      </top>
      <bottom style="medium">
        <color theme="3"/>
      </bottom>
      <diagonal/>
    </border>
    <border>
      <left style="medium">
        <color theme="3"/>
      </left>
      <right/>
      <top/>
      <bottom style="thin">
        <color theme="0" tint="-0.499984740745262"/>
      </bottom>
      <diagonal/>
    </border>
    <border>
      <left style="medium">
        <color theme="3"/>
      </left>
      <right/>
      <top/>
      <bottom style="medium">
        <color theme="3"/>
      </bottom>
      <diagonal/>
    </border>
    <border>
      <left/>
      <right style="thin">
        <color theme="0" tint="-0.499984740745262"/>
      </right>
      <top/>
      <bottom/>
      <diagonal/>
    </border>
    <border>
      <left style="thin">
        <color theme="0" tint="-0.499984740745262"/>
      </left>
      <right style="thin">
        <color theme="0" tint="-0.499984740745262"/>
      </right>
      <top/>
      <bottom/>
      <diagonal/>
    </border>
    <border>
      <left/>
      <right style="thin">
        <color theme="0" tint="-0.499984740745262"/>
      </right>
      <top/>
      <bottom style="medium">
        <color theme="3"/>
      </bottom>
      <diagonal/>
    </border>
    <border>
      <left style="thin">
        <color theme="0" tint="-0.499984740745262"/>
      </left>
      <right style="thin">
        <color theme="0" tint="-0.499984740745262"/>
      </right>
      <top/>
      <bottom style="medium">
        <color theme="3"/>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3"/>
      </left>
      <right style="thin">
        <color theme="0" tint="-0.249977111117893"/>
      </right>
      <top style="medium">
        <color theme="3"/>
      </top>
      <bottom style="thin">
        <color theme="0" tint="-0.249977111117893"/>
      </bottom>
      <diagonal/>
    </border>
    <border>
      <left style="thin">
        <color theme="0" tint="-0.249977111117893"/>
      </left>
      <right style="thin">
        <color theme="0" tint="-0.249977111117893"/>
      </right>
      <top style="medium">
        <color theme="3"/>
      </top>
      <bottom style="thin">
        <color theme="0" tint="-0.249977111117893"/>
      </bottom>
      <diagonal/>
    </border>
    <border>
      <left style="thin">
        <color theme="0" tint="-0.249977111117893"/>
      </left>
      <right style="medium">
        <color theme="3"/>
      </right>
      <top style="medium">
        <color theme="3"/>
      </top>
      <bottom style="thin">
        <color theme="0" tint="-0.249977111117893"/>
      </bottom>
      <diagonal/>
    </border>
    <border>
      <left style="medium">
        <color theme="3"/>
      </left>
      <right style="thin">
        <color theme="0" tint="-0.249977111117893"/>
      </right>
      <top style="thin">
        <color theme="0" tint="-0.249977111117893"/>
      </top>
      <bottom style="thin">
        <color theme="0" tint="-0.249977111117893"/>
      </bottom>
      <diagonal/>
    </border>
    <border>
      <left style="thin">
        <color theme="0" tint="-0.249977111117893"/>
      </left>
      <right style="medium">
        <color theme="3"/>
      </right>
      <top style="thin">
        <color theme="0" tint="-0.249977111117893"/>
      </top>
      <bottom style="thin">
        <color theme="0" tint="-0.249977111117893"/>
      </bottom>
      <diagonal/>
    </border>
    <border>
      <left style="thin">
        <color theme="3"/>
      </left>
      <right/>
      <top style="thin">
        <color theme="3"/>
      </top>
      <bottom/>
      <diagonal/>
    </border>
    <border>
      <left/>
      <right/>
      <top style="thin">
        <color theme="3"/>
      </top>
      <bottom/>
      <diagonal/>
    </border>
    <border>
      <left style="thin">
        <color theme="3"/>
      </left>
      <right/>
      <top/>
      <bottom/>
      <diagonal/>
    </border>
    <border>
      <left/>
      <right style="thin">
        <color theme="3"/>
      </right>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
      <left style="medium">
        <color theme="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medium">
        <color theme="3"/>
      </left>
      <right style="thin">
        <color theme="0" tint="-0.14999847407452621"/>
      </right>
      <top style="thin">
        <color theme="0" tint="-0.14999847407452621"/>
      </top>
      <bottom style="medium">
        <color theme="3"/>
      </bottom>
      <diagonal/>
    </border>
    <border>
      <left style="thin">
        <color theme="0" tint="-0.14999847407452621"/>
      </left>
      <right style="thin">
        <color theme="0" tint="-0.14999847407452621"/>
      </right>
      <top style="thin">
        <color theme="0" tint="-0.14999847407452621"/>
      </top>
      <bottom style="medium">
        <color theme="3"/>
      </bottom>
      <diagonal/>
    </border>
    <border>
      <left style="thin">
        <color theme="0" tint="-0.14999847407452621"/>
      </left>
      <right style="thin">
        <color theme="0" tint="-0.14999847407452621"/>
      </right>
      <top style="medium">
        <color theme="3"/>
      </top>
      <bottom style="thin">
        <color theme="0" tint="-0.14999847407452621"/>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top style="medium">
        <color theme="3"/>
      </top>
      <bottom style="thin">
        <color theme="0" tint="-0.249977111117893"/>
      </bottom>
      <diagonal/>
    </border>
    <border>
      <left/>
      <right/>
      <top style="medium">
        <color theme="3"/>
      </top>
      <bottom style="thin">
        <color theme="0" tint="-0.249977111117893"/>
      </bottom>
      <diagonal/>
    </border>
    <border>
      <left/>
      <right style="thin">
        <color theme="0" tint="-0.249977111117893"/>
      </right>
      <top style="medium">
        <color theme="3"/>
      </top>
      <bottom style="thin">
        <color theme="0" tint="-0.249977111117893"/>
      </bottom>
      <diagonal/>
    </border>
    <border>
      <left style="medium">
        <color theme="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medium">
        <color theme="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medium">
        <color theme="3"/>
      </bottom>
      <diagonal/>
    </border>
    <border>
      <left style="thin">
        <color theme="0" tint="-0.249977111117893"/>
      </left>
      <right style="medium">
        <color theme="3"/>
      </right>
      <top style="thin">
        <color theme="0" tint="-0.249977111117893"/>
      </top>
      <bottom style="medium">
        <color theme="3"/>
      </bottom>
      <diagonal/>
    </border>
    <border>
      <left style="medium">
        <color theme="3"/>
      </left>
      <right/>
      <top style="medium">
        <color theme="3"/>
      </top>
      <bottom style="thin">
        <color theme="0" tint="-0.499984740745262"/>
      </bottom>
      <diagonal/>
    </border>
    <border>
      <left/>
      <right/>
      <top style="medium">
        <color theme="3"/>
      </top>
      <bottom style="thin">
        <color theme="0" tint="-0.499984740745262"/>
      </bottom>
      <diagonal/>
    </border>
    <border>
      <left/>
      <right style="medium">
        <color theme="3"/>
      </right>
      <top style="medium">
        <color theme="3"/>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medium">
        <color theme="3"/>
      </right>
      <top/>
      <bottom style="medium">
        <color theme="3"/>
      </bottom>
      <diagonal/>
    </border>
    <border>
      <left style="thin">
        <color theme="0" tint="-0.499984740745262"/>
      </left>
      <right/>
      <top/>
      <bottom/>
      <diagonal/>
    </border>
    <border>
      <left style="thin">
        <color theme="0" tint="-0.249977111117893"/>
      </left>
      <right/>
      <top style="thin">
        <color theme="0" tint="-0.249977111117893"/>
      </top>
      <bottom/>
      <diagonal/>
    </border>
    <border>
      <left/>
      <right/>
      <top/>
      <bottom style="thin">
        <color indexed="64"/>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style="thin">
        <color theme="0" tint="-0.499984740745262"/>
      </left>
      <right style="medium">
        <color theme="3"/>
      </right>
      <top/>
      <bottom/>
      <diagonal/>
    </border>
    <border>
      <left style="thin">
        <color theme="0" tint="-0.499984740745262"/>
      </left>
      <right style="thin">
        <color theme="0" tint="-0.499984740745262"/>
      </right>
      <top/>
      <bottom style="thin">
        <color indexed="64"/>
      </bottom>
      <diagonal/>
    </border>
    <border>
      <left style="thin">
        <color theme="0" tint="-0.249977111117893"/>
      </left>
      <right style="thin">
        <color theme="0" tint="-0.249977111117893"/>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int="-0.499984740745262"/>
      </top>
      <bottom/>
      <diagonal/>
    </border>
    <border>
      <left style="medium">
        <color indexed="64"/>
      </left>
      <right/>
      <top style="medium">
        <color indexed="64"/>
      </top>
      <bottom style="thin">
        <color theme="0" tint="-0.499984740745262"/>
      </bottom>
      <diagonal/>
    </border>
    <border>
      <left/>
      <right/>
      <top style="medium">
        <color indexed="64"/>
      </top>
      <bottom style="thin">
        <color theme="0" tint="-0.499984740745262"/>
      </bottom>
      <diagonal/>
    </border>
    <border>
      <left/>
      <right style="medium">
        <color indexed="64"/>
      </right>
      <top style="medium">
        <color indexed="64"/>
      </top>
      <bottom style="thin">
        <color theme="0" tint="-0.499984740745262"/>
      </bottom>
      <diagonal/>
    </border>
    <border>
      <left style="medium">
        <color indexed="64"/>
      </left>
      <right/>
      <top style="thin">
        <color theme="0" tint="-0.499984740745262"/>
      </top>
      <bottom/>
      <diagonal/>
    </border>
    <border>
      <left/>
      <right style="medium">
        <color indexed="64"/>
      </right>
      <top style="thin">
        <color theme="0" tint="-0.499984740745262"/>
      </top>
      <bottom/>
      <diagonal/>
    </border>
    <border>
      <left/>
      <right style="medium">
        <color theme="3"/>
      </right>
      <top style="thin">
        <color theme="0" tint="-0.249977111117893"/>
      </top>
      <bottom/>
      <diagonal/>
    </border>
    <border>
      <left/>
      <right style="medium">
        <color theme="3"/>
      </right>
      <top/>
      <bottom style="thin">
        <color theme="0" tint="-0.249977111117893"/>
      </bottom>
      <diagonal/>
    </border>
    <border>
      <left style="medium">
        <color theme="3"/>
      </left>
      <right/>
      <top style="thin">
        <color theme="0" tint="-0.249977111117893"/>
      </top>
      <bottom style="thin">
        <color theme="0" tint="-0.14999847407452621"/>
      </bottom>
      <diagonal/>
    </border>
    <border>
      <left/>
      <right/>
      <top style="thin">
        <color theme="0" tint="-0.249977111117893"/>
      </top>
      <bottom style="thin">
        <color theme="0" tint="-0.14999847407452621"/>
      </bottom>
      <diagonal/>
    </border>
    <border>
      <left/>
      <right style="thin">
        <color theme="0" tint="-0.249977111117893"/>
      </right>
      <top style="thin">
        <color theme="0" tint="-0.249977111117893"/>
      </top>
      <bottom style="thin">
        <color theme="0" tint="-0.14999847407452621"/>
      </bottom>
      <diagonal/>
    </border>
  </borders>
  <cellStyleXfs count="42">
    <xf numFmtId="0" fontId="0" fillId="0" borderId="0"/>
    <xf numFmtId="0" fontId="25" fillId="2" borderId="1" applyNumberFormat="0" applyProtection="0">
      <alignment horizontal="left" vertical="center" readingOrder="1"/>
    </xf>
    <xf numFmtId="0" fontId="26" fillId="2" borderId="2">
      <alignment horizontal="left"/>
    </xf>
    <xf numFmtId="0" fontId="26" fillId="2" borderId="3">
      <alignment horizontal="right"/>
    </xf>
    <xf numFmtId="0" fontId="26" fillId="2" borderId="3">
      <alignment horizontal="left"/>
    </xf>
    <xf numFmtId="3" fontId="27" fillId="3" borderId="4">
      <alignment horizontal="right"/>
    </xf>
    <xf numFmtId="172" fontId="18" fillId="3" borderId="4">
      <alignment horizontal="right"/>
    </xf>
    <xf numFmtId="4" fontId="18" fillId="3" borderId="4">
      <alignment horizontal="right"/>
    </xf>
    <xf numFmtId="0" fontId="27" fillId="3" borderId="5"/>
    <xf numFmtId="0" fontId="28" fillId="3" borderId="5"/>
    <xf numFmtId="0" fontId="17" fillId="0" borderId="0" applyNumberFormat="0" applyFill="0" applyBorder="0" applyAlignment="0" applyProtection="0">
      <alignment vertical="top"/>
      <protection locked="0"/>
    </xf>
    <xf numFmtId="166" fontId="36" fillId="0" borderId="0" applyFont="0" applyFill="0" applyBorder="0" applyAlignment="0" applyProtection="0"/>
    <xf numFmtId="166" fontId="19" fillId="0" borderId="0" applyFont="0" applyFill="0" applyBorder="0" applyAlignment="0" applyProtection="0"/>
    <xf numFmtId="0" fontId="40" fillId="0" borderId="0"/>
    <xf numFmtId="0" fontId="19" fillId="0" borderId="0"/>
    <xf numFmtId="9" fontId="15" fillId="0" borderId="0" applyFont="0" applyFill="0" applyBorder="0" applyAlignment="0" applyProtection="0"/>
    <xf numFmtId="9" fontId="36" fillId="0" borderId="0" applyFont="0" applyFill="0" applyBorder="0" applyAlignment="0" applyProtection="0"/>
    <xf numFmtId="9" fontId="19" fillId="0" borderId="0" applyFont="0" applyFill="0" applyBorder="0" applyAlignment="0" applyProtection="0"/>
    <xf numFmtId="9" fontId="40" fillId="0" borderId="0" applyFont="0" applyFill="0" applyBorder="0" applyAlignment="0" applyProtection="0"/>
    <xf numFmtId="0" fontId="14" fillId="0" borderId="0"/>
    <xf numFmtId="0" fontId="15" fillId="0" borderId="0"/>
    <xf numFmtId="166" fontId="15" fillId="0" borderId="0" applyFont="0" applyFill="0" applyBorder="0" applyAlignment="0" applyProtection="0"/>
    <xf numFmtId="166" fontId="15" fillId="0" borderId="0" applyFont="0" applyFill="0" applyBorder="0" applyAlignment="0" applyProtection="0"/>
    <xf numFmtId="0" fontId="13" fillId="0" borderId="0"/>
    <xf numFmtId="0" fontId="15" fillId="0" borderId="0"/>
    <xf numFmtId="9" fontId="15" fillId="0" borderId="0" applyFont="0" applyFill="0" applyBorder="0" applyAlignment="0" applyProtection="0"/>
    <xf numFmtId="9" fontId="15" fillId="0" borderId="0" applyFont="0" applyFill="0" applyBorder="0" applyAlignment="0" applyProtection="0"/>
    <xf numFmtId="9" fontId="13" fillId="0" borderId="0" applyFont="0" applyFill="0" applyBorder="0" applyAlignment="0" applyProtection="0"/>
    <xf numFmtId="0" fontId="13" fillId="0" borderId="0"/>
    <xf numFmtId="43" fontId="15" fillId="0" borderId="0" applyFont="0" applyFill="0" applyBorder="0" applyAlignment="0" applyProtection="0"/>
    <xf numFmtId="44" fontId="15" fillId="0" borderId="0" applyFont="0" applyFill="0" applyBorder="0" applyAlignment="0" applyProtection="0"/>
    <xf numFmtId="0" fontId="12" fillId="0" borderId="0"/>
    <xf numFmtId="0" fontId="12" fillId="0" borderId="0"/>
    <xf numFmtId="0" fontId="11" fillId="0" borderId="0"/>
    <xf numFmtId="0" fontId="11" fillId="0" borderId="0"/>
    <xf numFmtId="9" fontId="11" fillId="0" borderId="0" applyFont="0" applyFill="0" applyBorder="0" applyAlignment="0" applyProtection="0"/>
    <xf numFmtId="9" fontId="11" fillId="0" borderId="0" applyFont="0" applyFill="0" applyBorder="0" applyAlignment="0" applyProtection="0"/>
    <xf numFmtId="43" fontId="74" fillId="0" borderId="0" applyFont="0" applyFill="0" applyBorder="0" applyAlignment="0" applyProtection="0"/>
    <xf numFmtId="0" fontId="10" fillId="0" borderId="0"/>
    <xf numFmtId="44" fontId="83" fillId="0" borderId="0" applyFont="0" applyFill="0" applyBorder="0" applyAlignment="0" applyProtection="0"/>
    <xf numFmtId="4" fontId="18" fillId="3" borderId="5">
      <alignment horizontal="right"/>
    </xf>
    <xf numFmtId="10" fontId="18" fillId="3" borderId="89">
      <alignment horizontal="right"/>
    </xf>
  </cellStyleXfs>
  <cellXfs count="722">
    <xf numFmtId="0" fontId="0" fillId="0" borderId="0" xfId="0"/>
    <xf numFmtId="169" fontId="0" fillId="0" borderId="0" xfId="0" applyNumberFormat="1" applyAlignment="1">
      <alignment horizontal="center"/>
    </xf>
    <xf numFmtId="167" fontId="0" fillId="0" borderId="0" xfId="0" applyNumberFormat="1" applyAlignment="1">
      <alignment horizontal="center"/>
    </xf>
    <xf numFmtId="9" fontId="0" fillId="0" borderId="0" xfId="15" applyFont="1" applyAlignment="1">
      <alignment horizontal="center"/>
    </xf>
    <xf numFmtId="0" fontId="0" fillId="0" borderId="0" xfId="0" applyAlignment="1">
      <alignment horizontal="center"/>
    </xf>
    <xf numFmtId="2" fontId="0" fillId="0" borderId="0" xfId="0" applyNumberFormat="1" applyAlignment="1">
      <alignment horizontal="center"/>
    </xf>
    <xf numFmtId="170" fontId="0" fillId="0" borderId="0" xfId="15" applyNumberFormat="1" applyFont="1" applyAlignment="1">
      <alignment horizontal="center"/>
    </xf>
    <xf numFmtId="169" fontId="0" fillId="0" borderId="0" xfId="0" applyNumberFormat="1"/>
    <xf numFmtId="9" fontId="0" fillId="0" borderId="0" xfId="0" applyNumberFormat="1" applyAlignment="1">
      <alignment horizontal="center"/>
    </xf>
    <xf numFmtId="10" fontId="0" fillId="0" borderId="0" xfId="0" applyNumberFormat="1" applyAlignment="1">
      <alignment horizontal="center"/>
    </xf>
    <xf numFmtId="170" fontId="0" fillId="0" borderId="0" xfId="0" applyNumberFormat="1" applyAlignment="1">
      <alignment horizontal="center"/>
    </xf>
    <xf numFmtId="0" fontId="19" fillId="0" borderId="0" xfId="0" applyFont="1"/>
    <xf numFmtId="9" fontId="0" fillId="0" borderId="0" xfId="15" applyFont="1"/>
    <xf numFmtId="0" fontId="20" fillId="0" borderId="0" xfId="0" applyFont="1" applyAlignment="1">
      <alignment horizontal="center"/>
    </xf>
    <xf numFmtId="169" fontId="19" fillId="0" borderId="0" xfId="0" applyNumberFormat="1" applyFont="1"/>
    <xf numFmtId="170" fontId="0" fillId="0" borderId="0" xfId="15" applyNumberFormat="1" applyFont="1"/>
    <xf numFmtId="3" fontId="0" fillId="0" borderId="0" xfId="0" applyNumberFormat="1"/>
    <xf numFmtId="0" fontId="41" fillId="0" borderId="0" xfId="0" applyFont="1"/>
    <xf numFmtId="0" fontId="22" fillId="0" borderId="0" xfId="0" applyFont="1" applyAlignment="1">
      <alignment vertical="top" wrapText="1"/>
    </xf>
    <xf numFmtId="0" fontId="42" fillId="0" borderId="0" xfId="0" applyFont="1"/>
    <xf numFmtId="0" fontId="43" fillId="0" borderId="0" xfId="0" applyFont="1"/>
    <xf numFmtId="169" fontId="19" fillId="0" borderId="0" xfId="0" applyNumberFormat="1" applyFont="1" applyAlignment="1">
      <alignment horizontal="center"/>
    </xf>
    <xf numFmtId="0" fontId="30" fillId="0" borderId="0" xfId="0" applyFont="1"/>
    <xf numFmtId="0" fontId="26" fillId="4" borderId="6" xfId="3" applyFill="1" applyBorder="1" applyAlignment="1">
      <alignment horizontal="center" vertical="center"/>
    </xf>
    <xf numFmtId="0" fontId="44" fillId="4" borderId="6" xfId="0" applyFont="1" applyFill="1" applyBorder="1" applyAlignment="1">
      <alignment horizontal="center"/>
    </xf>
    <xf numFmtId="0" fontId="26" fillId="4" borderId="8" xfId="4" applyFill="1" applyBorder="1">
      <alignment horizontal="left"/>
    </xf>
    <xf numFmtId="0" fontId="26" fillId="4" borderId="9" xfId="3" applyFill="1" applyBorder="1" applyAlignment="1">
      <alignment horizontal="center" vertical="center"/>
    </xf>
    <xf numFmtId="0" fontId="45" fillId="0" borderId="10" xfId="8" applyFont="1" applyFill="1" applyBorder="1" applyAlignment="1">
      <alignment horizontal="center"/>
    </xf>
    <xf numFmtId="0" fontId="45" fillId="0" borderId="12" xfId="8" applyFont="1" applyFill="1" applyBorder="1" applyAlignment="1">
      <alignment horizontal="center"/>
    </xf>
    <xf numFmtId="0" fontId="44" fillId="4" borderId="13" xfId="0" applyFont="1" applyFill="1" applyBorder="1" applyAlignment="1">
      <alignment horizontal="center"/>
    </xf>
    <xf numFmtId="0" fontId="20" fillId="0" borderId="14" xfId="0" applyFont="1" applyBorder="1" applyAlignment="1">
      <alignment horizontal="center"/>
    </xf>
    <xf numFmtId="9" fontId="20" fillId="0" borderId="14" xfId="15" applyFont="1" applyBorder="1"/>
    <xf numFmtId="0" fontId="20" fillId="0" borderId="13" xfId="0" applyFont="1" applyBorder="1" applyAlignment="1">
      <alignment horizontal="center"/>
    </xf>
    <xf numFmtId="9" fontId="32" fillId="0" borderId="16" xfId="15" applyFont="1" applyBorder="1"/>
    <xf numFmtId="0" fontId="20" fillId="0" borderId="17" xfId="0" applyFont="1" applyBorder="1"/>
    <xf numFmtId="0" fontId="20" fillId="0" borderId="8" xfId="0" applyFont="1" applyBorder="1"/>
    <xf numFmtId="9" fontId="20" fillId="0" borderId="13" xfId="15" applyFont="1" applyBorder="1"/>
    <xf numFmtId="0" fontId="20" fillId="0" borderId="19" xfId="0" applyFont="1" applyBorder="1"/>
    <xf numFmtId="9" fontId="20" fillId="0" borderId="20" xfId="15" applyFont="1" applyBorder="1"/>
    <xf numFmtId="9" fontId="20" fillId="0" borderId="21" xfId="15" applyFont="1" applyBorder="1"/>
    <xf numFmtId="0" fontId="42" fillId="4" borderId="0" xfId="0" applyFont="1" applyFill="1"/>
    <xf numFmtId="169" fontId="42" fillId="4" borderId="0" xfId="0" applyNumberFormat="1" applyFont="1" applyFill="1"/>
    <xf numFmtId="169" fontId="42" fillId="4" borderId="0" xfId="0" applyNumberFormat="1" applyFont="1" applyFill="1" applyAlignment="1">
      <alignment horizontal="center"/>
    </xf>
    <xf numFmtId="170" fontId="20" fillId="0" borderId="0" xfId="0" applyNumberFormat="1" applyFont="1" applyAlignment="1">
      <alignment horizontal="center"/>
    </xf>
    <xf numFmtId="10" fontId="20" fillId="0" borderId="0" xfId="0" applyNumberFormat="1" applyFont="1" applyAlignment="1">
      <alignment horizontal="center"/>
    </xf>
    <xf numFmtId="169" fontId="44" fillId="4" borderId="0" xfId="0" applyNumberFormat="1" applyFont="1" applyFill="1" applyAlignment="1">
      <alignment horizontal="center"/>
    </xf>
    <xf numFmtId="169" fontId="19" fillId="0" borderId="0" xfId="10" applyNumberFormat="1" applyFont="1" applyAlignment="1" applyProtection="1">
      <alignment horizontal="left"/>
    </xf>
    <xf numFmtId="169" fontId="20" fillId="0" borderId="0" xfId="0" applyNumberFormat="1" applyFont="1" applyAlignment="1">
      <alignment horizontal="left"/>
    </xf>
    <xf numFmtId="167" fontId="20" fillId="0" borderId="0" xfId="0" applyNumberFormat="1" applyFont="1" applyAlignment="1">
      <alignment horizontal="center"/>
    </xf>
    <xf numFmtId="9" fontId="20" fillId="0" borderId="0" xfId="15" applyFont="1" applyAlignment="1">
      <alignment horizontal="center"/>
    </xf>
    <xf numFmtId="169" fontId="20" fillId="0" borderId="14" xfId="0" applyNumberFormat="1" applyFont="1" applyBorder="1"/>
    <xf numFmtId="169" fontId="20" fillId="0" borderId="20" xfId="0" applyNumberFormat="1" applyFont="1" applyBorder="1"/>
    <xf numFmtId="0" fontId="46" fillId="3" borderId="12" xfId="9" applyFont="1" applyBorder="1"/>
    <xf numFmtId="0" fontId="46" fillId="3" borderId="22" xfId="9" applyFont="1" applyBorder="1"/>
    <xf numFmtId="0" fontId="46" fillId="0" borderId="12" xfId="9" applyFont="1" applyFill="1" applyBorder="1"/>
    <xf numFmtId="0" fontId="46" fillId="3" borderId="23" xfId="9" applyFont="1" applyBorder="1"/>
    <xf numFmtId="0" fontId="46" fillId="0" borderId="12" xfId="0" applyFont="1" applyBorder="1"/>
    <xf numFmtId="0" fontId="46" fillId="0" borderId="24" xfId="0" applyFont="1" applyBorder="1" applyAlignment="1">
      <alignment horizontal="center"/>
    </xf>
    <xf numFmtId="0" fontId="46" fillId="0" borderId="25" xfId="0" applyFont="1" applyBorder="1"/>
    <xf numFmtId="0" fontId="46" fillId="0" borderId="23" xfId="0" applyFont="1" applyBorder="1"/>
    <xf numFmtId="0" fontId="46" fillId="0" borderId="26" xfId="0" applyFont="1" applyBorder="1" applyAlignment="1">
      <alignment horizontal="center"/>
    </xf>
    <xf numFmtId="0" fontId="46" fillId="0" borderId="27" xfId="0" applyFont="1" applyBorder="1"/>
    <xf numFmtId="0" fontId="35" fillId="0" borderId="0" xfId="0" applyFont="1"/>
    <xf numFmtId="170" fontId="42" fillId="4" borderId="0" xfId="0" applyNumberFormat="1" applyFont="1" applyFill="1" applyAlignment="1">
      <alignment horizontal="center"/>
    </xf>
    <xf numFmtId="0" fontId="46" fillId="3" borderId="12" xfId="9" applyFont="1" applyBorder="1" applyAlignment="1">
      <alignment vertical="center"/>
    </xf>
    <xf numFmtId="0" fontId="19" fillId="0" borderId="0" xfId="0" applyFont="1" applyAlignment="1">
      <alignment vertical="center"/>
    </xf>
    <xf numFmtId="0" fontId="46" fillId="0" borderId="12" xfId="0" applyFont="1" applyBorder="1" applyAlignment="1">
      <alignment vertical="center"/>
    </xf>
    <xf numFmtId="0" fontId="46" fillId="0" borderId="24" xfId="0" applyFont="1" applyBorder="1" applyAlignment="1">
      <alignment horizontal="center" vertical="center"/>
    </xf>
    <xf numFmtId="0" fontId="46" fillId="0" borderId="25" xfId="0" applyFont="1" applyBorder="1" applyAlignment="1">
      <alignment vertical="center"/>
    </xf>
    <xf numFmtId="0" fontId="47" fillId="0" borderId="0" xfId="10" applyFont="1" applyAlignment="1" applyProtection="1"/>
    <xf numFmtId="0" fontId="48" fillId="0" borderId="0" xfId="0" applyFont="1"/>
    <xf numFmtId="170" fontId="19" fillId="0" borderId="0" xfId="15" applyNumberFormat="1" applyFont="1" applyAlignment="1">
      <alignment horizontal="center"/>
    </xf>
    <xf numFmtId="172" fontId="0" fillId="0" borderId="0" xfId="0" applyNumberFormat="1" applyAlignment="1">
      <alignment horizontal="center"/>
    </xf>
    <xf numFmtId="167" fontId="19" fillId="0" borderId="0" xfId="0" applyNumberFormat="1" applyFont="1"/>
    <xf numFmtId="169" fontId="20" fillId="0" borderId="14" xfId="0" applyNumberFormat="1" applyFont="1" applyBorder="1" applyAlignment="1">
      <alignment horizontal="center"/>
    </xf>
    <xf numFmtId="169" fontId="20" fillId="0" borderId="20" xfId="0" applyNumberFormat="1" applyFont="1" applyBorder="1" applyAlignment="1">
      <alignment horizontal="center"/>
    </xf>
    <xf numFmtId="0" fontId="20" fillId="0" borderId="0" xfId="0" applyFont="1" applyAlignment="1">
      <alignment horizontal="left"/>
    </xf>
    <xf numFmtId="0" fontId="24" fillId="0" borderId="31" xfId="0" applyFont="1" applyBorder="1"/>
    <xf numFmtId="0" fontId="44" fillId="4" borderId="31" xfId="0" applyFont="1" applyFill="1" applyBorder="1"/>
    <xf numFmtId="0" fontId="21" fillId="0" borderId="31" xfId="0" applyFont="1" applyBorder="1"/>
    <xf numFmtId="0" fontId="44" fillId="4" borderId="31" xfId="0" applyFont="1" applyFill="1" applyBorder="1" applyAlignment="1">
      <alignment horizontal="center"/>
    </xf>
    <xf numFmtId="0" fontId="20" fillId="0" borderId="31" xfId="0" applyFont="1" applyBorder="1" applyAlignment="1">
      <alignment horizontal="center"/>
    </xf>
    <xf numFmtId="0" fontId="20" fillId="0" borderId="35" xfId="0" applyFont="1" applyBorder="1" applyAlignment="1">
      <alignment horizontal="center"/>
    </xf>
    <xf numFmtId="0" fontId="49" fillId="4" borderId="36" xfId="0" applyFont="1" applyFill="1" applyBorder="1" applyAlignment="1">
      <alignment horizontal="center"/>
    </xf>
    <xf numFmtId="0" fontId="44" fillId="4" borderId="35" xfId="0" applyFont="1" applyFill="1" applyBorder="1" applyAlignment="1">
      <alignment horizontal="center"/>
    </xf>
    <xf numFmtId="0" fontId="20" fillId="0" borderId="36" xfId="0" applyFont="1" applyBorder="1" applyAlignment="1">
      <alignment horizontal="center"/>
    </xf>
    <xf numFmtId="0" fontId="0" fillId="0" borderId="35" xfId="0" applyBorder="1" applyAlignment="1">
      <alignment horizontal="center"/>
    </xf>
    <xf numFmtId="169" fontId="0" fillId="7" borderId="0" xfId="0" applyNumberFormat="1" applyFill="1" applyAlignment="1">
      <alignment horizontal="center"/>
    </xf>
    <xf numFmtId="169" fontId="19" fillId="7" borderId="0" xfId="0" applyNumberFormat="1" applyFont="1" applyFill="1" applyAlignment="1">
      <alignment horizontal="center"/>
    </xf>
    <xf numFmtId="169" fontId="19" fillId="0" borderId="37" xfId="0" applyNumberFormat="1" applyFont="1" applyBorder="1"/>
    <xf numFmtId="169" fontId="19" fillId="0" borderId="38" xfId="0" applyNumberFormat="1" applyFont="1" applyBorder="1" applyAlignment="1">
      <alignment horizontal="center"/>
    </xf>
    <xf numFmtId="169" fontId="19" fillId="0" borderId="39" xfId="0" applyNumberFormat="1" applyFont="1" applyBorder="1"/>
    <xf numFmtId="172" fontId="0" fillId="0" borderId="40" xfId="0" applyNumberFormat="1" applyBorder="1" applyAlignment="1">
      <alignment horizontal="center"/>
    </xf>
    <xf numFmtId="169" fontId="19" fillId="0" borderId="41" xfId="0" applyNumberFormat="1" applyFont="1" applyBorder="1"/>
    <xf numFmtId="169" fontId="0" fillId="0" borderId="42" xfId="0" applyNumberFormat="1" applyBorder="1" applyAlignment="1">
      <alignment horizontal="center"/>
    </xf>
    <xf numFmtId="172" fontId="0" fillId="0" borderId="42" xfId="0" applyNumberFormat="1" applyBorder="1" applyAlignment="1">
      <alignment horizontal="center"/>
    </xf>
    <xf numFmtId="172" fontId="0" fillId="0" borderId="43" xfId="0" applyNumberFormat="1" applyBorder="1" applyAlignment="1">
      <alignment horizontal="center"/>
    </xf>
    <xf numFmtId="167" fontId="0" fillId="0" borderId="38" xfId="0" applyNumberFormat="1" applyBorder="1" applyAlignment="1">
      <alignment horizontal="center"/>
    </xf>
    <xf numFmtId="0" fontId="49" fillId="4" borderId="44" xfId="0" applyFont="1" applyFill="1" applyBorder="1"/>
    <xf numFmtId="0" fontId="49" fillId="4" borderId="45" xfId="0" applyFont="1" applyFill="1" applyBorder="1"/>
    <xf numFmtId="0" fontId="49" fillId="4" borderId="46" xfId="0" applyFont="1" applyFill="1" applyBorder="1" applyAlignment="1">
      <alignment horizontal="center"/>
    </xf>
    <xf numFmtId="168" fontId="38" fillId="8" borderId="31" xfId="0" applyNumberFormat="1" applyFont="1" applyFill="1" applyBorder="1" applyAlignment="1">
      <alignment horizontal="center" vertical="center"/>
    </xf>
    <xf numFmtId="170" fontId="42" fillId="4" borderId="0" xfId="15" applyNumberFormat="1" applyFont="1" applyFill="1" applyAlignment="1">
      <alignment horizontal="center"/>
    </xf>
    <xf numFmtId="170" fontId="20" fillId="0" borderId="31" xfId="15" applyNumberFormat="1" applyFont="1" applyBorder="1" applyAlignment="1">
      <alignment horizontal="center" vertical="center"/>
    </xf>
    <xf numFmtId="167" fontId="42" fillId="4" borderId="0" xfId="0" applyNumberFormat="1" applyFont="1" applyFill="1" applyAlignment="1">
      <alignment horizontal="center"/>
    </xf>
    <xf numFmtId="170" fontId="20" fillId="0" borderId="24" xfId="17" applyNumberFormat="1" applyFont="1" applyFill="1" applyBorder="1" applyAlignment="1">
      <alignment horizontal="center"/>
    </xf>
    <xf numFmtId="0" fontId="19" fillId="0" borderId="0" xfId="0" applyFont="1" applyAlignment="1">
      <alignment horizontal="left"/>
    </xf>
    <xf numFmtId="0" fontId="15" fillId="0" borderId="33" xfId="0" applyFont="1" applyBorder="1" applyAlignment="1">
      <alignment horizontal="center" vertical="center"/>
    </xf>
    <xf numFmtId="0" fontId="15" fillId="0" borderId="49" xfId="0" applyFont="1" applyBorder="1" applyAlignment="1">
      <alignment horizontal="center" vertical="center"/>
    </xf>
    <xf numFmtId="169" fontId="15" fillId="0" borderId="31" xfId="0" applyNumberFormat="1" applyFont="1" applyBorder="1" applyAlignment="1">
      <alignment horizontal="center"/>
    </xf>
    <xf numFmtId="170" fontId="15" fillId="0" borderId="31" xfId="15" applyNumberFormat="1" applyFont="1" applyBorder="1" applyAlignment="1">
      <alignment horizontal="center"/>
    </xf>
    <xf numFmtId="14" fontId="15" fillId="0" borderId="33" xfId="0" applyNumberFormat="1" applyFont="1" applyBorder="1" applyAlignment="1">
      <alignment horizontal="center" vertical="center"/>
    </xf>
    <xf numFmtId="0" fontId="15" fillId="0" borderId="0" xfId="0" applyFont="1"/>
    <xf numFmtId="168" fontId="0" fillId="0" borderId="0" xfId="0" applyNumberFormat="1"/>
    <xf numFmtId="170" fontId="20" fillId="9" borderId="14" xfId="15" applyNumberFormat="1" applyFont="1" applyFill="1" applyBorder="1"/>
    <xf numFmtId="0" fontId="15" fillId="0" borderId="31" xfId="0" applyFont="1" applyBorder="1"/>
    <xf numFmtId="9" fontId="15" fillId="0" borderId="31" xfId="15" applyFont="1" applyBorder="1" applyAlignment="1">
      <alignment horizontal="center"/>
    </xf>
    <xf numFmtId="167" fontId="15" fillId="0" borderId="31" xfId="0" applyNumberFormat="1" applyFont="1" applyBorder="1" applyAlignment="1">
      <alignment horizontal="center"/>
    </xf>
    <xf numFmtId="169" fontId="15" fillId="0" borderId="31" xfId="15" applyNumberFormat="1" applyFont="1" applyFill="1" applyBorder="1" applyAlignment="1">
      <alignment horizontal="center"/>
    </xf>
    <xf numFmtId="0" fontId="15" fillId="0" borderId="35" xfId="0" applyFont="1" applyBorder="1"/>
    <xf numFmtId="0" fontId="15" fillId="0" borderId="31" xfId="0" applyFont="1" applyBorder="1" applyAlignment="1">
      <alignment horizontal="left"/>
    </xf>
    <xf numFmtId="0" fontId="15" fillId="0" borderId="35" xfId="0" quotePrefix="1" applyFont="1" applyBorder="1"/>
    <xf numFmtId="0" fontId="15" fillId="0" borderId="31" xfId="0" quotePrefix="1" applyFont="1" applyBorder="1"/>
    <xf numFmtId="169" fontId="15" fillId="0" borderId="31" xfId="15" applyNumberFormat="1" applyFont="1" applyBorder="1" applyAlignment="1">
      <alignment horizontal="center"/>
    </xf>
    <xf numFmtId="170" fontId="15" fillId="0" borderId="0" xfId="0" applyNumberFormat="1" applyFont="1" applyAlignment="1">
      <alignment horizontal="center"/>
    </xf>
    <xf numFmtId="0" fontId="15" fillId="0" borderId="0" xfId="0" applyFont="1" applyAlignment="1">
      <alignment horizontal="center"/>
    </xf>
    <xf numFmtId="170" fontId="15" fillId="0" borderId="31" xfId="15" applyNumberFormat="1" applyFont="1" applyFill="1" applyBorder="1" applyAlignment="1">
      <alignment horizontal="center"/>
    </xf>
    <xf numFmtId="169" fontId="19" fillId="0" borderId="0" xfId="0" quotePrefix="1" applyNumberFormat="1" applyFont="1" applyAlignment="1">
      <alignment horizontal="center"/>
    </xf>
    <xf numFmtId="167" fontId="42" fillId="0" borderId="0" xfId="0" applyNumberFormat="1" applyFont="1"/>
    <xf numFmtId="3" fontId="42" fillId="0" borderId="0" xfId="0" applyNumberFormat="1" applyFont="1"/>
    <xf numFmtId="0" fontId="51" fillId="0" borderId="0" xfId="0" applyFont="1" applyAlignment="1">
      <alignment vertical="top" wrapText="1"/>
    </xf>
    <xf numFmtId="170" fontId="42" fillId="0" borderId="0" xfId="15" applyNumberFormat="1" applyFont="1" applyFill="1"/>
    <xf numFmtId="9" fontId="42" fillId="0" borderId="0" xfId="15" applyFont="1" applyFill="1"/>
    <xf numFmtId="9" fontId="0" fillId="0" borderId="0" xfId="0" applyNumberFormat="1"/>
    <xf numFmtId="0" fontId="15" fillId="0" borderId="34" xfId="0" applyFont="1" applyBorder="1" applyAlignment="1">
      <alignment horizontal="center" vertical="center"/>
    </xf>
    <xf numFmtId="0" fontId="15" fillId="0" borderId="31" xfId="0" applyFont="1" applyBorder="1" applyAlignment="1">
      <alignment horizontal="left" indent="1"/>
    </xf>
    <xf numFmtId="0" fontId="15" fillId="0" borderId="35" xfId="0" applyFont="1" applyBorder="1" applyAlignment="1">
      <alignment horizontal="center"/>
    </xf>
    <xf numFmtId="169" fontId="15" fillId="0" borderId="0" xfId="0" quotePrefix="1" applyNumberFormat="1" applyFont="1" applyAlignment="1">
      <alignment horizontal="center"/>
    </xf>
    <xf numFmtId="170" fontId="20" fillId="0" borderId="20" xfId="15" applyNumberFormat="1" applyFont="1" applyBorder="1"/>
    <xf numFmtId="10" fontId="15" fillId="0" borderId="0" xfId="0" applyNumberFormat="1" applyFont="1" applyAlignment="1">
      <alignment horizontal="center"/>
    </xf>
    <xf numFmtId="168" fontId="0" fillId="0" borderId="0" xfId="0" applyNumberFormat="1" applyAlignment="1">
      <alignment horizontal="center"/>
    </xf>
    <xf numFmtId="4" fontId="15" fillId="0" borderId="31" xfId="0" applyNumberFormat="1" applyFont="1" applyBorder="1" applyAlignment="1">
      <alignment horizontal="center"/>
    </xf>
    <xf numFmtId="14" fontId="15" fillId="0" borderId="31" xfId="0" applyNumberFormat="1" applyFont="1" applyBorder="1" applyAlignment="1">
      <alignment horizontal="center"/>
    </xf>
    <xf numFmtId="171" fontId="15" fillId="0" borderId="31" xfId="15" applyNumberFormat="1" applyFont="1" applyBorder="1" applyAlignment="1">
      <alignment horizontal="center"/>
    </xf>
    <xf numFmtId="170" fontId="15" fillId="0" borderId="36" xfId="15" applyNumberFormat="1" applyFont="1" applyFill="1" applyBorder="1" applyAlignment="1">
      <alignment horizontal="center"/>
    </xf>
    <xf numFmtId="9" fontId="15" fillId="0" borderId="36" xfId="0" applyNumberFormat="1" applyFont="1" applyBorder="1" applyAlignment="1">
      <alignment horizontal="center"/>
    </xf>
    <xf numFmtId="9" fontId="15" fillId="0" borderId="36" xfId="15" applyFont="1" applyBorder="1" applyAlignment="1">
      <alignment horizontal="center"/>
    </xf>
    <xf numFmtId="169" fontId="15" fillId="0" borderId="0" xfId="0" applyNumberFormat="1" applyFont="1"/>
    <xf numFmtId="0" fontId="56" fillId="0" borderId="0" xfId="10" applyFont="1" applyFill="1" applyAlignment="1" applyProtection="1"/>
    <xf numFmtId="169" fontId="42" fillId="0" borderId="0" xfId="0" applyNumberFormat="1" applyFont="1"/>
    <xf numFmtId="0" fontId="0" fillId="0" borderId="71" xfId="0" applyBorder="1" applyAlignment="1">
      <alignment horizontal="left"/>
    </xf>
    <xf numFmtId="2" fontId="19" fillId="7" borderId="0" xfId="0" applyNumberFormat="1" applyFont="1" applyFill="1" applyAlignment="1">
      <alignment horizontal="center"/>
    </xf>
    <xf numFmtId="2" fontId="19" fillId="0" borderId="0" xfId="0" applyNumberFormat="1" applyFont="1" applyAlignment="1">
      <alignment horizontal="center"/>
    </xf>
    <xf numFmtId="0" fontId="20" fillId="0" borderId="18" xfId="0" applyFont="1" applyBorder="1"/>
    <xf numFmtId="0" fontId="15" fillId="0" borderId="17" xfId="0" applyFont="1" applyBorder="1" applyAlignment="1">
      <alignment horizontal="left" indent="1"/>
    </xf>
    <xf numFmtId="169" fontId="20" fillId="0" borderId="0" xfId="0" applyNumberFormat="1" applyFont="1" applyAlignment="1">
      <alignment horizontal="center"/>
    </xf>
    <xf numFmtId="9" fontId="20" fillId="0" borderId="0" xfId="15" applyFont="1"/>
    <xf numFmtId="9" fontId="20" fillId="0" borderId="16" xfId="15" applyFont="1" applyBorder="1"/>
    <xf numFmtId="170" fontId="15" fillId="0" borderId="36" xfId="15" quotePrefix="1" applyNumberFormat="1" applyFont="1" applyFill="1" applyBorder="1" applyAlignment="1">
      <alignment horizontal="center"/>
    </xf>
    <xf numFmtId="0" fontId="15" fillId="0" borderId="50" xfId="0" applyFont="1" applyBorder="1" applyAlignment="1">
      <alignment horizontal="left" vertical="center"/>
    </xf>
    <xf numFmtId="0" fontId="15" fillId="0" borderId="46" xfId="0" applyFont="1" applyBorder="1" applyAlignment="1">
      <alignment horizontal="left" vertical="center"/>
    </xf>
    <xf numFmtId="9" fontId="42" fillId="0" borderId="0" xfId="15" applyFont="1"/>
    <xf numFmtId="9" fontId="51" fillId="0" borderId="0" xfId="15" applyFont="1" applyAlignment="1">
      <alignment vertical="top" wrapText="1"/>
    </xf>
    <xf numFmtId="167" fontId="54" fillId="0" borderId="31" xfId="0" applyNumberFormat="1" applyFont="1" applyBorder="1" applyAlignment="1">
      <alignment horizontal="center"/>
    </xf>
    <xf numFmtId="2" fontId="54" fillId="0" borderId="31" xfId="15" applyNumberFormat="1" applyFont="1" applyBorder="1" applyAlignment="1">
      <alignment horizontal="center"/>
    </xf>
    <xf numFmtId="170" fontId="53" fillId="0" borderId="31" xfId="15" applyNumberFormat="1" applyFont="1" applyBorder="1" applyAlignment="1">
      <alignment horizontal="center"/>
    </xf>
    <xf numFmtId="170" fontId="53" fillId="0" borderId="31" xfId="15" applyNumberFormat="1" applyFont="1" applyFill="1" applyBorder="1" applyAlignment="1">
      <alignment horizontal="center"/>
    </xf>
    <xf numFmtId="0" fontId="15" fillId="0" borderId="8" xfId="0" applyFont="1" applyBorder="1"/>
    <xf numFmtId="0" fontId="15" fillId="0" borderId="17" xfId="0" applyFont="1" applyBorder="1"/>
    <xf numFmtId="169" fontId="15" fillId="0" borderId="0" xfId="0" applyNumberFormat="1" applyFont="1" applyAlignment="1">
      <alignment horizontal="center"/>
    </xf>
    <xf numFmtId="9" fontId="15" fillId="0" borderId="0" xfId="15" applyFont="1"/>
    <xf numFmtId="9" fontId="15" fillId="0" borderId="16" xfId="15" applyFont="1" applyBorder="1"/>
    <xf numFmtId="0" fontId="15" fillId="0" borderId="46" xfId="0" applyFont="1" applyBorder="1" applyAlignment="1">
      <alignment vertical="center"/>
    </xf>
    <xf numFmtId="170" fontId="54" fillId="0" borderId="31" xfId="15" applyNumberFormat="1" applyFont="1" applyBorder="1" applyAlignment="1">
      <alignment horizontal="center"/>
    </xf>
    <xf numFmtId="169" fontId="54" fillId="0" borderId="31" xfId="0" applyNumberFormat="1" applyFont="1" applyBorder="1" applyAlignment="1">
      <alignment horizontal="center"/>
    </xf>
    <xf numFmtId="2" fontId="53" fillId="0" borderId="36" xfId="15" applyNumberFormat="1" applyFont="1" applyBorder="1" applyAlignment="1">
      <alignment horizontal="center"/>
    </xf>
    <xf numFmtId="171" fontId="53" fillId="0" borderId="36" xfId="15" applyNumberFormat="1" applyFont="1" applyBorder="1" applyAlignment="1">
      <alignment horizontal="center"/>
    </xf>
    <xf numFmtId="171" fontId="53" fillId="0" borderId="36" xfId="0" applyNumberFormat="1" applyFont="1" applyBorder="1" applyAlignment="1">
      <alignment horizontal="center"/>
    </xf>
    <xf numFmtId="171" fontId="54" fillId="0" borderId="36" xfId="0" applyNumberFormat="1" applyFont="1" applyBorder="1" applyAlignment="1">
      <alignment horizontal="center"/>
    </xf>
    <xf numFmtId="169" fontId="41" fillId="0" borderId="31" xfId="0" applyNumberFormat="1" applyFont="1" applyBorder="1" applyAlignment="1">
      <alignment horizontal="center"/>
    </xf>
    <xf numFmtId="170" fontId="41" fillId="0" borderId="31" xfId="15" applyNumberFormat="1" applyFont="1" applyFill="1" applyBorder="1" applyAlignment="1">
      <alignment horizontal="center"/>
    </xf>
    <xf numFmtId="169" fontId="53" fillId="0" borderId="31" xfId="0" applyNumberFormat="1" applyFont="1" applyBorder="1" applyAlignment="1">
      <alignment horizontal="center"/>
    </xf>
    <xf numFmtId="170" fontId="54" fillId="0" borderId="36" xfId="15" applyNumberFormat="1" applyFont="1" applyBorder="1" applyAlignment="1">
      <alignment horizontal="center"/>
    </xf>
    <xf numFmtId="9" fontId="53" fillId="0" borderId="31" xfId="15" applyFont="1" applyBorder="1" applyAlignment="1">
      <alignment horizontal="center"/>
    </xf>
    <xf numFmtId="9" fontId="53" fillId="0" borderId="31" xfId="15" applyFont="1" applyFill="1" applyBorder="1" applyAlignment="1">
      <alignment horizontal="center"/>
    </xf>
    <xf numFmtId="3" fontId="27" fillId="3" borderId="7" xfId="5" applyBorder="1">
      <alignment horizontal="right"/>
    </xf>
    <xf numFmtId="3" fontId="27" fillId="0" borderId="7" xfId="5" applyFill="1" applyBorder="1">
      <alignment horizontal="right"/>
    </xf>
    <xf numFmtId="3" fontId="27" fillId="3" borderId="11" xfId="5" applyBorder="1">
      <alignment horizontal="right"/>
    </xf>
    <xf numFmtId="0" fontId="15" fillId="3" borderId="7" xfId="9" applyFont="1" applyBorder="1" applyAlignment="1">
      <alignment horizontal="right"/>
    </xf>
    <xf numFmtId="3" fontId="20" fillId="3" borderId="7" xfId="5" applyFont="1" applyBorder="1">
      <alignment horizontal="right"/>
    </xf>
    <xf numFmtId="4" fontId="15" fillId="0" borderId="25" xfId="7" applyFont="1" applyFill="1" applyBorder="1">
      <alignment horizontal="right"/>
    </xf>
    <xf numFmtId="4" fontId="15" fillId="3" borderId="25" xfId="7" applyFont="1" applyBorder="1">
      <alignment horizontal="right"/>
    </xf>
    <xf numFmtId="3" fontId="20" fillId="3" borderId="25" xfId="5" applyFont="1" applyBorder="1">
      <alignment horizontal="right"/>
    </xf>
    <xf numFmtId="170" fontId="41" fillId="0" borderId="31" xfId="15" applyNumberFormat="1" applyFont="1" applyBorder="1" applyAlignment="1">
      <alignment horizontal="center"/>
    </xf>
    <xf numFmtId="170" fontId="53" fillId="0" borderId="36" xfId="17" applyNumberFormat="1" applyFont="1" applyBorder="1" applyAlignment="1">
      <alignment horizontal="center"/>
    </xf>
    <xf numFmtId="0" fontId="17" fillId="0" borderId="0" xfId="10" applyAlignment="1" applyProtection="1"/>
    <xf numFmtId="0" fontId="58" fillId="0" borderId="1" xfId="0" applyFont="1" applyBorder="1"/>
    <xf numFmtId="0" fontId="0" fillId="0" borderId="1" xfId="0" applyBorder="1"/>
    <xf numFmtId="0" fontId="17" fillId="0" borderId="1" xfId="10" applyBorder="1" applyAlignment="1" applyProtection="1"/>
    <xf numFmtId="0" fontId="0" fillId="0" borderId="71" xfId="0" applyBorder="1"/>
    <xf numFmtId="0" fontId="41" fillId="0" borderId="0" xfId="0" applyFont="1" applyAlignment="1">
      <alignment horizontal="center"/>
    </xf>
    <xf numFmtId="0" fontId="20" fillId="0" borderId="0" xfId="0" applyFont="1"/>
    <xf numFmtId="170" fontId="44" fillId="5" borderId="0" xfId="0" applyNumberFormat="1" applyFont="1" applyFill="1" applyAlignment="1">
      <alignment horizontal="center"/>
    </xf>
    <xf numFmtId="0" fontId="60" fillId="12" borderId="79" xfId="0" applyFont="1" applyFill="1" applyBorder="1" applyAlignment="1">
      <alignment horizontal="center" vertical="center"/>
    </xf>
    <xf numFmtId="0" fontId="60" fillId="12" borderId="0" xfId="0" applyFont="1" applyFill="1" applyAlignment="1">
      <alignment horizontal="center" vertical="center"/>
    </xf>
    <xf numFmtId="0" fontId="0" fillId="0" borderId="80" xfId="0" applyBorder="1" applyAlignment="1">
      <alignment horizontal="left" vertical="center"/>
    </xf>
    <xf numFmtId="0" fontId="0" fillId="0" borderId="82" xfId="0" applyBorder="1" applyAlignment="1">
      <alignment horizontal="left" vertical="center"/>
    </xf>
    <xf numFmtId="0" fontId="24" fillId="0" borderId="80" xfId="0" applyFont="1" applyBorder="1" applyAlignment="1">
      <alignment horizontal="left" vertical="center"/>
    </xf>
    <xf numFmtId="0" fontId="15" fillId="0" borderId="0" xfId="24" applyAlignment="1">
      <alignment horizontal="center"/>
    </xf>
    <xf numFmtId="0" fontId="15" fillId="0" borderId="0" xfId="24"/>
    <xf numFmtId="0" fontId="20" fillId="0" borderId="0" xfId="24" applyFont="1" applyAlignment="1">
      <alignment horizontal="center"/>
    </xf>
    <xf numFmtId="0" fontId="16" fillId="0" borderId="0" xfId="24" applyFont="1"/>
    <xf numFmtId="0" fontId="63" fillId="0" borderId="0" xfId="24" applyFont="1"/>
    <xf numFmtId="0" fontId="64" fillId="0" borderId="0" xfId="24" applyFont="1"/>
    <xf numFmtId="3" fontId="64" fillId="0" borderId="0" xfId="24" applyNumberFormat="1" applyFont="1"/>
    <xf numFmtId="0" fontId="35" fillId="0" borderId="0" xfId="24" applyFont="1" applyAlignment="1">
      <alignment horizontal="left"/>
    </xf>
    <xf numFmtId="0" fontId="35" fillId="0" borderId="0" xfId="24" applyFont="1" applyAlignment="1">
      <alignment horizontal="center"/>
    </xf>
    <xf numFmtId="3" fontId="15" fillId="0" borderId="0" xfId="24" applyNumberFormat="1" applyAlignment="1">
      <alignment horizontal="center"/>
    </xf>
    <xf numFmtId="170" fontId="15" fillId="0" borderId="0" xfId="15" applyNumberFormat="1" applyFont="1" applyAlignment="1">
      <alignment horizontal="center"/>
    </xf>
    <xf numFmtId="9" fontId="15" fillId="0" borderId="0" xfId="15" applyFont="1" applyAlignment="1">
      <alignment horizontal="center"/>
    </xf>
    <xf numFmtId="9" fontId="15" fillId="0" borderId="0" xfId="15" applyFont="1" applyBorder="1" applyAlignment="1">
      <alignment horizontal="center"/>
    </xf>
    <xf numFmtId="0" fontId="65" fillId="0" borderId="0" xfId="24" applyFont="1"/>
    <xf numFmtId="9" fontId="62" fillId="0" borderId="0" xfId="15" applyFont="1" applyAlignment="1">
      <alignment horizontal="center"/>
    </xf>
    <xf numFmtId="0" fontId="64" fillId="0" borderId="85" xfId="24" applyFont="1" applyBorder="1"/>
    <xf numFmtId="3" fontId="15" fillId="0" borderId="86" xfId="24" applyNumberFormat="1" applyBorder="1" applyAlignment="1">
      <alignment horizontal="center"/>
    </xf>
    <xf numFmtId="0" fontId="64" fillId="0" borderId="87" xfId="24" applyFont="1" applyBorder="1"/>
    <xf numFmtId="3" fontId="15" fillId="0" borderId="71" xfId="24" applyNumberFormat="1" applyBorder="1" applyAlignment="1">
      <alignment horizontal="center"/>
    </xf>
    <xf numFmtId="0" fontId="64" fillId="13" borderId="0" xfId="24" applyFont="1" applyFill="1"/>
    <xf numFmtId="3" fontId="15" fillId="13" borderId="0" xfId="24" applyNumberFormat="1" applyFill="1" applyAlignment="1">
      <alignment horizontal="center"/>
    </xf>
    <xf numFmtId="0" fontId="64" fillId="14" borderId="0" xfId="24" applyFont="1" applyFill="1"/>
    <xf numFmtId="3" fontId="15" fillId="14" borderId="0" xfId="24" applyNumberFormat="1" applyFill="1" applyAlignment="1">
      <alignment horizontal="center"/>
    </xf>
    <xf numFmtId="0" fontId="64" fillId="0" borderId="0" xfId="24" applyFont="1" applyAlignment="1">
      <alignment horizontal="left"/>
    </xf>
    <xf numFmtId="0" fontId="35" fillId="0" borderId="0" xfId="24" applyFont="1"/>
    <xf numFmtId="0" fontId="20" fillId="0" borderId="0" xfId="24" applyFont="1"/>
    <xf numFmtId="3" fontId="20" fillId="0" borderId="0" xfId="24" applyNumberFormat="1" applyFont="1" applyAlignment="1">
      <alignment horizontal="center"/>
    </xf>
    <xf numFmtId="0" fontId="66" fillId="0" borderId="0" xfId="24" applyFont="1"/>
    <xf numFmtId="171" fontId="64" fillId="0" borderId="0" xfId="24" applyNumberFormat="1" applyFont="1" applyAlignment="1">
      <alignment horizontal="center"/>
    </xf>
    <xf numFmtId="171" fontId="15" fillId="0" borderId="0" xfId="24" applyNumberFormat="1" applyAlignment="1">
      <alignment horizontal="center"/>
    </xf>
    <xf numFmtId="2" fontId="15" fillId="0" borderId="0" xfId="15" applyNumberFormat="1" applyFont="1" applyAlignment="1">
      <alignment horizontal="center"/>
    </xf>
    <xf numFmtId="0" fontId="67" fillId="0" borderId="0" xfId="24" applyFont="1"/>
    <xf numFmtId="3" fontId="67" fillId="0" borderId="0" xfId="24" applyNumberFormat="1" applyFont="1" applyAlignment="1">
      <alignment horizontal="center"/>
    </xf>
    <xf numFmtId="0" fontId="37" fillId="0" borderId="0" xfId="24" applyFont="1"/>
    <xf numFmtId="0" fontId="67" fillId="15" borderId="0" xfId="24" applyFont="1" applyFill="1"/>
    <xf numFmtId="3" fontId="67" fillId="15" borderId="0" xfId="24" applyNumberFormat="1" applyFont="1" applyFill="1" applyAlignment="1">
      <alignment horizontal="center"/>
    </xf>
    <xf numFmtId="3" fontId="67" fillId="0" borderId="0" xfId="24" applyNumberFormat="1" applyFont="1"/>
    <xf numFmtId="172" fontId="37" fillId="0" borderId="0" xfId="24" applyNumberFormat="1" applyFont="1" applyAlignment="1">
      <alignment horizontal="center"/>
    </xf>
    <xf numFmtId="3" fontId="37" fillId="0" borderId="0" xfId="24" applyNumberFormat="1" applyFont="1" applyAlignment="1">
      <alignment horizontal="center"/>
    </xf>
    <xf numFmtId="3" fontId="37" fillId="0" borderId="0" xfId="24" applyNumberFormat="1" applyFont="1"/>
    <xf numFmtId="172" fontId="67" fillId="15" borderId="0" xfId="24" applyNumberFormat="1" applyFont="1" applyFill="1" applyAlignment="1">
      <alignment horizontal="left"/>
    </xf>
    <xf numFmtId="0" fontId="67" fillId="13" borderId="0" xfId="24" applyFont="1" applyFill="1"/>
    <xf numFmtId="3" fontId="37" fillId="15" borderId="0" xfId="24" applyNumberFormat="1" applyFont="1" applyFill="1" applyAlignment="1">
      <alignment horizontal="center"/>
    </xf>
    <xf numFmtId="0" fontId="37" fillId="15" borderId="0" xfId="24" applyFont="1" applyFill="1"/>
    <xf numFmtId="0" fontId="16" fillId="0" borderId="0" xfId="0" applyFont="1" applyAlignment="1">
      <alignment horizontal="center"/>
    </xf>
    <xf numFmtId="10" fontId="0" fillId="0" borderId="0" xfId="0" applyNumberFormat="1"/>
    <xf numFmtId="4" fontId="0" fillId="0" borderId="0" xfId="0" applyNumberFormat="1" applyAlignment="1">
      <alignment horizontal="center"/>
    </xf>
    <xf numFmtId="10" fontId="15" fillId="0" borderId="0" xfId="0" applyNumberFormat="1" applyFont="1"/>
    <xf numFmtId="10" fontId="0" fillId="0" borderId="86" xfId="0" applyNumberFormat="1" applyBorder="1" applyAlignment="1">
      <alignment horizontal="center"/>
    </xf>
    <xf numFmtId="10" fontId="0" fillId="0" borderId="88" xfId="0" applyNumberFormat="1" applyBorder="1" applyAlignment="1">
      <alignment horizontal="center"/>
    </xf>
    <xf numFmtId="164" fontId="0" fillId="0" borderId="0" xfId="0" applyNumberFormat="1" applyAlignment="1">
      <alignment horizontal="center"/>
    </xf>
    <xf numFmtId="164" fontId="15" fillId="0" borderId="89" xfId="0" applyNumberFormat="1" applyFont="1" applyBorder="1" applyAlignment="1">
      <alignment horizontal="center"/>
    </xf>
    <xf numFmtId="164" fontId="0" fillId="0" borderId="71" xfId="0" applyNumberFormat="1" applyBorder="1" applyAlignment="1">
      <alignment horizontal="center"/>
    </xf>
    <xf numFmtId="164" fontId="15" fillId="0" borderId="90" xfId="0" applyNumberFormat="1" applyFont="1" applyBorder="1" applyAlignment="1">
      <alignment horizontal="center"/>
    </xf>
    <xf numFmtId="165" fontId="20" fillId="0" borderId="0" xfId="0" applyNumberFormat="1" applyFont="1" applyAlignment="1">
      <alignment horizontal="center"/>
    </xf>
    <xf numFmtId="0" fontId="15" fillId="0" borderId="85" xfId="0" applyFont="1" applyBorder="1" applyAlignment="1">
      <alignment horizontal="center"/>
    </xf>
    <xf numFmtId="4" fontId="0" fillId="0" borderId="0" xfId="0" applyNumberFormat="1"/>
    <xf numFmtId="0" fontId="0" fillId="0" borderId="0" xfId="15" applyNumberFormat="1" applyFont="1" applyAlignment="1">
      <alignment horizontal="center"/>
    </xf>
    <xf numFmtId="170" fontId="0" fillId="0" borderId="0" xfId="0" applyNumberFormat="1"/>
    <xf numFmtId="3" fontId="0" fillId="0" borderId="0" xfId="15" applyNumberFormat="1" applyFont="1" applyAlignment="1">
      <alignment horizontal="center"/>
    </xf>
    <xf numFmtId="2" fontId="12" fillId="0" borderId="0" xfId="32" applyNumberFormat="1" applyAlignment="1">
      <alignment horizontal="center"/>
    </xf>
    <xf numFmtId="0" fontId="64" fillId="0" borderId="0" xfId="24" applyFont="1" applyAlignment="1">
      <alignment horizontal="center"/>
    </xf>
    <xf numFmtId="0" fontId="67" fillId="0" borderId="0" xfId="24" applyFont="1" applyAlignment="1">
      <alignment horizontal="center"/>
    </xf>
    <xf numFmtId="0" fontId="37" fillId="0" borderId="0" xfId="24" applyFont="1" applyAlignment="1">
      <alignment horizontal="center"/>
    </xf>
    <xf numFmtId="0" fontId="20" fillId="16" borderId="35" xfId="0" applyFont="1" applyFill="1" applyBorder="1" applyAlignment="1">
      <alignment horizontal="center"/>
    </xf>
    <xf numFmtId="169" fontId="15" fillId="16" borderId="31" xfId="0" applyNumberFormat="1" applyFont="1" applyFill="1" applyBorder="1" applyAlignment="1">
      <alignment horizontal="center"/>
    </xf>
    <xf numFmtId="169" fontId="53" fillId="16" borderId="31" xfId="0" applyNumberFormat="1" applyFont="1" applyFill="1" applyBorder="1" applyAlignment="1">
      <alignment horizontal="center"/>
    </xf>
    <xf numFmtId="9" fontId="53" fillId="16" borderId="31" xfId="15" applyFont="1" applyFill="1" applyBorder="1" applyAlignment="1">
      <alignment horizontal="center"/>
    </xf>
    <xf numFmtId="169" fontId="15" fillId="0" borderId="36" xfId="0" applyNumberFormat="1" applyFont="1" applyBorder="1" applyAlignment="1">
      <alignment horizontal="center"/>
    </xf>
    <xf numFmtId="169" fontId="20" fillId="0" borderId="31" xfId="0" applyNumberFormat="1" applyFont="1" applyBorder="1" applyAlignment="1">
      <alignment horizontal="center"/>
    </xf>
    <xf numFmtId="169" fontId="20" fillId="0" borderId="36" xfId="0" applyNumberFormat="1" applyFont="1" applyBorder="1" applyAlignment="1">
      <alignment horizontal="center"/>
    </xf>
    <xf numFmtId="0" fontId="0" fillId="0" borderId="31" xfId="0" applyBorder="1"/>
    <xf numFmtId="9" fontId="15" fillId="0" borderId="31" xfId="26" applyBorder="1" applyAlignment="1">
      <alignment horizontal="center"/>
    </xf>
    <xf numFmtId="170" fontId="15" fillId="0" borderId="36" xfId="26" applyNumberFormat="1" applyBorder="1" applyAlignment="1">
      <alignment horizontal="center"/>
    </xf>
    <xf numFmtId="171" fontId="0" fillId="0" borderId="31" xfId="0" applyNumberFormat="1" applyBorder="1" applyAlignment="1">
      <alignment horizontal="center"/>
    </xf>
    <xf numFmtId="171" fontId="0" fillId="0" borderId="36" xfId="0" applyNumberFormat="1" applyBorder="1" applyAlignment="1">
      <alignment horizontal="center"/>
    </xf>
    <xf numFmtId="0" fontId="50" fillId="4" borderId="0" xfId="0" applyFont="1" applyFill="1" applyAlignment="1">
      <alignment horizontal="center"/>
    </xf>
    <xf numFmtId="9" fontId="20" fillId="0" borderId="0" xfId="15" applyFont="1" applyBorder="1"/>
    <xf numFmtId="10" fontId="15" fillId="0" borderId="50" xfId="0" applyNumberFormat="1" applyFont="1" applyBorder="1" applyAlignment="1">
      <alignment horizontal="center" vertical="center"/>
    </xf>
    <xf numFmtId="170" fontId="15" fillId="16" borderId="31" xfId="15" applyNumberFormat="1" applyFont="1" applyFill="1" applyBorder="1" applyAlignment="1">
      <alignment horizontal="center"/>
    </xf>
    <xf numFmtId="0" fontId="11" fillId="0" borderId="0" xfId="33"/>
    <xf numFmtId="0" fontId="11" fillId="0" borderId="0" xfId="33" applyAlignment="1">
      <alignment horizontal="center"/>
    </xf>
    <xf numFmtId="0" fontId="20" fillId="0" borderId="0" xfId="33" applyFont="1" applyAlignment="1">
      <alignment horizontal="left"/>
    </xf>
    <xf numFmtId="0" fontId="68" fillId="0" borderId="91" xfId="33" applyFont="1" applyBorder="1"/>
    <xf numFmtId="0" fontId="69" fillId="0" borderId="91" xfId="33" applyFont="1" applyBorder="1"/>
    <xf numFmtId="170" fontId="20" fillId="0" borderId="91" xfId="34" applyNumberFormat="1" applyFont="1" applyBorder="1" applyAlignment="1">
      <alignment horizontal="center"/>
    </xf>
    <xf numFmtId="0" fontId="20" fillId="0" borderId="91" xfId="33" applyFont="1" applyBorder="1" applyAlignment="1">
      <alignment horizontal="center"/>
    </xf>
    <xf numFmtId="0" fontId="20" fillId="0" borderId="91" xfId="33" applyFont="1" applyBorder="1" applyAlignment="1">
      <alignment horizontal="center" vertical="center"/>
    </xf>
    <xf numFmtId="0" fontId="20" fillId="17" borderId="91" xfId="33" applyFont="1" applyFill="1" applyBorder="1"/>
    <xf numFmtId="170" fontId="42" fillId="18" borderId="91" xfId="34" applyNumberFormat="1" applyFont="1" applyFill="1" applyBorder="1" applyAlignment="1">
      <alignment horizontal="center"/>
    </xf>
    <xf numFmtId="0" fontId="42" fillId="0" borderId="0" xfId="33" applyFont="1"/>
    <xf numFmtId="169" fontId="15" fillId="17" borderId="91" xfId="33" applyNumberFormat="1" applyFont="1" applyFill="1" applyBorder="1"/>
    <xf numFmtId="169" fontId="11" fillId="0" borderId="91" xfId="33" applyNumberFormat="1" applyBorder="1" applyAlignment="1">
      <alignment horizontal="center"/>
    </xf>
    <xf numFmtId="169" fontId="11" fillId="0" borderId="0" xfId="33" applyNumberFormat="1"/>
    <xf numFmtId="0" fontId="15" fillId="0" borderId="91" xfId="33" applyFont="1" applyBorder="1"/>
    <xf numFmtId="169" fontId="11" fillId="0" borderId="0" xfId="33" applyNumberFormat="1" applyAlignment="1">
      <alignment horizontal="center"/>
    </xf>
    <xf numFmtId="0" fontId="15" fillId="17" borderId="91" xfId="33" applyFont="1" applyFill="1" applyBorder="1"/>
    <xf numFmtId="169" fontId="15" fillId="0" borderId="91" xfId="33" applyNumberFormat="1" applyFont="1" applyBorder="1"/>
    <xf numFmtId="169" fontId="15" fillId="13" borderId="0" xfId="33" applyNumberFormat="1" applyFont="1" applyFill="1"/>
    <xf numFmtId="169" fontId="11" fillId="13" borderId="0" xfId="33" applyNumberFormat="1" applyFill="1" applyAlignment="1">
      <alignment horizontal="center"/>
    </xf>
    <xf numFmtId="169" fontId="15" fillId="13" borderId="0" xfId="33" applyNumberFormat="1" applyFont="1" applyFill="1" applyAlignment="1">
      <alignment horizontal="center"/>
    </xf>
    <xf numFmtId="169" fontId="15" fillId="17" borderId="91" xfId="33" applyNumberFormat="1" applyFont="1" applyFill="1" applyBorder="1" applyAlignment="1">
      <alignment vertical="center"/>
    </xf>
    <xf numFmtId="169" fontId="20" fillId="14" borderId="91" xfId="33" quotePrefix="1" applyNumberFormat="1" applyFont="1" applyFill="1" applyBorder="1" applyAlignment="1">
      <alignment vertical="center"/>
    </xf>
    <xf numFmtId="0" fontId="15" fillId="0" borderId="0" xfId="33" applyFont="1"/>
    <xf numFmtId="169" fontId="15" fillId="17" borderId="91" xfId="33" applyNumberFormat="1" applyFont="1" applyFill="1" applyBorder="1" applyAlignment="1">
      <alignment horizontal="left" vertical="center"/>
    </xf>
    <xf numFmtId="0" fontId="68" fillId="0" borderId="91" xfId="33" applyFont="1" applyBorder="1" applyAlignment="1">
      <alignment vertical="center"/>
    </xf>
    <xf numFmtId="169" fontId="72" fillId="0" borderId="91" xfId="36" applyNumberFormat="1" applyFont="1" applyBorder="1" applyAlignment="1">
      <alignment horizontal="center" vertical="center"/>
    </xf>
    <xf numFmtId="169" fontId="0" fillId="0" borderId="91" xfId="36" applyNumberFormat="1" applyFont="1" applyBorder="1" applyAlignment="1">
      <alignment horizontal="center" vertical="center"/>
    </xf>
    <xf numFmtId="169" fontId="71" fillId="0" borderId="91" xfId="36" applyNumberFormat="1" applyFont="1" applyBorder="1" applyAlignment="1">
      <alignment horizontal="center" vertical="center"/>
    </xf>
    <xf numFmtId="0" fontId="20" fillId="0" borderId="88" xfId="33" applyFont="1" applyBorder="1" applyAlignment="1">
      <alignment horizontal="center" vertical="center"/>
    </xf>
    <xf numFmtId="0" fontId="20" fillId="0" borderId="90" xfId="33" applyFont="1" applyBorder="1" applyAlignment="1">
      <alignment horizontal="center" vertical="center"/>
    </xf>
    <xf numFmtId="0" fontId="11" fillId="0" borderId="91" xfId="33" applyBorder="1"/>
    <xf numFmtId="0" fontId="20" fillId="0" borderId="0" xfId="33" applyFont="1" applyAlignment="1">
      <alignment horizontal="center" vertical="center"/>
    </xf>
    <xf numFmtId="4" fontId="11" fillId="0" borderId="91" xfId="33" applyNumberFormat="1" applyBorder="1" applyAlignment="1">
      <alignment horizontal="center"/>
    </xf>
    <xf numFmtId="0" fontId="11" fillId="13" borderId="0" xfId="33" applyFill="1"/>
    <xf numFmtId="169" fontId="11" fillId="13" borderId="0" xfId="33" applyNumberFormat="1" applyFill="1"/>
    <xf numFmtId="0" fontId="11" fillId="13" borderId="0" xfId="33" applyFill="1" applyAlignment="1">
      <alignment horizontal="center"/>
    </xf>
    <xf numFmtId="0" fontId="11" fillId="0" borderId="85" xfId="33" applyBorder="1"/>
    <xf numFmtId="167" fontId="11" fillId="0" borderId="86" xfId="33" applyNumberFormat="1" applyBorder="1" applyAlignment="1">
      <alignment horizontal="center"/>
    </xf>
    <xf numFmtId="169" fontId="68" fillId="0" borderId="86" xfId="33" applyNumberFormat="1" applyFont="1" applyBorder="1" applyAlignment="1">
      <alignment horizontal="center"/>
    </xf>
    <xf numFmtId="166" fontId="11" fillId="0" borderId="88" xfId="22" applyFont="1" applyBorder="1" applyAlignment="1">
      <alignment horizontal="center" vertical="center"/>
    </xf>
    <xf numFmtId="0" fontId="11" fillId="0" borderId="5" xfId="33" applyBorder="1"/>
    <xf numFmtId="167" fontId="42" fillId="4" borderId="0" xfId="24" applyNumberFormat="1" applyFont="1" applyFill="1" applyAlignment="1">
      <alignment horizontal="center"/>
    </xf>
    <xf numFmtId="167" fontId="42" fillId="4" borderId="89" xfId="24" applyNumberFormat="1" applyFont="1" applyFill="1" applyBorder="1" applyAlignment="1">
      <alignment horizontal="center"/>
    </xf>
    <xf numFmtId="0" fontId="11" fillId="0" borderId="87" xfId="33" applyBorder="1"/>
    <xf numFmtId="169" fontId="11" fillId="0" borderId="71" xfId="33" applyNumberFormat="1" applyBorder="1"/>
    <xf numFmtId="2" fontId="11" fillId="0" borderId="71" xfId="33" applyNumberFormat="1" applyBorder="1" applyAlignment="1">
      <alignment horizontal="center"/>
    </xf>
    <xf numFmtId="2" fontId="11" fillId="0" borderId="90" xfId="33" applyNumberFormat="1" applyBorder="1" applyAlignment="1">
      <alignment horizontal="center"/>
    </xf>
    <xf numFmtId="0" fontId="68" fillId="0" borderId="88" xfId="33" applyFont="1" applyBorder="1" applyAlignment="1">
      <alignment horizontal="center"/>
    </xf>
    <xf numFmtId="0" fontId="68" fillId="0" borderId="87" xfId="33" applyFont="1" applyBorder="1"/>
    <xf numFmtId="10" fontId="0" fillId="0" borderId="71" xfId="36" applyNumberFormat="1" applyFont="1" applyBorder="1" applyAlignment="1">
      <alignment horizontal="center"/>
    </xf>
    <xf numFmtId="10" fontId="0" fillId="0" borderId="90" xfId="36" applyNumberFormat="1" applyFont="1" applyBorder="1" applyAlignment="1">
      <alignment horizontal="center"/>
    </xf>
    <xf numFmtId="167" fontId="11" fillId="0" borderId="0" xfId="33" applyNumberFormat="1"/>
    <xf numFmtId="10" fontId="0" fillId="0" borderId="0" xfId="36" applyNumberFormat="1" applyFont="1"/>
    <xf numFmtId="10" fontId="15" fillId="0" borderId="0" xfId="36" applyNumberFormat="1" applyFont="1"/>
    <xf numFmtId="0" fontId="68" fillId="0" borderId="86" xfId="33" applyFont="1" applyBorder="1" applyAlignment="1">
      <alignment horizontal="center"/>
    </xf>
    <xf numFmtId="0" fontId="11" fillId="0" borderId="3" xfId="33" applyBorder="1"/>
    <xf numFmtId="10" fontId="0" fillId="0" borderId="86" xfId="36" applyNumberFormat="1" applyFont="1" applyBorder="1" applyAlignment="1">
      <alignment horizontal="center"/>
    </xf>
    <xf numFmtId="0" fontId="11" fillId="0" borderId="4" xfId="33" applyBorder="1"/>
    <xf numFmtId="10" fontId="0" fillId="0" borderId="0" xfId="36" applyNumberFormat="1" applyFont="1" applyBorder="1" applyAlignment="1">
      <alignment horizontal="center"/>
    </xf>
    <xf numFmtId="169" fontId="11" fillId="0" borderId="89" xfId="33" applyNumberFormat="1" applyBorder="1" applyAlignment="1">
      <alignment horizontal="left"/>
    </xf>
    <xf numFmtId="0" fontId="11" fillId="0" borderId="89" xfId="33" applyBorder="1" applyAlignment="1">
      <alignment horizontal="left"/>
    </xf>
    <xf numFmtId="0" fontId="11" fillId="0" borderId="2" xfId="33" applyBorder="1"/>
    <xf numFmtId="169" fontId="11" fillId="0" borderId="90" xfId="33" applyNumberFormat="1" applyBorder="1" applyAlignment="1">
      <alignment horizontal="left"/>
    </xf>
    <xf numFmtId="0" fontId="11" fillId="0" borderId="91" xfId="33" applyBorder="1" applyAlignment="1">
      <alignment horizontal="center"/>
    </xf>
    <xf numFmtId="9" fontId="0" fillId="0" borderId="91" xfId="36" applyFont="1" applyBorder="1" applyAlignment="1">
      <alignment horizontal="center"/>
    </xf>
    <xf numFmtId="0" fontId="11" fillId="0" borderId="0" xfId="33" applyAlignment="1">
      <alignment horizontal="left"/>
    </xf>
    <xf numFmtId="0" fontId="68" fillId="0" borderId="92" xfId="33" applyFont="1" applyBorder="1"/>
    <xf numFmtId="0" fontId="68" fillId="0" borderId="93" xfId="33" applyFont="1" applyBorder="1"/>
    <xf numFmtId="0" fontId="11" fillId="0" borderId="93" xfId="33" applyBorder="1"/>
    <xf numFmtId="10" fontId="11" fillId="0" borderId="0" xfId="33" applyNumberFormat="1"/>
    <xf numFmtId="170" fontId="11" fillId="0" borderId="0" xfId="15" applyNumberFormat="1" applyFont="1"/>
    <xf numFmtId="2" fontId="11" fillId="0" borderId="0" xfId="33" applyNumberFormat="1" applyAlignment="1">
      <alignment horizontal="center"/>
    </xf>
    <xf numFmtId="167" fontId="11" fillId="0" borderId="0" xfId="33" applyNumberFormat="1" applyAlignment="1">
      <alignment horizontal="center"/>
    </xf>
    <xf numFmtId="0" fontId="64" fillId="0" borderId="5" xfId="24" applyFont="1" applyBorder="1"/>
    <xf numFmtId="170" fontId="15" fillId="0" borderId="0" xfId="15" applyNumberFormat="1" applyFont="1" applyBorder="1" applyAlignment="1">
      <alignment horizontal="center"/>
    </xf>
    <xf numFmtId="165" fontId="67" fillId="0" borderId="0" xfId="24" applyNumberFormat="1" applyFont="1"/>
    <xf numFmtId="3" fontId="73" fillId="0" borderId="0" xfId="24" applyNumberFormat="1" applyFont="1"/>
    <xf numFmtId="9" fontId="67" fillId="0" borderId="0" xfId="24" applyNumberFormat="1" applyFont="1"/>
    <xf numFmtId="173" fontId="67" fillId="0" borderId="0" xfId="24" applyNumberFormat="1" applyFont="1" applyAlignment="1">
      <alignment horizontal="center"/>
    </xf>
    <xf numFmtId="4" fontId="67" fillId="0" borderId="0" xfId="24" applyNumberFormat="1" applyFont="1"/>
    <xf numFmtId="170" fontId="67" fillId="15" borderId="0" xfId="15" applyNumberFormat="1" applyFont="1" applyFill="1" applyAlignment="1">
      <alignment horizontal="center"/>
    </xf>
    <xf numFmtId="170" fontId="67" fillId="15" borderId="0" xfId="15" applyNumberFormat="1" applyFont="1" applyFill="1" applyBorder="1" applyAlignment="1">
      <alignment horizontal="center"/>
    </xf>
    <xf numFmtId="9" fontId="67" fillId="0" borderId="0" xfId="15" applyFont="1" applyFill="1" applyBorder="1" applyAlignment="1">
      <alignment horizontal="center"/>
    </xf>
    <xf numFmtId="9" fontId="37" fillId="0" borderId="0" xfId="15" applyFont="1" applyFill="1" applyBorder="1" applyAlignment="1">
      <alignment horizontal="center"/>
    </xf>
    <xf numFmtId="170" fontId="37" fillId="0" borderId="0" xfId="15" applyNumberFormat="1" applyFont="1" applyFill="1" applyBorder="1" applyAlignment="1">
      <alignment horizontal="center"/>
    </xf>
    <xf numFmtId="170" fontId="67" fillId="0" borderId="0" xfId="15" applyNumberFormat="1" applyFont="1" applyFill="1" applyBorder="1" applyAlignment="1">
      <alignment horizontal="center"/>
    </xf>
    <xf numFmtId="172" fontId="67" fillId="15" borderId="0" xfId="24" applyNumberFormat="1" applyFont="1" applyFill="1" applyAlignment="1">
      <alignment horizontal="center"/>
    </xf>
    <xf numFmtId="172" fontId="67" fillId="0" borderId="0" xfId="24" applyNumberFormat="1" applyFont="1" applyAlignment="1">
      <alignment horizontal="center"/>
    </xf>
    <xf numFmtId="4" fontId="67" fillId="15" borderId="0" xfId="24" applyNumberFormat="1" applyFont="1" applyFill="1" applyAlignment="1">
      <alignment horizontal="center"/>
    </xf>
    <xf numFmtId="170" fontId="67" fillId="15" borderId="0" xfId="24" applyNumberFormat="1" applyFont="1" applyFill="1" applyAlignment="1">
      <alignment horizontal="center"/>
    </xf>
    <xf numFmtId="43" fontId="11" fillId="0" borderId="0" xfId="37" applyFont="1"/>
    <xf numFmtId="0" fontId="10" fillId="0" borderId="0" xfId="32" applyFont="1"/>
    <xf numFmtId="167" fontId="12" fillId="0" borderId="0" xfId="32" applyNumberFormat="1"/>
    <xf numFmtId="170" fontId="10" fillId="0" borderId="0" xfId="15" applyNumberFormat="1" applyFont="1"/>
    <xf numFmtId="4" fontId="10" fillId="0" borderId="91" xfId="38" applyNumberFormat="1" applyBorder="1" applyAlignment="1">
      <alignment horizontal="center"/>
    </xf>
    <xf numFmtId="4" fontId="10" fillId="0" borderId="86" xfId="38" applyNumberFormat="1" applyBorder="1" applyAlignment="1">
      <alignment horizontal="center"/>
    </xf>
    <xf numFmtId="0" fontId="9" fillId="0" borderId="0" xfId="33" applyFont="1"/>
    <xf numFmtId="0" fontId="15" fillId="0" borderId="80" xfId="0" applyFont="1" applyBorder="1" applyAlignment="1">
      <alignment horizontal="left" vertical="center"/>
    </xf>
    <xf numFmtId="3" fontId="0" fillId="0" borderId="0" xfId="0" applyNumberFormat="1" applyAlignment="1">
      <alignment horizontal="center"/>
    </xf>
    <xf numFmtId="3" fontId="0" fillId="0" borderId="81" xfId="0" applyNumberFormat="1" applyBorder="1" applyAlignment="1">
      <alignment horizontal="center"/>
    </xf>
    <xf numFmtId="0" fontId="8" fillId="0" borderId="0" xfId="33" applyFont="1"/>
    <xf numFmtId="0" fontId="0" fillId="0" borderId="0" xfId="0" quotePrefix="1"/>
    <xf numFmtId="0" fontId="7" fillId="0" borderId="4" xfId="33" applyFont="1" applyBorder="1"/>
    <xf numFmtId="174" fontId="0" fillId="0" borderId="0" xfId="0" applyNumberFormat="1"/>
    <xf numFmtId="2" fontId="6" fillId="0" borderId="71" xfId="33" applyNumberFormat="1" applyFont="1" applyBorder="1" applyAlignment="1">
      <alignment horizontal="center"/>
    </xf>
    <xf numFmtId="167" fontId="6" fillId="0" borderId="86" xfId="33" applyNumberFormat="1" applyFont="1" applyBorder="1" applyAlignment="1">
      <alignment horizontal="center"/>
    </xf>
    <xf numFmtId="3" fontId="15" fillId="0" borderId="24" xfId="0" applyNumberFormat="1" applyFont="1" applyBorder="1" applyAlignment="1">
      <alignment horizontal="center"/>
    </xf>
    <xf numFmtId="9" fontId="15" fillId="0" borderId="31" xfId="15" applyFont="1" applyFill="1" applyBorder="1" applyAlignment="1">
      <alignment horizontal="center"/>
    </xf>
    <xf numFmtId="10" fontId="15" fillId="0" borderId="31" xfId="0" applyNumberFormat="1" applyFont="1" applyBorder="1" applyAlignment="1">
      <alignment horizontal="center"/>
    </xf>
    <xf numFmtId="0" fontId="19" fillId="0" borderId="47" xfId="0" applyFont="1" applyBorder="1" applyAlignment="1">
      <alignment horizontal="center" vertical="center" wrapText="1"/>
    </xf>
    <xf numFmtId="0" fontId="19" fillId="0" borderId="48" xfId="0" applyFont="1" applyBorder="1" applyAlignment="1">
      <alignment horizontal="center" vertical="center" wrapText="1"/>
    </xf>
    <xf numFmtId="10" fontId="15" fillId="19" borderId="0" xfId="0" applyNumberFormat="1" applyFont="1" applyFill="1"/>
    <xf numFmtId="0" fontId="80" fillId="0" borderId="0" xfId="20" applyFont="1" applyAlignment="1">
      <alignment horizontal="left" wrapText="1" readingOrder="1"/>
    </xf>
    <xf numFmtId="0" fontId="81" fillId="0" borderId="0" xfId="0" applyFont="1" applyAlignment="1">
      <alignment vertical="top" wrapText="1"/>
    </xf>
    <xf numFmtId="0" fontId="76" fillId="0" borderId="0" xfId="0" applyFont="1"/>
    <xf numFmtId="3" fontId="81" fillId="0" borderId="0" xfId="0" applyNumberFormat="1" applyFont="1" applyAlignment="1">
      <alignment vertical="top" wrapText="1"/>
    </xf>
    <xf numFmtId="0" fontId="82" fillId="0" borderId="0" xfId="0" applyFont="1"/>
    <xf numFmtId="0" fontId="82" fillId="0" borderId="0" xfId="0" applyFont="1" applyAlignment="1">
      <alignment horizontal="center"/>
    </xf>
    <xf numFmtId="14" fontId="15" fillId="0" borderId="32" xfId="0" applyNumberFormat="1" applyFont="1" applyBorder="1" applyAlignment="1">
      <alignment horizontal="center" vertical="center" wrapText="1"/>
    </xf>
    <xf numFmtId="3" fontId="11" fillId="0" borderId="91" xfId="33" applyNumberFormat="1" applyBorder="1" applyAlignment="1">
      <alignment horizontal="center"/>
    </xf>
    <xf numFmtId="10" fontId="0" fillId="9" borderId="0" xfId="15" applyNumberFormat="1" applyFont="1" applyFill="1" applyAlignment="1">
      <alignment horizontal="center"/>
    </xf>
    <xf numFmtId="10" fontId="0" fillId="9" borderId="81" xfId="15" applyNumberFormat="1" applyFont="1" applyFill="1" applyBorder="1" applyAlignment="1">
      <alignment horizontal="center"/>
    </xf>
    <xf numFmtId="10" fontId="0" fillId="9" borderId="0" xfId="0" applyNumberFormat="1" applyFill="1" applyAlignment="1">
      <alignment horizontal="center"/>
    </xf>
    <xf numFmtId="3" fontId="0" fillId="9" borderId="0" xfId="0" applyNumberFormat="1" applyFill="1" applyAlignment="1">
      <alignment horizontal="center"/>
    </xf>
    <xf numFmtId="3" fontId="0" fillId="9" borderId="81" xfId="0" applyNumberFormat="1" applyFill="1" applyBorder="1" applyAlignment="1">
      <alignment horizontal="center"/>
    </xf>
    <xf numFmtId="10" fontId="0" fillId="9" borderId="0" xfId="15" applyNumberFormat="1" applyFont="1" applyFill="1" applyBorder="1" applyAlignment="1">
      <alignment horizontal="center"/>
    </xf>
    <xf numFmtId="2" fontId="0" fillId="9" borderId="0" xfId="0" applyNumberFormat="1" applyFill="1" applyAlignment="1">
      <alignment horizontal="center"/>
    </xf>
    <xf numFmtId="2" fontId="0" fillId="9" borderId="81" xfId="0" applyNumberFormat="1" applyFill="1" applyBorder="1" applyAlignment="1">
      <alignment horizontal="center"/>
    </xf>
    <xf numFmtId="10" fontId="0" fillId="9" borderId="83" xfId="15" applyNumberFormat="1" applyFont="1" applyFill="1" applyBorder="1" applyAlignment="1">
      <alignment horizontal="center"/>
    </xf>
    <xf numFmtId="10" fontId="0" fillId="9" borderId="84" xfId="15" applyNumberFormat="1" applyFont="1" applyFill="1" applyBorder="1" applyAlignment="1">
      <alignment horizontal="center"/>
    </xf>
    <xf numFmtId="2" fontId="0" fillId="13" borderId="0" xfId="0" applyNumberFormat="1" applyFill="1" applyAlignment="1">
      <alignment horizontal="center"/>
    </xf>
    <xf numFmtId="10" fontId="0" fillId="20" borderId="0" xfId="15" applyNumberFormat="1" applyFont="1" applyFill="1" applyBorder="1" applyAlignment="1">
      <alignment horizontal="center"/>
    </xf>
    <xf numFmtId="3" fontId="0" fillId="20" borderId="0" xfId="0" applyNumberFormat="1" applyFill="1" applyAlignment="1">
      <alignment horizontal="center"/>
    </xf>
    <xf numFmtId="10" fontId="0" fillId="13" borderId="0" xfId="15" applyNumberFormat="1" applyFont="1" applyFill="1" applyAlignment="1">
      <alignment horizontal="center"/>
    </xf>
    <xf numFmtId="2" fontId="0" fillId="10" borderId="0" xfId="0" applyNumberFormat="1" applyFill="1" applyAlignment="1">
      <alignment horizontal="center"/>
    </xf>
    <xf numFmtId="10" fontId="0" fillId="13" borderId="83" xfId="15" applyNumberFormat="1" applyFont="1" applyFill="1" applyBorder="1" applyAlignment="1">
      <alignment horizontal="center"/>
    </xf>
    <xf numFmtId="10" fontId="0" fillId="13" borderId="0" xfId="15" applyNumberFormat="1" applyFont="1" applyFill="1" applyBorder="1" applyAlignment="1">
      <alignment horizontal="center"/>
    </xf>
    <xf numFmtId="0" fontId="15" fillId="3" borderId="25" xfId="9" applyFont="1" applyBorder="1" applyAlignment="1">
      <alignment horizontal="center"/>
    </xf>
    <xf numFmtId="0" fontId="15" fillId="0" borderId="25" xfId="9" applyFont="1" applyFill="1" applyBorder="1" applyAlignment="1">
      <alignment horizontal="center"/>
    </xf>
    <xf numFmtId="4" fontId="15" fillId="5" borderId="25" xfId="7" applyFont="1" applyFill="1" applyBorder="1" applyAlignment="1">
      <alignment horizontal="center"/>
    </xf>
    <xf numFmtId="0" fontId="15" fillId="3" borderId="76" xfId="9" applyFont="1" applyBorder="1" applyAlignment="1">
      <alignment horizontal="center"/>
    </xf>
    <xf numFmtId="4" fontId="15" fillId="3" borderId="25" xfId="7" applyFont="1" applyBorder="1" applyAlignment="1">
      <alignment horizontal="center"/>
    </xf>
    <xf numFmtId="4" fontId="15" fillId="3" borderId="27" xfId="7" applyFont="1" applyBorder="1" applyAlignment="1">
      <alignment horizontal="center"/>
    </xf>
    <xf numFmtId="172" fontId="15" fillId="3" borderId="76" xfId="6" applyFont="1" applyBorder="1" applyAlignment="1">
      <alignment horizontal="center"/>
    </xf>
    <xf numFmtId="172" fontId="15" fillId="3" borderId="25" xfId="6" applyFont="1" applyBorder="1" applyAlignment="1">
      <alignment horizontal="center"/>
    </xf>
    <xf numFmtId="4" fontId="55" fillId="13" borderId="25" xfId="7" applyFont="1" applyFill="1" applyBorder="1">
      <alignment horizontal="right"/>
    </xf>
    <xf numFmtId="4" fontId="55" fillId="20" borderId="25" xfId="7" applyFont="1" applyFill="1" applyBorder="1">
      <alignment horizontal="right"/>
    </xf>
    <xf numFmtId="4" fontId="15" fillId="10" borderId="25" xfId="7" applyFont="1" applyFill="1" applyBorder="1">
      <alignment horizontal="right"/>
    </xf>
    <xf numFmtId="4" fontId="15" fillId="20" borderId="25" xfId="7" applyFont="1" applyFill="1" applyBorder="1">
      <alignment horizontal="right"/>
    </xf>
    <xf numFmtId="4" fontId="15" fillId="13" borderId="25" xfId="7" applyFont="1" applyFill="1" applyBorder="1">
      <alignment horizontal="right"/>
    </xf>
    <xf numFmtId="4" fontId="55" fillId="13" borderId="76" xfId="7" applyFont="1" applyFill="1" applyBorder="1">
      <alignment horizontal="right"/>
    </xf>
    <xf numFmtId="4" fontId="59" fillId="20" borderId="25" xfId="7" applyFont="1" applyFill="1" applyBorder="1">
      <alignment horizontal="right"/>
    </xf>
    <xf numFmtId="4" fontId="41" fillId="10" borderId="27" xfId="7" applyFont="1" applyFill="1" applyBorder="1">
      <alignment horizontal="right"/>
    </xf>
    <xf numFmtId="4" fontId="41" fillId="13" borderId="25" xfId="7" applyFont="1" applyFill="1" applyBorder="1">
      <alignment horizontal="right"/>
    </xf>
    <xf numFmtId="170" fontId="32" fillId="0" borderId="16" xfId="15" applyNumberFormat="1" applyFont="1" applyBorder="1"/>
    <xf numFmtId="0" fontId="20" fillId="0" borderId="15" xfId="0" applyFont="1" applyBorder="1"/>
    <xf numFmtId="174" fontId="11" fillId="0" borderId="91" xfId="33" applyNumberFormat="1" applyBorder="1" applyAlignment="1">
      <alignment horizontal="center"/>
    </xf>
    <xf numFmtId="173" fontId="11" fillId="7" borderId="91" xfId="33" applyNumberFormat="1" applyFill="1" applyBorder="1" applyAlignment="1">
      <alignment horizontal="center" vertical="center"/>
    </xf>
    <xf numFmtId="173" fontId="72" fillId="7" borderId="91" xfId="33" applyNumberFormat="1" applyFont="1" applyFill="1" applyBorder="1" applyAlignment="1">
      <alignment horizontal="center" vertical="center"/>
    </xf>
    <xf numFmtId="173" fontId="71" fillId="7" borderId="91" xfId="33" applyNumberFormat="1" applyFont="1" applyFill="1" applyBorder="1" applyAlignment="1">
      <alignment horizontal="center" vertical="center"/>
    </xf>
    <xf numFmtId="10" fontId="15" fillId="0" borderId="71" xfId="36" applyNumberFormat="1" applyFont="1" applyBorder="1" applyAlignment="1">
      <alignment horizontal="center"/>
    </xf>
    <xf numFmtId="176" fontId="0" fillId="0" borderId="0" xfId="15" applyNumberFormat="1" applyFont="1"/>
    <xf numFmtId="0" fontId="84" fillId="3" borderId="0" xfId="9" applyFont="1" applyBorder="1"/>
    <xf numFmtId="3" fontId="27" fillId="3" borderId="0" xfId="40" applyNumberFormat="1" applyFont="1" applyBorder="1">
      <alignment horizontal="right"/>
    </xf>
    <xf numFmtId="10" fontId="27" fillId="3" borderId="0" xfId="41" applyFont="1" applyBorder="1">
      <alignment horizontal="right"/>
    </xf>
    <xf numFmtId="0" fontId="28" fillId="3" borderId="0" xfId="9" applyBorder="1"/>
    <xf numFmtId="3" fontId="18" fillId="3" borderId="0" xfId="40" applyNumberFormat="1" applyBorder="1">
      <alignment horizontal="right"/>
    </xf>
    <xf numFmtId="10" fontId="18" fillId="3" borderId="0" xfId="41" applyBorder="1">
      <alignment horizontal="right"/>
    </xf>
    <xf numFmtId="0" fontId="44" fillId="4" borderId="44" xfId="0" applyFont="1" applyFill="1" applyBorder="1" applyAlignment="1">
      <alignment horizontal="left"/>
    </xf>
    <xf numFmtId="0" fontId="44" fillId="4" borderId="45" xfId="0" applyFont="1" applyFill="1" applyBorder="1" applyAlignment="1">
      <alignment horizontal="left"/>
    </xf>
    <xf numFmtId="0" fontId="44" fillId="4" borderId="46" xfId="0" applyFont="1" applyFill="1" applyBorder="1" applyAlignment="1">
      <alignment horizontal="left"/>
    </xf>
    <xf numFmtId="4" fontId="41" fillId="10" borderId="25" xfId="7" applyFont="1" applyFill="1" applyBorder="1">
      <alignment horizontal="right"/>
    </xf>
    <xf numFmtId="0" fontId="15" fillId="0" borderId="1" xfId="0" applyFont="1" applyBorder="1"/>
    <xf numFmtId="169" fontId="0" fillId="0" borderId="36" xfId="0" applyNumberFormat="1" applyBorder="1" applyAlignment="1">
      <alignment horizontal="center"/>
    </xf>
    <xf numFmtId="0" fontId="19" fillId="0" borderId="31" xfId="0" applyFont="1" applyBorder="1" applyAlignment="1">
      <alignment horizontal="center" vertical="center"/>
    </xf>
    <xf numFmtId="169" fontId="11" fillId="0" borderId="3" xfId="33" applyNumberFormat="1" applyBorder="1" applyAlignment="1">
      <alignment horizontal="center"/>
    </xf>
    <xf numFmtId="170" fontId="68" fillId="0" borderId="91" xfId="36" applyNumberFormat="1" applyFont="1" applyBorder="1" applyAlignment="1">
      <alignment horizontal="center"/>
    </xf>
    <xf numFmtId="167" fontId="68" fillId="0" borderId="91" xfId="33" applyNumberFormat="1" applyFont="1" applyBorder="1" applyAlignment="1">
      <alignment horizontal="center"/>
    </xf>
    <xf numFmtId="0" fontId="53" fillId="0" borderId="36" xfId="0" applyFont="1" applyBorder="1" applyAlignment="1">
      <alignment horizontal="center"/>
    </xf>
    <xf numFmtId="0" fontId="86" fillId="0" borderId="0" xfId="0" applyFont="1" applyAlignment="1">
      <alignment horizontal="center" vertical="center"/>
    </xf>
    <xf numFmtId="4" fontId="5" fillId="0" borderId="0" xfId="38" applyNumberFormat="1" applyFont="1" applyAlignment="1">
      <alignment horizontal="center"/>
    </xf>
    <xf numFmtId="4" fontId="5" fillId="0" borderId="88" xfId="38" applyNumberFormat="1" applyFont="1" applyBorder="1" applyAlignment="1">
      <alignment horizontal="center"/>
    </xf>
    <xf numFmtId="0" fontId="15" fillId="0" borderId="91" xfId="0" applyFont="1" applyBorder="1"/>
    <xf numFmtId="0" fontId="38" fillId="0" borderId="91" xfId="0" applyFont="1" applyBorder="1" applyAlignment="1">
      <alignment horizontal="center"/>
    </xf>
    <xf numFmtId="0" fontId="16" fillId="0" borderId="91" xfId="0" applyFont="1" applyBorder="1" applyAlignment="1">
      <alignment horizontal="center"/>
    </xf>
    <xf numFmtId="0" fontId="87" fillId="4" borderId="91" xfId="0" applyFont="1" applyFill="1" applyBorder="1" applyAlignment="1">
      <alignment horizontal="center"/>
    </xf>
    <xf numFmtId="0" fontId="87" fillId="4" borderId="91" xfId="0" applyFont="1" applyFill="1" applyBorder="1"/>
    <xf numFmtId="0" fontId="87" fillId="4" borderId="0" xfId="0" applyFont="1" applyFill="1"/>
    <xf numFmtId="0" fontId="87" fillId="4" borderId="0" xfId="0" applyFont="1" applyFill="1" applyAlignment="1">
      <alignment horizontal="center" vertical="top"/>
    </xf>
    <xf numFmtId="0" fontId="38" fillId="0" borderId="91" xfId="0" applyFont="1" applyBorder="1"/>
    <xf numFmtId="9" fontId="38" fillId="0" borderId="91" xfId="0" applyNumberFormat="1" applyFont="1" applyBorder="1" applyAlignment="1">
      <alignment horizontal="center"/>
    </xf>
    <xf numFmtId="0" fontId="16" fillId="0" borderId="91" xfId="0" applyFont="1" applyBorder="1"/>
    <xf numFmtId="9" fontId="16" fillId="0" borderId="91" xfId="0" applyNumberFormat="1" applyFont="1" applyBorder="1" applyAlignment="1">
      <alignment horizontal="center"/>
    </xf>
    <xf numFmtId="0" fontId="20" fillId="0" borderId="0" xfId="0" applyFont="1" applyAlignment="1">
      <alignment horizontal="center" vertical="center" wrapText="1"/>
    </xf>
    <xf numFmtId="0" fontId="15" fillId="0" borderId="0" xfId="0" applyFont="1" applyAlignment="1">
      <alignment vertical="center" wrapText="1"/>
    </xf>
    <xf numFmtId="9" fontId="15" fillId="0" borderId="0" xfId="15" applyFont="1" applyAlignment="1">
      <alignment vertical="center" wrapText="1"/>
    </xf>
    <xf numFmtId="0" fontId="50" fillId="9" borderId="0" xfId="0" applyFont="1" applyFill="1" applyAlignment="1">
      <alignment horizontal="center"/>
    </xf>
    <xf numFmtId="0" fontId="42" fillId="0" borderId="0" xfId="0" applyFont="1" applyAlignment="1">
      <alignment horizontal="center"/>
    </xf>
    <xf numFmtId="0" fontId="42" fillId="0" borderId="0" xfId="39" applyNumberFormat="1" applyFont="1" applyBorder="1"/>
    <xf numFmtId="9" fontId="42" fillId="0" borderId="0" xfId="15" applyFont="1" applyBorder="1"/>
    <xf numFmtId="171" fontId="42" fillId="0" borderId="0" xfId="0" applyNumberFormat="1" applyFont="1"/>
    <xf numFmtId="176" fontId="42" fillId="0" borderId="0" xfId="15" applyNumberFormat="1" applyFont="1" applyBorder="1"/>
    <xf numFmtId="10" fontId="42" fillId="0" borderId="0" xfId="15" applyNumberFormat="1" applyFont="1" applyBorder="1"/>
    <xf numFmtId="0" fontId="44" fillId="0" borderId="0" xfId="0" applyFont="1" applyAlignment="1">
      <alignment horizontal="center" vertical="center" wrapText="1"/>
    </xf>
    <xf numFmtId="0" fontId="42" fillId="0" borderId="0" xfId="0" applyFont="1" applyAlignment="1">
      <alignment vertical="center" wrapText="1"/>
    </xf>
    <xf numFmtId="9" fontId="42" fillId="0" borderId="0" xfId="15" applyFont="1" applyBorder="1" applyAlignment="1">
      <alignment vertical="center" wrapText="1"/>
    </xf>
    <xf numFmtId="0" fontId="87" fillId="0" borderId="0" xfId="0" applyFont="1" applyAlignment="1">
      <alignment horizontal="center"/>
    </xf>
    <xf numFmtId="0" fontId="42" fillId="0" borderId="0" xfId="0" pivotButton="1" applyFont="1"/>
    <xf numFmtId="0" fontId="44" fillId="0" borderId="0" xfId="0" applyFont="1"/>
    <xf numFmtId="0" fontId="0" fillId="0" borderId="0" xfId="0" applyAlignment="1">
      <alignment wrapText="1"/>
    </xf>
    <xf numFmtId="0" fontId="67" fillId="0" borderId="0" xfId="0" applyFont="1"/>
    <xf numFmtId="0" fontId="67" fillId="0" borderId="0" xfId="0" applyFont="1" applyAlignment="1">
      <alignment horizontal="center"/>
    </xf>
    <xf numFmtId="0" fontId="38" fillId="0" borderId="0" xfId="0" applyFont="1"/>
    <xf numFmtId="0" fontId="38" fillId="0" borderId="89" xfId="0" applyFont="1" applyBorder="1"/>
    <xf numFmtId="0" fontId="38" fillId="0" borderId="4" xfId="0" applyFont="1" applyBorder="1"/>
    <xf numFmtId="0" fontId="38" fillId="0" borderId="0" xfId="0" applyFont="1" applyAlignment="1">
      <alignment horizontal="center"/>
    </xf>
    <xf numFmtId="0" fontId="38" fillId="21" borderId="91" xfId="0" applyFont="1" applyFill="1" applyBorder="1" applyAlignment="1">
      <alignment horizontal="center"/>
    </xf>
    <xf numFmtId="0" fontId="0" fillId="0" borderId="86" xfId="0" applyBorder="1"/>
    <xf numFmtId="0" fontId="0" fillId="0" borderId="88" xfId="0" applyBorder="1"/>
    <xf numFmtId="0" fontId="0" fillId="0" borderId="89" xfId="0" applyBorder="1"/>
    <xf numFmtId="0" fontId="62" fillId="0" borderId="5" xfId="0" applyFont="1" applyBorder="1"/>
    <xf numFmtId="0" fontId="20" fillId="0" borderId="89" xfId="0" applyFont="1" applyBorder="1"/>
    <xf numFmtId="0" fontId="62" fillId="0" borderId="87" xfId="0" applyFont="1" applyBorder="1"/>
    <xf numFmtId="0" fontId="0" fillId="0" borderId="90" xfId="0" applyBorder="1"/>
    <xf numFmtId="0" fontId="37" fillId="0" borderId="5" xfId="0" applyFont="1" applyBorder="1"/>
    <xf numFmtId="14" fontId="0" fillId="0" borderId="91" xfId="0" applyNumberFormat="1" applyBorder="1" applyAlignment="1">
      <alignment horizontal="left"/>
    </xf>
    <xf numFmtId="0" fontId="67" fillId="0" borderId="92" xfId="0" applyFont="1" applyBorder="1"/>
    <xf numFmtId="0" fontId="0" fillId="0" borderId="93" xfId="0" applyBorder="1"/>
    <xf numFmtId="0" fontId="37" fillId="0" borderId="85" xfId="0" applyFont="1" applyBorder="1"/>
    <xf numFmtId="0" fontId="15" fillId="0" borderId="86" xfId="0" applyFont="1" applyBorder="1" applyAlignment="1">
      <alignment vertical="center" wrapText="1"/>
    </xf>
    <xf numFmtId="4" fontId="15" fillId="0" borderId="27" xfId="7" applyFont="1" applyFill="1" applyBorder="1" applyAlignment="1">
      <alignment horizontal="center"/>
    </xf>
    <xf numFmtId="3" fontId="15" fillId="5" borderId="25" xfId="7" applyNumberFormat="1" applyFont="1" applyFill="1" applyBorder="1" applyAlignment="1">
      <alignment horizontal="center"/>
    </xf>
    <xf numFmtId="3" fontId="15" fillId="5" borderId="27" xfId="7" applyNumberFormat="1" applyFont="1" applyFill="1" applyBorder="1" applyAlignment="1">
      <alignment horizontal="center"/>
    </xf>
    <xf numFmtId="0" fontId="20" fillId="0" borderId="91" xfId="0" applyFont="1" applyBorder="1"/>
    <xf numFmtId="0" fontId="88" fillId="0" borderId="91" xfId="0" applyFont="1" applyBorder="1"/>
    <xf numFmtId="0" fontId="20" fillId="18" borderId="91" xfId="0" applyFont="1" applyFill="1" applyBorder="1"/>
    <xf numFmtId="10" fontId="20" fillId="18" borderId="4" xfId="0" applyNumberFormat="1" applyFont="1" applyFill="1" applyBorder="1"/>
    <xf numFmtId="10" fontId="20" fillId="18" borderId="91" xfId="0" applyNumberFormat="1" applyFont="1" applyFill="1" applyBorder="1"/>
    <xf numFmtId="2" fontId="20" fillId="18" borderId="91" xfId="0" applyNumberFormat="1" applyFont="1" applyFill="1" applyBorder="1"/>
    <xf numFmtId="174" fontId="20" fillId="18" borderId="91" xfId="0" applyNumberFormat="1" applyFont="1" applyFill="1" applyBorder="1"/>
    <xf numFmtId="0" fontId="20" fillId="14" borderId="91" xfId="0" applyFont="1" applyFill="1" applyBorder="1"/>
    <xf numFmtId="174" fontId="20" fillId="14" borderId="91" xfId="0" applyNumberFormat="1" applyFont="1" applyFill="1" applyBorder="1"/>
    <xf numFmtId="0" fontId="88" fillId="14" borderId="91" xfId="0" applyFont="1" applyFill="1" applyBorder="1"/>
    <xf numFmtId="173" fontId="88" fillId="14" borderId="91" xfId="0" applyNumberFormat="1" applyFont="1" applyFill="1" applyBorder="1"/>
    <xf numFmtId="0" fontId="89" fillId="18" borderId="91" xfId="0" applyFont="1" applyFill="1" applyBorder="1"/>
    <xf numFmtId="173" fontId="90" fillId="18" borderId="91" xfId="33" applyNumberFormat="1" applyFont="1" applyFill="1" applyBorder="1" applyAlignment="1">
      <alignment horizontal="right"/>
    </xf>
    <xf numFmtId="173" fontId="69" fillId="18" borderId="91" xfId="33" applyNumberFormat="1" applyFont="1" applyFill="1" applyBorder="1" applyAlignment="1">
      <alignment horizontal="right"/>
    </xf>
    <xf numFmtId="174" fontId="89" fillId="18" borderId="91" xfId="0" applyNumberFormat="1" applyFont="1" applyFill="1" applyBorder="1"/>
    <xf numFmtId="173" fontId="4" fillId="0" borderId="91" xfId="33" applyNumberFormat="1" applyFont="1" applyBorder="1" applyAlignment="1">
      <alignment horizontal="right"/>
    </xf>
    <xf numFmtId="170" fontId="0" fillId="0" borderId="91" xfId="33" applyNumberFormat="1" applyFont="1" applyBorder="1" applyAlignment="1">
      <alignment horizontal="right"/>
    </xf>
    <xf numFmtId="4" fontId="4" fillId="0" borderId="91" xfId="33" applyNumberFormat="1" applyFont="1" applyBorder="1" applyAlignment="1">
      <alignment horizontal="right"/>
    </xf>
    <xf numFmtId="4" fontId="71" fillId="0" borderId="91" xfId="33" applyNumberFormat="1" applyFont="1" applyBorder="1" applyAlignment="1">
      <alignment horizontal="right"/>
    </xf>
    <xf numFmtId="0" fontId="91" fillId="0" borderId="91" xfId="0" applyFont="1" applyBorder="1"/>
    <xf numFmtId="0" fontId="0" fillId="0" borderId="91" xfId="0" applyBorder="1"/>
    <xf numFmtId="176" fontId="20" fillId="0" borderId="0" xfId="0" applyNumberFormat="1" applyFont="1"/>
    <xf numFmtId="170" fontId="20" fillId="0" borderId="0" xfId="0" applyNumberFormat="1" applyFont="1"/>
    <xf numFmtId="170" fontId="15" fillId="0" borderId="0" xfId="33" applyNumberFormat="1" applyFont="1" applyAlignment="1">
      <alignment horizontal="right"/>
    </xf>
    <xf numFmtId="170" fontId="15" fillId="0" borderId="91" xfId="33" applyNumberFormat="1" applyFont="1" applyBorder="1" applyAlignment="1">
      <alignment horizontal="right"/>
    </xf>
    <xf numFmtId="173" fontId="11" fillId="0" borderId="91" xfId="33" applyNumberFormat="1" applyBorder="1" applyAlignment="1">
      <alignment horizontal="right"/>
    </xf>
    <xf numFmtId="4" fontId="11" fillId="0" borderId="91" xfId="33" applyNumberFormat="1" applyBorder="1" applyAlignment="1">
      <alignment horizontal="right"/>
    </xf>
    <xf numFmtId="176" fontId="20" fillId="0" borderId="0" xfId="15" applyNumberFormat="1" applyFont="1"/>
    <xf numFmtId="0" fontId="92" fillId="0" borderId="0" xfId="0" applyFont="1"/>
    <xf numFmtId="4" fontId="70" fillId="0" borderId="91" xfId="33" applyNumberFormat="1" applyFont="1" applyBorder="1" applyAlignment="1">
      <alignment horizontal="right"/>
    </xf>
    <xf numFmtId="169" fontId="70" fillId="0" borderId="91" xfId="33" applyNumberFormat="1" applyFont="1" applyBorder="1" applyAlignment="1">
      <alignment horizontal="right" vertical="center"/>
    </xf>
    <xf numFmtId="169" fontId="71" fillId="0" borderId="91" xfId="33" applyNumberFormat="1" applyFont="1" applyBorder="1" applyAlignment="1">
      <alignment horizontal="right"/>
    </xf>
    <xf numFmtId="169" fontId="71" fillId="14" borderId="91" xfId="33" applyNumberFormat="1" applyFont="1" applyFill="1" applyBorder="1" applyAlignment="1">
      <alignment horizontal="right"/>
    </xf>
    <xf numFmtId="169" fontId="70" fillId="0" borderId="91" xfId="33" applyNumberFormat="1" applyFont="1" applyBorder="1" applyAlignment="1">
      <alignment horizontal="right"/>
    </xf>
    <xf numFmtId="10" fontId="0" fillId="0" borderId="0" xfId="36" applyNumberFormat="1" applyFont="1" applyFill="1" applyAlignment="1">
      <alignment horizontal="center"/>
    </xf>
    <xf numFmtId="168" fontId="4" fillId="0" borderId="91" xfId="33" applyNumberFormat="1" applyFont="1" applyBorder="1" applyAlignment="1">
      <alignment horizontal="right"/>
    </xf>
    <xf numFmtId="169" fontId="4" fillId="0" borderId="91" xfId="33" applyNumberFormat="1" applyFont="1" applyBorder="1" applyAlignment="1">
      <alignment horizontal="right"/>
    </xf>
    <xf numFmtId="169" fontId="0" fillId="14" borderId="91" xfId="0" applyNumberFormat="1" applyFill="1" applyBorder="1" applyAlignment="1">
      <alignment horizontal="right"/>
    </xf>
    <xf numFmtId="169" fontId="0" fillId="0" borderId="91" xfId="33" applyNumberFormat="1" applyFont="1" applyBorder="1" applyAlignment="1">
      <alignment horizontal="right"/>
    </xf>
    <xf numFmtId="10" fontId="15" fillId="22" borderId="0" xfId="36" applyNumberFormat="1" applyFont="1" applyFill="1" applyBorder="1" applyAlignment="1">
      <alignment horizontal="center"/>
    </xf>
    <xf numFmtId="171" fontId="0" fillId="9" borderId="0" xfId="0" applyNumberFormat="1" applyFill="1" applyAlignment="1">
      <alignment horizontal="center"/>
    </xf>
    <xf numFmtId="172" fontId="15" fillId="9" borderId="75" xfId="6" applyFont="1" applyFill="1" applyBorder="1" applyAlignment="1">
      <alignment horizontal="center" vertical="center" wrapText="1"/>
    </xf>
    <xf numFmtId="4" fontId="15" fillId="9" borderId="75" xfId="7" applyFont="1" applyFill="1" applyBorder="1" applyAlignment="1">
      <alignment horizontal="center" wrapText="1"/>
    </xf>
    <xf numFmtId="4" fontId="15" fillId="0" borderId="75" xfId="7" applyFont="1" applyFill="1" applyBorder="1" applyAlignment="1">
      <alignment horizontal="center" wrapText="1"/>
    </xf>
    <xf numFmtId="4" fontId="15" fillId="3" borderId="75" xfId="7" applyFont="1" applyBorder="1" applyAlignment="1">
      <alignment horizontal="center" wrapText="1"/>
    </xf>
    <xf numFmtId="0" fontId="15" fillId="20" borderId="31" xfId="0" applyFont="1" applyFill="1" applyBorder="1" applyAlignment="1">
      <alignment horizontal="center"/>
    </xf>
    <xf numFmtId="169" fontId="15" fillId="10" borderId="31" xfId="0" applyNumberFormat="1" applyFont="1" applyFill="1" applyBorder="1" applyAlignment="1">
      <alignment horizontal="center"/>
    </xf>
    <xf numFmtId="10" fontId="0" fillId="0" borderId="71" xfId="0" applyNumberFormat="1" applyBorder="1" applyAlignment="1">
      <alignment horizontal="center" vertical="center"/>
    </xf>
    <xf numFmtId="0" fontId="15" fillId="0" borderId="75" xfId="19" applyFont="1" applyBorder="1" applyAlignment="1">
      <alignment horizontal="center" wrapText="1"/>
    </xf>
    <xf numFmtId="0" fontId="15" fillId="3" borderId="25" xfId="9" applyFont="1" applyBorder="1" applyAlignment="1">
      <alignment horizontal="center" vertical="center"/>
    </xf>
    <xf numFmtId="4" fontId="15" fillId="3" borderId="25" xfId="7" applyFont="1" applyBorder="1" applyAlignment="1">
      <alignment horizontal="center" vertical="center"/>
    </xf>
    <xf numFmtId="0" fontId="46" fillId="3" borderId="12" xfId="9" applyFont="1" applyBorder="1" applyAlignment="1">
      <alignment horizontal="left" vertical="center"/>
    </xf>
    <xf numFmtId="0" fontId="15" fillId="23" borderId="31" xfId="0" applyFont="1" applyFill="1" applyBorder="1"/>
    <xf numFmtId="170" fontId="53" fillId="23" borderId="31" xfId="15" applyNumberFormat="1" applyFont="1" applyFill="1" applyBorder="1" applyAlignment="1">
      <alignment horizontal="center"/>
    </xf>
    <xf numFmtId="167" fontId="15" fillId="23" borderId="77" xfId="0" applyNumberFormat="1" applyFont="1" applyFill="1" applyBorder="1"/>
    <xf numFmtId="9" fontId="0" fillId="23" borderId="0" xfId="15" applyFont="1" applyFill="1" applyAlignment="1">
      <alignment horizontal="center"/>
    </xf>
    <xf numFmtId="0" fontId="15" fillId="23" borderId="50" xfId="0" applyFont="1" applyFill="1" applyBorder="1" applyAlignment="1">
      <alignment horizontal="left" vertical="center"/>
    </xf>
    <xf numFmtId="0" fontId="15" fillId="23" borderId="46" xfId="0" applyFont="1" applyFill="1" applyBorder="1" applyAlignment="1">
      <alignment horizontal="left" vertical="center"/>
    </xf>
    <xf numFmtId="170" fontId="15" fillId="23" borderId="31" xfId="15" applyNumberFormat="1" applyFont="1" applyFill="1" applyBorder="1" applyAlignment="1">
      <alignment horizontal="center"/>
    </xf>
    <xf numFmtId="0" fontId="15" fillId="23" borderId="46" xfId="0" applyFont="1" applyFill="1" applyBorder="1" applyAlignment="1">
      <alignment vertical="center"/>
    </xf>
    <xf numFmtId="10" fontId="15" fillId="23" borderId="50" xfId="0" applyNumberFormat="1" applyFont="1" applyFill="1" applyBorder="1" applyAlignment="1">
      <alignment horizontal="center" vertical="center"/>
    </xf>
    <xf numFmtId="170" fontId="57" fillId="23" borderId="31" xfId="15" applyNumberFormat="1" applyFont="1" applyFill="1" applyBorder="1" applyAlignment="1">
      <alignment horizontal="center"/>
    </xf>
    <xf numFmtId="169" fontId="15" fillId="23" borderId="31" xfId="0" applyNumberFormat="1" applyFont="1" applyFill="1" applyBorder="1" applyAlignment="1">
      <alignment horizontal="center"/>
    </xf>
    <xf numFmtId="0" fontId="0" fillId="23" borderId="0" xfId="0" applyFill="1"/>
    <xf numFmtId="2" fontId="15" fillId="23" borderId="31" xfId="15" applyNumberFormat="1" applyFont="1" applyFill="1" applyBorder="1" applyAlignment="1">
      <alignment horizontal="center"/>
    </xf>
    <xf numFmtId="0" fontId="3" fillId="0" borderId="0" xfId="33" applyFont="1" applyAlignment="1">
      <alignment horizontal="center"/>
    </xf>
    <xf numFmtId="169" fontId="3" fillId="0" borderId="88" xfId="33" applyNumberFormat="1" applyFont="1" applyBorder="1" applyAlignment="1">
      <alignment horizontal="left"/>
    </xf>
    <xf numFmtId="10" fontId="11" fillId="0" borderId="0" xfId="33" applyNumberFormat="1" applyAlignment="1">
      <alignment horizontal="center"/>
    </xf>
    <xf numFmtId="0" fontId="68" fillId="0" borderId="0" xfId="33" applyFont="1" applyAlignment="1">
      <alignment horizontal="center"/>
    </xf>
    <xf numFmtId="173" fontId="11" fillId="0" borderId="0" xfId="33" applyNumberFormat="1" applyAlignment="1">
      <alignment horizontal="center"/>
    </xf>
    <xf numFmtId="0" fontId="2" fillId="0" borderId="0" xfId="33" applyFont="1" applyAlignment="1">
      <alignment horizontal="center"/>
    </xf>
    <xf numFmtId="169" fontId="15" fillId="13" borderId="31" xfId="0" applyNumberFormat="1" applyFont="1" applyFill="1" applyBorder="1" applyAlignment="1">
      <alignment horizontal="center"/>
    </xf>
    <xf numFmtId="4" fontId="59" fillId="13" borderId="25" xfId="7" applyFont="1" applyFill="1" applyBorder="1">
      <alignment horizontal="right"/>
    </xf>
    <xf numFmtId="3" fontId="20" fillId="3" borderId="11" xfId="5" applyFont="1" applyBorder="1" applyAlignment="1">
      <alignment horizontal="center" wrapText="1"/>
    </xf>
    <xf numFmtId="3" fontId="20" fillId="3" borderId="75" xfId="5" applyFont="1" applyBorder="1" applyAlignment="1">
      <alignment horizontal="center" wrapText="1"/>
    </xf>
    <xf numFmtId="0" fontId="0" fillId="0" borderId="0" xfId="0" applyAlignment="1">
      <alignment horizontal="center" wrapText="1"/>
    </xf>
    <xf numFmtId="9" fontId="1" fillId="0" borderId="0" xfId="15" applyFont="1" applyAlignment="1">
      <alignment horizontal="center"/>
    </xf>
    <xf numFmtId="170" fontId="1" fillId="0" borderId="0" xfId="15" applyNumberFormat="1" applyFont="1" applyAlignment="1">
      <alignment horizontal="center"/>
    </xf>
    <xf numFmtId="0" fontId="1" fillId="0" borderId="0" xfId="33" applyFont="1" applyAlignment="1">
      <alignment horizontal="center"/>
    </xf>
    <xf numFmtId="172" fontId="15" fillId="3" borderId="25" xfId="6" applyFont="1" applyBorder="1" applyAlignment="1">
      <alignment horizontal="center" vertical="center"/>
    </xf>
    <xf numFmtId="4" fontId="15" fillId="3" borderId="75" xfId="7" applyFont="1" applyBorder="1" applyAlignment="1">
      <alignment horizontal="center" vertical="center" wrapText="1"/>
    </xf>
    <xf numFmtId="0" fontId="15" fillId="13" borderId="25" xfId="9" applyFont="1" applyFill="1" applyBorder="1" applyAlignment="1">
      <alignment horizontal="right" vertical="center"/>
    </xf>
    <xf numFmtId="0" fontId="67" fillId="15" borderId="0" xfId="24" applyFont="1" applyFill="1" applyAlignment="1">
      <alignment horizontal="center"/>
    </xf>
    <xf numFmtId="1" fontId="67" fillId="15" borderId="0" xfId="24" applyNumberFormat="1" applyFont="1" applyFill="1" applyAlignment="1">
      <alignment horizontal="center"/>
    </xf>
    <xf numFmtId="0" fontId="37" fillId="15" borderId="0" xfId="24" applyFont="1" applyFill="1" applyAlignment="1">
      <alignment horizontal="center"/>
    </xf>
    <xf numFmtId="1" fontId="67" fillId="0" borderId="0" xfId="24" applyNumberFormat="1" applyFont="1" applyAlignment="1">
      <alignment horizontal="center"/>
    </xf>
    <xf numFmtId="0" fontId="44" fillId="4" borderId="31" xfId="0" applyFont="1" applyFill="1" applyBorder="1" applyAlignment="1">
      <alignment horizontal="center"/>
    </xf>
    <xf numFmtId="0" fontId="20" fillId="0" borderId="69" xfId="0" applyFont="1" applyBorder="1" applyAlignment="1">
      <alignment horizontal="center"/>
    </xf>
    <xf numFmtId="0" fontId="20" fillId="0" borderId="0" xfId="0" applyFont="1" applyAlignment="1">
      <alignment horizontal="center"/>
    </xf>
    <xf numFmtId="0" fontId="44" fillId="4" borderId="44" xfId="0" applyFont="1" applyFill="1" applyBorder="1" applyAlignment="1">
      <alignment horizontal="left"/>
    </xf>
    <xf numFmtId="0" fontId="44" fillId="4" borderId="45" xfId="0" applyFont="1" applyFill="1" applyBorder="1" applyAlignment="1">
      <alignment horizontal="left"/>
    </xf>
    <xf numFmtId="0" fontId="44" fillId="4" borderId="46" xfId="0" applyFont="1" applyFill="1" applyBorder="1" applyAlignment="1">
      <alignment horizontal="left"/>
    </xf>
    <xf numFmtId="0" fontId="15" fillId="0" borderId="44" xfId="0" applyFont="1" applyBorder="1" applyAlignment="1">
      <alignment horizontal="left" vertical="center" wrapText="1"/>
    </xf>
    <xf numFmtId="0" fontId="15" fillId="0" borderId="45" xfId="0" applyFont="1" applyBorder="1" applyAlignment="1">
      <alignment horizontal="left" vertical="center" wrapText="1"/>
    </xf>
    <xf numFmtId="0" fontId="15" fillId="0" borderId="46" xfId="0" applyFont="1" applyBorder="1" applyAlignment="1">
      <alignment horizontal="left" vertical="center" wrapText="1"/>
    </xf>
    <xf numFmtId="0" fontId="0" fillId="0" borderId="44" xfId="0" applyBorder="1" applyAlignment="1">
      <alignment horizontal="left" vertical="center" wrapText="1"/>
    </xf>
    <xf numFmtId="175" fontId="16" fillId="0" borderId="51" xfId="15" applyNumberFormat="1" applyFont="1" applyBorder="1" applyAlignment="1">
      <alignment horizontal="center" vertical="center"/>
    </xf>
    <xf numFmtId="175" fontId="16" fillId="0" borderId="52" xfId="15" applyNumberFormat="1" applyFont="1" applyBorder="1" applyAlignment="1">
      <alignment horizontal="center" vertical="center"/>
    </xf>
    <xf numFmtId="175" fontId="16" fillId="0" borderId="53" xfId="15" applyNumberFormat="1" applyFont="1" applyBorder="1" applyAlignment="1">
      <alignment horizontal="center" vertical="center"/>
    </xf>
    <xf numFmtId="0" fontId="33" fillId="0" borderId="31" xfId="0" applyFont="1" applyBorder="1" applyAlignment="1">
      <alignment horizontal="left" vertical="center" wrapText="1"/>
    </xf>
    <xf numFmtId="0" fontId="33" fillId="0" borderId="36" xfId="0" applyFont="1" applyBorder="1" applyAlignment="1">
      <alignment horizontal="left" vertical="center" wrapText="1"/>
    </xf>
    <xf numFmtId="0" fontId="29" fillId="0" borderId="35" xfId="0" applyFont="1" applyBorder="1" applyAlignment="1">
      <alignment horizontal="center" wrapText="1"/>
    </xf>
    <xf numFmtId="0" fontId="29" fillId="0" borderId="31" xfId="0" applyFont="1" applyBorder="1" applyAlignment="1">
      <alignment horizontal="center" wrapText="1"/>
    </xf>
    <xf numFmtId="9" fontId="16" fillId="0" borderId="36" xfId="15" applyFont="1" applyBorder="1" applyAlignment="1">
      <alignment horizontal="center" vertical="center"/>
    </xf>
    <xf numFmtId="0" fontId="29" fillId="0" borderId="35" xfId="0" applyFont="1" applyBorder="1" applyAlignment="1">
      <alignment horizontal="center" vertical="center" wrapText="1"/>
    </xf>
    <xf numFmtId="0" fontId="29" fillId="0" borderId="31" xfId="0" applyFont="1" applyBorder="1" applyAlignment="1">
      <alignment horizontal="center" vertical="center" wrapText="1"/>
    </xf>
    <xf numFmtId="0" fontId="33" fillId="0" borderId="31" xfId="0" applyFont="1" applyBorder="1" applyAlignment="1">
      <alignment horizontal="left" vertical="top" wrapText="1"/>
    </xf>
    <xf numFmtId="0" fontId="34" fillId="0" borderId="31" xfId="0" applyFont="1" applyBorder="1" applyAlignment="1">
      <alignment horizontal="left" vertical="top" wrapText="1"/>
    </xf>
    <xf numFmtId="0" fontId="34" fillId="0" borderId="36" xfId="0" applyFont="1" applyBorder="1" applyAlignment="1">
      <alignment horizontal="left" vertical="top" wrapText="1"/>
    </xf>
    <xf numFmtId="0" fontId="44" fillId="4" borderId="36" xfId="0" applyFont="1" applyFill="1" applyBorder="1" applyAlignment="1">
      <alignment horizontal="center"/>
    </xf>
    <xf numFmtId="0" fontId="44" fillId="4" borderId="35" xfId="0" applyFont="1" applyFill="1" applyBorder="1" applyAlignment="1">
      <alignment horizontal="center"/>
    </xf>
    <xf numFmtId="0" fontId="19" fillId="0" borderId="45" xfId="0" applyFont="1" applyBorder="1" applyAlignment="1">
      <alignment horizontal="left" vertical="center" wrapText="1"/>
    </xf>
    <xf numFmtId="0" fontId="19" fillId="0" borderId="46" xfId="0" applyFont="1" applyBorder="1" applyAlignment="1">
      <alignment horizontal="left" vertical="center" wrapText="1"/>
    </xf>
    <xf numFmtId="0" fontId="15" fillId="8" borderId="60" xfId="0" applyFont="1" applyFill="1" applyBorder="1" applyAlignment="1">
      <alignment horizontal="center" vertical="center" wrapText="1"/>
    </xf>
    <xf numFmtId="0" fontId="19" fillId="8" borderId="61" xfId="0" applyFont="1" applyFill="1" applyBorder="1" applyAlignment="1">
      <alignment horizontal="center" vertical="center" wrapText="1"/>
    </xf>
    <xf numFmtId="0" fontId="15" fillId="0" borderId="54" xfId="0" applyFont="1" applyBorder="1" applyAlignment="1">
      <alignment horizontal="left" vertical="center" wrapText="1"/>
    </xf>
    <xf numFmtId="0" fontId="19" fillId="0" borderId="55" xfId="0" applyFont="1" applyBorder="1" applyAlignment="1">
      <alignment horizontal="left" vertical="center" wrapText="1"/>
    </xf>
    <xf numFmtId="0" fontId="19" fillId="0" borderId="56" xfId="0" applyFont="1" applyBorder="1" applyAlignment="1">
      <alignment horizontal="left" vertical="center" wrapText="1"/>
    </xf>
    <xf numFmtId="0" fontId="19" fillId="0" borderId="57" xfId="0" applyFont="1" applyBorder="1" applyAlignment="1">
      <alignment horizontal="left" vertical="center" wrapText="1"/>
    </xf>
    <xf numFmtId="0" fontId="19" fillId="0" borderId="58" xfId="0" applyFont="1" applyBorder="1" applyAlignment="1">
      <alignment horizontal="left" vertical="center" wrapText="1"/>
    </xf>
    <xf numFmtId="0" fontId="19" fillId="0" borderId="59" xfId="0" applyFont="1" applyBorder="1" applyAlignment="1">
      <alignment horizontal="left" vertical="center" wrapText="1"/>
    </xf>
    <xf numFmtId="0" fontId="49" fillId="4" borderId="31" xfId="0" applyFont="1" applyFill="1" applyBorder="1" applyAlignment="1">
      <alignment horizontal="center"/>
    </xf>
    <xf numFmtId="0" fontId="15" fillId="0" borderId="1" xfId="0" applyFont="1" applyBorder="1" applyAlignment="1">
      <alignment horizontal="left"/>
    </xf>
    <xf numFmtId="0" fontId="15" fillId="0" borderId="71" xfId="0" applyFont="1" applyBorder="1" applyAlignment="1">
      <alignment horizontal="left"/>
    </xf>
    <xf numFmtId="0" fontId="15" fillId="0" borderId="1" xfId="0" applyFont="1" applyBorder="1" applyAlignment="1">
      <alignment horizontal="left" vertical="top" wrapText="1"/>
    </xf>
    <xf numFmtId="0" fontId="20" fillId="0" borderId="70" xfId="0" applyFont="1" applyBorder="1" applyAlignment="1">
      <alignment horizontal="center" vertical="center" wrapText="1"/>
    </xf>
    <xf numFmtId="0" fontId="20" fillId="0" borderId="55" xfId="0" applyFont="1" applyBorder="1" applyAlignment="1">
      <alignment horizontal="center" vertical="center"/>
    </xf>
    <xf numFmtId="0" fontId="20" fillId="0" borderId="56" xfId="0" applyFont="1" applyBorder="1" applyAlignment="1">
      <alignment horizontal="center" vertical="center"/>
    </xf>
    <xf numFmtId="0" fontId="20" fillId="0" borderId="72" xfId="0" applyFont="1" applyBorder="1" applyAlignment="1">
      <alignment horizontal="center" vertical="center"/>
    </xf>
    <xf numFmtId="0" fontId="20" fillId="0" borderId="0" xfId="0" applyFont="1" applyAlignment="1">
      <alignment horizontal="center" vertical="center"/>
    </xf>
    <xf numFmtId="0" fontId="20" fillId="0" borderId="73" xfId="0" applyFont="1" applyBorder="1" applyAlignment="1">
      <alignment horizontal="center" vertical="center"/>
    </xf>
    <xf numFmtId="0" fontId="20" fillId="0" borderId="74" xfId="0" applyFont="1" applyBorder="1" applyAlignment="1">
      <alignment horizontal="center" vertical="center"/>
    </xf>
    <xf numFmtId="0" fontId="20" fillId="0" borderId="58" xfId="0" applyFont="1" applyBorder="1" applyAlignment="1">
      <alignment horizontal="center" vertical="center"/>
    </xf>
    <xf numFmtId="0" fontId="20" fillId="0" borderId="59" xfId="0" applyFont="1" applyBorder="1" applyAlignment="1">
      <alignment horizontal="center" vertical="center"/>
    </xf>
    <xf numFmtId="0" fontId="61" fillId="11" borderId="62" xfId="0" applyFont="1" applyFill="1" applyBorder="1" applyAlignment="1">
      <alignment horizontal="center" vertical="center" wrapText="1"/>
    </xf>
    <xf numFmtId="0" fontId="23" fillId="11" borderId="62" xfId="0" applyFont="1" applyFill="1" applyBorder="1" applyAlignment="1">
      <alignment horizontal="center" vertical="center" wrapText="1"/>
    </xf>
    <xf numFmtId="0" fontId="23" fillId="11" borderId="63" xfId="0" applyFont="1" applyFill="1" applyBorder="1" applyAlignment="1">
      <alignment horizontal="center" vertical="center" wrapText="1"/>
    </xf>
    <xf numFmtId="0" fontId="44" fillId="4" borderId="102" xfId="0" applyFont="1" applyFill="1" applyBorder="1" applyAlignment="1">
      <alignment horizontal="left"/>
    </xf>
    <xf numFmtId="0" fontId="44" fillId="4" borderId="103" xfId="0" applyFont="1" applyFill="1" applyBorder="1" applyAlignment="1">
      <alignment horizontal="left"/>
    </xf>
    <xf numFmtId="0" fontId="44" fillId="4" borderId="104" xfId="0" applyFont="1" applyFill="1" applyBorder="1" applyAlignment="1">
      <alignment horizontal="left"/>
    </xf>
    <xf numFmtId="0" fontId="23" fillId="0" borderId="70" xfId="0" applyFont="1" applyBorder="1" applyAlignment="1">
      <alignment horizontal="center" vertical="center" wrapText="1"/>
    </xf>
    <xf numFmtId="0" fontId="23" fillId="0" borderId="55" xfId="0" applyFont="1" applyBorder="1" applyAlignment="1">
      <alignment horizontal="center" vertical="center" wrapText="1"/>
    </xf>
    <xf numFmtId="0" fontId="23" fillId="0" borderId="100" xfId="0" applyFont="1" applyBorder="1" applyAlignment="1">
      <alignment horizontal="center" vertical="center" wrapText="1"/>
    </xf>
    <xf numFmtId="0" fontId="23" fillId="0" borderId="72" xfId="0" applyFont="1" applyBorder="1" applyAlignment="1">
      <alignment horizontal="center" vertical="center" wrapText="1"/>
    </xf>
    <xf numFmtId="0" fontId="23" fillId="0" borderId="0" xfId="0" applyFont="1" applyAlignment="1">
      <alignment horizontal="center" vertical="center" wrapText="1"/>
    </xf>
    <xf numFmtId="0" fontId="23" fillId="0" borderId="16" xfId="0" applyFont="1" applyBorder="1" applyAlignment="1">
      <alignment horizontal="center" vertical="center" wrapText="1"/>
    </xf>
    <xf numFmtId="0" fontId="23" fillId="0" borderId="74" xfId="0" applyFont="1" applyBorder="1" applyAlignment="1">
      <alignment horizontal="center" vertical="center" wrapText="1"/>
    </xf>
    <xf numFmtId="0" fontId="23" fillId="0" borderId="58" xfId="0" applyFont="1" applyBorder="1" applyAlignment="1">
      <alignment horizontal="center" vertical="center" wrapText="1"/>
    </xf>
    <xf numFmtId="0" fontId="23" fillId="0" borderId="101" xfId="0" applyFont="1" applyBorder="1" applyAlignment="1">
      <alignment horizontal="center" vertical="center" wrapText="1"/>
    </xf>
    <xf numFmtId="168" fontId="16" fillId="0" borderId="36" xfId="0" applyNumberFormat="1" applyFont="1" applyBorder="1" applyAlignment="1">
      <alignment horizontal="center" vertical="center"/>
    </xf>
    <xf numFmtId="0" fontId="0" fillId="0" borderId="45" xfId="0" applyBorder="1" applyAlignment="1">
      <alignment horizontal="left" vertical="center" wrapText="1"/>
    </xf>
    <xf numFmtId="0" fontId="0" fillId="0" borderId="46" xfId="0" applyBorder="1" applyAlignment="1">
      <alignment horizontal="left" vertical="center" wrapText="1"/>
    </xf>
    <xf numFmtId="0" fontId="50" fillId="4" borderId="64" xfId="0" applyFont="1" applyFill="1" applyBorder="1" applyAlignment="1">
      <alignment horizontal="center"/>
    </xf>
    <xf numFmtId="0" fontId="50" fillId="4" borderId="8" xfId="0" applyFont="1" applyFill="1" applyBorder="1" applyAlignment="1">
      <alignment horizontal="center"/>
    </xf>
    <xf numFmtId="0" fontId="60" fillId="12" borderId="78" xfId="0" applyFont="1" applyFill="1" applyBorder="1" applyAlignment="1">
      <alignment horizontal="center" vertical="center"/>
    </xf>
    <xf numFmtId="0" fontId="60" fillId="12" borderId="80" xfId="0" applyFont="1" applyFill="1" applyBorder="1" applyAlignment="1">
      <alignment horizontal="center" vertical="center"/>
    </xf>
    <xf numFmtId="4" fontId="55" fillId="10" borderId="98" xfId="7" applyFont="1" applyFill="1" applyBorder="1" applyAlignment="1">
      <alignment horizontal="center"/>
    </xf>
    <xf numFmtId="4" fontId="55" fillId="10" borderId="94" xfId="7" applyFont="1" applyFill="1" applyBorder="1" applyAlignment="1">
      <alignment horizontal="center"/>
    </xf>
    <xf numFmtId="4" fontId="55" fillId="10" borderId="99" xfId="7" applyFont="1" applyFill="1" applyBorder="1" applyAlignment="1">
      <alignment horizontal="center"/>
    </xf>
    <xf numFmtId="4" fontId="55" fillId="8" borderId="80" xfId="7" applyFont="1" applyFill="1" applyBorder="1" applyAlignment="1">
      <alignment horizontal="center"/>
    </xf>
    <xf numFmtId="4" fontId="55" fillId="8" borderId="0" xfId="7" applyFont="1" applyFill="1" applyBorder="1" applyAlignment="1">
      <alignment horizontal="center"/>
    </xf>
    <xf numFmtId="4" fontId="55" fillId="8" borderId="81" xfId="7" applyFont="1" applyFill="1" applyBorder="1" applyAlignment="1">
      <alignment horizontal="center"/>
    </xf>
    <xf numFmtId="4" fontId="15" fillId="6" borderId="82" xfId="7" applyFont="1" applyFill="1" applyBorder="1" applyAlignment="1">
      <alignment horizontal="center"/>
    </xf>
    <xf numFmtId="4" fontId="15" fillId="6" borderId="83" xfId="7" applyFont="1" applyFill="1" applyBorder="1" applyAlignment="1">
      <alignment horizontal="center"/>
    </xf>
    <xf numFmtId="4" fontId="15" fillId="6" borderId="84" xfId="7" applyFont="1" applyFill="1" applyBorder="1" applyAlignment="1">
      <alignment horizontal="center"/>
    </xf>
    <xf numFmtId="0" fontId="44" fillId="4" borderId="64" xfId="0" applyFont="1" applyFill="1" applyBorder="1" applyAlignment="1">
      <alignment horizontal="center" vertical="center"/>
    </xf>
    <xf numFmtId="0" fontId="44" fillId="4" borderId="65" xfId="0" applyFont="1" applyFill="1" applyBorder="1" applyAlignment="1">
      <alignment horizontal="center" vertical="center"/>
    </xf>
    <xf numFmtId="0" fontId="44" fillId="4" borderId="66" xfId="0" applyFont="1" applyFill="1" applyBorder="1" applyAlignment="1">
      <alignment horizontal="center" vertical="center"/>
    </xf>
    <xf numFmtId="0" fontId="25" fillId="4" borderId="28" xfId="1" applyFill="1" applyBorder="1" applyAlignment="1">
      <alignment horizontal="center" vertical="center" readingOrder="1"/>
    </xf>
    <xf numFmtId="0" fontId="25" fillId="4" borderId="29" xfId="1" applyFill="1" applyBorder="1" applyAlignment="1">
      <alignment horizontal="center" vertical="center" readingOrder="1"/>
    </xf>
    <xf numFmtId="0" fontId="25" fillId="4" borderId="30" xfId="1" applyFill="1" applyBorder="1" applyAlignment="1">
      <alignment horizontal="center" vertical="center" readingOrder="1"/>
    </xf>
    <xf numFmtId="0" fontId="44" fillId="4" borderId="8" xfId="0" applyFont="1" applyFill="1" applyBorder="1" applyAlignment="1">
      <alignment horizontal="center"/>
    </xf>
    <xf numFmtId="0" fontId="44" fillId="4" borderId="67" xfId="0" applyFont="1" applyFill="1" applyBorder="1" applyAlignment="1">
      <alignment horizontal="center"/>
    </xf>
    <xf numFmtId="0" fontId="46" fillId="0" borderId="16" xfId="0" applyFont="1" applyBorder="1" applyAlignment="1">
      <alignment horizontal="center" vertical="center" wrapText="1"/>
    </xf>
    <xf numFmtId="0" fontId="46" fillId="0" borderId="68" xfId="0" applyFont="1" applyBorder="1" applyAlignment="1">
      <alignment horizontal="center" vertical="center" wrapText="1"/>
    </xf>
    <xf numFmtId="0" fontId="44" fillId="4" borderId="95" xfId="0" applyFont="1" applyFill="1" applyBorder="1" applyAlignment="1">
      <alignment horizontal="center" vertical="center"/>
    </xf>
    <xf numFmtId="0" fontId="44" fillId="4" borderId="96" xfId="0" applyFont="1" applyFill="1" applyBorder="1" applyAlignment="1">
      <alignment horizontal="center" vertical="center"/>
    </xf>
    <xf numFmtId="0" fontId="44" fillId="4" borderId="97" xfId="0" applyFont="1" applyFill="1" applyBorder="1" applyAlignment="1">
      <alignment horizontal="center" vertical="center"/>
    </xf>
    <xf numFmtId="169" fontId="0" fillId="0" borderId="0" xfId="0" applyNumberFormat="1" applyAlignment="1">
      <alignment horizontal="center"/>
    </xf>
    <xf numFmtId="0" fontId="50" fillId="4" borderId="0" xfId="0" applyFont="1" applyFill="1" applyAlignment="1">
      <alignment horizontal="center"/>
    </xf>
    <xf numFmtId="170" fontId="0" fillId="0" borderId="0" xfId="0" applyNumberFormat="1" applyAlignment="1">
      <alignment horizontal="center"/>
    </xf>
    <xf numFmtId="0" fontId="0" fillId="0" borderId="0" xfId="0" applyAlignment="1">
      <alignment horizontal="center"/>
    </xf>
    <xf numFmtId="10" fontId="11" fillId="0" borderId="0" xfId="33" applyNumberFormat="1" applyAlignment="1">
      <alignment horizontal="center" vertical="center"/>
    </xf>
    <xf numFmtId="0" fontId="68" fillId="0" borderId="3" xfId="33" applyFont="1" applyBorder="1" applyAlignment="1">
      <alignment horizontal="center" vertical="center" wrapText="1"/>
    </xf>
    <xf numFmtId="0" fontId="68" fillId="0" borderId="4" xfId="33" applyFont="1" applyBorder="1" applyAlignment="1">
      <alignment horizontal="center" vertical="center" wrapText="1"/>
    </xf>
    <xf numFmtId="0" fontId="68" fillId="0" borderId="2" xfId="33" applyFont="1" applyBorder="1" applyAlignment="1">
      <alignment horizontal="center" vertical="center" wrapText="1"/>
    </xf>
    <xf numFmtId="0" fontId="68" fillId="0" borderId="3" xfId="33" applyFont="1" applyBorder="1" applyAlignment="1">
      <alignment horizontal="left" vertical="center"/>
    </xf>
    <xf numFmtId="0" fontId="68" fillId="0" borderId="4" xfId="33" applyFont="1" applyBorder="1" applyAlignment="1">
      <alignment horizontal="left" vertical="center"/>
    </xf>
    <xf numFmtId="0" fontId="68" fillId="0" borderId="2" xfId="33" applyFont="1" applyBorder="1" applyAlignment="1">
      <alignment horizontal="left" vertical="center"/>
    </xf>
    <xf numFmtId="0" fontId="50" fillId="4" borderId="0" xfId="33" applyFont="1" applyFill="1" applyAlignment="1">
      <alignment horizontal="center"/>
    </xf>
    <xf numFmtId="0" fontId="20" fillId="0" borderId="91" xfId="33" applyFont="1" applyBorder="1" applyAlignment="1">
      <alignment horizontal="center" vertical="center" wrapText="1"/>
    </xf>
    <xf numFmtId="0" fontId="68" fillId="0" borderId="3" xfId="33" applyFont="1" applyBorder="1" applyAlignment="1">
      <alignment horizontal="center" vertical="center"/>
    </xf>
    <xf numFmtId="0" fontId="68" fillId="0" borderId="4" xfId="33" applyFont="1" applyBorder="1" applyAlignment="1">
      <alignment horizontal="center" vertical="center"/>
    </xf>
    <xf numFmtId="0" fontId="68" fillId="0" borderId="2" xfId="33" applyFont="1" applyBorder="1" applyAlignment="1">
      <alignment horizontal="center" vertical="center"/>
    </xf>
    <xf numFmtId="0" fontId="68" fillId="0" borderId="91" xfId="33" applyFont="1" applyBorder="1" applyAlignment="1">
      <alignment horizontal="left" vertical="center" wrapText="1"/>
    </xf>
    <xf numFmtId="0" fontId="3" fillId="0" borderId="0" xfId="33" applyFont="1" applyAlignment="1">
      <alignment horizontal="center" vertical="center" wrapText="1"/>
    </xf>
    <xf numFmtId="0" fontId="3" fillId="0" borderId="0" xfId="33" applyFont="1" applyAlignment="1">
      <alignment horizontal="center" vertical="center"/>
    </xf>
    <xf numFmtId="0" fontId="16" fillId="0" borderId="0" xfId="24" applyFont="1" applyAlignment="1">
      <alignment horizontal="center"/>
    </xf>
    <xf numFmtId="0" fontId="64" fillId="0" borderId="0" xfId="24" applyFont="1" applyAlignment="1">
      <alignment horizontal="center"/>
    </xf>
    <xf numFmtId="0" fontId="67" fillId="0" borderId="0" xfId="24" applyFont="1" applyAlignment="1">
      <alignment horizontal="center"/>
    </xf>
  </cellXfs>
  <cellStyles count="42">
    <cellStyle name="blp_title_header_row_left" xfId="1" xr:uid="{00000000-0005-0000-0000-000000000000}"/>
    <cellStyle name="Comma" xfId="37" builtinId="3"/>
    <cellStyle name="Currency" xfId="39" builtinId="4"/>
    <cellStyle name="fa_column_header_bottom_left 2" xfId="2" xr:uid="{00000000-0005-0000-0000-000002000000}"/>
    <cellStyle name="fa_column_header_top 2" xfId="3" xr:uid="{00000000-0005-0000-0000-000003000000}"/>
    <cellStyle name="fa_column_header_top_left 2" xfId="4" xr:uid="{00000000-0005-0000-0000-000004000000}"/>
    <cellStyle name="fa_data_bold_0_grouped" xfId="5" xr:uid="{00000000-0005-0000-0000-000005000000}"/>
    <cellStyle name="fa_data_standard_1_grouped" xfId="6" xr:uid="{00000000-0005-0000-0000-000006000000}"/>
    <cellStyle name="fa_data_standard_2_grouped" xfId="7" xr:uid="{00000000-0005-0000-0000-000007000000}"/>
    <cellStyle name="fa_data_standard_2_grouped_single_border" xfId="40" xr:uid="{1A25C95B-F36D-4651-A5E4-8836EB5A9EDB}"/>
    <cellStyle name="fa_data_standard_2_percent_single_border" xfId="41" xr:uid="{F750AC55-D85F-4608-A004-86FCFB60E285}"/>
    <cellStyle name="fa_row_header_bold 2" xfId="8" xr:uid="{00000000-0005-0000-0000-000008000000}"/>
    <cellStyle name="fa_row_header_standard 2" xfId="9" xr:uid="{00000000-0005-0000-0000-000009000000}"/>
    <cellStyle name="Hyperlink" xfId="10" builtinId="8"/>
    <cellStyle name="Millares 2" xfId="29" xr:uid="{00000000-0005-0000-0000-00000B000000}"/>
    <cellStyle name="Moneda 2" xfId="11" xr:uid="{00000000-0005-0000-0000-00000C000000}"/>
    <cellStyle name="Moneda 2 2" xfId="12" xr:uid="{00000000-0005-0000-0000-00000D000000}"/>
    <cellStyle name="Moneda 2 2 2" xfId="22" xr:uid="{00000000-0005-0000-0000-00000E000000}"/>
    <cellStyle name="Moneda 2 3" xfId="21" xr:uid="{00000000-0005-0000-0000-00000F000000}"/>
    <cellStyle name="Moneda 3" xfId="30" xr:uid="{00000000-0005-0000-0000-000010000000}"/>
    <cellStyle name="Normal" xfId="0" builtinId="0"/>
    <cellStyle name="Normal 2" xfId="13" xr:uid="{00000000-0005-0000-0000-000012000000}"/>
    <cellStyle name="Normal 2 2" xfId="14" xr:uid="{00000000-0005-0000-0000-000013000000}"/>
    <cellStyle name="Normal 2 2 2" xfId="24" xr:uid="{00000000-0005-0000-0000-000014000000}"/>
    <cellStyle name="Normal 2 3" xfId="19" xr:uid="{00000000-0005-0000-0000-000015000000}"/>
    <cellStyle name="Normal 2 3 2" xfId="28" xr:uid="{00000000-0005-0000-0000-000016000000}"/>
    <cellStyle name="Normal 2 4" xfId="23" xr:uid="{00000000-0005-0000-0000-000017000000}"/>
    <cellStyle name="Normal 2 4 2" xfId="31" xr:uid="{00000000-0005-0000-0000-000018000000}"/>
    <cellStyle name="Normal 3" xfId="38" xr:uid="{00000000-0005-0000-0000-000019000000}"/>
    <cellStyle name="Normal 3 2" xfId="20" xr:uid="{00000000-0005-0000-0000-00001A000000}"/>
    <cellStyle name="Normal 3 3" xfId="32" xr:uid="{00000000-0005-0000-0000-00001B000000}"/>
    <cellStyle name="Normal 3 3 2" xfId="33" xr:uid="{00000000-0005-0000-0000-00001C000000}"/>
    <cellStyle name="Normal 5" xfId="34" xr:uid="{00000000-0005-0000-0000-00001D000000}"/>
    <cellStyle name="Per cent" xfId="15" builtinId="5"/>
    <cellStyle name="Porcentaje 2" xfId="16" xr:uid="{00000000-0005-0000-0000-00001F000000}"/>
    <cellStyle name="Porcentaje 2 2" xfId="17" xr:uid="{00000000-0005-0000-0000-000020000000}"/>
    <cellStyle name="Porcentaje 2 2 2" xfId="26" xr:uid="{00000000-0005-0000-0000-000021000000}"/>
    <cellStyle name="Porcentaje 2 3" xfId="25" xr:uid="{00000000-0005-0000-0000-000022000000}"/>
    <cellStyle name="Porcentaje 3" xfId="18" xr:uid="{00000000-0005-0000-0000-000023000000}"/>
    <cellStyle name="Porcentaje 3 2" xfId="27" xr:uid="{00000000-0005-0000-0000-000024000000}"/>
    <cellStyle name="Porcentaje 4 2" xfId="36" xr:uid="{00000000-0005-0000-0000-000025000000}"/>
    <cellStyle name="Porcentaje 5" xfId="35" xr:uid="{00000000-0005-0000-0000-000026000000}"/>
  </cellStyles>
  <dxfs count="6">
    <dxf>
      <border>
        <left/>
      </border>
    </dxf>
    <dxf>
      <border>
        <left/>
      </border>
    </dxf>
    <dxf>
      <border>
        <left/>
      </border>
    </dxf>
    <dxf>
      <font>
        <color theme="0"/>
      </font>
    </dxf>
    <dxf>
      <font>
        <color theme="0"/>
      </font>
    </dxf>
    <dxf>
      <font>
        <color theme="0"/>
      </font>
    </dxf>
  </dxfs>
  <tableStyles count="0" defaultTableStyle="TableStyleMedium9" defaultPivotStyle="PivotStyleLight16"/>
  <colors>
    <mruColors>
      <color rgb="FFFF3399"/>
      <color rgb="FFE838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29D6-40DE-82A1-0FA536C64509}"/>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29D6-40DE-82A1-0FA536C64509}"/>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29D6-40DE-82A1-0FA536C64509}"/>
              </c:ext>
            </c:extLst>
          </c:dPt>
          <c:cat>
            <c:strRef>
              <c:f>DCF!$B$35:$F$35</c:f>
              <c:strCache>
                <c:ptCount val="5"/>
                <c:pt idx="0">
                  <c:v>2019 (Real)</c:v>
                </c:pt>
                <c:pt idx="1">
                  <c:v>2020 (Real)</c:v>
                </c:pt>
                <c:pt idx="2">
                  <c:v>2021</c:v>
                </c:pt>
                <c:pt idx="3">
                  <c:v>2022</c:v>
                </c:pt>
                <c:pt idx="4">
                  <c:v>2023</c:v>
                </c:pt>
              </c:strCache>
            </c:strRef>
          </c:cat>
          <c:val>
            <c:numRef>
              <c:f>DCF!$B$37:$F$37</c:f>
              <c:numCache>
                <c:formatCode>"$"#\ ##0</c:formatCode>
                <c:ptCount val="5"/>
                <c:pt idx="0">
                  <c:v>9584.0190000000002</c:v>
                </c:pt>
                <c:pt idx="1">
                  <c:v>12293.368</c:v>
                </c:pt>
                <c:pt idx="2">
                  <c:v>12938.425650000001</c:v>
                </c:pt>
                <c:pt idx="3">
                  <c:v>13378.332122100001</c:v>
                </c:pt>
                <c:pt idx="4">
                  <c:v>14649.273673699501</c:v>
                </c:pt>
              </c:numCache>
            </c:numRef>
          </c:val>
          <c:smooth val="0"/>
          <c:extLst>
            <c:ext xmlns:c16="http://schemas.microsoft.com/office/drawing/2014/chart" uri="{C3380CC4-5D6E-409C-BE32-E72D297353CC}">
              <c16:uniqueId val="{00000006-29D6-40DE-82A1-0FA536C64509}"/>
            </c:ext>
          </c:extLst>
        </c:ser>
        <c:dLbls>
          <c:showLegendKey val="0"/>
          <c:showVal val="0"/>
          <c:showCatName val="0"/>
          <c:showSerName val="0"/>
          <c:showPercent val="0"/>
          <c:showBubbleSize val="0"/>
        </c:dLbls>
        <c:smooth val="0"/>
        <c:axId val="468295536"/>
        <c:axId val="469723232"/>
      </c:lineChart>
      <c:catAx>
        <c:axId val="46829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469723232"/>
        <c:crosses val="autoZero"/>
        <c:auto val="0"/>
        <c:lblAlgn val="ctr"/>
        <c:lblOffset val="100"/>
        <c:noMultiLvlLbl val="0"/>
      </c:catAx>
      <c:valAx>
        <c:axId val="46972323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468295536"/>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0852-4BF1-A341-E431ACE2ED99}"/>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0852-4BF1-A341-E431ACE2ED99}"/>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0852-4BF1-A341-E431ACE2ED99}"/>
              </c:ext>
            </c:extLst>
          </c:dPt>
          <c:cat>
            <c:strRef>
              <c:f>DCF!$B$35:$F$35</c:f>
              <c:strCache>
                <c:ptCount val="5"/>
                <c:pt idx="0">
                  <c:v>2019 (Real)</c:v>
                </c:pt>
                <c:pt idx="1">
                  <c:v>2020 (Real)</c:v>
                </c:pt>
                <c:pt idx="2">
                  <c:v>2021</c:v>
                </c:pt>
                <c:pt idx="3">
                  <c:v>2022</c:v>
                </c:pt>
                <c:pt idx="4">
                  <c:v>2023</c:v>
                </c:pt>
              </c:strCache>
            </c:strRef>
          </c:cat>
          <c:val>
            <c:numRef>
              <c:f>DCF!$B$38:$F$38</c:f>
              <c:numCache>
                <c:formatCode>0.0%</c:formatCode>
                <c:ptCount val="5"/>
                <c:pt idx="0">
                  <c:v>7.7365977675962455E-2</c:v>
                </c:pt>
                <c:pt idx="1">
                  <c:v>0.1654959812477752</c:v>
                </c:pt>
                <c:pt idx="2">
                  <c:v>0.29593021537936248</c:v>
                </c:pt>
                <c:pt idx="3">
                  <c:v>0.28617540807249875</c:v>
                </c:pt>
                <c:pt idx="4">
                  <c:v>0.27</c:v>
                </c:pt>
              </c:numCache>
            </c:numRef>
          </c:val>
          <c:smooth val="0"/>
          <c:extLst>
            <c:ext xmlns:c16="http://schemas.microsoft.com/office/drawing/2014/chart" uri="{C3380CC4-5D6E-409C-BE32-E72D297353CC}">
              <c16:uniqueId val="{00000006-0852-4BF1-A341-E431ACE2ED99}"/>
            </c:ext>
          </c:extLst>
        </c:ser>
        <c:dLbls>
          <c:showLegendKey val="0"/>
          <c:showVal val="0"/>
          <c:showCatName val="0"/>
          <c:showSerName val="0"/>
          <c:showPercent val="0"/>
          <c:showBubbleSize val="0"/>
        </c:dLbls>
        <c:smooth val="0"/>
        <c:axId val="469725472"/>
        <c:axId val="469726032"/>
      </c:lineChart>
      <c:catAx>
        <c:axId val="46972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469726032"/>
        <c:crosses val="autoZero"/>
        <c:auto val="1"/>
        <c:lblAlgn val="ctr"/>
        <c:lblOffset val="100"/>
        <c:noMultiLvlLbl val="0"/>
      </c:catAx>
      <c:valAx>
        <c:axId val="46972603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469725472"/>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692336380204484"/>
          <c:y val="3.5969349607330517E-2"/>
          <c:w val="0.84839388374040381"/>
          <c:h val="0.77604277854266257"/>
        </c:manualLayout>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890B-4B55-856C-0152686CCD41}"/>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890B-4B55-856C-0152686CCD41}"/>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890B-4B55-856C-0152686CCD41}"/>
              </c:ext>
            </c:extLst>
          </c:dPt>
          <c:cat>
            <c:strRef>
              <c:f>DCF!$B$35:$F$35</c:f>
              <c:strCache>
                <c:ptCount val="5"/>
                <c:pt idx="0">
                  <c:v>2019 (Real)</c:v>
                </c:pt>
                <c:pt idx="1">
                  <c:v>2020 (Real)</c:v>
                </c:pt>
                <c:pt idx="2">
                  <c:v>2021</c:v>
                </c:pt>
                <c:pt idx="3">
                  <c:v>2022</c:v>
                </c:pt>
                <c:pt idx="4">
                  <c:v>2023</c:v>
                </c:pt>
              </c:strCache>
            </c:strRef>
          </c:cat>
          <c:val>
            <c:numRef>
              <c:f>DCF!$B$47:$F$47</c:f>
              <c:numCache>
                <c:formatCode>"$"#\ ##0</c:formatCode>
                <c:ptCount val="5"/>
                <c:pt idx="0">
                  <c:v>175.8</c:v>
                </c:pt>
                <c:pt idx="1">
                  <c:v>268.10000000000002</c:v>
                </c:pt>
                <c:pt idx="2">
                  <c:v>10000</c:v>
                </c:pt>
                <c:pt idx="3">
                  <c:v>10408</c:v>
                </c:pt>
                <c:pt idx="4">
                  <c:v>11594.511999999999</c:v>
                </c:pt>
              </c:numCache>
            </c:numRef>
          </c:val>
          <c:smooth val="0"/>
          <c:extLst>
            <c:ext xmlns:c16="http://schemas.microsoft.com/office/drawing/2014/chart" uri="{C3380CC4-5D6E-409C-BE32-E72D297353CC}">
              <c16:uniqueId val="{00000006-890B-4B55-856C-0152686CCD41}"/>
            </c:ext>
          </c:extLst>
        </c:ser>
        <c:dLbls>
          <c:showLegendKey val="0"/>
          <c:showVal val="0"/>
          <c:showCatName val="0"/>
          <c:showSerName val="0"/>
          <c:showPercent val="0"/>
          <c:showBubbleSize val="0"/>
        </c:dLbls>
        <c:smooth val="0"/>
        <c:axId val="469728272"/>
        <c:axId val="469728832"/>
      </c:lineChart>
      <c:catAx>
        <c:axId val="46972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469728832"/>
        <c:crosses val="autoZero"/>
        <c:auto val="0"/>
        <c:lblAlgn val="ctr"/>
        <c:lblOffset val="100"/>
        <c:noMultiLvlLbl val="0"/>
      </c:catAx>
      <c:valAx>
        <c:axId val="469728832"/>
        <c:scaling>
          <c:orientation val="minMax"/>
          <c:max val="25000"/>
          <c:min val="0"/>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469728272"/>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2BBB-4662-B16E-6E91A3BCDBBD}"/>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2BBB-4662-B16E-6E91A3BCDBBD}"/>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2BBB-4662-B16E-6E91A3BCDBBD}"/>
              </c:ext>
            </c:extLst>
          </c:dPt>
          <c:cat>
            <c:strRef>
              <c:f>DCF!$B$35:$F$35</c:f>
              <c:strCache>
                <c:ptCount val="5"/>
                <c:pt idx="0">
                  <c:v>2019 (Real)</c:v>
                </c:pt>
                <c:pt idx="1">
                  <c:v>2020 (Real)</c:v>
                </c:pt>
                <c:pt idx="2">
                  <c:v>2021</c:v>
                </c:pt>
                <c:pt idx="3">
                  <c:v>2022</c:v>
                </c:pt>
                <c:pt idx="4">
                  <c:v>2023</c:v>
                </c:pt>
              </c:strCache>
            </c:strRef>
          </c:cat>
          <c:val>
            <c:numRef>
              <c:f>DCF!$B$46:$F$46</c:f>
              <c:numCache>
                <c:formatCode>"$"#\ ##0</c:formatCode>
                <c:ptCount val="5"/>
                <c:pt idx="0">
                  <c:v>58073</c:v>
                </c:pt>
                <c:pt idx="1">
                  <c:v>61045</c:v>
                </c:pt>
                <c:pt idx="2">
                  <c:v>130.17706052675021</c:v>
                </c:pt>
                <c:pt idx="3">
                  <c:v>56.73179945339497</c:v>
                </c:pt>
                <c:pt idx="4">
                  <c:v>-25.873611116146204</c:v>
                </c:pt>
              </c:numCache>
            </c:numRef>
          </c:val>
          <c:smooth val="0"/>
          <c:extLst>
            <c:ext xmlns:c16="http://schemas.microsoft.com/office/drawing/2014/chart" uri="{C3380CC4-5D6E-409C-BE32-E72D297353CC}">
              <c16:uniqueId val="{00000006-2BBB-4662-B16E-6E91A3BCDBBD}"/>
            </c:ext>
          </c:extLst>
        </c:ser>
        <c:dLbls>
          <c:showLegendKey val="0"/>
          <c:showVal val="0"/>
          <c:showCatName val="0"/>
          <c:showSerName val="0"/>
          <c:showPercent val="0"/>
          <c:showBubbleSize val="0"/>
        </c:dLbls>
        <c:smooth val="0"/>
        <c:axId val="471143824"/>
        <c:axId val="471144384"/>
      </c:lineChart>
      <c:catAx>
        <c:axId val="47114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471144384"/>
        <c:crosses val="autoZero"/>
        <c:auto val="1"/>
        <c:lblAlgn val="ctr"/>
        <c:lblOffset val="100"/>
        <c:noMultiLvlLbl val="0"/>
      </c:catAx>
      <c:valAx>
        <c:axId val="471144384"/>
        <c:scaling>
          <c:orientation val="minMax"/>
          <c:min val="-200"/>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47114382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14</xdr:col>
      <xdr:colOff>0</xdr:colOff>
      <xdr:row>3</xdr:row>
      <xdr:rowOff>0</xdr:rowOff>
    </xdr:from>
    <xdr:to>
      <xdr:col>14</xdr:col>
      <xdr:colOff>304800</xdr:colOff>
      <xdr:row>3</xdr:row>
      <xdr:rowOff>304800</xdr:rowOff>
    </xdr:to>
    <xdr:sp macro="" textlink="">
      <xdr:nvSpPr>
        <xdr:cNvPr id="2096" name="AutoShape 48" descr="Resultado de imagen para heidelbergcement">
          <a:extLst>
            <a:ext uri="{FF2B5EF4-FFF2-40B4-BE49-F238E27FC236}">
              <a16:creationId xmlns:a16="http://schemas.microsoft.com/office/drawing/2014/main" id="{EBAF9DAF-18D3-4875-8FFF-AEB741FF11AC}"/>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3</xdr:row>
      <xdr:rowOff>0</xdr:rowOff>
    </xdr:from>
    <xdr:to>
      <xdr:col>14</xdr:col>
      <xdr:colOff>304800</xdr:colOff>
      <xdr:row>3</xdr:row>
      <xdr:rowOff>304800</xdr:rowOff>
    </xdr:to>
    <xdr:sp macro="" textlink="">
      <xdr:nvSpPr>
        <xdr:cNvPr id="2097" name="AutoShape 49" descr="Resultado de imagen para heidelbergcement">
          <a:extLst>
            <a:ext uri="{FF2B5EF4-FFF2-40B4-BE49-F238E27FC236}">
              <a16:creationId xmlns:a16="http://schemas.microsoft.com/office/drawing/2014/main" id="{1AED6D21-AC79-48CB-9928-5DBD43CA26F1}"/>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96658</xdr:colOff>
      <xdr:row>43</xdr:row>
      <xdr:rowOff>13940</xdr:rowOff>
    </xdr:from>
    <xdr:to>
      <xdr:col>13</xdr:col>
      <xdr:colOff>38708</xdr:colOff>
      <xdr:row>50</xdr:row>
      <xdr:rowOff>36490</xdr:rowOff>
    </xdr:to>
    <xdr:pic>
      <xdr:nvPicPr>
        <xdr:cNvPr id="5" name="Picture 1">
          <a:extLst>
            <a:ext uri="{FF2B5EF4-FFF2-40B4-BE49-F238E27FC236}">
              <a16:creationId xmlns:a16="http://schemas.microsoft.com/office/drawing/2014/main" id="{257282E2-ED8E-F11A-53D1-F125F58B88C1}"/>
            </a:ext>
          </a:extLst>
        </xdr:cNvPr>
        <xdr:cNvPicPr>
          <a:picLocks noChangeAspect="1"/>
        </xdr:cNvPicPr>
      </xdr:nvPicPr>
      <xdr:blipFill>
        <a:blip xmlns:r="http://schemas.openxmlformats.org/officeDocument/2006/relationships" r:embed="rId1"/>
        <a:stretch>
          <a:fillRect/>
        </a:stretch>
      </xdr:blipFill>
      <xdr:spPr>
        <a:xfrm>
          <a:off x="9630951" y="8986025"/>
          <a:ext cx="5247475" cy="3029414"/>
        </a:xfrm>
        <a:prstGeom prst="rect">
          <a:avLst/>
        </a:prstGeom>
      </xdr:spPr>
    </xdr:pic>
    <xdr:clientData/>
  </xdr:twoCellAnchor>
  <xdr:twoCellAnchor editAs="oneCell">
    <xdr:from>
      <xdr:col>1</xdr:col>
      <xdr:colOff>435430</xdr:colOff>
      <xdr:row>1</xdr:row>
      <xdr:rowOff>341313</xdr:rowOff>
    </xdr:from>
    <xdr:to>
      <xdr:col>2</xdr:col>
      <xdr:colOff>1579563</xdr:colOff>
      <xdr:row>4</xdr:row>
      <xdr:rowOff>37231</xdr:rowOff>
    </xdr:to>
    <xdr:pic>
      <xdr:nvPicPr>
        <xdr:cNvPr id="2" name="Picture 1" descr="Dick's Sporting Goods Logo, symbol, meaning, history, PNG, brand">
          <a:extLst>
            <a:ext uri="{FF2B5EF4-FFF2-40B4-BE49-F238E27FC236}">
              <a16:creationId xmlns:a16="http://schemas.microsoft.com/office/drawing/2014/main" id="{B483979B-B38F-01E5-7FCB-0FBEA9BBB1F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3055" y="388938"/>
          <a:ext cx="2453821" cy="14183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145524</xdr:colOff>
      <xdr:row>74</xdr:row>
      <xdr:rowOff>19245</xdr:rowOff>
    </xdr:from>
    <xdr:to>
      <xdr:col>8</xdr:col>
      <xdr:colOff>946489</xdr:colOff>
      <xdr:row>136</xdr:row>
      <xdr:rowOff>77689</xdr:rowOff>
    </xdr:to>
    <mc:AlternateContent xmlns:mc="http://schemas.openxmlformats.org/markup-compatibility/2006" xmlns:sle15="http://schemas.microsoft.com/office/drawing/2012/slicer">
      <mc:Choice Requires="sle15">
        <xdr:graphicFrame macro="">
          <xdr:nvGraphicFramePr>
            <xdr:cNvPr id="8" name="State">
              <a:extLst>
                <a:ext uri="{FF2B5EF4-FFF2-40B4-BE49-F238E27FC236}">
                  <a16:creationId xmlns:a16="http://schemas.microsoft.com/office/drawing/2014/main" id="{F54F11A5-2240-42E9-928A-FF9810219767}"/>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9681730" y="12793951"/>
              <a:ext cx="1820700" cy="232111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38100</xdr:rowOff>
    </xdr:from>
    <xdr:to>
      <xdr:col>5</xdr:col>
      <xdr:colOff>695325</xdr:colOff>
      <xdr:row>21</xdr:row>
      <xdr:rowOff>161924</xdr:rowOff>
    </xdr:to>
    <xdr:pic>
      <xdr:nvPicPr>
        <xdr:cNvPr id="2" name="Imagen 1">
          <a:extLst>
            <a:ext uri="{FF2B5EF4-FFF2-40B4-BE49-F238E27FC236}">
              <a16:creationId xmlns:a16="http://schemas.microsoft.com/office/drawing/2014/main" id="{F2F9330C-25CE-45E1-BA4E-66296A4EDD68}"/>
            </a:ext>
          </a:extLst>
        </xdr:cNvPr>
        <xdr:cNvPicPr>
          <a:picLocks noChangeAspect="1"/>
        </xdr:cNvPicPr>
      </xdr:nvPicPr>
      <xdr:blipFill rotWithShape="1">
        <a:blip xmlns:r="http://schemas.openxmlformats.org/officeDocument/2006/relationships" r:embed="rId1"/>
        <a:srcRect l="24381" t="20576" r="25833" b="16526"/>
        <a:stretch/>
      </xdr:blipFill>
      <xdr:spPr>
        <a:xfrm>
          <a:off x="0" y="361950"/>
          <a:ext cx="4505325" cy="3200399"/>
        </a:xfrm>
        <a:prstGeom prst="rect">
          <a:avLst/>
        </a:prstGeom>
      </xdr:spPr>
    </xdr:pic>
    <xdr:clientData/>
  </xdr:twoCellAnchor>
  <xdr:twoCellAnchor editAs="oneCell">
    <xdr:from>
      <xdr:col>5</xdr:col>
      <xdr:colOff>742951</xdr:colOff>
      <xdr:row>2</xdr:row>
      <xdr:rowOff>19050</xdr:rowOff>
    </xdr:from>
    <xdr:to>
      <xdr:col>12</xdr:col>
      <xdr:colOff>590550</xdr:colOff>
      <xdr:row>26</xdr:row>
      <xdr:rowOff>17452</xdr:rowOff>
    </xdr:to>
    <xdr:pic>
      <xdr:nvPicPr>
        <xdr:cNvPr id="3" name="Imagen 2">
          <a:extLst>
            <a:ext uri="{FF2B5EF4-FFF2-40B4-BE49-F238E27FC236}">
              <a16:creationId xmlns:a16="http://schemas.microsoft.com/office/drawing/2014/main" id="{6C3DB5B5-D2AB-4357-9042-072F61CBB8BC}"/>
            </a:ext>
          </a:extLst>
        </xdr:cNvPr>
        <xdr:cNvPicPr>
          <a:picLocks noChangeAspect="1"/>
        </xdr:cNvPicPr>
      </xdr:nvPicPr>
      <xdr:blipFill rotWithShape="1">
        <a:blip xmlns:r="http://schemas.openxmlformats.org/officeDocument/2006/relationships" r:embed="rId2"/>
        <a:srcRect l="35436" t="14585" r="5186" b="6238"/>
        <a:stretch/>
      </xdr:blipFill>
      <xdr:spPr>
        <a:xfrm>
          <a:off x="4552951" y="342900"/>
          <a:ext cx="5181599" cy="3884602"/>
        </a:xfrm>
        <a:prstGeom prst="rect">
          <a:avLst/>
        </a:prstGeom>
      </xdr:spPr>
    </xdr:pic>
    <xdr:clientData/>
  </xdr:twoCellAnchor>
  <xdr:twoCellAnchor editAs="oneCell">
    <xdr:from>
      <xdr:col>12</xdr:col>
      <xdr:colOff>733424</xdr:colOff>
      <xdr:row>1</xdr:row>
      <xdr:rowOff>152399</xdr:rowOff>
    </xdr:from>
    <xdr:to>
      <xdr:col>19</xdr:col>
      <xdr:colOff>200025</xdr:colOff>
      <xdr:row>25</xdr:row>
      <xdr:rowOff>104774</xdr:rowOff>
    </xdr:to>
    <xdr:pic>
      <xdr:nvPicPr>
        <xdr:cNvPr id="4" name="Imagen 3">
          <a:extLst>
            <a:ext uri="{FF2B5EF4-FFF2-40B4-BE49-F238E27FC236}">
              <a16:creationId xmlns:a16="http://schemas.microsoft.com/office/drawing/2014/main" id="{2F698728-CF09-4265-A947-5121BAAFCF06}"/>
            </a:ext>
          </a:extLst>
        </xdr:cNvPr>
        <xdr:cNvPicPr>
          <a:picLocks noChangeAspect="1"/>
        </xdr:cNvPicPr>
      </xdr:nvPicPr>
      <xdr:blipFill rotWithShape="1">
        <a:blip xmlns:r="http://schemas.openxmlformats.org/officeDocument/2006/relationships" r:embed="rId3"/>
        <a:srcRect l="17645" t="21877" r="37108" b="5196"/>
        <a:stretch/>
      </xdr:blipFill>
      <xdr:spPr>
        <a:xfrm>
          <a:off x="9877424" y="314324"/>
          <a:ext cx="4800601" cy="38385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0</xdr:colOff>
      <xdr:row>22</xdr:row>
      <xdr:rowOff>0</xdr:rowOff>
    </xdr:from>
    <xdr:to>
      <xdr:col>4</xdr:col>
      <xdr:colOff>304800</xdr:colOff>
      <xdr:row>23</xdr:row>
      <xdr:rowOff>142875</xdr:rowOff>
    </xdr:to>
    <xdr:sp macro="" textlink="">
      <xdr:nvSpPr>
        <xdr:cNvPr id="914922" name="AutoShape 232" descr="Resultado de imagen para beer consumption trend">
          <a:extLst>
            <a:ext uri="{FF2B5EF4-FFF2-40B4-BE49-F238E27FC236}">
              <a16:creationId xmlns:a16="http://schemas.microsoft.com/office/drawing/2014/main" id="{290ADD27-FE0C-4C99-AF77-3098E89BD849}"/>
            </a:ext>
          </a:extLst>
        </xdr:cNvPr>
        <xdr:cNvSpPr>
          <a:spLocks noChangeAspect="1" noChangeArrowheads="1"/>
        </xdr:cNvSpPr>
      </xdr:nvSpPr>
      <xdr:spPr bwMode="auto">
        <a:xfrm>
          <a:off x="7829550" y="12001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22</xdr:row>
      <xdr:rowOff>0</xdr:rowOff>
    </xdr:from>
    <xdr:to>
      <xdr:col>4</xdr:col>
      <xdr:colOff>304800</xdr:colOff>
      <xdr:row>23</xdr:row>
      <xdr:rowOff>139065</xdr:rowOff>
    </xdr:to>
    <xdr:sp macro="" textlink="">
      <xdr:nvSpPr>
        <xdr:cNvPr id="914923" name="AutoShape 233" descr="Resultado de imagen para beer consumption trend">
          <a:extLst>
            <a:ext uri="{FF2B5EF4-FFF2-40B4-BE49-F238E27FC236}">
              <a16:creationId xmlns:a16="http://schemas.microsoft.com/office/drawing/2014/main" id="{76C615DC-9449-489C-838D-7501FF91B816}"/>
            </a:ext>
          </a:extLst>
        </xdr:cNvPr>
        <xdr:cNvSpPr>
          <a:spLocks noChangeAspect="1" noChangeArrowheads="1"/>
        </xdr:cNvSpPr>
      </xdr:nvSpPr>
      <xdr:spPr bwMode="auto">
        <a:xfrm>
          <a:off x="7067550" y="21812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xdr:row>
      <xdr:rowOff>161925</xdr:rowOff>
    </xdr:from>
    <xdr:to>
      <xdr:col>3</xdr:col>
      <xdr:colOff>438150</xdr:colOff>
      <xdr:row>14</xdr:row>
      <xdr:rowOff>95250</xdr:rowOff>
    </xdr:to>
    <xdr:graphicFrame macro="">
      <xdr:nvGraphicFramePr>
        <xdr:cNvPr id="69183" name="Gráfico 1">
          <a:extLst>
            <a:ext uri="{FF2B5EF4-FFF2-40B4-BE49-F238E27FC236}">
              <a16:creationId xmlns:a16="http://schemas.microsoft.com/office/drawing/2014/main" id="{77D8D2A6-31C8-436A-8BAC-BCB6DD15A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523875</xdr:colOff>
      <xdr:row>3</xdr:row>
      <xdr:rowOff>19050</xdr:rowOff>
    </xdr:from>
    <xdr:to>
      <xdr:col>9</xdr:col>
      <xdr:colOff>0</xdr:colOff>
      <xdr:row>14</xdr:row>
      <xdr:rowOff>85725</xdr:rowOff>
    </xdr:to>
    <xdr:graphicFrame macro="">
      <xdr:nvGraphicFramePr>
        <xdr:cNvPr id="69184" name="Gráfico 2">
          <a:extLst>
            <a:ext uri="{FF2B5EF4-FFF2-40B4-BE49-F238E27FC236}">
              <a16:creationId xmlns:a16="http://schemas.microsoft.com/office/drawing/2014/main" id="{9B781514-F142-49A5-BB8C-98E772FF4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16</xdr:row>
      <xdr:rowOff>28575</xdr:rowOff>
    </xdr:from>
    <xdr:to>
      <xdr:col>3</xdr:col>
      <xdr:colOff>457200</xdr:colOff>
      <xdr:row>27</xdr:row>
      <xdr:rowOff>123825</xdr:rowOff>
    </xdr:to>
    <xdr:graphicFrame macro="">
      <xdr:nvGraphicFramePr>
        <xdr:cNvPr id="69185" name="Gráfico 4">
          <a:extLst>
            <a:ext uri="{FF2B5EF4-FFF2-40B4-BE49-F238E27FC236}">
              <a16:creationId xmlns:a16="http://schemas.microsoft.com/office/drawing/2014/main" id="{F1BF886D-8D8C-489D-980F-D5383E1E7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542925</xdr:colOff>
      <xdr:row>16</xdr:row>
      <xdr:rowOff>38100</xdr:rowOff>
    </xdr:from>
    <xdr:to>
      <xdr:col>9</xdr:col>
      <xdr:colOff>19050</xdr:colOff>
      <xdr:row>27</xdr:row>
      <xdr:rowOff>104775</xdr:rowOff>
    </xdr:to>
    <xdr:graphicFrame macro="">
      <xdr:nvGraphicFramePr>
        <xdr:cNvPr id="69186" name="Gráfico 5">
          <a:extLst>
            <a:ext uri="{FF2B5EF4-FFF2-40B4-BE49-F238E27FC236}">
              <a16:creationId xmlns:a16="http://schemas.microsoft.com/office/drawing/2014/main" id="{AB6311A8-5D3E-4293-82B3-E0C5B246C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istemas/AppData/Local/Temp/Bloomberg/data/XID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ketCapH"/>
      <sheetName val="PricesH"/>
      <sheetName val="ControlsH"/>
      <sheetName val="DataH"/>
      <sheetName val="Overview"/>
      <sheetName val="Peers"/>
      <sheetName val="Owners"/>
      <sheetName val="Help"/>
      <sheetName val="Indices"/>
      <sheetName val="Financials"/>
      <sheetName val="Ratings"/>
      <sheetName val="EST Brokers"/>
      <sheetName val="EST Detail"/>
      <sheetName val="VAL Graphs"/>
    </sheetNames>
    <sheetDataSet>
      <sheetData sheetId="0" refreshError="1"/>
      <sheetData sheetId="1" refreshError="1"/>
      <sheetData sheetId="2" refreshError="1">
        <row r="3">
          <cell r="B3" t="str">
            <v>SPX</v>
          </cell>
          <cell r="C3" t="e">
            <v>#REF!</v>
          </cell>
          <cell r="E3">
            <v>1</v>
          </cell>
          <cell r="F3">
            <v>1</v>
          </cell>
          <cell r="G3">
            <v>1</v>
          </cell>
          <cell r="H3">
            <v>1</v>
          </cell>
          <cell r="I3">
            <v>1</v>
          </cell>
        </row>
        <row r="4">
          <cell r="B4" t="e">
            <v>#REF!</v>
          </cell>
          <cell r="C4" t="e">
            <v>#REF!</v>
          </cell>
        </row>
        <row r="5">
          <cell r="B5" t="e">
            <v>#REF!</v>
          </cell>
          <cell r="C5" t="e">
            <v>#REF!</v>
          </cell>
          <cell r="E5">
            <v>1</v>
          </cell>
          <cell r="F5">
            <v>1</v>
          </cell>
          <cell r="G5">
            <v>1</v>
          </cell>
          <cell r="H5">
            <v>1</v>
          </cell>
          <cell r="I5">
            <v>1</v>
          </cell>
        </row>
        <row r="6">
          <cell r="B6" t="str">
            <v>APPLE INC</v>
          </cell>
        </row>
        <row r="9">
          <cell r="B9" t="str">
            <v>USD</v>
          </cell>
        </row>
        <row r="13">
          <cell r="B13" t="str">
            <v>Equal Weight</v>
          </cell>
        </row>
        <row r="15">
          <cell r="B15" t="str">
            <v>AAPL US</v>
          </cell>
        </row>
        <row r="21">
          <cell r="B21" t="str">
            <v>Local</v>
          </cell>
        </row>
        <row r="22">
          <cell r="B22" t="str">
            <v>Euro</v>
          </cell>
        </row>
        <row r="23">
          <cell r="B23" t="str">
            <v>U.S. Dollar</v>
          </cell>
        </row>
        <row r="24">
          <cell r="B24" t="str">
            <v>British Pounds</v>
          </cell>
        </row>
        <row r="25">
          <cell r="B25" t="str">
            <v>Canadian Dollar</v>
          </cell>
        </row>
        <row r="26">
          <cell r="B26" t="str">
            <v>Japanese Yen</v>
          </cell>
        </row>
        <row r="27">
          <cell r="B27" t="str">
            <v>Afghanistan Afghani</v>
          </cell>
        </row>
        <row r="28">
          <cell r="B28" t="str">
            <v>Albanian Lek</v>
          </cell>
        </row>
        <row r="29">
          <cell r="B29" t="str">
            <v>Algerian Dinar</v>
          </cell>
        </row>
        <row r="30">
          <cell r="B30" t="str">
            <v>Angolan New Kwanza</v>
          </cell>
        </row>
        <row r="31">
          <cell r="B31" t="str">
            <v>Argentine Peso</v>
          </cell>
        </row>
        <row r="32">
          <cell r="B32" t="str">
            <v>Armenia Dram</v>
          </cell>
        </row>
        <row r="33">
          <cell r="B33" t="str">
            <v>Aruban Guilder</v>
          </cell>
        </row>
        <row r="34">
          <cell r="B34" t="str">
            <v>Australian Dollar</v>
          </cell>
          <cell r="G34" t="str">
            <v>2020-12-31</v>
          </cell>
        </row>
        <row r="35">
          <cell r="B35" t="str">
            <v>Austrian Schilling *</v>
          </cell>
          <cell r="F35" t="str">
            <v>Equal Weight</v>
          </cell>
        </row>
        <row r="36">
          <cell r="B36" t="str">
            <v>Azerbaijan Manat</v>
          </cell>
          <cell r="F36" t="str">
            <v>Market Cap Weight</v>
          </cell>
        </row>
        <row r="37">
          <cell r="B37" t="str">
            <v>Bahamas Dollar</v>
          </cell>
        </row>
        <row r="38">
          <cell r="B38" t="str">
            <v>Bahraini Dinar</v>
          </cell>
        </row>
        <row r="39">
          <cell r="B39" t="str">
            <v>Bangladesh Taka</v>
          </cell>
        </row>
        <row r="40">
          <cell r="B40" t="str">
            <v>Barbados Dollar</v>
          </cell>
        </row>
        <row r="41">
          <cell r="B41" t="str">
            <v>Belarus Rouble</v>
          </cell>
        </row>
        <row r="42">
          <cell r="B42" t="str">
            <v>Belgian Franc *</v>
          </cell>
        </row>
        <row r="43">
          <cell r="B43" t="str">
            <v>Belize Dollar</v>
          </cell>
        </row>
        <row r="44">
          <cell r="B44" t="str">
            <v>Bermuda Dollar</v>
          </cell>
        </row>
        <row r="45">
          <cell r="B45" t="str">
            <v>British Pence</v>
          </cell>
        </row>
        <row r="46">
          <cell r="B46" t="str">
            <v>Bhutan Ngultrum</v>
          </cell>
        </row>
        <row r="47">
          <cell r="B47" t="str">
            <v>Bolivian Boliviano</v>
          </cell>
        </row>
        <row r="48">
          <cell r="B48" t="str">
            <v>Botswana Pula</v>
          </cell>
        </row>
        <row r="49">
          <cell r="B49" t="str">
            <v>Brazilian Real</v>
          </cell>
        </row>
        <row r="50">
          <cell r="B50" t="str">
            <v>Brunei Dollar</v>
          </cell>
        </row>
        <row r="51">
          <cell r="B51" t="str">
            <v>Bulgarian Lev</v>
          </cell>
        </row>
        <row r="52">
          <cell r="B52" t="str">
            <v>Burundi Franc</v>
          </cell>
        </row>
        <row r="53">
          <cell r="B53" t="str">
            <v>C.F.A Franc</v>
          </cell>
        </row>
        <row r="54">
          <cell r="B54" t="str">
            <v>C.F.P Franc</v>
          </cell>
        </row>
        <row r="55">
          <cell r="B55" t="str">
            <v>Cambodian Riel</v>
          </cell>
        </row>
        <row r="56">
          <cell r="B56" t="str">
            <v>Cape Verde Is. Escudo</v>
          </cell>
        </row>
        <row r="57">
          <cell r="B57" t="str">
            <v>Cayman Islands Dollar</v>
          </cell>
        </row>
        <row r="58">
          <cell r="B58" t="str">
            <v>Chilean Peso</v>
          </cell>
        </row>
        <row r="59">
          <cell r="B59" t="str">
            <v>Chile U.F.</v>
          </cell>
        </row>
        <row r="60">
          <cell r="B60" t="str">
            <v>China Renminbi</v>
          </cell>
        </row>
        <row r="61">
          <cell r="B61" t="str">
            <v>Colombian Peso</v>
          </cell>
        </row>
        <row r="62">
          <cell r="B62" t="str">
            <v>Comoros Franc</v>
          </cell>
        </row>
        <row r="63">
          <cell r="B63" t="str">
            <v>Costa Rica Colon</v>
          </cell>
        </row>
        <row r="64">
          <cell r="B64" t="str">
            <v>Croation Kuna</v>
          </cell>
        </row>
        <row r="65">
          <cell r="B65" t="str">
            <v>Cuban Peso</v>
          </cell>
        </row>
        <row r="66">
          <cell r="B66" t="str">
            <v>Cyprus Pound</v>
          </cell>
        </row>
        <row r="67">
          <cell r="B67" t="str">
            <v>Czechoslovakia Koruna</v>
          </cell>
        </row>
        <row r="68">
          <cell r="B68" t="str">
            <v>Danish Krone</v>
          </cell>
        </row>
        <row r="69">
          <cell r="B69" t="str">
            <v>Djibouti Franc</v>
          </cell>
        </row>
        <row r="70">
          <cell r="B70" t="str">
            <v>Dominican Republic Peso</v>
          </cell>
        </row>
        <row r="71">
          <cell r="B71" t="str">
            <v>East Caribbean Dollar</v>
          </cell>
        </row>
        <row r="72">
          <cell r="B72" t="str">
            <v>East German Ostmark</v>
          </cell>
        </row>
        <row r="73">
          <cell r="B73" t="str">
            <v>Ecuador Sucre</v>
          </cell>
        </row>
        <row r="74">
          <cell r="B74" t="str">
            <v>Egyptian Pound</v>
          </cell>
        </row>
        <row r="75">
          <cell r="B75" t="str">
            <v>El Salvador Colon</v>
          </cell>
        </row>
        <row r="76">
          <cell r="B76" t="str">
            <v>Estonian Kroon</v>
          </cell>
        </row>
        <row r="77">
          <cell r="B77" t="str">
            <v>Ethiopian Birr</v>
          </cell>
        </row>
        <row r="78">
          <cell r="B78" t="str">
            <v>Falkland Island Pound</v>
          </cell>
        </row>
        <row r="79">
          <cell r="B79" t="str">
            <v>Fiji Dollar</v>
          </cell>
        </row>
        <row r="80">
          <cell r="B80" t="str">
            <v>Finnish Markka *</v>
          </cell>
        </row>
        <row r="81">
          <cell r="B81" t="str">
            <v>French Franc *</v>
          </cell>
        </row>
        <row r="82">
          <cell r="B82" t="str">
            <v>Gambia Dalasi</v>
          </cell>
        </row>
        <row r="83">
          <cell r="B83" t="str">
            <v>Georgian Coupon</v>
          </cell>
        </row>
        <row r="84">
          <cell r="B84" t="str">
            <v>German Deutschemark *</v>
          </cell>
        </row>
        <row r="85">
          <cell r="B85" t="str">
            <v>Ghana Cedi</v>
          </cell>
        </row>
        <row r="86">
          <cell r="B86" t="str">
            <v>Gibraltar Pound</v>
          </cell>
        </row>
        <row r="87">
          <cell r="B87" t="str">
            <v>Greek Drachma *</v>
          </cell>
        </row>
        <row r="88">
          <cell r="B88" t="str">
            <v>Guatemala Quentzal</v>
          </cell>
        </row>
        <row r="89">
          <cell r="B89" t="str">
            <v>Guinea Franc</v>
          </cell>
        </row>
        <row r="90">
          <cell r="B90" t="str">
            <v>Guinea-Bissau Peso</v>
          </cell>
        </row>
        <row r="91">
          <cell r="B91" t="str">
            <v>Guyana Dollar</v>
          </cell>
        </row>
        <row r="92">
          <cell r="B92" t="str">
            <v>Haiti Gourde</v>
          </cell>
        </row>
        <row r="93">
          <cell r="B93" t="str">
            <v>Honduras Lempira</v>
          </cell>
        </row>
        <row r="94">
          <cell r="B94" t="str">
            <v>Hong Kong Dollar</v>
          </cell>
        </row>
        <row r="95">
          <cell r="B95" t="str">
            <v>Hungarian Forint</v>
          </cell>
        </row>
        <row r="96">
          <cell r="B96" t="str">
            <v>Icelandic Krona</v>
          </cell>
        </row>
        <row r="97">
          <cell r="B97" t="str">
            <v>Indian Rupee</v>
          </cell>
        </row>
        <row r="98">
          <cell r="B98" t="str">
            <v>Indonesian Rupiah</v>
          </cell>
        </row>
        <row r="99">
          <cell r="B99" t="str">
            <v>Iran Rial</v>
          </cell>
        </row>
        <row r="100">
          <cell r="B100" t="str">
            <v>Iraqi Dinar</v>
          </cell>
        </row>
        <row r="101">
          <cell r="B101" t="str">
            <v>Irish Punt</v>
          </cell>
        </row>
        <row r="102">
          <cell r="B102" t="str">
            <v>Israeli Shekel</v>
          </cell>
        </row>
        <row r="103">
          <cell r="B103" t="str">
            <v>Italian Lire *</v>
          </cell>
        </row>
        <row r="104">
          <cell r="B104" t="str">
            <v>Jamaican Dollar</v>
          </cell>
        </row>
        <row r="105">
          <cell r="B105" t="str">
            <v>Jordanian Diner</v>
          </cell>
        </row>
        <row r="106">
          <cell r="B106" t="str">
            <v>Kazakhstan Tenge</v>
          </cell>
        </row>
        <row r="107">
          <cell r="B107" t="str">
            <v>Kenya Shilling</v>
          </cell>
        </row>
        <row r="108">
          <cell r="B108" t="str">
            <v>Kuwait Dinar</v>
          </cell>
        </row>
        <row r="109">
          <cell r="B109" t="str">
            <v>Kyrgystan Som</v>
          </cell>
        </row>
        <row r="110">
          <cell r="B110" t="str">
            <v>Laos New Kip</v>
          </cell>
        </row>
        <row r="111">
          <cell r="B111" t="str">
            <v>Latvian Lats</v>
          </cell>
        </row>
        <row r="112">
          <cell r="B112" t="str">
            <v>Lebanese Pound</v>
          </cell>
        </row>
        <row r="113">
          <cell r="B113" t="str">
            <v>Legacy National Currency</v>
          </cell>
        </row>
        <row r="114">
          <cell r="B114" t="str">
            <v>Lesotho Loit</v>
          </cell>
        </row>
        <row r="115">
          <cell r="B115" t="str">
            <v>Liberian Dollar</v>
          </cell>
        </row>
        <row r="116">
          <cell r="B116" t="str">
            <v>Libyan Dinar</v>
          </cell>
        </row>
        <row r="117">
          <cell r="B117" t="str">
            <v>Lithuanian Litas</v>
          </cell>
        </row>
        <row r="118">
          <cell r="B118" t="str">
            <v>Luxembourg Franc *</v>
          </cell>
        </row>
        <row r="119">
          <cell r="B119" t="str">
            <v>Macau Pataca</v>
          </cell>
        </row>
        <row r="120">
          <cell r="B120" t="str">
            <v>Macedonian Denar</v>
          </cell>
        </row>
        <row r="121">
          <cell r="B121" t="str">
            <v>Malagasy Franc</v>
          </cell>
        </row>
        <row r="122">
          <cell r="B122" t="str">
            <v>Malawi Kwacha</v>
          </cell>
        </row>
        <row r="123">
          <cell r="B123" t="str">
            <v>Malaysian Ringgit</v>
          </cell>
        </row>
        <row r="124">
          <cell r="B124" t="str">
            <v>Madive Island Rufiyaa</v>
          </cell>
        </row>
        <row r="125">
          <cell r="B125" t="str">
            <v>Maltese Lirea</v>
          </cell>
        </row>
        <row r="126">
          <cell r="B126" t="str">
            <v>Mauritania Ouguiya</v>
          </cell>
        </row>
        <row r="127">
          <cell r="B127" t="str">
            <v>Mauritan Rupee</v>
          </cell>
        </row>
        <row r="128">
          <cell r="B128" t="str">
            <v>Mexican Peso</v>
          </cell>
        </row>
        <row r="129">
          <cell r="B129" t="str">
            <v>Moldovan Leu</v>
          </cell>
        </row>
        <row r="130">
          <cell r="B130" t="str">
            <v>Mongolian Tugrik</v>
          </cell>
        </row>
        <row r="131">
          <cell r="B131" t="str">
            <v>Moroccan Dirham</v>
          </cell>
        </row>
        <row r="132">
          <cell r="B132" t="str">
            <v>Mozambique Metical</v>
          </cell>
        </row>
        <row r="133">
          <cell r="B133" t="str">
            <v>Myanmar (Burma) Kyat</v>
          </cell>
        </row>
        <row r="134">
          <cell r="B134" t="str">
            <v>Namibian Dollar</v>
          </cell>
        </row>
        <row r="135">
          <cell r="B135" t="str">
            <v>Nepalese Rupee</v>
          </cell>
        </row>
        <row r="136">
          <cell r="B136" t="str">
            <v>Netherlands Antilles Guilder</v>
          </cell>
        </row>
        <row r="137">
          <cell r="B137" t="str">
            <v>Netherlands Guilder *</v>
          </cell>
        </row>
        <row r="138">
          <cell r="B138" t="str">
            <v>New Zealand Dollar</v>
          </cell>
        </row>
        <row r="139">
          <cell r="B139" t="str">
            <v>Nicaragua Cordoba Oro</v>
          </cell>
        </row>
        <row r="140">
          <cell r="B140" t="str">
            <v>Nigerian Naira</v>
          </cell>
        </row>
        <row r="141">
          <cell r="B141" t="str">
            <v>North Korean Won</v>
          </cell>
        </row>
        <row r="142">
          <cell r="B142" t="str">
            <v>Norwegian Krone</v>
          </cell>
        </row>
        <row r="143">
          <cell r="B143" t="str">
            <v>Oman Rial</v>
          </cell>
        </row>
        <row r="144">
          <cell r="B144" t="str">
            <v>Pakistan Rupee</v>
          </cell>
        </row>
        <row r="145">
          <cell r="B145" t="str">
            <v>Panama Balboa</v>
          </cell>
        </row>
        <row r="146">
          <cell r="B146" t="str">
            <v>Papua and New Guinea Kina</v>
          </cell>
        </row>
        <row r="147">
          <cell r="B147" t="str">
            <v>Paraguay Guarani</v>
          </cell>
        </row>
        <row r="148">
          <cell r="B148" t="str">
            <v>Peruvian New Sol</v>
          </cell>
        </row>
        <row r="149">
          <cell r="B149" t="str">
            <v>Philippines Peso</v>
          </cell>
        </row>
        <row r="150">
          <cell r="B150" t="str">
            <v>Polish Zloty</v>
          </cell>
        </row>
        <row r="151">
          <cell r="B151" t="str">
            <v>Portuguese Escudo *</v>
          </cell>
        </row>
        <row r="152">
          <cell r="B152" t="str">
            <v>Qatari Rial</v>
          </cell>
        </row>
        <row r="153">
          <cell r="B153" t="str">
            <v>Romanian Leu</v>
          </cell>
        </row>
        <row r="154">
          <cell r="B154" t="str">
            <v>Russian Rouble</v>
          </cell>
        </row>
        <row r="155">
          <cell r="B155" t="str">
            <v>Rwanda Franc</v>
          </cell>
        </row>
        <row r="156">
          <cell r="B156" t="str">
            <v>Sao Tome &amp; Principe Dobra</v>
          </cell>
        </row>
        <row r="157">
          <cell r="B157" t="str">
            <v>Saudi Arabian Riyal</v>
          </cell>
        </row>
        <row r="158">
          <cell r="B158" t="str">
            <v>Seychelles Rupee</v>
          </cell>
        </row>
        <row r="159">
          <cell r="B159" t="str">
            <v>Sierra Leone Leone</v>
          </cell>
        </row>
        <row r="160">
          <cell r="B160" t="str">
            <v>Singapore Dollar</v>
          </cell>
        </row>
        <row r="161">
          <cell r="B161" t="str">
            <v>Slovakia Koruna</v>
          </cell>
        </row>
        <row r="162">
          <cell r="B162" t="str">
            <v>Slovenian Tolar</v>
          </cell>
        </row>
        <row r="163">
          <cell r="B163" t="str">
            <v>Solomon Island Dollar</v>
          </cell>
        </row>
        <row r="164">
          <cell r="B164" t="str">
            <v>Somali Shilling</v>
          </cell>
        </row>
        <row r="165">
          <cell r="B165" t="str">
            <v>South African Ran</v>
          </cell>
        </row>
        <row r="166">
          <cell r="B166" t="str">
            <v>South Korean Won</v>
          </cell>
        </row>
        <row r="167">
          <cell r="B167" t="str">
            <v>Spanish Peseta *</v>
          </cell>
        </row>
        <row r="168">
          <cell r="B168" t="str">
            <v>Sri Lanka Rupee</v>
          </cell>
        </row>
        <row r="169">
          <cell r="B169" t="str">
            <v>St. Helena Pound</v>
          </cell>
        </row>
        <row r="170">
          <cell r="B170" t="str">
            <v>Sudanese Pound</v>
          </cell>
        </row>
        <row r="171">
          <cell r="B171" t="str">
            <v>Surinam Guilder</v>
          </cell>
        </row>
        <row r="172">
          <cell r="B172" t="str">
            <v>Swaziland Lilangeni</v>
          </cell>
        </row>
        <row r="173">
          <cell r="B173" t="str">
            <v>Swedish Krona</v>
          </cell>
        </row>
        <row r="174">
          <cell r="B174" t="str">
            <v>Swiss Franc</v>
          </cell>
        </row>
        <row r="175">
          <cell r="B175" t="str">
            <v>Syrian Pound</v>
          </cell>
        </row>
        <row r="176">
          <cell r="B176" t="str">
            <v>Taiwan Dollar</v>
          </cell>
        </row>
        <row r="177">
          <cell r="B177" t="str">
            <v>Tajikistan Rouble</v>
          </cell>
        </row>
        <row r="178">
          <cell r="B178" t="str">
            <v>Tanzania Shilling</v>
          </cell>
        </row>
        <row r="179">
          <cell r="B179" t="str">
            <v>Thailand Baht</v>
          </cell>
        </row>
        <row r="180">
          <cell r="B180" t="str">
            <v>Tonga Pa'anga</v>
          </cell>
        </row>
        <row r="181">
          <cell r="B181" t="str">
            <v>Trinidad and Tobago Dollar</v>
          </cell>
        </row>
        <row r="182">
          <cell r="B182" t="str">
            <v>Tunisian Dinar</v>
          </cell>
        </row>
        <row r="183">
          <cell r="B183" t="str">
            <v>Old Turkish Lira</v>
          </cell>
        </row>
        <row r="184">
          <cell r="B184" t="str">
            <v>New Turkish Lira</v>
          </cell>
        </row>
        <row r="185">
          <cell r="B185" t="str">
            <v>Turkmenistan Manet</v>
          </cell>
        </row>
        <row r="186">
          <cell r="B186" t="str">
            <v>UAE Dirham</v>
          </cell>
        </row>
        <row r="187">
          <cell r="B187" t="str">
            <v>Uganda Shilling</v>
          </cell>
        </row>
        <row r="188">
          <cell r="B188" t="str">
            <v>Ukraine Karbovanets</v>
          </cell>
        </row>
        <row r="189">
          <cell r="B189" t="str">
            <v>Uruguay Peso</v>
          </cell>
        </row>
        <row r="190">
          <cell r="B190" t="str">
            <v>Uzbekistan Sum</v>
          </cell>
        </row>
        <row r="191">
          <cell r="B191" t="str">
            <v>Vanuatu Vatu</v>
          </cell>
        </row>
        <row r="192">
          <cell r="B192" t="str">
            <v>Venezualan Bolivar</v>
          </cell>
        </row>
        <row r="193">
          <cell r="B193" t="str">
            <v>Vietnam Dong</v>
          </cell>
        </row>
        <row r="194">
          <cell r="B194" t="str">
            <v>Western Somoa Tala</v>
          </cell>
        </row>
        <row r="195">
          <cell r="B195" t="str">
            <v>Yemeni Rial</v>
          </cell>
        </row>
        <row r="196">
          <cell r="B196" t="str">
            <v>Yugoslav New Dinar</v>
          </cell>
        </row>
        <row r="197">
          <cell r="B197" t="str">
            <v>Zaire Zaire</v>
          </cell>
        </row>
        <row r="198">
          <cell r="B198" t="str">
            <v>Zambian Kwacha</v>
          </cell>
        </row>
        <row r="199">
          <cell r="B199" t="str">
            <v>Zimbabwe Dollar</v>
          </cell>
        </row>
      </sheetData>
      <sheetData sheetId="3" refreshError="1"/>
      <sheetData sheetId="4" refreshError="1">
        <row r="8">
          <cell r="D8" t="str">
            <v>AAPL US</v>
          </cell>
        </row>
        <row r="11">
          <cell r="D11" t="str">
            <v>English</v>
          </cell>
        </row>
        <row r="13">
          <cell r="O13" t="str">
            <v>Consolidated</v>
          </cell>
          <cell r="U13" t="str">
            <v>-1FY</v>
          </cell>
        </row>
        <row r="16">
          <cell r="Q16">
            <v>213883</v>
          </cell>
          <cell r="W16">
            <v>116914</v>
          </cell>
        </row>
        <row r="19">
          <cell r="E19">
            <v>125.6242980957031</v>
          </cell>
        </row>
        <row r="30">
          <cell r="D30" t="str">
            <v>Fiscal Year</v>
          </cell>
        </row>
      </sheetData>
      <sheetData sheetId="5" refreshError="1">
        <row r="11">
          <cell r="S11">
            <v>2017</v>
          </cell>
        </row>
        <row r="18">
          <cell r="C18" t="str">
            <v>005930 KS</v>
          </cell>
        </row>
        <row r="19">
          <cell r="C19" t="str">
            <v>2498 TT</v>
          </cell>
        </row>
      </sheetData>
      <sheetData sheetId="6" refreshError="1">
        <row r="24">
          <cell r="E24" t="str">
            <v>TOP 20 ALL</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persons/person.xml><?xml version="1.0" encoding="utf-8"?>
<personList xmlns="http://schemas.microsoft.com/office/spreadsheetml/2018/threadedcomments" xmlns:x="http://schemas.openxmlformats.org/spreadsheetml/2006/main">
  <person displayName="João Pedro Botelho Pereira de Rodrigues Ferreira" id="{75A0526C-6857-4F43-BA4B-810AFCBF3F76}" userId="S::joao@aln.iseg.ulisboa.pt::ff21aaf0-0502-4d6e-93b7-489e02a18a44" providerId="AD"/>
  <person displayName="Daniel Filipe Cristóvão da Cruz" id="{C64E12D8-8D5D-4C00-9A3E-208DB6F0BDC5}" userId="S::danielfccruz@aln.iseg.ulisboa.pt::a2b25b4a-adcf-4f5b-af14-833df873d353"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ão Ferreira" refreshedDate="45714.995677314815" createdVersion="8" refreshedVersion="8" minRefreshableVersion="3" recordCount="48" xr:uid="{92670625-A0EA-47F1-8FFB-28DF2DD3B66E}">
  <cacheSource type="worksheet">
    <worksheetSource ref="B224:G272" sheet="Segments"/>
  </cacheSource>
  <cacheFields count="6">
    <cacheField name="State" numFmtId="0">
      <sharedItems count="48">
        <s v="California"/>
        <s v="Florida"/>
        <s v="Texas"/>
        <s v="Pennsylvania"/>
        <s v="New York"/>
        <s v="Ohio"/>
        <s v="North Carolina"/>
        <s v="Illinois"/>
        <s v="Virginia"/>
        <s v="Georgia"/>
        <s v="Michigan"/>
        <s v="New Jersey"/>
        <s v="Indiana"/>
        <s v="Massachusetts"/>
        <s v="Tennessee"/>
        <s v="Maryland"/>
        <s v="Colorado"/>
        <s v="Wisconsin"/>
        <s v="Washington"/>
        <s v="Missouri"/>
        <s v="Kentucky"/>
        <s v="Alabama"/>
        <s v="Connecticut"/>
        <s v="South Carolina"/>
        <s v="Minnesota"/>
        <s v="Arizona"/>
        <s v="Kansas"/>
        <s v="Oregon"/>
        <s v="Iowa"/>
        <s v="Oklahoma"/>
        <s v="Louisiana"/>
        <s v="Idaho"/>
        <s v="New Hampshire"/>
        <s v="Mississippi"/>
        <s v="Utah"/>
        <s v="Nevada"/>
        <s v="West Virginia"/>
        <s v="Arkansas"/>
        <s v="Nebraska"/>
        <s v="New Mexico"/>
        <s v="Delaware"/>
        <s v="Maine"/>
        <s v="Rhode Island"/>
        <s v="Vermont"/>
        <s v="District of Columbia"/>
        <s v="North Dakota"/>
        <s v="Wyoming"/>
        <s v="South Dakota"/>
      </sharedItems>
    </cacheField>
    <cacheField name="Total Stores" numFmtId="0">
      <sharedItems containsSemiMixedTypes="0" containsString="0" containsNumber="1" containsInteger="1" minValue="1" maxValue="64"/>
    </cacheField>
    <cacheField name="Dick's Stores" numFmtId="0">
      <sharedItems containsSemiMixedTypes="0" containsString="0" containsNumber="1" containsInteger="1" minValue="0" maxValue="57"/>
    </cacheField>
    <cacheField name="Dick's %" numFmtId="0">
      <sharedItems/>
    </cacheField>
    <cacheField name="Specialty Stores" numFmtId="0">
      <sharedItems containsSemiMixedTypes="0" containsString="0" containsNumber="1" containsInteger="1" minValue="0" maxValue="10"/>
    </cacheField>
    <cacheField name="Specialty %" numFmtId="9">
      <sharedItems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n v="64"/>
    <n v="57"/>
    <s v="6.67%"/>
    <n v="7"/>
    <s v="0.82%"/>
  </r>
  <r>
    <x v="1"/>
    <n v="57"/>
    <n v="48"/>
    <s v="5.61%"/>
    <n v="9"/>
    <s v="1.05%"/>
  </r>
  <r>
    <x v="2"/>
    <n v="57"/>
    <n v="48"/>
    <s v="5.61%"/>
    <n v="9"/>
    <s v="1.05%"/>
  </r>
  <r>
    <x v="3"/>
    <n v="49"/>
    <n v="39"/>
    <s v="4.56%"/>
    <n v="10"/>
    <s v="1.17%"/>
  </r>
  <r>
    <x v="4"/>
    <n v="46"/>
    <n v="43"/>
    <s v="5.03%"/>
    <n v="3"/>
    <s v="0.35%"/>
  </r>
  <r>
    <x v="5"/>
    <n v="46"/>
    <n v="36"/>
    <s v="4.21%"/>
    <n v="10"/>
    <s v="1.17%"/>
  </r>
  <r>
    <x v="6"/>
    <n v="38"/>
    <n v="31"/>
    <s v="3.63%"/>
    <n v="7"/>
    <s v="0.82%"/>
  </r>
  <r>
    <x v="7"/>
    <n v="37"/>
    <n v="32"/>
    <s v="3.74%"/>
    <n v="5"/>
    <s v="0.58%"/>
  </r>
  <r>
    <x v="8"/>
    <n v="33"/>
    <n v="27"/>
    <s v="3.16%"/>
    <n v="6"/>
    <s v="0.70%"/>
  </r>
  <r>
    <x v="9"/>
    <n v="26"/>
    <n v="23"/>
    <s v="2.69%"/>
    <n v="3"/>
    <s v="0.35%"/>
  </r>
  <r>
    <x v="10"/>
    <n v="26"/>
    <n v="21"/>
    <s v="2.46%"/>
    <n v="5"/>
    <s v="0.58%"/>
  </r>
  <r>
    <x v="11"/>
    <n v="23"/>
    <n v="19"/>
    <s v="2.22%"/>
    <n v="4"/>
    <s v="0.47%"/>
  </r>
  <r>
    <x v="12"/>
    <n v="22"/>
    <n v="20"/>
    <s v="2.34%"/>
    <n v="2"/>
    <s v="0.23%"/>
  </r>
  <r>
    <x v="13"/>
    <n v="22"/>
    <n v="18"/>
    <s v="2.11%"/>
    <n v="4"/>
    <s v="0.47%"/>
  </r>
  <r>
    <x v="14"/>
    <n v="20"/>
    <n v="17"/>
    <s v="1.99%"/>
    <n v="3"/>
    <s v="0.35%"/>
  </r>
  <r>
    <x v="15"/>
    <n v="20"/>
    <n v="17"/>
    <s v="1.99%"/>
    <n v="3"/>
    <s v="0.35%"/>
  </r>
  <r>
    <x v="16"/>
    <n v="18"/>
    <n v="16"/>
    <s v="1.87%"/>
    <n v="2"/>
    <s v="0.23%"/>
  </r>
  <r>
    <x v="17"/>
    <n v="17"/>
    <n v="13"/>
    <s v="1.52%"/>
    <n v="4"/>
    <s v="0.47%"/>
  </r>
  <r>
    <x v="18"/>
    <n v="16"/>
    <n v="0"/>
    <s v="—"/>
    <n v="0"/>
    <n v="0"/>
  </r>
  <r>
    <x v="19"/>
    <n v="15"/>
    <n v="13"/>
    <s v="1.52%"/>
    <n v="2"/>
    <s v="0.23%"/>
  </r>
  <r>
    <x v="20"/>
    <n v="14"/>
    <n v="12"/>
    <s v="1.40%"/>
    <n v="2"/>
    <s v="0.23%"/>
  </r>
  <r>
    <x v="21"/>
    <n v="14"/>
    <n v="13"/>
    <s v="1.52%"/>
    <n v="1"/>
    <s v="0.12%"/>
  </r>
  <r>
    <x v="22"/>
    <n v="14"/>
    <n v="11"/>
    <s v="1.29%"/>
    <n v="3"/>
    <s v="0.35%"/>
  </r>
  <r>
    <x v="23"/>
    <n v="14"/>
    <n v="11"/>
    <s v="1.29%"/>
    <n v="3"/>
    <s v="0.35%"/>
  </r>
  <r>
    <x v="24"/>
    <n v="14"/>
    <n v="10"/>
    <s v="1.17%"/>
    <n v="4"/>
    <s v="0.47%"/>
  </r>
  <r>
    <x v="25"/>
    <n v="12"/>
    <n v="9"/>
    <s v="1.05%"/>
    <n v="3"/>
    <s v="0.35%"/>
  </r>
  <r>
    <x v="26"/>
    <n v="12"/>
    <n v="10"/>
    <s v="1.17%"/>
    <n v="2"/>
    <s v="0.23%"/>
  </r>
  <r>
    <x v="27"/>
    <n v="12"/>
    <n v="10"/>
    <s v="1.17%"/>
    <n v="2"/>
    <s v="0.23%"/>
  </r>
  <r>
    <x v="28"/>
    <n v="9"/>
    <n v="7"/>
    <s v="0.82%"/>
    <n v="2"/>
    <s v="0.23%"/>
  </r>
  <r>
    <x v="29"/>
    <n v="9"/>
    <n v="7"/>
    <s v="0.82%"/>
    <n v="2"/>
    <s v="0.23%"/>
  </r>
  <r>
    <x v="30"/>
    <n v="8"/>
    <n v="8"/>
    <s v="0.94%"/>
    <n v="0"/>
    <n v="0"/>
  </r>
  <r>
    <x v="31"/>
    <n v="7"/>
    <n v="6"/>
    <s v="0.70%"/>
    <n v="1"/>
    <s v="0.12%"/>
  </r>
  <r>
    <x v="32"/>
    <n v="7"/>
    <n v="0"/>
    <s v="—"/>
    <n v="0"/>
    <n v="0"/>
  </r>
  <r>
    <x v="33"/>
    <n v="7"/>
    <n v="0"/>
    <s v="—"/>
    <n v="0"/>
    <n v="0"/>
  </r>
  <r>
    <x v="34"/>
    <n v="7"/>
    <n v="5"/>
    <s v="0.58%"/>
    <n v="2"/>
    <s v="0.23%"/>
  </r>
  <r>
    <x v="35"/>
    <n v="6"/>
    <n v="4"/>
    <s v="0.47%"/>
    <n v="2"/>
    <s v="0.23%"/>
  </r>
  <r>
    <x v="36"/>
    <n v="6"/>
    <n v="6"/>
    <s v="0.70%"/>
    <n v="0"/>
    <n v="0"/>
  </r>
  <r>
    <x v="37"/>
    <n v="5"/>
    <n v="4"/>
    <s v="0.47%"/>
    <n v="1"/>
    <s v="0.12%"/>
  </r>
  <r>
    <x v="38"/>
    <n v="5"/>
    <n v="4"/>
    <s v="0.47%"/>
    <n v="1"/>
    <s v="0.12%"/>
  </r>
  <r>
    <x v="39"/>
    <n v="4"/>
    <n v="0"/>
    <s v="—"/>
    <n v="0"/>
    <n v="0"/>
  </r>
  <r>
    <x v="40"/>
    <n v="4"/>
    <n v="3"/>
    <s v="0.35%"/>
    <n v="1"/>
    <s v="0.12%"/>
  </r>
  <r>
    <x v="41"/>
    <n v="4"/>
    <n v="0"/>
    <s v="—"/>
    <n v="0"/>
    <n v="0"/>
  </r>
  <r>
    <x v="42"/>
    <n v="3"/>
    <n v="2"/>
    <s v="0.23%"/>
    <n v="1"/>
    <s v="0.12%"/>
  </r>
  <r>
    <x v="43"/>
    <n v="2"/>
    <n v="0"/>
    <s v="—"/>
    <n v="0"/>
    <n v="0"/>
  </r>
  <r>
    <x v="44"/>
    <n v="1"/>
    <n v="0"/>
    <s v="—"/>
    <n v="0"/>
    <n v="0"/>
  </r>
  <r>
    <x v="45"/>
    <n v="1"/>
    <n v="0"/>
    <s v="—"/>
    <n v="0"/>
    <n v="0"/>
  </r>
  <r>
    <x v="46"/>
    <n v="1"/>
    <n v="0"/>
    <s v="—"/>
    <n v="0"/>
    <n v="0"/>
  </r>
  <r>
    <x v="47"/>
    <n v="1"/>
    <n v="0"/>
    <s v="—"/>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1F626B-FB5B-486D-98DA-CA1ED3B1DF4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42:J243" firstHeaderRow="1" firstDataRow="1" firstDataCol="0" rowPageCount="1" colPageCount="1"/>
  <pivotFields count="6">
    <pivotField axis="axisPage" showAll="0">
      <items count="49">
        <item x="21"/>
        <item x="25"/>
        <item x="37"/>
        <item x="0"/>
        <item x="16"/>
        <item x="22"/>
        <item x="40"/>
        <item x="44"/>
        <item x="1"/>
        <item x="9"/>
        <item x="31"/>
        <item x="7"/>
        <item x="12"/>
        <item x="28"/>
        <item x="26"/>
        <item x="20"/>
        <item x="30"/>
        <item x="41"/>
        <item x="15"/>
        <item x="13"/>
        <item x="10"/>
        <item x="24"/>
        <item x="33"/>
        <item x="19"/>
        <item x="38"/>
        <item x="35"/>
        <item x="32"/>
        <item x="11"/>
        <item x="39"/>
        <item x="4"/>
        <item x="6"/>
        <item x="45"/>
        <item x="5"/>
        <item x="29"/>
        <item x="27"/>
        <item x="3"/>
        <item x="42"/>
        <item x="23"/>
        <item x="47"/>
        <item x="14"/>
        <item x="2"/>
        <item x="34"/>
        <item x="43"/>
        <item x="8"/>
        <item x="18"/>
        <item x="36"/>
        <item x="17"/>
        <item x="46"/>
        <item t="default"/>
      </items>
    </pivotField>
    <pivotField showAll="0"/>
    <pivotField showAll="0"/>
    <pivotField dataField="1" showAll="0"/>
    <pivotField showAll="0"/>
    <pivotField showAll="0"/>
  </pivotFields>
  <rowItems count="1">
    <i/>
  </rowItems>
  <colItems count="1">
    <i/>
  </colItems>
  <pageFields count="1">
    <pageField fld="0" hier="-1"/>
  </pageFields>
  <dataFields count="1">
    <dataField name="Count of Dick's %" fld="3" subtotal="count" baseField="0" baseItem="0"/>
  </dataFields>
  <formats count="6">
    <format dxfId="5">
      <pivotArea type="all" dataOnly="0" outline="0" fieldPosition="0"/>
    </format>
    <format dxfId="4">
      <pivotArea outline="0" collapsedLevelsAreSubtotals="1" fieldPosition="0"/>
    </format>
    <format dxfId="3">
      <pivotArea dataOnly="0" labelOnly="1" outline="0" axis="axisValues" fieldPosition="0"/>
    </format>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A6B03E0D-C6B6-4293-A5E7-460A20B2A13D}" sourceName="State">
  <extLst>
    <x:ext xmlns:x15="http://schemas.microsoft.com/office/spreadsheetml/2010/11/main" uri="{2F2917AC-EB37-4324-AD4E-5DD8C200BD13}">
      <x15:tableSlicerCache tableId="1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CC727190-BF9E-4A72-AA0D-8DCCB43B25B9}" cache="Slicer_State" caption="State" startItem="12"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E9D57F6-A008-4917-997C-FF620FBDFE35}" name="Table1012" displayName="Table1012" ref="B75:G123" totalsRowShown="0">
  <autoFilter ref="B75:G123" xr:uid="{3E9D57F6-A008-4917-997C-FF620FBDFE35}">
    <filterColumn colId="0">
      <filters>
        <filter val="Massachusetts"/>
      </filters>
    </filterColumn>
  </autoFilter>
  <sortState xmlns:xlrd2="http://schemas.microsoft.com/office/spreadsheetml/2017/richdata2" ref="B76:G123">
    <sortCondition descending="1" ref="C75:C123"/>
  </sortState>
  <tableColumns count="6">
    <tableColumn id="1" xr3:uid="{3B70E965-BF7E-4776-B222-BD3EF889CB6E}" name="State"/>
    <tableColumn id="2" xr3:uid="{46D45DA5-FE20-409C-88A0-5D86C38F8F47}" name="Total Stores"/>
    <tableColumn id="3" xr3:uid="{43D11413-7D47-41CC-87F3-B9B0A9B9BFBE}" name="Dick's Stores"/>
    <tableColumn id="4" xr3:uid="{406F0651-DAC7-42B5-B2C0-BB1A96F959FA}" name="Dick's %"/>
    <tableColumn id="5" xr3:uid="{A0047814-4FCC-4A87-A03A-69A5FC93810E}" name="Specialty Stores"/>
    <tableColumn id="6" xr3:uid="{D8BCFAE4-8D18-4A79-BA49-6232704974C7}" name="Specialty %"/>
  </tableColumns>
  <tableStyleInfo name="TableStyleMedium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14" dT="2025-02-20T19:07:41.38" personId="{C64E12D8-8D5D-4C00-9A3E-208DB6F0BDC5}" id="{2D21B422-214D-4BD4-8EBB-116C79AFB833}">
    <text>Industry average is 4,69%.
Since the specialty retail industry is an agreggation of many different types of businesses, this is not a good benchmark in my opinion.</text>
  </threadedComment>
  <threadedComment ref="J14" dT="2025-02-20T17:35:47.21" personId="{C64E12D8-8D5D-4C00-9A3E-208DB6F0BDC5}" id="{0F7700B8-A92C-43DA-BC7C-8450F2E84BCF}">
    <text>Industry average is 4,3%.
Since the specialty retail industry is an agreggation of many different types of businesses, this is not a good benchmark in my opinion.</text>
  </threadedComment>
  <threadedComment ref="C15" dT="2025-03-22T18:47:49.38" personId="{C64E12D8-8D5D-4C00-9A3E-208DB6F0BDC5}" id="{84352CAE-28FA-49D1-825E-482847CF9FA6}">
    <text xml:space="preserve">The company stated that the existence of Convertible Senior Notes may encourage short selling by market participants because the conversion of the Convertible Senior Notes could depress the price of the company’s common stock. </text>
  </threadedComment>
  <threadedComment ref="E15" dT="2025-02-20T17:48:40.32" personId="{C64E12D8-8D5D-4C00-9A3E-208DB6F0BDC5}" id="{EC058790-77DD-456D-AEFB-AB2468C78050}">
    <text>Industry average is 2,5%.
Since the specialty retail industry is an agreggation of many different types of businesses, this is not a good benchmark in my opinion.</text>
  </threadedComment>
  <threadedComment ref="J15" dT="2025-02-20T17:38:16.15" personId="{C64E12D8-8D5D-4C00-9A3E-208DB6F0BDC5}" id="{A5ED3A09-5CB3-485C-A331-4B7D8BE03701}">
    <text>Industry average is 17,94%.
Since the specialty retail industry is an agreggation of many different types of businesses, this is not a good benchmark in my opinion.</text>
  </threadedComment>
  <threadedComment ref="E16" dT="2025-02-20T19:27:19.73" personId="{C64E12D8-8D5D-4C00-9A3E-208DB6F0BDC5}" id="{3EA7F963-A939-4D0A-AA26-CA0E900D8242}">
    <text>Industry average is 6,82%.
Since the specialty retail industry is an agreggation of many different types of businesses, this is not a good benchmark in my opinion.</text>
  </threadedComment>
  <threadedComment ref="B21" dT="2025-02-23T16:39:22.93" personId="{C64E12D8-8D5D-4C00-9A3E-208DB6F0BDC5}" id="{2E2CC02E-A12E-48C9-9881-2D193DB0AFE4}">
    <text>Source for USA population's increased purchasing power: https://home.treasury.gov/news/featured-stories/the-purchasing-power-of-american-households
Source for growing interest in sporting goods: https://www.statista.com/topics/961/sporting-goods/#topicOverview</text>
    <extLst>
      <x:ext xmlns:xltc2="http://schemas.microsoft.com/office/spreadsheetml/2020/threadedcomments2" uri="{F7C98A9C-CBB3-438F-8F68-D28B6AF4A901}">
        <xltc2:checksum>2683328069</xltc2:checksum>
        <xltc2:hyperlink startIndex="56" length="91" url="https://home.treasury.gov/news/featured-stories/the-purchasing-power-of-american-households"/>
        <xltc2:hyperlink startIndex="196" length="65" url="https://www.statista.com/topics/961/sporting-goods/#topicOverview"/>
      </x:ext>
    </extLst>
  </threadedComment>
  <threadedComment ref="E28" dT="2025-02-23T20:12:58.95" personId="{C64E12D8-8D5D-4C00-9A3E-208DB6F0BDC5}" id="{01C42181-0911-4B10-9B2A-F0D52B0B7CB5}">
    <text>Lower share repurchases</text>
  </threadedComment>
  <threadedComment ref="E29" dT="2025-02-23T20:14:47.09" personId="{C64E12D8-8D5D-4C00-9A3E-208DB6F0BDC5}" id="{0E1C60ED-E9D7-4AA7-9480-D41266B13B8B}">
    <text>Higher amounts of share buyback compared to 2014</text>
  </threadedComment>
  <threadedComment ref="D30" dT="2025-02-23T19:51:40.69" personId="{C64E12D8-8D5D-4C00-9A3E-208DB6F0BDC5}" id="{0905C6C6-CD96-4462-8FA9-5AC629D4F0ED}">
    <text>Lower operating income due to inventory write-down.</text>
  </threadedComment>
  <threadedComment ref="E33" dT="2025-02-23T20:16:17.58" personId="{C64E12D8-8D5D-4C00-9A3E-208DB6F0BDC5}" id="{299D4AD3-1BF8-47E1-B65A-69D81D8ED374}">
    <text>High amounts of share repurchases</text>
  </threadedComment>
  <threadedComment ref="G33" dT="2025-02-23T20:31:46.70" personId="{C64E12D8-8D5D-4C00-9A3E-208DB6F0BDC5}" id="{08011969-9D32-4FF4-B8D2-9885B5A317A2}">
    <text xml:space="preserve">Higher values of debt.
"During fiscal 2017, we financed $62.5 million for the purchase of a corporate aircraft. During fiscal 2019, we sold the aircraft and extinguished the related debt, which was $56.1 million as of the end of fiscal 2018." - Annual report 2019, page 15 </text>
  </threadedComment>
  <threadedComment ref="D34" dT="2025-02-23T19:54:36.85" personId="{C64E12D8-8D5D-4C00-9A3E-208DB6F0BDC5}" id="{BC570A57-A854-4E0D-8BD2-09E26F818634}">
    <text xml:space="preserve">This increase was due primarily to merchandise margin expansion and an increase in eCommerce shipping and fulfillment costs. </text>
  </threadedComment>
  <threadedComment ref="D35" dT="2025-02-23T20:07:43.55" personId="{C64E12D8-8D5D-4C00-9A3E-208DB6F0BDC5}" id="{E9E5579E-22A8-4064-B2B4-79FF769877C3}">
    <text>Primarily due to higher merchandise margin, due to an implementation of a different promotional strategy.</text>
  </threadedComment>
  <threadedComment ref="E35" dT="2025-02-23T20:17:24.54" personId="{C64E12D8-8D5D-4C00-9A3E-208DB6F0BDC5}" id="{4E313B51-C58F-4199-84C7-79C93DA3E047}">
    <text>Higher dividends and higher amounts of share repurchases</text>
  </threadedComment>
  <threadedComment ref="E36" dT="2025-02-23T20:19:13.06" personId="{C64E12D8-8D5D-4C00-9A3E-208DB6F0BDC5}" id="{5A498304-FC5E-451C-889F-A7CAD1384612}">
    <text>Lower amounts of dividends paid</text>
  </threadedComment>
  <threadedComment ref="F36" dT="2025-02-23T20:22:26.91" personId="{C64E12D8-8D5D-4C00-9A3E-208DB6F0BDC5}" id="{32AF07B8-E1A3-4874-A554-8A2766E9EBED}">
    <text>The decrease was primarily due to a decrease in earnings and an increase in cash payments for inventory and accounts payable to replenish inventory levels after a sales increase in fiscal 2021 and supply chain disruptions following the emergence of COVID-19.</text>
  </threadedComment>
  <threadedComment ref="E37" dT="2025-02-23T20:19:36.00" personId="{C64E12D8-8D5D-4C00-9A3E-208DB6F0BDC5}" id="{3A50845A-A050-4EE1-AD8C-5EAA5B3FB846}">
    <text>Higher dividends and higher amounts of share repurchases</text>
  </threadedComment>
  <threadedComment ref="B55" dT="2025-02-23T16:23:06.83" personId="{C64E12D8-8D5D-4C00-9A3E-208DB6F0BDC5}" id="{2116221E-A842-47FD-9E3A-4E5CE681E60C}">
    <text>Source: https://www.tipranks.com/news/class-action-suit-against-dicks-sporting-goods-inc-dks</text>
    <extLst>
      <x:ext xmlns:xltc2="http://schemas.microsoft.com/office/spreadsheetml/2020/threadedcomments2" uri="{F7C98A9C-CBB3-438F-8F68-D28B6AF4A901}">
        <xltc2:checksum>97880949</xltc2:checksum>
        <xltc2:hyperlink startIndex="8" length="84" url="https://www.tipranks.com/news/class-action-suit-against-dicks-sporting-goods-inc-dks"/>
      </x:ext>
    </extLst>
  </threadedComment>
  <threadedComment ref="B57" dT="2025-02-23T16:20:09.34" personId="{C64E12D8-8D5D-4C00-9A3E-208DB6F0BDC5}" id="{E3E1D7E6-2B65-4479-B18C-025D2591937F}">
    <text>Source: https://violationtracker.goodjobsfirst.org/parent/dicks-sporting-goods</text>
    <extLst>
      <x:ext xmlns:xltc2="http://schemas.microsoft.com/office/spreadsheetml/2020/threadedcomments2" uri="{F7C98A9C-CBB3-438F-8F68-D28B6AF4A901}">
        <xltc2:checksum>3256054887</xltc2:checksum>
        <xltc2:hyperlink startIndex="8" length="70" url="https://violationtracker.goodjobsfirst.org/parent/dicks-sporting-goods"/>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D40" dT="2025-03-02T21:46:14.90" personId="{75A0526C-6857-4F43-BA4B-810AFCBF3F76}" id="{E2027ED7-1532-4F7F-9C04-35C53C8FFB8A}">
    <text>A specialty concept store is a retail space that emphasizes a specific theme or experience, often incorporating unique product selections, personalized services, and interactive elements. These stores aim to create a memorable shopping experience that resonates with customers on a deeper level.</text>
  </threadedComment>
</ThreadedComments>
</file>

<file path=xl/threadedComments/threadedComment3.xml><?xml version="1.0" encoding="utf-8"?>
<ThreadedComments xmlns="http://schemas.microsoft.com/office/spreadsheetml/2018/threadedcomments" xmlns:x="http://schemas.openxmlformats.org/spreadsheetml/2006/main">
  <threadedComment ref="C2" dT="2025-03-10T10:20:50.75" personId="{C64E12D8-8D5D-4C00-9A3E-208DB6F0BDC5}" id="{4B1DBFCE-EDBF-4E8C-984C-B1607F6DD623}">
    <text>Hibbett Sports is a leading athletic-inspired fashion retailer that specializes in premium footwear, apparel, and sporting goods. With over 1,000 stores across the United States, primarily in small to mid-sized markets, Hibbett offers top brands like Nike, Adidas, Jordan, and Under Armour. The company focuses on providing a curated selection of high-quality products for sports enthusiasts, sneakerheads, and active individuals.
Hibbett Sports is a strong peer to DICK’s Sporting Goods due to its similar product mix, emphasis on athletic performance and lifestyle brands, and commitment to exceptional customer service. While DICK’s operates larger-format stores with a broad sporting goods selection, Hibbett’s smaller, community-focused locations offer a more personalized shopping experience, making both companies key players in the athletic retail space.</text>
  </threadedComment>
  <threadedComment ref="D2" dT="2025-03-10T10:28:23.17" personId="{C64E12D8-8D5D-4C00-9A3E-208DB6F0BDC5}" id="{AA3614D3-3E77-480D-BE03-E1AFA60EF58A}">
    <text>Academy Sports and Outdoors is a leading full-line sporting goods and outdoor retailer, offering a wide selection of products, including athletic and casual footwear, sports apparel, outdoor and hunting gear, fishing equipment, and fitness essentials. The company operates over 250 stores across the Southern and Midwest United States, serving a broad customer base with quality products from top brands like Nike, Under Armour, Columbia, and Yeti.
Academy Sports and Outdoors is a strong peer to DICK’s Sporting Goods due to its similar focus on sports, outdoor recreation, and active lifestyles. Both retailers cater to athletes, outdoor enthusiasts, and families, providing a diverse range of products. While DICK’s has a national presence with a wider footprint, Academy’s stronghold in the South and competitive pricing make it a formidable competitor in the sporting goods retail industry.</text>
  </threadedComment>
  <threadedComment ref="E2" dT="2025-03-10T10:29:52.91" personId="{C64E12D8-8D5D-4C00-9A3E-208DB6F0BDC5}" id="{7E306D2A-1DEB-485F-B7E4-BED96CD58106}">
    <text xml:space="preserve">Foot Locker is a global retailer specializing in athletic footwear, apparel, and accessories, with a strong emphasis on sneaker culture and sports-inspired fashion. The company operates thousands of stores across North America, Europe, Asia, and Australia, offering top brands such as Nike, Adidas, Jordan, Puma, and New Balance. Foot Locker caters to sneaker enthusiasts, athletes, and casual wear customers through its various store formats, including Champs Sports, Eastbay, and Kids Foot Locker.
Foot Locker is a strong peer to DICK’s Sporting Goods due to its shared focus on athletic performance and lifestyle products. While DICK’s offers a broader selection of sporting equipment and outdoor gear, Foot Locker excels in curated sneaker collections and exclusive releases. Both retailers are key players in the athletic retail market, serving overlapping customer segments with premium footwear and apparel.
</text>
  </threadedComment>
</ThreadedComments>
</file>

<file path=xl/threadedComments/threadedComment4.xml><?xml version="1.0" encoding="utf-8"?>
<ThreadedComments xmlns="http://schemas.microsoft.com/office/spreadsheetml/2018/threadedcomments" xmlns:x="http://schemas.openxmlformats.org/spreadsheetml/2006/main">
  <threadedComment ref="F14" dT="2025-02-11T11:31:22.84" personId="{C64E12D8-8D5D-4C00-9A3E-208DB6F0BDC5}" id="{051A41DA-4220-462B-8DCC-691CAC823B4D}">
    <text xml:space="preserve">Merger and integration costs of $8.5 million to convert former The Sports Authority (“TSA”) and Golfsmith stores to DICK’S Sporting Goods and Golf Galaxy stores </text>
  </threadedComment>
  <threadedComment ref="A15" dT="2025-02-09T16:34:36.43" personId="{C64E12D8-8D5D-4C00-9A3E-208DB6F0BDC5}" id="{7244E7E0-48A3-4572-94BE-C4875844080C}">
    <text>Income Tax and Employee Benefits and Stock Based Compensation?</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microsoft.com/office/2017/10/relationships/threadedComment" Target="../threadedComments/threadedComment2.xml"/><Relationship Id="rId3" Type="http://schemas.openxmlformats.org/officeDocument/2006/relationships/drawing" Target="../drawings/drawing2.xml"/><Relationship Id="rId7" Type="http://schemas.openxmlformats.org/officeDocument/2006/relationships/comments" Target="../comments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table" Target="../tables/table1.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hyperlink" Target="https://www.macrumors.com/guide/covid-19-coronavirus/" TargetMode="External"/><Relationship Id="rId2" Type="http://schemas.openxmlformats.org/officeDocument/2006/relationships/hyperlink" Target="https://glg.it/articles/how-might-the-wuhan-coronavirus-impact-apples-supply-chain/" TargetMode="External"/><Relationship Id="rId1" Type="http://schemas.openxmlformats.org/officeDocument/2006/relationships/hyperlink" Target="https://www.apple.com/newsroom/2020/03/apples-covid-19-response/" TargetMode="External"/><Relationship Id="rId5" Type="http://schemas.openxmlformats.org/officeDocument/2006/relationships/drawing" Target="../drawings/drawing3.xml"/><Relationship Id="rId4" Type="http://schemas.openxmlformats.org/officeDocument/2006/relationships/hyperlink" Target="https://www.cnbc.com/2020/02/18/the-significance-of-apples-coronavirus-warning.html" TargetMode="Externa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hyperlink" Target="mailto:VPN*@i%25"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002060"/>
    <pageSetUpPr fitToPage="1"/>
  </sheetPr>
  <dimension ref="A1:BT60"/>
  <sheetViews>
    <sheetView showGridLines="0" zoomScale="69" zoomScaleNormal="80" workbookViewId="0">
      <selection activeCell="I21" sqref="I21:K23"/>
    </sheetView>
  </sheetViews>
  <sheetFormatPr defaultColWidth="11.42578125" defaultRowHeight="12.75" x14ac:dyDescent="0.2"/>
  <cols>
    <col min="1" max="1" width="0.7109375" customWidth="1"/>
    <col min="2" max="2" width="19.140625" customWidth="1"/>
    <col min="3" max="3" width="29.7109375" customWidth="1"/>
    <col min="4" max="4" width="25.28515625" customWidth="1"/>
    <col min="5" max="5" width="15.7109375" customWidth="1"/>
    <col min="6" max="6" width="13.7109375" customWidth="1"/>
    <col min="7" max="7" width="14.42578125" customWidth="1"/>
    <col min="8" max="8" width="20.42578125" customWidth="1"/>
    <col min="9" max="9" width="17.7109375" customWidth="1"/>
    <col min="10" max="10" width="24.42578125" customWidth="1"/>
    <col min="11" max="11" width="20.140625" customWidth="1"/>
    <col min="12" max="12" width="16.28515625" bestFit="1" customWidth="1"/>
    <col min="13" max="13" width="1" customWidth="1"/>
    <col min="14" max="14" width="7.7109375" style="19" customWidth="1"/>
    <col min="15" max="15" width="15.42578125" style="161" bestFit="1" customWidth="1"/>
    <col min="16" max="16" width="11.42578125" style="19"/>
    <col min="21" max="30" width="11.42578125" style="11" customWidth="1"/>
  </cols>
  <sheetData>
    <row r="1" spans="2:17" ht="3.75" customHeight="1" thickBot="1" x14ac:dyDescent="0.25"/>
    <row r="2" spans="2:17" ht="31.5" customHeight="1" x14ac:dyDescent="0.2">
      <c r="B2" s="407">
        <v>45728</v>
      </c>
      <c r="C2" s="111" t="s">
        <v>261</v>
      </c>
      <c r="D2" s="108" t="s">
        <v>455</v>
      </c>
      <c r="E2" s="618" t="s">
        <v>439</v>
      </c>
      <c r="F2" s="619"/>
      <c r="G2" s="619"/>
      <c r="H2" s="619"/>
      <c r="I2" s="619"/>
      <c r="J2" s="620"/>
      <c r="K2" s="107" t="s">
        <v>454</v>
      </c>
      <c r="L2" s="134" t="s">
        <v>175</v>
      </c>
    </row>
    <row r="3" spans="2:17" ht="33.75" customHeight="1" x14ac:dyDescent="0.2">
      <c r="B3" s="626"/>
      <c r="C3" s="627"/>
      <c r="D3" s="628" t="s">
        <v>456</v>
      </c>
      <c r="E3" s="629"/>
      <c r="F3" s="629"/>
      <c r="G3" s="629"/>
      <c r="H3" s="629"/>
      <c r="I3" s="629"/>
      <c r="J3" s="629"/>
      <c r="K3" s="629"/>
      <c r="L3" s="630"/>
      <c r="O3" s="19"/>
    </row>
    <row r="4" spans="2:17" ht="70.900000000000006" customHeight="1" x14ac:dyDescent="0.2">
      <c r="B4" s="626"/>
      <c r="C4" s="627"/>
      <c r="D4" s="621" t="s">
        <v>645</v>
      </c>
      <c r="E4" s="621"/>
      <c r="F4" s="621"/>
      <c r="G4" s="621"/>
      <c r="H4" s="621"/>
      <c r="I4" s="621"/>
      <c r="J4" s="621"/>
      <c r="K4" s="621"/>
      <c r="L4" s="622"/>
    </row>
    <row r="5" spans="2:17" ht="15.75" customHeight="1" x14ac:dyDescent="0.2">
      <c r="B5" s="623" t="s">
        <v>182</v>
      </c>
      <c r="C5" s="624"/>
      <c r="D5" s="621"/>
      <c r="E5" s="621"/>
      <c r="F5" s="621"/>
      <c r="G5" s="621"/>
      <c r="H5" s="621"/>
      <c r="I5" s="621"/>
      <c r="J5" s="621"/>
      <c r="K5" s="621"/>
      <c r="L5" s="622"/>
      <c r="N5" s="148"/>
    </row>
    <row r="6" spans="2:17" x14ac:dyDescent="0.2">
      <c r="B6" s="632" t="s">
        <v>105</v>
      </c>
      <c r="C6" s="608"/>
      <c r="D6" s="608" t="s">
        <v>171</v>
      </c>
      <c r="E6" s="608"/>
      <c r="F6" s="608" t="str">
        <f>Segments!B2</f>
        <v>Regions (2023)</v>
      </c>
      <c r="G6" s="608"/>
      <c r="H6" s="608"/>
      <c r="I6" s="608" t="s">
        <v>358</v>
      </c>
      <c r="J6" s="608"/>
      <c r="K6" s="608" t="s">
        <v>114</v>
      </c>
      <c r="L6" s="631"/>
    </row>
    <row r="7" spans="2:17" x14ac:dyDescent="0.2">
      <c r="B7" s="119" t="s">
        <v>35</v>
      </c>
      <c r="C7" s="117">
        <v>198.97</v>
      </c>
      <c r="D7" s="120" t="s">
        <v>151</v>
      </c>
      <c r="E7" s="109">
        <f>Cifras_en_Millones!C45</f>
        <v>9311.7520000000004</v>
      </c>
      <c r="F7" s="609"/>
      <c r="G7" s="610"/>
      <c r="H7" s="105" t="s">
        <v>184</v>
      </c>
      <c r="I7" s="115" t="s">
        <v>116</v>
      </c>
      <c r="J7" s="142">
        <v>44954</v>
      </c>
      <c r="K7" s="115" t="s">
        <v>26</v>
      </c>
      <c r="L7" s="145">
        <v>0.96299999999999997</v>
      </c>
      <c r="Q7" s="112"/>
    </row>
    <row r="8" spans="2:17" ht="12.75" customHeight="1" x14ac:dyDescent="0.2">
      <c r="B8" s="119" t="s">
        <v>28</v>
      </c>
      <c r="C8" s="395">
        <v>81470000</v>
      </c>
      <c r="D8" s="115" t="s">
        <v>152</v>
      </c>
      <c r="E8" s="109">
        <f>Cifras_en_Millones!C57</f>
        <v>6694.0770000000002</v>
      </c>
      <c r="F8" s="159" t="str">
        <f>Segments!B4</f>
        <v>United States</v>
      </c>
      <c r="G8" s="160"/>
      <c r="H8" s="126" t="str">
        <f>+Segments!I4</f>
        <v>100%; 1.0%; 5%</v>
      </c>
      <c r="I8" s="115"/>
      <c r="J8" s="112"/>
      <c r="K8" s="115" t="s">
        <v>2</v>
      </c>
      <c r="L8" s="146">
        <v>3.7900000000000003E-2</v>
      </c>
      <c r="M8" s="11"/>
      <c r="O8" s="132"/>
      <c r="Q8" s="112"/>
    </row>
    <row r="9" spans="2:17" ht="12.75" customHeight="1" x14ac:dyDescent="0.2">
      <c r="B9" s="119" t="s">
        <v>29</v>
      </c>
      <c r="C9" s="109">
        <f>C7*C8/1000000</f>
        <v>16210.0859</v>
      </c>
      <c r="D9" s="115" t="s">
        <v>37</v>
      </c>
      <c r="E9" s="163">
        <f>1000000*C11/C8</f>
        <v>22.108997176874922</v>
      </c>
      <c r="F9" s="578"/>
      <c r="G9" s="579"/>
      <c r="H9" s="580"/>
      <c r="I9" s="115" t="s">
        <v>3</v>
      </c>
      <c r="J9" s="109">
        <v>1478.9680000000001</v>
      </c>
      <c r="K9" s="77" t="s">
        <v>266</v>
      </c>
      <c r="L9" s="467">
        <v>1.6</v>
      </c>
      <c r="O9" s="132"/>
      <c r="Q9" s="112"/>
    </row>
    <row r="10" spans="2:17" ht="12.75" customHeight="1" x14ac:dyDescent="0.2">
      <c r="B10" s="121" t="s">
        <v>36</v>
      </c>
      <c r="C10" s="109">
        <v>4263.83</v>
      </c>
      <c r="D10" s="115" t="s">
        <v>63</v>
      </c>
      <c r="E10" s="143">
        <f>Cifras_en_Millones!C19/Cifras_en_Millones!C14</f>
        <v>12.854742193173566</v>
      </c>
      <c r="F10" s="578"/>
      <c r="G10" s="579"/>
      <c r="H10" s="580"/>
      <c r="I10" s="122" t="s">
        <v>4</v>
      </c>
      <c r="J10" s="109">
        <f>Cifras_en_Millones!D17</f>
        <v>375</v>
      </c>
      <c r="K10" s="115" t="s">
        <v>16</v>
      </c>
      <c r="L10" s="144" t="s">
        <v>457</v>
      </c>
      <c r="O10" s="132"/>
      <c r="Q10" s="112"/>
    </row>
    <row r="11" spans="2:17" ht="12.75" customHeight="1" x14ac:dyDescent="0.2">
      <c r="B11" s="121" t="s">
        <v>48</v>
      </c>
      <c r="C11" s="109">
        <f>Cifras_Originales!C22</f>
        <v>1801.22</v>
      </c>
      <c r="D11" s="115" t="s">
        <v>68</v>
      </c>
      <c r="E11" s="164">
        <f>OP!C10/Cifras_en_Millones!C19</f>
        <v>2.4088101336762144</v>
      </c>
      <c r="F11" s="578"/>
      <c r="G11" s="579"/>
      <c r="H11" s="580"/>
      <c r="I11" s="122" t="s">
        <v>5</v>
      </c>
      <c r="J11" s="109">
        <f>J9+J10</f>
        <v>1853.9680000000001</v>
      </c>
      <c r="K11" s="115" t="s">
        <v>7</v>
      </c>
      <c r="L11" s="175">
        <f>((C7*C8)/1000000)/(E7-E8)</f>
        <v>6.1925509851299338</v>
      </c>
      <c r="Q11" s="112"/>
    </row>
    <row r="12" spans="2:17" ht="12.75" customHeight="1" x14ac:dyDescent="0.2">
      <c r="B12" s="121" t="s">
        <v>47</v>
      </c>
      <c r="C12" s="109">
        <f>C9+C10-C11</f>
        <v>18672.695899999999</v>
      </c>
      <c r="D12" s="115" t="s">
        <v>50</v>
      </c>
      <c r="E12" s="116">
        <f>Cifras_en_Millones!C44/Cifras_en_Millones!C45</f>
        <v>0.31236839211353568</v>
      </c>
      <c r="F12" s="578"/>
      <c r="G12" s="579"/>
      <c r="H12" s="580"/>
      <c r="I12" s="115" t="s">
        <v>41</v>
      </c>
      <c r="J12" s="123">
        <f>Cifras_en_Millones!D23</f>
        <v>1043</v>
      </c>
      <c r="K12" s="115" t="s">
        <v>46</v>
      </c>
      <c r="L12" s="182">
        <f>J18/E7</f>
        <v>0.126033972492128</v>
      </c>
      <c r="Q12" s="112"/>
    </row>
    <row r="13" spans="2:17" ht="12.75" customHeight="1" x14ac:dyDescent="0.2">
      <c r="B13" s="121" t="s">
        <v>164</v>
      </c>
      <c r="C13" s="396" t="s">
        <v>466</v>
      </c>
      <c r="D13" s="115" t="s">
        <v>6</v>
      </c>
      <c r="E13" s="110">
        <f>C10/E7</f>
        <v>0.45789771892550402</v>
      </c>
      <c r="F13" s="608" t="str">
        <f>Segments!B15</f>
        <v>Products (2023)</v>
      </c>
      <c r="G13" s="608"/>
      <c r="H13" s="608"/>
      <c r="I13" s="115" t="s">
        <v>42</v>
      </c>
      <c r="J13" s="117">
        <f>1000000*J12/C8</f>
        <v>12.802258500061372</v>
      </c>
      <c r="K13" s="115" t="s">
        <v>24</v>
      </c>
      <c r="L13" s="176">
        <f>C9/J17</f>
        <v>15.515614741957357</v>
      </c>
      <c r="N13" s="19">
        <f>C10/J11</f>
        <v>2.299840126690428</v>
      </c>
      <c r="Q13" s="112"/>
    </row>
    <row r="14" spans="2:17" ht="12.75" customHeight="1" x14ac:dyDescent="0.2">
      <c r="B14" s="119" t="s">
        <v>141</v>
      </c>
      <c r="C14" s="141" t="s">
        <v>466</v>
      </c>
      <c r="D14" s="115" t="s">
        <v>55</v>
      </c>
      <c r="E14" s="166">
        <f>AVERAGE(Cifras_en_Millones!C11/Cifras_en_Millones!C5,Cifras_en_Millones!D11/Cifras_en_Millones!D5,Cifras_en_Millones!E11/Cifras_en_Millones!E5)</f>
        <v>0.12751558018051293</v>
      </c>
      <c r="G14" s="160"/>
      <c r="H14" s="105" t="s">
        <v>185</v>
      </c>
      <c r="I14" s="115" t="s">
        <v>56</v>
      </c>
      <c r="J14" s="173">
        <f>J12/E7</f>
        <v>0.11200899680317947</v>
      </c>
      <c r="K14" s="115" t="s">
        <v>49</v>
      </c>
      <c r="L14" s="177">
        <f>C12/E7</f>
        <v>2.0052827760017662</v>
      </c>
      <c r="Q14" s="112"/>
    </row>
    <row r="15" spans="2:17" ht="12.75" customHeight="1" x14ac:dyDescent="0.2">
      <c r="B15" s="119" t="s">
        <v>138</v>
      </c>
      <c r="C15" s="397">
        <v>5.6500000000000002E-2</v>
      </c>
      <c r="D15" s="115" t="s">
        <v>38</v>
      </c>
      <c r="E15" s="165">
        <f>AVERAGE(Cifras_en_Millones!C23/12984.399,Cifras_en_Millones!D23/12368.198,Cifras_en_Millones!E23/12293.368)</f>
        <v>9.61869251417099E-2</v>
      </c>
      <c r="F15" s="159" t="str">
        <f>Segments!B17</f>
        <v>Hardlines</v>
      </c>
      <c r="G15" s="160"/>
      <c r="H15" s="286" t="str">
        <f>+Segments!I17</f>
        <v>38%; NA; -1%</v>
      </c>
      <c r="I15" s="115" t="s">
        <v>130</v>
      </c>
      <c r="J15" s="173">
        <f>J12/(E7-(E8-C10))</f>
        <v>0.1515656822163175</v>
      </c>
      <c r="K15" s="115" t="s">
        <v>51</v>
      </c>
      <c r="L15" s="178">
        <f>C12/J16</f>
        <v>15.457248212366993</v>
      </c>
      <c r="Q15" s="112"/>
    </row>
    <row r="16" spans="2:17" ht="12.75" customHeight="1" x14ac:dyDescent="0.2">
      <c r="B16" s="632" t="s">
        <v>129</v>
      </c>
      <c r="C16" s="608"/>
      <c r="D16" s="115" t="s">
        <v>39</v>
      </c>
      <c r="E16" s="110">
        <f>AVERAGE(Cifras_en_Millones!C19/12984.399,Cifras_en_Millones!D19/12368.198,Cifras_en_Millones!E19/12293.368)</f>
        <v>0.15980004673420781</v>
      </c>
      <c r="F16" s="159" t="str">
        <f>Segments!B18</f>
        <v>Apparel</v>
      </c>
      <c r="G16" s="160"/>
      <c r="H16" s="286" t="str">
        <f>+Segments!I18</f>
        <v>33%; NA; 3%</v>
      </c>
      <c r="I16" s="115" t="s">
        <v>59</v>
      </c>
      <c r="J16" s="118">
        <f>AVERAGE(Cifras_en_Millones!B19:D19)</f>
        <v>1208.0219999999999</v>
      </c>
      <c r="K16" s="115" t="s">
        <v>25</v>
      </c>
      <c r="L16" s="176">
        <f>C9/J18</f>
        <v>13.812309150422585</v>
      </c>
      <c r="N16" s="128"/>
      <c r="Q16" s="112"/>
    </row>
    <row r="17" spans="1:72" ht="12.75" customHeight="1" x14ac:dyDescent="0.2">
      <c r="B17" s="82" t="s">
        <v>126</v>
      </c>
      <c r="C17" s="567"/>
      <c r="D17" s="115" t="s">
        <v>60</v>
      </c>
      <c r="E17" s="110">
        <f>Cifras_en_Millones!C14/AVERAGE(Cifras_en_Millones!C59:M59)</f>
        <v>5.8763075094570065E-2</v>
      </c>
      <c r="F17" s="159" t="str">
        <f>Segments!B19</f>
        <v>Footwear</v>
      </c>
      <c r="G17" s="160"/>
      <c r="H17" s="286" t="str">
        <f>+Segments!I19</f>
        <v>26%; NA; 14%</v>
      </c>
      <c r="I17" s="115" t="s">
        <v>40</v>
      </c>
      <c r="J17" s="109">
        <f>AVERAGE(Cifras_en_Millones!B23:D23)</f>
        <v>1044.7595000000001</v>
      </c>
      <c r="K17" s="115" t="s">
        <v>360</v>
      </c>
      <c r="L17" s="158" t="s">
        <v>359</v>
      </c>
      <c r="N17" s="19">
        <v>12</v>
      </c>
      <c r="Q17" s="112"/>
    </row>
    <row r="18" spans="1:72" ht="12.75" customHeight="1" x14ac:dyDescent="0.2">
      <c r="B18" s="82" t="s">
        <v>127</v>
      </c>
      <c r="C18" s="568"/>
      <c r="D18" s="574"/>
      <c r="E18" s="575"/>
      <c r="F18" s="159" t="str">
        <f>Segments!B20</f>
        <v>Other</v>
      </c>
      <c r="G18" s="172"/>
      <c r="H18" s="286" t="str">
        <f>+Segments!I20</f>
        <v>3%; NA; 60%</v>
      </c>
      <c r="I18" s="115" t="s">
        <v>122</v>
      </c>
      <c r="J18" s="109">
        <f>SUM(F35:F37)/3</f>
        <v>1173.5970954215179</v>
      </c>
      <c r="K18" s="115" t="s">
        <v>52</v>
      </c>
      <c r="L18" s="194">
        <f>SUM(E35:E37)/(3*C9)</f>
        <v>6.9455488126367732E-2</v>
      </c>
      <c r="Q18" s="112"/>
    </row>
    <row r="19" spans="1:72" ht="12.75" customHeight="1" x14ac:dyDescent="0.2">
      <c r="B19" s="82" t="s">
        <v>128</v>
      </c>
      <c r="C19" s="593"/>
      <c r="D19" s="576" t="s">
        <v>263</v>
      </c>
      <c r="E19" s="577"/>
      <c r="F19" s="578"/>
      <c r="G19" s="581"/>
      <c r="H19" s="582"/>
      <c r="I19" s="115" t="s">
        <v>177</v>
      </c>
      <c r="J19" s="116">
        <v>0.16</v>
      </c>
      <c r="K19" s="115" t="s">
        <v>66</v>
      </c>
      <c r="L19" s="194">
        <f>K33/C9</f>
        <v>1.0061636996013697E-2</v>
      </c>
      <c r="Q19" s="112"/>
      <c r="R19" s="19"/>
    </row>
    <row r="20" spans="1:72" ht="15" x14ac:dyDescent="0.25">
      <c r="B20" s="98" t="s">
        <v>45</v>
      </c>
      <c r="C20" s="99"/>
      <c r="D20" s="99"/>
      <c r="E20" s="99"/>
      <c r="F20" s="99"/>
      <c r="G20" s="99"/>
      <c r="H20" s="100" t="s">
        <v>155</v>
      </c>
      <c r="I20" s="643" t="s">
        <v>61</v>
      </c>
      <c r="J20" s="643"/>
      <c r="K20" s="643"/>
      <c r="L20" s="83" t="s">
        <v>62</v>
      </c>
      <c r="M20" s="18"/>
      <c r="N20" s="129"/>
      <c r="O20" s="162"/>
      <c r="P20" s="130"/>
      <c r="Q20" s="18"/>
      <c r="R20" s="18"/>
    </row>
    <row r="21" spans="1:72" ht="35.25" customHeight="1" x14ac:dyDescent="0.2">
      <c r="A21" s="112"/>
      <c r="B21" s="637" t="s">
        <v>573</v>
      </c>
      <c r="C21" s="638"/>
      <c r="D21" s="638"/>
      <c r="E21" s="638"/>
      <c r="F21" s="638"/>
      <c r="G21" s="639"/>
      <c r="H21" s="635" t="s">
        <v>160</v>
      </c>
      <c r="I21" s="647" t="s">
        <v>174</v>
      </c>
      <c r="J21" s="648"/>
      <c r="K21" s="649"/>
      <c r="L21" s="671">
        <f>DCFF!D66</f>
        <v>143.81381504258124</v>
      </c>
      <c r="M21" s="18"/>
      <c r="N21" s="130"/>
      <c r="O21" s="162"/>
      <c r="P21" s="130"/>
      <c r="Q21" s="18"/>
      <c r="R21" s="18"/>
    </row>
    <row r="22" spans="1:72" ht="21.4" customHeight="1" x14ac:dyDescent="0.2">
      <c r="B22" s="640"/>
      <c r="C22" s="641"/>
      <c r="D22" s="641"/>
      <c r="E22" s="641"/>
      <c r="F22" s="641"/>
      <c r="G22" s="642"/>
      <c r="H22" s="636"/>
      <c r="I22" s="650"/>
      <c r="J22" s="651"/>
      <c r="K22" s="652"/>
      <c r="L22" s="671"/>
      <c r="M22" s="18"/>
      <c r="N22" s="130"/>
      <c r="O22" s="162"/>
      <c r="P22" s="130"/>
      <c r="Q22" s="18"/>
      <c r="R22" s="18"/>
    </row>
    <row r="23" spans="1:72" x14ac:dyDescent="0.2">
      <c r="B23" s="611" t="s">
        <v>104</v>
      </c>
      <c r="C23" s="612"/>
      <c r="D23" s="612"/>
      <c r="E23" s="612"/>
      <c r="F23" s="612"/>
      <c r="G23" s="613"/>
      <c r="H23" s="78" t="s">
        <v>142</v>
      </c>
      <c r="I23" s="653"/>
      <c r="J23" s="654"/>
      <c r="K23" s="655"/>
      <c r="L23" s="625">
        <f>DCFF!D65</f>
        <v>-0.27720854881348322</v>
      </c>
      <c r="M23" s="18"/>
      <c r="N23" s="130"/>
      <c r="O23" s="162"/>
      <c r="P23" s="130"/>
      <c r="Q23" s="18"/>
      <c r="R23" s="18"/>
    </row>
    <row r="24" spans="1:72" ht="56.65" customHeight="1" x14ac:dyDescent="0.2">
      <c r="B24" s="614" t="s">
        <v>572</v>
      </c>
      <c r="C24" s="633"/>
      <c r="D24" s="633"/>
      <c r="E24" s="633"/>
      <c r="F24" s="633"/>
      <c r="G24" s="634"/>
      <c r="H24" s="101">
        <f>DCFF!D71</f>
        <v>0</v>
      </c>
      <c r="I24" s="463" t="s">
        <v>107</v>
      </c>
      <c r="J24" s="103">
        <f>DCFF!D47</f>
        <v>0.09</v>
      </c>
      <c r="K24" s="468" t="s">
        <v>470</v>
      </c>
      <c r="L24" s="625"/>
      <c r="M24" s="18"/>
      <c r="N24" s="130"/>
      <c r="O24" s="162"/>
      <c r="P24" s="130"/>
      <c r="Q24" s="18"/>
      <c r="R24" s="18"/>
    </row>
    <row r="25" spans="1:72" x14ac:dyDescent="0.2">
      <c r="B25" s="84" t="s">
        <v>34</v>
      </c>
      <c r="C25" s="80" t="s">
        <v>0</v>
      </c>
      <c r="D25" s="80" t="s">
        <v>1</v>
      </c>
      <c r="E25" s="80" t="s">
        <v>106</v>
      </c>
      <c r="F25" s="80" t="s">
        <v>12</v>
      </c>
      <c r="G25" s="80" t="s">
        <v>6</v>
      </c>
      <c r="H25" s="80" t="s">
        <v>156</v>
      </c>
      <c r="I25" s="80" t="s">
        <v>157</v>
      </c>
      <c r="J25" s="608" t="s">
        <v>30</v>
      </c>
      <c r="K25" s="608"/>
      <c r="L25" s="631"/>
      <c r="Q25" s="17"/>
      <c r="R25" s="17"/>
      <c r="S25" s="20"/>
      <c r="T25" s="20"/>
    </row>
    <row r="26" spans="1:72" x14ac:dyDescent="0.2">
      <c r="B26" s="82">
        <v>2012</v>
      </c>
      <c r="C26" s="109">
        <v>5836</v>
      </c>
      <c r="D26" s="110">
        <f>Cifras_Originales!N8/OP!C26</f>
        <v>8.9731665524331733E-2</v>
      </c>
      <c r="E26" s="109">
        <f>Cifras_Originales!N17+Cifras_Originales!N18</f>
        <v>307.1934</v>
      </c>
      <c r="F26" s="109">
        <v>652</v>
      </c>
      <c r="G26" s="116">
        <f>(Cifras_Originales!N32+Cifras_Originales!N36)/Cifras_Originales!N27</f>
        <v>0.29548581328322843</v>
      </c>
      <c r="H26" s="109">
        <f>Cifras_Originales!N11</f>
        <v>125.096</v>
      </c>
      <c r="I26" s="109">
        <f>Cifras_Originales!N13</f>
        <v>258</v>
      </c>
      <c r="J26" s="115"/>
      <c r="K26" s="81">
        <v>2022</v>
      </c>
      <c r="L26" s="85">
        <f>K26-1</f>
        <v>2021</v>
      </c>
      <c r="Q26" s="19"/>
      <c r="R26" s="19"/>
      <c r="S26" s="19"/>
      <c r="T26" s="20"/>
      <c r="W26" s="73"/>
    </row>
    <row r="27" spans="1:72" x14ac:dyDescent="0.2">
      <c r="B27" s="82">
        <f t="shared" ref="B27:B34" si="0">B26+1</f>
        <v>2013</v>
      </c>
      <c r="C27" s="174">
        <v>6213</v>
      </c>
      <c r="D27" s="173">
        <f>Cifras_en_Millones!M11/OP!C27</f>
        <v>8.6401416384999194E-2</v>
      </c>
      <c r="E27" s="109">
        <f>Cifras_en_Millones!M37</f>
        <v>214.46800000000002</v>
      </c>
      <c r="F27" s="109">
        <f>Cifras_en_Millones!M30</f>
        <v>396.19900000000001</v>
      </c>
      <c r="G27" s="116">
        <f>Cifras_en_Millones!M59/Cifras_en_Millones!M45</f>
        <v>0.23166791850331775</v>
      </c>
      <c r="H27" s="109">
        <f>Cifras_en_Millones!M17</f>
        <v>154.928</v>
      </c>
      <c r="I27" s="109">
        <f>Cifras_en_Millones!M35</f>
        <v>285.66800000000001</v>
      </c>
      <c r="J27" s="115" t="s">
        <v>67</v>
      </c>
      <c r="K27" s="109">
        <f>Cifras_en_Millones!D23</f>
        <v>1043</v>
      </c>
      <c r="L27" s="462">
        <f>Cifras_en_Millones!E23</f>
        <v>1519.8710000000001</v>
      </c>
      <c r="N27" s="131">
        <f t="shared" ref="N27:N34" si="1">C27/C26-1</f>
        <v>6.4599040438656719E-2</v>
      </c>
      <c r="O27" s="161">
        <f t="shared" ref="O27:Q34" si="2">D27/D26-1</f>
        <v>-3.7113421665281643E-2</v>
      </c>
      <c r="Q27" s="19"/>
      <c r="R27" s="19"/>
      <c r="S27" s="19"/>
      <c r="T27" s="20"/>
    </row>
    <row r="28" spans="1:72" x14ac:dyDescent="0.2">
      <c r="B28" s="82">
        <f t="shared" si="0"/>
        <v>2014</v>
      </c>
      <c r="C28" s="109">
        <v>6814</v>
      </c>
      <c r="D28" s="193">
        <f>Cifras_en_Millones!L11/OP!C28</f>
        <v>8.1311857939536242E-2</v>
      </c>
      <c r="E28" s="109">
        <f>Cifras_en_Millones!L37</f>
        <v>61.324063354037264</v>
      </c>
      <c r="F28" s="109">
        <f>Cifras_en_Millones!L30</f>
        <v>101.27206335403727</v>
      </c>
      <c r="G28" s="116">
        <f>Cifras_en_Millones!L59/Cifras_en_Millones!L45</f>
        <v>0.22562785962857793</v>
      </c>
      <c r="H28" s="109">
        <f>Cifras_en_Millones!L17</f>
        <v>179.43100000000001</v>
      </c>
      <c r="I28" s="109">
        <f>Cifras_en_Millones!L35</f>
        <v>349.00700000000001</v>
      </c>
      <c r="J28" s="115" t="s">
        <v>267</v>
      </c>
      <c r="K28" s="109">
        <v>921.88099999999997</v>
      </c>
      <c r="L28" s="276">
        <v>1616.8720000000001</v>
      </c>
      <c r="N28" s="131">
        <f t="shared" si="1"/>
        <v>9.6732657331401795E-2</v>
      </c>
      <c r="O28" s="161">
        <f t="shared" si="2"/>
        <v>-5.8905960786385769E-2</v>
      </c>
      <c r="P28" s="19">
        <f t="shared" si="2"/>
        <v>-0.71406427367235548</v>
      </c>
      <c r="Q28" s="19">
        <f t="shared" si="2"/>
        <v>-0.74439091629701926</v>
      </c>
      <c r="R28" s="19">
        <f t="shared" ref="R28:R34" si="3">H28/H27-1</f>
        <v>0.15815733760198292</v>
      </c>
      <c r="S28" s="19">
        <f t="shared" ref="S28:S34" si="4">I28/I27-1</f>
        <v>0.22172241903188317</v>
      </c>
      <c r="T28" s="19"/>
      <c r="BT28">
        <v>4303</v>
      </c>
    </row>
    <row r="29" spans="1:72" x14ac:dyDescent="0.2">
      <c r="B29" s="82">
        <f t="shared" si="0"/>
        <v>2015</v>
      </c>
      <c r="C29" s="109">
        <v>7271</v>
      </c>
      <c r="D29" s="110">
        <f>Cifras_en_Millones!K11/OP!C29</f>
        <v>7.3606381515609956E-2</v>
      </c>
      <c r="E29" s="109">
        <f>Cifras_en_Millones!K37</f>
        <v>122.08546492659055</v>
      </c>
      <c r="F29" s="109">
        <f>Cifras_en_Millones!K30</f>
        <v>19.342464926590544</v>
      </c>
      <c r="G29" s="116">
        <f>Cifras_en_Millones!K59/Cifras_en_Millones!K45</f>
        <v>0.25289295531526107</v>
      </c>
      <c r="H29" s="109">
        <f>Cifras_en_Millones!K17</f>
        <v>193.59399999999999</v>
      </c>
      <c r="I29" s="123">
        <f>Cifras_en_Millones!K35</f>
        <v>370.02800000000002</v>
      </c>
      <c r="J29" t="s">
        <v>268</v>
      </c>
      <c r="K29" s="109">
        <f>Cifras_en_Millones!D18</f>
        <v>359.15499999999997</v>
      </c>
      <c r="L29" s="462">
        <f>Cifras_en_Millones!E18</f>
        <v>-248.73100000000011</v>
      </c>
      <c r="M29" s="15"/>
      <c r="N29" s="131">
        <f t="shared" si="1"/>
        <v>6.7067801584972164E-2</v>
      </c>
      <c r="O29" s="161">
        <f t="shared" si="2"/>
        <v>-9.4764486007146709E-2</v>
      </c>
      <c r="P29" s="19">
        <f t="shared" si="2"/>
        <v>0.99082477985459616</v>
      </c>
      <c r="Q29" s="19">
        <f t="shared" si="2"/>
        <v>-0.80900492903979682</v>
      </c>
      <c r="R29" s="19">
        <f t="shared" si="3"/>
        <v>7.8932848838829228E-2</v>
      </c>
      <c r="S29" s="19">
        <f t="shared" si="4"/>
        <v>6.0230883621245512E-2</v>
      </c>
      <c r="T29" s="19"/>
      <c r="BT29">
        <v>3066</v>
      </c>
    </row>
    <row r="30" spans="1:72" x14ac:dyDescent="0.2">
      <c r="B30" s="82">
        <f t="shared" si="0"/>
        <v>2016</v>
      </c>
      <c r="C30" s="174">
        <v>7922</v>
      </c>
      <c r="D30" s="173">
        <f>Cifras_en_Millones!J11/OP!C30</f>
        <v>5.6785407725321889E-2</v>
      </c>
      <c r="E30" s="109">
        <f>Cifras_en_Millones!J37</f>
        <v>97.931004636785161</v>
      </c>
      <c r="F30" s="109">
        <f>Cifras_en_Millones!J30</f>
        <v>143.77200463678514</v>
      </c>
      <c r="G30" s="116">
        <f>Cifras_en_Millones!J59/Cifras_en_Millones!J45</f>
        <v>0.25467067951672329</v>
      </c>
      <c r="H30" s="109">
        <f>Cifras_en_Millones!J17</f>
        <v>233.834</v>
      </c>
      <c r="I30" s="123">
        <f>Cifras_en_Millones!J35</f>
        <v>242</v>
      </c>
      <c r="J30" s="115" t="s">
        <v>31</v>
      </c>
      <c r="K30" s="109">
        <v>-392.89400000000001</v>
      </c>
      <c r="L30" s="276">
        <v>-343.97899999999998</v>
      </c>
      <c r="N30" s="131">
        <f t="shared" si="1"/>
        <v>8.9533764269013938E-2</v>
      </c>
      <c r="O30" s="161">
        <f t="shared" si="2"/>
        <v>-0.22852602510722231</v>
      </c>
      <c r="P30" s="19">
        <f t="shared" ref="P30:Q34" si="5">E30/E29-1</f>
        <v>-0.19784877998645745</v>
      </c>
      <c r="Q30" s="19">
        <f t="shared" si="5"/>
        <v>6.4329722288465083</v>
      </c>
      <c r="R30" s="19">
        <f t="shared" si="3"/>
        <v>0.20785768153971729</v>
      </c>
      <c r="S30" s="19">
        <f t="shared" si="4"/>
        <v>-0.34599543818305645</v>
      </c>
      <c r="T30" s="19"/>
      <c r="BT30">
        <v>3283</v>
      </c>
    </row>
    <row r="31" spans="1:72" x14ac:dyDescent="0.2">
      <c r="B31" s="82">
        <f t="shared" si="0"/>
        <v>2017</v>
      </c>
      <c r="C31" s="179">
        <v>8590</v>
      </c>
      <c r="D31" s="193">
        <f>Cifras_en_Millones!I11/OP!C31</f>
        <v>5.5596507566938305E-2</v>
      </c>
      <c r="E31" s="109">
        <f>Cifras_en_Millones!I37</f>
        <v>115.705</v>
      </c>
      <c r="F31" s="109">
        <f>Cifras_en_Millones!I30</f>
        <v>52.181000000000012</v>
      </c>
      <c r="G31" s="116">
        <f>Cifras_en_Millones!I59/Cifras_en_Millones!I45</f>
        <v>0.28116416532209437</v>
      </c>
      <c r="H31" s="109">
        <f>Cifras_en_Millones!I17</f>
        <v>237.65100000000001</v>
      </c>
      <c r="I31" s="123">
        <f>Cifras_en_Millones!I35</f>
        <v>372.6</v>
      </c>
      <c r="J31" s="135" t="s">
        <v>118</v>
      </c>
      <c r="K31" s="109">
        <f>Cifras_en_Millones!D33</f>
        <v>328</v>
      </c>
      <c r="L31" s="462">
        <f>Cifras_en_Millones!E33</f>
        <v>268.10000000000002</v>
      </c>
      <c r="N31" s="131">
        <f t="shared" si="1"/>
        <v>8.432214087351686E-2</v>
      </c>
      <c r="O31" s="161">
        <f t="shared" si="2"/>
        <v>-2.0936719590611053E-2</v>
      </c>
      <c r="P31" s="19">
        <f t="shared" si="5"/>
        <v>0.18149507838846901</v>
      </c>
      <c r="Q31" s="19">
        <f t="shared" si="5"/>
        <v>-0.63705729685117629</v>
      </c>
      <c r="R31" s="19">
        <f t="shared" si="3"/>
        <v>1.6323545763233804E-2</v>
      </c>
      <c r="S31" s="19">
        <f t="shared" si="4"/>
        <v>0.53966942148760344</v>
      </c>
      <c r="T31" s="19"/>
    </row>
    <row r="32" spans="1:72" x14ac:dyDescent="0.2">
      <c r="B32" s="82">
        <f t="shared" si="0"/>
        <v>2018</v>
      </c>
      <c r="C32" s="109">
        <v>8437</v>
      </c>
      <c r="D32" s="110">
        <f>Cifras_en_Millones!H11/OP!C32</f>
        <v>5.2712219983406423E-2</v>
      </c>
      <c r="E32" s="109">
        <f>Cifras_en_Millones!H37</f>
        <v>123.41161422708618</v>
      </c>
      <c r="F32" s="109">
        <f>Cifras_en_Millones!H30</f>
        <v>135.81161422708618</v>
      </c>
      <c r="G32" s="183">
        <f>Cifras_en_Millones!H59/Cifras_en_Millones!H45</f>
        <v>0.29445692044873489</v>
      </c>
      <c r="H32" s="109">
        <f>Cifras_en_Millones!H17</f>
        <v>243.83</v>
      </c>
      <c r="I32" s="123">
        <f>Cifras_en_Millones!H35</f>
        <v>170.5</v>
      </c>
      <c r="J32" s="135" t="s">
        <v>119</v>
      </c>
      <c r="K32" s="109">
        <v>0</v>
      </c>
      <c r="L32" s="276">
        <v>0</v>
      </c>
      <c r="M32" s="16"/>
      <c r="N32" s="131">
        <f t="shared" si="1"/>
        <v>-1.7811408614668234E-2</v>
      </c>
      <c r="O32" s="161">
        <f t="shared" si="2"/>
        <v>-5.1878934662562992E-2</v>
      </c>
      <c r="P32" s="19">
        <f t="shared" si="5"/>
        <v>6.6605714766744484E-2</v>
      </c>
      <c r="Q32" s="19">
        <f t="shared" si="5"/>
        <v>1.602702405609056</v>
      </c>
      <c r="R32" s="19">
        <f t="shared" si="3"/>
        <v>2.6000311380974583E-2</v>
      </c>
      <c r="S32" s="19">
        <f t="shared" si="4"/>
        <v>-0.54240472356414382</v>
      </c>
      <c r="T32" s="19"/>
    </row>
    <row r="33" spans="2:72" x14ac:dyDescent="0.2">
      <c r="B33" s="82">
        <f t="shared" si="0"/>
        <v>2019</v>
      </c>
      <c r="C33" s="174">
        <v>8751</v>
      </c>
      <c r="D33" s="110">
        <f>Cifras_en_Millones!G11/OP!C33</f>
        <v>4.2922294594903439E-2</v>
      </c>
      <c r="E33" s="181">
        <f>Cifras_en_Millones!G37</f>
        <v>500.60078387458009</v>
      </c>
      <c r="F33" s="109">
        <f>Cifras_en_Millones!G30</f>
        <v>456.29178387458006</v>
      </c>
      <c r="G33" s="183">
        <f>Cifras_en_Millones!G59/Cifras_en_Millones!G45</f>
        <v>0.67402331728158149</v>
      </c>
      <c r="H33" s="109">
        <f>Cifras_en_Millones!G17</f>
        <v>335.74599999999998</v>
      </c>
      <c r="I33" s="123">
        <f>Cifras_en_Millones!G35</f>
        <v>179.5</v>
      </c>
      <c r="J33" s="120" t="s">
        <v>120</v>
      </c>
      <c r="K33" s="109">
        <f>Cifras_en_Millones!D27</f>
        <v>163.1</v>
      </c>
      <c r="L33" s="276">
        <f>Cifras_en_Millones!E27</f>
        <v>603</v>
      </c>
      <c r="N33" s="131">
        <f t="shared" si="1"/>
        <v>3.7217020267867662E-2</v>
      </c>
      <c r="O33" s="161">
        <f t="shared" si="2"/>
        <v>-0.18572401981143671</v>
      </c>
      <c r="P33" s="19">
        <f t="shared" si="5"/>
        <v>3.0563506685313984</v>
      </c>
      <c r="Q33" s="19">
        <f t="shared" si="5"/>
        <v>2.3597405234550073</v>
      </c>
      <c r="R33" s="19">
        <f t="shared" si="3"/>
        <v>0.37696755936513138</v>
      </c>
      <c r="S33" s="19">
        <f t="shared" si="4"/>
        <v>5.2785923753665642E-2</v>
      </c>
      <c r="T33" s="19"/>
    </row>
    <row r="34" spans="2:72" x14ac:dyDescent="0.2">
      <c r="B34" s="82">
        <f t="shared" si="0"/>
        <v>2020</v>
      </c>
      <c r="C34" s="179">
        <v>9584.0190000000002</v>
      </c>
      <c r="D34" s="180">
        <f>Cifras_en_Millones!F11/OP!C34</f>
        <v>7.7365977675962455E-2</v>
      </c>
      <c r="E34" s="181">
        <f>Cifras_en_Millones!F37</f>
        <v>107.79947375381485</v>
      </c>
      <c r="F34" s="109">
        <f>Cifras_en_Millones!F30</f>
        <v>1696.5224737538149</v>
      </c>
      <c r="G34" s="184">
        <f>Cifras_en_Millones!F59/Cifras_en_Millones!F45</f>
        <v>0.42690290123940078</v>
      </c>
      <c r="H34" s="109">
        <f>Cifras_en_Millones!F17</f>
        <v>326.01400000000001</v>
      </c>
      <c r="I34" s="109">
        <f>Cifras_en_Millones!F35</f>
        <v>175.8</v>
      </c>
      <c r="J34" s="120" t="s">
        <v>121</v>
      </c>
      <c r="K34" s="109">
        <f>Cifras_en_Millones!D29</f>
        <v>426.7</v>
      </c>
      <c r="L34" s="462">
        <f>Cifras_en_Millones!E29</f>
        <v>1180</v>
      </c>
      <c r="N34" s="131">
        <f t="shared" si="1"/>
        <v>9.519129242372304E-2</v>
      </c>
      <c r="O34" s="161">
        <f t="shared" si="2"/>
        <v>0.80246602391916011</v>
      </c>
      <c r="P34" s="19">
        <f t="shared" si="5"/>
        <v>-0.78465979833379007</v>
      </c>
      <c r="Q34" s="19">
        <f t="shared" si="5"/>
        <v>2.7180649174698583</v>
      </c>
      <c r="R34" s="19">
        <f t="shared" si="3"/>
        <v>-2.898619789960255E-2</v>
      </c>
      <c r="S34" s="19">
        <f t="shared" si="4"/>
        <v>-2.0612813370473493E-2</v>
      </c>
      <c r="T34" s="19"/>
      <c r="W34" s="73"/>
      <c r="BT34" s="7"/>
    </row>
    <row r="35" spans="2:72" x14ac:dyDescent="0.2">
      <c r="B35" s="82">
        <f t="shared" ref="B35:B37" si="6">B34+1</f>
        <v>2021</v>
      </c>
      <c r="C35" s="174">
        <v>12293.368</v>
      </c>
      <c r="D35" s="180">
        <f>Cifras_en_Millones!E11/OP!C35</f>
        <v>0.1654959812477752</v>
      </c>
      <c r="E35" s="181">
        <f>Cifras_en_Millones!E37</f>
        <v>1787.6145251396647</v>
      </c>
      <c r="F35" s="109">
        <f>Cifras_en_Millones!E30</f>
        <v>2772.7525251396646</v>
      </c>
      <c r="G35" s="184">
        <f>Cifras_en_Millones!E59/Cifras_en_Millones!E45</f>
        <v>0.41827621339229604</v>
      </c>
      <c r="H35" s="109">
        <f>Cifras_en_Millones!E17</f>
        <v>322.55099999999999</v>
      </c>
      <c r="I35" s="109">
        <f>Cifras_en_Millones!E35</f>
        <v>268.10000000000002</v>
      </c>
      <c r="J35" s="120" t="s">
        <v>269</v>
      </c>
      <c r="K35" s="109">
        <f>Cifras_en_Millones!D59</f>
        <v>4025.1420000000003</v>
      </c>
      <c r="L35" s="462">
        <f>Cifras_en_Millones!E59</f>
        <v>3781.9180000000015</v>
      </c>
      <c r="N35" s="131">
        <f t="shared" ref="N35:N37" si="7">C35/C34-1</f>
        <v>0.28269445208737598</v>
      </c>
      <c r="O35" s="161">
        <f t="shared" ref="O35:O37" si="8">D35/D34-1</f>
        <v>1.1391312592330189</v>
      </c>
      <c r="P35" s="19">
        <f t="shared" ref="P35" si="9">E35/E34-1</f>
        <v>15.582775990373552</v>
      </c>
      <c r="Q35" s="19">
        <f t="shared" ref="Q35" si="10">F35/F34-1</f>
        <v>0.63437417896653403</v>
      </c>
      <c r="R35" s="19">
        <f t="shared" ref="R35" si="11">H35/H34-1</f>
        <v>-1.0622243216549032E-2</v>
      </c>
      <c r="S35" s="19">
        <f t="shared" ref="S35" si="12">I35/I34-1</f>
        <v>0.52502844141069405</v>
      </c>
      <c r="T35" s="19"/>
      <c r="W35" s="73"/>
      <c r="BT35" s="7"/>
    </row>
    <row r="36" spans="2:72" x14ac:dyDescent="0.2">
      <c r="B36" s="82">
        <f t="shared" si="6"/>
        <v>2022</v>
      </c>
      <c r="C36" s="174">
        <v>12368.198</v>
      </c>
      <c r="D36" s="173">
        <f>Cifras_en_Millones!D11/OP!C36</f>
        <v>0.11828877577800744</v>
      </c>
      <c r="E36" s="181">
        <f>Cifras_en_Millones!D37</f>
        <v>589.0704809286899</v>
      </c>
      <c r="F36" s="109">
        <f>Cifras_en_Millones!D30</f>
        <v>-129.74851907131011</v>
      </c>
      <c r="G36" s="184">
        <f>Cifras_en_Millones!D59/Cifras_en_Millones!D45</f>
        <v>0.44762614160100606</v>
      </c>
      <c r="H36" s="109">
        <f>Cifras_en_Millones!D17</f>
        <v>375</v>
      </c>
      <c r="I36" s="109">
        <f>Cifras_en_Millones!D35</f>
        <v>328</v>
      </c>
      <c r="J36" s="120" t="s">
        <v>270</v>
      </c>
      <c r="K36" s="109">
        <v>0</v>
      </c>
      <c r="L36" s="276">
        <v>0</v>
      </c>
      <c r="N36" s="131">
        <f t="shared" si="7"/>
        <v>6.087021880415433E-3</v>
      </c>
      <c r="O36" s="161">
        <f t="shared" si="8"/>
        <v>-0.28524683870776701</v>
      </c>
      <c r="Q36" s="19"/>
      <c r="R36" s="19"/>
      <c r="S36" s="19"/>
      <c r="T36" s="19"/>
      <c r="W36" s="73"/>
      <c r="BT36" s="7"/>
    </row>
    <row r="37" spans="2:72" x14ac:dyDescent="0.2">
      <c r="B37" s="82">
        <f t="shared" si="6"/>
        <v>2023</v>
      </c>
      <c r="C37" s="174">
        <v>12984.398999999999</v>
      </c>
      <c r="D37" s="173">
        <f>Cifras_en_Millones!C11/OP!C37</f>
        <v>9.8761983515756102E-2</v>
      </c>
      <c r="E37" s="181">
        <f>Cifras_en_Millones!C37</f>
        <v>1000.9532801961986</v>
      </c>
      <c r="F37" s="109">
        <f>Cifras_en_Millones!C30</f>
        <v>877.78728019619871</v>
      </c>
      <c r="G37" s="184">
        <f>Cifras_en_Millones!C59/Cifras_en_Millones!C45</f>
        <v>0.46783355054988568</v>
      </c>
      <c r="H37" s="109">
        <f>Cifras_en_Millones!C17</f>
        <v>393.93299999999999</v>
      </c>
      <c r="I37" s="109">
        <f>Cifras_en_Millones!C35</f>
        <v>520.4</v>
      </c>
      <c r="J37" s="120"/>
      <c r="K37" s="109"/>
      <c r="L37" s="276"/>
      <c r="N37" s="131">
        <f t="shared" si="7"/>
        <v>4.9821404864313967E-2</v>
      </c>
      <c r="O37" s="161">
        <f t="shared" si="8"/>
        <v>-0.16507730453561598</v>
      </c>
      <c r="Q37" s="19"/>
      <c r="R37" s="19"/>
      <c r="S37" s="19"/>
      <c r="T37" s="19"/>
      <c r="W37" s="73"/>
      <c r="BT37" s="7"/>
    </row>
    <row r="38" spans="2:72" x14ac:dyDescent="0.2">
      <c r="B38" s="272" t="s">
        <v>413</v>
      </c>
      <c r="C38" s="273">
        <f>DCFF!H6</f>
        <v>13425.868565999999</v>
      </c>
      <c r="D38" s="287">
        <f>DCFF!H7</f>
        <v>0.112</v>
      </c>
      <c r="E38" s="274"/>
      <c r="F38" s="273"/>
      <c r="G38" s="275"/>
      <c r="H38" s="273"/>
      <c r="I38" s="273"/>
      <c r="J38" s="120"/>
      <c r="K38" s="109"/>
      <c r="L38" s="276"/>
      <c r="N38" s="131"/>
      <c r="Q38" s="19"/>
      <c r="R38" s="19"/>
      <c r="S38" s="19"/>
      <c r="T38" s="19"/>
      <c r="W38" s="73"/>
      <c r="BT38" s="7"/>
    </row>
    <row r="39" spans="2:72" x14ac:dyDescent="0.2">
      <c r="B39" s="136" t="s">
        <v>180</v>
      </c>
      <c r="C39" s="173">
        <f>(C37/C32)^(1/5)-1</f>
        <v>9.005085698520765E-2</v>
      </c>
      <c r="D39" s="110">
        <f>(D37/D26)^(1/11)-1</f>
        <v>8.7552894592890507E-3</v>
      </c>
      <c r="E39" s="583"/>
      <c r="F39" s="580"/>
      <c r="G39" s="580"/>
      <c r="H39" s="580"/>
      <c r="I39" s="584"/>
      <c r="J39" s="115" t="s">
        <v>123</v>
      </c>
      <c r="K39" s="109">
        <v>0</v>
      </c>
      <c r="L39" s="276">
        <v>0</v>
      </c>
      <c r="N39" s="132"/>
      <c r="Q39" s="19"/>
      <c r="R39" s="19"/>
      <c r="S39" s="19"/>
      <c r="T39" s="19"/>
      <c r="W39" s="71"/>
    </row>
    <row r="40" spans="2:72" x14ac:dyDescent="0.2">
      <c r="B40" s="86" t="s">
        <v>8</v>
      </c>
      <c r="C40" s="173">
        <f>AVERAGE(N27:N37)</f>
        <v>7.7768653400599033E-2</v>
      </c>
      <c r="D40" s="110">
        <f>AVERAGE(O27:O37)</f>
        <v>7.3947597479831706E-2</v>
      </c>
      <c r="E40" s="585"/>
      <c r="F40" s="580"/>
      <c r="G40" s="580"/>
      <c r="H40" s="586"/>
      <c r="I40" s="580"/>
      <c r="J40" s="79" t="s">
        <v>32</v>
      </c>
      <c r="K40" s="277">
        <f>K28+K29+K30+K33+K34+K35+K36+K39</f>
        <v>5503.0840000000007</v>
      </c>
      <c r="L40" s="278">
        <f>L28+L29+L30+L33+L34+L35+L36+L39</f>
        <v>6589.0800000000017</v>
      </c>
      <c r="N40" s="132"/>
      <c r="Q40" s="19"/>
      <c r="R40" s="19"/>
      <c r="S40" s="20"/>
      <c r="T40" s="20"/>
    </row>
    <row r="41" spans="2:72" x14ac:dyDescent="0.2">
      <c r="B41" s="86" t="s">
        <v>20</v>
      </c>
      <c r="C41" s="110">
        <f>STDEV(C26:C37)/AVERAGE(C26:C37)</f>
        <v>0.27369085390267017</v>
      </c>
      <c r="D41" s="110">
        <f>STDEV(D26:D37)/AVERAGE(D26:D37)</f>
        <v>0.4039602360394432</v>
      </c>
      <c r="E41" s="580"/>
      <c r="F41" s="580"/>
      <c r="G41" s="580"/>
      <c r="H41" s="580"/>
      <c r="I41" s="580"/>
      <c r="J41" s="279" t="s">
        <v>33</v>
      </c>
      <c r="K41" s="280">
        <f>SUM(I33:I37)/(C37-C32)</f>
        <v>0.32365754577506844</v>
      </c>
      <c r="L41" s="281">
        <f>(SUM(I33:I37)-SUM(H33:H37))/(C37-C32)</f>
        <v>-6.1891204180675542E-2</v>
      </c>
      <c r="M41" s="7"/>
      <c r="N41" s="149"/>
      <c r="Q41" s="19"/>
      <c r="R41" s="19"/>
      <c r="S41" s="20"/>
      <c r="T41" s="20"/>
    </row>
    <row r="42" spans="2:72" x14ac:dyDescent="0.2">
      <c r="B42" s="86" t="s">
        <v>27</v>
      </c>
      <c r="C42" s="110">
        <f>C37/C36-1</f>
        <v>4.9821404864313967E-2</v>
      </c>
      <c r="D42" s="110">
        <f>D37/D36-1</f>
        <v>-0.16507730453561598</v>
      </c>
      <c r="E42" s="580"/>
      <c r="F42" s="580"/>
      <c r="G42" s="580"/>
      <c r="H42" s="580"/>
      <c r="I42" s="580"/>
      <c r="J42" s="115" t="s">
        <v>125</v>
      </c>
      <c r="K42" s="282">
        <f>K41/E14</f>
        <v>2.5381803958143316</v>
      </c>
      <c r="L42" s="283">
        <f>L41/E14</f>
        <v>-0.48536189925232232</v>
      </c>
      <c r="Q42" s="19"/>
      <c r="R42" s="19"/>
      <c r="S42" s="20"/>
      <c r="T42" s="20"/>
    </row>
    <row r="43" spans="2:72" ht="13.15" customHeight="1" x14ac:dyDescent="0.2">
      <c r="B43" s="611" t="s">
        <v>461</v>
      </c>
      <c r="C43" s="612"/>
      <c r="D43" s="612"/>
      <c r="E43" s="612"/>
      <c r="F43" s="612"/>
      <c r="G43" s="612"/>
      <c r="H43" s="613"/>
      <c r="I43" s="662" t="s">
        <v>412</v>
      </c>
      <c r="J43" s="663"/>
      <c r="K43" s="663"/>
      <c r="L43" s="664"/>
      <c r="M43" s="18"/>
      <c r="N43" s="130"/>
    </row>
    <row r="44" spans="2:72" ht="48" customHeight="1" x14ac:dyDescent="0.2">
      <c r="B44" s="617" t="s">
        <v>465</v>
      </c>
      <c r="C44" s="615"/>
      <c r="D44" s="615"/>
      <c r="E44" s="615"/>
      <c r="F44" s="615"/>
      <c r="G44" s="615"/>
      <c r="H44" s="616"/>
      <c r="I44" s="665"/>
      <c r="J44" s="666"/>
      <c r="K44" s="666"/>
      <c r="L44" s="667"/>
      <c r="M44" s="18"/>
      <c r="N44" s="130"/>
    </row>
    <row r="45" spans="2:72" ht="14.65" customHeight="1" x14ac:dyDescent="0.2">
      <c r="B45" s="611" t="s">
        <v>462</v>
      </c>
      <c r="C45" s="612"/>
      <c r="D45" s="612"/>
      <c r="E45" s="612"/>
      <c r="F45" s="612"/>
      <c r="G45" s="612"/>
      <c r="H45" s="613"/>
      <c r="I45" s="665"/>
      <c r="J45" s="666"/>
      <c r="K45" s="666"/>
      <c r="L45" s="667"/>
      <c r="M45" s="18"/>
      <c r="N45" s="130"/>
    </row>
    <row r="46" spans="2:72" ht="49.15" customHeight="1" x14ac:dyDescent="0.2">
      <c r="B46" s="614" t="s">
        <v>603</v>
      </c>
      <c r="C46" s="615"/>
      <c r="D46" s="615"/>
      <c r="E46" s="615"/>
      <c r="F46" s="615"/>
      <c r="G46" s="615"/>
      <c r="H46" s="616"/>
      <c r="I46" s="665"/>
      <c r="J46" s="666"/>
      <c r="K46" s="666"/>
      <c r="L46" s="667"/>
      <c r="M46" s="18"/>
      <c r="N46" s="130"/>
    </row>
    <row r="47" spans="2:72" x14ac:dyDescent="0.2">
      <c r="B47" s="457" t="s">
        <v>44</v>
      </c>
      <c r="C47" s="458"/>
      <c r="D47" s="458"/>
      <c r="E47" s="458"/>
      <c r="F47" s="458"/>
      <c r="G47" s="458"/>
      <c r="H47" s="459"/>
      <c r="I47" s="665"/>
      <c r="J47" s="666"/>
      <c r="K47" s="666"/>
      <c r="L47" s="667"/>
      <c r="M47" s="18"/>
      <c r="N47" s="161"/>
    </row>
    <row r="48" spans="2:72" ht="56.65" customHeight="1" x14ac:dyDescent="0.2">
      <c r="B48" s="614" t="s">
        <v>463</v>
      </c>
      <c r="C48" s="672"/>
      <c r="D48" s="672"/>
      <c r="E48" s="672"/>
      <c r="F48" s="672"/>
      <c r="G48" s="672"/>
      <c r="H48" s="673"/>
      <c r="I48" s="665"/>
      <c r="J48" s="666"/>
      <c r="K48" s="666"/>
      <c r="L48" s="667"/>
      <c r="M48" s="18"/>
      <c r="N48" s="130"/>
    </row>
    <row r="49" spans="2:18" x14ac:dyDescent="0.2">
      <c r="B49" s="611" t="s">
        <v>43</v>
      </c>
      <c r="C49" s="612"/>
      <c r="D49" s="612"/>
      <c r="E49" s="612"/>
      <c r="F49" s="612"/>
      <c r="G49" s="612"/>
      <c r="H49" s="613"/>
      <c r="I49" s="665"/>
      <c r="J49" s="666"/>
      <c r="K49" s="666"/>
      <c r="L49" s="667"/>
      <c r="M49" s="18"/>
      <c r="N49" s="130"/>
    </row>
    <row r="50" spans="2:18" ht="44.65" customHeight="1" x14ac:dyDescent="0.2">
      <c r="B50" s="617" t="s">
        <v>464</v>
      </c>
      <c r="C50" s="672"/>
      <c r="D50" s="672"/>
      <c r="E50" s="672"/>
      <c r="F50" s="672"/>
      <c r="G50" s="672"/>
      <c r="H50" s="673"/>
      <c r="I50" s="665"/>
      <c r="J50" s="666"/>
      <c r="K50" s="666"/>
      <c r="L50" s="667"/>
      <c r="M50" s="18"/>
      <c r="N50" s="130"/>
    </row>
    <row r="51" spans="2:18" x14ac:dyDescent="0.2">
      <c r="B51" s="659" t="s">
        <v>147</v>
      </c>
      <c r="C51" s="660"/>
      <c r="D51" s="660"/>
      <c r="E51" s="660"/>
      <c r="F51" s="660"/>
      <c r="G51" s="660"/>
      <c r="H51" s="661"/>
      <c r="I51" s="668"/>
      <c r="J51" s="669"/>
      <c r="K51" s="669"/>
      <c r="L51" s="670"/>
    </row>
    <row r="52" spans="2:18" ht="19.149999999999999" customHeight="1" thickBot="1" x14ac:dyDescent="0.25">
      <c r="B52" s="398" t="s">
        <v>10</v>
      </c>
      <c r="C52" s="399" t="s">
        <v>132</v>
      </c>
      <c r="D52" s="399" t="s">
        <v>131</v>
      </c>
      <c r="E52" s="399" t="s">
        <v>148</v>
      </c>
      <c r="F52" s="399" t="s">
        <v>149</v>
      </c>
      <c r="G52" s="399" t="s">
        <v>104</v>
      </c>
      <c r="H52" s="399" t="s">
        <v>150</v>
      </c>
      <c r="I52" s="656" t="s">
        <v>460</v>
      </c>
      <c r="J52" s="657"/>
      <c r="K52" s="657"/>
      <c r="L52" s="658"/>
    </row>
    <row r="53" spans="2:18" x14ac:dyDescent="0.2">
      <c r="B53" s="22" t="s">
        <v>108</v>
      </c>
      <c r="M53" s="18"/>
      <c r="N53" s="130"/>
      <c r="O53" s="162"/>
      <c r="P53" s="130"/>
      <c r="Q53" s="18"/>
      <c r="R53" s="18"/>
    </row>
    <row r="54" spans="2:18" s="11" customFormat="1" x14ac:dyDescent="0.2">
      <c r="B54" s="70" t="s">
        <v>124</v>
      </c>
      <c r="M54" s="18"/>
      <c r="N54" s="130"/>
      <c r="O54" s="162"/>
      <c r="P54" s="130"/>
      <c r="Q54" s="18"/>
      <c r="R54" s="18"/>
    </row>
    <row r="55" spans="2:18" x14ac:dyDescent="0.2">
      <c r="B55" s="645" t="s">
        <v>467</v>
      </c>
      <c r="C55" s="645"/>
      <c r="D55" s="645"/>
      <c r="E55" s="645"/>
      <c r="F55" s="645"/>
      <c r="G55" s="645"/>
      <c r="H55" s="645"/>
      <c r="I55" s="645"/>
      <c r="J55" s="645"/>
      <c r="K55" s="645"/>
      <c r="L55" s="199"/>
      <c r="M55" s="199"/>
    </row>
    <row r="56" spans="2:18" x14ac:dyDescent="0.2">
      <c r="B56" s="646" t="s">
        <v>468</v>
      </c>
      <c r="C56" s="646"/>
      <c r="D56" s="646"/>
      <c r="E56" s="646"/>
      <c r="F56" s="646"/>
      <c r="G56" s="646"/>
      <c r="H56" s="646"/>
      <c r="I56" s="646"/>
      <c r="J56" s="646"/>
      <c r="K56" s="646"/>
      <c r="L56" s="646"/>
      <c r="M56" s="197"/>
    </row>
    <row r="57" spans="2:18" x14ac:dyDescent="0.2">
      <c r="B57" s="644" t="s">
        <v>469</v>
      </c>
      <c r="C57" s="644"/>
      <c r="D57" s="644"/>
      <c r="E57" s="644"/>
      <c r="F57" s="644"/>
      <c r="G57" s="644"/>
      <c r="H57" s="461"/>
      <c r="I57" s="461"/>
      <c r="J57" s="461"/>
      <c r="K57" s="461"/>
      <c r="L57" s="461"/>
      <c r="M57" s="150"/>
    </row>
    <row r="58" spans="2:18" x14ac:dyDescent="0.2">
      <c r="B58" s="196"/>
      <c r="C58" s="197"/>
      <c r="D58" s="197"/>
      <c r="E58" s="197"/>
      <c r="F58" s="197"/>
      <c r="G58" s="197"/>
      <c r="H58" s="197"/>
      <c r="I58" s="197"/>
      <c r="J58" s="197"/>
      <c r="K58" s="197"/>
      <c r="L58" s="197"/>
      <c r="M58" s="197"/>
    </row>
    <row r="59" spans="2:18" x14ac:dyDescent="0.2">
      <c r="B59" s="198"/>
      <c r="C59" s="197"/>
      <c r="D59" s="197"/>
      <c r="E59" s="197"/>
      <c r="F59" s="197"/>
      <c r="G59" s="197"/>
      <c r="H59" s="197"/>
      <c r="I59" s="197"/>
      <c r="J59" s="197"/>
      <c r="K59" s="197"/>
      <c r="L59" s="197"/>
      <c r="M59" s="197"/>
    </row>
    <row r="60" spans="2:18" x14ac:dyDescent="0.2">
      <c r="B60" s="198"/>
      <c r="C60" s="197"/>
      <c r="D60" s="197"/>
      <c r="E60" s="197"/>
      <c r="F60" s="197"/>
      <c r="G60" s="197"/>
      <c r="H60" s="197"/>
      <c r="I60" s="197"/>
      <c r="J60" s="197"/>
      <c r="K60" s="197"/>
      <c r="L60" s="197"/>
      <c r="M60" s="197"/>
    </row>
  </sheetData>
  <mergeCells count="35">
    <mergeCell ref="B57:G57"/>
    <mergeCell ref="B55:K55"/>
    <mergeCell ref="B56:L56"/>
    <mergeCell ref="I21:K23"/>
    <mergeCell ref="I52:L52"/>
    <mergeCell ref="B45:H45"/>
    <mergeCell ref="B51:H51"/>
    <mergeCell ref="I43:L51"/>
    <mergeCell ref="L21:L22"/>
    <mergeCell ref="B50:H50"/>
    <mergeCell ref="J25:L25"/>
    <mergeCell ref="B48:H48"/>
    <mergeCell ref="E2:J2"/>
    <mergeCell ref="B23:G23"/>
    <mergeCell ref="D4:L5"/>
    <mergeCell ref="B5:C5"/>
    <mergeCell ref="L23:L24"/>
    <mergeCell ref="B3:C4"/>
    <mergeCell ref="D3:L3"/>
    <mergeCell ref="K6:L6"/>
    <mergeCell ref="B6:C6"/>
    <mergeCell ref="B24:G24"/>
    <mergeCell ref="B16:C16"/>
    <mergeCell ref="I6:J6"/>
    <mergeCell ref="D6:E6"/>
    <mergeCell ref="H21:H22"/>
    <mergeCell ref="B21:G22"/>
    <mergeCell ref="I20:K20"/>
    <mergeCell ref="F6:H6"/>
    <mergeCell ref="F7:G7"/>
    <mergeCell ref="F13:H13"/>
    <mergeCell ref="B49:H49"/>
    <mergeCell ref="B43:H43"/>
    <mergeCell ref="B46:H46"/>
    <mergeCell ref="B44:H44"/>
  </mergeCells>
  <phoneticPr fontId="0" type="noConversion"/>
  <conditionalFormatting sqref="C26:C37">
    <cfRule type="dataBar" priority="8">
      <dataBar>
        <cfvo type="min"/>
        <cfvo type="max"/>
        <color rgb="FF63C384"/>
      </dataBar>
      <extLst>
        <ext xmlns:x14="http://schemas.microsoft.com/office/spreadsheetml/2009/9/main" uri="{B025F937-C7B1-47D3-B67F-A62EFF666E3E}">
          <x14:id>{D3ADDE87-5B0E-42F2-9151-486AD3ED9D06}</x14:id>
        </ext>
      </extLst>
    </cfRule>
  </conditionalFormatting>
  <conditionalFormatting sqref="D26:D37">
    <cfRule type="dataBar" priority="7">
      <dataBar>
        <cfvo type="min"/>
        <cfvo type="max"/>
        <color rgb="FF638EC6"/>
      </dataBar>
      <extLst>
        <ext xmlns:x14="http://schemas.microsoft.com/office/spreadsheetml/2009/9/main" uri="{B025F937-C7B1-47D3-B67F-A62EFF666E3E}">
          <x14:id>{90926C5E-C217-4F54-9D20-55CC0B74CBF1}</x14:id>
        </ext>
      </extLst>
    </cfRule>
  </conditionalFormatting>
  <conditionalFormatting sqref="E26:E37">
    <cfRule type="dataBar" priority="5">
      <dataBar>
        <cfvo type="min"/>
        <cfvo type="max"/>
        <color rgb="FFFF555A"/>
      </dataBar>
      <extLst>
        <ext xmlns:x14="http://schemas.microsoft.com/office/spreadsheetml/2009/9/main" uri="{B025F937-C7B1-47D3-B67F-A62EFF666E3E}">
          <x14:id>{DA9CA75A-54D4-4021-B15A-2AC6EED8FD64}</x14:id>
        </ext>
      </extLst>
    </cfRule>
  </conditionalFormatting>
  <conditionalFormatting sqref="F26:F37">
    <cfRule type="dataBar" priority="4">
      <dataBar>
        <cfvo type="min"/>
        <cfvo type="max"/>
        <color rgb="FFFFB628"/>
      </dataBar>
      <extLst>
        <ext xmlns:x14="http://schemas.microsoft.com/office/spreadsheetml/2009/9/main" uri="{B025F937-C7B1-47D3-B67F-A62EFF666E3E}">
          <x14:id>{5B5E3F04-9390-4404-85E0-91C01DED2966}</x14:id>
        </ext>
      </extLst>
    </cfRule>
  </conditionalFormatting>
  <conditionalFormatting sqref="G26:G37">
    <cfRule type="dataBar" priority="3">
      <dataBar>
        <cfvo type="min"/>
        <cfvo type="max"/>
        <color rgb="FF008AEF"/>
      </dataBar>
      <extLst>
        <ext xmlns:x14="http://schemas.microsoft.com/office/spreadsheetml/2009/9/main" uri="{B025F937-C7B1-47D3-B67F-A62EFF666E3E}">
          <x14:id>{BC29E0F4-8B33-4C58-8D94-E741EF7BE588}</x14:id>
        </ext>
      </extLst>
    </cfRule>
  </conditionalFormatting>
  <conditionalFormatting sqref="H26:H37">
    <cfRule type="dataBar" priority="2">
      <dataBar>
        <cfvo type="min"/>
        <cfvo type="max"/>
        <color rgb="FFD6007B"/>
      </dataBar>
      <extLst>
        <ext xmlns:x14="http://schemas.microsoft.com/office/spreadsheetml/2009/9/main" uri="{B025F937-C7B1-47D3-B67F-A62EFF666E3E}">
          <x14:id>{AC9821C0-23E9-4CD6-9618-53E0220B8D63}</x14:id>
        </ext>
      </extLst>
    </cfRule>
  </conditionalFormatting>
  <conditionalFormatting sqref="I26:I37">
    <cfRule type="dataBar" priority="1">
      <dataBar>
        <cfvo type="min"/>
        <cfvo type="max"/>
        <color rgb="FF63C384"/>
      </dataBar>
      <extLst>
        <ext xmlns:x14="http://schemas.microsoft.com/office/spreadsheetml/2009/9/main" uri="{B025F937-C7B1-47D3-B67F-A62EFF666E3E}">
          <x14:id>{F8945579-9174-4E65-9688-3B8D5D14334E}</x14:id>
        </ext>
      </extLst>
    </cfRule>
  </conditionalFormatting>
  <printOptions horizontalCentered="1" verticalCentered="1"/>
  <pageMargins left="0" right="0" top="0.19685039370078741" bottom="0.19685039370078741" header="0" footer="0"/>
  <pageSetup paperSize="134" scale="65" orientation="landscape" r:id="rId1"/>
  <headerFooter alignWithMargins="0"/>
  <ignoredErrors>
    <ignoredError sqref="P28:P30 N28" evalError="1"/>
  </ignoredErrors>
  <drawing r:id="rId2"/>
  <legacyDrawing r:id="rId3"/>
  <extLst>
    <ext xmlns:x14="http://schemas.microsoft.com/office/spreadsheetml/2009/9/main" uri="{78C0D931-6437-407d-A8EE-F0AAD7539E65}">
      <x14:conditionalFormattings>
        <x14:conditionalFormatting xmlns:xm="http://schemas.microsoft.com/office/excel/2006/main">
          <x14:cfRule type="dataBar" id="{D3ADDE87-5B0E-42F2-9151-486AD3ED9D06}">
            <x14:dataBar minLength="0" maxLength="100" border="1" negativeBarBorderColorSameAsPositive="0">
              <x14:cfvo type="autoMin"/>
              <x14:cfvo type="autoMax"/>
              <x14:borderColor rgb="FF63C384"/>
              <x14:negativeFillColor rgb="FFFF0000"/>
              <x14:negativeBorderColor rgb="FFFF0000"/>
              <x14:axisColor rgb="FF000000"/>
            </x14:dataBar>
          </x14:cfRule>
          <xm:sqref>C26:C37</xm:sqref>
        </x14:conditionalFormatting>
        <x14:conditionalFormatting xmlns:xm="http://schemas.microsoft.com/office/excel/2006/main">
          <x14:cfRule type="dataBar" id="{90926C5E-C217-4F54-9D20-55CC0B74CBF1}">
            <x14:dataBar minLength="0" maxLength="100" border="1" negativeBarBorderColorSameAsPositive="0">
              <x14:cfvo type="autoMin"/>
              <x14:cfvo type="autoMax"/>
              <x14:borderColor rgb="FF638EC6"/>
              <x14:negativeFillColor rgb="FFFF0000"/>
              <x14:negativeBorderColor rgb="FFFF0000"/>
              <x14:axisColor rgb="FF000000"/>
            </x14:dataBar>
          </x14:cfRule>
          <xm:sqref>D26:D37</xm:sqref>
        </x14:conditionalFormatting>
        <x14:conditionalFormatting xmlns:xm="http://schemas.microsoft.com/office/excel/2006/main">
          <x14:cfRule type="dataBar" id="{DA9CA75A-54D4-4021-B15A-2AC6EED8FD64}">
            <x14:dataBar minLength="0" maxLength="100" border="1" negativeBarBorderColorSameAsPositive="0">
              <x14:cfvo type="autoMin"/>
              <x14:cfvo type="autoMax"/>
              <x14:borderColor rgb="FFFF555A"/>
              <x14:negativeFillColor rgb="FFFF0000"/>
              <x14:negativeBorderColor rgb="FFFF0000"/>
              <x14:axisColor rgb="FF000000"/>
            </x14:dataBar>
          </x14:cfRule>
          <xm:sqref>E26:E37</xm:sqref>
        </x14:conditionalFormatting>
        <x14:conditionalFormatting xmlns:xm="http://schemas.microsoft.com/office/excel/2006/main">
          <x14:cfRule type="dataBar" id="{5B5E3F04-9390-4404-85E0-91C01DED2966}">
            <x14:dataBar minLength="0" maxLength="100" border="1" negativeBarBorderColorSameAsPositive="0">
              <x14:cfvo type="autoMin"/>
              <x14:cfvo type="autoMax"/>
              <x14:borderColor rgb="FFFFB628"/>
              <x14:negativeFillColor rgb="FFFF0000"/>
              <x14:negativeBorderColor rgb="FFFF0000"/>
              <x14:axisColor rgb="FF000000"/>
            </x14:dataBar>
          </x14:cfRule>
          <xm:sqref>F26:F37</xm:sqref>
        </x14:conditionalFormatting>
        <x14:conditionalFormatting xmlns:xm="http://schemas.microsoft.com/office/excel/2006/main">
          <x14:cfRule type="dataBar" id="{BC29E0F4-8B33-4C58-8D94-E741EF7BE588}">
            <x14:dataBar minLength="0" maxLength="100" border="1" negativeBarBorderColorSameAsPositive="0">
              <x14:cfvo type="autoMin"/>
              <x14:cfvo type="autoMax"/>
              <x14:borderColor rgb="FF008AEF"/>
              <x14:negativeFillColor rgb="FFFF0000"/>
              <x14:negativeBorderColor rgb="FFFF0000"/>
              <x14:axisColor rgb="FF000000"/>
            </x14:dataBar>
          </x14:cfRule>
          <xm:sqref>G26:G37</xm:sqref>
        </x14:conditionalFormatting>
        <x14:conditionalFormatting xmlns:xm="http://schemas.microsoft.com/office/excel/2006/main">
          <x14:cfRule type="dataBar" id="{AC9821C0-23E9-4CD6-9618-53E0220B8D63}">
            <x14:dataBar minLength="0" maxLength="100" border="1" negativeBarBorderColorSameAsPositive="0">
              <x14:cfvo type="autoMin"/>
              <x14:cfvo type="autoMax"/>
              <x14:borderColor rgb="FFD6007B"/>
              <x14:negativeFillColor rgb="FFFF0000"/>
              <x14:negativeBorderColor rgb="FFFF0000"/>
              <x14:axisColor rgb="FF000000"/>
            </x14:dataBar>
          </x14:cfRule>
          <xm:sqref>H26:H37</xm:sqref>
        </x14:conditionalFormatting>
        <x14:conditionalFormatting xmlns:xm="http://schemas.microsoft.com/office/excel/2006/main">
          <x14:cfRule type="dataBar" id="{F8945579-9174-4E65-9688-3B8D5D14334E}">
            <x14:dataBar minLength="0" maxLength="100" border="1" negativeBarBorderColorSameAsPositive="0">
              <x14:cfvo type="autoMin"/>
              <x14:cfvo type="autoMax"/>
              <x14:borderColor rgb="FF63C384"/>
              <x14:negativeFillColor rgb="FFFF0000"/>
              <x14:negativeBorderColor rgb="FFFF0000"/>
              <x14:axisColor rgb="FF000000"/>
            </x14:dataBar>
          </x14:cfRule>
          <xm:sqref>I26:I37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Acuerdo!$A$1:$A$6</xm:f>
          </x14:formula1>
          <xm:sqref>H21:H22</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tabColor theme="9"/>
  </sheetPr>
  <dimension ref="B1:AK280"/>
  <sheetViews>
    <sheetView showGridLines="0" tabSelected="1" zoomScale="89" zoomScaleNormal="89" workbookViewId="0">
      <selection activeCell="I48" sqref="I48"/>
    </sheetView>
  </sheetViews>
  <sheetFormatPr defaultColWidth="11.42578125" defaultRowHeight="12.75" x14ac:dyDescent="0.2"/>
  <cols>
    <col min="1" max="1" width="10" customWidth="1"/>
    <col min="2" max="2" width="38" bestFit="1" customWidth="1"/>
    <col min="3" max="3" width="17.140625" style="4" bestFit="1" customWidth="1"/>
    <col min="4" max="4" width="31.42578125" bestFit="1" customWidth="1"/>
    <col min="5" max="6" width="15.42578125" customWidth="1"/>
    <col min="7" max="7" width="15.28515625" customWidth="1"/>
    <col min="8" max="8" width="15.28515625" bestFit="1" customWidth="1"/>
    <col min="9" max="9" width="18.28515625" bestFit="1" customWidth="1"/>
    <col min="10" max="10" width="23.140625" bestFit="1" customWidth="1"/>
    <col min="11" max="11" width="13.7109375" bestFit="1" customWidth="1"/>
    <col min="12" max="12" width="22.42578125" bestFit="1" customWidth="1"/>
    <col min="13" max="13" width="19.28515625" bestFit="1" customWidth="1"/>
    <col min="14" max="14" width="18.42578125" bestFit="1" customWidth="1"/>
    <col min="15" max="15" width="22.42578125" bestFit="1" customWidth="1"/>
    <col min="16" max="16" width="16.7109375" bestFit="1" customWidth="1"/>
    <col min="17" max="17" width="16.42578125" customWidth="1"/>
    <col min="18" max="19" width="15.28515625" customWidth="1"/>
    <col min="20" max="20" width="18.140625" customWidth="1"/>
    <col min="21" max="21" width="9.7109375" bestFit="1" customWidth="1"/>
    <col min="22" max="22" width="29.42578125" bestFit="1" customWidth="1"/>
    <col min="23" max="24" width="11.42578125" bestFit="1" customWidth="1"/>
    <col min="25" max="26" width="11.7109375" bestFit="1" customWidth="1"/>
    <col min="35" max="35" width="25" bestFit="1" customWidth="1"/>
  </cols>
  <sheetData>
    <row r="1" spans="2:11" ht="7.5" customHeight="1" thickBot="1" x14ac:dyDescent="0.25"/>
    <row r="2" spans="2:11" ht="20.25" x14ac:dyDescent="0.3">
      <c r="B2" s="674" t="s">
        <v>414</v>
      </c>
      <c r="C2" s="674"/>
      <c r="D2" s="674"/>
      <c r="E2" s="674"/>
      <c r="F2" s="674"/>
      <c r="G2" s="674"/>
      <c r="H2" s="674"/>
      <c r="I2" s="284"/>
      <c r="J2" s="485"/>
    </row>
    <row r="3" spans="2:11" x14ac:dyDescent="0.2">
      <c r="B3" s="167"/>
      <c r="C3" s="30">
        <v>2023</v>
      </c>
      <c r="D3" s="30">
        <f>C3-1</f>
        <v>2022</v>
      </c>
      <c r="E3" s="30" t="s">
        <v>117</v>
      </c>
      <c r="F3" s="30" t="s">
        <v>65</v>
      </c>
      <c r="G3" s="30" t="s">
        <v>64</v>
      </c>
      <c r="H3" s="32" t="s">
        <v>57</v>
      </c>
      <c r="I3" s="13"/>
      <c r="J3" s="13"/>
      <c r="K3" s="11"/>
    </row>
    <row r="4" spans="2:11" x14ac:dyDescent="0.2">
      <c r="B4" s="34" t="s">
        <v>451</v>
      </c>
      <c r="C4" s="1">
        <f>+Cifras_en_Millones!C5</f>
        <v>12984.398999999999</v>
      </c>
      <c r="D4" s="1">
        <f>+Cifras_en_Millones!D5</f>
        <v>12368.198</v>
      </c>
      <c r="E4" s="7">
        <v>1282.4000000000001</v>
      </c>
      <c r="F4" s="12">
        <f>+C4/$C$27</f>
        <v>1</v>
      </c>
      <c r="G4" s="15">
        <f>+E4/C14</f>
        <v>9.8764679058306826E-2</v>
      </c>
      <c r="H4" s="443">
        <f>+C4/D4-1</f>
        <v>4.9821404864313967E-2</v>
      </c>
      <c r="I4" s="400" t="str">
        <f t="shared" ref="I4:I13" si="0">IF(C4="","",IF(F4=0,"NA",TEXT(F4,"0%"))&amp;"; "&amp;IF(G4=0,"NA",TEXT(G4,"0.0%"))&amp;"; "&amp;IF(H4=0,"NA",TEXT(H4,"0%")))</f>
        <v>100%; 1.0%; 5%</v>
      </c>
    </row>
    <row r="5" spans="2:11" x14ac:dyDescent="0.2">
      <c r="B5" s="168"/>
      <c r="C5" s="1"/>
      <c r="D5" s="1"/>
      <c r="E5" s="7"/>
      <c r="F5" s="12"/>
      <c r="G5" s="12"/>
      <c r="H5" s="33"/>
      <c r="I5" s="400" t="str">
        <f t="shared" si="0"/>
        <v/>
      </c>
    </row>
    <row r="6" spans="2:11" x14ac:dyDescent="0.2">
      <c r="B6" s="168"/>
      <c r="C6" s="1"/>
      <c r="D6" s="1"/>
      <c r="E6" s="7"/>
      <c r="F6" s="12"/>
      <c r="G6" s="12"/>
      <c r="H6" s="33"/>
      <c r="I6" s="400" t="str">
        <f t="shared" si="0"/>
        <v/>
      </c>
    </row>
    <row r="7" spans="2:11" x14ac:dyDescent="0.2">
      <c r="B7" s="168"/>
      <c r="C7" s="169"/>
      <c r="D7" s="169"/>
      <c r="E7" s="7"/>
      <c r="F7" s="12"/>
      <c r="G7" s="170"/>
      <c r="H7" s="171"/>
      <c r="I7" s="400" t="str">
        <f t="shared" si="0"/>
        <v/>
      </c>
    </row>
    <row r="8" spans="2:11" x14ac:dyDescent="0.2">
      <c r="B8" s="168"/>
      <c r="C8" s="1"/>
      <c r="D8" s="1"/>
      <c r="E8" s="7"/>
      <c r="F8" s="12"/>
      <c r="G8" s="12"/>
      <c r="H8" s="33"/>
      <c r="I8" s="400" t="str">
        <f t="shared" si="0"/>
        <v/>
      </c>
    </row>
    <row r="9" spans="2:11" x14ac:dyDescent="0.2">
      <c r="B9" s="154"/>
      <c r="C9" s="1"/>
      <c r="D9" s="127"/>
      <c r="E9" s="147"/>
      <c r="F9" s="12"/>
      <c r="G9" s="12"/>
      <c r="H9" s="33"/>
      <c r="I9" s="400" t="str">
        <f t="shared" si="0"/>
        <v/>
      </c>
    </row>
    <row r="10" spans="2:11" x14ac:dyDescent="0.2">
      <c r="B10" s="154"/>
      <c r="C10" s="137"/>
      <c r="D10" s="127"/>
      <c r="E10" s="7"/>
      <c r="F10" s="12"/>
      <c r="G10" s="12"/>
      <c r="H10" s="33"/>
      <c r="I10" s="400" t="str">
        <f t="shared" si="0"/>
        <v/>
      </c>
    </row>
    <row r="11" spans="2:11" x14ac:dyDescent="0.2">
      <c r="B11" s="154"/>
      <c r="C11" s="1"/>
      <c r="D11" s="127"/>
      <c r="E11" s="7"/>
      <c r="F11" s="12"/>
      <c r="G11" s="12"/>
      <c r="H11" s="33"/>
      <c r="I11" s="400" t="str">
        <f t="shared" si="0"/>
        <v/>
      </c>
    </row>
    <row r="12" spans="2:11" x14ac:dyDescent="0.2">
      <c r="B12" s="154"/>
      <c r="C12" s="1"/>
      <c r="D12" s="127"/>
      <c r="E12" s="7"/>
      <c r="F12" s="12"/>
      <c r="G12" s="12"/>
      <c r="H12" s="33"/>
      <c r="I12" s="400" t="str">
        <f t="shared" si="0"/>
        <v/>
      </c>
    </row>
    <row r="13" spans="2:11" x14ac:dyDescent="0.2">
      <c r="B13" s="153"/>
      <c r="C13" s="155"/>
      <c r="D13" s="155"/>
      <c r="E13" s="7"/>
      <c r="F13" s="12"/>
      <c r="G13" s="156"/>
      <c r="H13" s="157"/>
      <c r="I13" s="400" t="str">
        <f t="shared" si="0"/>
        <v/>
      </c>
    </row>
    <row r="14" spans="2:11" x14ac:dyDescent="0.2">
      <c r="B14" s="35" t="s">
        <v>111</v>
      </c>
      <c r="C14" s="74">
        <f>SUM(C4:C12)</f>
        <v>12984.398999999999</v>
      </c>
      <c r="D14" s="74">
        <f>SUM(D4:D12)</f>
        <v>12368.198</v>
      </c>
      <c r="E14" s="50">
        <f>SUM(E4:E13)</f>
        <v>1282.4000000000001</v>
      </c>
      <c r="F14" s="31">
        <f>C14/SUM($C$4:$C$13)</f>
        <v>1</v>
      </c>
      <c r="G14" s="114">
        <f>E14/C14</f>
        <v>9.8764679058306826E-2</v>
      </c>
      <c r="H14" s="36">
        <f>C14/D14-1</f>
        <v>4.9821404864313967E-2</v>
      </c>
      <c r="I14" s="285"/>
    </row>
    <row r="15" spans="2:11" ht="15" customHeight="1" x14ac:dyDescent="0.3">
      <c r="B15" s="675" t="s">
        <v>415</v>
      </c>
      <c r="C15" s="675"/>
      <c r="D15" s="675"/>
      <c r="E15" s="675"/>
      <c r="F15" s="675"/>
      <c r="G15" s="675"/>
      <c r="H15" s="675"/>
      <c r="I15" s="284"/>
    </row>
    <row r="16" spans="2:11" x14ac:dyDescent="0.2">
      <c r="B16" s="35"/>
      <c r="C16" s="30">
        <v>2023</v>
      </c>
      <c r="D16" s="30">
        <f>C16-1</f>
        <v>2022</v>
      </c>
      <c r="E16" s="30" t="s">
        <v>58</v>
      </c>
      <c r="F16" s="30" t="s">
        <v>65</v>
      </c>
      <c r="G16" s="30" t="s">
        <v>64</v>
      </c>
      <c r="H16" s="32" t="s">
        <v>57</v>
      </c>
      <c r="I16" s="13"/>
      <c r="K16" s="11"/>
    </row>
    <row r="17" spans="2:16" x14ac:dyDescent="0.2">
      <c r="B17" s="444" t="s">
        <v>448</v>
      </c>
      <c r="C17" s="1">
        <f>+C198</f>
        <v>4915.5</v>
      </c>
      <c r="D17" s="1">
        <v>4952.2</v>
      </c>
      <c r="E17" s="113" t="s">
        <v>452</v>
      </c>
      <c r="F17" s="12">
        <f>+C17/$C$27</f>
        <v>0.37856969737297813</v>
      </c>
      <c r="G17" s="113" t="s">
        <v>452</v>
      </c>
      <c r="H17" s="443">
        <f t="shared" ref="H17:H20" si="1">+C17/D17-1</f>
        <v>-7.4108477040506493E-3</v>
      </c>
      <c r="I17" s="400" t="str">
        <f t="shared" ref="I17:I26" si="2">IF(C17="","",IF(F17=0,"NA",TEXT(F17,"0%"))&amp;"; "&amp;IF(G17=0,"NA",TEXT(G17,"0.0%"))&amp;"; "&amp;IF(H17=0,"NA",TEXT(H17,"0%")))</f>
        <v>38%; NA; -1%</v>
      </c>
      <c r="K17" s="7"/>
    </row>
    <row r="18" spans="2:16" x14ac:dyDescent="0.2">
      <c r="B18" s="34" t="s">
        <v>449</v>
      </c>
      <c r="C18" s="1">
        <f>+Segments!C200</f>
        <v>4329.8</v>
      </c>
      <c r="D18" s="1">
        <v>4218.1000000000004</v>
      </c>
      <c r="E18" s="113" t="s">
        <v>452</v>
      </c>
      <c r="F18" s="12">
        <f t="shared" ref="F18:F20" si="3">+C18/$C$27</f>
        <v>0.33346171817424897</v>
      </c>
      <c r="G18" s="113" t="s">
        <v>452</v>
      </c>
      <c r="H18" s="443">
        <f t="shared" si="1"/>
        <v>2.6481117090633166E-2</v>
      </c>
      <c r="I18" s="400" t="str">
        <f t="shared" si="2"/>
        <v>33%; NA; 3%</v>
      </c>
      <c r="K18" s="7"/>
      <c r="L18" s="112"/>
    </row>
    <row r="19" spans="2:16" x14ac:dyDescent="0.2">
      <c r="B19" s="34" t="s">
        <v>450</v>
      </c>
      <c r="C19" s="1">
        <f>+C202</f>
        <v>3388.7</v>
      </c>
      <c r="D19" s="1">
        <v>2979.1</v>
      </c>
      <c r="E19" s="113" t="s">
        <v>452</v>
      </c>
      <c r="F19" s="12">
        <f t="shared" si="3"/>
        <v>0.26098242976051489</v>
      </c>
      <c r="G19" s="113" t="s">
        <v>452</v>
      </c>
      <c r="H19" s="443">
        <f t="shared" si="1"/>
        <v>0.13749118861401088</v>
      </c>
      <c r="I19" s="400" t="str">
        <f t="shared" si="2"/>
        <v>26%; NA; 14%</v>
      </c>
      <c r="K19" s="7"/>
    </row>
    <row r="20" spans="2:16" x14ac:dyDescent="0.2">
      <c r="B20" s="34" t="s">
        <v>381</v>
      </c>
      <c r="C20" s="1">
        <f>+C204</f>
        <v>350.4</v>
      </c>
      <c r="D20" s="1">
        <v>218.8</v>
      </c>
      <c r="E20" s="113" t="s">
        <v>452</v>
      </c>
      <c r="F20" s="12">
        <f t="shared" si="3"/>
        <v>2.6986231707759441E-2</v>
      </c>
      <c r="G20" s="113" t="s">
        <v>452</v>
      </c>
      <c r="H20" s="443">
        <f t="shared" si="1"/>
        <v>0.60146252285191948</v>
      </c>
      <c r="I20" s="400" t="str">
        <f t="shared" si="2"/>
        <v>3%; NA; 60%</v>
      </c>
      <c r="K20" s="7"/>
    </row>
    <row r="21" spans="2:16" x14ac:dyDescent="0.2">
      <c r="B21" s="168"/>
      <c r="C21" s="1"/>
      <c r="D21" s="1"/>
      <c r="E21" s="113">
        <f>+E4</f>
        <v>1282.4000000000001</v>
      </c>
      <c r="F21" s="12"/>
      <c r="G21" s="12"/>
      <c r="H21" s="33"/>
      <c r="I21" s="400" t="str">
        <f t="shared" si="2"/>
        <v/>
      </c>
      <c r="K21" s="7"/>
    </row>
    <row r="22" spans="2:16" x14ac:dyDescent="0.2">
      <c r="B22" s="168"/>
      <c r="C22" s="1"/>
      <c r="D22" s="1"/>
      <c r="E22" s="113"/>
      <c r="F22" s="12"/>
      <c r="G22" s="12"/>
      <c r="H22" s="33"/>
      <c r="I22" s="400" t="str">
        <f t="shared" si="2"/>
        <v/>
      </c>
    </row>
    <row r="23" spans="2:16" x14ac:dyDescent="0.2">
      <c r="B23" s="34"/>
      <c r="C23" s="1"/>
      <c r="D23" s="1"/>
      <c r="E23" s="113"/>
      <c r="F23" s="12"/>
      <c r="G23" s="12"/>
      <c r="H23" s="33"/>
      <c r="I23" s="400" t="str">
        <f t="shared" si="2"/>
        <v/>
      </c>
    </row>
    <row r="24" spans="2:16" x14ac:dyDescent="0.2">
      <c r="B24" s="34"/>
      <c r="C24" s="1"/>
      <c r="D24" s="1"/>
      <c r="E24" s="113"/>
      <c r="F24" s="12"/>
      <c r="G24" s="12"/>
      <c r="H24" s="33"/>
      <c r="I24" s="400" t="str">
        <f t="shared" si="2"/>
        <v/>
      </c>
    </row>
    <row r="25" spans="2:16" x14ac:dyDescent="0.2">
      <c r="B25" s="34"/>
      <c r="C25" s="1"/>
      <c r="D25" s="7"/>
      <c r="E25" s="7"/>
      <c r="F25" s="12"/>
      <c r="G25" s="12"/>
      <c r="H25" s="33"/>
      <c r="I25" s="400" t="str">
        <f t="shared" si="2"/>
        <v/>
      </c>
    </row>
    <row r="26" spans="2:16" x14ac:dyDescent="0.2">
      <c r="B26" s="34"/>
      <c r="C26" s="1"/>
      <c r="D26" s="7"/>
      <c r="E26" s="7"/>
      <c r="F26" s="12"/>
      <c r="G26" s="12"/>
      <c r="H26" s="33"/>
      <c r="I26" s="400" t="str">
        <f t="shared" si="2"/>
        <v/>
      </c>
    </row>
    <row r="27" spans="2:16" ht="13.5" thickBot="1" x14ac:dyDescent="0.25">
      <c r="B27" s="37" t="s">
        <v>111</v>
      </c>
      <c r="C27" s="75">
        <f>+Cifras_en_Millones!C5</f>
        <v>12984.398999999999</v>
      </c>
      <c r="D27" s="75">
        <f>+Cifras_en_Millones!D5</f>
        <v>12368.198</v>
      </c>
      <c r="E27" s="51">
        <f>SUM(E17:E26)</f>
        <v>1282.4000000000001</v>
      </c>
      <c r="F27" s="38">
        <f>C27/SUM(C17:C26)</f>
        <v>0.99999992298450446</v>
      </c>
      <c r="G27" s="138">
        <f>E27/C27</f>
        <v>9.8764679058306826E-2</v>
      </c>
      <c r="H27" s="39">
        <f>C27/D27-1</f>
        <v>4.9821404864313967E-2</v>
      </c>
      <c r="I27" s="285"/>
      <c r="J27" s="285"/>
    </row>
    <row r="29" spans="2:16" x14ac:dyDescent="0.2">
      <c r="L29" s="514">
        <v>45622</v>
      </c>
    </row>
    <row r="30" spans="2:16" ht="15.75" x14ac:dyDescent="0.25">
      <c r="B30" s="476" t="s">
        <v>472</v>
      </c>
      <c r="C30" s="477" t="s">
        <v>334</v>
      </c>
      <c r="L30" s="515" t="s">
        <v>588</v>
      </c>
      <c r="M30" s="197"/>
      <c r="N30" s="197"/>
      <c r="O30" s="197"/>
      <c r="P30" s="516"/>
    </row>
    <row r="31" spans="2:16" ht="15.75" x14ac:dyDescent="0.25">
      <c r="B31" s="480" t="s">
        <v>473</v>
      </c>
      <c r="C31" s="481">
        <v>0.89</v>
      </c>
      <c r="L31" s="513" t="s">
        <v>601</v>
      </c>
      <c r="P31" s="508"/>
    </row>
    <row r="32" spans="2:16" ht="15" x14ac:dyDescent="0.2">
      <c r="B32" s="478" t="s">
        <v>475</v>
      </c>
      <c r="C32" s="479">
        <v>0.05</v>
      </c>
      <c r="L32" s="509" t="s">
        <v>589</v>
      </c>
      <c r="P32" s="508"/>
    </row>
    <row r="33" spans="2:37" ht="15" x14ac:dyDescent="0.2">
      <c r="B33" s="478" t="s">
        <v>474</v>
      </c>
      <c r="C33" s="479">
        <v>0.04</v>
      </c>
      <c r="L33" s="509" t="s">
        <v>590</v>
      </c>
      <c r="P33" s="508"/>
    </row>
    <row r="34" spans="2:37" ht="15" x14ac:dyDescent="0.2">
      <c r="B34" s="478" t="s">
        <v>476</v>
      </c>
      <c r="C34" s="479">
        <v>0.02</v>
      </c>
      <c r="L34" s="509" t="s">
        <v>591</v>
      </c>
      <c r="P34" s="508"/>
    </row>
    <row r="35" spans="2:37" x14ac:dyDescent="0.2">
      <c r="B35" s="112" t="s">
        <v>477</v>
      </c>
      <c r="C35" s="1"/>
      <c r="L35" s="509" t="s">
        <v>592</v>
      </c>
      <c r="P35" s="508"/>
      <c r="Q35" s="482"/>
      <c r="R35" s="482"/>
      <c r="S35" s="482"/>
      <c r="T35" s="482"/>
      <c r="U35" s="482"/>
      <c r="V35" s="482"/>
      <c r="W35" s="483"/>
      <c r="X35" s="483"/>
      <c r="Y35" s="483"/>
      <c r="Z35" s="483"/>
      <c r="AA35" s="483"/>
      <c r="AB35" s="483"/>
    </row>
    <row r="36" spans="2:37" x14ac:dyDescent="0.2">
      <c r="B36" s="112" t="s">
        <v>600</v>
      </c>
      <c r="C36" s="1"/>
      <c r="L36" s="509" t="s">
        <v>593</v>
      </c>
      <c r="P36" s="508"/>
      <c r="Q36" s="483"/>
      <c r="R36" s="483"/>
      <c r="S36" s="483"/>
      <c r="T36" s="483"/>
      <c r="U36" s="483"/>
      <c r="V36" s="484"/>
      <c r="W36" s="483"/>
      <c r="X36" s="483"/>
      <c r="Y36" s="483"/>
      <c r="Z36" s="483"/>
      <c r="AA36" s="483"/>
      <c r="AB36" s="483"/>
    </row>
    <row r="37" spans="2:37" ht="15.75" x14ac:dyDescent="0.25">
      <c r="F37" s="252"/>
      <c r="H37" s="201"/>
      <c r="I37" s="201"/>
      <c r="J37" s="201"/>
      <c r="K37" s="201"/>
      <c r="L37" s="517" t="s">
        <v>602</v>
      </c>
      <c r="M37" s="506"/>
      <c r="N37" s="518"/>
      <c r="O37" s="506"/>
      <c r="P37" s="507"/>
      <c r="Q37" s="483"/>
      <c r="R37" s="483"/>
      <c r="S37" s="483"/>
      <c r="T37" s="483"/>
      <c r="U37" s="483"/>
      <c r="V37" s="484"/>
      <c r="W37" s="483"/>
      <c r="X37" s="483"/>
      <c r="Y37" s="483"/>
      <c r="Z37" s="483"/>
      <c r="AA37" s="483"/>
      <c r="AB37" s="483"/>
      <c r="AI37" s="451"/>
      <c r="AJ37" s="452"/>
      <c r="AK37" s="453"/>
    </row>
    <row r="38" spans="2:37" ht="15.75" x14ac:dyDescent="0.25">
      <c r="F38" s="252"/>
      <c r="L38" s="509" t="s">
        <v>594</v>
      </c>
      <c r="N38" s="483"/>
      <c r="P38" s="508"/>
      <c r="Q38" s="483"/>
      <c r="R38" s="483"/>
      <c r="S38" s="483"/>
      <c r="T38" s="483"/>
      <c r="U38" s="483"/>
      <c r="V38" s="484"/>
      <c r="W38" s="483"/>
      <c r="X38" s="483"/>
      <c r="Y38" s="483"/>
      <c r="Z38" s="483"/>
      <c r="AA38" s="483"/>
      <c r="AB38" s="483"/>
      <c r="AI38" s="454"/>
      <c r="AJ38" s="455"/>
      <c r="AK38" s="456"/>
    </row>
    <row r="39" spans="2:37" ht="15.75" x14ac:dyDescent="0.25">
      <c r="D39" t="s">
        <v>574</v>
      </c>
      <c r="F39" s="252"/>
      <c r="L39" s="509" t="s">
        <v>595</v>
      </c>
      <c r="P39" s="508"/>
      <c r="Q39" s="483"/>
      <c r="R39" s="483"/>
      <c r="S39" s="483"/>
      <c r="T39" s="483"/>
      <c r="U39" s="483"/>
      <c r="V39" s="484"/>
      <c r="W39" s="483"/>
      <c r="X39" s="483"/>
      <c r="Y39" s="483"/>
      <c r="Z39" s="483"/>
      <c r="AA39" s="483"/>
      <c r="AB39" s="483"/>
      <c r="AI39" s="454"/>
      <c r="AJ39" s="455"/>
      <c r="AK39" s="456"/>
    </row>
    <row r="40" spans="2:37" ht="15.75" x14ac:dyDescent="0.25">
      <c r="B40" s="471" t="s">
        <v>487</v>
      </c>
      <c r="C40" s="474" t="s">
        <v>440</v>
      </c>
      <c r="D40" s="475" t="s">
        <v>486</v>
      </c>
      <c r="E40" s="475" t="s">
        <v>311</v>
      </c>
      <c r="F40" s="252"/>
      <c r="L40" s="509" t="s">
        <v>596</v>
      </c>
      <c r="P40" s="508"/>
      <c r="Q40" s="483"/>
      <c r="R40" s="483"/>
      <c r="S40" s="483"/>
      <c r="T40" s="483"/>
      <c r="U40" s="483"/>
      <c r="V40" s="484"/>
      <c r="W40" s="483"/>
      <c r="X40" s="483"/>
      <c r="Y40" s="483"/>
      <c r="Z40" s="483"/>
      <c r="AA40" s="483"/>
      <c r="AB40" s="483"/>
      <c r="AI40" s="451"/>
      <c r="AJ40" s="452"/>
      <c r="AK40" s="453"/>
    </row>
    <row r="41" spans="2:37" s="201" customFormat="1" ht="15.75" x14ac:dyDescent="0.25">
      <c r="B41" s="473" t="s">
        <v>478</v>
      </c>
      <c r="C41" s="473">
        <v>724</v>
      </c>
      <c r="D41" s="473">
        <v>131</v>
      </c>
      <c r="E41" s="473">
        <v>855</v>
      </c>
      <c r="F41" s="252"/>
      <c r="L41" s="509" t="s">
        <v>597</v>
      </c>
      <c r="P41" s="510"/>
      <c r="R41" s="483"/>
      <c r="S41" s="483"/>
      <c r="T41" s="483"/>
      <c r="U41" s="483"/>
      <c r="V41" s="484"/>
      <c r="W41" s="483"/>
      <c r="X41" s="483"/>
      <c r="Y41" s="483"/>
      <c r="Z41" s="483"/>
      <c r="AA41" s="483"/>
      <c r="AB41" s="483"/>
      <c r="AI41" s="451"/>
      <c r="AJ41" s="452"/>
      <c r="AK41" s="453"/>
    </row>
    <row r="42" spans="2:37" ht="15" x14ac:dyDescent="0.2">
      <c r="B42" s="472" t="s">
        <v>479</v>
      </c>
      <c r="C42" s="472">
        <v>1</v>
      </c>
      <c r="D42" s="472">
        <v>3</v>
      </c>
      <c r="E42" s="472">
        <v>4</v>
      </c>
      <c r="L42" s="509" t="s">
        <v>598</v>
      </c>
      <c r="P42" s="508"/>
      <c r="R42" s="483"/>
      <c r="S42" s="483"/>
      <c r="T42" s="483"/>
      <c r="U42" s="483"/>
      <c r="V42" s="484"/>
      <c r="W42" s="483"/>
      <c r="X42" s="483"/>
      <c r="Y42" s="483"/>
      <c r="Z42" s="483"/>
      <c r="AA42" s="483"/>
      <c r="AB42" s="483"/>
      <c r="AI42" s="454"/>
      <c r="AJ42" s="455"/>
      <c r="AK42" s="456"/>
    </row>
    <row r="43" spans="2:37" ht="15" x14ac:dyDescent="0.2">
      <c r="B43" s="472" t="s">
        <v>480</v>
      </c>
      <c r="C43" s="472">
        <v>2</v>
      </c>
      <c r="D43" s="472">
        <v>5</v>
      </c>
      <c r="E43" s="472">
        <v>7</v>
      </c>
      <c r="L43" s="511" t="s">
        <v>599</v>
      </c>
      <c r="M43" s="199"/>
      <c r="N43" s="199"/>
      <c r="O43" s="199"/>
      <c r="P43" s="512"/>
      <c r="R43" s="483"/>
      <c r="S43" s="483"/>
      <c r="T43" s="483"/>
      <c r="U43" s="483"/>
      <c r="V43" s="484"/>
      <c r="W43" s="483"/>
      <c r="X43" s="483"/>
      <c r="Y43" s="483"/>
      <c r="Z43" s="483"/>
      <c r="AA43" s="483"/>
      <c r="AB43" s="483"/>
      <c r="AI43" s="451"/>
      <c r="AJ43" s="452"/>
      <c r="AK43" s="453"/>
    </row>
    <row r="44" spans="2:37" ht="15" x14ac:dyDescent="0.2">
      <c r="B44" s="472" t="s">
        <v>481</v>
      </c>
      <c r="C44" s="472">
        <v>2</v>
      </c>
      <c r="D44" s="472">
        <v>1</v>
      </c>
      <c r="E44" s="472">
        <v>3</v>
      </c>
      <c r="R44" s="483"/>
      <c r="S44" s="483"/>
      <c r="T44" s="483"/>
      <c r="U44" s="483"/>
      <c r="V44" s="484"/>
      <c r="W44" s="483"/>
      <c r="X44" s="483"/>
      <c r="Y44" s="483"/>
      <c r="Z44" s="483"/>
      <c r="AA44" s="483"/>
      <c r="AB44" s="483"/>
      <c r="AI44" s="454"/>
      <c r="AJ44" s="455"/>
      <c r="AK44" s="456"/>
    </row>
    <row r="45" spans="2:37" ht="15" x14ac:dyDescent="0.2">
      <c r="B45" s="472" t="s">
        <v>482</v>
      </c>
      <c r="C45" s="472" t="s">
        <v>466</v>
      </c>
      <c r="D45" s="472" t="s">
        <v>466</v>
      </c>
      <c r="E45" s="478" t="s">
        <v>466</v>
      </c>
      <c r="R45" s="483"/>
      <c r="S45" s="483"/>
      <c r="T45" s="483"/>
      <c r="U45" s="483"/>
      <c r="V45" s="484"/>
      <c r="W45" s="483"/>
      <c r="X45" s="483"/>
      <c r="Y45" s="483"/>
      <c r="Z45" s="483"/>
      <c r="AA45" s="483"/>
      <c r="AB45" s="483"/>
      <c r="AI45" s="454"/>
      <c r="AJ45" s="455"/>
      <c r="AK45" s="456"/>
    </row>
    <row r="46" spans="2:37" ht="15" x14ac:dyDescent="0.2">
      <c r="B46" s="472" t="s">
        <v>483</v>
      </c>
      <c r="C46" s="472">
        <v>2</v>
      </c>
      <c r="D46" s="478">
        <v>3</v>
      </c>
      <c r="E46" s="478">
        <v>5</v>
      </c>
      <c r="R46" s="483"/>
      <c r="S46" s="483"/>
      <c r="T46" s="483"/>
      <c r="U46" s="483"/>
      <c r="V46" s="484"/>
      <c r="W46" s="483"/>
      <c r="X46" s="483"/>
      <c r="Y46" s="483"/>
      <c r="Z46" s="483"/>
      <c r="AA46" s="483"/>
      <c r="AB46" s="483"/>
      <c r="AI46" s="451"/>
      <c r="AJ46" s="452"/>
      <c r="AK46" s="453"/>
    </row>
    <row r="47" spans="2:37" ht="15.75" x14ac:dyDescent="0.25">
      <c r="B47" s="473" t="s">
        <v>484</v>
      </c>
      <c r="C47" s="473">
        <v>727</v>
      </c>
      <c r="D47" s="480">
        <v>137</v>
      </c>
      <c r="E47" s="480">
        <v>864</v>
      </c>
      <c r="R47" s="483"/>
      <c r="S47" s="483"/>
      <c r="T47" s="483"/>
      <c r="U47" s="483"/>
      <c r="V47" s="484"/>
      <c r="W47" s="483"/>
      <c r="X47" s="483"/>
      <c r="Y47" s="483"/>
      <c r="Z47" s="483"/>
      <c r="AA47" s="483"/>
      <c r="AB47" s="483"/>
      <c r="AI47" s="454"/>
      <c r="AJ47" s="455"/>
      <c r="AK47" s="456"/>
    </row>
    <row r="48" spans="2:37" ht="15" x14ac:dyDescent="0.2">
      <c r="B48" s="472" t="s">
        <v>485</v>
      </c>
      <c r="C48" s="472">
        <v>8</v>
      </c>
      <c r="D48" s="478">
        <v>3</v>
      </c>
      <c r="E48" s="478">
        <v>11</v>
      </c>
      <c r="R48" s="483"/>
      <c r="S48" s="483"/>
      <c r="T48" s="483"/>
      <c r="U48" s="483"/>
      <c r="V48" s="484"/>
      <c r="W48" s="483"/>
      <c r="X48" s="483"/>
      <c r="Y48" s="483"/>
      <c r="Z48" s="483"/>
      <c r="AA48" s="483"/>
      <c r="AB48" s="483"/>
      <c r="AI48" s="454"/>
      <c r="AJ48" s="455"/>
      <c r="AK48" s="456"/>
    </row>
    <row r="49" spans="2:37" x14ac:dyDescent="0.2">
      <c r="R49" s="483"/>
      <c r="S49" s="483"/>
      <c r="T49" s="483"/>
      <c r="U49" s="483"/>
      <c r="V49" s="484"/>
      <c r="W49" s="483"/>
      <c r="X49" s="483"/>
      <c r="Y49" s="483"/>
      <c r="Z49" s="483"/>
      <c r="AA49" s="483"/>
      <c r="AB49" s="483"/>
      <c r="AI49" s="451"/>
      <c r="AJ49" s="452"/>
      <c r="AK49" s="453"/>
    </row>
    <row r="50" spans="2:37" x14ac:dyDescent="0.2">
      <c r="R50" s="483"/>
      <c r="S50" s="483"/>
      <c r="T50" s="483"/>
      <c r="U50" s="483"/>
      <c r="V50" s="484"/>
      <c r="W50" s="483"/>
      <c r="X50" s="483"/>
      <c r="Y50" s="483"/>
      <c r="Z50" s="483"/>
      <c r="AA50" s="483"/>
      <c r="AB50" s="483"/>
      <c r="AI50" s="451"/>
      <c r="AJ50" s="452"/>
      <c r="AK50" s="453"/>
    </row>
    <row r="51" spans="2:37" x14ac:dyDescent="0.2">
      <c r="R51" s="483"/>
      <c r="S51" s="483"/>
      <c r="T51" s="483"/>
      <c r="U51" s="483"/>
      <c r="V51" s="484"/>
      <c r="W51" s="483"/>
      <c r="X51" s="483"/>
      <c r="Y51" s="483"/>
      <c r="Z51" s="483"/>
      <c r="AA51" s="483"/>
      <c r="AB51" s="483"/>
      <c r="AI51" s="451"/>
      <c r="AJ51" s="452"/>
      <c r="AK51" s="453"/>
    </row>
    <row r="52" spans="2:37" x14ac:dyDescent="0.2">
      <c r="R52" s="483"/>
      <c r="S52" s="483"/>
      <c r="T52" s="483"/>
      <c r="U52" s="483"/>
      <c r="V52" s="484"/>
      <c r="W52" s="483"/>
      <c r="X52" s="483"/>
      <c r="Y52" s="483"/>
      <c r="Z52" s="483"/>
      <c r="AA52" s="483"/>
      <c r="AB52" s="483"/>
      <c r="AI52" s="451"/>
      <c r="AJ52" s="452"/>
      <c r="AK52" s="453"/>
    </row>
    <row r="53" spans="2:37" ht="14.25" x14ac:dyDescent="0.2">
      <c r="B53" s="499" t="s">
        <v>583</v>
      </c>
      <c r="R53" s="483"/>
      <c r="S53" s="483"/>
      <c r="T53" s="483"/>
      <c r="U53" s="483"/>
      <c r="V53" s="484"/>
      <c r="W53" s="483"/>
      <c r="X53" s="483"/>
      <c r="Y53" s="483"/>
      <c r="Z53" s="483"/>
      <c r="AA53" s="483"/>
      <c r="AB53" s="483"/>
      <c r="AI53" s="454"/>
      <c r="AJ53" s="455"/>
      <c r="AK53" s="456"/>
    </row>
    <row r="54" spans="2:37" ht="15" x14ac:dyDescent="0.2">
      <c r="B54" s="505" t="s">
        <v>577</v>
      </c>
      <c r="C54" s="502">
        <v>109</v>
      </c>
      <c r="D54" s="501" t="s">
        <v>578</v>
      </c>
      <c r="L54" s="504"/>
      <c r="M54" s="501"/>
      <c r="N54" s="501"/>
      <c r="R54" s="483"/>
      <c r="S54" s="483"/>
      <c r="T54" s="483"/>
      <c r="U54" s="483"/>
      <c r="V54" s="484"/>
      <c r="W54" s="483"/>
      <c r="X54" s="483"/>
      <c r="Y54" s="483"/>
      <c r="Z54" s="483"/>
      <c r="AA54" s="483"/>
      <c r="AB54" s="483"/>
      <c r="AI54" s="454"/>
      <c r="AJ54" s="455"/>
      <c r="AK54" s="456"/>
    </row>
    <row r="55" spans="2:37" ht="15" x14ac:dyDescent="0.2">
      <c r="B55" s="472" t="s">
        <v>581</v>
      </c>
      <c r="C55" s="503">
        <v>22</v>
      </c>
      <c r="D55" s="501" t="s">
        <v>584</v>
      </c>
      <c r="L55" s="504"/>
      <c r="M55" s="501"/>
      <c r="N55" s="501"/>
      <c r="R55" s="483"/>
      <c r="S55" s="483"/>
      <c r="T55" s="483"/>
      <c r="U55" s="483"/>
      <c r="V55" s="484"/>
      <c r="W55" s="483"/>
      <c r="X55" s="483"/>
      <c r="Y55" s="483"/>
      <c r="Z55" s="483"/>
      <c r="AA55" s="483"/>
      <c r="AB55" s="483"/>
      <c r="AI55" s="454"/>
      <c r="AJ55" s="455"/>
      <c r="AK55" s="456"/>
    </row>
    <row r="56" spans="2:37" ht="15" x14ac:dyDescent="0.2">
      <c r="B56" s="505" t="s">
        <v>582</v>
      </c>
      <c r="C56" s="502">
        <v>20</v>
      </c>
      <c r="D56" s="501" t="s">
        <v>585</v>
      </c>
      <c r="L56" s="504"/>
      <c r="M56" s="501"/>
      <c r="N56" s="501"/>
      <c r="R56" s="483"/>
      <c r="S56" s="483"/>
      <c r="T56" s="483"/>
      <c r="U56" s="483"/>
      <c r="V56" s="484"/>
      <c r="W56" s="483"/>
      <c r="X56" s="483"/>
      <c r="Y56" s="483"/>
      <c r="Z56" s="483"/>
      <c r="AA56" s="483"/>
      <c r="AB56" s="483"/>
      <c r="AI56" s="454"/>
      <c r="AJ56" s="455"/>
      <c r="AK56" s="456"/>
    </row>
    <row r="57" spans="2:37" ht="15" x14ac:dyDescent="0.2">
      <c r="B57" s="472" t="s">
        <v>575</v>
      </c>
      <c r="C57" s="503">
        <v>17</v>
      </c>
      <c r="D57" s="501" t="s">
        <v>576</v>
      </c>
      <c r="L57" s="504"/>
      <c r="M57" s="501"/>
      <c r="N57" s="501"/>
      <c r="R57" s="483"/>
      <c r="S57" s="483"/>
      <c r="T57" s="483"/>
      <c r="U57" s="483"/>
      <c r="V57" s="484"/>
      <c r="W57" s="483"/>
      <c r="X57" s="483"/>
      <c r="Y57" s="483"/>
      <c r="Z57" s="483"/>
      <c r="AA57" s="483"/>
      <c r="AB57" s="483"/>
      <c r="AI57" s="454"/>
      <c r="AJ57" s="455"/>
      <c r="AK57" s="456"/>
    </row>
    <row r="58" spans="2:37" ht="15" x14ac:dyDescent="0.2">
      <c r="B58" s="505" t="s">
        <v>580</v>
      </c>
      <c r="C58" s="503">
        <v>8</v>
      </c>
      <c r="D58" s="501" t="s">
        <v>587</v>
      </c>
      <c r="L58" s="504"/>
      <c r="M58" s="501"/>
      <c r="N58" s="501"/>
      <c r="R58" s="483"/>
      <c r="S58" s="483"/>
      <c r="T58" s="483"/>
      <c r="U58" s="483"/>
      <c r="V58" s="484"/>
      <c r="W58" s="483"/>
      <c r="X58" s="483"/>
      <c r="Y58" s="483"/>
      <c r="Z58" s="483"/>
      <c r="AA58" s="483"/>
      <c r="AB58" s="483"/>
      <c r="AI58" s="454"/>
      <c r="AJ58" s="455"/>
      <c r="AK58" s="456"/>
    </row>
    <row r="59" spans="2:37" ht="15" x14ac:dyDescent="0.2">
      <c r="B59" s="504"/>
      <c r="C59" s="501"/>
      <c r="D59" s="501"/>
      <c r="R59" s="483"/>
      <c r="S59" s="483"/>
      <c r="T59" s="483"/>
      <c r="U59" s="483"/>
      <c r="V59" s="484"/>
      <c r="W59" s="483"/>
      <c r="X59" s="483"/>
      <c r="Y59" s="483"/>
      <c r="Z59" s="483"/>
      <c r="AA59" s="483"/>
      <c r="AB59" s="483"/>
      <c r="AI59" s="454"/>
      <c r="AJ59" s="455"/>
      <c r="AK59" s="456"/>
    </row>
    <row r="60" spans="2:37" ht="15" x14ac:dyDescent="0.2">
      <c r="E60" s="504" t="s">
        <v>586</v>
      </c>
      <c r="R60" s="483"/>
      <c r="S60" s="483"/>
      <c r="T60" s="483"/>
      <c r="U60" s="483"/>
      <c r="V60" s="484"/>
      <c r="W60" s="483"/>
      <c r="X60" s="483"/>
      <c r="Y60" s="483"/>
      <c r="Z60" s="483"/>
      <c r="AA60" s="483"/>
      <c r="AB60" s="483"/>
      <c r="AI60" s="454"/>
      <c r="AJ60" s="455"/>
      <c r="AK60" s="456"/>
    </row>
    <row r="61" spans="2:37" ht="15" x14ac:dyDescent="0.2">
      <c r="B61" s="504"/>
      <c r="C61" s="501"/>
      <c r="D61" s="501"/>
      <c r="R61" s="483"/>
      <c r="S61" s="483"/>
      <c r="T61" s="483"/>
      <c r="U61" s="483"/>
      <c r="V61" s="484"/>
      <c r="W61" s="483"/>
      <c r="X61" s="483"/>
      <c r="Y61" s="483"/>
      <c r="Z61" s="483"/>
      <c r="AA61" s="483"/>
      <c r="AB61" s="483"/>
      <c r="AI61" s="454"/>
      <c r="AJ61" s="455"/>
      <c r="AK61" s="456"/>
    </row>
    <row r="62" spans="2:37" ht="15" x14ac:dyDescent="0.2">
      <c r="B62" s="501" t="s">
        <v>579</v>
      </c>
      <c r="C62" s="500"/>
      <c r="D62" s="499"/>
      <c r="R62" s="483"/>
      <c r="S62" s="483"/>
      <c r="T62" s="483"/>
      <c r="U62" s="483"/>
      <c r="V62" s="484"/>
      <c r="W62" s="483"/>
      <c r="X62" s="483"/>
      <c r="Y62" s="483"/>
      <c r="Z62" s="483"/>
      <c r="AA62" s="483"/>
      <c r="AB62" s="483"/>
      <c r="AI62" s="454"/>
      <c r="AJ62" s="455"/>
      <c r="AK62" s="456"/>
    </row>
    <row r="63" spans="2:37" ht="14.25" x14ac:dyDescent="0.2">
      <c r="B63" s="499"/>
      <c r="C63" s="500"/>
      <c r="D63" s="499"/>
      <c r="R63" s="483"/>
      <c r="S63" s="483"/>
      <c r="T63" s="483"/>
      <c r="U63" s="483"/>
      <c r="V63" s="484"/>
      <c r="W63" s="483"/>
      <c r="X63" s="483"/>
      <c r="Y63" s="483"/>
      <c r="Z63" s="483"/>
      <c r="AA63" s="483"/>
      <c r="AB63" s="483"/>
      <c r="AI63" s="454"/>
      <c r="AJ63" s="455"/>
      <c r="AK63" s="456"/>
    </row>
    <row r="64" spans="2:37" x14ac:dyDescent="0.2">
      <c r="B64" s="112"/>
      <c r="R64" s="483"/>
      <c r="S64" s="483"/>
      <c r="T64" s="483"/>
      <c r="U64" s="483"/>
      <c r="V64" s="484"/>
      <c r="W64" s="483"/>
      <c r="X64" s="483"/>
      <c r="Y64" s="483"/>
      <c r="Z64" s="483"/>
      <c r="AA64" s="483"/>
      <c r="AB64" s="483"/>
      <c r="AI64" s="454"/>
      <c r="AJ64" s="455"/>
      <c r="AK64" s="456"/>
    </row>
    <row r="65" spans="2:37" ht="15" x14ac:dyDescent="0.2">
      <c r="K65" s="501"/>
      <c r="R65" s="483"/>
      <c r="S65" s="483"/>
      <c r="T65" s="483"/>
      <c r="U65" s="483"/>
      <c r="V65" s="484"/>
      <c r="W65" s="483"/>
      <c r="X65" s="483"/>
      <c r="Y65" s="483"/>
      <c r="Z65" s="483"/>
      <c r="AA65" s="483"/>
      <c r="AB65" s="483"/>
      <c r="AI65" s="454"/>
      <c r="AJ65" s="455"/>
      <c r="AK65" s="456"/>
    </row>
    <row r="66" spans="2:37" ht="15" x14ac:dyDescent="0.2">
      <c r="K66" s="501"/>
      <c r="R66" s="483"/>
      <c r="S66" s="483"/>
      <c r="T66" s="483"/>
      <c r="U66" s="483"/>
      <c r="V66" s="484"/>
      <c r="W66" s="483"/>
      <c r="X66" s="483"/>
      <c r="Y66" s="483"/>
      <c r="Z66" s="483"/>
      <c r="AA66" s="483"/>
      <c r="AB66" s="483"/>
      <c r="AI66" s="454"/>
      <c r="AJ66" s="455"/>
      <c r="AK66" s="456"/>
    </row>
    <row r="67" spans="2:37" x14ac:dyDescent="0.2">
      <c r="R67" s="483"/>
      <c r="S67" s="483"/>
      <c r="T67" s="483"/>
      <c r="U67" s="483"/>
      <c r="V67" s="484"/>
      <c r="W67" s="483"/>
      <c r="X67" s="483"/>
      <c r="Y67" s="483"/>
      <c r="Z67" s="483"/>
      <c r="AA67" s="483"/>
      <c r="AB67" s="483"/>
      <c r="AI67" s="454"/>
      <c r="AJ67" s="455"/>
      <c r="AK67" s="456"/>
    </row>
    <row r="68" spans="2:37" x14ac:dyDescent="0.2">
      <c r="R68" s="483"/>
      <c r="S68" s="483"/>
      <c r="T68" s="483"/>
      <c r="U68" s="483"/>
      <c r="V68" s="484"/>
      <c r="W68" s="483"/>
      <c r="X68" s="483"/>
      <c r="Y68" s="483"/>
      <c r="Z68" s="483"/>
      <c r="AA68" s="483"/>
      <c r="AB68" s="483"/>
      <c r="AI68" s="454"/>
      <c r="AJ68" s="455"/>
      <c r="AK68" s="456"/>
    </row>
    <row r="69" spans="2:37" x14ac:dyDescent="0.2">
      <c r="R69" s="483"/>
      <c r="S69" s="483"/>
      <c r="T69" s="483"/>
      <c r="U69" s="483"/>
      <c r="V69" s="484"/>
      <c r="W69" s="483"/>
      <c r="X69" s="483"/>
      <c r="Y69" s="483"/>
      <c r="Z69" s="483"/>
      <c r="AA69" s="483"/>
      <c r="AB69" s="483"/>
      <c r="AI69" s="454"/>
      <c r="AJ69" s="455"/>
      <c r="AK69" s="456"/>
    </row>
    <row r="70" spans="2:37" x14ac:dyDescent="0.2">
      <c r="R70" s="483"/>
      <c r="S70" s="483"/>
      <c r="T70" s="483"/>
      <c r="U70" s="483"/>
      <c r="V70" s="484"/>
      <c r="W70" s="483"/>
      <c r="X70" s="483"/>
      <c r="Y70" s="483"/>
      <c r="Z70" s="483"/>
      <c r="AA70" s="483"/>
      <c r="AB70" s="483"/>
      <c r="AI70" s="454"/>
      <c r="AJ70" s="455"/>
      <c r="AK70" s="456"/>
    </row>
    <row r="71" spans="2:37" x14ac:dyDescent="0.2">
      <c r="R71" s="483"/>
      <c r="S71" s="483"/>
      <c r="T71" s="483"/>
      <c r="U71" s="483"/>
      <c r="V71" s="484"/>
      <c r="W71" s="483"/>
      <c r="X71" s="483"/>
      <c r="Y71" s="483"/>
      <c r="Z71" s="483"/>
      <c r="AA71" s="483"/>
      <c r="AB71" s="483"/>
      <c r="AI71" s="454"/>
      <c r="AJ71" s="455"/>
      <c r="AK71" s="456"/>
    </row>
    <row r="72" spans="2:37" x14ac:dyDescent="0.2">
      <c r="R72" s="483"/>
      <c r="S72" s="483"/>
      <c r="T72" s="483"/>
      <c r="U72" s="483"/>
      <c r="V72" s="484"/>
      <c r="W72" s="483"/>
      <c r="X72" s="483"/>
      <c r="Y72" s="483"/>
      <c r="Z72" s="483"/>
      <c r="AA72" s="483"/>
      <c r="AB72" s="483"/>
      <c r="AI72" s="454"/>
      <c r="AJ72" s="455"/>
      <c r="AK72" s="456"/>
    </row>
    <row r="73" spans="2:37" x14ac:dyDescent="0.2">
      <c r="R73" s="483"/>
      <c r="S73" s="483"/>
      <c r="T73" s="483"/>
      <c r="U73" s="483"/>
      <c r="V73" s="484"/>
      <c r="W73" s="483"/>
      <c r="X73" s="483"/>
      <c r="Y73" s="483"/>
      <c r="Z73" s="483"/>
      <c r="AA73" s="483"/>
      <c r="AB73" s="483"/>
      <c r="AI73" s="451"/>
      <c r="AJ73" s="452"/>
      <c r="AK73" s="453"/>
    </row>
    <row r="74" spans="2:37" x14ac:dyDescent="0.2">
      <c r="C74"/>
      <c r="H74" s="483"/>
      <c r="R74" s="483"/>
      <c r="S74" s="483"/>
      <c r="T74" s="483"/>
      <c r="U74" s="483"/>
      <c r="V74" s="484"/>
      <c r="W74" s="483"/>
      <c r="X74" s="483"/>
      <c r="Y74" s="483"/>
      <c r="Z74" s="483"/>
      <c r="AA74" s="483"/>
      <c r="AB74" s="483"/>
      <c r="AI74" s="454"/>
      <c r="AJ74" s="455"/>
      <c r="AK74" s="456"/>
    </row>
    <row r="75" spans="2:37" x14ac:dyDescent="0.2">
      <c r="B75" t="s">
        <v>489</v>
      </c>
      <c r="C75" t="s">
        <v>484</v>
      </c>
      <c r="D75" t="s">
        <v>490</v>
      </c>
      <c r="E75" t="s">
        <v>491</v>
      </c>
      <c r="F75" t="s">
        <v>492</v>
      </c>
      <c r="G75" t="s">
        <v>493</v>
      </c>
      <c r="H75" s="483"/>
      <c r="R75" s="483"/>
      <c r="S75" s="483"/>
      <c r="T75" s="483"/>
      <c r="U75" s="483"/>
      <c r="V75" s="484"/>
      <c r="W75" s="483"/>
      <c r="X75" s="483"/>
      <c r="Y75" s="483"/>
      <c r="Z75" s="483"/>
      <c r="AA75" s="483"/>
      <c r="AB75" s="483"/>
      <c r="AI75" s="454"/>
      <c r="AJ75" s="455"/>
      <c r="AK75" s="456"/>
    </row>
    <row r="76" spans="2:37" hidden="1" x14ac:dyDescent="0.2">
      <c r="B76" t="s">
        <v>494</v>
      </c>
      <c r="C76">
        <v>64</v>
      </c>
      <c r="D76">
        <v>57</v>
      </c>
      <c r="E76" t="s">
        <v>495</v>
      </c>
      <c r="F76">
        <v>7</v>
      </c>
      <c r="G76" t="s">
        <v>496</v>
      </c>
      <c r="H76" s="483"/>
      <c r="I76" s="201"/>
      <c r="R76" s="483"/>
      <c r="S76" s="483"/>
      <c r="T76" s="483"/>
      <c r="U76" s="483"/>
      <c r="V76" s="484"/>
      <c r="W76" s="483"/>
      <c r="X76" s="483"/>
      <c r="Y76" s="483"/>
      <c r="Z76" s="483"/>
      <c r="AA76" s="483"/>
      <c r="AB76" s="483"/>
      <c r="AI76" s="451"/>
      <c r="AJ76" s="452"/>
      <c r="AK76" s="453"/>
    </row>
    <row r="77" spans="2:37" hidden="1" x14ac:dyDescent="0.2">
      <c r="B77" t="s">
        <v>497</v>
      </c>
      <c r="C77">
        <v>57</v>
      </c>
      <c r="D77">
        <v>48</v>
      </c>
      <c r="E77" t="s">
        <v>498</v>
      </c>
      <c r="F77">
        <v>9</v>
      </c>
      <c r="G77" t="s">
        <v>499</v>
      </c>
      <c r="H77" s="483"/>
      <c r="R77" s="483"/>
      <c r="S77" s="483"/>
      <c r="T77" s="483"/>
      <c r="U77" s="483"/>
      <c r="V77" s="484"/>
      <c r="W77" s="483"/>
      <c r="X77" s="483"/>
      <c r="Y77" s="483"/>
      <c r="Z77" s="483"/>
      <c r="AA77" s="483"/>
      <c r="AB77" s="483"/>
      <c r="AI77" s="454"/>
      <c r="AJ77" s="455"/>
      <c r="AK77" s="456"/>
    </row>
    <row r="78" spans="2:37" hidden="1" x14ac:dyDescent="0.2">
      <c r="B78" t="s">
        <v>500</v>
      </c>
      <c r="C78">
        <v>57</v>
      </c>
      <c r="D78">
        <v>48</v>
      </c>
      <c r="E78" t="s">
        <v>498</v>
      </c>
      <c r="F78">
        <v>9</v>
      </c>
      <c r="G78" t="s">
        <v>499</v>
      </c>
      <c r="H78" s="483"/>
      <c r="R78" s="483"/>
      <c r="S78" s="483"/>
      <c r="T78" s="483"/>
      <c r="U78" s="483"/>
      <c r="V78" s="484"/>
      <c r="W78" s="483"/>
      <c r="X78" s="483"/>
      <c r="Y78" s="483"/>
      <c r="Z78" s="483"/>
      <c r="AA78" s="483"/>
      <c r="AB78" s="483"/>
      <c r="AI78" s="454"/>
      <c r="AJ78" s="455"/>
      <c r="AK78" s="456"/>
    </row>
    <row r="79" spans="2:37" hidden="1" x14ac:dyDescent="0.2">
      <c r="B79" t="s">
        <v>501</v>
      </c>
      <c r="C79">
        <v>49</v>
      </c>
      <c r="D79">
        <v>39</v>
      </c>
      <c r="E79" t="s">
        <v>502</v>
      </c>
      <c r="F79">
        <v>10</v>
      </c>
      <c r="G79" t="s">
        <v>503</v>
      </c>
      <c r="H79" s="483"/>
      <c r="R79" s="483"/>
      <c r="S79" s="483"/>
      <c r="T79" s="483"/>
      <c r="U79" s="483"/>
      <c r="V79" s="484"/>
      <c r="W79" s="483"/>
      <c r="X79" s="483"/>
      <c r="Y79" s="483"/>
      <c r="Z79" s="483"/>
      <c r="AA79" s="483"/>
      <c r="AB79" s="483"/>
      <c r="AI79" s="451"/>
      <c r="AJ79" s="452"/>
      <c r="AK79" s="453"/>
    </row>
    <row r="80" spans="2:37" hidden="1" x14ac:dyDescent="0.2">
      <c r="B80" t="s">
        <v>507</v>
      </c>
      <c r="C80">
        <v>46</v>
      </c>
      <c r="D80">
        <v>36</v>
      </c>
      <c r="E80" t="s">
        <v>508</v>
      </c>
      <c r="F80">
        <v>10</v>
      </c>
      <c r="G80" t="s">
        <v>503</v>
      </c>
      <c r="H80" s="483"/>
      <c r="R80" s="483"/>
      <c r="S80" s="483"/>
      <c r="T80" s="483"/>
      <c r="U80" s="483"/>
      <c r="V80" s="484"/>
      <c r="W80" s="483"/>
      <c r="X80" s="483"/>
      <c r="Y80" s="483"/>
      <c r="Z80" s="483"/>
      <c r="AA80" s="483"/>
      <c r="AB80" s="483"/>
      <c r="AI80" s="454"/>
      <c r="AJ80" s="455"/>
      <c r="AK80" s="456"/>
    </row>
    <row r="81" spans="2:37" hidden="1" x14ac:dyDescent="0.2">
      <c r="B81" t="s">
        <v>504</v>
      </c>
      <c r="C81">
        <v>46</v>
      </c>
      <c r="D81">
        <v>43</v>
      </c>
      <c r="E81" t="s">
        <v>505</v>
      </c>
      <c r="F81">
        <v>3</v>
      </c>
      <c r="G81" t="s">
        <v>506</v>
      </c>
      <c r="H81" s="483"/>
      <c r="R81" s="483"/>
      <c r="S81" s="483"/>
      <c r="T81" s="483"/>
      <c r="U81" s="483"/>
      <c r="V81" s="484"/>
      <c r="W81" s="483"/>
      <c r="X81" s="483"/>
      <c r="Y81" s="483"/>
      <c r="Z81" s="483"/>
      <c r="AA81" s="483"/>
      <c r="AB81" s="483"/>
      <c r="AI81" s="454"/>
      <c r="AJ81" s="455"/>
      <c r="AK81" s="456"/>
    </row>
    <row r="82" spans="2:37" hidden="1" x14ac:dyDescent="0.2">
      <c r="B82" t="s">
        <v>509</v>
      </c>
      <c r="C82">
        <v>38</v>
      </c>
      <c r="D82">
        <v>31</v>
      </c>
      <c r="E82" t="s">
        <v>510</v>
      </c>
      <c r="F82">
        <v>7</v>
      </c>
      <c r="G82" t="s">
        <v>496</v>
      </c>
      <c r="H82" s="483"/>
      <c r="R82" s="483"/>
      <c r="S82" s="483"/>
      <c r="T82" s="483"/>
      <c r="U82" s="483"/>
      <c r="V82" s="484"/>
      <c r="W82" s="483"/>
      <c r="X82" s="483"/>
      <c r="Y82" s="483"/>
      <c r="Z82" s="483"/>
      <c r="AA82" s="483"/>
      <c r="AB82" s="483"/>
      <c r="AI82" s="451"/>
      <c r="AJ82" s="452"/>
      <c r="AK82" s="453"/>
    </row>
    <row r="83" spans="2:37" hidden="1" x14ac:dyDescent="0.2">
      <c r="B83" t="s">
        <v>511</v>
      </c>
      <c r="C83">
        <v>37</v>
      </c>
      <c r="D83">
        <v>32</v>
      </c>
      <c r="E83" t="s">
        <v>512</v>
      </c>
      <c r="F83">
        <v>5</v>
      </c>
      <c r="G83" t="s">
        <v>513</v>
      </c>
      <c r="H83" s="483"/>
      <c r="R83" s="483"/>
      <c r="S83" s="483"/>
      <c r="T83" s="483"/>
      <c r="U83" s="483"/>
      <c r="V83" s="484"/>
      <c r="W83" s="483"/>
      <c r="X83" s="483"/>
      <c r="Y83" s="483"/>
      <c r="Z83" s="483"/>
      <c r="AA83" s="483"/>
      <c r="AB83" s="483"/>
      <c r="AI83" s="454"/>
      <c r="AJ83" s="455"/>
      <c r="AK83" s="456"/>
    </row>
    <row r="84" spans="2:37" hidden="1" x14ac:dyDescent="0.2">
      <c r="B84" t="s">
        <v>514</v>
      </c>
      <c r="C84">
        <v>33</v>
      </c>
      <c r="D84">
        <v>27</v>
      </c>
      <c r="E84" t="s">
        <v>515</v>
      </c>
      <c r="F84">
        <v>6</v>
      </c>
      <c r="G84" t="s">
        <v>516</v>
      </c>
      <c r="H84" s="483"/>
      <c r="R84" s="483"/>
      <c r="S84" s="483"/>
      <c r="T84" s="483"/>
      <c r="U84" s="483"/>
      <c r="V84" s="484"/>
      <c r="W84" s="483"/>
      <c r="X84" s="483"/>
      <c r="Y84" s="483"/>
      <c r="Z84" s="483"/>
      <c r="AA84" s="483"/>
      <c r="AB84" s="483"/>
      <c r="AI84" s="454"/>
      <c r="AJ84" s="455"/>
      <c r="AK84" s="456"/>
    </row>
    <row r="85" spans="2:37" hidden="1" x14ac:dyDescent="0.2">
      <c r="B85" t="s">
        <v>520</v>
      </c>
      <c r="C85">
        <v>26</v>
      </c>
      <c r="D85">
        <v>21</v>
      </c>
      <c r="E85" t="s">
        <v>521</v>
      </c>
      <c r="F85">
        <v>5</v>
      </c>
      <c r="G85" t="s">
        <v>513</v>
      </c>
      <c r="H85" s="483"/>
      <c r="R85" s="483"/>
      <c r="S85" s="483"/>
      <c r="T85" s="483"/>
      <c r="U85" s="483"/>
      <c r="V85" s="484"/>
      <c r="W85" s="483"/>
      <c r="X85" s="483"/>
      <c r="Y85" s="483"/>
      <c r="Z85" s="483"/>
      <c r="AA85" s="483"/>
      <c r="AB85" s="483"/>
      <c r="AI85" s="451"/>
      <c r="AJ85" s="452"/>
      <c r="AK85" s="453"/>
    </row>
    <row r="86" spans="2:37" hidden="1" x14ac:dyDescent="0.2">
      <c r="B86" t="s">
        <v>517</v>
      </c>
      <c r="C86">
        <v>26</v>
      </c>
      <c r="D86">
        <v>23</v>
      </c>
      <c r="E86" t="s">
        <v>518</v>
      </c>
      <c r="F86">
        <v>3</v>
      </c>
      <c r="G86" t="s">
        <v>506</v>
      </c>
      <c r="H86" s="483"/>
      <c r="R86" s="483"/>
      <c r="S86" s="483"/>
      <c r="T86" s="483"/>
      <c r="U86" s="483"/>
      <c r="V86" s="484"/>
      <c r="W86" s="483"/>
      <c r="X86" s="483"/>
      <c r="Y86" s="483"/>
      <c r="Z86" s="483"/>
      <c r="AA86" s="483"/>
      <c r="AB86" s="483"/>
      <c r="AI86" s="454"/>
      <c r="AJ86" s="455"/>
      <c r="AK86" s="456"/>
    </row>
    <row r="87" spans="2:37" hidden="1" x14ac:dyDescent="0.2">
      <c r="B87" t="s">
        <v>522</v>
      </c>
      <c r="C87">
        <v>23</v>
      </c>
      <c r="D87">
        <v>19</v>
      </c>
      <c r="E87" t="s">
        <v>523</v>
      </c>
      <c r="F87">
        <v>4</v>
      </c>
      <c r="G87" t="s">
        <v>524</v>
      </c>
      <c r="H87" s="483"/>
      <c r="R87" s="483"/>
      <c r="S87" s="483"/>
      <c r="T87" s="483"/>
      <c r="U87" s="483"/>
      <c r="V87" s="484"/>
      <c r="W87" s="483"/>
      <c r="X87" s="483"/>
      <c r="Y87" s="483"/>
      <c r="Z87" s="483"/>
      <c r="AA87" s="483"/>
      <c r="AB87" s="483"/>
      <c r="AI87" s="454"/>
      <c r="AJ87" s="455"/>
      <c r="AK87" s="456"/>
    </row>
    <row r="88" spans="2:37" x14ac:dyDescent="0.2">
      <c r="B88" t="s">
        <v>528</v>
      </c>
      <c r="C88">
        <v>22</v>
      </c>
      <c r="D88">
        <v>18</v>
      </c>
      <c r="E88" t="s">
        <v>529</v>
      </c>
      <c r="F88">
        <v>4</v>
      </c>
      <c r="G88" t="s">
        <v>524</v>
      </c>
      <c r="H88" s="483"/>
      <c r="R88" s="483"/>
      <c r="S88" s="483"/>
      <c r="T88" s="483"/>
      <c r="U88" s="483"/>
      <c r="V88" s="484"/>
      <c r="W88" s="483"/>
      <c r="X88" s="483"/>
      <c r="Y88" s="483"/>
      <c r="Z88" s="483"/>
      <c r="AA88" s="483"/>
      <c r="AB88" s="483"/>
      <c r="AI88" s="451"/>
      <c r="AJ88" s="452"/>
      <c r="AK88" s="453"/>
    </row>
    <row r="89" spans="2:37" hidden="1" x14ac:dyDescent="0.2">
      <c r="B89" t="s">
        <v>525</v>
      </c>
      <c r="C89">
        <v>22</v>
      </c>
      <c r="D89">
        <v>20</v>
      </c>
      <c r="E89" t="s">
        <v>526</v>
      </c>
      <c r="F89">
        <v>2</v>
      </c>
      <c r="G89" t="s">
        <v>527</v>
      </c>
      <c r="H89" s="483"/>
      <c r="R89" s="483"/>
      <c r="S89" s="483"/>
      <c r="T89" s="483"/>
      <c r="U89" s="483"/>
      <c r="V89" s="484"/>
      <c r="W89" s="483"/>
      <c r="X89" s="483"/>
      <c r="Y89" s="483"/>
      <c r="Z89" s="483"/>
      <c r="AA89" s="483"/>
      <c r="AB89" s="483"/>
      <c r="AI89" s="454"/>
      <c r="AJ89" s="455"/>
      <c r="AK89" s="456"/>
    </row>
    <row r="90" spans="2:37" hidden="1" x14ac:dyDescent="0.2">
      <c r="B90" t="s">
        <v>530</v>
      </c>
      <c r="C90">
        <v>20</v>
      </c>
      <c r="D90">
        <v>17</v>
      </c>
      <c r="E90" t="s">
        <v>531</v>
      </c>
      <c r="F90">
        <v>3</v>
      </c>
      <c r="G90" t="s">
        <v>506</v>
      </c>
      <c r="H90" s="483"/>
      <c r="R90" s="483"/>
      <c r="S90" s="483"/>
      <c r="T90" s="483"/>
      <c r="U90" s="483"/>
      <c r="V90" s="484"/>
      <c r="W90" s="483"/>
      <c r="X90" s="483"/>
      <c r="Y90" s="483"/>
      <c r="Z90" s="483"/>
      <c r="AA90" s="483"/>
      <c r="AB90" s="483"/>
      <c r="AI90" s="454"/>
      <c r="AJ90" s="455"/>
      <c r="AK90" s="456"/>
    </row>
    <row r="91" spans="2:37" hidden="1" x14ac:dyDescent="0.2">
      <c r="B91" t="s">
        <v>532</v>
      </c>
      <c r="C91">
        <v>20</v>
      </c>
      <c r="D91">
        <v>17</v>
      </c>
      <c r="E91" t="s">
        <v>531</v>
      </c>
      <c r="F91">
        <v>3</v>
      </c>
      <c r="G91" t="s">
        <v>506</v>
      </c>
      <c r="H91" s="483"/>
      <c r="R91" s="483"/>
      <c r="S91" s="483"/>
      <c r="T91" s="483"/>
      <c r="U91" s="483"/>
      <c r="V91" s="484"/>
      <c r="W91" s="483"/>
      <c r="X91" s="483"/>
      <c r="Y91" s="483"/>
      <c r="Z91" s="483"/>
      <c r="AA91" s="483"/>
      <c r="AB91" s="483"/>
      <c r="AI91" s="451"/>
      <c r="AJ91" s="455"/>
      <c r="AK91" s="456"/>
    </row>
    <row r="92" spans="2:37" hidden="1" x14ac:dyDescent="0.2">
      <c r="B92" t="s">
        <v>533</v>
      </c>
      <c r="C92">
        <v>18</v>
      </c>
      <c r="D92">
        <v>16</v>
      </c>
      <c r="E92" t="s">
        <v>534</v>
      </c>
      <c r="F92">
        <v>2</v>
      </c>
      <c r="G92" t="s">
        <v>527</v>
      </c>
      <c r="H92" s="483"/>
      <c r="R92" s="483"/>
      <c r="S92" s="483"/>
      <c r="T92" s="483"/>
      <c r="U92" s="483"/>
      <c r="V92" s="484"/>
      <c r="W92" s="483"/>
      <c r="X92" s="483"/>
      <c r="Y92" s="483"/>
      <c r="Z92" s="483"/>
      <c r="AA92" s="483"/>
      <c r="AB92" s="483"/>
      <c r="AI92" s="454"/>
      <c r="AJ92" s="455"/>
      <c r="AK92" s="456"/>
    </row>
    <row r="93" spans="2:37" hidden="1" x14ac:dyDescent="0.2">
      <c r="B93" t="s">
        <v>535</v>
      </c>
      <c r="C93">
        <v>17</v>
      </c>
      <c r="D93">
        <v>13</v>
      </c>
      <c r="E93" t="s">
        <v>536</v>
      </c>
      <c r="F93">
        <v>4</v>
      </c>
      <c r="G93" t="s">
        <v>524</v>
      </c>
      <c r="H93" s="483"/>
      <c r="R93" s="483"/>
      <c r="S93" s="483"/>
      <c r="T93" s="483"/>
      <c r="U93" s="483"/>
      <c r="V93" s="484"/>
      <c r="W93" s="483"/>
      <c r="X93" s="483"/>
      <c r="Y93" s="483"/>
      <c r="Z93" s="483"/>
      <c r="AA93" s="483"/>
      <c r="AB93" s="483"/>
      <c r="AI93" s="454"/>
      <c r="AJ93" s="455"/>
      <c r="AK93" s="456"/>
    </row>
    <row r="94" spans="2:37" hidden="1" x14ac:dyDescent="0.2">
      <c r="B94" t="s">
        <v>537</v>
      </c>
      <c r="C94">
        <v>16</v>
      </c>
      <c r="D94">
        <v>0</v>
      </c>
      <c r="E94" t="s">
        <v>459</v>
      </c>
      <c r="F94">
        <v>0</v>
      </c>
      <c r="G94">
        <v>0</v>
      </c>
      <c r="H94" s="483"/>
      <c r="R94" s="483"/>
      <c r="S94" s="483"/>
      <c r="T94" s="483"/>
      <c r="U94" s="483"/>
      <c r="V94" s="484"/>
      <c r="W94" s="483"/>
      <c r="X94" s="483"/>
      <c r="Y94" s="483"/>
      <c r="Z94" s="483"/>
      <c r="AA94" s="483"/>
      <c r="AB94" s="483"/>
      <c r="AI94" s="451"/>
      <c r="AJ94" s="452"/>
      <c r="AK94" s="453"/>
    </row>
    <row r="95" spans="2:37" hidden="1" x14ac:dyDescent="0.2">
      <c r="B95" t="s">
        <v>538</v>
      </c>
      <c r="C95">
        <v>15</v>
      </c>
      <c r="D95">
        <v>13</v>
      </c>
      <c r="E95" t="s">
        <v>536</v>
      </c>
      <c r="F95">
        <v>2</v>
      </c>
      <c r="G95" t="s">
        <v>527</v>
      </c>
      <c r="H95" s="483"/>
      <c r="R95" s="483"/>
      <c r="S95" s="483"/>
      <c r="T95" s="483"/>
      <c r="U95" s="483"/>
      <c r="V95" s="484"/>
      <c r="W95" s="483"/>
      <c r="X95" s="483"/>
      <c r="Y95" s="483"/>
      <c r="Z95" s="483"/>
      <c r="AA95" s="483"/>
      <c r="AB95" s="483"/>
      <c r="AI95" s="454"/>
      <c r="AJ95" s="455"/>
      <c r="AK95" s="456"/>
    </row>
    <row r="96" spans="2:37" hidden="1" x14ac:dyDescent="0.2">
      <c r="B96" t="s">
        <v>546</v>
      </c>
      <c r="C96">
        <v>14</v>
      </c>
      <c r="D96">
        <v>10</v>
      </c>
      <c r="E96" t="s">
        <v>503</v>
      </c>
      <c r="F96">
        <v>4</v>
      </c>
      <c r="G96" t="s">
        <v>524</v>
      </c>
      <c r="H96" s="483"/>
      <c r="R96" s="483"/>
      <c r="S96" s="483"/>
      <c r="T96" s="483"/>
      <c r="U96" s="483"/>
      <c r="V96" s="484"/>
      <c r="W96" s="483"/>
      <c r="X96" s="483"/>
      <c r="Y96" s="483"/>
      <c r="Z96" s="483"/>
      <c r="AA96" s="483"/>
      <c r="AB96" s="483"/>
      <c r="AI96" s="454"/>
      <c r="AJ96" s="455"/>
      <c r="AK96" s="456"/>
    </row>
    <row r="97" spans="2:37" hidden="1" x14ac:dyDescent="0.2">
      <c r="B97" t="s">
        <v>543</v>
      </c>
      <c r="C97">
        <v>14</v>
      </c>
      <c r="D97">
        <v>11</v>
      </c>
      <c r="E97" t="s">
        <v>544</v>
      </c>
      <c r="F97">
        <v>3</v>
      </c>
      <c r="G97" t="s">
        <v>506</v>
      </c>
      <c r="H97" s="483"/>
      <c r="R97" s="483"/>
      <c r="S97" s="483"/>
      <c r="T97" s="483"/>
      <c r="U97" s="483"/>
      <c r="V97" s="484"/>
      <c r="W97" s="483"/>
      <c r="X97" s="483"/>
      <c r="Y97" s="483"/>
      <c r="Z97" s="483"/>
      <c r="AA97" s="483"/>
      <c r="AB97" s="483"/>
      <c r="AI97" s="451"/>
      <c r="AJ97" s="452"/>
      <c r="AK97" s="453"/>
    </row>
    <row r="98" spans="2:37" hidden="1" x14ac:dyDescent="0.2">
      <c r="B98" t="s">
        <v>545</v>
      </c>
      <c r="C98">
        <v>14</v>
      </c>
      <c r="D98">
        <v>11</v>
      </c>
      <c r="E98" t="s">
        <v>544</v>
      </c>
      <c r="F98">
        <v>3</v>
      </c>
      <c r="G98" t="s">
        <v>506</v>
      </c>
      <c r="H98" s="483"/>
      <c r="R98" s="483"/>
      <c r="S98" s="483"/>
      <c r="T98" s="483"/>
      <c r="U98" s="483"/>
      <c r="V98" s="484"/>
      <c r="W98" s="483"/>
      <c r="X98" s="483"/>
      <c r="Y98" s="483"/>
      <c r="Z98" s="483"/>
      <c r="AA98" s="483"/>
      <c r="AB98" s="483"/>
      <c r="AI98" s="454"/>
      <c r="AJ98" s="455"/>
      <c r="AK98" s="456"/>
    </row>
    <row r="99" spans="2:37" hidden="1" x14ac:dyDescent="0.2">
      <c r="B99" t="s">
        <v>539</v>
      </c>
      <c r="C99">
        <v>14</v>
      </c>
      <c r="D99">
        <v>12</v>
      </c>
      <c r="E99" t="s">
        <v>540</v>
      </c>
      <c r="F99">
        <v>2</v>
      </c>
      <c r="G99" t="s">
        <v>527</v>
      </c>
      <c r="H99" s="483"/>
      <c r="R99" s="483"/>
      <c r="S99" s="483"/>
      <c r="T99" s="483"/>
      <c r="U99" s="483"/>
      <c r="V99" s="484"/>
      <c r="W99" s="483"/>
      <c r="X99" s="483"/>
      <c r="Y99" s="483"/>
      <c r="Z99" s="483"/>
      <c r="AA99" s="483"/>
      <c r="AB99" s="483"/>
      <c r="AI99" s="454"/>
      <c r="AJ99" s="455"/>
      <c r="AK99" s="456"/>
    </row>
    <row r="100" spans="2:37" hidden="1" x14ac:dyDescent="0.2">
      <c r="B100" t="s">
        <v>541</v>
      </c>
      <c r="C100">
        <v>14</v>
      </c>
      <c r="D100">
        <v>13</v>
      </c>
      <c r="E100" t="s">
        <v>536</v>
      </c>
      <c r="F100">
        <v>1</v>
      </c>
      <c r="G100" t="s">
        <v>542</v>
      </c>
      <c r="H100" s="483"/>
      <c r="R100" s="483"/>
      <c r="S100" s="483"/>
      <c r="T100" s="483"/>
      <c r="U100" s="483"/>
      <c r="V100" s="484"/>
      <c r="W100" s="483"/>
      <c r="X100" s="483"/>
      <c r="Y100" s="483"/>
      <c r="Z100" s="483"/>
      <c r="AA100" s="483"/>
      <c r="AB100" s="483"/>
      <c r="AI100" s="451"/>
      <c r="AJ100" s="452"/>
      <c r="AK100" s="453"/>
    </row>
    <row r="101" spans="2:37" hidden="1" x14ac:dyDescent="0.2">
      <c r="B101" t="s">
        <v>547</v>
      </c>
      <c r="C101">
        <v>12</v>
      </c>
      <c r="D101">
        <v>9</v>
      </c>
      <c r="E101" t="s">
        <v>499</v>
      </c>
      <c r="F101">
        <v>3</v>
      </c>
      <c r="G101" t="s">
        <v>506</v>
      </c>
      <c r="H101" s="483"/>
      <c r="R101" s="483"/>
      <c r="S101" s="483"/>
      <c r="T101" s="483"/>
      <c r="U101" s="483"/>
      <c r="V101" s="484"/>
      <c r="W101" s="483"/>
      <c r="X101" s="483"/>
      <c r="Y101" s="483"/>
      <c r="Z101" s="483"/>
      <c r="AA101" s="483"/>
      <c r="AB101" s="483"/>
      <c r="AI101" s="454"/>
      <c r="AJ101" s="455"/>
      <c r="AK101" s="456"/>
    </row>
    <row r="102" spans="2:37" hidden="1" x14ac:dyDescent="0.2">
      <c r="B102" t="s">
        <v>548</v>
      </c>
      <c r="C102">
        <v>12</v>
      </c>
      <c r="D102">
        <v>10</v>
      </c>
      <c r="E102" t="s">
        <v>503</v>
      </c>
      <c r="F102">
        <v>2</v>
      </c>
      <c r="G102" t="s">
        <v>527</v>
      </c>
      <c r="H102" s="483"/>
      <c r="R102" s="483"/>
      <c r="S102" s="483"/>
      <c r="T102" s="483"/>
      <c r="U102" s="483"/>
      <c r="V102" s="484"/>
      <c r="W102" s="483"/>
      <c r="X102" s="483"/>
      <c r="Y102" s="483"/>
      <c r="Z102" s="483"/>
      <c r="AA102" s="483"/>
      <c r="AB102" s="483"/>
      <c r="AI102" s="454"/>
      <c r="AJ102" s="455"/>
      <c r="AK102" s="456"/>
    </row>
    <row r="103" spans="2:37" hidden="1" x14ac:dyDescent="0.2">
      <c r="B103" t="s">
        <v>549</v>
      </c>
      <c r="C103">
        <v>12</v>
      </c>
      <c r="D103">
        <v>10</v>
      </c>
      <c r="E103" t="s">
        <v>503</v>
      </c>
      <c r="F103">
        <v>2</v>
      </c>
      <c r="G103" t="s">
        <v>527</v>
      </c>
      <c r="H103" s="483"/>
      <c r="R103" s="483"/>
      <c r="S103" s="483"/>
      <c r="T103" s="483"/>
      <c r="U103" s="483"/>
      <c r="V103" s="484"/>
      <c r="W103" s="483"/>
      <c r="X103" s="483"/>
      <c r="Y103" s="483"/>
      <c r="Z103" s="483"/>
      <c r="AA103" s="483"/>
      <c r="AB103" s="483"/>
      <c r="AI103" s="451"/>
      <c r="AJ103" s="452"/>
      <c r="AK103" s="453"/>
    </row>
    <row r="104" spans="2:37" hidden="1" x14ac:dyDescent="0.2">
      <c r="B104" t="s">
        <v>550</v>
      </c>
      <c r="C104">
        <v>9</v>
      </c>
      <c r="D104">
        <v>7</v>
      </c>
      <c r="E104" t="s">
        <v>496</v>
      </c>
      <c r="F104">
        <v>2</v>
      </c>
      <c r="G104" t="s">
        <v>527</v>
      </c>
      <c r="H104" s="483"/>
      <c r="R104" s="483"/>
      <c r="S104" s="483"/>
      <c r="T104" s="483"/>
      <c r="U104" s="483"/>
      <c r="V104" s="484"/>
      <c r="AI104" s="454"/>
      <c r="AJ104" s="455"/>
      <c r="AK104" s="456"/>
    </row>
    <row r="105" spans="2:37" hidden="1" x14ac:dyDescent="0.2">
      <c r="B105" t="s">
        <v>551</v>
      </c>
      <c r="C105">
        <v>9</v>
      </c>
      <c r="D105">
        <v>7</v>
      </c>
      <c r="E105" t="s">
        <v>496</v>
      </c>
      <c r="F105">
        <v>2</v>
      </c>
      <c r="G105" t="s">
        <v>527</v>
      </c>
      <c r="H105" s="483"/>
      <c r="R105" s="454"/>
      <c r="S105" s="455"/>
      <c r="T105" s="456"/>
      <c r="AI105" s="454"/>
      <c r="AJ105" s="455"/>
      <c r="AK105" s="456"/>
    </row>
    <row r="106" spans="2:37" hidden="1" x14ac:dyDescent="0.2">
      <c r="B106" t="s">
        <v>552</v>
      </c>
      <c r="C106">
        <v>8</v>
      </c>
      <c r="D106">
        <v>8</v>
      </c>
      <c r="E106" t="s">
        <v>553</v>
      </c>
      <c r="F106">
        <v>0</v>
      </c>
      <c r="G106">
        <v>0</v>
      </c>
      <c r="H106" s="483"/>
      <c r="R106" s="454"/>
      <c r="S106" s="455"/>
      <c r="T106" s="456"/>
      <c r="AI106" s="451"/>
      <c r="AJ106" s="452"/>
      <c r="AK106" s="453"/>
    </row>
    <row r="107" spans="2:37" hidden="1" x14ac:dyDescent="0.2">
      <c r="B107" t="s">
        <v>555</v>
      </c>
      <c r="C107">
        <v>7</v>
      </c>
      <c r="D107">
        <v>0</v>
      </c>
      <c r="E107" t="s">
        <v>459</v>
      </c>
      <c r="F107">
        <v>0</v>
      </c>
      <c r="G107">
        <v>0</v>
      </c>
      <c r="H107" s="483"/>
      <c r="R107" s="451"/>
      <c r="S107" s="452"/>
      <c r="T107" s="453"/>
      <c r="AI107" s="454"/>
      <c r="AJ107" s="455"/>
      <c r="AK107" s="456"/>
    </row>
    <row r="108" spans="2:37" hidden="1" x14ac:dyDescent="0.2">
      <c r="B108" t="s">
        <v>556</v>
      </c>
      <c r="C108">
        <v>7</v>
      </c>
      <c r="D108">
        <v>0</v>
      </c>
      <c r="E108" t="s">
        <v>459</v>
      </c>
      <c r="F108">
        <v>0</v>
      </c>
      <c r="G108">
        <v>0</v>
      </c>
      <c r="H108" s="483"/>
      <c r="R108" s="454"/>
      <c r="S108" s="455"/>
      <c r="T108" s="456"/>
      <c r="AI108" s="454"/>
      <c r="AJ108" s="455"/>
      <c r="AK108" s="456"/>
    </row>
    <row r="109" spans="2:37" hidden="1" x14ac:dyDescent="0.2">
      <c r="B109" t="s">
        <v>557</v>
      </c>
      <c r="C109">
        <v>7</v>
      </c>
      <c r="D109">
        <v>5</v>
      </c>
      <c r="E109" t="s">
        <v>513</v>
      </c>
      <c r="F109">
        <v>2</v>
      </c>
      <c r="G109" t="s">
        <v>527</v>
      </c>
      <c r="H109" s="483"/>
      <c r="R109" s="454"/>
      <c r="S109" s="455"/>
      <c r="T109" s="456"/>
      <c r="AI109" s="451"/>
      <c r="AJ109" s="452"/>
      <c r="AK109" s="453"/>
    </row>
    <row r="110" spans="2:37" hidden="1" x14ac:dyDescent="0.2">
      <c r="B110" t="s">
        <v>554</v>
      </c>
      <c r="C110">
        <v>7</v>
      </c>
      <c r="D110">
        <v>6</v>
      </c>
      <c r="E110" t="s">
        <v>516</v>
      </c>
      <c r="F110">
        <v>1</v>
      </c>
      <c r="G110" t="s">
        <v>542</v>
      </c>
      <c r="H110" s="483"/>
      <c r="R110" s="451"/>
      <c r="S110" s="452"/>
      <c r="T110" s="453"/>
      <c r="AI110" s="454"/>
      <c r="AJ110" s="455"/>
      <c r="AK110" s="456"/>
    </row>
    <row r="111" spans="2:37" hidden="1" x14ac:dyDescent="0.2">
      <c r="B111" t="s">
        <v>558</v>
      </c>
      <c r="C111">
        <v>6</v>
      </c>
      <c r="D111">
        <v>4</v>
      </c>
      <c r="E111" t="s">
        <v>524</v>
      </c>
      <c r="F111">
        <v>2</v>
      </c>
      <c r="G111" t="s">
        <v>527</v>
      </c>
      <c r="H111" s="483"/>
      <c r="R111" s="454"/>
      <c r="S111" s="455"/>
      <c r="T111" s="456"/>
      <c r="AI111" s="454"/>
      <c r="AJ111" s="455"/>
      <c r="AK111" s="456"/>
    </row>
    <row r="112" spans="2:37" hidden="1" x14ac:dyDescent="0.2">
      <c r="B112" t="s">
        <v>559</v>
      </c>
      <c r="C112">
        <v>6</v>
      </c>
      <c r="D112">
        <v>6</v>
      </c>
      <c r="E112" t="s">
        <v>516</v>
      </c>
      <c r="F112">
        <v>0</v>
      </c>
      <c r="G112">
        <v>0</v>
      </c>
      <c r="H112" s="483"/>
      <c r="R112" s="454"/>
      <c r="S112" s="455"/>
      <c r="T112" s="456"/>
      <c r="AI112" s="451"/>
      <c r="AJ112" s="452"/>
      <c r="AK112" s="453"/>
    </row>
    <row r="113" spans="2:37" hidden="1" x14ac:dyDescent="0.2">
      <c r="B113" t="s">
        <v>560</v>
      </c>
      <c r="C113">
        <v>5</v>
      </c>
      <c r="D113">
        <v>4</v>
      </c>
      <c r="E113" t="s">
        <v>524</v>
      </c>
      <c r="F113">
        <v>1</v>
      </c>
      <c r="G113" t="s">
        <v>542</v>
      </c>
      <c r="H113" s="483"/>
      <c r="R113" s="451"/>
      <c r="S113" s="452"/>
      <c r="T113" s="453"/>
      <c r="AI113" s="454"/>
      <c r="AJ113" s="455"/>
      <c r="AK113" s="456"/>
    </row>
    <row r="114" spans="2:37" hidden="1" x14ac:dyDescent="0.2">
      <c r="B114" t="s">
        <v>561</v>
      </c>
      <c r="C114">
        <v>5</v>
      </c>
      <c r="D114">
        <v>4</v>
      </c>
      <c r="E114" t="s">
        <v>524</v>
      </c>
      <c r="F114">
        <v>1</v>
      </c>
      <c r="G114" t="s">
        <v>542</v>
      </c>
      <c r="H114" s="483"/>
      <c r="R114" s="454"/>
      <c r="S114" s="455"/>
      <c r="T114" s="456"/>
      <c r="AI114" s="454"/>
      <c r="AJ114" s="455"/>
      <c r="AK114" s="456"/>
    </row>
    <row r="115" spans="2:37" hidden="1" x14ac:dyDescent="0.2">
      <c r="B115" t="s">
        <v>562</v>
      </c>
      <c r="C115">
        <v>4</v>
      </c>
      <c r="D115">
        <v>0</v>
      </c>
      <c r="E115" t="s">
        <v>459</v>
      </c>
      <c r="F115">
        <v>0</v>
      </c>
      <c r="G115">
        <v>0</v>
      </c>
      <c r="R115" s="454"/>
      <c r="S115" s="455"/>
      <c r="T115" s="456"/>
      <c r="AI115" s="451"/>
      <c r="AJ115" s="452"/>
      <c r="AK115" s="453"/>
    </row>
    <row r="116" spans="2:37" hidden="1" x14ac:dyDescent="0.2">
      <c r="B116" t="s">
        <v>564</v>
      </c>
      <c r="C116">
        <v>4</v>
      </c>
      <c r="D116">
        <v>0</v>
      </c>
      <c r="E116" t="s">
        <v>459</v>
      </c>
      <c r="F116">
        <v>0</v>
      </c>
      <c r="G116">
        <v>0</v>
      </c>
      <c r="R116" s="451"/>
      <c r="S116" s="452"/>
      <c r="T116" s="453"/>
      <c r="AI116" s="454"/>
      <c r="AJ116" s="455"/>
      <c r="AK116" s="456"/>
    </row>
    <row r="117" spans="2:37" hidden="1" x14ac:dyDescent="0.2">
      <c r="B117" t="s">
        <v>563</v>
      </c>
      <c r="C117">
        <v>4</v>
      </c>
      <c r="D117">
        <v>3</v>
      </c>
      <c r="E117" t="s">
        <v>506</v>
      </c>
      <c r="F117">
        <v>1</v>
      </c>
      <c r="G117" t="s">
        <v>542</v>
      </c>
      <c r="R117" s="454"/>
      <c r="S117" s="455"/>
      <c r="T117" s="456"/>
      <c r="AI117" s="454"/>
      <c r="AJ117" s="455"/>
      <c r="AK117" s="456"/>
    </row>
    <row r="118" spans="2:37" hidden="1" x14ac:dyDescent="0.2">
      <c r="B118" t="s">
        <v>565</v>
      </c>
      <c r="C118">
        <v>3</v>
      </c>
      <c r="D118">
        <v>2</v>
      </c>
      <c r="E118" t="s">
        <v>527</v>
      </c>
      <c r="F118">
        <v>1</v>
      </c>
      <c r="G118" t="s">
        <v>542</v>
      </c>
      <c r="R118" s="454"/>
      <c r="S118" s="455"/>
      <c r="T118" s="456"/>
      <c r="AI118" s="451"/>
      <c r="AJ118" s="452"/>
      <c r="AK118" s="453"/>
    </row>
    <row r="119" spans="2:37" hidden="1" x14ac:dyDescent="0.2">
      <c r="B119" t="s">
        <v>566</v>
      </c>
      <c r="C119">
        <v>2</v>
      </c>
      <c r="D119">
        <v>0</v>
      </c>
      <c r="E119" t="s">
        <v>459</v>
      </c>
      <c r="F119">
        <v>0</v>
      </c>
      <c r="G119">
        <v>0</v>
      </c>
      <c r="R119" s="451"/>
      <c r="S119" s="452"/>
      <c r="T119" s="453"/>
      <c r="AI119" s="454"/>
      <c r="AJ119" s="455"/>
      <c r="AK119" s="456"/>
    </row>
    <row r="120" spans="2:37" hidden="1" x14ac:dyDescent="0.2">
      <c r="B120" t="s">
        <v>567</v>
      </c>
      <c r="C120">
        <v>1</v>
      </c>
      <c r="D120">
        <v>0</v>
      </c>
      <c r="E120" t="s">
        <v>459</v>
      </c>
      <c r="F120">
        <v>0</v>
      </c>
      <c r="G120">
        <v>0</v>
      </c>
      <c r="R120" s="454"/>
      <c r="S120" s="455"/>
      <c r="T120" s="456"/>
      <c r="AI120" s="454"/>
      <c r="AJ120" s="455"/>
      <c r="AK120" s="456"/>
    </row>
    <row r="121" spans="2:37" hidden="1" x14ac:dyDescent="0.2">
      <c r="B121" t="s">
        <v>568</v>
      </c>
      <c r="C121">
        <v>1</v>
      </c>
      <c r="D121">
        <v>0</v>
      </c>
      <c r="E121" t="s">
        <v>459</v>
      </c>
      <c r="F121">
        <v>0</v>
      </c>
      <c r="G121">
        <v>0</v>
      </c>
      <c r="R121" s="454"/>
      <c r="S121" s="455"/>
      <c r="T121" s="456"/>
      <c r="AI121" s="451"/>
      <c r="AJ121" s="452"/>
      <c r="AK121" s="453"/>
    </row>
    <row r="122" spans="2:37" hidden="1" x14ac:dyDescent="0.2">
      <c r="B122" t="s">
        <v>569</v>
      </c>
      <c r="C122">
        <v>1</v>
      </c>
      <c r="D122">
        <v>0</v>
      </c>
      <c r="E122" t="s">
        <v>459</v>
      </c>
      <c r="F122">
        <v>0</v>
      </c>
      <c r="G122">
        <v>0</v>
      </c>
      <c r="R122" s="451"/>
      <c r="S122" s="452"/>
      <c r="T122" s="453"/>
      <c r="AI122" s="454"/>
      <c r="AJ122" s="455"/>
      <c r="AK122" s="456"/>
    </row>
    <row r="123" spans="2:37" hidden="1" x14ac:dyDescent="0.2">
      <c r="B123" t="s">
        <v>570</v>
      </c>
      <c r="C123">
        <v>1</v>
      </c>
      <c r="D123">
        <v>0</v>
      </c>
      <c r="E123" t="s">
        <v>459</v>
      </c>
      <c r="F123">
        <v>0</v>
      </c>
      <c r="G123">
        <v>0</v>
      </c>
      <c r="R123" s="454"/>
      <c r="S123" s="455"/>
      <c r="T123" s="456"/>
      <c r="AI123" s="454"/>
      <c r="AJ123" s="455"/>
      <c r="AK123" s="456"/>
    </row>
    <row r="124" spans="2:37" x14ac:dyDescent="0.2">
      <c r="C124"/>
      <c r="R124" s="454"/>
      <c r="S124" s="455"/>
      <c r="T124" s="456"/>
      <c r="AI124" s="451"/>
      <c r="AJ124" s="452"/>
      <c r="AK124" s="453"/>
    </row>
    <row r="125" spans="2:37" x14ac:dyDescent="0.2">
      <c r="C125"/>
      <c r="R125" s="451"/>
      <c r="S125" s="452"/>
      <c r="T125" s="453"/>
      <c r="AI125" s="454"/>
      <c r="AJ125" s="455"/>
      <c r="AK125" s="456"/>
    </row>
    <row r="126" spans="2:37" x14ac:dyDescent="0.2">
      <c r="C126"/>
      <c r="R126" s="454"/>
      <c r="S126" s="455"/>
      <c r="T126" s="456"/>
      <c r="AI126" s="454"/>
      <c r="AJ126" s="455"/>
      <c r="AK126" s="456"/>
    </row>
    <row r="127" spans="2:37" x14ac:dyDescent="0.2">
      <c r="C127"/>
      <c r="AI127" s="451"/>
      <c r="AJ127" s="452"/>
      <c r="AK127" s="453"/>
    </row>
    <row r="128" spans="2:37" x14ac:dyDescent="0.2">
      <c r="C128"/>
      <c r="AI128" s="454"/>
      <c r="AJ128" s="455"/>
      <c r="AK128" s="456"/>
    </row>
    <row r="129" spans="2:37" x14ac:dyDescent="0.2">
      <c r="C129"/>
      <c r="AI129" s="454"/>
      <c r="AJ129" s="455"/>
      <c r="AK129" s="456"/>
    </row>
    <row r="130" spans="2:37" x14ac:dyDescent="0.2">
      <c r="C130"/>
      <c r="AI130" s="451"/>
      <c r="AJ130" s="452"/>
      <c r="AK130" s="453"/>
    </row>
    <row r="131" spans="2:37" ht="5.25" customHeight="1" x14ac:dyDescent="0.2">
      <c r="C131"/>
      <c r="AI131" s="454"/>
      <c r="AJ131" s="455"/>
      <c r="AK131" s="456"/>
    </row>
    <row r="132" spans="2:37" x14ac:dyDescent="0.2">
      <c r="C132"/>
      <c r="AI132" s="454"/>
      <c r="AJ132" s="455"/>
      <c r="AK132" s="456"/>
    </row>
    <row r="133" spans="2:37" x14ac:dyDescent="0.2">
      <c r="C133"/>
      <c r="AI133" s="451"/>
      <c r="AJ133" s="452"/>
      <c r="AK133" s="453"/>
    </row>
    <row r="134" spans="2:37" x14ac:dyDescent="0.2">
      <c r="C134"/>
      <c r="AI134" s="454"/>
      <c r="AJ134" s="455"/>
      <c r="AK134" s="456"/>
    </row>
    <row r="135" spans="2:37" x14ac:dyDescent="0.2">
      <c r="C135"/>
      <c r="AI135" s="454"/>
      <c r="AJ135" s="455"/>
      <c r="AK135" s="456"/>
    </row>
    <row r="136" spans="2:37" x14ac:dyDescent="0.2">
      <c r="C136"/>
      <c r="AI136" s="451"/>
      <c r="AJ136" s="452"/>
      <c r="AK136" s="453"/>
    </row>
    <row r="137" spans="2:37" x14ac:dyDescent="0.2">
      <c r="C137"/>
      <c r="AI137" s="454"/>
      <c r="AJ137" s="455"/>
      <c r="AK137" s="456"/>
    </row>
    <row r="138" spans="2:37" x14ac:dyDescent="0.2">
      <c r="AI138" s="454"/>
      <c r="AJ138" s="455"/>
      <c r="AK138" s="456"/>
    </row>
    <row r="139" spans="2:37" x14ac:dyDescent="0.2">
      <c r="AI139" s="451"/>
      <c r="AJ139" s="452"/>
      <c r="AK139" s="453"/>
    </row>
    <row r="140" spans="2:37" x14ac:dyDescent="0.2">
      <c r="AI140" s="454"/>
      <c r="AJ140" s="455"/>
      <c r="AK140" s="456"/>
    </row>
    <row r="141" spans="2:37" x14ac:dyDescent="0.2">
      <c r="AI141" s="454"/>
      <c r="AJ141" s="455"/>
      <c r="AK141" s="456"/>
    </row>
    <row r="142" spans="2:37" x14ac:dyDescent="0.2">
      <c r="B142" s="498"/>
      <c r="AI142" s="451"/>
      <c r="AJ142" s="452"/>
      <c r="AK142" s="453"/>
    </row>
    <row r="143" spans="2:37" x14ac:dyDescent="0.2">
      <c r="AI143" s="454"/>
      <c r="AJ143" s="455"/>
      <c r="AK143" s="456"/>
    </row>
    <row r="144" spans="2:37" x14ac:dyDescent="0.2">
      <c r="AI144" s="454"/>
      <c r="AJ144" s="455"/>
      <c r="AK144" s="456"/>
    </row>
    <row r="145" spans="35:37" x14ac:dyDescent="0.2">
      <c r="AI145" s="451"/>
      <c r="AJ145" s="452"/>
      <c r="AK145" s="453"/>
    </row>
    <row r="146" spans="35:37" x14ac:dyDescent="0.2">
      <c r="AI146" s="454"/>
      <c r="AJ146" s="455"/>
      <c r="AK146" s="456"/>
    </row>
    <row r="147" spans="35:37" x14ac:dyDescent="0.2">
      <c r="AI147" s="454"/>
      <c r="AJ147" s="455"/>
      <c r="AK147" s="456"/>
    </row>
    <row r="148" spans="35:37" x14ac:dyDescent="0.2">
      <c r="AI148" s="451"/>
      <c r="AJ148" s="452"/>
      <c r="AK148" s="453"/>
    </row>
    <row r="149" spans="35:37" x14ac:dyDescent="0.2">
      <c r="AI149" s="454"/>
      <c r="AJ149" s="455"/>
      <c r="AK149" s="456"/>
    </row>
    <row r="150" spans="35:37" x14ac:dyDescent="0.2">
      <c r="AI150" s="454"/>
      <c r="AJ150" s="455"/>
      <c r="AK150" s="456"/>
    </row>
    <row r="151" spans="35:37" x14ac:dyDescent="0.2">
      <c r="AI151" s="451"/>
      <c r="AJ151" s="452"/>
      <c r="AK151" s="453"/>
    </row>
    <row r="152" spans="35:37" x14ac:dyDescent="0.2">
      <c r="AI152" s="454"/>
      <c r="AJ152" s="455"/>
      <c r="AK152" s="456"/>
    </row>
    <row r="153" spans="35:37" x14ac:dyDescent="0.2">
      <c r="AI153" s="454"/>
      <c r="AJ153" s="455"/>
      <c r="AK153" s="456"/>
    </row>
    <row r="154" spans="35:37" x14ac:dyDescent="0.2">
      <c r="AI154" s="451"/>
      <c r="AJ154" s="452"/>
      <c r="AK154" s="453"/>
    </row>
    <row r="155" spans="35:37" x14ac:dyDescent="0.2">
      <c r="AI155" s="451"/>
      <c r="AJ155" s="452"/>
      <c r="AK155" s="453"/>
    </row>
    <row r="156" spans="35:37" x14ac:dyDescent="0.2">
      <c r="AI156" s="451"/>
      <c r="AJ156" s="452"/>
      <c r="AK156" s="453"/>
    </row>
    <row r="157" spans="35:37" x14ac:dyDescent="0.2">
      <c r="AI157" s="454"/>
      <c r="AJ157" s="455"/>
      <c r="AK157" s="456"/>
    </row>
    <row r="158" spans="35:37" x14ac:dyDescent="0.2">
      <c r="AI158" s="454"/>
      <c r="AJ158" s="455"/>
      <c r="AK158" s="456"/>
    </row>
    <row r="159" spans="35:37" x14ac:dyDescent="0.2">
      <c r="AI159" s="451"/>
      <c r="AJ159" s="452"/>
      <c r="AK159" s="453"/>
    </row>
    <row r="160" spans="35:37" x14ac:dyDescent="0.2">
      <c r="AI160" s="454"/>
      <c r="AJ160" s="455"/>
      <c r="AK160" s="456"/>
    </row>
    <row r="161" spans="35:37" x14ac:dyDescent="0.2">
      <c r="AI161" s="454"/>
      <c r="AJ161" s="455"/>
      <c r="AK161" s="456"/>
    </row>
    <row r="162" spans="35:37" x14ac:dyDescent="0.2">
      <c r="AI162" s="451"/>
      <c r="AJ162" s="452"/>
      <c r="AK162" s="453"/>
    </row>
    <row r="163" spans="35:37" x14ac:dyDescent="0.2">
      <c r="AI163" s="454"/>
      <c r="AJ163" s="455"/>
      <c r="AK163" s="456"/>
    </row>
    <row r="164" spans="35:37" x14ac:dyDescent="0.2">
      <c r="AI164" s="454"/>
      <c r="AJ164" s="455"/>
      <c r="AK164" s="456"/>
    </row>
    <row r="165" spans="35:37" x14ac:dyDescent="0.2">
      <c r="AI165" s="451"/>
      <c r="AJ165" s="452"/>
      <c r="AK165" s="453"/>
    </row>
    <row r="166" spans="35:37" x14ac:dyDescent="0.2">
      <c r="AI166" s="454"/>
      <c r="AJ166" s="455"/>
      <c r="AK166" s="456"/>
    </row>
    <row r="167" spans="35:37" x14ac:dyDescent="0.2">
      <c r="AI167" s="454"/>
      <c r="AJ167" s="455"/>
      <c r="AK167" s="456"/>
    </row>
    <row r="168" spans="35:37" x14ac:dyDescent="0.2">
      <c r="AI168" s="451"/>
      <c r="AJ168" s="452"/>
      <c r="AK168" s="453"/>
    </row>
    <row r="169" spans="35:37" x14ac:dyDescent="0.2">
      <c r="AI169" s="454"/>
      <c r="AJ169" s="455"/>
      <c r="AK169" s="456"/>
    </row>
    <row r="170" spans="35:37" x14ac:dyDescent="0.2">
      <c r="AI170" s="454"/>
      <c r="AJ170" s="455"/>
      <c r="AK170" s="456"/>
    </row>
    <row r="171" spans="35:37" x14ac:dyDescent="0.2">
      <c r="AI171" s="451"/>
      <c r="AJ171" s="452"/>
      <c r="AK171" s="453"/>
    </row>
    <row r="172" spans="35:37" x14ac:dyDescent="0.2">
      <c r="AI172" s="451"/>
      <c r="AJ172" s="452"/>
      <c r="AK172" s="453"/>
    </row>
    <row r="173" spans="35:37" x14ac:dyDescent="0.2">
      <c r="AI173" s="454"/>
      <c r="AJ173" s="455"/>
      <c r="AK173" s="456"/>
    </row>
    <row r="174" spans="35:37" x14ac:dyDescent="0.2">
      <c r="AI174" s="454"/>
      <c r="AJ174" s="455"/>
      <c r="AK174" s="456"/>
    </row>
    <row r="175" spans="35:37" x14ac:dyDescent="0.2">
      <c r="AI175" s="451"/>
      <c r="AJ175" s="452"/>
      <c r="AK175" s="453"/>
    </row>
    <row r="176" spans="35:37" x14ac:dyDescent="0.2">
      <c r="AI176" s="451"/>
      <c r="AJ176" s="452"/>
      <c r="AK176" s="453"/>
    </row>
    <row r="177" spans="2:37" x14ac:dyDescent="0.2">
      <c r="AI177" s="454"/>
      <c r="AJ177" s="455"/>
      <c r="AK177" s="456"/>
    </row>
    <row r="178" spans="2:37" x14ac:dyDescent="0.2">
      <c r="AI178" s="454"/>
      <c r="AJ178" s="455"/>
      <c r="AK178" s="456"/>
    </row>
    <row r="179" spans="2:37" x14ac:dyDescent="0.2">
      <c r="AI179" s="451"/>
      <c r="AJ179" s="452"/>
      <c r="AK179" s="453"/>
    </row>
    <row r="180" spans="2:37" x14ac:dyDescent="0.2">
      <c r="AI180" s="451"/>
      <c r="AJ180" s="452"/>
      <c r="AK180" s="453"/>
    </row>
    <row r="181" spans="2:37" x14ac:dyDescent="0.2">
      <c r="AI181" s="451"/>
      <c r="AJ181" s="452"/>
      <c r="AK181" s="453"/>
    </row>
    <row r="182" spans="2:37" x14ac:dyDescent="0.2">
      <c r="AI182" s="451"/>
      <c r="AJ182" s="452"/>
      <c r="AK182" s="453"/>
    </row>
    <row r="183" spans="2:37" x14ac:dyDescent="0.2">
      <c r="AI183" s="451"/>
      <c r="AJ183" s="452"/>
      <c r="AK183" s="453"/>
    </row>
    <row r="186" spans="2:37" x14ac:dyDescent="0.2">
      <c r="B186" s="19"/>
      <c r="C186" s="486"/>
      <c r="D186" s="19"/>
      <c r="E186" s="19"/>
      <c r="F186" s="19"/>
      <c r="G186" s="19"/>
      <c r="H186" s="19"/>
      <c r="I186" s="19"/>
      <c r="J186" s="19"/>
      <c r="K186" s="19"/>
      <c r="L186" s="19"/>
      <c r="M186" s="19"/>
      <c r="N186" s="19"/>
    </row>
    <row r="187" spans="2:37" x14ac:dyDescent="0.2">
      <c r="B187" s="19" t="s">
        <v>448</v>
      </c>
      <c r="C187" s="19">
        <v>4915.5</v>
      </c>
      <c r="D187" s="149" cm="1">
        <f t="array" ref="D187:D190">+C17:C20</f>
        <v>4915.5</v>
      </c>
      <c r="E187" s="149" cm="1">
        <f t="array" ref="E187:E190">+D17:D20</f>
        <v>4952.2</v>
      </c>
      <c r="F187" s="19">
        <v>4428.5</v>
      </c>
      <c r="G187" s="19"/>
      <c r="H187" s="19"/>
      <c r="I187" s="19"/>
      <c r="J187" s="19"/>
      <c r="K187" s="19"/>
      <c r="L187" s="19"/>
      <c r="M187" s="19"/>
      <c r="N187" s="19"/>
    </row>
    <row r="188" spans="2:37" x14ac:dyDescent="0.2">
      <c r="B188" s="19" t="s">
        <v>449</v>
      </c>
      <c r="C188" s="19">
        <v>4329.8</v>
      </c>
      <c r="D188" s="19">
        <v>4329.8</v>
      </c>
      <c r="E188" s="19">
        <v>4218.1000000000004</v>
      </c>
      <c r="F188" s="19">
        <v>3180.2</v>
      </c>
      <c r="G188" s="19"/>
      <c r="H188" s="19"/>
      <c r="I188" s="19"/>
      <c r="J188" s="19"/>
      <c r="K188" s="19"/>
      <c r="L188" s="19"/>
      <c r="M188" s="19"/>
      <c r="N188" s="19"/>
    </row>
    <row r="189" spans="2:37" x14ac:dyDescent="0.2">
      <c r="B189" s="19" t="s">
        <v>450</v>
      </c>
      <c r="C189" s="19">
        <v>3388.7</v>
      </c>
      <c r="D189" s="19">
        <v>3388.7</v>
      </c>
      <c r="E189" s="19">
        <v>2979.1</v>
      </c>
      <c r="F189" s="19">
        <v>1834.3</v>
      </c>
      <c r="G189" s="19"/>
      <c r="H189" s="19"/>
      <c r="I189" s="19"/>
      <c r="J189" s="19"/>
      <c r="K189" s="19"/>
      <c r="L189" s="19"/>
      <c r="M189" s="19"/>
      <c r="N189" s="19"/>
    </row>
    <row r="190" spans="2:37" x14ac:dyDescent="0.2">
      <c r="B190" s="19" t="s">
        <v>381</v>
      </c>
      <c r="C190" s="19">
        <v>350.4</v>
      </c>
      <c r="D190" s="19">
        <v>350.4</v>
      </c>
      <c r="E190" s="19">
        <v>218.8</v>
      </c>
      <c r="F190" s="19">
        <v>141</v>
      </c>
      <c r="G190" s="19"/>
      <c r="H190" s="19"/>
      <c r="I190" s="19"/>
      <c r="J190" s="19"/>
      <c r="K190" s="19"/>
      <c r="L190" s="19"/>
      <c r="M190" s="19"/>
      <c r="N190" s="19"/>
    </row>
    <row r="191" spans="2:37" x14ac:dyDescent="0.2">
      <c r="B191" s="19" t="s">
        <v>311</v>
      </c>
      <c r="C191" s="19">
        <f>+SUM(C187:C190)</f>
        <v>12984.4</v>
      </c>
      <c r="D191" s="19">
        <f>+SUM(D187:D190)</f>
        <v>12984.4</v>
      </c>
      <c r="E191" s="19">
        <f>+SUM(E187:E190)</f>
        <v>12368.199999999999</v>
      </c>
      <c r="F191" s="19">
        <f>+SUM(F187:F190)</f>
        <v>9584</v>
      </c>
      <c r="G191" s="19"/>
      <c r="H191" s="19"/>
      <c r="I191" s="19"/>
      <c r="J191" s="19"/>
      <c r="K191" s="19"/>
      <c r="L191" s="19"/>
      <c r="M191" s="19"/>
      <c r="N191" s="19"/>
    </row>
    <row r="192" spans="2:37" x14ac:dyDescent="0.2">
      <c r="B192" s="19"/>
      <c r="C192" s="19"/>
      <c r="D192" s="19"/>
      <c r="E192" s="19"/>
      <c r="F192" s="19"/>
      <c r="G192" s="19"/>
      <c r="H192" s="19"/>
      <c r="I192" s="19"/>
      <c r="J192" s="19"/>
      <c r="K192" s="19"/>
      <c r="L192" s="19"/>
      <c r="M192" s="19"/>
      <c r="N192" s="19"/>
    </row>
    <row r="193" spans="2:14" x14ac:dyDescent="0.2">
      <c r="B193" s="19"/>
      <c r="C193" s="19"/>
      <c r="D193" s="19"/>
      <c r="E193" s="19"/>
      <c r="F193" s="19"/>
      <c r="G193" s="19"/>
      <c r="H193" s="19"/>
      <c r="I193" s="19"/>
      <c r="J193" s="19"/>
      <c r="K193" s="19"/>
      <c r="L193" s="19"/>
      <c r="M193" s="19"/>
      <c r="N193" s="19"/>
    </row>
    <row r="194" spans="2:14" x14ac:dyDescent="0.2">
      <c r="B194" s="19"/>
      <c r="C194" s="19"/>
      <c r="D194" s="19"/>
      <c r="E194" s="19"/>
      <c r="F194" s="19"/>
      <c r="G194" s="19"/>
      <c r="H194" s="19"/>
      <c r="I194" s="19"/>
      <c r="J194" s="19"/>
      <c r="K194" s="19"/>
      <c r="L194" s="19"/>
      <c r="M194" s="19"/>
      <c r="N194" s="19"/>
    </row>
    <row r="195" spans="2:14" x14ac:dyDescent="0.2">
      <c r="B195" s="19"/>
      <c r="C195" s="19"/>
      <c r="D195" s="19"/>
      <c r="E195" s="19"/>
      <c r="F195" s="19"/>
      <c r="G195" s="19"/>
      <c r="H195" s="19"/>
      <c r="I195" s="19"/>
      <c r="J195" s="19"/>
      <c r="K195" s="19"/>
      <c r="L195" s="19"/>
      <c r="M195" s="19"/>
      <c r="N195" s="19"/>
    </row>
    <row r="196" spans="2:14" x14ac:dyDescent="0.2">
      <c r="B196" s="19"/>
      <c r="C196" s="19"/>
      <c r="D196" s="19"/>
      <c r="E196" s="19"/>
      <c r="F196" s="19"/>
      <c r="G196" s="19"/>
      <c r="H196" s="19"/>
      <c r="I196" s="19"/>
      <c r="J196" s="19"/>
      <c r="K196" s="19"/>
      <c r="L196" s="19"/>
      <c r="M196" s="19"/>
      <c r="N196" s="19"/>
    </row>
    <row r="197" spans="2:14" x14ac:dyDescent="0.2">
      <c r="B197" s="19"/>
      <c r="C197" s="19">
        <v>2023</v>
      </c>
      <c r="D197" s="19">
        <f>+C197-1</f>
        <v>2022</v>
      </c>
      <c r="E197" s="19">
        <f>+D197-1</f>
        <v>2021</v>
      </c>
      <c r="F197" s="19">
        <f>+E197-1</f>
        <v>2020</v>
      </c>
      <c r="G197" s="19">
        <v>2024</v>
      </c>
      <c r="H197" s="19">
        <f>+G197+1</f>
        <v>2025</v>
      </c>
      <c r="I197" s="19">
        <f>+H197+1</f>
        <v>2026</v>
      </c>
      <c r="J197" s="19">
        <f>+I197+1</f>
        <v>2027</v>
      </c>
      <c r="K197" s="19">
        <f>+J197+1</f>
        <v>2028</v>
      </c>
      <c r="L197" s="19">
        <f>+K197+1</f>
        <v>2029</v>
      </c>
      <c r="M197" s="19"/>
      <c r="N197" s="19"/>
    </row>
    <row r="198" spans="2:14" x14ac:dyDescent="0.2">
      <c r="B198" s="19" t="s">
        <v>448</v>
      </c>
      <c r="C198" s="487">
        <v>4915.5</v>
      </c>
      <c r="D198" s="487">
        <v>4952.2</v>
      </c>
      <c r="E198" s="487">
        <v>5407.9</v>
      </c>
      <c r="F198" s="487">
        <v>4428.5</v>
      </c>
      <c r="G198" s="19">
        <f>+C198*(1+$G$207)</f>
        <v>5082.6266085589623</v>
      </c>
      <c r="H198" s="19"/>
      <c r="I198" s="19"/>
      <c r="J198" s="19"/>
      <c r="K198" s="19"/>
      <c r="L198" s="19"/>
      <c r="M198" s="19"/>
      <c r="N198" s="19"/>
    </row>
    <row r="199" spans="2:14" x14ac:dyDescent="0.2">
      <c r="B199" s="19" t="s">
        <v>334</v>
      </c>
      <c r="C199" s="488">
        <f>+C198/$C$206</f>
        <v>0.3785696682172453</v>
      </c>
      <c r="D199" s="488">
        <f>+D198/$D$206</f>
        <v>0.40039779434355843</v>
      </c>
      <c r="E199" s="488">
        <f>+E198/$E$206</f>
        <v>0.43990271202433823</v>
      </c>
      <c r="F199" s="488">
        <f>+F198/$F$206</f>
        <v>0.46207220367278801</v>
      </c>
      <c r="G199" s="19"/>
      <c r="H199" s="19"/>
      <c r="I199" s="19"/>
      <c r="J199" s="19"/>
      <c r="K199" s="19"/>
      <c r="L199" s="19"/>
      <c r="M199" s="19"/>
      <c r="N199" s="19"/>
    </row>
    <row r="200" spans="2:14" x14ac:dyDescent="0.2">
      <c r="B200" s="19" t="s">
        <v>449</v>
      </c>
      <c r="C200" s="487">
        <v>4329.8</v>
      </c>
      <c r="D200" s="487">
        <v>4218.1000000000004</v>
      </c>
      <c r="E200" s="487">
        <v>4131.2</v>
      </c>
      <c r="F200" s="487">
        <v>3180.2</v>
      </c>
      <c r="G200" s="19">
        <f>+C200*(1+$G$207)</f>
        <v>4477.0128552006099</v>
      </c>
      <c r="H200" s="19"/>
      <c r="I200" s="19"/>
      <c r="J200" s="19"/>
      <c r="K200" s="19"/>
      <c r="L200" s="19"/>
      <c r="M200" s="19"/>
      <c r="N200" s="19"/>
    </row>
    <row r="201" spans="2:14" x14ac:dyDescent="0.2">
      <c r="B201" s="19" t="s">
        <v>334</v>
      </c>
      <c r="C201" s="488">
        <f>+C200/$C$206</f>
        <v>0.33346169249252949</v>
      </c>
      <c r="D201" s="488">
        <f>+D200/$D$206</f>
        <v>0.34104396759431443</v>
      </c>
      <c r="E201" s="488">
        <f>+E200/$E$206</f>
        <v>0.3360502383392715</v>
      </c>
      <c r="F201" s="488">
        <f>+F200/$F$206</f>
        <v>0.33182387312186978</v>
      </c>
      <c r="G201" s="19"/>
      <c r="H201" s="19"/>
      <c r="I201" s="19"/>
      <c r="J201" s="19"/>
      <c r="K201" s="19"/>
      <c r="L201" s="19"/>
      <c r="M201" s="19"/>
      <c r="N201" s="19"/>
    </row>
    <row r="202" spans="2:14" x14ac:dyDescent="0.2">
      <c r="B202" s="19" t="s">
        <v>450</v>
      </c>
      <c r="C202" s="19">
        <v>3388.7</v>
      </c>
      <c r="D202" s="149">
        <v>2979.1</v>
      </c>
      <c r="E202" s="149">
        <v>2562.8000000000002</v>
      </c>
      <c r="F202" s="19">
        <v>1834.3</v>
      </c>
      <c r="G202" s="19">
        <f>+C202*(1+$G$207)</f>
        <v>3503.9155301441879</v>
      </c>
      <c r="H202" s="19"/>
      <c r="I202" s="19"/>
      <c r="J202" s="19"/>
      <c r="K202" s="19"/>
      <c r="L202" s="19"/>
      <c r="M202" s="19"/>
      <c r="N202" s="19"/>
    </row>
    <row r="203" spans="2:14" x14ac:dyDescent="0.2">
      <c r="B203" s="19" t="s">
        <v>334</v>
      </c>
      <c r="C203" s="488">
        <f>+C202/$C$206</f>
        <v>0.26098240966082376</v>
      </c>
      <c r="D203" s="488">
        <f>+D202/$D$206</f>
        <v>0.24086770912501412</v>
      </c>
      <c r="E203" s="488">
        <f>+E202/$E$206</f>
        <v>0.20846958530593654</v>
      </c>
      <c r="F203" s="488">
        <f>+F202/$F$206</f>
        <v>0.19139190317195326</v>
      </c>
      <c r="G203" s="19"/>
      <c r="H203" s="19"/>
      <c r="I203" s="19"/>
      <c r="J203" s="19"/>
      <c r="K203" s="19"/>
      <c r="L203" s="19"/>
      <c r="M203" s="19"/>
      <c r="N203" s="19"/>
    </row>
    <row r="204" spans="2:14" x14ac:dyDescent="0.2">
      <c r="B204" s="19" t="s">
        <v>381</v>
      </c>
      <c r="C204" s="19">
        <v>350.4</v>
      </c>
      <c r="D204" s="149">
        <v>218.8</v>
      </c>
      <c r="E204" s="149">
        <v>191.5</v>
      </c>
      <c r="F204" s="19">
        <v>141</v>
      </c>
      <c r="G204" s="19">
        <f>+C204*(1+$G$207)</f>
        <v>362.31357209623849</v>
      </c>
      <c r="H204" s="19"/>
      <c r="I204" s="19"/>
      <c r="J204" s="19"/>
      <c r="K204" s="19"/>
      <c r="L204" s="19"/>
      <c r="M204" s="19"/>
      <c r="N204" s="19"/>
    </row>
    <row r="205" spans="2:14" x14ac:dyDescent="0.2">
      <c r="B205" s="19" t="s">
        <v>334</v>
      </c>
      <c r="C205" s="488">
        <f>+C204/$C$206</f>
        <v>2.6986229629401434E-2</v>
      </c>
      <c r="D205" s="488">
        <f>+D204/$D$206</f>
        <v>1.7690528937112919E-2</v>
      </c>
      <c r="E205" s="488">
        <f>+E204/$E$206</f>
        <v>1.557746433045374E-2</v>
      </c>
      <c r="F205" s="488">
        <f>+F204/$F$206</f>
        <v>1.4712020033388982E-2</v>
      </c>
      <c r="G205" s="19"/>
      <c r="H205" s="19"/>
      <c r="I205" s="19"/>
      <c r="J205" s="19"/>
      <c r="K205" s="19"/>
      <c r="L205" s="19"/>
      <c r="M205" s="19"/>
      <c r="N205" s="19"/>
    </row>
    <row r="206" spans="2:14" x14ac:dyDescent="0.2">
      <c r="B206" s="19" t="s">
        <v>311</v>
      </c>
      <c r="C206" s="19">
        <f>+SUM(C204,C202,C200,C198)</f>
        <v>12984.4</v>
      </c>
      <c r="D206" s="19">
        <f>+SUM(D204,D202,D200,D198)</f>
        <v>12368.2</v>
      </c>
      <c r="E206" s="19">
        <f>+SUM(E204,E202,E200,E198)</f>
        <v>12293.4</v>
      </c>
      <c r="F206" s="489">
        <f>+SUM(F204,F202,F200,F198)</f>
        <v>9584</v>
      </c>
      <c r="G206" s="19">
        <f>+DCFF!H6</f>
        <v>13425.868565999999</v>
      </c>
      <c r="H206" s="19">
        <f>+DCFF!I6</f>
        <v>13895.773965809998</v>
      </c>
      <c r="I206" s="19">
        <f>+DCFF!J6</f>
        <v>14491.902668943247</v>
      </c>
      <c r="J206" s="19">
        <f>+DCFF!K6</f>
        <v>15187.513997052523</v>
      </c>
      <c r="K206" s="19">
        <f>+DCFF!L6</f>
        <v>15825.389584928729</v>
      </c>
      <c r="L206" s="19">
        <f>+DCFF!M6</f>
        <v>16458.40516832588</v>
      </c>
      <c r="M206" s="19"/>
      <c r="N206" s="19"/>
    </row>
    <row r="207" spans="2:14" x14ac:dyDescent="0.2">
      <c r="B207" s="19"/>
      <c r="C207" s="19"/>
      <c r="D207" s="19"/>
      <c r="E207" s="19"/>
      <c r="F207" s="19"/>
      <c r="G207" s="490">
        <f>+G206/C206-1</f>
        <v>3.3999920365977543E-2</v>
      </c>
      <c r="H207" s="491">
        <f>+H206/G206-1</f>
        <v>3.499999999999992E-2</v>
      </c>
      <c r="I207" s="491">
        <f>+I206/H206-1</f>
        <v>4.2899999999999938E-2</v>
      </c>
      <c r="J207" s="491">
        <f>+J206/I206-1</f>
        <v>4.8000000000000043E-2</v>
      </c>
      <c r="K207" s="491">
        <f>+K206/J206-1</f>
        <v>4.2000000000000037E-2</v>
      </c>
      <c r="L207" s="491">
        <f>+L206/K206-1</f>
        <v>4.0000000000000036E-2</v>
      </c>
      <c r="M207" s="19"/>
      <c r="N207" s="19"/>
    </row>
    <row r="208" spans="2:14" x14ac:dyDescent="0.2">
      <c r="B208" s="19"/>
      <c r="C208" s="19"/>
      <c r="D208" s="19"/>
      <c r="E208" s="19"/>
      <c r="F208" s="19"/>
      <c r="G208" s="19">
        <f>+SUM(G198:G205)</f>
        <v>13425.868565999999</v>
      </c>
      <c r="H208" s="19"/>
      <c r="I208" s="19"/>
      <c r="J208" s="19"/>
      <c r="K208" s="19"/>
      <c r="L208" s="19"/>
      <c r="M208" s="19"/>
      <c r="N208" s="19"/>
    </row>
    <row r="209" spans="2:14" x14ac:dyDescent="0.2">
      <c r="B209" s="19"/>
      <c r="C209" s="19"/>
      <c r="D209" s="19"/>
      <c r="E209" s="19"/>
      <c r="F209" s="19"/>
      <c r="G209" s="19"/>
      <c r="H209" s="19"/>
      <c r="I209" s="19"/>
      <c r="J209" s="19"/>
      <c r="K209" s="19"/>
      <c r="L209" s="19"/>
      <c r="M209" s="19"/>
      <c r="N209" s="19"/>
    </row>
    <row r="210" spans="2:14" x14ac:dyDescent="0.2">
      <c r="B210" s="19"/>
      <c r="C210" s="486"/>
      <c r="D210" s="19"/>
      <c r="E210" s="19"/>
      <c r="F210" s="19"/>
      <c r="G210" s="19"/>
      <c r="H210" s="19"/>
      <c r="I210" s="19"/>
      <c r="J210" s="19"/>
      <c r="K210" s="19"/>
      <c r="L210" s="19"/>
      <c r="M210" s="19"/>
      <c r="N210" s="19"/>
    </row>
    <row r="211" spans="2:14" x14ac:dyDescent="0.2">
      <c r="B211" s="19"/>
      <c r="C211" s="19">
        <v>2020</v>
      </c>
      <c r="D211" s="19">
        <f>+C211+1</f>
        <v>2021</v>
      </c>
      <c r="E211" s="19">
        <f>+D211+1</f>
        <v>2022</v>
      </c>
      <c r="F211" s="19">
        <f>+E211+1</f>
        <v>2023</v>
      </c>
      <c r="G211" s="19"/>
      <c r="H211" s="19"/>
      <c r="I211" s="19"/>
      <c r="J211" s="19"/>
      <c r="K211" s="19"/>
      <c r="L211" s="19"/>
      <c r="M211" s="19"/>
      <c r="N211" s="19"/>
    </row>
    <row r="212" spans="2:14" x14ac:dyDescent="0.2">
      <c r="B212" s="19" t="s">
        <v>375</v>
      </c>
      <c r="C212" s="19">
        <v>9584</v>
      </c>
      <c r="D212" s="19">
        <v>12293.4</v>
      </c>
      <c r="E212" s="19">
        <v>12368.2</v>
      </c>
      <c r="F212" s="19">
        <v>12984.4</v>
      </c>
      <c r="G212" s="19"/>
      <c r="H212" s="19"/>
      <c r="I212" s="19"/>
      <c r="J212" s="19"/>
      <c r="K212" s="19"/>
      <c r="L212" s="19"/>
      <c r="M212" s="19"/>
      <c r="N212" s="19"/>
    </row>
    <row r="213" spans="2:14" x14ac:dyDescent="0.2">
      <c r="B213" s="19" t="s">
        <v>453</v>
      </c>
      <c r="C213" s="19">
        <v>741.5</v>
      </c>
      <c r="D213" s="19">
        <v>2034.5</v>
      </c>
      <c r="E213" s="19">
        <v>1463</v>
      </c>
      <c r="F213" s="19">
        <v>1282.4000000000001</v>
      </c>
      <c r="G213" s="19"/>
      <c r="H213" s="19"/>
      <c r="I213" s="19"/>
      <c r="J213" s="19"/>
      <c r="K213" s="19"/>
      <c r="L213" s="19"/>
      <c r="M213" s="19"/>
      <c r="N213" s="19"/>
    </row>
    <row r="214" spans="2:14" x14ac:dyDescent="0.2">
      <c r="B214" s="19"/>
      <c r="C214" s="486"/>
      <c r="D214" s="19"/>
      <c r="E214" s="19"/>
      <c r="F214" s="19"/>
      <c r="G214" s="19"/>
      <c r="H214" s="19"/>
      <c r="I214" s="19"/>
      <c r="J214" s="19"/>
      <c r="K214" s="19"/>
      <c r="L214" s="19"/>
      <c r="M214" s="19"/>
      <c r="N214" s="19"/>
    </row>
    <row r="215" spans="2:14" x14ac:dyDescent="0.2">
      <c r="B215" s="19"/>
      <c r="C215" s="486"/>
      <c r="D215" s="19"/>
      <c r="E215" s="19"/>
      <c r="F215" s="19"/>
      <c r="G215" s="19"/>
      <c r="H215" s="19"/>
      <c r="I215" s="19"/>
      <c r="J215" s="19"/>
      <c r="K215" s="19"/>
      <c r="L215" s="19"/>
      <c r="M215" s="19"/>
      <c r="N215" s="19"/>
    </row>
    <row r="216" spans="2:14" x14ac:dyDescent="0.2">
      <c r="B216" s="19"/>
      <c r="C216" s="486"/>
      <c r="D216" s="19"/>
      <c r="E216" s="19"/>
      <c r="F216" s="19"/>
      <c r="G216" s="19"/>
      <c r="H216" s="19"/>
      <c r="I216" s="19"/>
      <c r="J216" s="19"/>
      <c r="K216" s="19"/>
      <c r="L216" s="19"/>
      <c r="M216" s="19"/>
      <c r="N216" s="19"/>
    </row>
    <row r="217" spans="2:14" x14ac:dyDescent="0.2">
      <c r="B217" s="19"/>
      <c r="C217" s="486"/>
      <c r="D217" s="19"/>
      <c r="E217" s="19"/>
      <c r="F217" s="19"/>
      <c r="G217" s="19"/>
      <c r="H217" s="19"/>
      <c r="I217" s="19"/>
      <c r="J217" s="19"/>
      <c r="K217" s="19"/>
      <c r="L217" s="19"/>
      <c r="M217" s="19"/>
      <c r="N217" s="19"/>
    </row>
    <row r="218" spans="2:14" x14ac:dyDescent="0.2">
      <c r="B218" s="19"/>
      <c r="C218" s="486"/>
      <c r="D218" s="19"/>
      <c r="E218" s="19"/>
      <c r="F218" s="19"/>
      <c r="G218" s="19"/>
      <c r="H218" s="19"/>
      <c r="I218" s="19"/>
      <c r="J218" s="19"/>
      <c r="K218" s="19"/>
      <c r="L218" s="19"/>
      <c r="M218" s="19"/>
      <c r="N218" s="19"/>
    </row>
    <row r="219" spans="2:14" x14ac:dyDescent="0.2">
      <c r="B219" s="19"/>
      <c r="C219" s="486"/>
      <c r="D219" s="19"/>
      <c r="E219" s="19"/>
      <c r="F219" s="19"/>
      <c r="G219" s="19"/>
      <c r="H219" s="19"/>
      <c r="I219" s="19"/>
      <c r="J219" s="19"/>
      <c r="K219" s="19"/>
      <c r="L219" s="19"/>
      <c r="M219" s="19"/>
      <c r="N219" s="19"/>
    </row>
    <row r="220" spans="2:14" x14ac:dyDescent="0.2">
      <c r="B220" s="19"/>
      <c r="C220" s="486"/>
      <c r="D220" s="19"/>
      <c r="E220" s="19"/>
      <c r="F220" s="19"/>
      <c r="G220" s="19"/>
      <c r="H220" s="19"/>
      <c r="I220" s="19"/>
      <c r="J220" s="19"/>
      <c r="K220" s="19"/>
      <c r="L220" s="19"/>
      <c r="M220" s="19"/>
      <c r="N220" s="19"/>
    </row>
    <row r="221" spans="2:14" x14ac:dyDescent="0.2">
      <c r="B221" s="19"/>
      <c r="C221" s="486"/>
      <c r="D221" s="19"/>
      <c r="E221" s="19"/>
      <c r="F221" s="19"/>
      <c r="G221" s="19"/>
      <c r="H221" s="19"/>
      <c r="I221" s="19"/>
      <c r="J221" s="19"/>
      <c r="K221" s="19"/>
      <c r="L221" s="19"/>
      <c r="M221" s="19"/>
      <c r="N221" s="19"/>
    </row>
    <row r="222" spans="2:14" x14ac:dyDescent="0.2">
      <c r="B222" s="19"/>
      <c r="C222" s="486"/>
      <c r="D222" s="19"/>
      <c r="E222" s="19"/>
      <c r="F222" s="19"/>
      <c r="G222" s="19"/>
      <c r="H222" s="19"/>
      <c r="I222" s="19"/>
      <c r="J222" s="19"/>
      <c r="K222" s="19"/>
      <c r="L222" s="19"/>
      <c r="M222" s="19"/>
      <c r="N222" s="19"/>
    </row>
    <row r="223" spans="2:14" x14ac:dyDescent="0.2">
      <c r="B223" s="19"/>
      <c r="C223" s="486"/>
      <c r="D223" s="19"/>
      <c r="E223" s="19"/>
      <c r="F223" s="19"/>
      <c r="G223" s="19"/>
      <c r="H223" s="19"/>
      <c r="I223" s="19"/>
      <c r="J223" s="19"/>
      <c r="K223" s="19"/>
      <c r="L223" s="19"/>
      <c r="M223" s="19"/>
      <c r="N223" s="19"/>
    </row>
    <row r="224" spans="2:14" ht="25.5" x14ac:dyDescent="0.2">
      <c r="B224" s="492" t="s">
        <v>489</v>
      </c>
      <c r="C224" s="492" t="s">
        <v>484</v>
      </c>
      <c r="D224" s="492" t="s">
        <v>490</v>
      </c>
      <c r="E224" s="492" t="s">
        <v>491</v>
      </c>
      <c r="F224" s="492" t="s">
        <v>492</v>
      </c>
      <c r="G224" s="492" t="s">
        <v>493</v>
      </c>
      <c r="H224" s="19"/>
      <c r="I224" s="19"/>
      <c r="J224" s="19"/>
      <c r="K224" s="19"/>
      <c r="L224" s="19"/>
      <c r="M224" s="19"/>
      <c r="N224" s="19"/>
    </row>
    <row r="225" spans="2:14" x14ac:dyDescent="0.2">
      <c r="B225" s="493" t="s">
        <v>494</v>
      </c>
      <c r="C225" s="493">
        <v>64</v>
      </c>
      <c r="D225" s="493">
        <v>57</v>
      </c>
      <c r="E225" s="493" t="s">
        <v>495</v>
      </c>
      <c r="F225" s="493">
        <v>7</v>
      </c>
      <c r="G225" s="494" t="s">
        <v>496</v>
      </c>
      <c r="H225" s="19"/>
      <c r="I225" s="19"/>
      <c r="J225" s="19"/>
      <c r="K225" s="19"/>
      <c r="L225" s="19"/>
      <c r="M225" s="19"/>
      <c r="N225" s="19"/>
    </row>
    <row r="226" spans="2:14" x14ac:dyDescent="0.2">
      <c r="B226" s="493" t="s">
        <v>497</v>
      </c>
      <c r="C226" s="493">
        <v>57</v>
      </c>
      <c r="D226" s="493">
        <v>48</v>
      </c>
      <c r="E226" s="493" t="s">
        <v>498</v>
      </c>
      <c r="F226" s="493">
        <v>9</v>
      </c>
      <c r="G226" s="494" t="s">
        <v>499</v>
      </c>
      <c r="H226" s="19"/>
      <c r="I226" s="19"/>
      <c r="J226" s="19"/>
      <c r="K226" s="19"/>
      <c r="L226" s="19"/>
      <c r="M226" s="19"/>
      <c r="N226" s="19"/>
    </row>
    <row r="227" spans="2:14" x14ac:dyDescent="0.2">
      <c r="B227" s="493" t="s">
        <v>500</v>
      </c>
      <c r="C227" s="493">
        <v>57</v>
      </c>
      <c r="D227" s="493">
        <v>48</v>
      </c>
      <c r="E227" s="493" t="s">
        <v>498</v>
      </c>
      <c r="F227" s="493">
        <v>9</v>
      </c>
      <c r="G227" s="494" t="s">
        <v>499</v>
      </c>
      <c r="H227" s="19"/>
      <c r="I227" s="19"/>
      <c r="J227" s="19"/>
      <c r="K227" s="19"/>
      <c r="L227" s="19"/>
      <c r="M227" s="19"/>
      <c r="N227" s="19"/>
    </row>
    <row r="228" spans="2:14" x14ac:dyDescent="0.2">
      <c r="B228" s="493" t="s">
        <v>501</v>
      </c>
      <c r="C228" s="493">
        <v>49</v>
      </c>
      <c r="D228" s="493">
        <v>39</v>
      </c>
      <c r="E228" s="493" t="s">
        <v>502</v>
      </c>
      <c r="F228" s="493">
        <v>10</v>
      </c>
      <c r="G228" s="494" t="s">
        <v>503</v>
      </c>
      <c r="H228" s="19"/>
      <c r="I228" s="19"/>
      <c r="J228" s="19"/>
      <c r="K228" s="19"/>
      <c r="L228" s="19"/>
      <c r="M228" s="19"/>
      <c r="N228" s="19"/>
    </row>
    <row r="229" spans="2:14" x14ac:dyDescent="0.2">
      <c r="B229" s="493" t="s">
        <v>504</v>
      </c>
      <c r="C229" s="493">
        <v>46</v>
      </c>
      <c r="D229" s="493">
        <v>43</v>
      </c>
      <c r="E229" s="493" t="s">
        <v>505</v>
      </c>
      <c r="F229" s="493">
        <v>3</v>
      </c>
      <c r="G229" s="494" t="s">
        <v>506</v>
      </c>
      <c r="H229" s="19"/>
      <c r="I229" s="19"/>
      <c r="J229" s="19"/>
      <c r="K229" s="19"/>
      <c r="L229" s="19"/>
      <c r="M229" s="19"/>
      <c r="N229" s="19"/>
    </row>
    <row r="230" spans="2:14" x14ac:dyDescent="0.2">
      <c r="B230" s="493" t="s">
        <v>507</v>
      </c>
      <c r="C230" s="493">
        <v>46</v>
      </c>
      <c r="D230" s="493">
        <v>36</v>
      </c>
      <c r="E230" s="493" t="s">
        <v>508</v>
      </c>
      <c r="F230" s="493">
        <v>10</v>
      </c>
      <c r="G230" s="494" t="s">
        <v>503</v>
      </c>
      <c r="H230" s="19"/>
      <c r="I230" s="19"/>
      <c r="J230" s="19"/>
      <c r="K230" s="19"/>
      <c r="L230" s="19"/>
      <c r="M230" s="19"/>
      <c r="N230" s="19"/>
    </row>
    <row r="231" spans="2:14" x14ac:dyDescent="0.2">
      <c r="B231" s="493" t="s">
        <v>509</v>
      </c>
      <c r="C231" s="493">
        <v>38</v>
      </c>
      <c r="D231" s="493">
        <v>31</v>
      </c>
      <c r="E231" s="493" t="s">
        <v>510</v>
      </c>
      <c r="F231" s="493">
        <v>7</v>
      </c>
      <c r="G231" s="494" t="s">
        <v>496</v>
      </c>
      <c r="H231" s="19"/>
      <c r="I231" s="19"/>
      <c r="J231" s="19"/>
      <c r="K231" s="19"/>
      <c r="L231" s="19"/>
      <c r="M231" s="19"/>
      <c r="N231" s="19"/>
    </row>
    <row r="232" spans="2:14" x14ac:dyDescent="0.2">
      <c r="B232" s="493" t="s">
        <v>511</v>
      </c>
      <c r="C232" s="493">
        <v>37</v>
      </c>
      <c r="D232" s="493">
        <v>32</v>
      </c>
      <c r="E232" s="493" t="s">
        <v>512</v>
      </c>
      <c r="F232" s="493">
        <v>5</v>
      </c>
      <c r="G232" s="494" t="s">
        <v>513</v>
      </c>
      <c r="H232" s="19"/>
      <c r="I232" s="19"/>
      <c r="J232" s="19"/>
      <c r="K232" s="19"/>
      <c r="L232" s="19"/>
      <c r="M232" s="19"/>
      <c r="N232" s="19"/>
    </row>
    <row r="233" spans="2:14" x14ac:dyDescent="0.2">
      <c r="B233" s="493" t="s">
        <v>514</v>
      </c>
      <c r="C233" s="493">
        <v>33</v>
      </c>
      <c r="D233" s="493">
        <v>27</v>
      </c>
      <c r="E233" s="493" t="s">
        <v>515</v>
      </c>
      <c r="F233" s="493">
        <v>6</v>
      </c>
      <c r="G233" s="494" t="s">
        <v>516</v>
      </c>
      <c r="H233" s="19"/>
      <c r="I233" s="19"/>
      <c r="J233" s="19"/>
      <c r="K233" s="19"/>
      <c r="L233" s="19"/>
      <c r="M233" s="19"/>
      <c r="N233" s="19"/>
    </row>
    <row r="234" spans="2:14" x14ac:dyDescent="0.2">
      <c r="B234" s="493" t="s">
        <v>517</v>
      </c>
      <c r="C234" s="493">
        <v>26</v>
      </c>
      <c r="D234" s="493">
        <v>23</v>
      </c>
      <c r="E234" s="493" t="s">
        <v>518</v>
      </c>
      <c r="F234" s="493">
        <v>3</v>
      </c>
      <c r="G234" s="494" t="s">
        <v>506</v>
      </c>
      <c r="H234" s="19"/>
      <c r="I234" s="19"/>
      <c r="J234" s="19"/>
      <c r="K234" s="19"/>
      <c r="L234" s="19"/>
      <c r="M234" s="19"/>
      <c r="N234" s="19"/>
    </row>
    <row r="235" spans="2:14" x14ac:dyDescent="0.2">
      <c r="B235" s="493" t="s">
        <v>520</v>
      </c>
      <c r="C235" s="493">
        <v>26</v>
      </c>
      <c r="D235" s="493">
        <v>21</v>
      </c>
      <c r="E235" s="493" t="s">
        <v>521</v>
      </c>
      <c r="F235" s="493">
        <v>5</v>
      </c>
      <c r="G235" s="494" t="s">
        <v>513</v>
      </c>
      <c r="H235" s="19"/>
      <c r="I235" s="19"/>
      <c r="J235" s="19"/>
      <c r="K235" s="19"/>
      <c r="L235" s="19"/>
      <c r="M235" s="19"/>
      <c r="N235" s="19"/>
    </row>
    <row r="236" spans="2:14" x14ac:dyDescent="0.2">
      <c r="B236" s="493" t="s">
        <v>522</v>
      </c>
      <c r="C236" s="493">
        <v>23</v>
      </c>
      <c r="D236" s="493">
        <v>19</v>
      </c>
      <c r="E236" s="493" t="s">
        <v>523</v>
      </c>
      <c r="F236" s="493">
        <v>4</v>
      </c>
      <c r="G236" s="494" t="s">
        <v>524</v>
      </c>
      <c r="H236" s="19"/>
      <c r="I236" s="19"/>
      <c r="J236" s="19"/>
      <c r="K236" s="19"/>
      <c r="L236" s="19"/>
      <c r="M236" s="19"/>
      <c r="N236" s="19"/>
    </row>
    <row r="237" spans="2:14" x14ac:dyDescent="0.2">
      <c r="B237" s="493" t="s">
        <v>525</v>
      </c>
      <c r="C237" s="493">
        <v>22</v>
      </c>
      <c r="D237" s="493">
        <v>20</v>
      </c>
      <c r="E237" s="493" t="s">
        <v>526</v>
      </c>
      <c r="F237" s="493">
        <v>2</v>
      </c>
      <c r="G237" s="494" t="s">
        <v>527</v>
      </c>
      <c r="H237" s="19"/>
      <c r="I237" s="19"/>
      <c r="J237" s="19"/>
      <c r="K237" s="19"/>
      <c r="L237" s="19"/>
      <c r="M237" s="19"/>
      <c r="N237" s="19"/>
    </row>
    <row r="238" spans="2:14" x14ac:dyDescent="0.2">
      <c r="B238" s="493" t="s">
        <v>528</v>
      </c>
      <c r="C238" s="493">
        <v>22</v>
      </c>
      <c r="D238" s="493">
        <v>18</v>
      </c>
      <c r="E238" s="493" t="s">
        <v>529</v>
      </c>
      <c r="F238" s="493">
        <v>4</v>
      </c>
      <c r="G238" s="494" t="s">
        <v>524</v>
      </c>
      <c r="H238" s="19"/>
      <c r="I238" s="19"/>
      <c r="J238" s="19"/>
      <c r="K238" s="19"/>
      <c r="L238" s="19"/>
      <c r="M238" s="19"/>
      <c r="N238" s="19"/>
    </row>
    <row r="239" spans="2:14" ht="15.75" x14ac:dyDescent="0.25">
      <c r="B239" s="493" t="s">
        <v>530</v>
      </c>
      <c r="C239" s="493">
        <v>20</v>
      </c>
      <c r="D239" s="493">
        <v>17</v>
      </c>
      <c r="E239" s="493" t="s">
        <v>531</v>
      </c>
      <c r="F239" s="493">
        <v>3</v>
      </c>
      <c r="G239" s="494" t="s">
        <v>506</v>
      </c>
      <c r="H239" s="19"/>
      <c r="I239" s="495"/>
      <c r="J239" s="19"/>
      <c r="K239" s="19"/>
      <c r="L239" s="19"/>
      <c r="M239" s="19"/>
      <c r="N239" s="19"/>
    </row>
    <row r="240" spans="2:14" ht="15.75" x14ac:dyDescent="0.25">
      <c r="B240" s="493" t="s">
        <v>532</v>
      </c>
      <c r="C240" s="493">
        <v>20</v>
      </c>
      <c r="D240" s="493">
        <v>17</v>
      </c>
      <c r="E240" s="493" t="s">
        <v>531</v>
      </c>
      <c r="F240" s="493">
        <v>3</v>
      </c>
      <c r="G240" s="494" t="s">
        <v>506</v>
      </c>
      <c r="H240" s="19"/>
      <c r="I240" s="495"/>
      <c r="J240" s="496" t="s">
        <v>489</v>
      </c>
      <c r="K240" s="19" t="s">
        <v>488</v>
      </c>
      <c r="L240" s="19"/>
      <c r="M240" s="19"/>
      <c r="N240" s="19"/>
    </row>
    <row r="241" spans="2:14" ht="15.75" x14ac:dyDescent="0.25">
      <c r="B241" s="493" t="s">
        <v>533</v>
      </c>
      <c r="C241" s="493">
        <v>18</v>
      </c>
      <c r="D241" s="493">
        <v>16</v>
      </c>
      <c r="E241" s="493" t="s">
        <v>534</v>
      </c>
      <c r="F241" s="493">
        <v>2</v>
      </c>
      <c r="G241" s="494" t="s">
        <v>527</v>
      </c>
      <c r="H241" s="19"/>
      <c r="I241" s="495"/>
      <c r="J241" s="19"/>
      <c r="K241" s="19"/>
      <c r="L241" s="19"/>
      <c r="M241" s="19"/>
      <c r="N241" s="19"/>
    </row>
    <row r="242" spans="2:14" x14ac:dyDescent="0.2">
      <c r="B242" s="493" t="s">
        <v>535</v>
      </c>
      <c r="C242" s="493">
        <v>17</v>
      </c>
      <c r="D242" s="493">
        <v>13</v>
      </c>
      <c r="E242" s="493" t="s">
        <v>536</v>
      </c>
      <c r="F242" s="493">
        <v>4</v>
      </c>
      <c r="G242" s="494" t="s">
        <v>524</v>
      </c>
      <c r="H242" s="19"/>
      <c r="I242" s="19"/>
      <c r="J242" s="19" t="s">
        <v>519</v>
      </c>
      <c r="K242" s="19"/>
      <c r="L242" s="19"/>
      <c r="M242" s="19"/>
      <c r="N242" s="19"/>
    </row>
    <row r="243" spans="2:14" x14ac:dyDescent="0.2">
      <c r="B243" s="493" t="s">
        <v>537</v>
      </c>
      <c r="C243" s="493">
        <v>16</v>
      </c>
      <c r="D243" s="493">
        <v>0</v>
      </c>
      <c r="E243" s="493" t="s">
        <v>459</v>
      </c>
      <c r="F243" s="493">
        <v>0</v>
      </c>
      <c r="G243" s="494">
        <v>0</v>
      </c>
      <c r="H243" s="19"/>
      <c r="I243" s="19"/>
      <c r="J243" s="19">
        <v>48</v>
      </c>
      <c r="K243" s="19"/>
      <c r="L243" s="19"/>
      <c r="M243" s="497"/>
      <c r="N243" s="497"/>
    </row>
    <row r="244" spans="2:14" x14ac:dyDescent="0.2">
      <c r="B244" s="493" t="s">
        <v>538</v>
      </c>
      <c r="C244" s="493">
        <v>15</v>
      </c>
      <c r="D244" s="493">
        <v>13</v>
      </c>
      <c r="E244" s="493" t="s">
        <v>536</v>
      </c>
      <c r="F244" s="493">
        <v>2</v>
      </c>
      <c r="G244" s="494" t="s">
        <v>527</v>
      </c>
      <c r="H244" s="19"/>
      <c r="I244" s="19"/>
      <c r="J244" s="497" t="s">
        <v>571</v>
      </c>
      <c r="K244" s="19"/>
      <c r="L244" s="19"/>
      <c r="M244" s="19"/>
      <c r="N244" s="19"/>
    </row>
    <row r="245" spans="2:14" x14ac:dyDescent="0.2">
      <c r="B245" s="493" t="s">
        <v>539</v>
      </c>
      <c r="C245" s="493">
        <v>14</v>
      </c>
      <c r="D245" s="493">
        <v>12</v>
      </c>
      <c r="E245" s="493" t="s">
        <v>540</v>
      </c>
      <c r="F245" s="493">
        <v>2</v>
      </c>
      <c r="G245" s="494" t="s">
        <v>527</v>
      </c>
      <c r="H245" s="19"/>
      <c r="I245" s="19"/>
      <c r="J245" s="19"/>
      <c r="K245" s="19"/>
      <c r="L245" s="19"/>
      <c r="M245" s="19"/>
      <c r="N245" s="19"/>
    </row>
    <row r="246" spans="2:14" x14ac:dyDescent="0.2">
      <c r="B246" s="493" t="s">
        <v>541</v>
      </c>
      <c r="C246" s="493">
        <v>14</v>
      </c>
      <c r="D246" s="493">
        <v>13</v>
      </c>
      <c r="E246" s="493" t="s">
        <v>536</v>
      </c>
      <c r="F246" s="493">
        <v>1</v>
      </c>
      <c r="G246" s="494" t="s">
        <v>542</v>
      </c>
      <c r="H246" s="19"/>
      <c r="I246" s="19"/>
      <c r="J246" s="19"/>
      <c r="K246" s="19"/>
      <c r="L246" s="19"/>
      <c r="M246" s="19"/>
      <c r="N246" s="19"/>
    </row>
    <row r="247" spans="2:14" x14ac:dyDescent="0.2">
      <c r="B247" s="493" t="s">
        <v>543</v>
      </c>
      <c r="C247" s="493">
        <v>14</v>
      </c>
      <c r="D247" s="493">
        <v>11</v>
      </c>
      <c r="E247" s="493" t="s">
        <v>544</v>
      </c>
      <c r="F247" s="493">
        <v>3</v>
      </c>
      <c r="G247" s="494" t="s">
        <v>506</v>
      </c>
      <c r="H247" s="19"/>
      <c r="I247" s="19"/>
      <c r="J247" s="19"/>
      <c r="K247" s="19"/>
      <c r="L247" s="19"/>
      <c r="M247" s="19"/>
      <c r="N247" s="19"/>
    </row>
    <row r="248" spans="2:14" x14ac:dyDescent="0.2">
      <c r="B248" s="493" t="s">
        <v>545</v>
      </c>
      <c r="C248" s="493">
        <v>14</v>
      </c>
      <c r="D248" s="493">
        <v>11</v>
      </c>
      <c r="E248" s="493" t="s">
        <v>544</v>
      </c>
      <c r="F248" s="493">
        <v>3</v>
      </c>
      <c r="G248" s="494" t="s">
        <v>506</v>
      </c>
      <c r="H248" s="19"/>
      <c r="I248" s="19"/>
      <c r="J248" s="19"/>
      <c r="K248" s="19"/>
      <c r="L248" s="19"/>
      <c r="M248" s="19"/>
      <c r="N248" s="19"/>
    </row>
    <row r="249" spans="2:14" x14ac:dyDescent="0.2">
      <c r="B249" s="493" t="s">
        <v>546</v>
      </c>
      <c r="C249" s="493">
        <v>14</v>
      </c>
      <c r="D249" s="493">
        <v>10</v>
      </c>
      <c r="E249" s="493" t="s">
        <v>503</v>
      </c>
      <c r="F249" s="493">
        <v>4</v>
      </c>
      <c r="G249" s="494" t="s">
        <v>524</v>
      </c>
      <c r="H249" s="19"/>
      <c r="I249" s="19"/>
      <c r="J249" s="19"/>
      <c r="K249" s="19"/>
      <c r="L249" s="19"/>
      <c r="M249" s="19"/>
      <c r="N249" s="19"/>
    </row>
    <row r="250" spans="2:14" x14ac:dyDescent="0.2">
      <c r="B250" s="493" t="s">
        <v>547</v>
      </c>
      <c r="C250" s="493">
        <v>12</v>
      </c>
      <c r="D250" s="493">
        <v>9</v>
      </c>
      <c r="E250" s="493" t="s">
        <v>499</v>
      </c>
      <c r="F250" s="493">
        <v>3</v>
      </c>
      <c r="G250" s="494" t="s">
        <v>506</v>
      </c>
      <c r="H250" s="19"/>
      <c r="I250" s="19"/>
      <c r="J250" s="19"/>
      <c r="K250" s="19"/>
      <c r="L250" s="19"/>
      <c r="M250" s="19"/>
      <c r="N250" s="19"/>
    </row>
    <row r="251" spans="2:14" x14ac:dyDescent="0.2">
      <c r="B251" s="493" t="s">
        <v>548</v>
      </c>
      <c r="C251" s="493">
        <v>12</v>
      </c>
      <c r="D251" s="493">
        <v>10</v>
      </c>
      <c r="E251" s="493" t="s">
        <v>503</v>
      </c>
      <c r="F251" s="493">
        <v>2</v>
      </c>
      <c r="G251" s="494" t="s">
        <v>527</v>
      </c>
      <c r="H251" s="19"/>
      <c r="I251" s="19"/>
      <c r="J251" s="19"/>
      <c r="K251" s="19"/>
      <c r="L251" s="19"/>
      <c r="M251" s="19"/>
      <c r="N251" s="19"/>
    </row>
    <row r="252" spans="2:14" x14ac:dyDescent="0.2">
      <c r="B252" s="493" t="s">
        <v>549</v>
      </c>
      <c r="C252" s="493">
        <v>12</v>
      </c>
      <c r="D252" s="493">
        <v>10</v>
      </c>
      <c r="E252" s="493" t="s">
        <v>503</v>
      </c>
      <c r="F252" s="493">
        <v>2</v>
      </c>
      <c r="G252" s="494" t="s">
        <v>527</v>
      </c>
      <c r="H252" s="19"/>
      <c r="I252" s="19"/>
      <c r="J252" s="19"/>
      <c r="K252" s="19"/>
      <c r="L252" s="19"/>
      <c r="M252" s="19"/>
      <c r="N252" s="19"/>
    </row>
    <row r="253" spans="2:14" x14ac:dyDescent="0.2">
      <c r="B253" s="493" t="s">
        <v>550</v>
      </c>
      <c r="C253" s="493">
        <v>9</v>
      </c>
      <c r="D253" s="493">
        <v>7</v>
      </c>
      <c r="E253" s="493" t="s">
        <v>496</v>
      </c>
      <c r="F253" s="493">
        <v>2</v>
      </c>
      <c r="G253" s="494" t="s">
        <v>527</v>
      </c>
      <c r="H253" s="19"/>
      <c r="I253" s="19"/>
      <c r="J253" s="19"/>
      <c r="K253" s="19"/>
      <c r="L253" s="19"/>
      <c r="M253" s="19"/>
      <c r="N253" s="19"/>
    </row>
    <row r="254" spans="2:14" x14ac:dyDescent="0.2">
      <c r="B254" s="493" t="s">
        <v>551</v>
      </c>
      <c r="C254" s="493">
        <v>9</v>
      </c>
      <c r="D254" s="493">
        <v>7</v>
      </c>
      <c r="E254" s="493" t="s">
        <v>496</v>
      </c>
      <c r="F254" s="493">
        <v>2</v>
      </c>
      <c r="G254" s="494" t="s">
        <v>527</v>
      </c>
      <c r="H254" s="19"/>
      <c r="I254" s="19"/>
      <c r="J254" s="19"/>
      <c r="K254" s="19"/>
      <c r="L254" s="19"/>
      <c r="M254" s="19"/>
      <c r="N254" s="19"/>
    </row>
    <row r="255" spans="2:14" x14ac:dyDescent="0.2">
      <c r="B255" s="493" t="s">
        <v>552</v>
      </c>
      <c r="C255" s="493">
        <v>8</v>
      </c>
      <c r="D255" s="493">
        <v>8</v>
      </c>
      <c r="E255" s="493" t="s">
        <v>553</v>
      </c>
      <c r="F255" s="493">
        <v>0</v>
      </c>
      <c r="G255" s="494">
        <v>0</v>
      </c>
      <c r="H255" s="19"/>
      <c r="I255" s="19"/>
      <c r="J255" s="19"/>
      <c r="K255" s="19"/>
      <c r="L255" s="19"/>
      <c r="M255" s="19"/>
      <c r="N255" s="19"/>
    </row>
    <row r="256" spans="2:14" x14ac:dyDescent="0.2">
      <c r="B256" s="493" t="s">
        <v>554</v>
      </c>
      <c r="C256" s="493">
        <v>7</v>
      </c>
      <c r="D256" s="493">
        <v>6</v>
      </c>
      <c r="E256" s="493" t="s">
        <v>516</v>
      </c>
      <c r="F256" s="493">
        <v>1</v>
      </c>
      <c r="G256" s="494" t="s">
        <v>542</v>
      </c>
      <c r="H256" s="19"/>
      <c r="I256" s="19"/>
      <c r="J256" s="19"/>
      <c r="K256" s="19"/>
      <c r="L256" s="19"/>
      <c r="M256" s="19"/>
      <c r="N256" s="19"/>
    </row>
    <row r="257" spans="2:14" x14ac:dyDescent="0.2">
      <c r="B257" s="493" t="s">
        <v>555</v>
      </c>
      <c r="C257" s="493">
        <v>7</v>
      </c>
      <c r="D257" s="493">
        <v>0</v>
      </c>
      <c r="E257" s="493" t="s">
        <v>459</v>
      </c>
      <c r="F257" s="493">
        <v>0</v>
      </c>
      <c r="G257" s="494">
        <v>0</v>
      </c>
      <c r="H257" s="19"/>
      <c r="I257" s="19"/>
      <c r="J257" s="19"/>
      <c r="K257" s="19"/>
      <c r="L257" s="19"/>
      <c r="M257" s="19"/>
      <c r="N257" s="19"/>
    </row>
    <row r="258" spans="2:14" x14ac:dyDescent="0.2">
      <c r="B258" s="493" t="s">
        <v>556</v>
      </c>
      <c r="C258" s="493">
        <v>7</v>
      </c>
      <c r="D258" s="493">
        <v>0</v>
      </c>
      <c r="E258" s="493" t="s">
        <v>459</v>
      </c>
      <c r="F258" s="493">
        <v>0</v>
      </c>
      <c r="G258" s="494">
        <v>0</v>
      </c>
      <c r="H258" s="19"/>
      <c r="I258" s="19"/>
      <c r="J258" s="19"/>
      <c r="K258" s="19"/>
      <c r="L258" s="19"/>
      <c r="M258" s="19"/>
      <c r="N258" s="19"/>
    </row>
    <row r="259" spans="2:14" x14ac:dyDescent="0.2">
      <c r="B259" s="493" t="s">
        <v>557</v>
      </c>
      <c r="C259" s="493">
        <v>7</v>
      </c>
      <c r="D259" s="493">
        <v>5</v>
      </c>
      <c r="E259" s="493" t="s">
        <v>513</v>
      </c>
      <c r="F259" s="493">
        <v>2</v>
      </c>
      <c r="G259" s="494" t="s">
        <v>527</v>
      </c>
      <c r="H259" s="19"/>
      <c r="I259" s="19"/>
      <c r="J259" s="19"/>
      <c r="K259" s="19"/>
      <c r="L259" s="19"/>
      <c r="M259" s="19"/>
      <c r="N259" s="19"/>
    </row>
    <row r="260" spans="2:14" x14ac:dyDescent="0.2">
      <c r="B260" s="493" t="s">
        <v>558</v>
      </c>
      <c r="C260" s="493">
        <v>6</v>
      </c>
      <c r="D260" s="493">
        <v>4</v>
      </c>
      <c r="E260" s="493" t="s">
        <v>524</v>
      </c>
      <c r="F260" s="493">
        <v>2</v>
      </c>
      <c r="G260" s="494" t="s">
        <v>527</v>
      </c>
      <c r="H260" s="19"/>
      <c r="I260" s="19"/>
      <c r="J260" s="19"/>
      <c r="K260" s="19"/>
      <c r="L260" s="19"/>
      <c r="M260" s="19"/>
      <c r="N260" s="19"/>
    </row>
    <row r="261" spans="2:14" x14ac:dyDescent="0.2">
      <c r="B261" s="493" t="s">
        <v>559</v>
      </c>
      <c r="C261" s="493">
        <v>6</v>
      </c>
      <c r="D261" s="493">
        <v>6</v>
      </c>
      <c r="E261" s="493" t="s">
        <v>516</v>
      </c>
      <c r="F261" s="493">
        <v>0</v>
      </c>
      <c r="G261" s="494">
        <v>0</v>
      </c>
      <c r="H261" s="19"/>
      <c r="I261" s="19"/>
      <c r="J261" s="19"/>
      <c r="K261" s="19"/>
      <c r="L261" s="19"/>
      <c r="M261" s="19"/>
      <c r="N261" s="19"/>
    </row>
    <row r="262" spans="2:14" x14ac:dyDescent="0.2">
      <c r="B262" s="493" t="s">
        <v>560</v>
      </c>
      <c r="C262" s="493">
        <v>5</v>
      </c>
      <c r="D262" s="493">
        <v>4</v>
      </c>
      <c r="E262" s="493" t="s">
        <v>524</v>
      </c>
      <c r="F262" s="493">
        <v>1</v>
      </c>
      <c r="G262" s="494" t="s">
        <v>542</v>
      </c>
      <c r="H262" s="19"/>
      <c r="I262" s="19"/>
      <c r="J262" s="19"/>
      <c r="K262" s="19"/>
      <c r="L262" s="19"/>
      <c r="M262" s="19"/>
      <c r="N262" s="19"/>
    </row>
    <row r="263" spans="2:14" x14ac:dyDescent="0.2">
      <c r="B263" s="493" t="s">
        <v>561</v>
      </c>
      <c r="C263" s="493">
        <v>5</v>
      </c>
      <c r="D263" s="493">
        <v>4</v>
      </c>
      <c r="E263" s="493" t="s">
        <v>524</v>
      </c>
      <c r="F263" s="493">
        <v>1</v>
      </c>
      <c r="G263" s="494" t="s">
        <v>542</v>
      </c>
      <c r="H263" s="19"/>
      <c r="I263" s="19"/>
      <c r="J263" s="19"/>
      <c r="K263" s="19"/>
      <c r="L263" s="19"/>
      <c r="M263" s="19"/>
      <c r="N263" s="19"/>
    </row>
    <row r="264" spans="2:14" x14ac:dyDescent="0.2">
      <c r="B264" s="493" t="s">
        <v>562</v>
      </c>
      <c r="C264" s="493">
        <v>4</v>
      </c>
      <c r="D264" s="493">
        <v>0</v>
      </c>
      <c r="E264" s="493" t="s">
        <v>459</v>
      </c>
      <c r="F264" s="493">
        <v>0</v>
      </c>
      <c r="G264" s="494">
        <v>0</v>
      </c>
      <c r="H264" s="19"/>
      <c r="I264" s="19"/>
      <c r="J264" s="19"/>
      <c r="K264" s="19"/>
      <c r="L264" s="19"/>
      <c r="M264" s="19"/>
      <c r="N264" s="19"/>
    </row>
    <row r="265" spans="2:14" x14ac:dyDescent="0.2">
      <c r="B265" s="493" t="s">
        <v>563</v>
      </c>
      <c r="C265" s="493">
        <v>4</v>
      </c>
      <c r="D265" s="493">
        <v>3</v>
      </c>
      <c r="E265" s="493" t="s">
        <v>506</v>
      </c>
      <c r="F265" s="493">
        <v>1</v>
      </c>
      <c r="G265" s="494" t="s">
        <v>542</v>
      </c>
      <c r="H265" s="19"/>
      <c r="I265" s="19"/>
      <c r="J265" s="19"/>
      <c r="K265" s="19"/>
      <c r="L265" s="19"/>
      <c r="M265" s="19"/>
      <c r="N265" s="19"/>
    </row>
    <row r="266" spans="2:14" x14ac:dyDescent="0.2">
      <c r="B266" s="493" t="s">
        <v>564</v>
      </c>
      <c r="C266" s="493">
        <v>4</v>
      </c>
      <c r="D266" s="493">
        <v>0</v>
      </c>
      <c r="E266" s="493" t="s">
        <v>459</v>
      </c>
      <c r="F266" s="493">
        <v>0</v>
      </c>
      <c r="G266" s="494">
        <v>0</v>
      </c>
      <c r="H266" s="19"/>
      <c r="I266" s="19"/>
      <c r="J266" s="19"/>
      <c r="K266" s="19"/>
      <c r="L266" s="19"/>
      <c r="M266" s="19"/>
      <c r="N266" s="19"/>
    </row>
    <row r="267" spans="2:14" x14ac:dyDescent="0.2">
      <c r="B267" s="493" t="s">
        <v>565</v>
      </c>
      <c r="C267" s="493">
        <v>3</v>
      </c>
      <c r="D267" s="493">
        <v>2</v>
      </c>
      <c r="E267" s="493" t="s">
        <v>527</v>
      </c>
      <c r="F267" s="493">
        <v>1</v>
      </c>
      <c r="G267" s="494" t="s">
        <v>542</v>
      </c>
      <c r="H267" s="19"/>
      <c r="I267" s="19"/>
      <c r="J267" s="19"/>
      <c r="K267" s="19"/>
      <c r="L267" s="19"/>
      <c r="M267" s="19"/>
      <c r="N267" s="19"/>
    </row>
    <row r="268" spans="2:14" x14ac:dyDescent="0.2">
      <c r="B268" s="493" t="s">
        <v>566</v>
      </c>
      <c r="C268" s="493">
        <v>2</v>
      </c>
      <c r="D268" s="493">
        <v>0</v>
      </c>
      <c r="E268" s="493" t="s">
        <v>459</v>
      </c>
      <c r="F268" s="493">
        <v>0</v>
      </c>
      <c r="G268" s="494">
        <v>0</v>
      </c>
      <c r="H268" s="19"/>
      <c r="I268" s="19"/>
      <c r="J268" s="19"/>
      <c r="K268" s="19"/>
      <c r="L268" s="19"/>
      <c r="M268" s="19"/>
      <c r="N268" s="19"/>
    </row>
    <row r="269" spans="2:14" x14ac:dyDescent="0.2">
      <c r="B269" s="493" t="s">
        <v>567</v>
      </c>
      <c r="C269" s="493">
        <v>1</v>
      </c>
      <c r="D269" s="493">
        <v>0</v>
      </c>
      <c r="E269" s="493" t="s">
        <v>459</v>
      </c>
      <c r="F269" s="493">
        <v>0</v>
      </c>
      <c r="G269" s="494">
        <v>0</v>
      </c>
      <c r="H269" s="19"/>
      <c r="I269" s="19"/>
      <c r="J269" s="19"/>
      <c r="K269" s="19"/>
      <c r="L269" s="19"/>
      <c r="M269" s="19"/>
      <c r="N269" s="19"/>
    </row>
    <row r="270" spans="2:14" x14ac:dyDescent="0.2">
      <c r="B270" s="493" t="s">
        <v>568</v>
      </c>
      <c r="C270" s="493">
        <v>1</v>
      </c>
      <c r="D270" s="493">
        <v>0</v>
      </c>
      <c r="E270" s="493" t="s">
        <v>459</v>
      </c>
      <c r="F270" s="493">
        <v>0</v>
      </c>
      <c r="G270" s="494">
        <v>0</v>
      </c>
      <c r="H270" s="19"/>
      <c r="I270" s="19"/>
      <c r="J270" s="19"/>
      <c r="K270" s="19"/>
      <c r="L270" s="19"/>
      <c r="M270" s="19"/>
      <c r="N270" s="19"/>
    </row>
    <row r="271" spans="2:14" x14ac:dyDescent="0.2">
      <c r="B271" s="493" t="s">
        <v>569</v>
      </c>
      <c r="C271" s="493">
        <v>1</v>
      </c>
      <c r="D271" s="493">
        <v>0</v>
      </c>
      <c r="E271" s="493" t="s">
        <v>459</v>
      </c>
      <c r="F271" s="493">
        <v>0</v>
      </c>
      <c r="G271" s="494">
        <v>0</v>
      </c>
      <c r="H271" s="19"/>
      <c r="I271" s="19"/>
      <c r="J271" s="19"/>
      <c r="K271" s="19"/>
      <c r="L271" s="19"/>
      <c r="M271" s="19"/>
      <c r="N271" s="19"/>
    </row>
    <row r="272" spans="2:14" x14ac:dyDescent="0.2">
      <c r="B272" s="493" t="s">
        <v>570</v>
      </c>
      <c r="C272" s="493">
        <v>1</v>
      </c>
      <c r="D272" s="493">
        <v>0</v>
      </c>
      <c r="E272" s="493" t="s">
        <v>459</v>
      </c>
      <c r="F272" s="493">
        <v>0</v>
      </c>
      <c r="G272" s="494">
        <v>0</v>
      </c>
      <c r="H272" s="19"/>
      <c r="I272" s="19"/>
      <c r="J272" s="19"/>
      <c r="K272" s="19"/>
      <c r="L272" s="19"/>
      <c r="M272" s="19"/>
      <c r="N272" s="19"/>
    </row>
    <row r="273" spans="2:14" x14ac:dyDescent="0.2">
      <c r="B273" s="19"/>
      <c r="C273" s="486"/>
      <c r="D273" s="19"/>
      <c r="E273" s="19"/>
      <c r="F273" s="19"/>
      <c r="G273" s="19"/>
      <c r="H273" s="19"/>
      <c r="I273" s="19"/>
      <c r="J273" s="19"/>
      <c r="K273" s="19"/>
      <c r="L273" s="19"/>
      <c r="M273" s="19"/>
      <c r="N273" s="19"/>
    </row>
    <row r="274" spans="2:14" x14ac:dyDescent="0.2">
      <c r="B274" s="19"/>
      <c r="C274" s="486"/>
      <c r="D274" s="19"/>
      <c r="E274" s="19"/>
      <c r="F274" s="19"/>
      <c r="G274" s="19"/>
      <c r="H274" s="19"/>
      <c r="I274" s="19"/>
      <c r="J274" s="19"/>
      <c r="K274" s="19"/>
      <c r="L274" s="19"/>
      <c r="M274" s="19"/>
      <c r="N274" s="19"/>
    </row>
    <row r="275" spans="2:14" x14ac:dyDescent="0.2">
      <c r="B275" s="19"/>
      <c r="C275" s="486"/>
      <c r="D275" s="19"/>
      <c r="E275" s="19"/>
      <c r="F275" s="19"/>
      <c r="G275" s="19"/>
      <c r="H275" s="19"/>
      <c r="I275" s="19"/>
      <c r="J275" s="19"/>
      <c r="K275" s="19"/>
      <c r="L275" s="19"/>
      <c r="M275" s="19"/>
      <c r="N275" s="19"/>
    </row>
    <row r="276" spans="2:14" x14ac:dyDescent="0.2">
      <c r="B276" s="19"/>
      <c r="C276" s="486"/>
      <c r="D276" s="19"/>
      <c r="E276" s="19"/>
      <c r="F276" s="19"/>
      <c r="G276" s="19"/>
      <c r="H276" s="19"/>
      <c r="I276" s="19"/>
      <c r="J276" s="19"/>
      <c r="K276" s="19"/>
      <c r="L276" s="19"/>
      <c r="M276" s="19"/>
      <c r="N276" s="19"/>
    </row>
    <row r="277" spans="2:14" x14ac:dyDescent="0.2">
      <c r="B277" s="19"/>
      <c r="C277" s="486"/>
      <c r="D277" s="19"/>
      <c r="E277" s="19"/>
      <c r="F277" s="19"/>
      <c r="G277" s="19"/>
      <c r="H277" s="19"/>
      <c r="I277" s="19"/>
      <c r="J277" s="19"/>
      <c r="K277" s="19"/>
      <c r="L277" s="19"/>
      <c r="M277" s="19"/>
      <c r="N277" s="19"/>
    </row>
    <row r="278" spans="2:14" x14ac:dyDescent="0.2">
      <c r="B278" s="19"/>
      <c r="C278" s="486"/>
      <c r="D278" s="19"/>
      <c r="E278" s="19"/>
      <c r="F278" s="19"/>
      <c r="G278" s="19"/>
      <c r="H278" s="19"/>
      <c r="I278" s="19"/>
      <c r="J278" s="19"/>
      <c r="K278" s="19"/>
      <c r="L278" s="19"/>
      <c r="M278" s="19"/>
      <c r="N278" s="19"/>
    </row>
    <row r="279" spans="2:14" x14ac:dyDescent="0.2">
      <c r="B279" s="19"/>
      <c r="C279" s="486"/>
      <c r="D279" s="19"/>
      <c r="E279" s="19"/>
      <c r="F279" s="19"/>
      <c r="G279" s="19"/>
      <c r="H279" s="19"/>
      <c r="I279" s="19"/>
      <c r="J279" s="19"/>
      <c r="K279" s="19"/>
      <c r="L279" s="19"/>
      <c r="M279" s="19"/>
      <c r="N279" s="19"/>
    </row>
    <row r="280" spans="2:14" x14ac:dyDescent="0.2">
      <c r="B280" s="19"/>
      <c r="C280" s="486"/>
      <c r="D280" s="19"/>
      <c r="E280" s="19"/>
      <c r="F280" s="19"/>
      <c r="G280" s="19"/>
      <c r="H280" s="19"/>
      <c r="I280" s="19"/>
      <c r="J280" s="19"/>
      <c r="K280" s="19"/>
      <c r="L280" s="19"/>
      <c r="M280" s="19"/>
      <c r="N280" s="19"/>
    </row>
  </sheetData>
  <mergeCells count="2">
    <mergeCell ref="B2:H2"/>
    <mergeCell ref="B15:H15"/>
  </mergeCells>
  <phoneticPr fontId="0" type="noConversion"/>
  <conditionalFormatting sqref="C17:D20">
    <cfRule type="dataBar" priority="8">
      <dataBar>
        <cfvo type="min"/>
        <cfvo type="max"/>
        <color rgb="FF63C384"/>
      </dataBar>
      <extLst>
        <ext xmlns:x14="http://schemas.microsoft.com/office/spreadsheetml/2009/9/main" uri="{B025F937-C7B1-47D3-B67F-A62EFF666E3E}">
          <x14:id>{08463D6C-1C10-44CC-A0BA-C1FE379030AF}</x14:id>
        </ext>
      </extLst>
    </cfRule>
  </conditionalFormatting>
  <conditionalFormatting sqref="F17:F20">
    <cfRule type="dataBar" priority="10">
      <dataBar>
        <cfvo type="min"/>
        <cfvo type="max"/>
        <color rgb="FF63C384"/>
      </dataBar>
      <extLst>
        <ext xmlns:x14="http://schemas.microsoft.com/office/spreadsheetml/2009/9/main" uri="{B025F937-C7B1-47D3-B67F-A62EFF666E3E}">
          <x14:id>{D7974D03-1FFF-4F7D-9493-755E129DA073}</x14:id>
        </ext>
      </extLst>
    </cfRule>
  </conditionalFormatting>
  <conditionalFormatting sqref="H17">
    <cfRule type="dataBar" priority="2">
      <dataBar>
        <cfvo type="min"/>
        <cfvo type="max"/>
        <color rgb="FF63C384"/>
      </dataBar>
      <extLst>
        <ext xmlns:x14="http://schemas.microsoft.com/office/spreadsheetml/2009/9/main" uri="{B025F937-C7B1-47D3-B67F-A62EFF666E3E}">
          <x14:id>{80E5A147-74F7-4EBF-A248-DC0680A4E912}</x14:id>
        </ext>
      </extLst>
    </cfRule>
  </conditionalFormatting>
  <conditionalFormatting sqref="H18:H21">
    <cfRule type="dataBar" priority="7">
      <dataBar>
        <cfvo type="min"/>
        <cfvo type="max"/>
        <color rgb="FF63C384"/>
      </dataBar>
      <extLst>
        <ext xmlns:x14="http://schemas.microsoft.com/office/spreadsheetml/2009/9/main" uri="{B025F937-C7B1-47D3-B67F-A62EFF666E3E}">
          <x14:id>{225C07A1-198A-447A-9546-B8E300345013}</x14:id>
        </ext>
      </extLst>
    </cfRule>
  </conditionalFormatting>
  <pageMargins left="0.75" right="0.75" top="1" bottom="1" header="0" footer="0"/>
  <pageSetup orientation="landscape" r:id="rId2"/>
  <headerFooter alignWithMargins="0"/>
  <drawing r:id="rId3"/>
  <legacyDrawing r:id="rId4"/>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08463D6C-1C10-44CC-A0BA-C1FE379030AF}">
            <x14:dataBar minLength="0" maxLength="100" border="1" negativeBarBorderColorSameAsPositive="0">
              <x14:cfvo type="autoMin"/>
              <x14:cfvo type="autoMax"/>
              <x14:borderColor rgb="FF63C384"/>
              <x14:negativeFillColor rgb="FFFF0000"/>
              <x14:negativeBorderColor rgb="FFFF0000"/>
              <x14:axisColor rgb="FF000000"/>
            </x14:dataBar>
          </x14:cfRule>
          <xm:sqref>C17:D20</xm:sqref>
        </x14:conditionalFormatting>
        <x14:conditionalFormatting xmlns:xm="http://schemas.microsoft.com/office/excel/2006/main">
          <x14:cfRule type="dataBar" id="{D7974D03-1FFF-4F7D-9493-755E129DA073}">
            <x14:dataBar minLength="0" maxLength="100" border="1" negativeBarBorderColorSameAsPositive="0">
              <x14:cfvo type="autoMin"/>
              <x14:cfvo type="autoMax"/>
              <x14:borderColor rgb="FF63C384"/>
              <x14:negativeFillColor rgb="FFFF0000"/>
              <x14:negativeBorderColor rgb="FFFF0000"/>
              <x14:axisColor rgb="FF000000"/>
            </x14:dataBar>
          </x14:cfRule>
          <xm:sqref>F17:F20</xm:sqref>
        </x14:conditionalFormatting>
        <x14:conditionalFormatting xmlns:xm="http://schemas.microsoft.com/office/excel/2006/main">
          <x14:cfRule type="dataBar" id="{80E5A147-74F7-4EBF-A248-DC0680A4E912}">
            <x14:dataBar minLength="0" maxLength="100" border="1" negativeBarBorderColorSameAsPositive="0">
              <x14:cfvo type="autoMin"/>
              <x14:cfvo type="autoMax"/>
              <x14:borderColor rgb="FF63C384"/>
              <x14:negativeFillColor rgb="FFFF0000"/>
              <x14:negativeBorderColor rgb="FFFF0000"/>
              <x14:axisColor rgb="FF000000"/>
            </x14:dataBar>
          </x14:cfRule>
          <xm:sqref>H17</xm:sqref>
        </x14:conditionalFormatting>
        <x14:conditionalFormatting xmlns:xm="http://schemas.microsoft.com/office/excel/2006/main">
          <x14:cfRule type="dataBar" id="{225C07A1-198A-447A-9546-B8E300345013}">
            <x14:dataBar minLength="0" maxLength="100" border="1" negativeBarBorderColorSameAsPositive="0">
              <x14:cfvo type="autoMin"/>
              <x14:cfvo type="autoMax"/>
              <x14:borderColor rgb="FF63C384"/>
              <x14:negativeFillColor rgb="FFFF0000"/>
              <x14:negativeBorderColor rgb="FFFF0000"/>
              <x14:axisColor rgb="FF000000"/>
            </x14:dataBar>
          </x14:cfRule>
          <xm:sqref>H18:H21</xm:sqref>
        </x14:conditionalFormatting>
      </x14:conditionalFormattings>
    </ext>
    <ext xmlns:x15="http://schemas.microsoft.com/office/spreadsheetml/2010/11/main" uri="{3A4CF648-6AED-40f4-86FF-DC5316D8AED3}">
      <x14:slicerList xmlns:x14="http://schemas.microsoft.com/office/spreadsheetml/2009/9/main">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14999847407452621"/>
  </sheetPr>
  <dimension ref="A1:N24"/>
  <sheetViews>
    <sheetView showGridLines="0" workbookViewId="0">
      <selection activeCell="A24" sqref="A24"/>
    </sheetView>
  </sheetViews>
  <sheetFormatPr defaultColWidth="11.42578125" defaultRowHeight="12.75" x14ac:dyDescent="0.2"/>
  <sheetData>
    <row r="1" spans="1:14" x14ac:dyDescent="0.2">
      <c r="A1" s="195" t="s">
        <v>188</v>
      </c>
      <c r="G1" s="195" t="s">
        <v>189</v>
      </c>
      <c r="N1" s="195" t="s">
        <v>190</v>
      </c>
    </row>
    <row r="2" spans="1:14" x14ac:dyDescent="0.2">
      <c r="A2" s="112" t="s">
        <v>191</v>
      </c>
      <c r="G2" s="112" t="s">
        <v>192</v>
      </c>
      <c r="N2" s="112" t="s">
        <v>193</v>
      </c>
    </row>
    <row r="23" spans="1:1" x14ac:dyDescent="0.2">
      <c r="A23" s="112" t="s">
        <v>194</v>
      </c>
    </row>
    <row r="24" spans="1:1" x14ac:dyDescent="0.2">
      <c r="A24" s="195" t="s">
        <v>195</v>
      </c>
    </row>
  </sheetData>
  <hyperlinks>
    <hyperlink ref="A1" r:id="rId1" xr:uid="{00000000-0004-0000-0100-000000000000}"/>
    <hyperlink ref="G1" r:id="rId2" xr:uid="{00000000-0004-0000-0100-000001000000}"/>
    <hyperlink ref="A24" r:id="rId3" xr:uid="{00000000-0004-0000-0100-000002000000}"/>
    <hyperlink ref="N1" r:id="rId4" xr:uid="{00000000-0004-0000-0100-000003000000}"/>
  </hyperlinks>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sheetPr>
  <dimension ref="A1:F169"/>
  <sheetViews>
    <sheetView showGridLines="0" zoomScale="89" zoomScaleNormal="100" workbookViewId="0">
      <selection activeCell="B12" sqref="B12"/>
    </sheetView>
  </sheetViews>
  <sheetFormatPr defaultColWidth="11.42578125" defaultRowHeight="12.75" x14ac:dyDescent="0.2"/>
  <cols>
    <col min="1" max="1" width="21.28515625" bestFit="1" customWidth="1"/>
    <col min="2" max="5" width="22.7109375" customWidth="1"/>
  </cols>
  <sheetData>
    <row r="1" spans="1:5" ht="5.25" customHeight="1" thickBot="1" x14ac:dyDescent="0.25"/>
    <row r="2" spans="1:5" ht="12.75" customHeight="1" x14ac:dyDescent="0.2">
      <c r="A2" s="676" t="s">
        <v>361</v>
      </c>
      <c r="B2" s="203" t="s">
        <v>427</v>
      </c>
      <c r="C2" s="203" t="s">
        <v>429</v>
      </c>
      <c r="D2" s="203" t="s">
        <v>431</v>
      </c>
      <c r="E2" s="203" t="s">
        <v>434</v>
      </c>
    </row>
    <row r="3" spans="1:5" ht="15" x14ac:dyDescent="0.2">
      <c r="A3" s="677"/>
      <c r="B3" s="204" t="s">
        <v>428</v>
      </c>
      <c r="C3" s="204" t="s">
        <v>430</v>
      </c>
      <c r="D3" s="204" t="s">
        <v>432</v>
      </c>
      <c r="E3" s="204" t="s">
        <v>433</v>
      </c>
    </row>
    <row r="4" spans="1:5" ht="15.4" customHeight="1" x14ac:dyDescent="0.2">
      <c r="A4" s="205" t="s">
        <v>9</v>
      </c>
      <c r="B4" s="421" t="s">
        <v>435</v>
      </c>
      <c r="C4" s="387" t="s">
        <v>436</v>
      </c>
      <c r="D4" s="387" t="s">
        <v>437</v>
      </c>
      <c r="E4" s="388" t="s">
        <v>438</v>
      </c>
    </row>
    <row r="5" spans="1:5" ht="15.4" customHeight="1" x14ac:dyDescent="0.2">
      <c r="A5" s="205" t="s">
        <v>410</v>
      </c>
      <c r="B5" s="422">
        <v>1.54E-2</v>
      </c>
      <c r="C5" s="409">
        <v>1.01E-2</v>
      </c>
      <c r="D5" s="409">
        <v>3.7600000000000001E-2</v>
      </c>
      <c r="E5" s="410">
        <v>-9.0899999999999995E-2</v>
      </c>
    </row>
    <row r="6" spans="1:5" ht="15.4" customHeight="1" x14ac:dyDescent="0.2">
      <c r="A6" s="205" t="s">
        <v>411</v>
      </c>
      <c r="B6" s="422">
        <v>0.36899999999999999</v>
      </c>
      <c r="C6" s="409">
        <v>0.69269999999999998</v>
      </c>
      <c r="D6" s="409">
        <v>0.37040000000000001</v>
      </c>
      <c r="E6" s="410">
        <v>0.16039999999999999</v>
      </c>
    </row>
    <row r="7" spans="1:5" ht="15.4" hidden="1" customHeight="1" x14ac:dyDescent="0.2">
      <c r="A7" s="205" t="s">
        <v>17</v>
      </c>
      <c r="B7" s="411">
        <v>122278</v>
      </c>
      <c r="C7" s="412">
        <v>82110</v>
      </c>
      <c r="D7" s="412">
        <v>26772</v>
      </c>
      <c r="E7" s="413">
        <v>100504</v>
      </c>
    </row>
    <row r="8" spans="1:5" ht="15.4" hidden="1" customHeight="1" x14ac:dyDescent="0.2">
      <c r="A8" s="205" t="s">
        <v>134</v>
      </c>
      <c r="B8" s="411">
        <v>323888</v>
      </c>
      <c r="C8" s="412">
        <v>301311</v>
      </c>
      <c r="D8" s="412">
        <v>319616</v>
      </c>
      <c r="E8" s="413">
        <v>321195</v>
      </c>
    </row>
    <row r="9" spans="1:5" ht="15.4" customHeight="1" x14ac:dyDescent="0.2">
      <c r="A9" s="205" t="s">
        <v>133</v>
      </c>
      <c r="B9" s="409">
        <f>OP!C10/OP!E7</f>
        <v>0.45789771892550402</v>
      </c>
      <c r="C9" s="409">
        <v>5.1299999999999998E-2</v>
      </c>
      <c r="D9" s="409">
        <v>0.3513</v>
      </c>
      <c r="E9" s="410">
        <v>0.41310000000000002</v>
      </c>
    </row>
    <row r="10" spans="1:5" ht="15.4" customHeight="1" x14ac:dyDescent="0.2">
      <c r="A10" s="205" t="s">
        <v>181</v>
      </c>
      <c r="B10" s="414">
        <f>OP!C10/OP!J11</f>
        <v>2.299840126690428</v>
      </c>
      <c r="C10" s="414">
        <v>0.25109999999999999</v>
      </c>
      <c r="D10" s="414">
        <v>2.5318000000000001</v>
      </c>
      <c r="E10" s="410">
        <v>8.4879999999999995</v>
      </c>
    </row>
    <row r="11" spans="1:5" ht="15.4" customHeight="1" x14ac:dyDescent="0.2">
      <c r="A11" s="205" t="s">
        <v>173</v>
      </c>
      <c r="B11" s="420">
        <f>-DCFF!G22/DCFF!G6</f>
        <v>4.524090795423031E-2</v>
      </c>
      <c r="C11" s="414">
        <v>3.3399999999999999E-2</v>
      </c>
      <c r="D11" s="414">
        <v>3.1600000000000003E-2</v>
      </c>
      <c r="E11" s="410">
        <v>3.2199999999999999E-2</v>
      </c>
    </row>
    <row r="12" spans="1:5" ht="15.4" customHeight="1" x14ac:dyDescent="0.2">
      <c r="A12" s="205" t="s">
        <v>197</v>
      </c>
      <c r="B12" s="414">
        <f>OP!J14</f>
        <v>0.11200899680317947</v>
      </c>
      <c r="C12" s="414">
        <v>0.1135</v>
      </c>
      <c r="D12" s="414">
        <v>7.3400000000000007E-2</v>
      </c>
      <c r="E12" s="410">
        <v>1.14E-2</v>
      </c>
    </row>
    <row r="13" spans="1:5" ht="15.4" customHeight="1" x14ac:dyDescent="0.2">
      <c r="A13" s="205" t="s">
        <v>198</v>
      </c>
      <c r="B13" s="420">
        <f>OP!J15</f>
        <v>0.1515656822163175</v>
      </c>
      <c r="C13" s="414">
        <v>0.1479</v>
      </c>
      <c r="D13" s="414">
        <v>0.1234</v>
      </c>
      <c r="E13" s="410">
        <v>4.3999999999999997E-2</v>
      </c>
    </row>
    <row r="14" spans="1:5" ht="15.4" customHeight="1" x14ac:dyDescent="0.2">
      <c r="A14" s="205" t="s">
        <v>1</v>
      </c>
      <c r="B14" s="420">
        <f>OP!D37</f>
        <v>9.8761983515756102E-2</v>
      </c>
      <c r="C14" s="414">
        <v>7.9200000000000007E-2</v>
      </c>
      <c r="D14" s="414">
        <v>9.7100000000000006E-2</v>
      </c>
      <c r="E14" s="410">
        <v>1.6E-2</v>
      </c>
    </row>
    <row r="15" spans="1:5" ht="15.4" customHeight="1" x14ac:dyDescent="0.2">
      <c r="A15" s="386" t="s">
        <v>362</v>
      </c>
      <c r="B15" s="420">
        <f>OP!D36</f>
        <v>0.11828877577800744</v>
      </c>
      <c r="C15" s="414">
        <v>0.13500000000000001</v>
      </c>
      <c r="D15" s="414">
        <v>0.13400000000000001</v>
      </c>
      <c r="E15" s="410">
        <v>0.1169</v>
      </c>
    </row>
    <row r="16" spans="1:5" ht="15.4" customHeight="1" x14ac:dyDescent="0.2">
      <c r="A16" s="205" t="s">
        <v>172</v>
      </c>
      <c r="B16" s="425">
        <f>OP!L7</f>
        <v>0.96299999999999997</v>
      </c>
      <c r="C16" s="414">
        <v>0.77700000000000002</v>
      </c>
      <c r="D16" s="414">
        <v>0.98550000000000004</v>
      </c>
      <c r="E16" s="410">
        <v>0.67900000000000005</v>
      </c>
    </row>
    <row r="17" spans="1:6" ht="15.4" customHeight="1" x14ac:dyDescent="0.2">
      <c r="A17" s="207" t="s">
        <v>199</v>
      </c>
      <c r="B17" s="419">
        <f>OP!L9</f>
        <v>1.6</v>
      </c>
      <c r="C17" s="415">
        <v>1.88</v>
      </c>
      <c r="D17" s="415">
        <v>1.37</v>
      </c>
      <c r="E17" s="416">
        <v>1.43</v>
      </c>
    </row>
    <row r="18" spans="1:6" ht="15.4" customHeight="1" x14ac:dyDescent="0.2">
      <c r="A18" s="205" t="s">
        <v>200</v>
      </c>
      <c r="B18" s="423">
        <v>17.18</v>
      </c>
      <c r="C18" s="415">
        <v>10.77</v>
      </c>
      <c r="D18" s="415">
        <v>8.58</v>
      </c>
      <c r="E18" s="416">
        <v>9.7200000000000006</v>
      </c>
    </row>
    <row r="19" spans="1:6" ht="15.4" customHeight="1" x14ac:dyDescent="0.2">
      <c r="A19" s="386" t="s">
        <v>363</v>
      </c>
      <c r="B19" s="423">
        <v>1.48</v>
      </c>
      <c r="C19" s="415">
        <v>0.63</v>
      </c>
      <c r="D19" s="415">
        <v>0.64</v>
      </c>
      <c r="E19" s="416">
        <v>0.22</v>
      </c>
    </row>
    <row r="20" spans="1:6" ht="15.4" customHeight="1" x14ac:dyDescent="0.2">
      <c r="A20" s="205" t="s">
        <v>49</v>
      </c>
      <c r="B20" s="562">
        <f>OP!C12/OP!E7</f>
        <v>2.0052827760017662</v>
      </c>
      <c r="C20" s="415">
        <v>2.71</v>
      </c>
      <c r="D20" s="415">
        <v>0.98</v>
      </c>
      <c r="E20" s="416">
        <v>0.63</v>
      </c>
    </row>
    <row r="21" spans="1:6" ht="15.4" customHeight="1" x14ac:dyDescent="0.2">
      <c r="A21" s="205" t="s">
        <v>201</v>
      </c>
      <c r="B21" s="562">
        <v>12.5</v>
      </c>
      <c r="C21" s="415">
        <v>5.91</v>
      </c>
      <c r="D21" s="415">
        <v>6.86</v>
      </c>
      <c r="E21" s="416">
        <v>12.98</v>
      </c>
    </row>
    <row r="22" spans="1:6" ht="15.4" customHeight="1" thickBot="1" x14ac:dyDescent="0.25">
      <c r="A22" s="206" t="s">
        <v>66</v>
      </c>
      <c r="B22" s="424">
        <f>OP!L19</f>
        <v>1.0061636996013697E-2</v>
      </c>
      <c r="C22" s="417">
        <v>1.0999999999999999E-2</v>
      </c>
      <c r="D22" s="417">
        <v>6.7000000000000002E-3</v>
      </c>
      <c r="E22" s="418">
        <v>3.85E-2</v>
      </c>
    </row>
    <row r="24" spans="1:6" x14ac:dyDescent="0.2">
      <c r="B24" s="62" t="s">
        <v>115</v>
      </c>
    </row>
    <row r="25" spans="1:6" x14ac:dyDescent="0.2">
      <c r="B25" s="62" t="s">
        <v>176</v>
      </c>
    </row>
    <row r="26" spans="1:6" ht="20.25" x14ac:dyDescent="0.25">
      <c r="A26" s="401"/>
      <c r="B26" s="402"/>
      <c r="C26" s="402"/>
      <c r="D26" s="402"/>
      <c r="E26" s="402"/>
      <c r="F26" s="403"/>
    </row>
    <row r="27" spans="1:6" ht="20.25" x14ac:dyDescent="0.2">
      <c r="A27" s="62" t="s">
        <v>417</v>
      </c>
      <c r="B27" s="404"/>
      <c r="C27" s="402"/>
      <c r="D27" s="402"/>
      <c r="E27" s="403"/>
      <c r="F27" s="403"/>
    </row>
    <row r="28" spans="1:6" ht="20.25" x14ac:dyDescent="0.25">
      <c r="A28" s="401"/>
      <c r="B28" s="402"/>
      <c r="C28" s="402"/>
      <c r="D28" s="402"/>
      <c r="E28" s="402"/>
      <c r="F28" s="403"/>
    </row>
    <row r="29" spans="1:6" ht="20.25" x14ac:dyDescent="0.25">
      <c r="A29" s="401"/>
      <c r="B29" s="404"/>
      <c r="C29" s="402"/>
      <c r="D29" s="402"/>
      <c r="E29" s="403"/>
      <c r="F29" s="403"/>
    </row>
    <row r="30" spans="1:6" ht="20.25" x14ac:dyDescent="0.25">
      <c r="A30" s="401"/>
      <c r="B30" s="404"/>
      <c r="C30" s="402"/>
      <c r="D30" s="402"/>
      <c r="E30" s="402"/>
      <c r="F30" s="403"/>
    </row>
    <row r="31" spans="1:6" ht="20.25" x14ac:dyDescent="0.25">
      <c r="A31" s="401"/>
      <c r="B31" s="405"/>
      <c r="C31" s="402"/>
      <c r="D31" s="402"/>
      <c r="E31" s="403"/>
      <c r="F31" s="403"/>
    </row>
    <row r="32" spans="1:6" ht="15.75" x14ac:dyDescent="0.25">
      <c r="A32" s="401"/>
      <c r="B32" s="405"/>
      <c r="C32" s="405"/>
      <c r="D32" s="406"/>
      <c r="E32" s="403"/>
      <c r="F32" s="403"/>
    </row>
    <row r="33" spans="1:6" x14ac:dyDescent="0.2">
      <c r="A33" s="403"/>
      <c r="B33" s="403"/>
      <c r="C33" s="403"/>
      <c r="D33" s="403"/>
      <c r="E33" s="403"/>
      <c r="F33" s="403"/>
    </row>
    <row r="34" spans="1:6" x14ac:dyDescent="0.2">
      <c r="A34" s="403"/>
      <c r="B34" s="403"/>
      <c r="C34" s="403"/>
      <c r="D34" s="403"/>
      <c r="E34" s="403"/>
      <c r="F34" s="403"/>
    </row>
    <row r="35" spans="1:6" x14ac:dyDescent="0.2">
      <c r="A35" s="403"/>
      <c r="B35" s="403"/>
      <c r="C35" s="403"/>
      <c r="D35" s="403"/>
      <c r="E35" s="403"/>
      <c r="F35" s="403"/>
    </row>
    <row r="36" spans="1:6" x14ac:dyDescent="0.2">
      <c r="A36" s="403"/>
      <c r="B36" s="403"/>
      <c r="C36" s="403"/>
      <c r="D36" s="403"/>
      <c r="E36" s="403"/>
      <c r="F36" s="403"/>
    </row>
    <row r="37" spans="1:6" x14ac:dyDescent="0.2">
      <c r="A37" s="403"/>
      <c r="B37" s="403"/>
      <c r="C37" s="403"/>
      <c r="D37" s="403"/>
      <c r="E37" s="403"/>
      <c r="F37" s="403"/>
    </row>
    <row r="38" spans="1:6" x14ac:dyDescent="0.2">
      <c r="A38" s="403"/>
      <c r="B38" s="403"/>
      <c r="C38" s="403"/>
      <c r="D38" s="403"/>
      <c r="E38" s="403"/>
      <c r="F38" s="403"/>
    </row>
    <row r="39" spans="1:6" x14ac:dyDescent="0.2">
      <c r="A39" s="403"/>
      <c r="B39" s="403"/>
      <c r="C39" s="403"/>
      <c r="D39" s="403"/>
      <c r="E39" s="403"/>
      <c r="F39" s="403"/>
    </row>
    <row r="40" spans="1:6" x14ac:dyDescent="0.2">
      <c r="A40" s="403"/>
      <c r="B40" s="403"/>
      <c r="C40" s="403"/>
      <c r="D40" s="403"/>
      <c r="E40" s="403"/>
      <c r="F40" s="403"/>
    </row>
    <row r="41" spans="1:6" x14ac:dyDescent="0.2">
      <c r="A41" s="403"/>
      <c r="B41" s="403"/>
      <c r="C41" s="403"/>
      <c r="D41" s="403"/>
      <c r="E41" s="403"/>
      <c r="F41" s="403"/>
    </row>
    <row r="42" spans="1:6" x14ac:dyDescent="0.2">
      <c r="A42" s="403"/>
      <c r="B42" s="403"/>
      <c r="C42" s="403"/>
      <c r="D42" s="403"/>
      <c r="E42" s="403"/>
      <c r="F42" s="403"/>
    </row>
    <row r="43" spans="1:6" x14ac:dyDescent="0.2">
      <c r="A43" s="403"/>
      <c r="B43" s="403"/>
      <c r="C43" s="403"/>
      <c r="D43" s="403"/>
      <c r="E43" s="403"/>
      <c r="F43" s="403"/>
    </row>
    <row r="44" spans="1:6" x14ac:dyDescent="0.2">
      <c r="A44" s="403"/>
      <c r="B44" s="403"/>
      <c r="C44" s="403"/>
      <c r="D44" s="403"/>
      <c r="E44" s="403"/>
      <c r="F44" s="403"/>
    </row>
    <row r="45" spans="1:6" x14ac:dyDescent="0.2">
      <c r="A45" s="403"/>
      <c r="B45" s="403"/>
      <c r="C45" s="403"/>
      <c r="D45" s="403"/>
      <c r="E45" s="403"/>
      <c r="F45" s="403"/>
    </row>
    <row r="46" spans="1:6" x14ac:dyDescent="0.2">
      <c r="A46" s="403"/>
      <c r="B46" s="403"/>
      <c r="C46" s="403"/>
      <c r="D46" s="403"/>
      <c r="E46" s="403"/>
      <c r="F46" s="403"/>
    </row>
    <row r="47" spans="1:6" x14ac:dyDescent="0.2">
      <c r="A47" s="403"/>
      <c r="B47" s="403"/>
      <c r="C47" s="403"/>
      <c r="D47" s="403"/>
      <c r="E47" s="403"/>
      <c r="F47" s="403"/>
    </row>
    <row r="48" spans="1:6" x14ac:dyDescent="0.2">
      <c r="A48" s="403"/>
      <c r="B48" s="403"/>
      <c r="C48" s="403"/>
      <c r="D48" s="403"/>
      <c r="E48" s="403"/>
      <c r="F48" s="403"/>
    </row>
    <row r="49" spans="1:6" x14ac:dyDescent="0.2">
      <c r="A49" s="403"/>
      <c r="B49" s="403"/>
      <c r="C49" s="403"/>
      <c r="D49" s="403"/>
      <c r="E49" s="403"/>
      <c r="F49" s="403"/>
    </row>
    <row r="50" spans="1:6" x14ac:dyDescent="0.2">
      <c r="A50" s="403"/>
      <c r="B50" s="403"/>
      <c r="C50" s="403"/>
      <c r="D50" s="403"/>
      <c r="E50" s="403"/>
      <c r="F50" s="403"/>
    </row>
    <row r="51" spans="1:6" x14ac:dyDescent="0.2">
      <c r="A51" s="403"/>
      <c r="B51" s="403"/>
      <c r="C51" s="403"/>
      <c r="D51" s="403"/>
      <c r="E51" s="403"/>
      <c r="F51" s="403"/>
    </row>
    <row r="52" spans="1:6" x14ac:dyDescent="0.2">
      <c r="A52" s="403"/>
      <c r="B52" s="403"/>
      <c r="C52" s="403"/>
      <c r="D52" s="403"/>
      <c r="E52" s="403"/>
      <c r="F52" s="403"/>
    </row>
    <row r="53" spans="1:6" x14ac:dyDescent="0.2">
      <c r="A53" s="403"/>
      <c r="B53" s="403"/>
      <c r="C53" s="403"/>
      <c r="D53" s="403"/>
      <c r="E53" s="403"/>
      <c r="F53" s="403"/>
    </row>
    <row r="54" spans="1:6" x14ac:dyDescent="0.2">
      <c r="A54" s="403"/>
      <c r="B54" s="403"/>
      <c r="C54" s="403"/>
      <c r="D54" s="403"/>
      <c r="E54" s="403"/>
      <c r="F54" s="403"/>
    </row>
    <row r="55" spans="1:6" x14ac:dyDescent="0.2">
      <c r="A55" s="403"/>
      <c r="B55" s="403"/>
      <c r="C55" s="403"/>
      <c r="D55" s="403"/>
      <c r="E55" s="403"/>
      <c r="F55" s="403"/>
    </row>
    <row r="56" spans="1:6" x14ac:dyDescent="0.2">
      <c r="A56" s="403"/>
      <c r="B56" s="403"/>
      <c r="C56" s="403"/>
      <c r="D56" s="403"/>
      <c r="E56" s="403"/>
      <c r="F56" s="403"/>
    </row>
    <row r="57" spans="1:6" x14ac:dyDescent="0.2">
      <c r="A57" s="403"/>
      <c r="B57" s="403"/>
      <c r="C57" s="403"/>
      <c r="D57" s="403"/>
      <c r="E57" s="403"/>
      <c r="F57" s="403"/>
    </row>
    <row r="58" spans="1:6" x14ac:dyDescent="0.2">
      <c r="A58" s="403"/>
      <c r="B58" s="403"/>
      <c r="C58" s="403"/>
      <c r="D58" s="403"/>
      <c r="E58" s="403"/>
      <c r="F58" s="403"/>
    </row>
    <row r="59" spans="1:6" x14ac:dyDescent="0.2">
      <c r="A59" s="403"/>
      <c r="B59" s="403"/>
      <c r="C59" s="403"/>
      <c r="D59" s="403"/>
      <c r="E59" s="403"/>
      <c r="F59" s="403"/>
    </row>
    <row r="60" spans="1:6" x14ac:dyDescent="0.2">
      <c r="A60" s="403"/>
      <c r="B60" s="403"/>
      <c r="C60" s="403"/>
      <c r="D60" s="403"/>
      <c r="E60" s="403"/>
      <c r="F60" s="403"/>
    </row>
    <row r="61" spans="1:6" x14ac:dyDescent="0.2">
      <c r="A61" s="403"/>
      <c r="B61" s="403"/>
      <c r="C61" s="403"/>
      <c r="D61" s="403"/>
      <c r="E61" s="403"/>
      <c r="F61" s="403"/>
    </row>
    <row r="62" spans="1:6" x14ac:dyDescent="0.2">
      <c r="A62" s="403"/>
      <c r="B62" s="403"/>
      <c r="C62" s="403"/>
      <c r="D62" s="403"/>
      <c r="E62" s="403"/>
      <c r="F62" s="403"/>
    </row>
    <row r="63" spans="1:6" x14ac:dyDescent="0.2">
      <c r="A63" s="403"/>
      <c r="B63" s="403"/>
      <c r="C63" s="403"/>
      <c r="D63" s="403"/>
      <c r="E63" s="403"/>
      <c r="F63" s="403"/>
    </row>
    <row r="64" spans="1:6" x14ac:dyDescent="0.2">
      <c r="A64" s="403"/>
      <c r="B64" s="403"/>
      <c r="C64" s="403"/>
      <c r="D64" s="403"/>
      <c r="E64" s="403"/>
      <c r="F64" s="403"/>
    </row>
    <row r="65" spans="1:6" x14ac:dyDescent="0.2">
      <c r="A65" s="403"/>
      <c r="B65" s="403"/>
      <c r="C65" s="403"/>
      <c r="D65" s="403"/>
      <c r="E65" s="403"/>
      <c r="F65" s="403"/>
    </row>
    <row r="66" spans="1:6" x14ac:dyDescent="0.2">
      <c r="A66" s="403"/>
      <c r="B66" s="403"/>
      <c r="C66" s="403"/>
      <c r="D66" s="403"/>
      <c r="E66" s="403"/>
      <c r="F66" s="403"/>
    </row>
    <row r="67" spans="1:6" x14ac:dyDescent="0.2">
      <c r="A67" s="403"/>
      <c r="B67" s="403"/>
      <c r="C67" s="403"/>
      <c r="D67" s="403"/>
      <c r="E67" s="403"/>
      <c r="F67" s="403"/>
    </row>
    <row r="68" spans="1:6" x14ac:dyDescent="0.2">
      <c r="A68" s="403"/>
      <c r="B68" s="403"/>
      <c r="C68" s="403"/>
      <c r="D68" s="403"/>
      <c r="E68" s="403"/>
      <c r="F68" s="403"/>
    </row>
    <row r="69" spans="1:6" x14ac:dyDescent="0.2">
      <c r="A69" s="403"/>
      <c r="B69" s="403"/>
      <c r="C69" s="403"/>
      <c r="D69" s="403"/>
      <c r="E69" s="403"/>
      <c r="F69" s="403"/>
    </row>
    <row r="70" spans="1:6" x14ac:dyDescent="0.2">
      <c r="A70" s="403"/>
      <c r="B70" s="403"/>
      <c r="C70" s="403"/>
      <c r="D70" s="403"/>
      <c r="E70" s="403"/>
      <c r="F70" s="403"/>
    </row>
    <row r="71" spans="1:6" x14ac:dyDescent="0.2">
      <c r="A71" s="403"/>
      <c r="B71" s="403"/>
      <c r="C71" s="403"/>
      <c r="D71" s="403"/>
      <c r="E71" s="403"/>
      <c r="F71" s="403"/>
    </row>
    <row r="72" spans="1:6" x14ac:dyDescent="0.2">
      <c r="A72" s="403"/>
      <c r="B72" s="403"/>
      <c r="C72" s="403"/>
      <c r="D72" s="403"/>
      <c r="E72" s="403"/>
      <c r="F72" s="403"/>
    </row>
    <row r="73" spans="1:6" x14ac:dyDescent="0.2">
      <c r="A73" s="403"/>
      <c r="B73" s="403"/>
      <c r="C73" s="403"/>
      <c r="D73" s="403"/>
      <c r="E73" s="403"/>
      <c r="F73" s="403"/>
    </row>
    <row r="74" spans="1:6" x14ac:dyDescent="0.2">
      <c r="A74" s="403"/>
      <c r="B74" s="403"/>
      <c r="C74" s="403"/>
      <c r="D74" s="403"/>
      <c r="E74" s="403"/>
      <c r="F74" s="403"/>
    </row>
    <row r="75" spans="1:6" x14ac:dyDescent="0.2">
      <c r="A75" s="403"/>
      <c r="B75" s="403"/>
      <c r="C75" s="403"/>
      <c r="D75" s="403"/>
      <c r="E75" s="403"/>
      <c r="F75" s="403"/>
    </row>
    <row r="76" spans="1:6" x14ac:dyDescent="0.2">
      <c r="A76" s="403"/>
      <c r="B76" s="403"/>
      <c r="C76" s="403"/>
      <c r="D76" s="403"/>
      <c r="E76" s="403"/>
      <c r="F76" s="403"/>
    </row>
    <row r="77" spans="1:6" x14ac:dyDescent="0.2">
      <c r="A77" s="403"/>
      <c r="B77" s="403"/>
      <c r="C77" s="403"/>
      <c r="D77" s="403"/>
      <c r="E77" s="403"/>
      <c r="F77" s="403"/>
    </row>
    <row r="78" spans="1:6" x14ac:dyDescent="0.2">
      <c r="A78" s="403"/>
      <c r="B78" s="403"/>
      <c r="C78" s="403"/>
      <c r="D78" s="403"/>
      <c r="E78" s="403"/>
      <c r="F78" s="403"/>
    </row>
    <row r="79" spans="1:6" x14ac:dyDescent="0.2">
      <c r="A79" s="403"/>
      <c r="B79" s="403"/>
      <c r="C79" s="403"/>
      <c r="D79" s="403"/>
      <c r="E79" s="403"/>
      <c r="F79" s="403"/>
    </row>
    <row r="80" spans="1:6" x14ac:dyDescent="0.2">
      <c r="A80" s="403"/>
      <c r="B80" s="403"/>
      <c r="C80" s="403"/>
      <c r="D80" s="403"/>
      <c r="E80" s="403"/>
      <c r="F80" s="403"/>
    </row>
    <row r="81" spans="1:6" x14ac:dyDescent="0.2">
      <c r="A81" s="403"/>
      <c r="B81" s="403"/>
      <c r="C81" s="403"/>
      <c r="D81" s="403"/>
      <c r="E81" s="403"/>
      <c r="F81" s="403"/>
    </row>
    <row r="82" spans="1:6" x14ac:dyDescent="0.2">
      <c r="A82" s="403"/>
      <c r="B82" s="403"/>
      <c r="C82" s="403"/>
      <c r="D82" s="403"/>
      <c r="E82" s="403"/>
      <c r="F82" s="403"/>
    </row>
    <row r="83" spans="1:6" x14ac:dyDescent="0.2">
      <c r="A83" s="403"/>
      <c r="B83" s="403"/>
      <c r="C83" s="403"/>
      <c r="D83" s="403"/>
      <c r="E83" s="403"/>
      <c r="F83" s="403"/>
    </row>
    <row r="84" spans="1:6" x14ac:dyDescent="0.2">
      <c r="A84" s="403"/>
      <c r="B84" s="403"/>
      <c r="C84" s="403"/>
      <c r="D84" s="403"/>
      <c r="E84" s="403"/>
      <c r="F84" s="403"/>
    </row>
    <row r="85" spans="1:6" x14ac:dyDescent="0.2">
      <c r="A85" s="403"/>
      <c r="B85" s="403"/>
      <c r="C85" s="403"/>
      <c r="D85" s="403"/>
      <c r="E85" s="403"/>
      <c r="F85" s="403"/>
    </row>
    <row r="86" spans="1:6" x14ac:dyDescent="0.2">
      <c r="A86" s="403"/>
      <c r="B86" s="403"/>
      <c r="C86" s="403"/>
      <c r="D86" s="403"/>
      <c r="E86" s="403"/>
      <c r="F86" s="403"/>
    </row>
    <row r="87" spans="1:6" x14ac:dyDescent="0.2">
      <c r="A87" s="403"/>
      <c r="B87" s="403"/>
      <c r="C87" s="403"/>
      <c r="D87" s="403"/>
      <c r="E87" s="403"/>
      <c r="F87" s="403"/>
    </row>
    <row r="88" spans="1:6" x14ac:dyDescent="0.2">
      <c r="A88" s="403"/>
      <c r="B88" s="403"/>
      <c r="C88" s="403"/>
      <c r="D88" s="403"/>
      <c r="E88" s="403"/>
      <c r="F88" s="403"/>
    </row>
    <row r="89" spans="1:6" x14ac:dyDescent="0.2">
      <c r="A89" s="403"/>
      <c r="B89" s="403"/>
      <c r="C89" s="403"/>
      <c r="D89" s="403"/>
      <c r="E89" s="403"/>
      <c r="F89" s="403"/>
    </row>
    <row r="90" spans="1:6" x14ac:dyDescent="0.2">
      <c r="A90" s="403"/>
      <c r="B90" s="403"/>
      <c r="C90" s="403"/>
      <c r="D90" s="403"/>
      <c r="E90" s="403"/>
      <c r="F90" s="403"/>
    </row>
    <row r="91" spans="1:6" x14ac:dyDescent="0.2">
      <c r="A91" s="403"/>
      <c r="B91" s="403"/>
      <c r="C91" s="403"/>
      <c r="D91" s="403"/>
      <c r="E91" s="403"/>
      <c r="F91" s="403"/>
    </row>
    <row r="92" spans="1:6" x14ac:dyDescent="0.2">
      <c r="A92" s="403"/>
      <c r="B92" s="403"/>
      <c r="C92" s="403"/>
      <c r="D92" s="403"/>
      <c r="E92" s="403"/>
      <c r="F92" s="403"/>
    </row>
    <row r="93" spans="1:6" x14ac:dyDescent="0.2">
      <c r="A93" s="403"/>
      <c r="B93" s="403"/>
      <c r="C93" s="403"/>
      <c r="D93" s="403"/>
      <c r="E93" s="403"/>
      <c r="F93" s="403"/>
    </row>
    <row r="94" spans="1:6" x14ac:dyDescent="0.2">
      <c r="A94" s="403"/>
      <c r="B94" s="403"/>
      <c r="C94" s="403"/>
      <c r="D94" s="403"/>
      <c r="E94" s="403"/>
      <c r="F94" s="403"/>
    </row>
    <row r="95" spans="1:6" x14ac:dyDescent="0.2">
      <c r="A95" s="403"/>
      <c r="B95" s="403"/>
      <c r="C95" s="403"/>
      <c r="D95" s="403"/>
      <c r="E95" s="403"/>
      <c r="F95" s="403"/>
    </row>
    <row r="96" spans="1:6" x14ac:dyDescent="0.2">
      <c r="A96" s="403"/>
      <c r="B96" s="403"/>
      <c r="C96" s="403"/>
      <c r="D96" s="403"/>
      <c r="E96" s="403"/>
      <c r="F96" s="403"/>
    </row>
    <row r="97" spans="1:6" x14ac:dyDescent="0.2">
      <c r="A97" s="403"/>
      <c r="B97" s="403"/>
      <c r="C97" s="403"/>
      <c r="D97" s="403"/>
      <c r="E97" s="403"/>
      <c r="F97" s="403"/>
    </row>
    <row r="98" spans="1:6" x14ac:dyDescent="0.2">
      <c r="A98" s="403"/>
      <c r="B98" s="403"/>
      <c r="C98" s="403"/>
      <c r="D98" s="403"/>
      <c r="E98" s="403"/>
      <c r="F98" s="403"/>
    </row>
    <row r="99" spans="1:6" x14ac:dyDescent="0.2">
      <c r="A99" s="403"/>
      <c r="B99" s="403"/>
      <c r="C99" s="403"/>
      <c r="D99" s="403"/>
      <c r="E99" s="403"/>
      <c r="F99" s="403"/>
    </row>
    <row r="100" spans="1:6" x14ac:dyDescent="0.2">
      <c r="A100" s="403"/>
      <c r="B100" s="403"/>
      <c r="C100" s="403"/>
      <c r="D100" s="403"/>
      <c r="E100" s="403"/>
      <c r="F100" s="403"/>
    </row>
    <row r="101" spans="1:6" x14ac:dyDescent="0.2">
      <c r="A101" s="403"/>
      <c r="B101" s="403"/>
      <c r="C101" s="403"/>
      <c r="D101" s="403"/>
      <c r="E101" s="403"/>
      <c r="F101" s="403"/>
    </row>
    <row r="102" spans="1:6" x14ac:dyDescent="0.2">
      <c r="A102" s="403"/>
      <c r="B102" s="403"/>
      <c r="C102" s="403"/>
      <c r="D102" s="403"/>
      <c r="E102" s="403"/>
      <c r="F102" s="403"/>
    </row>
    <row r="103" spans="1:6" x14ac:dyDescent="0.2">
      <c r="A103" s="403"/>
      <c r="B103" s="403"/>
      <c r="C103" s="403"/>
      <c r="D103" s="403"/>
      <c r="E103" s="403"/>
      <c r="F103" s="403"/>
    </row>
    <row r="104" spans="1:6" x14ac:dyDescent="0.2">
      <c r="A104" s="403"/>
      <c r="B104" s="403"/>
      <c r="C104" s="403"/>
      <c r="D104" s="403"/>
      <c r="E104" s="403"/>
      <c r="F104" s="403"/>
    </row>
    <row r="105" spans="1:6" x14ac:dyDescent="0.2">
      <c r="A105" s="403"/>
      <c r="B105" s="403"/>
      <c r="C105" s="403"/>
      <c r="D105" s="403"/>
      <c r="E105" s="403"/>
      <c r="F105" s="403"/>
    </row>
    <row r="106" spans="1:6" x14ac:dyDescent="0.2">
      <c r="A106" s="403"/>
      <c r="B106" s="403"/>
      <c r="C106" s="403"/>
      <c r="D106" s="403"/>
      <c r="E106" s="403"/>
      <c r="F106" s="403"/>
    </row>
    <row r="107" spans="1:6" x14ac:dyDescent="0.2">
      <c r="A107" s="403"/>
      <c r="B107" s="403"/>
      <c r="C107" s="403"/>
      <c r="D107" s="403"/>
      <c r="E107" s="403"/>
      <c r="F107" s="403"/>
    </row>
    <row r="108" spans="1:6" x14ac:dyDescent="0.2">
      <c r="A108" s="403"/>
      <c r="B108" s="403"/>
      <c r="C108" s="403"/>
      <c r="D108" s="403"/>
      <c r="E108" s="403"/>
      <c r="F108" s="403"/>
    </row>
    <row r="109" spans="1:6" x14ac:dyDescent="0.2">
      <c r="A109" s="403"/>
      <c r="B109" s="403"/>
      <c r="C109" s="403"/>
      <c r="D109" s="403"/>
      <c r="E109" s="403"/>
      <c r="F109" s="403"/>
    </row>
    <row r="110" spans="1:6" x14ac:dyDescent="0.2">
      <c r="A110" s="403"/>
      <c r="B110" s="403"/>
      <c r="C110" s="403"/>
      <c r="D110" s="403"/>
      <c r="E110" s="403"/>
      <c r="F110" s="403"/>
    </row>
    <row r="111" spans="1:6" x14ac:dyDescent="0.2">
      <c r="A111" s="403"/>
      <c r="B111" s="403"/>
      <c r="C111" s="403"/>
      <c r="D111" s="403"/>
      <c r="E111" s="403"/>
      <c r="F111" s="403"/>
    </row>
    <row r="112" spans="1:6" x14ac:dyDescent="0.2">
      <c r="A112" s="403"/>
      <c r="B112" s="403"/>
      <c r="C112" s="403"/>
      <c r="D112" s="403"/>
      <c r="E112" s="403"/>
      <c r="F112" s="403"/>
    </row>
    <row r="113" spans="1:6" x14ac:dyDescent="0.2">
      <c r="A113" s="403"/>
      <c r="B113" s="403"/>
      <c r="C113" s="403"/>
      <c r="D113" s="403"/>
      <c r="E113" s="403"/>
      <c r="F113" s="403"/>
    </row>
    <row r="114" spans="1:6" x14ac:dyDescent="0.2">
      <c r="A114" s="403"/>
      <c r="B114" s="403"/>
      <c r="C114" s="403"/>
      <c r="D114" s="403"/>
      <c r="E114" s="403"/>
      <c r="F114" s="403"/>
    </row>
    <row r="115" spans="1:6" x14ac:dyDescent="0.2">
      <c r="A115" s="403"/>
      <c r="B115" s="403"/>
      <c r="C115" s="403"/>
      <c r="D115" s="403"/>
      <c r="E115" s="403"/>
      <c r="F115" s="403"/>
    </row>
    <row r="116" spans="1:6" x14ac:dyDescent="0.2">
      <c r="A116" s="403"/>
      <c r="B116" s="403"/>
      <c r="C116" s="403"/>
      <c r="D116" s="403"/>
      <c r="E116" s="403"/>
      <c r="F116" s="403"/>
    </row>
    <row r="117" spans="1:6" x14ac:dyDescent="0.2">
      <c r="A117" s="403"/>
      <c r="B117" s="403"/>
      <c r="C117" s="403"/>
      <c r="D117" s="403"/>
      <c r="E117" s="403"/>
      <c r="F117" s="403"/>
    </row>
    <row r="118" spans="1:6" x14ac:dyDescent="0.2">
      <c r="A118" s="403"/>
      <c r="B118" s="403"/>
      <c r="C118" s="403"/>
      <c r="D118" s="403"/>
      <c r="E118" s="403"/>
      <c r="F118" s="403"/>
    </row>
    <row r="119" spans="1:6" x14ac:dyDescent="0.2">
      <c r="A119" s="403"/>
      <c r="B119" s="403"/>
      <c r="C119" s="403"/>
      <c r="D119" s="403"/>
      <c r="E119" s="403"/>
      <c r="F119" s="403"/>
    </row>
    <row r="120" spans="1:6" x14ac:dyDescent="0.2">
      <c r="A120" s="403"/>
      <c r="B120" s="403"/>
      <c r="C120" s="403"/>
      <c r="D120" s="403"/>
      <c r="E120" s="403"/>
      <c r="F120" s="403"/>
    </row>
    <row r="121" spans="1:6" x14ac:dyDescent="0.2">
      <c r="A121" s="403"/>
      <c r="B121" s="403"/>
      <c r="C121" s="403"/>
      <c r="D121" s="403"/>
      <c r="E121" s="403"/>
      <c r="F121" s="403"/>
    </row>
    <row r="122" spans="1:6" x14ac:dyDescent="0.2">
      <c r="A122" s="403"/>
      <c r="B122" s="403"/>
      <c r="C122" s="403"/>
      <c r="D122" s="403"/>
      <c r="E122" s="403"/>
      <c r="F122" s="403"/>
    </row>
    <row r="123" spans="1:6" x14ac:dyDescent="0.2">
      <c r="A123" s="403"/>
      <c r="B123" s="403"/>
      <c r="C123" s="403"/>
      <c r="D123" s="403"/>
      <c r="E123" s="403"/>
      <c r="F123" s="403"/>
    </row>
    <row r="124" spans="1:6" x14ac:dyDescent="0.2">
      <c r="A124" s="403"/>
      <c r="B124" s="403"/>
      <c r="C124" s="403"/>
      <c r="D124" s="403"/>
      <c r="E124" s="403"/>
      <c r="F124" s="403"/>
    </row>
    <row r="125" spans="1:6" x14ac:dyDescent="0.2">
      <c r="A125" s="403"/>
      <c r="B125" s="403"/>
      <c r="C125" s="403"/>
      <c r="D125" s="403"/>
      <c r="E125" s="403"/>
      <c r="F125" s="403"/>
    </row>
    <row r="126" spans="1:6" x14ac:dyDescent="0.2">
      <c r="A126" s="403"/>
      <c r="B126" s="403"/>
      <c r="C126" s="403"/>
      <c r="D126" s="403"/>
      <c r="E126" s="403"/>
      <c r="F126" s="403"/>
    </row>
    <row r="127" spans="1:6" x14ac:dyDescent="0.2">
      <c r="A127" s="403"/>
      <c r="B127" s="403"/>
      <c r="C127" s="403"/>
      <c r="D127" s="403"/>
      <c r="E127" s="403"/>
      <c r="F127" s="403"/>
    </row>
    <row r="128" spans="1:6" x14ac:dyDescent="0.2">
      <c r="A128" s="403"/>
      <c r="B128" s="403"/>
      <c r="C128" s="403"/>
      <c r="D128" s="403"/>
      <c r="E128" s="403"/>
      <c r="F128" s="403"/>
    </row>
    <row r="129" spans="1:6" x14ac:dyDescent="0.2">
      <c r="A129" s="403"/>
      <c r="B129" s="403"/>
      <c r="C129" s="403"/>
      <c r="D129" s="403"/>
      <c r="E129" s="403"/>
      <c r="F129" s="403"/>
    </row>
    <row r="130" spans="1:6" x14ac:dyDescent="0.2">
      <c r="A130" s="403"/>
      <c r="B130" s="403"/>
      <c r="C130" s="403"/>
      <c r="D130" s="403"/>
      <c r="E130" s="403"/>
      <c r="F130" s="403"/>
    </row>
    <row r="131" spans="1:6" x14ac:dyDescent="0.2">
      <c r="A131" s="403"/>
      <c r="B131" s="403"/>
      <c r="C131" s="403"/>
      <c r="D131" s="403"/>
      <c r="E131" s="403"/>
      <c r="F131" s="403"/>
    </row>
    <row r="132" spans="1:6" x14ac:dyDescent="0.2">
      <c r="A132" s="403"/>
      <c r="B132" s="403"/>
      <c r="C132" s="403"/>
      <c r="D132" s="403"/>
      <c r="E132" s="403"/>
      <c r="F132" s="403"/>
    </row>
    <row r="133" spans="1:6" x14ac:dyDescent="0.2">
      <c r="A133" s="403"/>
      <c r="B133" s="403"/>
      <c r="C133" s="403"/>
      <c r="D133" s="403"/>
      <c r="E133" s="403"/>
      <c r="F133" s="403"/>
    </row>
    <row r="134" spans="1:6" x14ac:dyDescent="0.2">
      <c r="A134" s="403"/>
      <c r="B134" s="403"/>
      <c r="C134" s="403"/>
      <c r="D134" s="403"/>
      <c r="E134" s="403"/>
      <c r="F134" s="403"/>
    </row>
    <row r="135" spans="1:6" x14ac:dyDescent="0.2">
      <c r="A135" s="403"/>
      <c r="B135" s="403"/>
      <c r="C135" s="403"/>
      <c r="D135" s="403"/>
      <c r="E135" s="403"/>
      <c r="F135" s="403"/>
    </row>
    <row r="136" spans="1:6" x14ac:dyDescent="0.2">
      <c r="A136" s="403"/>
      <c r="B136" s="403"/>
      <c r="C136" s="403"/>
      <c r="D136" s="403"/>
      <c r="E136" s="403"/>
      <c r="F136" s="403"/>
    </row>
    <row r="137" spans="1:6" x14ac:dyDescent="0.2">
      <c r="A137" s="403"/>
      <c r="B137" s="403"/>
      <c r="C137" s="403"/>
      <c r="D137" s="403"/>
      <c r="E137" s="403"/>
      <c r="F137" s="403"/>
    </row>
    <row r="138" spans="1:6" x14ac:dyDescent="0.2">
      <c r="A138" s="403"/>
      <c r="B138" s="403"/>
      <c r="C138" s="403"/>
      <c r="D138" s="403"/>
      <c r="E138" s="403"/>
      <c r="F138" s="403"/>
    </row>
    <row r="139" spans="1:6" x14ac:dyDescent="0.2">
      <c r="A139" s="403"/>
      <c r="B139" s="403"/>
      <c r="C139" s="403"/>
      <c r="D139" s="403"/>
      <c r="E139" s="403"/>
      <c r="F139" s="403"/>
    </row>
    <row r="140" spans="1:6" x14ac:dyDescent="0.2">
      <c r="A140" s="403"/>
      <c r="B140" s="403"/>
      <c r="C140" s="403"/>
      <c r="D140" s="403"/>
      <c r="E140" s="403"/>
      <c r="F140" s="403"/>
    </row>
    <row r="141" spans="1:6" x14ac:dyDescent="0.2">
      <c r="A141" s="403"/>
      <c r="B141" s="403"/>
      <c r="C141" s="403"/>
      <c r="D141" s="403"/>
      <c r="E141" s="403"/>
      <c r="F141" s="403"/>
    </row>
    <row r="142" spans="1:6" x14ac:dyDescent="0.2">
      <c r="A142" s="403"/>
      <c r="B142" s="403"/>
      <c r="C142" s="403"/>
      <c r="D142" s="403"/>
      <c r="E142" s="403"/>
      <c r="F142" s="403"/>
    </row>
    <row r="143" spans="1:6" x14ac:dyDescent="0.2">
      <c r="A143" s="403"/>
      <c r="B143" s="403"/>
      <c r="C143" s="403"/>
      <c r="D143" s="403"/>
      <c r="E143" s="403"/>
      <c r="F143" s="403"/>
    </row>
    <row r="144" spans="1:6" x14ac:dyDescent="0.2">
      <c r="A144" s="403"/>
      <c r="B144" s="403"/>
      <c r="C144" s="403"/>
      <c r="D144" s="403"/>
      <c r="E144" s="403"/>
      <c r="F144" s="403"/>
    </row>
    <row r="145" spans="1:6" x14ac:dyDescent="0.2">
      <c r="A145" s="403"/>
      <c r="B145" s="403"/>
      <c r="C145" s="403"/>
      <c r="D145" s="403"/>
      <c r="E145" s="403"/>
      <c r="F145" s="403"/>
    </row>
    <row r="146" spans="1:6" x14ac:dyDescent="0.2">
      <c r="A146" s="403"/>
      <c r="B146" s="403"/>
      <c r="C146" s="403"/>
      <c r="D146" s="403"/>
      <c r="E146" s="403"/>
      <c r="F146" s="403"/>
    </row>
    <row r="147" spans="1:6" x14ac:dyDescent="0.2">
      <c r="A147" s="403"/>
      <c r="B147" s="403"/>
      <c r="C147" s="403"/>
      <c r="D147" s="403"/>
      <c r="E147" s="403"/>
      <c r="F147" s="403"/>
    </row>
    <row r="148" spans="1:6" x14ac:dyDescent="0.2">
      <c r="A148" s="403"/>
      <c r="B148" s="403"/>
      <c r="C148" s="403"/>
      <c r="D148" s="403"/>
      <c r="E148" s="403"/>
      <c r="F148" s="403"/>
    </row>
    <row r="149" spans="1:6" x14ac:dyDescent="0.2">
      <c r="A149" s="403"/>
      <c r="B149" s="403"/>
      <c r="C149" s="403"/>
      <c r="D149" s="403"/>
      <c r="E149" s="403"/>
      <c r="F149" s="403"/>
    </row>
    <row r="150" spans="1:6" x14ac:dyDescent="0.2">
      <c r="A150" s="403"/>
      <c r="B150" s="403"/>
      <c r="C150" s="403"/>
      <c r="D150" s="403"/>
      <c r="E150" s="403"/>
      <c r="F150" s="403"/>
    </row>
    <row r="151" spans="1:6" x14ac:dyDescent="0.2">
      <c r="A151" s="403"/>
      <c r="B151" s="403"/>
      <c r="C151" s="403"/>
      <c r="D151" s="403"/>
      <c r="E151" s="403"/>
      <c r="F151" s="403"/>
    </row>
    <row r="152" spans="1:6" x14ac:dyDescent="0.2">
      <c r="A152" s="403"/>
      <c r="B152" s="403"/>
      <c r="C152" s="403"/>
      <c r="D152" s="403"/>
      <c r="E152" s="403"/>
      <c r="F152" s="403"/>
    </row>
    <row r="153" spans="1:6" x14ac:dyDescent="0.2">
      <c r="A153" s="403"/>
      <c r="B153" s="403"/>
      <c r="C153" s="403"/>
      <c r="D153" s="403"/>
      <c r="E153" s="403"/>
      <c r="F153" s="403"/>
    </row>
    <row r="154" spans="1:6" x14ac:dyDescent="0.2">
      <c r="A154" s="403"/>
      <c r="B154" s="403"/>
      <c r="C154" s="403"/>
      <c r="D154" s="403"/>
      <c r="E154" s="403"/>
      <c r="F154" s="403"/>
    </row>
    <row r="155" spans="1:6" x14ac:dyDescent="0.2">
      <c r="A155" s="403"/>
      <c r="B155" s="403"/>
      <c r="C155" s="403"/>
      <c r="D155" s="403"/>
      <c r="E155" s="403"/>
      <c r="F155" s="403"/>
    </row>
    <row r="156" spans="1:6" x14ac:dyDescent="0.2">
      <c r="A156" s="403"/>
      <c r="B156" s="403"/>
      <c r="C156" s="403"/>
      <c r="D156" s="403"/>
      <c r="E156" s="403"/>
      <c r="F156" s="403"/>
    </row>
    <row r="157" spans="1:6" x14ac:dyDescent="0.2">
      <c r="A157" s="403"/>
      <c r="B157" s="403"/>
      <c r="C157" s="403"/>
      <c r="D157" s="403"/>
      <c r="E157" s="403"/>
      <c r="F157" s="403"/>
    </row>
    <row r="158" spans="1:6" x14ac:dyDescent="0.2">
      <c r="A158" s="403"/>
      <c r="B158" s="403"/>
      <c r="C158" s="403"/>
      <c r="D158" s="403"/>
      <c r="E158" s="403"/>
      <c r="F158" s="403"/>
    </row>
    <row r="159" spans="1:6" x14ac:dyDescent="0.2">
      <c r="A159" s="403"/>
      <c r="B159" s="403"/>
      <c r="C159" s="403"/>
      <c r="D159" s="403"/>
      <c r="E159" s="403"/>
      <c r="F159" s="403"/>
    </row>
    <row r="160" spans="1:6" x14ac:dyDescent="0.2">
      <c r="A160" s="403"/>
      <c r="B160" s="403"/>
      <c r="C160" s="403"/>
      <c r="D160" s="403"/>
      <c r="E160" s="403"/>
      <c r="F160" s="403"/>
    </row>
    <row r="161" spans="1:6" x14ac:dyDescent="0.2">
      <c r="A161" s="403"/>
      <c r="B161" s="403"/>
      <c r="C161" s="403"/>
      <c r="D161" s="403"/>
      <c r="E161" s="403"/>
      <c r="F161" s="403"/>
    </row>
    <row r="162" spans="1:6" x14ac:dyDescent="0.2">
      <c r="A162" s="403"/>
      <c r="B162" s="403"/>
      <c r="C162" s="403"/>
      <c r="D162" s="403"/>
      <c r="E162" s="403"/>
      <c r="F162" s="403"/>
    </row>
    <row r="163" spans="1:6" x14ac:dyDescent="0.2">
      <c r="A163" s="403"/>
      <c r="B163" s="403"/>
      <c r="C163" s="403"/>
      <c r="D163" s="403"/>
      <c r="E163" s="403"/>
      <c r="F163" s="403"/>
    </row>
    <row r="164" spans="1:6" x14ac:dyDescent="0.2">
      <c r="A164" s="403"/>
      <c r="B164" s="403"/>
      <c r="C164" s="403"/>
      <c r="D164" s="403"/>
      <c r="E164" s="403"/>
      <c r="F164" s="403"/>
    </row>
    <row r="165" spans="1:6" x14ac:dyDescent="0.2">
      <c r="A165" s="403"/>
      <c r="B165" s="403"/>
      <c r="C165" s="403"/>
      <c r="D165" s="403"/>
      <c r="E165" s="403"/>
      <c r="F165" s="403"/>
    </row>
    <row r="166" spans="1:6" x14ac:dyDescent="0.2">
      <c r="A166" s="403"/>
      <c r="B166" s="403"/>
      <c r="C166" s="403"/>
      <c r="D166" s="403"/>
      <c r="E166" s="403"/>
      <c r="F166" s="403"/>
    </row>
    <row r="167" spans="1:6" x14ac:dyDescent="0.2">
      <c r="A167" s="403"/>
      <c r="B167" s="403"/>
      <c r="C167" s="403"/>
      <c r="D167" s="403"/>
      <c r="E167" s="403"/>
      <c r="F167" s="403"/>
    </row>
    <row r="168" spans="1:6" x14ac:dyDescent="0.2">
      <c r="A168" s="403"/>
      <c r="B168" s="403"/>
      <c r="C168" s="403"/>
      <c r="D168" s="403"/>
      <c r="E168" s="403"/>
      <c r="F168" s="403"/>
    </row>
    <row r="169" spans="1:6" x14ac:dyDescent="0.2">
      <c r="A169" s="403"/>
      <c r="B169" s="403"/>
      <c r="C169" s="403"/>
      <c r="D169" s="403"/>
      <c r="E169" s="403"/>
      <c r="F169" s="403"/>
    </row>
  </sheetData>
  <mergeCells count="1">
    <mergeCell ref="A2:A3"/>
  </mergeCells>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6"/>
  <sheetViews>
    <sheetView workbookViewId="0">
      <selection activeCell="C6" sqref="C6"/>
    </sheetView>
  </sheetViews>
  <sheetFormatPr defaultColWidth="11.42578125" defaultRowHeight="12.75" x14ac:dyDescent="0.2"/>
  <cols>
    <col min="1" max="1" width="27.140625" bestFit="1" customWidth="1"/>
  </cols>
  <sheetData>
    <row r="1" spans="1:1" x14ac:dyDescent="0.2">
      <c r="A1" t="s">
        <v>158</v>
      </c>
    </row>
    <row r="2" spans="1:1" x14ac:dyDescent="0.2">
      <c r="A2" t="s">
        <v>159</v>
      </c>
    </row>
    <row r="3" spans="1:1" x14ac:dyDescent="0.2">
      <c r="A3" t="s">
        <v>160</v>
      </c>
    </row>
    <row r="4" spans="1:1" x14ac:dyDescent="0.2">
      <c r="A4" t="s">
        <v>161</v>
      </c>
    </row>
    <row r="5" spans="1:1" x14ac:dyDescent="0.2">
      <c r="A5" t="s">
        <v>162</v>
      </c>
    </row>
    <row r="6" spans="1:1" x14ac:dyDescent="0.2">
      <c r="A6" s="11" t="s">
        <v>163</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B1:M33"/>
  <sheetViews>
    <sheetView showGridLines="0" topLeftCell="B3" zoomScale="114" zoomScaleNormal="80" workbookViewId="0">
      <selection activeCell="H5" sqref="H5"/>
    </sheetView>
  </sheetViews>
  <sheetFormatPr defaultColWidth="11.42578125" defaultRowHeight="12.75" x14ac:dyDescent="0.2"/>
  <cols>
    <col min="1" max="1" width="1.140625" style="11" customWidth="1"/>
    <col min="2" max="2" width="59.42578125" style="11" customWidth="1"/>
    <col min="3" max="3" width="8.28515625" style="11" bestFit="1" customWidth="1"/>
    <col min="4" max="4" width="10.7109375" style="11" bestFit="1" customWidth="1"/>
    <col min="5" max="5" width="11.7109375" style="11" bestFit="1" customWidth="1"/>
    <col min="6" max="6" width="10.42578125" style="11" bestFit="1" customWidth="1"/>
    <col min="7" max="7" width="9.7109375" style="11" bestFit="1" customWidth="1"/>
    <col min="8" max="8" width="121.42578125" style="11" customWidth="1"/>
    <col min="9" max="9" width="2.7109375" style="11" customWidth="1"/>
    <col min="10" max="10" width="7.140625" style="11" customWidth="1"/>
    <col min="11" max="11" width="3.7109375" style="11" customWidth="1"/>
    <col min="12" max="12" width="13.28515625" style="11" bestFit="1" customWidth="1"/>
    <col min="13" max="13" width="18.7109375" style="11" customWidth="1"/>
    <col min="14" max="16384" width="11.42578125" style="11"/>
  </cols>
  <sheetData>
    <row r="1" spans="2:13" ht="6" customHeight="1" thickBot="1" x14ac:dyDescent="0.25"/>
    <row r="2" spans="2:13" ht="20.25" x14ac:dyDescent="0.2">
      <c r="B2" s="690" t="s">
        <v>109</v>
      </c>
      <c r="C2" s="691"/>
      <c r="D2" s="691"/>
      <c r="E2" s="691"/>
      <c r="F2" s="691"/>
      <c r="G2" s="691"/>
      <c r="H2" s="692"/>
      <c r="J2" s="687" t="s">
        <v>103</v>
      </c>
      <c r="K2" s="688"/>
      <c r="L2" s="688"/>
      <c r="M2" s="689"/>
    </row>
    <row r="3" spans="2:13" x14ac:dyDescent="0.2">
      <c r="B3" s="25"/>
      <c r="C3" s="23" t="s">
        <v>70</v>
      </c>
      <c r="D3" s="23" t="s">
        <v>71</v>
      </c>
      <c r="E3" s="23" t="s">
        <v>110</v>
      </c>
      <c r="F3" s="23" t="s">
        <v>72</v>
      </c>
      <c r="G3" s="23" t="s">
        <v>73</v>
      </c>
      <c r="H3" s="26" t="s">
        <v>99</v>
      </c>
      <c r="J3" s="693" t="s">
        <v>102</v>
      </c>
      <c r="K3" s="694"/>
      <c r="L3" s="24" t="s">
        <v>101</v>
      </c>
      <c r="M3" s="29" t="s">
        <v>100</v>
      </c>
    </row>
    <row r="4" spans="2:13" ht="15" x14ac:dyDescent="0.25">
      <c r="B4" s="27" t="s">
        <v>74</v>
      </c>
      <c r="C4" s="185"/>
      <c r="D4" s="185"/>
      <c r="E4" s="185"/>
      <c r="F4" s="185"/>
      <c r="G4" s="186"/>
      <c r="H4" s="187"/>
      <c r="J4" s="56" t="s">
        <v>418</v>
      </c>
      <c r="K4" s="57">
        <v>0</v>
      </c>
      <c r="L4" s="58" t="s">
        <v>77</v>
      </c>
      <c r="M4" s="695" t="s">
        <v>425</v>
      </c>
    </row>
    <row r="5" spans="2:13" x14ac:dyDescent="0.2">
      <c r="B5" s="52" t="s">
        <v>75</v>
      </c>
      <c r="C5" s="426">
        <v>2</v>
      </c>
      <c r="D5" s="426" t="s">
        <v>447</v>
      </c>
      <c r="E5" s="426" t="s">
        <v>423</v>
      </c>
      <c r="F5" s="433" t="s">
        <v>447</v>
      </c>
      <c r="G5" s="434"/>
      <c r="H5" s="597" t="s">
        <v>627</v>
      </c>
      <c r="J5" s="56" t="s">
        <v>419</v>
      </c>
      <c r="K5" s="57">
        <v>1</v>
      </c>
      <c r="L5" s="58" t="s">
        <v>422</v>
      </c>
      <c r="M5" s="695"/>
    </row>
    <row r="6" spans="2:13" s="65" customFormat="1" x14ac:dyDescent="0.2">
      <c r="B6" s="64" t="s">
        <v>76</v>
      </c>
      <c r="C6" s="426">
        <v>1</v>
      </c>
      <c r="D6" s="426" t="s">
        <v>447</v>
      </c>
      <c r="E6" s="426" t="s">
        <v>442</v>
      </c>
      <c r="F6" s="433" t="s">
        <v>447</v>
      </c>
      <c r="G6" s="435"/>
      <c r="H6" s="563" t="s">
        <v>620</v>
      </c>
      <c r="J6" s="66" t="s">
        <v>420</v>
      </c>
      <c r="K6" s="67">
        <v>2</v>
      </c>
      <c r="L6" s="68" t="s">
        <v>423</v>
      </c>
      <c r="M6" s="695"/>
    </row>
    <row r="7" spans="2:13" ht="26.25" thickBot="1" x14ac:dyDescent="0.25">
      <c r="B7" s="52" t="s">
        <v>78</v>
      </c>
      <c r="C7" s="426">
        <v>2</v>
      </c>
      <c r="D7" s="426" t="s">
        <v>447</v>
      </c>
      <c r="E7" s="426" t="s">
        <v>422</v>
      </c>
      <c r="F7" s="433" t="s">
        <v>441</v>
      </c>
      <c r="G7" s="434"/>
      <c r="H7" s="563" t="s">
        <v>628</v>
      </c>
      <c r="J7" s="59" t="s">
        <v>421</v>
      </c>
      <c r="K7" s="60">
        <v>3</v>
      </c>
      <c r="L7" s="61" t="s">
        <v>424</v>
      </c>
      <c r="M7" s="696"/>
    </row>
    <row r="8" spans="2:13" ht="13.5" thickBot="1" x14ac:dyDescent="0.25">
      <c r="B8" s="52" t="s">
        <v>79</v>
      </c>
      <c r="C8" s="426">
        <v>1</v>
      </c>
      <c r="D8" s="426" t="s">
        <v>447</v>
      </c>
      <c r="E8" s="426" t="s">
        <v>422</v>
      </c>
      <c r="F8" s="433" t="s">
        <v>447</v>
      </c>
      <c r="G8" s="435"/>
      <c r="H8" s="597" t="s">
        <v>629</v>
      </c>
    </row>
    <row r="9" spans="2:13" x14ac:dyDescent="0.2">
      <c r="B9" s="53" t="s">
        <v>80</v>
      </c>
      <c r="C9" s="426">
        <v>3</v>
      </c>
      <c r="D9" s="426" t="s">
        <v>447</v>
      </c>
      <c r="E9" s="426" t="s">
        <v>423</v>
      </c>
      <c r="F9" s="433" t="s">
        <v>447</v>
      </c>
      <c r="G9" s="439"/>
      <c r="H9" s="597" t="s">
        <v>630</v>
      </c>
      <c r="J9" s="697" t="s">
        <v>426</v>
      </c>
      <c r="K9" s="698"/>
      <c r="L9" s="699"/>
    </row>
    <row r="10" spans="2:13" ht="15" x14ac:dyDescent="0.25">
      <c r="B10" s="27" t="s">
        <v>81</v>
      </c>
      <c r="C10" s="188"/>
      <c r="D10" s="189"/>
      <c r="E10" s="189"/>
      <c r="F10" s="189"/>
      <c r="G10" s="190"/>
      <c r="H10" s="595"/>
      <c r="J10" s="678"/>
      <c r="K10" s="679"/>
      <c r="L10" s="680"/>
    </row>
    <row r="11" spans="2:13" ht="13.5" customHeight="1" x14ac:dyDescent="0.2">
      <c r="B11" s="52" t="s">
        <v>82</v>
      </c>
      <c r="C11" s="426">
        <v>3</v>
      </c>
      <c r="D11" s="426" t="s">
        <v>447</v>
      </c>
      <c r="E11" s="426" t="s">
        <v>443</v>
      </c>
      <c r="F11" s="433" t="s">
        <v>441</v>
      </c>
      <c r="G11" s="436"/>
      <c r="H11" s="564" t="s">
        <v>646</v>
      </c>
      <c r="J11" s="681"/>
      <c r="K11" s="682"/>
      <c r="L11" s="683"/>
    </row>
    <row r="12" spans="2:13" ht="26.25" thickBot="1" x14ac:dyDescent="0.25">
      <c r="B12" s="573" t="s">
        <v>83</v>
      </c>
      <c r="C12" s="571">
        <v>1</v>
      </c>
      <c r="D12" s="571" t="s">
        <v>441</v>
      </c>
      <c r="E12" s="571" t="s">
        <v>423</v>
      </c>
      <c r="F12" s="572" t="s">
        <v>441</v>
      </c>
      <c r="G12" s="437"/>
      <c r="H12" s="566" t="s">
        <v>623</v>
      </c>
      <c r="J12" s="684"/>
      <c r="K12" s="685"/>
      <c r="L12" s="686"/>
    </row>
    <row r="13" spans="2:13" x14ac:dyDescent="0.2">
      <c r="B13" s="54" t="s">
        <v>84</v>
      </c>
      <c r="C13" s="426">
        <v>1</v>
      </c>
      <c r="D13" s="426" t="s">
        <v>441</v>
      </c>
      <c r="E13" s="426" t="s">
        <v>444</v>
      </c>
      <c r="F13" s="433" t="s">
        <v>447</v>
      </c>
      <c r="G13" s="460"/>
      <c r="H13" s="566" t="s">
        <v>621</v>
      </c>
    </row>
    <row r="14" spans="2:13" x14ac:dyDescent="0.2">
      <c r="B14" s="54" t="s">
        <v>85</v>
      </c>
      <c r="C14" s="426">
        <v>1</v>
      </c>
      <c r="D14" s="426" t="s">
        <v>441</v>
      </c>
      <c r="E14" s="426" t="s">
        <v>423</v>
      </c>
      <c r="F14" s="433" t="s">
        <v>447</v>
      </c>
      <c r="G14" s="437"/>
      <c r="H14" s="597" t="s">
        <v>631</v>
      </c>
    </row>
    <row r="15" spans="2:13" s="65" customFormat="1" ht="29.45" customHeight="1" x14ac:dyDescent="0.2">
      <c r="B15" s="64" t="s">
        <v>86</v>
      </c>
      <c r="C15" s="571">
        <v>2</v>
      </c>
      <c r="D15" s="571" t="s">
        <v>447</v>
      </c>
      <c r="E15" s="571" t="s">
        <v>423</v>
      </c>
      <c r="F15" s="601" t="s">
        <v>447</v>
      </c>
      <c r="G15" s="603"/>
      <c r="H15" s="602" t="s">
        <v>647</v>
      </c>
    </row>
    <row r="16" spans="2:13" ht="14.25" customHeight="1" x14ac:dyDescent="0.2">
      <c r="B16" s="52" t="s">
        <v>87</v>
      </c>
      <c r="C16" s="427">
        <v>3</v>
      </c>
      <c r="D16" s="427" t="s">
        <v>441</v>
      </c>
      <c r="E16" s="427" t="s">
        <v>444</v>
      </c>
      <c r="F16" s="427" t="s">
        <v>447</v>
      </c>
      <c r="G16" s="436"/>
      <c r="H16" s="566" t="s">
        <v>622</v>
      </c>
    </row>
    <row r="17" spans="2:8" x14ac:dyDescent="0.2">
      <c r="B17" s="52" t="s">
        <v>88</v>
      </c>
      <c r="C17" s="428"/>
      <c r="D17" s="426" t="s">
        <v>447</v>
      </c>
      <c r="E17" s="426" t="s">
        <v>422</v>
      </c>
      <c r="F17" s="433" t="s">
        <v>447</v>
      </c>
      <c r="G17" s="437"/>
      <c r="H17" s="570" t="s">
        <v>625</v>
      </c>
    </row>
    <row r="18" spans="2:8" x14ac:dyDescent="0.2">
      <c r="B18" s="52" t="s">
        <v>89</v>
      </c>
      <c r="C18" s="426">
        <v>3</v>
      </c>
      <c r="D18" s="426" t="s">
        <v>447</v>
      </c>
      <c r="E18" s="426" t="s">
        <v>422</v>
      </c>
      <c r="F18" s="433" t="s">
        <v>441</v>
      </c>
      <c r="G18" s="436"/>
      <c r="H18" s="597" t="s">
        <v>632</v>
      </c>
    </row>
    <row r="19" spans="2:8" x14ac:dyDescent="0.2">
      <c r="B19" s="52" t="s">
        <v>90</v>
      </c>
      <c r="C19" s="426">
        <v>2</v>
      </c>
      <c r="D19" s="426" t="s">
        <v>441</v>
      </c>
      <c r="E19" s="426" t="s">
        <v>423</v>
      </c>
      <c r="F19" s="433" t="s">
        <v>447</v>
      </c>
      <c r="G19" s="438"/>
      <c r="H19" s="597" t="s">
        <v>633</v>
      </c>
    </row>
    <row r="20" spans="2:8" x14ac:dyDescent="0.2">
      <c r="B20" s="52" t="s">
        <v>91</v>
      </c>
      <c r="C20" s="426">
        <v>3</v>
      </c>
      <c r="D20" s="426" t="s">
        <v>441</v>
      </c>
      <c r="E20" s="426" t="s">
        <v>423</v>
      </c>
      <c r="F20" s="433" t="s">
        <v>447</v>
      </c>
      <c r="G20" s="436"/>
      <c r="H20" s="597" t="s">
        <v>634</v>
      </c>
    </row>
    <row r="21" spans="2:8" x14ac:dyDescent="0.2">
      <c r="B21" s="53" t="s">
        <v>92</v>
      </c>
      <c r="C21" s="429">
        <v>2</v>
      </c>
      <c r="D21" s="429" t="s">
        <v>441</v>
      </c>
      <c r="E21" s="429" t="s">
        <v>423</v>
      </c>
      <c r="F21" s="432" t="s">
        <v>447</v>
      </c>
      <c r="G21" s="439"/>
      <c r="H21" s="597" t="s">
        <v>635</v>
      </c>
    </row>
    <row r="22" spans="2:8" ht="15" x14ac:dyDescent="0.25">
      <c r="B22" s="28" t="s">
        <v>93</v>
      </c>
      <c r="C22" s="192"/>
      <c r="D22" s="192"/>
      <c r="E22" s="191"/>
      <c r="F22" s="192"/>
      <c r="G22" s="190"/>
      <c r="H22" s="596"/>
    </row>
    <row r="23" spans="2:8" x14ac:dyDescent="0.2">
      <c r="B23" s="52" t="s">
        <v>94</v>
      </c>
      <c r="C23" s="520"/>
      <c r="D23" s="428"/>
      <c r="E23" s="430" t="s">
        <v>422</v>
      </c>
      <c r="F23" s="430" t="s">
        <v>447</v>
      </c>
      <c r="G23" s="440"/>
      <c r="H23" s="565" t="s">
        <v>624</v>
      </c>
    </row>
    <row r="24" spans="2:8" x14ac:dyDescent="0.2">
      <c r="B24" s="52" t="s">
        <v>95</v>
      </c>
      <c r="C24" s="520"/>
      <c r="D24" s="428"/>
      <c r="E24" s="430" t="s">
        <v>445</v>
      </c>
      <c r="F24" s="430" t="s">
        <v>447</v>
      </c>
      <c r="G24" s="440"/>
      <c r="H24" s="597" t="s">
        <v>636</v>
      </c>
    </row>
    <row r="25" spans="2:8" x14ac:dyDescent="0.2">
      <c r="B25" s="52" t="s">
        <v>186</v>
      </c>
      <c r="C25" s="520"/>
      <c r="D25" s="428"/>
      <c r="E25" s="430" t="s">
        <v>423</v>
      </c>
      <c r="F25" s="430" t="s">
        <v>441</v>
      </c>
      <c r="G25" s="438"/>
      <c r="H25" s="597" t="s">
        <v>637</v>
      </c>
    </row>
    <row r="26" spans="2:8" x14ac:dyDescent="0.2">
      <c r="B26" s="52" t="s">
        <v>140</v>
      </c>
      <c r="C26" s="520"/>
      <c r="D26" s="428"/>
      <c r="E26" s="430" t="s">
        <v>423</v>
      </c>
      <c r="F26" s="430" t="s">
        <v>441</v>
      </c>
      <c r="G26" s="438"/>
      <c r="H26" s="597" t="s">
        <v>638</v>
      </c>
    </row>
    <row r="27" spans="2:8" x14ac:dyDescent="0.2">
      <c r="B27" s="52" t="s">
        <v>96</v>
      </c>
      <c r="C27" s="520"/>
      <c r="D27" s="428"/>
      <c r="E27" s="430" t="s">
        <v>422</v>
      </c>
      <c r="F27" s="430" t="s">
        <v>441</v>
      </c>
      <c r="G27" s="440"/>
      <c r="H27" s="597" t="s">
        <v>639</v>
      </c>
    </row>
    <row r="28" spans="2:8" x14ac:dyDescent="0.2">
      <c r="B28" s="52" t="s">
        <v>143</v>
      </c>
      <c r="C28" s="520"/>
      <c r="D28" s="428"/>
      <c r="E28" s="430" t="s">
        <v>423</v>
      </c>
      <c r="F28" s="430" t="s">
        <v>441</v>
      </c>
      <c r="G28" s="438"/>
      <c r="H28" s="597" t="s">
        <v>640</v>
      </c>
    </row>
    <row r="29" spans="2:8" x14ac:dyDescent="0.2">
      <c r="B29" s="52" t="s">
        <v>187</v>
      </c>
      <c r="C29" s="520"/>
      <c r="D29" s="428"/>
      <c r="E29" s="430" t="s">
        <v>423</v>
      </c>
      <c r="F29" s="430" t="s">
        <v>441</v>
      </c>
      <c r="G29" s="442"/>
      <c r="H29" s="597" t="s">
        <v>641</v>
      </c>
    </row>
    <row r="30" spans="2:8" x14ac:dyDescent="0.2">
      <c r="B30" s="52" t="s">
        <v>139</v>
      </c>
      <c r="C30" s="520"/>
      <c r="D30" s="428"/>
      <c r="E30" s="430" t="s">
        <v>423</v>
      </c>
      <c r="F30" s="430" t="s">
        <v>441</v>
      </c>
      <c r="G30" s="438"/>
      <c r="H30" s="597" t="s">
        <v>642</v>
      </c>
    </row>
    <row r="31" spans="2:8" x14ac:dyDescent="0.2">
      <c r="B31" s="52" t="s">
        <v>97</v>
      </c>
      <c r="C31" s="520"/>
      <c r="D31" s="430" t="s">
        <v>441</v>
      </c>
      <c r="E31" s="430" t="s">
        <v>423</v>
      </c>
      <c r="F31" s="430" t="s">
        <v>447</v>
      </c>
      <c r="G31" s="594"/>
      <c r="H31" s="597" t="s">
        <v>643</v>
      </c>
    </row>
    <row r="32" spans="2:8" ht="13.5" thickBot="1" x14ac:dyDescent="0.25">
      <c r="B32" s="55" t="s">
        <v>98</v>
      </c>
      <c r="C32" s="521"/>
      <c r="D32" s="519" t="s">
        <v>441</v>
      </c>
      <c r="E32" s="431" t="s">
        <v>446</v>
      </c>
      <c r="F32" s="431" t="s">
        <v>447</v>
      </c>
      <c r="G32" s="441"/>
      <c r="H32" s="597" t="s">
        <v>644</v>
      </c>
    </row>
    <row r="33" spans="2:8" ht="15.75" customHeight="1" x14ac:dyDescent="0.25">
      <c r="B33" s="69"/>
      <c r="H33" s="106"/>
    </row>
  </sheetData>
  <mergeCells count="8">
    <mergeCell ref="J10:L10"/>
    <mergeCell ref="J11:L11"/>
    <mergeCell ref="J12:L12"/>
    <mergeCell ref="J2:M2"/>
    <mergeCell ref="B2:H2"/>
    <mergeCell ref="J3:K3"/>
    <mergeCell ref="M4:M7"/>
    <mergeCell ref="J9:L9"/>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4">
    <tabColor rgb="FF0070C0"/>
  </sheetPr>
  <dimension ref="A1:AD88"/>
  <sheetViews>
    <sheetView topLeftCell="P25" zoomScaleNormal="100" workbookViewId="0">
      <pane xSplit="15570" topLeftCell="Y1"/>
      <selection activeCell="AC36" sqref="AC36"/>
      <selection pane="topRight" activeCell="AB41" sqref="AB41"/>
    </sheetView>
  </sheetViews>
  <sheetFormatPr defaultColWidth="11.42578125" defaultRowHeight="12.75" x14ac:dyDescent="0.2"/>
  <cols>
    <col min="1" max="1" width="24.42578125" bestFit="1" customWidth="1"/>
    <col min="2" max="2" width="11.28515625" customWidth="1"/>
    <col min="3" max="3" width="20" bestFit="1" customWidth="1"/>
    <col min="4" max="9" width="11.140625" style="4" customWidth="1"/>
    <col min="10" max="11" width="8.7109375" style="4" bestFit="1" customWidth="1"/>
    <col min="12" max="12" width="9.42578125" style="4" bestFit="1" customWidth="1"/>
    <col min="13" max="13" width="9.140625" style="4" bestFit="1" customWidth="1"/>
    <col min="14" max="16" width="9.28515625" style="4" bestFit="1" customWidth="1"/>
    <col min="17" max="20" width="9.42578125" style="4" bestFit="1" customWidth="1"/>
    <col min="21" max="21" width="10" style="4" bestFit="1" customWidth="1"/>
    <col min="22" max="22" width="9.7109375" style="4" bestFit="1" customWidth="1"/>
    <col min="23" max="23" width="10" style="4" bestFit="1" customWidth="1"/>
    <col min="24" max="25" width="9.7109375" style="4" bestFit="1" customWidth="1"/>
    <col min="26" max="26" width="10.140625" style="4" bestFit="1" customWidth="1"/>
    <col min="27" max="28" width="10" style="4" bestFit="1" customWidth="1"/>
    <col min="29" max="29" width="10.42578125" style="4" bestFit="1" customWidth="1"/>
  </cols>
  <sheetData>
    <row r="1" spans="1:30" ht="20.25" x14ac:dyDescent="0.3">
      <c r="A1" s="701" t="s">
        <v>112</v>
      </c>
      <c r="B1" s="701"/>
      <c r="C1" s="701"/>
      <c r="D1" s="701"/>
      <c r="E1" s="701"/>
      <c r="F1" s="701"/>
      <c r="G1" s="701"/>
      <c r="H1" s="701"/>
      <c r="I1" s="701"/>
      <c r="J1" s="701"/>
      <c r="K1" s="701"/>
      <c r="L1" s="701"/>
    </row>
    <row r="2" spans="1:30" x14ac:dyDescent="0.2">
      <c r="A2" s="76"/>
      <c r="B2" s="76"/>
      <c r="C2" s="76"/>
      <c r="D2" s="76"/>
      <c r="E2" s="76"/>
      <c r="F2" s="76"/>
      <c r="G2" s="76"/>
      <c r="H2" s="76"/>
      <c r="I2" s="76"/>
      <c r="J2" s="76"/>
      <c r="K2" s="76"/>
      <c r="L2" s="76"/>
    </row>
    <row r="3" spans="1:30" x14ac:dyDescent="0.2">
      <c r="A3" s="76" t="s">
        <v>9</v>
      </c>
      <c r="B3" s="76"/>
      <c r="C3" s="76"/>
      <c r="D3" s="76"/>
      <c r="E3" s="76" t="s">
        <v>1</v>
      </c>
      <c r="F3" s="76"/>
      <c r="G3" s="76"/>
      <c r="H3" s="76"/>
      <c r="I3" s="76"/>
      <c r="J3" s="76"/>
      <c r="K3" s="76"/>
      <c r="L3" s="76"/>
    </row>
    <row r="4" spans="1:30" x14ac:dyDescent="0.2">
      <c r="A4" s="76"/>
      <c r="B4" s="76"/>
      <c r="C4" s="76"/>
      <c r="D4" s="76"/>
      <c r="E4" s="76"/>
      <c r="F4" s="76"/>
      <c r="G4" s="76"/>
      <c r="H4" s="76"/>
      <c r="I4" s="76"/>
      <c r="J4" s="76"/>
      <c r="K4" s="76"/>
      <c r="L4" s="76"/>
    </row>
    <row r="5" spans="1:30" x14ac:dyDescent="0.2">
      <c r="A5" s="76"/>
      <c r="B5" s="76"/>
      <c r="C5" s="76"/>
      <c r="D5" s="76"/>
      <c r="E5" s="76"/>
      <c r="F5" s="76"/>
      <c r="G5" s="76"/>
      <c r="H5" s="76"/>
      <c r="I5" s="76"/>
      <c r="J5" s="76"/>
      <c r="K5" s="76"/>
      <c r="L5" s="76"/>
    </row>
    <row r="6" spans="1:30" x14ac:dyDescent="0.2">
      <c r="A6" s="76"/>
      <c r="B6" s="76"/>
      <c r="C6" s="76"/>
      <c r="D6" s="76"/>
      <c r="E6" s="76"/>
      <c r="F6" s="76"/>
      <c r="G6" s="76"/>
      <c r="H6" s="76"/>
      <c r="I6" s="76"/>
      <c r="J6" s="76"/>
      <c r="K6" s="76"/>
      <c r="L6" s="76"/>
    </row>
    <row r="7" spans="1:30" x14ac:dyDescent="0.2">
      <c r="A7" s="76"/>
      <c r="B7" s="76"/>
      <c r="C7" s="76"/>
      <c r="D7" s="76"/>
      <c r="E7" s="76"/>
      <c r="F7" s="76"/>
      <c r="G7" s="76"/>
      <c r="H7" s="76"/>
      <c r="I7" s="76"/>
      <c r="J7" s="76"/>
      <c r="K7" s="76"/>
      <c r="L7" s="76"/>
    </row>
    <row r="8" spans="1:30" x14ac:dyDescent="0.2">
      <c r="A8" s="76"/>
      <c r="B8" s="76"/>
      <c r="C8" s="76"/>
      <c r="D8" s="76"/>
      <c r="E8" s="76"/>
      <c r="F8" s="76"/>
      <c r="G8" s="76"/>
      <c r="H8" s="76"/>
      <c r="I8" s="76"/>
      <c r="J8" s="76"/>
      <c r="K8" s="76"/>
      <c r="L8" s="76"/>
    </row>
    <row r="9" spans="1:30" x14ac:dyDescent="0.2">
      <c r="A9" s="76"/>
      <c r="B9" s="76"/>
      <c r="C9" s="76"/>
      <c r="D9" s="76"/>
      <c r="E9" s="76"/>
      <c r="F9" s="76"/>
      <c r="G9" s="76"/>
      <c r="H9" s="76"/>
      <c r="I9" s="76"/>
      <c r="J9" s="76"/>
      <c r="K9" s="76"/>
      <c r="L9" s="76"/>
    </row>
    <row r="10" spans="1:30" x14ac:dyDescent="0.2">
      <c r="A10" s="76"/>
      <c r="B10" s="76"/>
      <c r="C10" s="76"/>
      <c r="D10" s="76"/>
      <c r="E10" s="76"/>
      <c r="F10" s="76"/>
      <c r="G10" s="76"/>
      <c r="H10" s="76"/>
      <c r="I10" s="76"/>
      <c r="J10" s="76"/>
      <c r="K10" s="76"/>
      <c r="L10" s="76"/>
    </row>
    <row r="11" spans="1:30" x14ac:dyDescent="0.2">
      <c r="A11" s="76"/>
      <c r="B11" s="76"/>
      <c r="C11" s="76"/>
      <c r="D11" s="76"/>
      <c r="E11" s="76"/>
      <c r="F11" s="76"/>
      <c r="G11" s="76"/>
      <c r="H11" s="76"/>
      <c r="I11" s="76"/>
      <c r="J11" s="76"/>
      <c r="K11" s="76"/>
      <c r="L11" s="76"/>
    </row>
    <row r="12" spans="1:30" x14ac:dyDescent="0.2">
      <c r="A12" s="76"/>
      <c r="B12" s="76"/>
      <c r="C12" s="76"/>
      <c r="D12" s="76"/>
      <c r="E12" s="76"/>
      <c r="F12" s="76"/>
      <c r="G12" s="76"/>
      <c r="H12" s="76"/>
      <c r="I12" s="76"/>
      <c r="J12" s="76"/>
      <c r="K12" s="76"/>
      <c r="L12" s="76"/>
      <c r="Z12" s="1"/>
    </row>
    <row r="13" spans="1:30" x14ac:dyDescent="0.2">
      <c r="A13" s="76"/>
      <c r="B13" s="76"/>
      <c r="C13" s="76"/>
      <c r="D13" s="76"/>
      <c r="E13" s="76"/>
      <c r="F13" s="76"/>
      <c r="G13" s="76"/>
      <c r="H13" s="76"/>
      <c r="I13" s="76"/>
      <c r="J13" s="76"/>
      <c r="K13" s="76"/>
      <c r="L13" s="76"/>
    </row>
    <row r="14" spans="1:30" x14ac:dyDescent="0.2">
      <c r="A14" s="76"/>
      <c r="B14" s="76"/>
      <c r="C14" s="76"/>
      <c r="D14" s="76"/>
      <c r="E14" s="76"/>
      <c r="F14" s="76"/>
      <c r="G14" s="76"/>
      <c r="H14" s="76"/>
      <c r="I14" s="76"/>
      <c r="J14" s="76"/>
      <c r="K14" s="76"/>
      <c r="L14" s="76"/>
    </row>
    <row r="15" spans="1:30" x14ac:dyDescent="0.2">
      <c r="A15" s="76"/>
      <c r="B15" s="76"/>
      <c r="C15" s="76"/>
      <c r="D15" s="76"/>
      <c r="E15" s="76"/>
      <c r="F15" s="76"/>
      <c r="G15" s="76"/>
      <c r="H15" s="76"/>
      <c r="I15" s="76"/>
      <c r="J15" s="76"/>
      <c r="K15" s="76"/>
      <c r="L15" s="76"/>
      <c r="AD15" s="112"/>
    </row>
    <row r="16" spans="1:30" x14ac:dyDescent="0.2">
      <c r="A16" s="76" t="s">
        <v>19</v>
      </c>
      <c r="B16" s="76"/>
      <c r="C16" s="76"/>
      <c r="D16" s="76"/>
      <c r="E16" s="76" t="s">
        <v>41</v>
      </c>
      <c r="F16" s="76"/>
      <c r="G16" s="76"/>
      <c r="H16" s="76"/>
      <c r="I16" s="76"/>
      <c r="J16" s="76"/>
      <c r="K16" s="76"/>
      <c r="L16" s="76"/>
      <c r="AD16" s="112"/>
    </row>
    <row r="17" spans="4:30" x14ac:dyDescent="0.2">
      <c r="AD17" s="112"/>
    </row>
    <row r="18" spans="4:30" x14ac:dyDescent="0.2">
      <c r="AD18" s="112"/>
    </row>
    <row r="19" spans="4:30" x14ac:dyDescent="0.2">
      <c r="AD19" s="112"/>
    </row>
    <row r="20" spans="4:30" x14ac:dyDescent="0.2">
      <c r="AD20" s="112"/>
    </row>
    <row r="21" spans="4:30" x14ac:dyDescent="0.2">
      <c r="AD21" s="112"/>
    </row>
    <row r="22" spans="4:30" x14ac:dyDescent="0.2">
      <c r="AD22" s="112"/>
    </row>
    <row r="23" spans="4:30" x14ac:dyDescent="0.2">
      <c r="AD23" s="112"/>
    </row>
    <row r="24" spans="4:30" x14ac:dyDescent="0.2">
      <c r="AD24" s="112"/>
    </row>
    <row r="25" spans="4:30" x14ac:dyDescent="0.2">
      <c r="AD25" s="112"/>
    </row>
    <row r="26" spans="4:30" x14ac:dyDescent="0.2">
      <c r="K26" s="200"/>
      <c r="AD26" s="112"/>
    </row>
    <row r="27" spans="4:30" x14ac:dyDescent="0.2">
      <c r="K27" s="200"/>
      <c r="AD27" s="112"/>
    </row>
    <row r="31" spans="4:30" x14ac:dyDescent="0.2">
      <c r="D31" s="253">
        <v>1E-3</v>
      </c>
      <c r="E31" s="254">
        <f>1/((1+$B$59+$D31)^(E35-2021))</f>
        <v>0.92250922509225108</v>
      </c>
      <c r="F31" s="254">
        <f t="shared" ref="F31:AC31" si="0">1/((1+$B$59+$D31)^(F35-2021))</f>
        <v>0.85102327038030556</v>
      </c>
      <c r="G31" s="254">
        <f t="shared" si="0"/>
        <v>0.78507681769400894</v>
      </c>
      <c r="H31" s="254">
        <f t="shared" si="0"/>
        <v>0.72424060672879054</v>
      </c>
      <c r="I31" s="254">
        <f t="shared" si="0"/>
        <v>0.66811864089371831</v>
      </c>
      <c r="J31" s="254">
        <f t="shared" si="0"/>
        <v>0.61634560968055208</v>
      </c>
      <c r="K31" s="254">
        <f t="shared" si="0"/>
        <v>0.56858451077541716</v>
      </c>
      <c r="L31" s="254">
        <f t="shared" si="0"/>
        <v>0.52452445643488677</v>
      </c>
      <c r="M31" s="254">
        <f t="shared" si="0"/>
        <v>0.48387864984768159</v>
      </c>
      <c r="N31" s="254">
        <f t="shared" si="0"/>
        <v>0.44638251830966935</v>
      </c>
      <c r="O31" s="254">
        <f t="shared" si="0"/>
        <v>0.41179199106058068</v>
      </c>
      <c r="P31" s="254">
        <f t="shared" si="0"/>
        <v>0.37988191057249149</v>
      </c>
      <c r="Q31" s="254">
        <f t="shared" si="0"/>
        <v>0.35044456694879283</v>
      </c>
      <c r="R31" s="254">
        <f t="shared" si="0"/>
        <v>0.32328834589372041</v>
      </c>
      <c r="S31" s="254">
        <f t="shared" si="0"/>
        <v>0.29823648145177167</v>
      </c>
      <c r="T31" s="254">
        <f t="shared" si="0"/>
        <v>0.27512590539831339</v>
      </c>
      <c r="U31" s="254">
        <f t="shared" si="0"/>
        <v>0.25380618579180203</v>
      </c>
      <c r="V31" s="254">
        <f t="shared" si="0"/>
        <v>0.2341385477784152</v>
      </c>
      <c r="W31" s="254">
        <f t="shared" si="0"/>
        <v>0.21599497027529083</v>
      </c>
      <c r="X31" s="254">
        <f t="shared" si="0"/>
        <v>0.19925735265248232</v>
      </c>
      <c r="Y31" s="254">
        <f t="shared" si="0"/>
        <v>0.18381674598937486</v>
      </c>
      <c r="Z31" s="254">
        <f t="shared" si="0"/>
        <v>0.16957264390163737</v>
      </c>
      <c r="AA31" s="254">
        <f t="shared" si="0"/>
        <v>0.1564323283225437</v>
      </c>
      <c r="AB31" s="254">
        <f t="shared" si="0"/>
        <v>0.14431026598020638</v>
      </c>
      <c r="AC31" s="254">
        <f t="shared" si="0"/>
        <v>0.13312755164225684</v>
      </c>
    </row>
    <row r="32" spans="4:30" x14ac:dyDescent="0.2">
      <c r="D32" s="255">
        <v>5.0000000000000001E-3</v>
      </c>
      <c r="E32" s="254">
        <f>1/((1+$B$59+$D32)^(E35-2021))</f>
        <v>0.91911764705882371</v>
      </c>
      <c r="F32" s="254">
        <f t="shared" ref="F32:AC32" si="1">1/((1+$B$59+$D32)^(F35-2021))</f>
        <v>0.84477724913494834</v>
      </c>
      <c r="G32" s="254">
        <f t="shared" si="1"/>
        <v>0.77644967751373939</v>
      </c>
      <c r="H32" s="254">
        <f t="shared" si="1"/>
        <v>0.71364860065601055</v>
      </c>
      <c r="I32" s="254">
        <f t="shared" si="1"/>
        <v>0.65592702266177449</v>
      </c>
      <c r="J32" s="254">
        <f t="shared" si="1"/>
        <v>0.60287410171118994</v>
      </c>
      <c r="K32" s="254">
        <f t="shared" si="1"/>
        <v>0.55411222583749076</v>
      </c>
      <c r="L32" s="254">
        <f t="shared" si="1"/>
        <v>0.509294325218282</v>
      </c>
      <c r="M32" s="254">
        <f t="shared" si="1"/>
        <v>0.46810140185503862</v>
      </c>
      <c r="N32" s="254">
        <f t="shared" si="1"/>
        <v>0.43024025905793994</v>
      </c>
      <c r="O32" s="254">
        <f t="shared" si="1"/>
        <v>0.39544141457531257</v>
      </c>
      <c r="P32" s="254">
        <f t="shared" si="1"/>
        <v>0.36345718251407405</v>
      </c>
      <c r="Q32" s="254">
        <f t="shared" si="1"/>
        <v>0.33405991039896515</v>
      </c>
      <c r="R32" s="254">
        <f t="shared" si="1"/>
        <v>0.30704035882257835</v>
      </c>
      <c r="S32" s="254">
        <f t="shared" si="1"/>
        <v>0.28220621215310515</v>
      </c>
      <c r="T32" s="254">
        <f t="shared" si="1"/>
        <v>0.25938070969954519</v>
      </c>
      <c r="U32" s="254">
        <f t="shared" si="1"/>
        <v>0.23840138759149374</v>
      </c>
      <c r="V32" s="254">
        <f t="shared" si="1"/>
        <v>0.21911892241865238</v>
      </c>
      <c r="W32" s="254">
        <f t="shared" si="1"/>
        <v>0.2013960683994967</v>
      </c>
      <c r="X32" s="254">
        <f t="shared" si="1"/>
        <v>0.18510668051424331</v>
      </c>
      <c r="Y32" s="254">
        <f t="shared" si="1"/>
        <v>0.17013481664912072</v>
      </c>
      <c r="Z32" s="254">
        <f t="shared" si="1"/>
        <v>0.15637391236132422</v>
      </c>
      <c r="AA32" s="254">
        <f t="shared" si="1"/>
        <v>0.143726022390923</v>
      </c>
      <c r="AB32" s="254">
        <f t="shared" si="1"/>
        <v>0.13210112352106895</v>
      </c>
      <c r="AC32" s="254">
        <f t="shared" si="1"/>
        <v>0.1214164738245119</v>
      </c>
    </row>
    <row r="33" spans="1:30" x14ac:dyDescent="0.2">
      <c r="D33" s="125" t="s">
        <v>264</v>
      </c>
      <c r="E33" s="254">
        <f>1/((1+$B$59)^(E35-2021))</f>
        <v>0.92336103416435833</v>
      </c>
      <c r="F33" s="254">
        <f t="shared" ref="F33:AC33" si="2">1/((1+$B$59)^(F35-2021))</f>
        <v>0.85259559941307328</v>
      </c>
      <c r="G33" s="254">
        <f t="shared" si="2"/>
        <v>0.78725355439803635</v>
      </c>
      <c r="H33" s="254">
        <f t="shared" si="2"/>
        <v>0.72691925613853769</v>
      </c>
      <c r="I33" s="254">
        <f t="shared" si="2"/>
        <v>0.67120891610206623</v>
      </c>
      <c r="J33" s="254">
        <f t="shared" si="2"/>
        <v>0.61976815891234194</v>
      </c>
      <c r="K33" s="254">
        <f t="shared" si="2"/>
        <v>0.57226976815544039</v>
      </c>
      <c r="L33" s="254">
        <f t="shared" si="2"/>
        <v>0.52841160494500505</v>
      </c>
      <c r="M33" s="254">
        <f t="shared" si="2"/>
        <v>0.48791468600646815</v>
      </c>
      <c r="N33" s="254">
        <f t="shared" si="2"/>
        <v>0.45052140905491062</v>
      </c>
      <c r="O33" s="254">
        <f t="shared" si="2"/>
        <v>0.4159939141781262</v>
      </c>
      <c r="P33" s="254">
        <f t="shared" si="2"/>
        <v>0.38411257080159389</v>
      </c>
      <c r="Q33" s="254">
        <f t="shared" si="2"/>
        <v>0.35467458061089008</v>
      </c>
      <c r="R33" s="254">
        <f t="shared" si="2"/>
        <v>0.32749268754468147</v>
      </c>
      <c r="S33" s="254">
        <f t="shared" si="2"/>
        <v>0.30239398665252215</v>
      </c>
      <c r="T33" s="254">
        <f t="shared" si="2"/>
        <v>0.27921882424055605</v>
      </c>
      <c r="U33" s="254">
        <f t="shared" si="2"/>
        <v>0.25781978230891606</v>
      </c>
      <c r="V33" s="254">
        <f t="shared" si="2"/>
        <v>0.23806074082079043</v>
      </c>
      <c r="W33" s="254">
        <f t="shared" si="2"/>
        <v>0.21981601183821831</v>
      </c>
      <c r="X33" s="254">
        <f t="shared" si="2"/>
        <v>0.2029695400168221</v>
      </c>
      <c r="Y33" s="254">
        <f t="shared" si="2"/>
        <v>0.18741416437379693</v>
      </c>
      <c r="Z33" s="254">
        <f t="shared" si="2"/>
        <v>0.1730509366332382</v>
      </c>
      <c r="AA33" s="254">
        <f t="shared" si="2"/>
        <v>0.15978849181277768</v>
      </c>
      <c r="AB33" s="254">
        <f t="shared" si="2"/>
        <v>0.14754246704780949</v>
      </c>
      <c r="AC33" s="254">
        <f t="shared" si="2"/>
        <v>0.13623496495642612</v>
      </c>
    </row>
    <row r="35" spans="1:30" x14ac:dyDescent="0.2">
      <c r="B35" s="43" t="s">
        <v>178</v>
      </c>
      <c r="C35" s="43" t="s">
        <v>196</v>
      </c>
      <c r="D35" s="13">
        <v>2021</v>
      </c>
      <c r="E35" s="13">
        <f>D35+1</f>
        <v>2022</v>
      </c>
      <c r="F35" s="13">
        <f t="shared" ref="F35:AC35" si="3">E35+1</f>
        <v>2023</v>
      </c>
      <c r="G35" s="13">
        <f t="shared" si="3"/>
        <v>2024</v>
      </c>
      <c r="H35" s="13">
        <f t="shared" si="3"/>
        <v>2025</v>
      </c>
      <c r="I35" s="13">
        <f t="shared" si="3"/>
        <v>2026</v>
      </c>
      <c r="J35" s="13">
        <f t="shared" si="3"/>
        <v>2027</v>
      </c>
      <c r="K35" s="13">
        <f t="shared" si="3"/>
        <v>2028</v>
      </c>
      <c r="L35" s="13">
        <f t="shared" si="3"/>
        <v>2029</v>
      </c>
      <c r="M35" s="13">
        <f t="shared" si="3"/>
        <v>2030</v>
      </c>
      <c r="N35" s="13">
        <f t="shared" si="3"/>
        <v>2031</v>
      </c>
      <c r="O35" s="13">
        <f t="shared" si="3"/>
        <v>2032</v>
      </c>
      <c r="P35" s="13">
        <f t="shared" si="3"/>
        <v>2033</v>
      </c>
      <c r="Q35" s="13">
        <f t="shared" si="3"/>
        <v>2034</v>
      </c>
      <c r="R35" s="13">
        <f t="shared" si="3"/>
        <v>2035</v>
      </c>
      <c r="S35" s="13">
        <f t="shared" si="3"/>
        <v>2036</v>
      </c>
      <c r="T35" s="13">
        <f t="shared" si="3"/>
        <v>2037</v>
      </c>
      <c r="U35" s="13">
        <f t="shared" si="3"/>
        <v>2038</v>
      </c>
      <c r="V35" s="13">
        <f t="shared" si="3"/>
        <v>2039</v>
      </c>
      <c r="W35" s="13">
        <f t="shared" si="3"/>
        <v>2040</v>
      </c>
      <c r="X35" s="13">
        <f t="shared" si="3"/>
        <v>2041</v>
      </c>
      <c r="Y35" s="13">
        <f t="shared" si="3"/>
        <v>2042</v>
      </c>
      <c r="Z35" s="13">
        <f t="shared" si="3"/>
        <v>2043</v>
      </c>
      <c r="AA35" s="13">
        <f t="shared" si="3"/>
        <v>2044</v>
      </c>
      <c r="AB35" s="13">
        <f t="shared" si="3"/>
        <v>2045</v>
      </c>
      <c r="AC35" s="13">
        <f t="shared" si="3"/>
        <v>2046</v>
      </c>
    </row>
    <row r="36" spans="1:30" s="19" customFormat="1" x14ac:dyDescent="0.2">
      <c r="A36" s="40" t="s">
        <v>10</v>
      </c>
      <c r="B36" s="63">
        <f>OP!N34</f>
        <v>9.519129242372304E-2</v>
      </c>
      <c r="C36" s="63">
        <f>OP!N35</f>
        <v>0.28269445208737598</v>
      </c>
      <c r="D36" s="202">
        <v>0.35</v>
      </c>
      <c r="E36" s="202">
        <v>3.4000000000000002E-2</v>
      </c>
      <c r="F36" s="202">
        <v>9.5000000000000001E-2</v>
      </c>
      <c r="G36" s="202">
        <v>9.5000000000000001E-2</v>
      </c>
      <c r="H36" s="202">
        <v>9.5000000000000001E-2</v>
      </c>
      <c r="I36" s="202">
        <v>9.5000000000000001E-2</v>
      </c>
      <c r="J36" s="202">
        <v>9.5000000000000001E-2</v>
      </c>
      <c r="K36" s="63">
        <v>0.08</v>
      </c>
      <c r="L36" s="63">
        <v>0.06</v>
      </c>
      <c r="M36" s="63">
        <v>0.05</v>
      </c>
      <c r="N36" s="63">
        <v>0.04</v>
      </c>
      <c r="O36" s="63">
        <v>3.5000000000000003E-2</v>
      </c>
      <c r="P36" s="63">
        <v>3.5000000000000003E-2</v>
      </c>
      <c r="Q36" s="63">
        <v>3.5000000000000003E-2</v>
      </c>
      <c r="R36" s="63">
        <v>3.5000000000000003E-2</v>
      </c>
      <c r="S36" s="63">
        <v>3.5000000000000003E-2</v>
      </c>
      <c r="T36" s="63">
        <v>3.5000000000000003E-2</v>
      </c>
      <c r="U36" s="63">
        <v>3.5000000000000003E-2</v>
      </c>
      <c r="V36" s="63">
        <v>3.5000000000000003E-2</v>
      </c>
      <c r="W36" s="63">
        <v>3.5000000000000003E-2</v>
      </c>
      <c r="X36" s="63">
        <v>3.5000000000000003E-2</v>
      </c>
      <c r="Y36" s="63">
        <v>3.5000000000000003E-2</v>
      </c>
      <c r="Z36" s="63">
        <v>3.5000000000000003E-2</v>
      </c>
      <c r="AA36" s="63">
        <v>3.5000000000000003E-2</v>
      </c>
      <c r="AB36" s="63">
        <v>3.5000000000000003E-2</v>
      </c>
      <c r="AC36" s="63">
        <v>3.5000000000000003E-2</v>
      </c>
    </row>
    <row r="37" spans="1:30" s="7" customFormat="1" x14ac:dyDescent="0.2">
      <c r="A37" s="14" t="s">
        <v>9</v>
      </c>
      <c r="B37" s="87">
        <f>OP!C34</f>
        <v>9584.0190000000002</v>
      </c>
      <c r="C37" s="87">
        <f>OP!C35</f>
        <v>12293.368</v>
      </c>
      <c r="D37" s="1">
        <f>OP!C34*(1+D36)</f>
        <v>12938.425650000001</v>
      </c>
      <c r="E37" s="1">
        <f t="shared" ref="E37:AC37" si="4">D37*(1+E36)</f>
        <v>13378.332122100001</v>
      </c>
      <c r="F37" s="1">
        <f t="shared" si="4"/>
        <v>14649.273673699501</v>
      </c>
      <c r="G37" s="1">
        <f t="shared" si="4"/>
        <v>16040.954672700953</v>
      </c>
      <c r="H37" s="1">
        <f t="shared" si="4"/>
        <v>17564.845366607544</v>
      </c>
      <c r="I37" s="1">
        <f t="shared" si="4"/>
        <v>19233.505676435259</v>
      </c>
      <c r="J37" s="1">
        <f t="shared" si="4"/>
        <v>21060.688715696608</v>
      </c>
      <c r="K37" s="1">
        <f t="shared" si="4"/>
        <v>22745.543812952339</v>
      </c>
      <c r="L37" s="1">
        <f t="shared" si="4"/>
        <v>24110.276441729482</v>
      </c>
      <c r="M37" s="1">
        <f t="shared" si="4"/>
        <v>25315.790263815958</v>
      </c>
      <c r="N37" s="1">
        <f t="shared" si="4"/>
        <v>26328.421874368596</v>
      </c>
      <c r="O37" s="1">
        <f t="shared" si="4"/>
        <v>27249.916639971496</v>
      </c>
      <c r="P37" s="1">
        <f t="shared" si="4"/>
        <v>28203.663722370497</v>
      </c>
      <c r="Q37" s="1">
        <f t="shared" si="4"/>
        <v>29190.791952653461</v>
      </c>
      <c r="R37" s="1">
        <f t="shared" si="4"/>
        <v>30212.469670996328</v>
      </c>
      <c r="S37" s="1">
        <f t="shared" si="4"/>
        <v>31269.906109481199</v>
      </c>
      <c r="T37" s="1">
        <f t="shared" si="4"/>
        <v>32364.352823313038</v>
      </c>
      <c r="U37" s="1">
        <f t="shared" si="4"/>
        <v>33497.105172128991</v>
      </c>
      <c r="V37" s="1">
        <f t="shared" si="4"/>
        <v>34669.503853153503</v>
      </c>
      <c r="W37" s="1">
        <f t="shared" si="4"/>
        <v>35882.936488013875</v>
      </c>
      <c r="X37" s="1">
        <f t="shared" si="4"/>
        <v>37138.839265094357</v>
      </c>
      <c r="Y37" s="1">
        <f t="shared" si="4"/>
        <v>38438.698639372655</v>
      </c>
      <c r="Z37" s="1">
        <f t="shared" si="4"/>
        <v>39784.053091750691</v>
      </c>
      <c r="AA37" s="1">
        <f t="shared" si="4"/>
        <v>41176.494949961962</v>
      </c>
      <c r="AB37" s="1">
        <f t="shared" si="4"/>
        <v>42617.672273210628</v>
      </c>
      <c r="AC37" s="1">
        <f t="shared" si="4"/>
        <v>44109.290802772994</v>
      </c>
    </row>
    <row r="38" spans="1:30" s="19" customFormat="1" x14ac:dyDescent="0.2">
      <c r="A38" s="40" t="s">
        <v>1</v>
      </c>
      <c r="B38" s="102">
        <f>+OP!D34</f>
        <v>7.7365977675962455E-2</v>
      </c>
      <c r="C38" s="102">
        <f>+OP!D35</f>
        <v>0.1654959812477752</v>
      </c>
      <c r="D38" s="202">
        <f>108166.4/365513.2</f>
        <v>0.29593021537936248</v>
      </c>
      <c r="E38" s="202">
        <f>108162.8/377959.8</f>
        <v>0.28617540807249875</v>
      </c>
      <c r="F38" s="202">
        <v>0.27</v>
      </c>
      <c r="G38" s="202">
        <v>0.27500000000000002</v>
      </c>
      <c r="H38" s="202">
        <v>0.26</v>
      </c>
      <c r="I38" s="202">
        <v>0.255</v>
      </c>
      <c r="J38" s="202">
        <v>0.25</v>
      </c>
      <c r="K38" s="63">
        <v>0.25</v>
      </c>
      <c r="L38" s="63">
        <v>0.25</v>
      </c>
      <c r="M38" s="63">
        <v>0.25</v>
      </c>
      <c r="N38" s="63">
        <v>0.25</v>
      </c>
      <c r="O38" s="63">
        <v>0.25</v>
      </c>
      <c r="P38" s="63">
        <v>0.25</v>
      </c>
      <c r="Q38" s="63">
        <v>0.25</v>
      </c>
      <c r="R38" s="63">
        <v>0.25</v>
      </c>
      <c r="S38" s="63">
        <v>0.25</v>
      </c>
      <c r="T38" s="63">
        <v>0.25</v>
      </c>
      <c r="U38" s="63">
        <v>0.25</v>
      </c>
      <c r="V38" s="63">
        <v>0.25</v>
      </c>
      <c r="W38" s="63">
        <v>0.25</v>
      </c>
      <c r="X38" s="63">
        <v>0.25</v>
      </c>
      <c r="Y38" s="63">
        <v>0.25</v>
      </c>
      <c r="Z38" s="63">
        <v>0.25</v>
      </c>
      <c r="AA38" s="63">
        <v>0.25</v>
      </c>
      <c r="AB38" s="63">
        <v>0.25</v>
      </c>
      <c r="AC38" s="63">
        <v>0.25</v>
      </c>
    </row>
    <row r="39" spans="1:30" x14ac:dyDescent="0.2">
      <c r="A39" s="11" t="s">
        <v>3</v>
      </c>
      <c r="B39" s="87">
        <v>63930</v>
      </c>
      <c r="C39" s="87">
        <v>66288</v>
      </c>
      <c r="D39" s="1">
        <f t="shared" ref="D39:AC39" si="5">D37*D38</f>
        <v>3828.8710892743684</v>
      </c>
      <c r="E39" s="1">
        <f t="shared" si="5"/>
        <v>3828.5496543713857</v>
      </c>
      <c r="F39" s="1">
        <f t="shared" si="5"/>
        <v>3955.3038918988655</v>
      </c>
      <c r="G39" s="1">
        <f t="shared" si="5"/>
        <v>4411.2625349927621</v>
      </c>
      <c r="H39" s="1">
        <f t="shared" si="5"/>
        <v>4566.8597953179615</v>
      </c>
      <c r="I39" s="1">
        <f t="shared" si="5"/>
        <v>4904.5439474909908</v>
      </c>
      <c r="J39" s="1">
        <f t="shared" si="5"/>
        <v>5265.1721789241519</v>
      </c>
      <c r="K39" s="1">
        <f t="shared" si="5"/>
        <v>5686.3859532380848</v>
      </c>
      <c r="L39" s="1">
        <f t="shared" si="5"/>
        <v>6027.5691104323705</v>
      </c>
      <c r="M39" s="1">
        <f t="shared" si="5"/>
        <v>6328.9475659539894</v>
      </c>
      <c r="N39" s="1">
        <f t="shared" si="5"/>
        <v>6582.105468592149</v>
      </c>
      <c r="O39" s="1">
        <f t="shared" si="5"/>
        <v>6812.479159992874</v>
      </c>
      <c r="P39" s="1">
        <f t="shared" si="5"/>
        <v>7050.9159305926241</v>
      </c>
      <c r="Q39" s="1">
        <f t="shared" si="5"/>
        <v>7297.6979881633652</v>
      </c>
      <c r="R39" s="1">
        <f t="shared" si="5"/>
        <v>7553.1174177490821</v>
      </c>
      <c r="S39" s="1">
        <f t="shared" si="5"/>
        <v>7817.4765273702997</v>
      </c>
      <c r="T39" s="1">
        <f t="shared" si="5"/>
        <v>8091.0882058282596</v>
      </c>
      <c r="U39" s="1">
        <f t="shared" si="5"/>
        <v>8374.2762930322478</v>
      </c>
      <c r="V39" s="1">
        <f t="shared" si="5"/>
        <v>8667.3759632883757</v>
      </c>
      <c r="W39" s="1">
        <f t="shared" si="5"/>
        <v>8970.7341220034687</v>
      </c>
      <c r="X39" s="1">
        <f t="shared" si="5"/>
        <v>9284.7098162735892</v>
      </c>
      <c r="Y39" s="1">
        <f t="shared" si="5"/>
        <v>9609.6746598431637</v>
      </c>
      <c r="Z39" s="1">
        <f t="shared" si="5"/>
        <v>9946.0132729376728</v>
      </c>
      <c r="AA39" s="1">
        <f t="shared" si="5"/>
        <v>10294.12373749049</v>
      </c>
      <c r="AB39" s="1">
        <f t="shared" si="5"/>
        <v>10654.418068302657</v>
      </c>
      <c r="AC39" s="1">
        <f t="shared" si="5"/>
        <v>11027.322700693248</v>
      </c>
    </row>
    <row r="40" spans="1:30" x14ac:dyDescent="0.2">
      <c r="A40" s="11" t="s">
        <v>21</v>
      </c>
      <c r="B40" s="87">
        <f>OP!H34</f>
        <v>326.01400000000001</v>
      </c>
      <c r="C40" s="87">
        <f>OP!H35</f>
        <v>322.55099999999999</v>
      </c>
      <c r="D40" s="1">
        <v>11000</v>
      </c>
      <c r="E40" s="1">
        <f>D40*(1+E36*$H$59)</f>
        <v>11374</v>
      </c>
      <c r="F40" s="1">
        <f>E40*(1+F36*$H$59)</f>
        <v>12454.529999999999</v>
      </c>
      <c r="G40" s="1">
        <f>F40*(1+G36*$H$59)</f>
        <v>13637.710349999998</v>
      </c>
      <c r="H40" s="1">
        <f>G40*(1+H36*$H$59)</f>
        <v>14933.292833249998</v>
      </c>
      <c r="I40" s="1">
        <f t="shared" ref="I40:AC40" si="6">H40*(1+I36*$I$59)</f>
        <v>16351.955652408747</v>
      </c>
      <c r="J40" s="1">
        <f t="shared" si="6"/>
        <v>17905.391439387578</v>
      </c>
      <c r="K40" s="1">
        <f t="shared" si="6"/>
        <v>19337.822754538585</v>
      </c>
      <c r="L40" s="1">
        <f t="shared" si="6"/>
        <v>20498.092119810903</v>
      </c>
      <c r="M40" s="1">
        <f t="shared" si="6"/>
        <v>21522.996725801448</v>
      </c>
      <c r="N40" s="1">
        <f t="shared" si="6"/>
        <v>22383.916594833507</v>
      </c>
      <c r="O40" s="1">
        <f t="shared" si="6"/>
        <v>23167.353675652677</v>
      </c>
      <c r="P40" s="1">
        <f t="shared" si="6"/>
        <v>23978.211054300518</v>
      </c>
      <c r="Q40" s="1">
        <f t="shared" si="6"/>
        <v>24817.448441201035</v>
      </c>
      <c r="R40" s="1">
        <f t="shared" si="6"/>
        <v>25686.059136643071</v>
      </c>
      <c r="S40" s="1">
        <f t="shared" si="6"/>
        <v>26585.071206425575</v>
      </c>
      <c r="T40" s="1">
        <f t="shared" si="6"/>
        <v>27515.548698650469</v>
      </c>
      <c r="U40" s="1">
        <f t="shared" si="6"/>
        <v>28478.592903103232</v>
      </c>
      <c r="V40" s="1">
        <f t="shared" si="6"/>
        <v>29475.343654711844</v>
      </c>
      <c r="W40" s="1">
        <f t="shared" si="6"/>
        <v>30506.980682626756</v>
      </c>
      <c r="X40" s="1">
        <f t="shared" si="6"/>
        <v>31574.725006518689</v>
      </c>
      <c r="Y40" s="1">
        <f t="shared" si="6"/>
        <v>32679.840381746839</v>
      </c>
      <c r="Z40" s="1">
        <f t="shared" si="6"/>
        <v>33823.634795107973</v>
      </c>
      <c r="AA40" s="1">
        <f t="shared" si="6"/>
        <v>35007.462012936747</v>
      </c>
      <c r="AB40" s="1">
        <f t="shared" si="6"/>
        <v>36232.723183389528</v>
      </c>
      <c r="AC40" s="1">
        <f t="shared" si="6"/>
        <v>37500.868494808157</v>
      </c>
      <c r="AD40" s="1"/>
    </row>
    <row r="41" spans="1:30" s="7" customFormat="1" x14ac:dyDescent="0.2">
      <c r="A41" s="14" t="s">
        <v>22</v>
      </c>
      <c r="B41" s="87">
        <f>+B39+B40</f>
        <v>64256.014000000003</v>
      </c>
      <c r="C41" s="87">
        <f>+C39+C40</f>
        <v>66610.551000000007</v>
      </c>
      <c r="D41" s="1">
        <f>D39+D40</f>
        <v>14828.871089274369</v>
      </c>
      <c r="E41" s="1">
        <f t="shared" ref="E41:AC41" si="7">E39+E40</f>
        <v>15202.549654371385</v>
      </c>
      <c r="F41" s="1">
        <f t="shared" si="7"/>
        <v>16409.833891898863</v>
      </c>
      <c r="G41" s="1">
        <f t="shared" si="7"/>
        <v>18048.97288499276</v>
      </c>
      <c r="H41" s="1">
        <f t="shared" si="7"/>
        <v>19500.152628567957</v>
      </c>
      <c r="I41" s="1">
        <f t="shared" si="7"/>
        <v>21256.49959989974</v>
      </c>
      <c r="J41" s="1">
        <f t="shared" si="7"/>
        <v>23170.563618311731</v>
      </c>
      <c r="K41" s="1">
        <f t="shared" si="7"/>
        <v>25024.20870777667</v>
      </c>
      <c r="L41" s="1">
        <f t="shared" si="7"/>
        <v>26525.661230243273</v>
      </c>
      <c r="M41" s="1">
        <f t="shared" si="7"/>
        <v>27851.944291755437</v>
      </c>
      <c r="N41" s="1">
        <f t="shared" si="7"/>
        <v>28966.022063425655</v>
      </c>
      <c r="O41" s="1">
        <f t="shared" si="7"/>
        <v>29979.832835645553</v>
      </c>
      <c r="P41" s="1">
        <f t="shared" si="7"/>
        <v>31029.126984893141</v>
      </c>
      <c r="Q41" s="1">
        <f t="shared" si="7"/>
        <v>32115.146429364402</v>
      </c>
      <c r="R41" s="1">
        <f t="shared" si="7"/>
        <v>33239.17655439215</v>
      </c>
      <c r="S41" s="1">
        <f t="shared" si="7"/>
        <v>34402.547733795873</v>
      </c>
      <c r="T41" s="1">
        <f t="shared" si="7"/>
        <v>35606.636904478728</v>
      </c>
      <c r="U41" s="1">
        <f t="shared" si="7"/>
        <v>36852.869196135478</v>
      </c>
      <c r="V41" s="1">
        <f t="shared" si="7"/>
        <v>38142.719618000221</v>
      </c>
      <c r="W41" s="1">
        <f t="shared" si="7"/>
        <v>39477.714804630225</v>
      </c>
      <c r="X41" s="1">
        <f t="shared" si="7"/>
        <v>40859.434822792275</v>
      </c>
      <c r="Y41" s="1">
        <f t="shared" si="7"/>
        <v>42289.515041589999</v>
      </c>
      <c r="Z41" s="1">
        <f t="shared" si="7"/>
        <v>43769.648068045644</v>
      </c>
      <c r="AA41" s="1">
        <f t="shared" si="7"/>
        <v>45301.585750427235</v>
      </c>
      <c r="AB41" s="1">
        <f t="shared" si="7"/>
        <v>46887.141251692185</v>
      </c>
      <c r="AC41" s="1">
        <f t="shared" si="7"/>
        <v>48528.191195501407</v>
      </c>
    </row>
    <row r="42" spans="1:30" s="19" customFormat="1" x14ac:dyDescent="0.2">
      <c r="A42" s="41" t="s">
        <v>179</v>
      </c>
      <c r="B42" s="42">
        <v>-1385</v>
      </c>
      <c r="C42" s="42">
        <v>-890</v>
      </c>
      <c r="D42" s="42">
        <f t="shared" ref="D42:AC42" si="8">(C48)*$H$60</f>
        <v>-1124.3600000000001</v>
      </c>
      <c r="E42" s="42">
        <f t="shared" si="8"/>
        <v>-1113.1164000000001</v>
      </c>
      <c r="F42" s="42">
        <f t="shared" si="8"/>
        <v>-1113.1164000000001</v>
      </c>
      <c r="G42" s="42">
        <f t="shared" si="8"/>
        <v>-1113.1164000000001</v>
      </c>
      <c r="H42" s="42">
        <f t="shared" si="8"/>
        <v>-1113.1164000000001</v>
      </c>
      <c r="I42" s="42">
        <f t="shared" si="8"/>
        <v>-1113.1164000000001</v>
      </c>
      <c r="J42" s="42">
        <f t="shared" si="8"/>
        <v>-1113.1164000000001</v>
      </c>
      <c r="K42" s="42">
        <f t="shared" si="8"/>
        <v>-1113.1164000000001</v>
      </c>
      <c r="L42" s="42">
        <f t="shared" si="8"/>
        <v>-1113.1164000000001</v>
      </c>
      <c r="M42" s="42">
        <f t="shared" si="8"/>
        <v>-1113.1164000000001</v>
      </c>
      <c r="N42" s="42">
        <f t="shared" si="8"/>
        <v>-1113.1164000000001</v>
      </c>
      <c r="O42" s="42">
        <f t="shared" si="8"/>
        <v>-1113.1164000000001</v>
      </c>
      <c r="P42" s="42">
        <f t="shared" si="8"/>
        <v>-1113.1164000000001</v>
      </c>
      <c r="Q42" s="42">
        <f t="shared" si="8"/>
        <v>-1113.1164000000001</v>
      </c>
      <c r="R42" s="42">
        <f t="shared" si="8"/>
        <v>-1113.1164000000001</v>
      </c>
      <c r="S42" s="42">
        <f t="shared" si="8"/>
        <v>-1113.1164000000001</v>
      </c>
      <c r="T42" s="42">
        <f t="shared" si="8"/>
        <v>-1113.1164000000001</v>
      </c>
      <c r="U42" s="42">
        <f t="shared" si="8"/>
        <v>-1113.1164000000001</v>
      </c>
      <c r="V42" s="42">
        <f t="shared" si="8"/>
        <v>-1113.1164000000001</v>
      </c>
      <c r="W42" s="42">
        <f t="shared" si="8"/>
        <v>-1113.1164000000001</v>
      </c>
      <c r="X42" s="42">
        <f t="shared" si="8"/>
        <v>-1113.1164000000001</v>
      </c>
      <c r="Y42" s="42">
        <f t="shared" si="8"/>
        <v>-1113.1164000000001</v>
      </c>
      <c r="Z42" s="42">
        <f t="shared" si="8"/>
        <v>-1113.1164000000001</v>
      </c>
      <c r="AA42" s="42">
        <f t="shared" si="8"/>
        <v>-1113.1164000000001</v>
      </c>
      <c r="AB42" s="42">
        <f t="shared" si="8"/>
        <v>-1113.1164000000001</v>
      </c>
      <c r="AC42" s="42">
        <f t="shared" si="8"/>
        <v>-1113.1164000000001</v>
      </c>
    </row>
    <row r="43" spans="1:30" x14ac:dyDescent="0.2">
      <c r="A43" s="14" t="s">
        <v>23</v>
      </c>
      <c r="B43" s="87">
        <f>-422-2817</f>
        <v>-3239</v>
      </c>
      <c r="C43" s="87">
        <f>87-3634</f>
        <v>-3547</v>
      </c>
      <c r="D43" s="1">
        <f>-C43*(1+D36)</f>
        <v>4788.4500000000007</v>
      </c>
      <c r="E43" s="1">
        <f>D43*(1+E36*0.5)</f>
        <v>4869.85365</v>
      </c>
      <c r="F43" s="1">
        <f t="shared" ref="F43:AC43" si="9">E43*(1+F36*0.5)</f>
        <v>5101.1716983750002</v>
      </c>
      <c r="G43" s="1">
        <f t="shared" si="9"/>
        <v>5343.4773540478136</v>
      </c>
      <c r="H43" s="1">
        <f t="shared" si="9"/>
        <v>5597.2925283650857</v>
      </c>
      <c r="I43" s="1">
        <f t="shared" si="9"/>
        <v>5863.1639234624281</v>
      </c>
      <c r="J43" s="1">
        <f t="shared" si="9"/>
        <v>6141.664209826894</v>
      </c>
      <c r="K43" s="1">
        <f t="shared" si="9"/>
        <v>6387.3307782199699</v>
      </c>
      <c r="L43" s="1">
        <f t="shared" si="9"/>
        <v>6578.9507015665695</v>
      </c>
      <c r="M43" s="1">
        <f t="shared" si="9"/>
        <v>6743.4244691057329</v>
      </c>
      <c r="N43" s="1">
        <f t="shared" si="9"/>
        <v>6878.2929584878475</v>
      </c>
      <c r="O43" s="1">
        <f t="shared" si="9"/>
        <v>6998.6630852613853</v>
      </c>
      <c r="P43" s="1">
        <f t="shared" si="9"/>
        <v>7121.1396892534603</v>
      </c>
      <c r="Q43" s="1">
        <f t="shared" si="9"/>
        <v>7245.7596338153962</v>
      </c>
      <c r="R43" s="1">
        <f t="shared" si="9"/>
        <v>7372.5604274071666</v>
      </c>
      <c r="S43" s="1">
        <f t="shared" si="9"/>
        <v>7501.5802348867928</v>
      </c>
      <c r="T43" s="1">
        <f t="shared" si="9"/>
        <v>7632.8578889973123</v>
      </c>
      <c r="U43" s="1">
        <f t="shared" si="9"/>
        <v>7766.4329020547657</v>
      </c>
      <c r="V43" s="1">
        <f t="shared" si="9"/>
        <v>7902.3454778407249</v>
      </c>
      <c r="W43" s="1">
        <f t="shared" si="9"/>
        <v>8040.6365237029386</v>
      </c>
      <c r="X43" s="1">
        <f t="shared" si="9"/>
        <v>8181.3476628677408</v>
      </c>
      <c r="Y43" s="1">
        <f t="shared" si="9"/>
        <v>8324.5212469679263</v>
      </c>
      <c r="Z43" s="1">
        <f t="shared" si="9"/>
        <v>8470.200368789865</v>
      </c>
      <c r="AA43" s="1">
        <f t="shared" si="9"/>
        <v>8618.4288752436878</v>
      </c>
      <c r="AB43" s="1">
        <f t="shared" si="9"/>
        <v>8769.2513805604522</v>
      </c>
      <c r="AC43" s="1">
        <f t="shared" si="9"/>
        <v>8922.7132797202612</v>
      </c>
    </row>
    <row r="44" spans="1:30" x14ac:dyDescent="0.2">
      <c r="A44" s="14" t="s">
        <v>18</v>
      </c>
      <c r="B44" s="87">
        <f>B39-B42-B43</f>
        <v>68554</v>
      </c>
      <c r="C44" s="87">
        <f>C39-C42-C43</f>
        <v>70725</v>
      </c>
      <c r="D44" s="1">
        <f>D39-D42-D43</f>
        <v>164.78108927436733</v>
      </c>
      <c r="E44" s="1">
        <f t="shared" ref="E44:AC44" si="10">E39-E42-E43</f>
        <v>71.812404371386037</v>
      </c>
      <c r="F44" s="1">
        <f t="shared" si="10"/>
        <v>-32.751406476134434</v>
      </c>
      <c r="G44" s="1">
        <f t="shared" si="10"/>
        <v>180.90158094494836</v>
      </c>
      <c r="H44" s="1">
        <f t="shared" si="10"/>
        <v>82.683666952875683</v>
      </c>
      <c r="I44" s="1">
        <f t="shared" si="10"/>
        <v>154.49642402856261</v>
      </c>
      <c r="J44" s="1">
        <f t="shared" si="10"/>
        <v>236.62436909725784</v>
      </c>
      <c r="K44" s="1">
        <f t="shared" si="10"/>
        <v>412.17157501811471</v>
      </c>
      <c r="L44" s="1">
        <f t="shared" si="10"/>
        <v>561.73480886580091</v>
      </c>
      <c r="M44" s="1">
        <f t="shared" si="10"/>
        <v>698.63949684825639</v>
      </c>
      <c r="N44" s="1">
        <f t="shared" si="10"/>
        <v>816.92891010430139</v>
      </c>
      <c r="O44" s="1">
        <f t="shared" si="10"/>
        <v>926.93247473148858</v>
      </c>
      <c r="P44" s="1">
        <f t="shared" si="10"/>
        <v>1042.8926413391637</v>
      </c>
      <c r="Q44" s="1">
        <f t="shared" si="10"/>
        <v>1165.0547543479697</v>
      </c>
      <c r="R44" s="1">
        <f t="shared" si="10"/>
        <v>1293.6733903419154</v>
      </c>
      <c r="S44" s="1">
        <f t="shared" si="10"/>
        <v>1429.0126924835076</v>
      </c>
      <c r="T44" s="1">
        <f t="shared" si="10"/>
        <v>1571.3467168309471</v>
      </c>
      <c r="U44" s="1">
        <f t="shared" si="10"/>
        <v>1720.959790977483</v>
      </c>
      <c r="V44" s="1">
        <f t="shared" si="10"/>
        <v>1878.1468854476516</v>
      </c>
      <c r="W44" s="1">
        <f t="shared" si="10"/>
        <v>2043.2139983005309</v>
      </c>
      <c r="X44" s="1">
        <f t="shared" si="10"/>
        <v>2216.4785534058492</v>
      </c>
      <c r="Y44" s="1">
        <f t="shared" si="10"/>
        <v>2398.2698128752381</v>
      </c>
      <c r="Z44" s="1">
        <f t="shared" si="10"/>
        <v>2588.9293041478086</v>
      </c>
      <c r="AA44" s="1">
        <f t="shared" si="10"/>
        <v>2788.8112622468034</v>
      </c>
      <c r="AB44" s="1">
        <f t="shared" si="10"/>
        <v>2998.2830877422057</v>
      </c>
      <c r="AC44" s="1">
        <f t="shared" si="10"/>
        <v>3217.725820972988</v>
      </c>
    </row>
    <row r="45" spans="1:30" x14ac:dyDescent="0.2">
      <c r="A45" s="14" t="s">
        <v>11</v>
      </c>
      <c r="B45" s="87">
        <v>10481</v>
      </c>
      <c r="C45" s="87">
        <v>9680</v>
      </c>
      <c r="D45" s="1">
        <f>$H$61*D44</f>
        <v>34.604028747617136</v>
      </c>
      <c r="E45" s="1">
        <f>$H$61*E44</f>
        <v>15.080604917991067</v>
      </c>
      <c r="F45" s="1">
        <f>$H$61*F44</f>
        <v>-6.8777953599882311</v>
      </c>
      <c r="G45" s="1">
        <f t="shared" ref="G45:AC45" si="11">$I$61*G44</f>
        <v>41.607363617338123</v>
      </c>
      <c r="H45" s="1">
        <f t="shared" si="11"/>
        <v>19.017243399161408</v>
      </c>
      <c r="I45" s="1">
        <f t="shared" si="11"/>
        <v>35.534177526569401</v>
      </c>
      <c r="J45" s="1">
        <f t="shared" si="11"/>
        <v>54.423604892369305</v>
      </c>
      <c r="K45" s="1">
        <f t="shared" si="11"/>
        <v>94.799462254166386</v>
      </c>
      <c r="L45" s="1">
        <f t="shared" si="11"/>
        <v>129.19900603913422</v>
      </c>
      <c r="M45" s="1">
        <f t="shared" si="11"/>
        <v>160.68708427509898</v>
      </c>
      <c r="N45" s="1">
        <f t="shared" si="11"/>
        <v>187.89364932398934</v>
      </c>
      <c r="O45" s="1">
        <f t="shared" si="11"/>
        <v>213.19446918824238</v>
      </c>
      <c r="P45" s="1">
        <f t="shared" si="11"/>
        <v>239.86530750800765</v>
      </c>
      <c r="Q45" s="1">
        <f t="shared" si="11"/>
        <v>267.96259350003305</v>
      </c>
      <c r="R45" s="1">
        <f t="shared" si="11"/>
        <v>297.54487977864056</v>
      </c>
      <c r="S45" s="1">
        <f t="shared" si="11"/>
        <v>328.67291927120675</v>
      </c>
      <c r="T45" s="1">
        <f t="shared" si="11"/>
        <v>361.40974487111788</v>
      </c>
      <c r="U45" s="1">
        <f t="shared" si="11"/>
        <v>395.82075192482108</v>
      </c>
      <c r="V45" s="1">
        <f t="shared" si="11"/>
        <v>431.97378365295987</v>
      </c>
      <c r="W45" s="1">
        <f t="shared" si="11"/>
        <v>469.93921960912212</v>
      </c>
      <c r="X45" s="1">
        <f t="shared" si="11"/>
        <v>509.79006728334537</v>
      </c>
      <c r="Y45" s="1">
        <f t="shared" si="11"/>
        <v>551.60205696130481</v>
      </c>
      <c r="Z45" s="1">
        <f t="shared" si="11"/>
        <v>595.45373995399598</v>
      </c>
      <c r="AA45" s="1">
        <f t="shared" si="11"/>
        <v>641.42659031676476</v>
      </c>
      <c r="AB45" s="1">
        <f t="shared" si="11"/>
        <v>689.60511018070736</v>
      </c>
      <c r="AC45" s="1">
        <f t="shared" si="11"/>
        <v>740.07693882378726</v>
      </c>
    </row>
    <row r="46" spans="1:30" x14ac:dyDescent="0.2">
      <c r="A46" s="14" t="s">
        <v>41</v>
      </c>
      <c r="B46" s="87">
        <f t="shared" ref="B46:AC46" si="12">B44-B45</f>
        <v>58073</v>
      </c>
      <c r="C46" s="87">
        <f t="shared" si="12"/>
        <v>61045</v>
      </c>
      <c r="D46" s="21">
        <f>D44-D45</f>
        <v>130.17706052675021</v>
      </c>
      <c r="E46" s="21">
        <f t="shared" si="12"/>
        <v>56.73179945339497</v>
      </c>
      <c r="F46" s="21">
        <f t="shared" si="12"/>
        <v>-25.873611116146204</v>
      </c>
      <c r="G46" s="21">
        <f t="shared" si="12"/>
        <v>139.29421732761023</v>
      </c>
      <c r="H46" s="21">
        <f t="shared" si="12"/>
        <v>63.666423553714274</v>
      </c>
      <c r="I46" s="21">
        <f t="shared" si="12"/>
        <v>118.96224650199321</v>
      </c>
      <c r="J46" s="21">
        <f t="shared" si="12"/>
        <v>182.20076420488854</v>
      </c>
      <c r="K46" s="21">
        <f t="shared" si="12"/>
        <v>317.37211276394834</v>
      </c>
      <c r="L46" s="21">
        <f t="shared" si="12"/>
        <v>432.53580282666667</v>
      </c>
      <c r="M46" s="21">
        <f t="shared" si="12"/>
        <v>537.9524125731574</v>
      </c>
      <c r="N46" s="21">
        <f t="shared" si="12"/>
        <v>629.035260780312</v>
      </c>
      <c r="O46" s="21">
        <f t="shared" si="12"/>
        <v>713.73800554324623</v>
      </c>
      <c r="P46" s="21">
        <f t="shared" si="12"/>
        <v>803.02733383115606</v>
      </c>
      <c r="Q46" s="21">
        <f t="shared" si="12"/>
        <v>897.09216084793661</v>
      </c>
      <c r="R46" s="21">
        <f t="shared" si="12"/>
        <v>996.12851056327486</v>
      </c>
      <c r="S46" s="21">
        <f t="shared" si="12"/>
        <v>1100.3397732123008</v>
      </c>
      <c r="T46" s="21">
        <f t="shared" si="12"/>
        <v>1209.9369719598292</v>
      </c>
      <c r="U46" s="21">
        <f t="shared" si="12"/>
        <v>1325.1390390526619</v>
      </c>
      <c r="V46" s="21">
        <f t="shared" si="12"/>
        <v>1446.1731017946918</v>
      </c>
      <c r="W46" s="21">
        <f t="shared" si="12"/>
        <v>1573.2747786914088</v>
      </c>
      <c r="X46" s="21">
        <f t="shared" si="12"/>
        <v>1706.6884861225039</v>
      </c>
      <c r="Y46" s="21">
        <f t="shared" si="12"/>
        <v>1846.6677559139334</v>
      </c>
      <c r="Z46" s="21">
        <f t="shared" si="12"/>
        <v>1993.4755641938127</v>
      </c>
      <c r="AA46" s="21">
        <f t="shared" si="12"/>
        <v>2147.3846719300386</v>
      </c>
      <c r="AB46" s="21">
        <f t="shared" si="12"/>
        <v>2308.6779775614982</v>
      </c>
      <c r="AC46" s="21">
        <f t="shared" si="12"/>
        <v>2477.6488821492007</v>
      </c>
    </row>
    <row r="47" spans="1:30" x14ac:dyDescent="0.2">
      <c r="A47" s="147" t="s">
        <v>183</v>
      </c>
      <c r="B47" s="87">
        <f>OP!I34</f>
        <v>175.8</v>
      </c>
      <c r="C47" s="87">
        <f>OP!I35</f>
        <v>268.10000000000002</v>
      </c>
      <c r="D47" s="1">
        <v>10000</v>
      </c>
      <c r="E47" s="1">
        <f t="shared" ref="E47:AC47" si="13">D47*(1+E36*$H$62)</f>
        <v>10408</v>
      </c>
      <c r="F47" s="1">
        <f t="shared" si="13"/>
        <v>11594.511999999999</v>
      </c>
      <c r="G47" s="1">
        <f t="shared" si="13"/>
        <v>12916.286367999997</v>
      </c>
      <c r="H47" s="1">
        <f t="shared" si="13"/>
        <v>14388.743013951995</v>
      </c>
      <c r="I47" s="1">
        <f t="shared" si="13"/>
        <v>16029.059717542521</v>
      </c>
      <c r="J47" s="1">
        <f t="shared" si="13"/>
        <v>17856.372525342365</v>
      </c>
      <c r="K47" s="1">
        <f t="shared" si="13"/>
        <v>19570.584287775233</v>
      </c>
      <c r="L47" s="1">
        <f t="shared" si="13"/>
        <v>20979.66635649505</v>
      </c>
      <c r="M47" s="1">
        <f t="shared" si="13"/>
        <v>22238.446337884754</v>
      </c>
      <c r="N47" s="1">
        <f t="shared" si="13"/>
        <v>23305.891762103223</v>
      </c>
      <c r="O47" s="1">
        <f t="shared" si="13"/>
        <v>24284.73921611156</v>
      </c>
      <c r="P47" s="1">
        <f t="shared" si="13"/>
        <v>25304.698263188246</v>
      </c>
      <c r="Q47" s="1">
        <f t="shared" si="13"/>
        <v>26367.495590242153</v>
      </c>
      <c r="R47" s="1">
        <f t="shared" si="13"/>
        <v>27474.930405032326</v>
      </c>
      <c r="S47" s="1">
        <f t="shared" si="13"/>
        <v>28628.877482043685</v>
      </c>
      <c r="T47" s="1">
        <f t="shared" si="13"/>
        <v>29831.290336289519</v>
      </c>
      <c r="U47" s="1">
        <f t="shared" si="13"/>
        <v>31084.204530413681</v>
      </c>
      <c r="V47" s="1">
        <f t="shared" si="13"/>
        <v>32389.741120691058</v>
      </c>
      <c r="W47" s="1">
        <f t="shared" si="13"/>
        <v>33750.110247760087</v>
      </c>
      <c r="X47" s="1">
        <f t="shared" si="13"/>
        <v>35167.614878166009</v>
      </c>
      <c r="Y47" s="1">
        <f t="shared" si="13"/>
        <v>36644.654703048982</v>
      </c>
      <c r="Z47" s="1">
        <f t="shared" si="13"/>
        <v>38183.73020057704</v>
      </c>
      <c r="AA47" s="1">
        <f t="shared" si="13"/>
        <v>39787.44686900128</v>
      </c>
      <c r="AB47" s="1">
        <f t="shared" si="13"/>
        <v>41458.519637499332</v>
      </c>
      <c r="AC47" s="1">
        <f t="shared" si="13"/>
        <v>43199.777462274309</v>
      </c>
    </row>
    <row r="48" spans="1:30" s="19" customFormat="1" x14ac:dyDescent="0.2">
      <c r="A48" s="41" t="s">
        <v>262</v>
      </c>
      <c r="B48" s="42">
        <v>108047</v>
      </c>
      <c r="C48" s="42">
        <v>112436</v>
      </c>
      <c r="D48" s="42">
        <f>C48*0.99</f>
        <v>111311.64</v>
      </c>
      <c r="E48" s="42">
        <f>D48</f>
        <v>111311.64</v>
      </c>
      <c r="F48" s="42">
        <f t="shared" ref="F48:AC48" si="14">E48</f>
        <v>111311.64</v>
      </c>
      <c r="G48" s="42">
        <f t="shared" si="14"/>
        <v>111311.64</v>
      </c>
      <c r="H48" s="42">
        <f t="shared" si="14"/>
        <v>111311.64</v>
      </c>
      <c r="I48" s="42">
        <f t="shared" si="14"/>
        <v>111311.64</v>
      </c>
      <c r="J48" s="42">
        <f t="shared" si="14"/>
        <v>111311.64</v>
      </c>
      <c r="K48" s="42">
        <f t="shared" si="14"/>
        <v>111311.64</v>
      </c>
      <c r="L48" s="42">
        <f t="shared" si="14"/>
        <v>111311.64</v>
      </c>
      <c r="M48" s="42">
        <f t="shared" si="14"/>
        <v>111311.64</v>
      </c>
      <c r="N48" s="42">
        <f t="shared" si="14"/>
        <v>111311.64</v>
      </c>
      <c r="O48" s="42">
        <f t="shared" si="14"/>
        <v>111311.64</v>
      </c>
      <c r="P48" s="42">
        <f t="shared" si="14"/>
        <v>111311.64</v>
      </c>
      <c r="Q48" s="42">
        <f t="shared" si="14"/>
        <v>111311.64</v>
      </c>
      <c r="R48" s="42">
        <f t="shared" si="14"/>
        <v>111311.64</v>
      </c>
      <c r="S48" s="42">
        <f t="shared" si="14"/>
        <v>111311.64</v>
      </c>
      <c r="T48" s="42">
        <f t="shared" si="14"/>
        <v>111311.64</v>
      </c>
      <c r="U48" s="42">
        <f t="shared" si="14"/>
        <v>111311.64</v>
      </c>
      <c r="V48" s="42">
        <f t="shared" si="14"/>
        <v>111311.64</v>
      </c>
      <c r="W48" s="42">
        <f t="shared" si="14"/>
        <v>111311.64</v>
      </c>
      <c r="X48" s="42">
        <f t="shared" si="14"/>
        <v>111311.64</v>
      </c>
      <c r="Y48" s="42">
        <f t="shared" si="14"/>
        <v>111311.64</v>
      </c>
      <c r="Z48" s="42">
        <f t="shared" si="14"/>
        <v>111311.64</v>
      </c>
      <c r="AA48" s="42">
        <f t="shared" si="14"/>
        <v>111311.64</v>
      </c>
      <c r="AB48" s="42">
        <f t="shared" si="14"/>
        <v>111311.64</v>
      </c>
      <c r="AC48" s="42">
        <f t="shared" si="14"/>
        <v>111311.64</v>
      </c>
    </row>
    <row r="49" spans="1:29" s="19" customFormat="1" x14ac:dyDescent="0.2">
      <c r="A49" s="14" t="s">
        <v>181</v>
      </c>
      <c r="B49" s="151">
        <f>B48/B41</f>
        <v>1.681507975269054</v>
      </c>
      <c r="C49" s="151">
        <f t="shared" ref="C49:E49" si="15">C48/C41</f>
        <v>1.6879608156972008</v>
      </c>
      <c r="D49" s="152">
        <f t="shared" si="15"/>
        <v>7.5064136258161298</v>
      </c>
      <c r="E49" s="152">
        <f t="shared" si="15"/>
        <v>7.3219060309395623</v>
      </c>
      <c r="F49" s="2"/>
      <c r="G49" s="2"/>
      <c r="H49" s="2"/>
      <c r="I49" s="2"/>
      <c r="J49" s="2"/>
      <c r="K49" s="2"/>
      <c r="L49" s="2"/>
      <c r="M49" s="2"/>
      <c r="N49" s="2"/>
      <c r="O49" s="2"/>
      <c r="P49" s="2"/>
      <c r="Q49" s="2"/>
      <c r="R49" s="2"/>
      <c r="S49" s="2"/>
      <c r="T49" s="2"/>
      <c r="U49" s="2"/>
      <c r="V49" s="2"/>
      <c r="W49" s="2"/>
      <c r="X49" s="2"/>
      <c r="Y49" s="2"/>
      <c r="Z49" s="2"/>
      <c r="AA49" s="2"/>
      <c r="AB49" s="2"/>
      <c r="AC49" s="2"/>
    </row>
    <row r="50" spans="1:29" x14ac:dyDescent="0.2">
      <c r="A50" s="14" t="s">
        <v>12</v>
      </c>
      <c r="B50" s="88">
        <f>OP!F34</f>
        <v>1696.5224737538149</v>
      </c>
      <c r="C50" s="88">
        <f>OP!F35</f>
        <v>2772.7525251396646</v>
      </c>
      <c r="D50" s="1">
        <f t="shared" ref="D50:AC50" si="16">D41-D42-D43-D45-D47+D48-C48</f>
        <v>5.8170605267514475</v>
      </c>
      <c r="E50" s="1">
        <f t="shared" si="16"/>
        <v>1022.7317994533951</v>
      </c>
      <c r="F50" s="1">
        <f t="shared" si="16"/>
        <v>834.14438888385484</v>
      </c>
      <c r="G50" s="1">
        <f t="shared" si="16"/>
        <v>860.71819932760263</v>
      </c>
      <c r="H50" s="1">
        <f t="shared" si="16"/>
        <v>608.21624285171856</v>
      </c>
      <c r="I50" s="1">
        <f t="shared" si="16"/>
        <v>441.8581813682249</v>
      </c>
      <c r="J50" s="1">
        <f t="shared" si="16"/>
        <v>231.21967825009779</v>
      </c>
      <c r="K50" s="1">
        <f t="shared" si="16"/>
        <v>84.610579527303344</v>
      </c>
      <c r="L50" s="1">
        <f t="shared" si="16"/>
        <v>-49.038433857480413</v>
      </c>
      <c r="M50" s="1">
        <f t="shared" si="16"/>
        <v>-177.4971995101514</v>
      </c>
      <c r="N50" s="1">
        <f t="shared" si="16"/>
        <v>-292.93990648940962</v>
      </c>
      <c r="O50" s="1">
        <f t="shared" si="16"/>
        <v>-403.64753491563897</v>
      </c>
      <c r="P50" s="1">
        <f t="shared" si="16"/>
        <v>-523.45987505657831</v>
      </c>
      <c r="Q50" s="1">
        <f t="shared" si="16"/>
        <v>-652.95498819318891</v>
      </c>
      <c r="R50" s="1">
        <f t="shared" si="16"/>
        <v>-792.74275782598124</v>
      </c>
      <c r="S50" s="1">
        <f t="shared" si="16"/>
        <v>-943.46650240581948</v>
      </c>
      <c r="T50" s="1">
        <f t="shared" si="16"/>
        <v>-1105.8046656792285</v>
      </c>
      <c r="U50" s="1">
        <f t="shared" si="16"/>
        <v>-1280.4725882577914</v>
      </c>
      <c r="V50" s="1">
        <f t="shared" si="16"/>
        <v>-1468.2243641845271</v>
      </c>
      <c r="W50" s="1">
        <f t="shared" si="16"/>
        <v>-1669.8547864419234</v>
      </c>
      <c r="X50" s="1">
        <f t="shared" si="16"/>
        <v>-1886.2013855248078</v>
      </c>
      <c r="Y50" s="1">
        <f t="shared" si="16"/>
        <v>-2118.1465653882042</v>
      </c>
      <c r="Z50" s="1">
        <f t="shared" si="16"/>
        <v>-2366.6198412752565</v>
      </c>
      <c r="AA50" s="1">
        <f t="shared" si="16"/>
        <v>-2632.6001841344987</v>
      </c>
      <c r="AB50" s="1">
        <f t="shared" si="16"/>
        <v>-2917.1184765483049</v>
      </c>
      <c r="AC50" s="1">
        <f t="shared" si="16"/>
        <v>-3221.260085316957</v>
      </c>
    </row>
    <row r="51" spans="1:29" x14ac:dyDescent="0.2">
      <c r="A51" s="14" t="s">
        <v>13</v>
      </c>
      <c r="B51" s="88">
        <v>0</v>
      </c>
      <c r="C51" s="88">
        <v>0</v>
      </c>
      <c r="D51" s="1">
        <f t="shared" ref="D51:AC51" si="17">C51*(1+$B$59)+D50</f>
        <v>5.8170605267514475</v>
      </c>
      <c r="E51" s="1">
        <f t="shared" si="17"/>
        <v>1029.0316760038668</v>
      </c>
      <c r="F51" s="1">
        <f t="shared" si="17"/>
        <v>1948.5856939960424</v>
      </c>
      <c r="G51" s="1">
        <f t="shared" si="17"/>
        <v>2971.0365059253163</v>
      </c>
      <c r="H51" s="1">
        <f t="shared" si="17"/>
        <v>3825.8487787688359</v>
      </c>
      <c r="I51" s="1">
        <f t="shared" si="17"/>
        <v>4585.2524087748743</v>
      </c>
      <c r="J51" s="1">
        <f t="shared" si="17"/>
        <v>5197.0480369532861</v>
      </c>
      <c r="K51" s="1">
        <f t="shared" si="17"/>
        <v>5713.0136035477117</v>
      </c>
      <c r="L51" s="1">
        <f t="shared" si="17"/>
        <v>6138.1552987846908</v>
      </c>
      <c r="M51" s="1">
        <f t="shared" si="17"/>
        <v>6470.1249890736681</v>
      </c>
      <c r="N51" s="1">
        <f t="shared" si="17"/>
        <v>6714.2054566773722</v>
      </c>
      <c r="O51" s="1">
        <f t="shared" si="17"/>
        <v>6867.8369746659546</v>
      </c>
      <c r="P51" s="1">
        <f t="shared" si="17"/>
        <v>6914.40756850665</v>
      </c>
      <c r="Q51" s="1">
        <f t="shared" si="17"/>
        <v>6835.3484084995125</v>
      </c>
      <c r="R51" s="1">
        <f t="shared" si="17"/>
        <v>6609.9395685789905</v>
      </c>
      <c r="S51" s="1">
        <f t="shared" si="17"/>
        <v>6215.0980503652272</v>
      </c>
      <c r="T51" s="1">
        <f t="shared" si="17"/>
        <v>5625.1465228663119</v>
      </c>
      <c r="U51" s="1">
        <f t="shared" si="17"/>
        <v>4811.5610960064241</v>
      </c>
      <c r="V51" s="1">
        <f t="shared" si="17"/>
        <v>3742.6963027904303</v>
      </c>
      <c r="W51" s="1">
        <f t="shared" si="17"/>
        <v>2383.4853094801124</v>
      </c>
      <c r="X51" s="1">
        <f t="shared" si="17"/>
        <v>695.11320464215396</v>
      </c>
      <c r="Y51" s="1">
        <f t="shared" si="17"/>
        <v>-1365.3389647607514</v>
      </c>
      <c r="Z51" s="1">
        <f t="shared" si="17"/>
        <v>-3845.2819401111501</v>
      </c>
      <c r="AA51" s="1">
        <f t="shared" si="17"/>
        <v>-6797.0405252748742</v>
      </c>
      <c r="AB51" s="1">
        <f t="shared" si="17"/>
        <v>-10278.313365420992</v>
      </c>
      <c r="AC51" s="1">
        <f t="shared" si="17"/>
        <v>-14352.673460067892</v>
      </c>
    </row>
    <row r="52" spans="1:29" x14ac:dyDescent="0.2">
      <c r="A52" s="14"/>
      <c r="B52" s="71"/>
      <c r="C52" s="71"/>
      <c r="K52" s="1"/>
      <c r="L52" s="1"/>
      <c r="M52" s="1"/>
      <c r="N52" s="1"/>
      <c r="O52" s="1"/>
      <c r="P52" s="1"/>
      <c r="Q52" s="1"/>
      <c r="R52" s="1"/>
      <c r="S52" s="1"/>
      <c r="T52" s="1"/>
      <c r="U52" s="1"/>
      <c r="V52" s="1"/>
      <c r="W52" s="1"/>
      <c r="X52" s="1"/>
      <c r="Y52" s="1"/>
      <c r="Z52" s="1"/>
      <c r="AA52" s="1"/>
      <c r="AB52" s="1">
        <f>AB51-AB48</f>
        <v>-121589.953365421</v>
      </c>
      <c r="AC52" s="1">
        <f>AC50/(B59-AC36)</f>
        <v>-67109.585110769942</v>
      </c>
    </row>
    <row r="53" spans="1:29" x14ac:dyDescent="0.2">
      <c r="A53" s="89" t="s">
        <v>135</v>
      </c>
      <c r="B53" s="90"/>
      <c r="C53" s="97">
        <f>1000000*C46/OP!$C$8</f>
        <v>749.29421873082117</v>
      </c>
      <c r="D53" s="97">
        <f>1000000*D46/OP!$C$8</f>
        <v>1.5978527129833093</v>
      </c>
      <c r="E53" s="97">
        <f>1000000*E46/OP!$C$8</f>
        <v>0.69635202471332969</v>
      </c>
      <c r="F53" s="97">
        <f>1000000*F46/OP!$C$8</f>
        <v>-0.31758452333553705</v>
      </c>
      <c r="G53" s="1"/>
      <c r="H53"/>
      <c r="I53"/>
      <c r="J53"/>
      <c r="K53" s="1"/>
      <c r="L53" s="1"/>
      <c r="M53" s="1"/>
      <c r="N53" s="1"/>
      <c r="O53" s="1"/>
      <c r="P53" s="1"/>
      <c r="Q53" s="1"/>
      <c r="R53" s="1"/>
      <c r="S53" s="1"/>
      <c r="T53" s="1"/>
      <c r="U53" s="1"/>
      <c r="V53" s="1"/>
      <c r="W53" s="1"/>
      <c r="X53" s="1"/>
      <c r="Y53" s="1"/>
      <c r="Z53" s="1"/>
      <c r="AA53" s="1"/>
      <c r="AB53" s="1"/>
      <c r="AC53" s="1"/>
    </row>
    <row r="54" spans="1:29" x14ac:dyDescent="0.2">
      <c r="A54" s="14" t="s">
        <v>154</v>
      </c>
      <c r="B54" s="1"/>
      <c r="C54" s="104">
        <v>3.3</v>
      </c>
      <c r="D54" s="104">
        <v>5.6</v>
      </c>
      <c r="E54" s="104">
        <v>5.6</v>
      </c>
      <c r="F54" s="92"/>
      <c r="G54" s="1"/>
      <c r="H54"/>
      <c r="I54"/>
      <c r="J54"/>
      <c r="K54" s="1"/>
      <c r="L54" s="1"/>
      <c r="M54" s="1"/>
      <c r="N54" s="1"/>
      <c r="O54" s="1"/>
      <c r="P54" s="1"/>
      <c r="Q54" s="1"/>
      <c r="R54" s="1"/>
      <c r="S54" s="1"/>
      <c r="T54" s="1"/>
      <c r="U54" s="1"/>
      <c r="V54" s="1"/>
      <c r="W54" s="1"/>
      <c r="X54" s="1"/>
      <c r="Y54" s="1"/>
      <c r="Z54" s="1"/>
      <c r="AA54" s="1"/>
      <c r="AB54" s="1"/>
      <c r="AC54" s="1"/>
    </row>
    <row r="55" spans="1:29" x14ac:dyDescent="0.2">
      <c r="A55" s="91" t="s">
        <v>136</v>
      </c>
      <c r="B55" s="21"/>
      <c r="C55" s="21"/>
      <c r="D55" s="72">
        <f>$B$61/D46</f>
        <v>-197.48083807987814</v>
      </c>
      <c r="E55" s="72">
        <f>$B$61/E46</f>
        <v>-453.14048310271346</v>
      </c>
      <c r="F55" s="92">
        <f>$B$61/F46</f>
        <v>993.57893632231048</v>
      </c>
      <c r="G55" s="1"/>
      <c r="H55"/>
      <c r="I55"/>
      <c r="J55"/>
      <c r="K55" s="1"/>
      <c r="L55" s="1"/>
      <c r="M55" s="1"/>
      <c r="N55" s="1"/>
      <c r="O55" s="1"/>
      <c r="P55" s="1"/>
      <c r="Q55" s="1"/>
      <c r="R55" s="1"/>
      <c r="S55" s="1"/>
      <c r="T55" s="1"/>
      <c r="U55" s="1"/>
      <c r="V55" s="1"/>
      <c r="W55" s="1"/>
      <c r="X55" s="1"/>
      <c r="Y55" s="1"/>
      <c r="Z55" s="1"/>
      <c r="AA55" s="1"/>
      <c r="AB55" s="1"/>
      <c r="AC55" s="1"/>
    </row>
    <row r="56" spans="1:29" x14ac:dyDescent="0.2">
      <c r="A56" s="93" t="s">
        <v>137</v>
      </c>
      <c r="B56" s="94"/>
      <c r="C56" s="94"/>
      <c r="D56" s="95">
        <f>($B$61+D48-D51)/D41</f>
        <v>5.7724116294859664</v>
      </c>
      <c r="E56" s="95">
        <f>($B$61+E48-E51)/E41</f>
        <v>5.5632203304844658</v>
      </c>
      <c r="F56" s="96">
        <f>($B$61+F48-F51)/F41</f>
        <v>5.0978931197898989</v>
      </c>
      <c r="G56" s="1"/>
      <c r="H56"/>
      <c r="I56"/>
      <c r="J56"/>
      <c r="K56" s="1"/>
      <c r="L56" s="6"/>
      <c r="M56" s="1"/>
      <c r="N56" s="1"/>
      <c r="O56" s="1"/>
      <c r="P56" s="1"/>
      <c r="Q56" s="1"/>
      <c r="R56" s="1"/>
      <c r="S56" s="1"/>
      <c r="T56" s="1"/>
      <c r="U56" s="1"/>
      <c r="V56" s="1"/>
      <c r="W56" s="1"/>
      <c r="X56" s="1"/>
      <c r="Y56" s="1"/>
      <c r="Z56" s="1"/>
      <c r="AA56" s="1"/>
      <c r="AB56"/>
      <c r="AC56"/>
    </row>
    <row r="57" spans="1:29" x14ac:dyDescent="0.2">
      <c r="A57" s="14"/>
      <c r="B57" s="1"/>
      <c r="C57" s="1"/>
      <c r="D57" s="72"/>
      <c r="E57" s="72"/>
      <c r="F57" s="72"/>
      <c r="G57" s="1"/>
      <c r="H57" s="1"/>
      <c r="I57" s="1"/>
      <c r="J57" s="1"/>
      <c r="K57" s="1"/>
      <c r="L57" s="1"/>
      <c r="M57" s="1"/>
      <c r="N57" s="1"/>
      <c r="O57" s="1"/>
      <c r="P57" s="1"/>
      <c r="Q57" s="1"/>
      <c r="R57" s="1"/>
      <c r="S57" s="1"/>
      <c r="T57" s="1"/>
      <c r="U57" s="1"/>
      <c r="V57" s="1"/>
      <c r="W57" s="1"/>
      <c r="X57" s="1"/>
      <c r="Y57" s="1"/>
      <c r="Z57" s="1"/>
      <c r="AA57" s="1"/>
      <c r="AB57"/>
      <c r="AC57"/>
    </row>
    <row r="58" spans="1:29" x14ac:dyDescent="0.2">
      <c r="A58" s="7"/>
      <c r="B58" s="21"/>
      <c r="C58" s="45" t="s">
        <v>54</v>
      </c>
      <c r="D58" s="45" t="s">
        <v>153</v>
      </c>
      <c r="E58" s="45" t="s">
        <v>113</v>
      </c>
      <c r="F58"/>
      <c r="G58"/>
      <c r="H58" s="45" t="s">
        <v>145</v>
      </c>
      <c r="I58" s="45" t="s">
        <v>146</v>
      </c>
      <c r="J58" s="1"/>
      <c r="K58" s="1"/>
      <c r="L58" s="1"/>
      <c r="M58" s="1"/>
      <c r="N58" s="1"/>
      <c r="O58" s="1"/>
      <c r="P58" s="1"/>
      <c r="Q58" s="1"/>
      <c r="R58" s="1"/>
      <c r="S58" s="1"/>
      <c r="T58" s="1"/>
      <c r="U58" s="1"/>
      <c r="V58" s="1"/>
      <c r="W58" s="1"/>
      <c r="X58" s="1"/>
      <c r="Y58" s="1"/>
      <c r="Z58" s="1"/>
      <c r="AA58" s="1"/>
      <c r="AB58" s="1"/>
      <c r="AC58" s="1"/>
    </row>
    <row r="59" spans="1:29" x14ac:dyDescent="0.2">
      <c r="A59" s="47" t="s">
        <v>107</v>
      </c>
      <c r="B59" s="43">
        <f>SUM(C59:E59)</f>
        <v>8.3000000000000004E-2</v>
      </c>
      <c r="C59" s="44">
        <v>3.0700000000000002E-2</v>
      </c>
      <c r="D59" s="44">
        <v>5.2299999999999999E-2</v>
      </c>
      <c r="E59" s="43">
        <v>0</v>
      </c>
      <c r="F59"/>
      <c r="G59" s="11" t="s">
        <v>144</v>
      </c>
      <c r="H59" s="5">
        <v>1</v>
      </c>
      <c r="I59" s="5">
        <v>1</v>
      </c>
      <c r="J59" s="1"/>
    </row>
    <row r="60" spans="1:29" x14ac:dyDescent="0.2">
      <c r="A60" s="47"/>
      <c r="C60" s="44"/>
      <c r="D60" s="44"/>
      <c r="E60" s="125"/>
      <c r="F60"/>
      <c r="G60" t="s">
        <v>165</v>
      </c>
      <c r="H60" s="702">
        <v>-0.01</v>
      </c>
      <c r="I60" s="702"/>
    </row>
    <row r="61" spans="1:29" x14ac:dyDescent="0.2">
      <c r="A61" s="46" t="s">
        <v>15</v>
      </c>
      <c r="B61" s="4">
        <f>C62+C63</f>
        <v>-25707.475011597653</v>
      </c>
      <c r="C61" s="263" t="s">
        <v>264</v>
      </c>
      <c r="D61" s="256">
        <f>D31</f>
        <v>1E-3</v>
      </c>
      <c r="E61" s="257">
        <f>D32</f>
        <v>5.0000000000000001E-3</v>
      </c>
      <c r="F61"/>
      <c r="G61" t="s">
        <v>166</v>
      </c>
      <c r="H61" s="3">
        <v>0.21</v>
      </c>
      <c r="I61" s="3">
        <v>0.23</v>
      </c>
      <c r="AA61" s="3"/>
      <c r="AB61" s="3"/>
      <c r="AC61" s="3"/>
    </row>
    <row r="62" spans="1:29" x14ac:dyDescent="0.2">
      <c r="A62" s="46" t="s">
        <v>69</v>
      </c>
      <c r="B62" s="3">
        <f>C62/B61</f>
        <v>0.64435744966468234</v>
      </c>
      <c r="C62" s="254">
        <f>AB52/(1+B59)^25</f>
        <v>-16564.803035791614</v>
      </c>
      <c r="D62" s="258">
        <f>SUMPRODUCT(E50:AB50,E31:AB31)</f>
        <v>-1451.4890674076455</v>
      </c>
      <c r="E62" s="259">
        <f>SUMPRODUCT(E50:AB50,E32:AB32)</f>
        <v>-1182.0448322470068</v>
      </c>
      <c r="F62"/>
      <c r="G62" s="106" t="s">
        <v>167</v>
      </c>
      <c r="H62" s="703">
        <v>1.2</v>
      </c>
      <c r="I62" s="703"/>
    </row>
    <row r="63" spans="1:29" x14ac:dyDescent="0.2">
      <c r="A63" s="46" t="s">
        <v>53</v>
      </c>
      <c r="B63" s="3">
        <f>1-B62</f>
        <v>0.35564255033531766</v>
      </c>
      <c r="C63" s="254">
        <f>AC52/(1+B59)^25</f>
        <v>-9142.671975806039</v>
      </c>
      <c r="D63" s="260">
        <f>(AC50/($B$59+D31-$AC$36))*AC31</f>
        <v>-8751.8054767586509</v>
      </c>
      <c r="E63" s="261">
        <f>(AC50/($B$59+D32-$AC$36))*AC32</f>
        <v>-7379.510204355307</v>
      </c>
      <c r="F63"/>
      <c r="G63" t="s">
        <v>168</v>
      </c>
      <c r="H63" s="700">
        <f>SUM(40:40)</f>
        <v>629078.13679785398</v>
      </c>
      <c r="I63" s="700"/>
    </row>
    <row r="64" spans="1:29" x14ac:dyDescent="0.2">
      <c r="A64" s="47" t="s">
        <v>14</v>
      </c>
      <c r="B64" s="48">
        <f>1000000*B61/OP!C8</f>
        <v>-315.54529288815087</v>
      </c>
      <c r="C64" s="4"/>
      <c r="D64" s="48">
        <f>1000000*SUM(D62:D63)/OP!C8</f>
        <v>-125.23989866412539</v>
      </c>
      <c r="E64" s="262">
        <f>1000000*SUM(E62:E63)/OP!C8</f>
        <v>-105.08843791091584</v>
      </c>
      <c r="F64"/>
      <c r="G64" t="s">
        <v>169</v>
      </c>
      <c r="H64" s="700">
        <f>SUM(47:47)</f>
        <v>673289.29331143433</v>
      </c>
      <c r="I64" s="700"/>
    </row>
    <row r="65" spans="1:29" x14ac:dyDescent="0.2">
      <c r="B65" s="49">
        <f>B64/OP!C7-1</f>
        <v>-2.5858938176014012</v>
      </c>
      <c r="C65" s="2"/>
      <c r="D65" s="10">
        <f>D64/B64-1</f>
        <v>-0.60310008899889278</v>
      </c>
      <c r="E65" s="124">
        <f>E64/B64-1</f>
        <v>-0.6669624289145526</v>
      </c>
      <c r="F65"/>
      <c r="G65" s="112" t="s">
        <v>170</v>
      </c>
      <c r="H65" s="700">
        <f>SUM(47:47)+(OP!E12*OP!E7)</f>
        <v>676197.99031143438</v>
      </c>
      <c r="I65" s="700"/>
    </row>
    <row r="66" spans="1:29" x14ac:dyDescent="0.2">
      <c r="B66" s="4"/>
      <c r="C66" s="4"/>
      <c r="G66" s="2"/>
      <c r="I66" s="6"/>
    </row>
    <row r="67" spans="1:29" x14ac:dyDescent="0.2">
      <c r="A67" t="s">
        <v>265</v>
      </c>
      <c r="B67" s="264">
        <f>B62*D68+B63*D69</f>
        <v>46.321780036901998</v>
      </c>
      <c r="C67" s="112"/>
      <c r="E67" s="265">
        <v>1</v>
      </c>
      <c r="F67" s="265">
        <v>2</v>
      </c>
      <c r="G67" s="265">
        <v>3</v>
      </c>
      <c r="H67" s="4">
        <v>4</v>
      </c>
      <c r="I67" s="265">
        <v>5</v>
      </c>
      <c r="J67" s="265">
        <v>6</v>
      </c>
      <c r="K67" s="265">
        <v>7</v>
      </c>
      <c r="L67" s="4">
        <v>8</v>
      </c>
      <c r="M67" s="265">
        <v>9</v>
      </c>
      <c r="N67" s="265">
        <v>10</v>
      </c>
      <c r="O67" s="265">
        <v>11</v>
      </c>
      <c r="P67" s="4">
        <v>12</v>
      </c>
      <c r="Q67" s="265">
        <v>13</v>
      </c>
      <c r="R67" s="265">
        <v>14</v>
      </c>
      <c r="S67" s="265">
        <v>15</v>
      </c>
      <c r="T67" s="4">
        <v>16</v>
      </c>
      <c r="U67" s="265">
        <v>17</v>
      </c>
      <c r="V67" s="265">
        <v>18</v>
      </c>
      <c r="W67" s="265">
        <v>19</v>
      </c>
      <c r="X67" s="4">
        <v>20</v>
      </c>
      <c r="Y67" s="265">
        <v>21</v>
      </c>
      <c r="Z67" s="265">
        <v>22</v>
      </c>
      <c r="AA67" s="265">
        <v>23</v>
      </c>
      <c r="AB67" s="4">
        <v>24</v>
      </c>
      <c r="AC67" s="265">
        <v>25</v>
      </c>
    </row>
    <row r="68" spans="1:29" x14ac:dyDescent="0.2">
      <c r="A68" s="253">
        <v>1E-3</v>
      </c>
      <c r="B68" s="266">
        <f>-$B$67*A68</f>
        <v>-4.6321780036902002E-2</v>
      </c>
      <c r="C68" s="112"/>
      <c r="D68" s="254">
        <f>SUM(E68:AB68)/SUMPRODUCT(E50:AB50,E33:AB33)</f>
        <v>50.888251142603366</v>
      </c>
      <c r="E68" s="267">
        <f>E67*E50*E33</f>
        <v>944.350692016062</v>
      </c>
      <c r="F68" s="267">
        <f t="shared" ref="F68:AC68" si="18">F67*F50*F33</f>
        <v>1422.375670474964</v>
      </c>
      <c r="G68" s="267">
        <f t="shared" si="18"/>
        <v>2032.8103852671982</v>
      </c>
      <c r="H68" s="267">
        <f t="shared" si="18"/>
        <v>1768.4963953005897</v>
      </c>
      <c r="I68" s="267">
        <f t="shared" si="18"/>
        <v>1482.8957549349823</v>
      </c>
      <c r="J68" s="267">
        <f t="shared" si="18"/>
        <v>859.81556576020307</v>
      </c>
      <c r="K68" s="267">
        <f t="shared" si="18"/>
        <v>338.94053710711137</v>
      </c>
      <c r="L68" s="267">
        <f t="shared" si="18"/>
        <v>-207.29982030896559</v>
      </c>
      <c r="M68" s="267">
        <f t="shared" si="18"/>
        <v>-779.43141329420655</v>
      </c>
      <c r="N68" s="267">
        <f t="shared" si="18"/>
        <v>-1319.7569944002257</v>
      </c>
      <c r="O68" s="267">
        <f t="shared" si="18"/>
        <v>-1847.0640979769937</v>
      </c>
      <c r="P68" s="267">
        <f t="shared" si="18"/>
        <v>-2412.810219833561</v>
      </c>
      <c r="Q68" s="267">
        <f t="shared" si="18"/>
        <v>-3010.6249757377036</v>
      </c>
      <c r="R68" s="267">
        <f t="shared" si="18"/>
        <v>-3634.6443880881843</v>
      </c>
      <c r="S68" s="267">
        <f t="shared" si="18"/>
        <v>-4279.4789540341071</v>
      </c>
      <c r="T68" s="267">
        <f t="shared" si="18"/>
        <v>-4940.1836574508052</v>
      </c>
      <c r="U68" s="267">
        <f t="shared" si="18"/>
        <v>-5612.2297872716872</v>
      </c>
      <c r="V68" s="267">
        <f t="shared" si="18"/>
        <v>-6291.4784369202453</v>
      </c>
      <c r="W68" s="267">
        <f t="shared" si="18"/>
        <v>-6974.1555705878436</v>
      </c>
      <c r="X68" s="267">
        <f t="shared" si="18"/>
        <v>-7656.8285519812553</v>
      </c>
      <c r="Y68" s="267">
        <f t="shared" si="18"/>
        <v>-8336.3840400426252</v>
      </c>
      <c r="Z68" s="267">
        <f t="shared" si="18"/>
        <v>-9010.0071641247505</v>
      </c>
      <c r="AA68" s="267">
        <f t="shared" si="18"/>
        <v>-9675.1618982845248</v>
      </c>
      <c r="AB68" s="267">
        <f t="shared" si="18"/>
        <v>-10329.572560816428</v>
      </c>
      <c r="AC68" s="267">
        <f t="shared" si="18"/>
        <v>-10971.206370967246</v>
      </c>
    </row>
    <row r="69" spans="1:29" ht="15" x14ac:dyDescent="0.25">
      <c r="A69" s="253">
        <v>5.0000000000000001E-3</v>
      </c>
      <c r="B69" s="266">
        <f>-$B$67*A69</f>
        <v>-0.23160890018451</v>
      </c>
      <c r="C69" s="112"/>
      <c r="D69" s="268">
        <f>(1+B59)/B59+AC67</f>
        <v>38.048192771084338</v>
      </c>
      <c r="E69" s="3"/>
      <c r="F69" s="49"/>
      <c r="H69" s="6"/>
    </row>
    <row r="70" spans="1:29" x14ac:dyDescent="0.2">
      <c r="D70" s="139"/>
      <c r="E70" s="10"/>
      <c r="F70" s="9"/>
      <c r="H70" s="6"/>
    </row>
    <row r="71" spans="1:29" x14ac:dyDescent="0.2">
      <c r="C71" s="112"/>
      <c r="D71" s="140"/>
      <c r="E71" s="140"/>
      <c r="F71" s="140"/>
    </row>
    <row r="72" spans="1:29" x14ac:dyDescent="0.2">
      <c r="C72" s="112"/>
      <c r="D72" s="49"/>
      <c r="E72" s="3"/>
      <c r="F72" s="3"/>
    </row>
    <row r="73" spans="1:29" x14ac:dyDescent="0.2">
      <c r="C73" s="112"/>
      <c r="D73" s="3"/>
      <c r="E73" s="49"/>
      <c r="F73" s="3"/>
    </row>
    <row r="74" spans="1:29" x14ac:dyDescent="0.2">
      <c r="C74" s="112"/>
      <c r="D74" s="3"/>
      <c r="E74" s="3"/>
      <c r="F74" s="3"/>
      <c r="J74" s="9"/>
    </row>
    <row r="75" spans="1:29" x14ac:dyDescent="0.2">
      <c r="C75" s="112"/>
      <c r="D75" s="3"/>
      <c r="E75" s="3"/>
      <c r="F75" s="3"/>
    </row>
    <row r="76" spans="1:29" x14ac:dyDescent="0.2">
      <c r="C76" s="112"/>
      <c r="D76" s="3"/>
      <c r="E76" s="3"/>
      <c r="F76" s="3"/>
    </row>
    <row r="77" spans="1:29" x14ac:dyDescent="0.2">
      <c r="C77" s="112"/>
      <c r="D77" s="3"/>
      <c r="E77" s="3"/>
      <c r="F77" s="3"/>
    </row>
    <row r="78" spans="1:29" x14ac:dyDescent="0.2">
      <c r="C78" s="112"/>
      <c r="D78" s="3"/>
      <c r="E78" s="3"/>
      <c r="F78" s="49"/>
    </row>
    <row r="79" spans="1:29" x14ac:dyDescent="0.2">
      <c r="F79" s="8"/>
    </row>
    <row r="81" spans="4:9" x14ac:dyDescent="0.2">
      <c r="G81" s="10"/>
    </row>
    <row r="82" spans="4:9" x14ac:dyDescent="0.2">
      <c r="D82" s="3"/>
      <c r="E82" s="3"/>
      <c r="F82" s="3"/>
      <c r="G82" s="9"/>
    </row>
    <row r="83" spans="4:9" x14ac:dyDescent="0.2">
      <c r="D83" s="3"/>
      <c r="E83" s="3"/>
      <c r="F83" s="3"/>
      <c r="G83" s="9"/>
    </row>
    <row r="84" spans="4:9" x14ac:dyDescent="0.2">
      <c r="D84" s="3"/>
      <c r="E84" s="3"/>
      <c r="F84" s="3"/>
      <c r="H84" s="9"/>
    </row>
    <row r="85" spans="4:9" x14ac:dyDescent="0.2">
      <c r="I85" s="10"/>
    </row>
    <row r="86" spans="4:9" x14ac:dyDescent="0.2">
      <c r="D86" s="3"/>
      <c r="E86" s="3"/>
      <c r="F86" s="3"/>
    </row>
    <row r="87" spans="4:9" x14ac:dyDescent="0.2">
      <c r="D87" s="3"/>
      <c r="E87" s="3"/>
      <c r="F87" s="3"/>
    </row>
    <row r="88" spans="4:9" x14ac:dyDescent="0.2">
      <c r="D88" s="3"/>
      <c r="E88" s="3"/>
      <c r="F88" s="3"/>
    </row>
  </sheetData>
  <mergeCells count="6">
    <mergeCell ref="H65:I65"/>
    <mergeCell ref="H64:I64"/>
    <mergeCell ref="A1:L1"/>
    <mergeCell ref="H60:I60"/>
    <mergeCell ref="H62:I62"/>
    <mergeCell ref="H63:I63"/>
  </mergeCells>
  <phoneticPr fontId="0" type="noConversion"/>
  <hyperlinks>
    <hyperlink ref="A61" r:id="rId1" xr:uid="{00000000-0004-0000-0600-000000000000}"/>
  </hyperlinks>
  <pageMargins left="0.75" right="0.75" top="1" bottom="1" header="0" footer="0"/>
  <pageSetup orientation="portrait" r:id="rId2"/>
  <headerFooter alignWithMargins="0"/>
  <drawing r:id="rId3"/>
  <legacy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sheetPr>
  <dimension ref="A1:AS75"/>
  <sheetViews>
    <sheetView topLeftCell="A34" zoomScale="72" zoomScaleNormal="80" workbookViewId="0">
      <selection activeCell="AF36" sqref="AF36"/>
    </sheetView>
  </sheetViews>
  <sheetFormatPr defaultColWidth="11.42578125" defaultRowHeight="15" x14ac:dyDescent="0.25"/>
  <cols>
    <col min="1" max="1" width="14.42578125" style="288" customWidth="1"/>
    <col min="2" max="2" width="6.7109375" style="288" customWidth="1"/>
    <col min="3" max="3" width="35.42578125" style="288" customWidth="1"/>
    <col min="4" max="5" width="12.42578125" style="288" customWidth="1"/>
    <col min="6" max="6" width="23.28515625" style="289" customWidth="1"/>
    <col min="7" max="7" width="14" style="289" customWidth="1"/>
    <col min="8" max="8" width="11.7109375" style="289" customWidth="1"/>
    <col min="9" max="9" width="13.42578125" style="289" customWidth="1"/>
    <col min="10" max="10" width="12" style="289" customWidth="1"/>
    <col min="11" max="11" width="11.7109375" style="289" customWidth="1"/>
    <col min="12" max="12" width="13.28515625" style="289" customWidth="1"/>
    <col min="13" max="13" width="14" style="289" customWidth="1"/>
    <col min="14" max="20" width="10.7109375" style="289" customWidth="1"/>
    <col min="21" max="21" width="14.140625" style="289" customWidth="1"/>
    <col min="22" max="23" width="13.42578125" style="289" customWidth="1"/>
    <col min="24" max="24" width="14.42578125" style="289" customWidth="1"/>
    <col min="25" max="25" width="13.140625" style="289" customWidth="1"/>
    <col min="26" max="26" width="14.42578125" style="289" customWidth="1"/>
    <col min="27" max="27" width="13" style="289" customWidth="1"/>
    <col min="28" max="28" width="13.7109375" style="289" customWidth="1"/>
    <col min="29" max="29" width="13.42578125" style="289" customWidth="1"/>
    <col min="30" max="30" width="14.28515625" style="288" customWidth="1"/>
    <col min="31" max="31" width="15.42578125" style="288" customWidth="1"/>
    <col min="32" max="32" width="14" style="288" customWidth="1"/>
    <col min="33" max="33" width="143.140625" style="288" customWidth="1"/>
    <col min="34" max="34" width="38.42578125" style="288" customWidth="1"/>
    <col min="35" max="37" width="11.42578125" style="288"/>
    <col min="38" max="38" width="13.140625" style="288" customWidth="1"/>
    <col min="39" max="16384" width="11.42578125" style="288"/>
  </cols>
  <sheetData>
    <row r="1" spans="1:45" ht="20.25" x14ac:dyDescent="0.3">
      <c r="C1" s="711" t="s">
        <v>271</v>
      </c>
      <c r="D1" s="711"/>
      <c r="E1" s="711"/>
      <c r="F1" s="711"/>
      <c r="G1" s="711"/>
      <c r="H1" s="711"/>
      <c r="I1" s="711"/>
      <c r="J1" s="711"/>
      <c r="K1" s="711"/>
      <c r="L1" s="711"/>
    </row>
    <row r="2" spans="1:45" x14ac:dyDescent="0.25">
      <c r="C2" s="290" t="s">
        <v>458</v>
      </c>
      <c r="D2" s="290"/>
      <c r="E2" s="290"/>
      <c r="F2" s="290"/>
      <c r="G2" s="290"/>
      <c r="H2" s="290" t="s">
        <v>263</v>
      </c>
      <c r="I2" s="290"/>
      <c r="J2" s="290"/>
      <c r="K2" s="290"/>
      <c r="L2" s="290"/>
    </row>
    <row r="3" spans="1:45" x14ac:dyDescent="0.25">
      <c r="D3" s="359">
        <f>D19/D6</f>
        <v>-5.2354862819032387E-3</v>
      </c>
      <c r="E3" s="359">
        <f>E19/E6</f>
        <v>-4.2949987342768879E-3</v>
      </c>
      <c r="F3" s="359">
        <f>F19/F6</f>
        <v>-4.0913801671027582E-3</v>
      </c>
      <c r="G3" s="289">
        <v>0</v>
      </c>
      <c r="H3" s="289">
        <v>0.25</v>
      </c>
      <c r="I3" s="289">
        <f>H3+1</f>
        <v>1.25</v>
      </c>
      <c r="J3" s="289">
        <f t="shared" ref="J3:AF3" si="0">I3+1</f>
        <v>2.25</v>
      </c>
      <c r="K3" s="289">
        <f t="shared" si="0"/>
        <v>3.25</v>
      </c>
      <c r="L3" s="289">
        <f t="shared" si="0"/>
        <v>4.25</v>
      </c>
      <c r="M3" s="289">
        <f t="shared" si="0"/>
        <v>5.25</v>
      </c>
      <c r="N3" s="289">
        <f t="shared" si="0"/>
        <v>6.25</v>
      </c>
      <c r="O3" s="289">
        <f t="shared" si="0"/>
        <v>7.25</v>
      </c>
      <c r="P3" s="289">
        <f t="shared" si="0"/>
        <v>8.25</v>
      </c>
      <c r="Q3" s="289">
        <f t="shared" si="0"/>
        <v>9.25</v>
      </c>
      <c r="R3" s="289">
        <f t="shared" si="0"/>
        <v>10.25</v>
      </c>
      <c r="S3" s="289">
        <f t="shared" si="0"/>
        <v>11.25</v>
      </c>
      <c r="T3" s="289">
        <f t="shared" si="0"/>
        <v>12.25</v>
      </c>
      <c r="U3" s="289">
        <f t="shared" si="0"/>
        <v>13.25</v>
      </c>
      <c r="V3" s="289">
        <f t="shared" si="0"/>
        <v>14.25</v>
      </c>
      <c r="W3" s="289">
        <f t="shared" si="0"/>
        <v>15.25</v>
      </c>
      <c r="X3" s="289">
        <f t="shared" si="0"/>
        <v>16.25</v>
      </c>
      <c r="Y3" s="289">
        <f t="shared" si="0"/>
        <v>17.25</v>
      </c>
      <c r="Z3" s="289">
        <f t="shared" si="0"/>
        <v>18.25</v>
      </c>
      <c r="AA3" s="289">
        <f t="shared" si="0"/>
        <v>19.25</v>
      </c>
      <c r="AB3" s="289">
        <f t="shared" si="0"/>
        <v>20.25</v>
      </c>
      <c r="AC3" s="289">
        <f t="shared" si="0"/>
        <v>21.25</v>
      </c>
      <c r="AD3" s="289">
        <f t="shared" si="0"/>
        <v>22.25</v>
      </c>
      <c r="AE3" s="289">
        <f t="shared" si="0"/>
        <v>23.25</v>
      </c>
      <c r="AF3" s="289">
        <f t="shared" si="0"/>
        <v>24.25</v>
      </c>
      <c r="AH3" s="201" t="s">
        <v>604</v>
      </c>
      <c r="AI3"/>
      <c r="AJ3"/>
      <c r="AK3"/>
      <c r="AL3"/>
      <c r="AM3"/>
      <c r="AN3"/>
      <c r="AO3"/>
      <c r="AP3"/>
      <c r="AQ3"/>
      <c r="AR3"/>
      <c r="AS3"/>
    </row>
    <row r="4" spans="1:45" x14ac:dyDescent="0.25">
      <c r="A4" s="291" t="s">
        <v>272</v>
      </c>
      <c r="B4" s="291" t="s">
        <v>273</v>
      </c>
      <c r="C4" s="292" t="s">
        <v>274</v>
      </c>
      <c r="D4" s="293" t="s">
        <v>196</v>
      </c>
      <c r="E4" s="293" t="s">
        <v>275</v>
      </c>
      <c r="F4" s="293" t="s">
        <v>357</v>
      </c>
      <c r="G4" s="294" t="s">
        <v>416</v>
      </c>
      <c r="H4" s="294">
        <v>2024</v>
      </c>
      <c r="I4" s="294">
        <f t="shared" ref="I4:AF4" si="1">+H4+1</f>
        <v>2025</v>
      </c>
      <c r="J4" s="294">
        <f t="shared" si="1"/>
        <v>2026</v>
      </c>
      <c r="K4" s="294">
        <f t="shared" si="1"/>
        <v>2027</v>
      </c>
      <c r="L4" s="294">
        <f t="shared" si="1"/>
        <v>2028</v>
      </c>
      <c r="M4" s="294">
        <f t="shared" si="1"/>
        <v>2029</v>
      </c>
      <c r="N4" s="294">
        <f t="shared" si="1"/>
        <v>2030</v>
      </c>
      <c r="O4" s="294">
        <f t="shared" si="1"/>
        <v>2031</v>
      </c>
      <c r="P4" s="294">
        <f t="shared" si="1"/>
        <v>2032</v>
      </c>
      <c r="Q4" s="294">
        <f t="shared" si="1"/>
        <v>2033</v>
      </c>
      <c r="R4" s="294">
        <f t="shared" si="1"/>
        <v>2034</v>
      </c>
      <c r="S4" s="294">
        <f t="shared" si="1"/>
        <v>2035</v>
      </c>
      <c r="T4" s="294">
        <f t="shared" si="1"/>
        <v>2036</v>
      </c>
      <c r="U4" s="294">
        <f t="shared" si="1"/>
        <v>2037</v>
      </c>
      <c r="V4" s="294">
        <f t="shared" si="1"/>
        <v>2038</v>
      </c>
      <c r="W4" s="294">
        <f t="shared" si="1"/>
        <v>2039</v>
      </c>
      <c r="X4" s="294">
        <f t="shared" si="1"/>
        <v>2040</v>
      </c>
      <c r="Y4" s="294">
        <f t="shared" si="1"/>
        <v>2041</v>
      </c>
      <c r="Z4" s="294">
        <f t="shared" si="1"/>
        <v>2042</v>
      </c>
      <c r="AA4" s="294">
        <f t="shared" si="1"/>
        <v>2043</v>
      </c>
      <c r="AB4" s="294">
        <f t="shared" si="1"/>
        <v>2044</v>
      </c>
      <c r="AC4" s="294">
        <f t="shared" si="1"/>
        <v>2045</v>
      </c>
      <c r="AD4" s="294">
        <f t="shared" si="1"/>
        <v>2046</v>
      </c>
      <c r="AE4" s="294">
        <f t="shared" si="1"/>
        <v>2047</v>
      </c>
      <c r="AF4" s="294">
        <f t="shared" si="1"/>
        <v>2048</v>
      </c>
      <c r="AG4" s="288" t="s">
        <v>276</v>
      </c>
      <c r="AH4" t="s">
        <v>605</v>
      </c>
      <c r="AI4" s="541">
        <v>-2.9289999999999998</v>
      </c>
      <c r="AJ4" s="541">
        <v>-3.2149999999999999</v>
      </c>
      <c r="AK4" s="541">
        <v>-4.0119999999999996</v>
      </c>
      <c r="AL4" s="541">
        <v>-5.8559999999999999</v>
      </c>
      <c r="AM4" s="541">
        <v>-8.0470000000000006</v>
      </c>
      <c r="AN4" s="541">
        <v>-10.247999999999999</v>
      </c>
      <c r="AO4" s="541">
        <v>-17.012</v>
      </c>
      <c r="AP4" s="523">
        <v>-48.811999999999998</v>
      </c>
      <c r="AQ4" s="523">
        <v>-57.838999999999999</v>
      </c>
      <c r="AR4" s="523">
        <v>-95.22</v>
      </c>
      <c r="AS4" s="523">
        <v>-58.023000000000003</v>
      </c>
    </row>
    <row r="5" spans="1:45" s="298" customFormat="1" ht="12.75" x14ac:dyDescent="0.2">
      <c r="A5" s="712" t="s">
        <v>277</v>
      </c>
      <c r="B5" s="295">
        <v>1</v>
      </c>
      <c r="C5" s="296" t="s">
        <v>278</v>
      </c>
      <c r="D5" s="297">
        <f>Cifras_en_Millones!F6</f>
        <v>9.5223457025306324E-2</v>
      </c>
      <c r="E5" s="297">
        <f>Cifras_en_Millones!E6</f>
        <v>0.28269445208737598</v>
      </c>
      <c r="F5" s="297">
        <f>Cifras_en_Millones!D6</f>
        <v>6.087021880415433E-3</v>
      </c>
      <c r="G5" s="297">
        <f>Cifras_en_Millones!C6</f>
        <v>4.9821404864313967E-2</v>
      </c>
      <c r="H5" s="545">
        <v>3.4000000000000002E-2</v>
      </c>
      <c r="I5" s="546">
        <v>3.5000000000000003E-2</v>
      </c>
      <c r="J5" s="546">
        <v>4.2900000000000001E-2</v>
      </c>
      <c r="K5" s="546">
        <v>4.8000000000000001E-2</v>
      </c>
      <c r="L5" s="546">
        <v>4.2000000000000003E-2</v>
      </c>
      <c r="M5" s="546">
        <v>0.04</v>
      </c>
      <c r="N5" s="546">
        <v>0.04</v>
      </c>
      <c r="O5" s="546">
        <v>3.7999999999999999E-2</v>
      </c>
      <c r="P5" s="546">
        <v>3.7999999999999999E-2</v>
      </c>
      <c r="Q5" s="546">
        <v>3.5999999999999997E-2</v>
      </c>
      <c r="R5" s="546">
        <v>3.5999999999999997E-2</v>
      </c>
      <c r="S5" s="546">
        <v>3.4000000000000002E-2</v>
      </c>
      <c r="T5" s="546">
        <v>3.4000000000000002E-2</v>
      </c>
      <c r="U5" s="546">
        <v>3.2000000000000001E-2</v>
      </c>
      <c r="V5" s="546">
        <v>3.2000000000000001E-2</v>
      </c>
      <c r="W5" s="546">
        <v>0.03</v>
      </c>
      <c r="X5" s="546">
        <v>0.03</v>
      </c>
      <c r="Y5" s="546">
        <v>2.8000000000000001E-2</v>
      </c>
      <c r="Z5" s="546">
        <v>2.8000000000000001E-2</v>
      </c>
      <c r="AA5" s="546">
        <v>2.5999999999999999E-2</v>
      </c>
      <c r="AB5" s="546">
        <v>2.5999999999999999E-2</v>
      </c>
      <c r="AC5" s="546">
        <v>2.4E-2</v>
      </c>
      <c r="AD5" s="546">
        <v>2.1999999999999999E-2</v>
      </c>
      <c r="AE5" s="546">
        <v>2.1999999999999999E-2</v>
      </c>
      <c r="AF5" s="546">
        <v>0.02</v>
      </c>
      <c r="AH5" t="s">
        <v>606</v>
      </c>
      <c r="AI5" s="542">
        <v>6213.1729999999998</v>
      </c>
      <c r="AJ5" s="542">
        <v>6814.4790000000003</v>
      </c>
      <c r="AK5" s="542">
        <v>7270.9650000000001</v>
      </c>
      <c r="AL5" s="542">
        <v>7921.9809999999998</v>
      </c>
      <c r="AM5" s="542">
        <v>8590.4719999999998</v>
      </c>
      <c r="AN5" s="542">
        <v>8436.57</v>
      </c>
      <c r="AO5" s="542">
        <v>8750.7430000000004</v>
      </c>
      <c r="AP5" s="522">
        <v>9584.0190000000002</v>
      </c>
      <c r="AQ5" s="522">
        <v>12293.368</v>
      </c>
      <c r="AR5" s="522">
        <v>12368.198</v>
      </c>
      <c r="AS5" s="522">
        <v>12984.398999999999</v>
      </c>
    </row>
    <row r="6" spans="1:45" s="301" customFormat="1" x14ac:dyDescent="0.25">
      <c r="A6" s="712"/>
      <c r="B6" s="295">
        <v>2</v>
      </c>
      <c r="C6" s="299" t="s">
        <v>279</v>
      </c>
      <c r="D6" s="524">
        <v>9584.0190000000002</v>
      </c>
      <c r="E6" s="524">
        <v>12293.368</v>
      </c>
      <c r="F6" s="524">
        <v>12368.198</v>
      </c>
      <c r="G6" s="524">
        <v>12984.398999999999</v>
      </c>
      <c r="H6" s="537">
        <f t="shared" ref="H6:AF6" si="2">G6*(1+H5)</f>
        <v>13425.868565999999</v>
      </c>
      <c r="I6" s="547">
        <f t="shared" si="2"/>
        <v>13895.773965809998</v>
      </c>
      <c r="J6" s="547">
        <f t="shared" si="2"/>
        <v>14491.902668943247</v>
      </c>
      <c r="K6" s="547">
        <f t="shared" si="2"/>
        <v>15187.513997052523</v>
      </c>
      <c r="L6" s="547">
        <f t="shared" si="2"/>
        <v>15825.389584928729</v>
      </c>
      <c r="M6" s="547">
        <f t="shared" si="2"/>
        <v>16458.40516832588</v>
      </c>
      <c r="N6" s="547">
        <f t="shared" si="2"/>
        <v>17116.741375058915</v>
      </c>
      <c r="O6" s="547">
        <f t="shared" si="2"/>
        <v>17767.177547311156</v>
      </c>
      <c r="P6" s="547">
        <f t="shared" si="2"/>
        <v>18442.330294108979</v>
      </c>
      <c r="Q6" s="547">
        <f t="shared" si="2"/>
        <v>19106.254184696903</v>
      </c>
      <c r="R6" s="547">
        <f t="shared" si="2"/>
        <v>19794.079335345992</v>
      </c>
      <c r="S6" s="547">
        <f t="shared" si="2"/>
        <v>20467.078032747755</v>
      </c>
      <c r="T6" s="547">
        <f t="shared" si="2"/>
        <v>21162.95868586118</v>
      </c>
      <c r="U6" s="547">
        <f t="shared" si="2"/>
        <v>21840.173363808739</v>
      </c>
      <c r="V6" s="547">
        <f t="shared" si="2"/>
        <v>22539.058911450618</v>
      </c>
      <c r="W6" s="547">
        <f t="shared" si="2"/>
        <v>23215.230678794138</v>
      </c>
      <c r="X6" s="547">
        <f t="shared" si="2"/>
        <v>23911.687599157962</v>
      </c>
      <c r="Y6" s="547">
        <f t="shared" si="2"/>
        <v>24581.214851934386</v>
      </c>
      <c r="Z6" s="547">
        <f t="shared" si="2"/>
        <v>25269.48886778855</v>
      </c>
      <c r="AA6" s="547">
        <f t="shared" si="2"/>
        <v>25926.495578351052</v>
      </c>
      <c r="AB6" s="547">
        <f t="shared" si="2"/>
        <v>26600.584463388179</v>
      </c>
      <c r="AC6" s="547">
        <f t="shared" si="2"/>
        <v>27238.998490509497</v>
      </c>
      <c r="AD6" s="547">
        <f t="shared" si="2"/>
        <v>27838.256457300708</v>
      </c>
      <c r="AE6" s="547">
        <f t="shared" si="2"/>
        <v>28450.698099361325</v>
      </c>
      <c r="AF6" s="547">
        <f t="shared" si="2"/>
        <v>29019.712061348553</v>
      </c>
      <c r="AH6" t="s">
        <v>604</v>
      </c>
      <c r="AI6" s="450">
        <f t="shared" ref="AI6:AS6" si="3">AI4/AI5</f>
        <v>-4.714177442025194E-4</v>
      </c>
      <c r="AJ6" s="450">
        <f t="shared" si="3"/>
        <v>-4.7178955280366994E-4</v>
      </c>
      <c r="AK6" s="450">
        <f t="shared" si="3"/>
        <v>-5.5178370408879695E-4</v>
      </c>
      <c r="AL6" s="450">
        <f t="shared" si="3"/>
        <v>-7.3920904379851451E-4</v>
      </c>
      <c r="AM6" s="450">
        <f t="shared" si="3"/>
        <v>-9.3673549020356519E-4</v>
      </c>
      <c r="AN6" s="450">
        <f t="shared" si="3"/>
        <v>-1.2147116659969631E-3</v>
      </c>
      <c r="AO6" s="450">
        <f t="shared" si="3"/>
        <v>-1.9440634926657084E-3</v>
      </c>
      <c r="AP6" s="450">
        <f t="shared" si="3"/>
        <v>-5.0930616894645135E-3</v>
      </c>
      <c r="AQ6" s="450">
        <f t="shared" si="3"/>
        <v>-4.7048945415121383E-3</v>
      </c>
      <c r="AR6" s="450">
        <f t="shared" si="3"/>
        <v>-7.6987771379468531E-3</v>
      </c>
      <c r="AS6" s="450">
        <f t="shared" si="3"/>
        <v>-4.4686704405802694E-3</v>
      </c>
    </row>
    <row r="7" spans="1:45" s="298" customFormat="1" ht="12.75" x14ac:dyDescent="0.2">
      <c r="A7" s="712"/>
      <c r="B7" s="295">
        <v>3</v>
      </c>
      <c r="C7" s="296" t="s">
        <v>280</v>
      </c>
      <c r="D7" s="525">
        <f>D8/D6</f>
        <v>7.7365977675962455E-2</v>
      </c>
      <c r="E7" s="526">
        <f>E8/E6</f>
        <v>0.1654959812477752</v>
      </c>
      <c r="F7" s="526">
        <f>F8/F6</f>
        <v>0.11828877577800744</v>
      </c>
      <c r="G7" s="526">
        <f>G8/G6</f>
        <v>9.8761983515756102E-2</v>
      </c>
      <c r="H7" s="538">
        <v>0.112</v>
      </c>
      <c r="I7" s="538">
        <v>0.11</v>
      </c>
      <c r="J7" s="538">
        <v>0.11</v>
      </c>
      <c r="K7" s="538">
        <v>0.11</v>
      </c>
      <c r="L7" s="538">
        <v>8.5000000000000006E-2</v>
      </c>
      <c r="M7" s="538">
        <v>8.5000000000000006E-2</v>
      </c>
      <c r="N7" s="538">
        <v>8.5000000000000006E-2</v>
      </c>
      <c r="O7" s="538">
        <v>8.5000000000000006E-2</v>
      </c>
      <c r="P7" s="538">
        <v>8.5000000000000006E-2</v>
      </c>
      <c r="Q7" s="538">
        <v>8.5000000000000006E-2</v>
      </c>
      <c r="R7" s="538">
        <v>8.5000000000000006E-2</v>
      </c>
      <c r="S7" s="538">
        <v>8.5000000000000006E-2</v>
      </c>
      <c r="T7" s="538">
        <v>8.5000000000000006E-2</v>
      </c>
      <c r="U7" s="538">
        <v>8.5000000000000006E-2</v>
      </c>
      <c r="V7" s="538">
        <v>8.5000000000000006E-2</v>
      </c>
      <c r="W7" s="538">
        <v>8.5000000000000006E-2</v>
      </c>
      <c r="X7" s="538">
        <v>8.5000000000000006E-2</v>
      </c>
      <c r="Y7" s="538">
        <v>8.5000000000000006E-2</v>
      </c>
      <c r="Z7" s="538">
        <v>8.5000000000000006E-2</v>
      </c>
      <c r="AA7" s="538">
        <v>8.5000000000000006E-2</v>
      </c>
      <c r="AB7" s="538">
        <v>8.5000000000000006E-2</v>
      </c>
      <c r="AC7" s="538">
        <v>8.5000000000000006E-2</v>
      </c>
      <c r="AD7" s="538">
        <v>8.5000000000000006E-2</v>
      </c>
      <c r="AE7" s="538">
        <v>8.5000000000000006E-2</v>
      </c>
      <c r="AF7" s="538">
        <v>8.5000000000000006E-2</v>
      </c>
      <c r="AH7" s="201" t="s">
        <v>607</v>
      </c>
      <c r="AI7" s="543">
        <f>AVERAGE(AP6:AS6)</f>
        <v>-5.4913509523759427E-3</v>
      </c>
      <c r="AJ7"/>
      <c r="AK7"/>
      <c r="AL7"/>
      <c r="AM7"/>
      <c r="AN7"/>
      <c r="AO7"/>
      <c r="AP7"/>
      <c r="AQ7"/>
      <c r="AR7"/>
      <c r="AS7"/>
    </row>
    <row r="8" spans="1:45" x14ac:dyDescent="0.25">
      <c r="A8" s="712"/>
      <c r="B8" s="295">
        <v>4</v>
      </c>
      <c r="C8" s="302" t="s">
        <v>3</v>
      </c>
      <c r="D8" s="527">
        <v>741.47699999999998</v>
      </c>
      <c r="E8" s="524">
        <v>2034.5029999999999</v>
      </c>
      <c r="F8" s="524">
        <v>1463.019</v>
      </c>
      <c r="G8" s="524">
        <v>1282.365</v>
      </c>
      <c r="H8" s="539">
        <f t="shared" ref="H8:AF8" si="4">H6*H7</f>
        <v>1503.6972793919999</v>
      </c>
      <c r="I8" s="539">
        <f t="shared" si="4"/>
        <v>1528.5351362390998</v>
      </c>
      <c r="J8" s="539">
        <f t="shared" si="4"/>
        <v>1594.1092935837571</v>
      </c>
      <c r="K8" s="539">
        <f t="shared" si="4"/>
        <v>1670.6265396757776</v>
      </c>
      <c r="L8" s="539">
        <f t="shared" si="4"/>
        <v>1345.158114718942</v>
      </c>
      <c r="M8" s="539">
        <f t="shared" si="4"/>
        <v>1398.9644393076999</v>
      </c>
      <c r="N8" s="539">
        <f t="shared" si="4"/>
        <v>1454.9230168800079</v>
      </c>
      <c r="O8" s="539">
        <f t="shared" si="4"/>
        <v>1510.2100915214482</v>
      </c>
      <c r="P8" s="539">
        <f t="shared" si="4"/>
        <v>1567.5980749992632</v>
      </c>
      <c r="Q8" s="539">
        <f t="shared" si="4"/>
        <v>1624.0316056992369</v>
      </c>
      <c r="R8" s="539">
        <f t="shared" si="4"/>
        <v>1682.4967435044096</v>
      </c>
      <c r="S8" s="539">
        <f t="shared" si="4"/>
        <v>1739.7016327835593</v>
      </c>
      <c r="T8" s="539">
        <f t="shared" si="4"/>
        <v>1798.8514882982004</v>
      </c>
      <c r="U8" s="539">
        <f t="shared" si="4"/>
        <v>1856.4147359237429</v>
      </c>
      <c r="V8" s="539">
        <f t="shared" si="4"/>
        <v>1915.8200074733027</v>
      </c>
      <c r="W8" s="539">
        <f t="shared" si="4"/>
        <v>1973.2946076975018</v>
      </c>
      <c r="X8" s="539">
        <f t="shared" si="4"/>
        <v>2032.4934459284268</v>
      </c>
      <c r="Y8" s="539">
        <f t="shared" si="4"/>
        <v>2089.4032624144229</v>
      </c>
      <c r="Z8" s="539">
        <f t="shared" si="4"/>
        <v>2147.9065537620268</v>
      </c>
      <c r="AA8" s="539">
        <f t="shared" si="4"/>
        <v>2203.7521241598397</v>
      </c>
      <c r="AB8" s="539">
        <f t="shared" si="4"/>
        <v>2261.0496793879952</v>
      </c>
      <c r="AC8" s="539">
        <f t="shared" si="4"/>
        <v>2315.3148716933074</v>
      </c>
      <c r="AD8" s="539">
        <f t="shared" si="4"/>
        <v>2366.2517988705604</v>
      </c>
      <c r="AE8" s="539">
        <f t="shared" si="4"/>
        <v>2418.3093384457129</v>
      </c>
      <c r="AF8" s="539">
        <f t="shared" si="4"/>
        <v>2466.6755252146272</v>
      </c>
      <c r="AH8" s="201" t="s">
        <v>608</v>
      </c>
      <c r="AI8" s="544">
        <f>AVERAGE(AI6:AS6)</f>
        <v>-2.5722831366603192E-3</v>
      </c>
      <c r="AJ8"/>
      <c r="AK8"/>
      <c r="AL8"/>
      <c r="AM8"/>
      <c r="AN8"/>
      <c r="AO8"/>
      <c r="AP8"/>
      <c r="AQ8"/>
      <c r="AR8"/>
      <c r="AS8"/>
    </row>
    <row r="9" spans="1:45" x14ac:dyDescent="0.25">
      <c r="A9" s="712"/>
      <c r="B9" s="295" t="s">
        <v>281</v>
      </c>
      <c r="C9" s="304" t="s">
        <v>282</v>
      </c>
      <c r="D9" s="533">
        <v>-326.01400000000001</v>
      </c>
      <c r="E9" s="533">
        <v>-322.55099999999999</v>
      </c>
      <c r="F9" s="533">
        <v>-365.47500000000002</v>
      </c>
      <c r="G9" s="533">
        <v>-393.93299999999999</v>
      </c>
      <c r="H9" s="540">
        <f>H22*$D50</f>
        <v>-100.69401424499999</v>
      </c>
      <c r="I9" s="540">
        <f>I22*$D50</f>
        <v>-104.21830474357498</v>
      </c>
      <c r="J9" s="540">
        <f>J22*$D50</f>
        <v>-108.68927001707435</v>
      </c>
      <c r="K9" s="540">
        <f>K22*$D50</f>
        <v>-113.90635497789393</v>
      </c>
      <c r="L9" s="540">
        <f t="shared" ref="L9:AF9" si="5">L22*$E50</f>
        <v>-118.69042188696547</v>
      </c>
      <c r="M9" s="540">
        <f t="shared" si="5"/>
        <v>-123.43803876244409</v>
      </c>
      <c r="N9" s="540">
        <f t="shared" si="5"/>
        <v>-128.37556031294184</v>
      </c>
      <c r="O9" s="540">
        <f t="shared" si="5"/>
        <v>-133.25383160483366</v>
      </c>
      <c r="P9" s="540">
        <f t="shared" si="5"/>
        <v>-138.31747720581734</v>
      </c>
      <c r="Q9" s="540">
        <f t="shared" si="5"/>
        <v>-143.29690638522678</v>
      </c>
      <c r="R9" s="540">
        <f t="shared" si="5"/>
        <v>-148.45559501509493</v>
      </c>
      <c r="S9" s="540">
        <f t="shared" si="5"/>
        <v>-153.50308524560816</v>
      </c>
      <c r="T9" s="540">
        <f t="shared" si="5"/>
        <v>-158.72219014395884</v>
      </c>
      <c r="U9" s="540">
        <f t="shared" si="5"/>
        <v>-163.80130022856554</v>
      </c>
      <c r="V9" s="540">
        <f t="shared" si="5"/>
        <v>-169.04294183587962</v>
      </c>
      <c r="W9" s="540">
        <f t="shared" si="5"/>
        <v>-174.11423009095603</v>
      </c>
      <c r="X9" s="540">
        <f t="shared" si="5"/>
        <v>-179.3376569936847</v>
      </c>
      <c r="Y9" s="540">
        <f t="shared" si="5"/>
        <v>-184.35911138950789</v>
      </c>
      <c r="Z9" s="540">
        <f t="shared" si="5"/>
        <v>-189.52116650841413</v>
      </c>
      <c r="AA9" s="540">
        <f t="shared" si="5"/>
        <v>-194.44871683763287</v>
      </c>
      <c r="AB9" s="540">
        <f t="shared" si="5"/>
        <v>-199.50438347541134</v>
      </c>
      <c r="AC9" s="540">
        <f t="shared" si="5"/>
        <v>-204.29248867882123</v>
      </c>
      <c r="AD9" s="540">
        <f t="shared" si="5"/>
        <v>-208.78692342975529</v>
      </c>
      <c r="AE9" s="540">
        <f t="shared" si="5"/>
        <v>-213.38023574520994</v>
      </c>
      <c r="AF9" s="540">
        <f t="shared" si="5"/>
        <v>-217.64784046011414</v>
      </c>
    </row>
    <row r="10" spans="1:45" x14ac:dyDescent="0.25">
      <c r="A10" s="712"/>
      <c r="B10" s="295" t="s">
        <v>283</v>
      </c>
      <c r="C10" s="304" t="s">
        <v>284</v>
      </c>
      <c r="D10" s="533">
        <v>-50.177</v>
      </c>
      <c r="E10" s="533">
        <v>-52.8</v>
      </c>
      <c r="F10" s="533">
        <v>-50.603000000000002</v>
      </c>
      <c r="G10" s="533">
        <v>-57.284999999999997</v>
      </c>
      <c r="H10" s="540">
        <f t="shared" ref="H10:AF10" si="6">H6*$D51</f>
        <v>-60.416408546999989</v>
      </c>
      <c r="I10" s="540">
        <f t="shared" si="6"/>
        <v>-62.530982846144987</v>
      </c>
      <c r="J10" s="540">
        <f t="shared" si="6"/>
        <v>-65.213562010244601</v>
      </c>
      <c r="K10" s="540">
        <f t="shared" si="6"/>
        <v>-68.343812986736353</v>
      </c>
      <c r="L10" s="540">
        <f t="shared" si="6"/>
        <v>-71.21425313217928</v>
      </c>
      <c r="M10" s="540">
        <f t="shared" si="6"/>
        <v>-74.062823257466462</v>
      </c>
      <c r="N10" s="540">
        <f t="shared" si="6"/>
        <v>-77.025336187765106</v>
      </c>
      <c r="O10" s="540">
        <f t="shared" si="6"/>
        <v>-79.952298962900201</v>
      </c>
      <c r="P10" s="540">
        <f t="shared" si="6"/>
        <v>-82.990486323490401</v>
      </c>
      <c r="Q10" s="540">
        <f t="shared" si="6"/>
        <v>-85.978143831136052</v>
      </c>
      <c r="R10" s="540">
        <f t="shared" si="6"/>
        <v>-89.073357009056963</v>
      </c>
      <c r="S10" s="540">
        <f t="shared" si="6"/>
        <v>-92.101851147364897</v>
      </c>
      <c r="T10" s="540">
        <f t="shared" si="6"/>
        <v>-95.233314086375302</v>
      </c>
      <c r="U10" s="540">
        <f t="shared" si="6"/>
        <v>-98.280780137139317</v>
      </c>
      <c r="V10" s="540">
        <f t="shared" si="6"/>
        <v>-101.42576510152777</v>
      </c>
      <c r="W10" s="540">
        <f t="shared" si="6"/>
        <v>-104.46853805457361</v>
      </c>
      <c r="X10" s="540">
        <f t="shared" si="6"/>
        <v>-107.60259419621082</v>
      </c>
      <c r="Y10" s="540">
        <f t="shared" si="6"/>
        <v>-110.61546683370473</v>
      </c>
      <c r="Z10" s="540">
        <f t="shared" si="6"/>
        <v>-113.71269990504847</v>
      </c>
      <c r="AA10" s="540">
        <f t="shared" si="6"/>
        <v>-116.66923010257973</v>
      </c>
      <c r="AB10" s="540">
        <f t="shared" si="6"/>
        <v>-119.7026300852468</v>
      </c>
      <c r="AC10" s="540">
        <f t="shared" si="6"/>
        <v>-122.57549320729272</v>
      </c>
      <c r="AD10" s="540">
        <f t="shared" si="6"/>
        <v>-125.27215405785317</v>
      </c>
      <c r="AE10" s="540">
        <f t="shared" si="6"/>
        <v>-128.02814144712596</v>
      </c>
      <c r="AF10" s="540">
        <f t="shared" si="6"/>
        <v>-130.58870427606848</v>
      </c>
    </row>
    <row r="11" spans="1:45" s="301" customFormat="1" x14ac:dyDescent="0.25">
      <c r="A11" s="712"/>
      <c r="B11" s="295">
        <v>6</v>
      </c>
      <c r="C11" s="305" t="s">
        <v>22</v>
      </c>
      <c r="D11" s="527">
        <f>D8-D9-D10</f>
        <v>1117.6679999999999</v>
      </c>
      <c r="E11" s="527">
        <f>E8-E9-E10</f>
        <v>2409.8540000000003</v>
      </c>
      <c r="F11" s="527">
        <f>F8-F9-F10</f>
        <v>1879.0970000000002</v>
      </c>
      <c r="G11" s="527">
        <f>G8-G9-G10</f>
        <v>1733.5830000000001</v>
      </c>
      <c r="H11" s="539">
        <f t="shared" ref="H11:AF11" si="7">H8-H9</f>
        <v>1604.391293637</v>
      </c>
      <c r="I11" s="548">
        <f t="shared" si="7"/>
        <v>1632.7534409826746</v>
      </c>
      <c r="J11" s="548">
        <f t="shared" si="7"/>
        <v>1702.7985636008314</v>
      </c>
      <c r="K11" s="548">
        <f t="shared" si="7"/>
        <v>1784.5328946536715</v>
      </c>
      <c r="L11" s="548">
        <f t="shared" si="7"/>
        <v>1463.8485366059074</v>
      </c>
      <c r="M11" s="548">
        <f t="shared" si="7"/>
        <v>1522.4024780701441</v>
      </c>
      <c r="N11" s="548">
        <f t="shared" si="7"/>
        <v>1583.2985771929498</v>
      </c>
      <c r="O11" s="548">
        <f t="shared" si="7"/>
        <v>1643.463923126282</v>
      </c>
      <c r="P11" s="548">
        <f t="shared" si="7"/>
        <v>1705.9155522050805</v>
      </c>
      <c r="Q11" s="548">
        <f t="shared" si="7"/>
        <v>1767.3285120844637</v>
      </c>
      <c r="R11" s="548">
        <f t="shared" si="7"/>
        <v>1830.9523385195046</v>
      </c>
      <c r="S11" s="548">
        <f t="shared" si="7"/>
        <v>1893.2047180291675</v>
      </c>
      <c r="T11" s="548">
        <f t="shared" si="7"/>
        <v>1957.5736784421592</v>
      </c>
      <c r="U11" s="548">
        <f t="shared" si="7"/>
        <v>2020.2160361523083</v>
      </c>
      <c r="V11" s="548">
        <f t="shared" si="7"/>
        <v>2084.8629493091821</v>
      </c>
      <c r="W11" s="548">
        <f t="shared" si="7"/>
        <v>2147.4088377884577</v>
      </c>
      <c r="X11" s="548">
        <f t="shared" si="7"/>
        <v>2211.8311029221113</v>
      </c>
      <c r="Y11" s="548">
        <f t="shared" si="7"/>
        <v>2273.7623738039306</v>
      </c>
      <c r="Z11" s="548">
        <f t="shared" si="7"/>
        <v>2337.4277202704407</v>
      </c>
      <c r="AA11" s="548">
        <f t="shared" si="7"/>
        <v>2398.2008409974724</v>
      </c>
      <c r="AB11" s="548">
        <f t="shared" si="7"/>
        <v>2460.5540628634067</v>
      </c>
      <c r="AC11" s="548">
        <f t="shared" si="7"/>
        <v>2519.6073603721288</v>
      </c>
      <c r="AD11" s="548">
        <f t="shared" si="7"/>
        <v>2575.0387223003158</v>
      </c>
      <c r="AE11" s="548">
        <f t="shared" si="7"/>
        <v>2631.6895741909229</v>
      </c>
      <c r="AF11" s="548">
        <f t="shared" si="7"/>
        <v>2684.3233656747416</v>
      </c>
      <c r="AH11" s="550" t="s">
        <v>610</v>
      </c>
      <c r="AI11"/>
      <c r="AJ11"/>
      <c r="AK11"/>
      <c r="AL11"/>
      <c r="AM11"/>
      <c r="AN11"/>
      <c r="AO11"/>
      <c r="AP11"/>
      <c r="AQ11"/>
      <c r="AR11"/>
      <c r="AS11"/>
    </row>
    <row r="12" spans="1:45" s="298" customFormat="1" ht="12.75" x14ac:dyDescent="0.2">
      <c r="A12" s="712"/>
      <c r="B12" s="295">
        <v>7</v>
      </c>
      <c r="C12" s="299" t="s">
        <v>609</v>
      </c>
      <c r="D12" s="533">
        <v>-48.811999999999998</v>
      </c>
      <c r="E12" s="533">
        <v>-57.838999999999999</v>
      </c>
      <c r="F12" s="533">
        <v>-95.22</v>
      </c>
      <c r="G12" s="533">
        <v>-58.023000000000003</v>
      </c>
      <c r="H12" s="551">
        <f>H6*$AI7</f>
        <v>-73.726156136378322</v>
      </c>
      <c r="I12" s="551">
        <f>I6*$AI7</f>
        <v>-76.30657160115156</v>
      </c>
      <c r="J12" s="551">
        <f>J6*$AI7</f>
        <v>-79.580123522840964</v>
      </c>
      <c r="K12" s="551">
        <f>K6*$AI7</f>
        <v>-83.399969451937338</v>
      </c>
      <c r="L12" s="551">
        <f t="shared" ref="L12:AF12" si="8">L6*$AI8</f>
        <v>-40.707382760392015</v>
      </c>
      <c r="M12" s="551">
        <f t="shared" si="8"/>
        <v>-42.335678070807703</v>
      </c>
      <c r="N12" s="551">
        <f t="shared" si="8"/>
        <v>-44.029105193640014</v>
      </c>
      <c r="O12" s="551">
        <f t="shared" si="8"/>
        <v>-45.702211190998334</v>
      </c>
      <c r="P12" s="551">
        <f t="shared" si="8"/>
        <v>-47.43889521625627</v>
      </c>
      <c r="Q12" s="551">
        <f t="shared" si="8"/>
        <v>-49.146695444041498</v>
      </c>
      <c r="R12" s="551">
        <f t="shared" si="8"/>
        <v>-50.915976480026998</v>
      </c>
      <c r="S12" s="551">
        <f t="shared" si="8"/>
        <v>-52.647119680347913</v>
      </c>
      <c r="T12" s="551">
        <f t="shared" si="8"/>
        <v>-54.437121749479743</v>
      </c>
      <c r="U12" s="551">
        <f t="shared" si="8"/>
        <v>-56.1791096454631</v>
      </c>
      <c r="V12" s="551">
        <f t="shared" si="8"/>
        <v>-57.976841154117913</v>
      </c>
      <c r="W12" s="551">
        <f t="shared" si="8"/>
        <v>-59.716146388741457</v>
      </c>
      <c r="X12" s="551">
        <f t="shared" si="8"/>
        <v>-61.507630780403701</v>
      </c>
      <c r="Y12" s="551">
        <f t="shared" si="8"/>
        <v>-63.229844442255008</v>
      </c>
      <c r="Z12" s="551">
        <f t="shared" si="8"/>
        <v>-65.000280086638156</v>
      </c>
      <c r="AA12" s="551">
        <f t="shared" si="8"/>
        <v>-66.690287368890736</v>
      </c>
      <c r="AB12" s="551">
        <f t="shared" si="8"/>
        <v>-68.424234840481901</v>
      </c>
      <c r="AC12" s="551">
        <f t="shared" si="8"/>
        <v>-70.066416476653473</v>
      </c>
      <c r="AD12" s="551">
        <f t="shared" si="8"/>
        <v>-71.607877639139843</v>
      </c>
      <c r="AE12" s="551">
        <f t="shared" si="8"/>
        <v>-73.183250947200932</v>
      </c>
      <c r="AF12" s="551">
        <f t="shared" si="8"/>
        <v>-74.646915966144959</v>
      </c>
      <c r="AH12" t="s">
        <v>611</v>
      </c>
      <c r="AI12" s="541"/>
      <c r="AJ12" s="541"/>
      <c r="AK12" s="541"/>
      <c r="AL12" s="541"/>
      <c r="AM12" s="541">
        <v>31.81</v>
      </c>
      <c r="AN12" s="541">
        <v>-2.5649999999999999</v>
      </c>
      <c r="AO12" s="541">
        <v>15.324</v>
      </c>
      <c r="AP12" s="523">
        <v>19.07</v>
      </c>
      <c r="AQ12" s="523">
        <v>17.774000000000001</v>
      </c>
      <c r="AR12" s="523">
        <v>15.949</v>
      </c>
      <c r="AS12" s="523">
        <v>93.808999999999997</v>
      </c>
    </row>
    <row r="13" spans="1:45" x14ac:dyDescent="0.25">
      <c r="A13" s="712"/>
      <c r="B13" s="295">
        <v>8</v>
      </c>
      <c r="C13" s="299" t="s">
        <v>285</v>
      </c>
      <c r="D13" s="524">
        <v>19.07</v>
      </c>
      <c r="E13" s="524">
        <v>17.774000000000001</v>
      </c>
      <c r="F13" s="524">
        <v>15.949</v>
      </c>
      <c r="G13" s="524">
        <v>93.808999999999997</v>
      </c>
      <c r="H13" s="539">
        <f>H22*$AP16</f>
        <v>34.868778018979192</v>
      </c>
      <c r="I13" s="548">
        <f>I22*$AP16</f>
        <v>36.089185249643457</v>
      </c>
      <c r="J13" s="548">
        <f>J22*$AP16</f>
        <v>37.637411296853159</v>
      </c>
      <c r="K13" s="548">
        <f>K22*$AP16</f>
        <v>39.444007039102118</v>
      </c>
      <c r="L13" s="548">
        <f t="shared" ref="L13:AF13" si="9">L22*$AM17</f>
        <v>31.936045606407635</v>
      </c>
      <c r="M13" s="548">
        <f t="shared" si="9"/>
        <v>33.213487430663939</v>
      </c>
      <c r="N13" s="548">
        <f t="shared" si="9"/>
        <v>34.542026927890497</v>
      </c>
      <c r="O13" s="548">
        <f t="shared" si="9"/>
        <v>35.854623951150344</v>
      </c>
      <c r="P13" s="548">
        <f t="shared" si="9"/>
        <v>37.217099661294057</v>
      </c>
      <c r="Q13" s="548">
        <f t="shared" si="9"/>
        <v>38.556915249100641</v>
      </c>
      <c r="R13" s="548">
        <f t="shared" si="9"/>
        <v>39.944964198068263</v>
      </c>
      <c r="S13" s="548">
        <f t="shared" si="9"/>
        <v>41.303092980802589</v>
      </c>
      <c r="T13" s="548">
        <f t="shared" si="9"/>
        <v>42.707398142149877</v>
      </c>
      <c r="U13" s="548">
        <f t="shared" si="9"/>
        <v>44.074034882698676</v>
      </c>
      <c r="V13" s="548">
        <f t="shared" si="9"/>
        <v>45.484403998945027</v>
      </c>
      <c r="W13" s="548">
        <f t="shared" si="9"/>
        <v>46.848936118913386</v>
      </c>
      <c r="X13" s="548">
        <f t="shared" si="9"/>
        <v>48.254404202480785</v>
      </c>
      <c r="Y13" s="548">
        <f t="shared" si="9"/>
        <v>49.605527520150247</v>
      </c>
      <c r="Z13" s="548">
        <f t="shared" si="9"/>
        <v>50.994482290714458</v>
      </c>
      <c r="AA13" s="548">
        <f t="shared" si="9"/>
        <v>52.32033883027303</v>
      </c>
      <c r="AB13" s="548">
        <f t="shared" si="9"/>
        <v>53.680667639860133</v>
      </c>
      <c r="AC13" s="548">
        <f t="shared" si="9"/>
        <v>54.969003663216782</v>
      </c>
      <c r="AD13" s="548">
        <f t="shared" si="9"/>
        <v>56.178321743807551</v>
      </c>
      <c r="AE13" s="548">
        <f t="shared" si="9"/>
        <v>57.414244822171327</v>
      </c>
      <c r="AF13" s="548">
        <f t="shared" si="9"/>
        <v>58.562529718614748</v>
      </c>
      <c r="AH13" t="s">
        <v>118</v>
      </c>
      <c r="AI13" s="542"/>
      <c r="AJ13" s="542"/>
      <c r="AK13" s="542"/>
      <c r="AL13" s="542"/>
      <c r="AM13" s="542">
        <v>-474.34699999999998</v>
      </c>
      <c r="AN13" s="542">
        <v>-198.21899999999999</v>
      </c>
      <c r="AO13" s="542">
        <f>-(217.461)</f>
        <v>-217.46100000000001</v>
      </c>
      <c r="AP13" s="522">
        <v>-224.02699999999999</v>
      </c>
      <c r="AQ13" s="522">
        <v>-308.26100000000002</v>
      </c>
      <c r="AR13" s="522">
        <v>-364.07499999999999</v>
      </c>
      <c r="AS13" s="522">
        <v>-587.42600000000004</v>
      </c>
    </row>
    <row r="14" spans="1:45" x14ac:dyDescent="0.25">
      <c r="A14" s="712"/>
      <c r="B14" s="295">
        <v>9</v>
      </c>
      <c r="C14" s="305" t="s">
        <v>286</v>
      </c>
      <c r="D14" s="528">
        <f t="shared" ref="D14:AF14" si="10">D8+D12+D13</f>
        <v>711.73500000000001</v>
      </c>
      <c r="E14" s="524">
        <f t="shared" si="10"/>
        <v>1994.4380000000001</v>
      </c>
      <c r="F14" s="524">
        <f t="shared" si="10"/>
        <v>1383.748</v>
      </c>
      <c r="G14" s="524">
        <f t="shared" si="10"/>
        <v>1318.1510000000001</v>
      </c>
      <c r="H14" s="539">
        <f t="shared" si="10"/>
        <v>1464.8399012746008</v>
      </c>
      <c r="I14" s="548">
        <f t="shared" si="10"/>
        <v>1488.3177498875916</v>
      </c>
      <c r="J14" s="548">
        <f t="shared" si="10"/>
        <v>1552.1665813577692</v>
      </c>
      <c r="K14" s="548">
        <f t="shared" si="10"/>
        <v>1626.6705772629425</v>
      </c>
      <c r="L14" s="548">
        <f t="shared" si="10"/>
        <v>1336.3867775649576</v>
      </c>
      <c r="M14" s="548">
        <f t="shared" si="10"/>
        <v>1389.8422486675561</v>
      </c>
      <c r="N14" s="548">
        <f t="shared" si="10"/>
        <v>1445.4359386142585</v>
      </c>
      <c r="O14" s="548">
        <f t="shared" si="10"/>
        <v>1500.3625042816004</v>
      </c>
      <c r="P14" s="548">
        <f t="shared" si="10"/>
        <v>1557.376279444301</v>
      </c>
      <c r="Q14" s="548">
        <f t="shared" si="10"/>
        <v>1613.441825504296</v>
      </c>
      <c r="R14" s="548">
        <f t="shared" si="10"/>
        <v>1671.5257312224508</v>
      </c>
      <c r="S14" s="548">
        <f t="shared" si="10"/>
        <v>1728.3576060840139</v>
      </c>
      <c r="T14" s="548">
        <f t="shared" si="10"/>
        <v>1787.1217646908706</v>
      </c>
      <c r="U14" s="548">
        <f t="shared" si="10"/>
        <v>1844.3096611609785</v>
      </c>
      <c r="V14" s="548">
        <f t="shared" si="10"/>
        <v>1903.3275703181298</v>
      </c>
      <c r="W14" s="548">
        <f t="shared" si="10"/>
        <v>1960.4273974276737</v>
      </c>
      <c r="X14" s="548">
        <f t="shared" si="10"/>
        <v>2019.2402193505038</v>
      </c>
      <c r="Y14" s="548">
        <f t="shared" si="10"/>
        <v>2075.7789454923181</v>
      </c>
      <c r="Z14" s="548">
        <f t="shared" si="10"/>
        <v>2133.9007559661031</v>
      </c>
      <c r="AA14" s="548">
        <f t="shared" si="10"/>
        <v>2189.3821756212219</v>
      </c>
      <c r="AB14" s="548">
        <f t="shared" si="10"/>
        <v>2246.3061121873734</v>
      </c>
      <c r="AC14" s="548">
        <f t="shared" si="10"/>
        <v>2300.2174588798707</v>
      </c>
      <c r="AD14" s="548">
        <f t="shared" si="10"/>
        <v>2350.8222429752277</v>
      </c>
      <c r="AE14" s="548">
        <f t="shared" si="10"/>
        <v>2402.5403323206833</v>
      </c>
      <c r="AF14" s="548">
        <f t="shared" si="10"/>
        <v>2450.5911389670969</v>
      </c>
      <c r="AH14" t="s">
        <v>612</v>
      </c>
      <c r="AI14"/>
      <c r="AJ14"/>
      <c r="AK14"/>
      <c r="AL14"/>
      <c r="AM14"/>
      <c r="AN14"/>
      <c r="AO14"/>
      <c r="AP14" s="12">
        <f>AP12/AP13</f>
        <v>-8.5123668129287997E-2</v>
      </c>
      <c r="AQ14" s="12">
        <f>AQ12/AQ13</f>
        <v>-5.765893187915435E-2</v>
      </c>
      <c r="AR14" s="12">
        <f>AR12/AR13</f>
        <v>-4.3806907917324729E-2</v>
      </c>
      <c r="AS14" s="12">
        <f>AS12/AS13</f>
        <v>-0.15969500839254644</v>
      </c>
    </row>
    <row r="15" spans="1:45" x14ac:dyDescent="0.25">
      <c r="A15" s="712"/>
      <c r="B15" s="295">
        <v>10</v>
      </c>
      <c r="C15" s="299" t="s">
        <v>287</v>
      </c>
      <c r="D15" s="533">
        <v>-181.48400000000001</v>
      </c>
      <c r="E15" s="533">
        <v>-474.56700000000001</v>
      </c>
      <c r="F15" s="533">
        <v>-340.61</v>
      </c>
      <c r="G15" s="533">
        <v>-271.63200000000001</v>
      </c>
      <c r="H15" s="540">
        <f>-H14*$D52</f>
        <v>-351.56157630590417</v>
      </c>
      <c r="I15" s="540">
        <f t="shared" ref="I15:AF15" si="11">-I14*$D52</f>
        <v>-357.19625997302199</v>
      </c>
      <c r="J15" s="540">
        <f t="shared" si="11"/>
        <v>-372.51997952586458</v>
      </c>
      <c r="K15" s="540">
        <f t="shared" si="11"/>
        <v>-390.40093854310618</v>
      </c>
      <c r="L15" s="540">
        <f t="shared" si="11"/>
        <v>-320.73282661558983</v>
      </c>
      <c r="M15" s="540">
        <f t="shared" si="11"/>
        <v>-333.56213968021342</v>
      </c>
      <c r="N15" s="540">
        <f t="shared" si="11"/>
        <v>-346.90462526742203</v>
      </c>
      <c r="O15" s="540">
        <f t="shared" si="11"/>
        <v>-360.08700102758411</v>
      </c>
      <c r="P15" s="540">
        <f t="shared" si="11"/>
        <v>-373.7703070666322</v>
      </c>
      <c r="Q15" s="540">
        <f t="shared" si="11"/>
        <v>-387.22603812103102</v>
      </c>
      <c r="R15" s="540">
        <f t="shared" si="11"/>
        <v>-401.16617549338815</v>
      </c>
      <c r="S15" s="540">
        <f t="shared" si="11"/>
        <v>-414.80582546016331</v>
      </c>
      <c r="T15" s="540">
        <f t="shared" si="11"/>
        <v>-428.9092235258089</v>
      </c>
      <c r="U15" s="540">
        <f t="shared" si="11"/>
        <v>-442.63431867863483</v>
      </c>
      <c r="V15" s="540">
        <f t="shared" si="11"/>
        <v>-456.79861687635116</v>
      </c>
      <c r="W15" s="540">
        <f t="shared" si="11"/>
        <v>-470.50257538264168</v>
      </c>
      <c r="X15" s="540">
        <f t="shared" si="11"/>
        <v>-484.61765264412088</v>
      </c>
      <c r="Y15" s="540">
        <f t="shared" si="11"/>
        <v>-498.18694691815631</v>
      </c>
      <c r="Z15" s="540">
        <f t="shared" si="11"/>
        <v>-512.13618143186477</v>
      </c>
      <c r="AA15" s="540">
        <f t="shared" si="11"/>
        <v>-525.45172214909326</v>
      </c>
      <c r="AB15" s="540">
        <f t="shared" si="11"/>
        <v>-539.11346692496954</v>
      </c>
      <c r="AC15" s="540">
        <f t="shared" si="11"/>
        <v>-552.05219013116891</v>
      </c>
      <c r="AD15" s="540">
        <f t="shared" si="11"/>
        <v>-564.1973383140546</v>
      </c>
      <c r="AE15" s="540">
        <f t="shared" si="11"/>
        <v>-576.60967975696394</v>
      </c>
      <c r="AF15" s="540">
        <f t="shared" si="11"/>
        <v>-588.14187335210318</v>
      </c>
      <c r="AH15" t="s">
        <v>613</v>
      </c>
      <c r="AI15" s="450"/>
      <c r="AJ15" s="450"/>
      <c r="AK15" s="450"/>
      <c r="AL15" s="450"/>
      <c r="AM15" s="450">
        <f t="shared" ref="AM15:AS15" si="12">AM12/AM13</f>
        <v>-6.7060611746253274E-2</v>
      </c>
      <c r="AN15" s="450">
        <f t="shared" si="12"/>
        <v>1.2940232772842159E-2</v>
      </c>
      <c r="AO15" s="450">
        <f t="shared" si="12"/>
        <v>-7.0467808020748549E-2</v>
      </c>
      <c r="AP15" s="450">
        <f t="shared" si="12"/>
        <v>-8.5123668129287997E-2</v>
      </c>
      <c r="AQ15" s="450">
        <f t="shared" si="12"/>
        <v>-5.765893187915435E-2</v>
      </c>
      <c r="AR15" s="450">
        <f t="shared" si="12"/>
        <v>-4.3806907917324729E-2</v>
      </c>
      <c r="AS15" s="450">
        <f t="shared" si="12"/>
        <v>-0.15969500839254644</v>
      </c>
    </row>
    <row r="16" spans="1:45" x14ac:dyDescent="0.25">
      <c r="A16" s="712"/>
      <c r="B16" s="295">
        <v>11</v>
      </c>
      <c r="C16" s="305" t="s">
        <v>288</v>
      </c>
      <c r="D16" s="524">
        <f>D14+D15</f>
        <v>530.25099999999998</v>
      </c>
      <c r="E16" s="524">
        <f>E15+E14</f>
        <v>1519.8710000000001</v>
      </c>
      <c r="F16" s="524">
        <f t="shared" ref="F16:AF16" si="13">F14+F15</f>
        <v>1043.1379999999999</v>
      </c>
      <c r="G16" s="524">
        <f t="shared" si="13"/>
        <v>1046.519</v>
      </c>
      <c r="H16" s="539">
        <f t="shared" si="13"/>
        <v>1113.2783249686968</v>
      </c>
      <c r="I16" s="548">
        <f t="shared" si="13"/>
        <v>1131.1214899145696</v>
      </c>
      <c r="J16" s="548">
        <f t="shared" si="13"/>
        <v>1179.6466018319047</v>
      </c>
      <c r="K16" s="548">
        <f t="shared" si="13"/>
        <v>1236.2696387198364</v>
      </c>
      <c r="L16" s="548">
        <f t="shared" si="13"/>
        <v>1015.6539509493678</v>
      </c>
      <c r="M16" s="548">
        <f t="shared" si="13"/>
        <v>1056.2801089873426</v>
      </c>
      <c r="N16" s="548">
        <f t="shared" si="13"/>
        <v>1098.5313133468364</v>
      </c>
      <c r="O16" s="548">
        <f t="shared" si="13"/>
        <v>1140.2755032540163</v>
      </c>
      <c r="P16" s="548">
        <f t="shared" si="13"/>
        <v>1183.6059723776689</v>
      </c>
      <c r="Q16" s="548">
        <f t="shared" si="13"/>
        <v>1226.215787383265</v>
      </c>
      <c r="R16" s="548">
        <f t="shared" si="13"/>
        <v>1270.3595557290625</v>
      </c>
      <c r="S16" s="548">
        <f t="shared" si="13"/>
        <v>1313.5517806238506</v>
      </c>
      <c r="T16" s="548">
        <f t="shared" si="13"/>
        <v>1358.2125411650618</v>
      </c>
      <c r="U16" s="548">
        <f t="shared" si="13"/>
        <v>1401.6753424823437</v>
      </c>
      <c r="V16" s="548">
        <f t="shared" si="13"/>
        <v>1446.5289534417786</v>
      </c>
      <c r="W16" s="548">
        <f t="shared" si="13"/>
        <v>1489.924822045032</v>
      </c>
      <c r="X16" s="548">
        <f t="shared" si="13"/>
        <v>1534.6225667063829</v>
      </c>
      <c r="Y16" s="548">
        <f t="shared" si="13"/>
        <v>1577.5919985741618</v>
      </c>
      <c r="Z16" s="548">
        <f t="shared" si="13"/>
        <v>1621.7645745342384</v>
      </c>
      <c r="AA16" s="548">
        <f t="shared" si="13"/>
        <v>1663.9304534721286</v>
      </c>
      <c r="AB16" s="548">
        <f t="shared" si="13"/>
        <v>1707.1926452624039</v>
      </c>
      <c r="AC16" s="548">
        <f t="shared" si="13"/>
        <v>1748.1652687487017</v>
      </c>
      <c r="AD16" s="548">
        <f t="shared" si="13"/>
        <v>1786.6249046611731</v>
      </c>
      <c r="AE16" s="548">
        <f t="shared" si="13"/>
        <v>1825.9306525637194</v>
      </c>
      <c r="AF16" s="548">
        <f t="shared" si="13"/>
        <v>1862.4492656149937</v>
      </c>
      <c r="AH16"/>
      <c r="AI16"/>
      <c r="AJ16"/>
      <c r="AK16"/>
      <c r="AL16" s="201" t="s">
        <v>614</v>
      </c>
      <c r="AM16" s="201"/>
      <c r="AN16" s="201"/>
      <c r="AO16" s="201"/>
      <c r="AP16" s="543">
        <f>SUM(AP14:AS14)/4</f>
        <v>-8.6571129079578368E-2</v>
      </c>
      <c r="AQ16"/>
      <c r="AR16"/>
      <c r="AS16"/>
    </row>
    <row r="17" spans="1:45" x14ac:dyDescent="0.25">
      <c r="C17" s="306"/>
      <c r="D17" s="307"/>
      <c r="E17" s="307"/>
      <c r="F17" s="307"/>
      <c r="G17" s="307"/>
      <c r="H17" s="308"/>
      <c r="I17" s="308"/>
      <c r="J17" s="308"/>
      <c r="K17" s="308"/>
      <c r="L17" s="308"/>
      <c r="M17" s="308"/>
      <c r="N17" s="308"/>
      <c r="O17" s="308"/>
      <c r="P17" s="308"/>
      <c r="Q17" s="308"/>
      <c r="R17" s="308"/>
      <c r="S17" s="308"/>
      <c r="T17" s="308"/>
      <c r="U17" s="308"/>
      <c r="V17" s="308"/>
      <c r="W17" s="308"/>
      <c r="X17" s="308"/>
      <c r="Y17" s="308"/>
      <c r="Z17" s="308"/>
      <c r="AA17" s="308"/>
      <c r="AB17" s="308"/>
      <c r="AC17" s="308"/>
      <c r="AD17" s="308"/>
      <c r="AE17" s="308"/>
      <c r="AF17" s="308"/>
      <c r="AH17"/>
      <c r="AI17"/>
      <c r="AJ17"/>
      <c r="AK17"/>
      <c r="AL17" s="201" t="s">
        <v>615</v>
      </c>
      <c r="AM17" s="549">
        <f>SUM(AM15:AS15)/7</f>
        <v>-6.7267529044639021E-2</v>
      </c>
      <c r="AN17" s="201"/>
      <c r="AO17" s="201"/>
      <c r="AP17" s="201"/>
      <c r="AQ17"/>
      <c r="AR17"/>
      <c r="AS17"/>
    </row>
    <row r="18" spans="1:45" x14ac:dyDescent="0.25">
      <c r="A18" s="705" t="s">
        <v>289</v>
      </c>
      <c r="B18" s="295">
        <v>12</v>
      </c>
      <c r="C18" s="299" t="s">
        <v>290</v>
      </c>
      <c r="D18" s="524">
        <v>831.596</v>
      </c>
      <c r="E18" s="524">
        <v>1889.6669999999999</v>
      </c>
      <c r="F18" s="524">
        <v>1451.269</v>
      </c>
      <c r="G18" s="524">
        <v>1455.491</v>
      </c>
      <c r="H18" s="560">
        <f t="shared" ref="H18:AF18" si="14">H11+H12+H13+H15</f>
        <v>1213.9723392136966</v>
      </c>
      <c r="I18" s="560">
        <f t="shared" si="14"/>
        <v>1235.3397946581445</v>
      </c>
      <c r="J18" s="560">
        <f t="shared" si="14"/>
        <v>1288.335871848979</v>
      </c>
      <c r="K18" s="560">
        <f t="shared" si="14"/>
        <v>1350.1759936977303</v>
      </c>
      <c r="L18" s="560">
        <f t="shared" si="14"/>
        <v>1134.3443728363332</v>
      </c>
      <c r="M18" s="560">
        <f t="shared" si="14"/>
        <v>1179.7181477497868</v>
      </c>
      <c r="N18" s="560">
        <f t="shared" si="14"/>
        <v>1226.9068736597783</v>
      </c>
      <c r="O18" s="560">
        <f t="shared" si="14"/>
        <v>1273.52933485885</v>
      </c>
      <c r="P18" s="560">
        <f t="shared" si="14"/>
        <v>1321.9234495834862</v>
      </c>
      <c r="Q18" s="560">
        <f t="shared" si="14"/>
        <v>1369.5126937684918</v>
      </c>
      <c r="R18" s="560">
        <f t="shared" si="14"/>
        <v>1418.8151507441576</v>
      </c>
      <c r="S18" s="560">
        <f t="shared" si="14"/>
        <v>1467.0548658694588</v>
      </c>
      <c r="T18" s="560">
        <f t="shared" si="14"/>
        <v>1516.9347313090207</v>
      </c>
      <c r="U18" s="560">
        <f t="shared" si="14"/>
        <v>1565.4766427109091</v>
      </c>
      <c r="V18" s="560">
        <f t="shared" si="14"/>
        <v>1615.5718952776581</v>
      </c>
      <c r="W18" s="560">
        <f t="shared" si="14"/>
        <v>1664.0390521359882</v>
      </c>
      <c r="X18" s="560">
        <f t="shared" si="14"/>
        <v>1713.9602237000672</v>
      </c>
      <c r="Y18" s="560">
        <f t="shared" si="14"/>
        <v>1761.9511099636695</v>
      </c>
      <c r="Z18" s="560">
        <f t="shared" si="14"/>
        <v>1811.2857410426523</v>
      </c>
      <c r="AA18" s="560">
        <f t="shared" si="14"/>
        <v>1858.3791703097613</v>
      </c>
      <c r="AB18" s="560">
        <f t="shared" si="14"/>
        <v>1906.6970287378153</v>
      </c>
      <c r="AC18" s="560">
        <f t="shared" si="14"/>
        <v>1952.4577574275231</v>
      </c>
      <c r="AD18" s="560">
        <f t="shared" si="14"/>
        <v>1995.4118280909286</v>
      </c>
      <c r="AE18" s="560">
        <f t="shared" si="14"/>
        <v>2039.3108883089294</v>
      </c>
      <c r="AF18" s="560">
        <f t="shared" si="14"/>
        <v>2080.0971060751081</v>
      </c>
    </row>
    <row r="19" spans="1:45" x14ac:dyDescent="0.25">
      <c r="A19" s="706"/>
      <c r="B19" s="295">
        <v>13</v>
      </c>
      <c r="C19" s="309" t="s">
        <v>291</v>
      </c>
      <c r="D19" s="533">
        <v>-50.177</v>
      </c>
      <c r="E19" s="536">
        <v>-52.8</v>
      </c>
      <c r="F19" s="533">
        <v>-50.603000000000002</v>
      </c>
      <c r="G19" s="533">
        <v>-57.284999999999997</v>
      </c>
      <c r="H19" s="552">
        <f t="shared" ref="H19:AF19" si="15">H10</f>
        <v>-60.416408546999989</v>
      </c>
      <c r="I19" s="552">
        <f t="shared" si="15"/>
        <v>-62.530982846144987</v>
      </c>
      <c r="J19" s="552">
        <f t="shared" si="15"/>
        <v>-65.213562010244601</v>
      </c>
      <c r="K19" s="552">
        <f t="shared" si="15"/>
        <v>-68.343812986736353</v>
      </c>
      <c r="L19" s="552">
        <f t="shared" si="15"/>
        <v>-71.21425313217928</v>
      </c>
      <c r="M19" s="552">
        <f t="shared" si="15"/>
        <v>-74.062823257466462</v>
      </c>
      <c r="N19" s="552">
        <f t="shared" si="15"/>
        <v>-77.025336187765106</v>
      </c>
      <c r="O19" s="552">
        <f t="shared" si="15"/>
        <v>-79.952298962900201</v>
      </c>
      <c r="P19" s="552">
        <f t="shared" si="15"/>
        <v>-82.990486323490401</v>
      </c>
      <c r="Q19" s="552">
        <f t="shared" si="15"/>
        <v>-85.978143831136052</v>
      </c>
      <c r="R19" s="552">
        <f t="shared" si="15"/>
        <v>-89.073357009056963</v>
      </c>
      <c r="S19" s="552">
        <f t="shared" si="15"/>
        <v>-92.101851147364897</v>
      </c>
      <c r="T19" s="552">
        <f t="shared" si="15"/>
        <v>-95.233314086375302</v>
      </c>
      <c r="U19" s="552">
        <f t="shared" si="15"/>
        <v>-98.280780137139317</v>
      </c>
      <c r="V19" s="552">
        <f t="shared" si="15"/>
        <v>-101.42576510152777</v>
      </c>
      <c r="W19" s="552">
        <f t="shared" si="15"/>
        <v>-104.46853805457361</v>
      </c>
      <c r="X19" s="552">
        <f t="shared" si="15"/>
        <v>-107.60259419621082</v>
      </c>
      <c r="Y19" s="552">
        <f t="shared" si="15"/>
        <v>-110.61546683370473</v>
      </c>
      <c r="Z19" s="552">
        <f t="shared" si="15"/>
        <v>-113.71269990504847</v>
      </c>
      <c r="AA19" s="552">
        <f t="shared" si="15"/>
        <v>-116.66923010257973</v>
      </c>
      <c r="AB19" s="552">
        <f t="shared" si="15"/>
        <v>-119.7026300852468</v>
      </c>
      <c r="AC19" s="552">
        <f t="shared" si="15"/>
        <v>-122.57549320729272</v>
      </c>
      <c r="AD19" s="552">
        <f t="shared" si="15"/>
        <v>-125.27215405785317</v>
      </c>
      <c r="AE19" s="552">
        <f t="shared" si="15"/>
        <v>-128.02814144712596</v>
      </c>
      <c r="AF19" s="552">
        <f t="shared" si="15"/>
        <v>-130.58870427606848</v>
      </c>
    </row>
    <row r="20" spans="1:45" x14ac:dyDescent="0.25">
      <c r="A20" s="706"/>
      <c r="B20" s="295">
        <v>14</v>
      </c>
      <c r="C20" s="309" t="s">
        <v>292</v>
      </c>
      <c r="D20" s="524">
        <v>670.99599999999998</v>
      </c>
      <c r="E20" s="533">
        <v>-325.59500000000003</v>
      </c>
      <c r="F20" s="533">
        <v>-579.99099999999999</v>
      </c>
      <c r="G20" s="524">
        <v>14.558999999999999</v>
      </c>
      <c r="H20" s="560">
        <f>$D56*(H6-G6)</f>
        <v>-551.8369574999997</v>
      </c>
      <c r="I20" s="560">
        <f>$D56*(I6-H6)</f>
        <v>-587.38174976249866</v>
      </c>
      <c r="J20" s="560">
        <f>$D56*(J6-I6)</f>
        <v>-745.1608789165607</v>
      </c>
      <c r="K20" s="560">
        <f>$D56*(K6-J6)</f>
        <v>-869.51416013659582</v>
      </c>
      <c r="L20" s="560">
        <f t="shared" ref="L20:AF20" si="16">$E56*(L6-K6)</f>
        <v>-797.34448484525728</v>
      </c>
      <c r="M20" s="560">
        <f t="shared" si="16"/>
        <v>-791.269479246439</v>
      </c>
      <c r="N20" s="560">
        <f t="shared" si="16"/>
        <v>-822.92025841629311</v>
      </c>
      <c r="O20" s="560">
        <f t="shared" si="16"/>
        <v>-813.04521531530099</v>
      </c>
      <c r="P20" s="560">
        <f t="shared" si="16"/>
        <v>-843.94093349727882</v>
      </c>
      <c r="Q20" s="560">
        <f t="shared" si="16"/>
        <v>-829.90486323490586</v>
      </c>
      <c r="R20" s="560">
        <f t="shared" si="16"/>
        <v>-859.78143831136094</v>
      </c>
      <c r="S20" s="560">
        <f t="shared" si="16"/>
        <v>-841.24837175220364</v>
      </c>
      <c r="T20" s="560">
        <f t="shared" si="16"/>
        <v>-869.85081639178134</v>
      </c>
      <c r="U20" s="560">
        <f t="shared" si="16"/>
        <v>-846.51834743444851</v>
      </c>
      <c r="V20" s="560">
        <f t="shared" si="16"/>
        <v>-873.60693455234923</v>
      </c>
      <c r="W20" s="560">
        <f t="shared" si="16"/>
        <v>-845.21470917939951</v>
      </c>
      <c r="X20" s="560">
        <f t="shared" si="16"/>
        <v>-870.57115045477985</v>
      </c>
      <c r="Y20" s="560">
        <f t="shared" si="16"/>
        <v>-836.90906597053072</v>
      </c>
      <c r="Z20" s="560">
        <f t="shared" si="16"/>
        <v>-860.34251981770467</v>
      </c>
      <c r="AA20" s="560">
        <f t="shared" si="16"/>
        <v>-821.25838820312765</v>
      </c>
      <c r="AB20" s="560">
        <f t="shared" si="16"/>
        <v>-842.61110629640825</v>
      </c>
      <c r="AC20" s="560">
        <f t="shared" si="16"/>
        <v>-798.01753390164777</v>
      </c>
      <c r="AD20" s="560">
        <f t="shared" si="16"/>
        <v>-749.07245848901312</v>
      </c>
      <c r="AE20" s="560">
        <f t="shared" si="16"/>
        <v>-765.552052575772</v>
      </c>
      <c r="AF20" s="560">
        <f t="shared" si="16"/>
        <v>-711.26745248403495</v>
      </c>
    </row>
    <row r="21" spans="1:45" x14ac:dyDescent="0.25">
      <c r="A21" s="706"/>
      <c r="B21" s="295">
        <v>15</v>
      </c>
      <c r="C21" s="310" t="s">
        <v>293</v>
      </c>
      <c r="D21" s="529">
        <f t="shared" ref="D21:AF21" si="17">D18-D19+D20</f>
        <v>1552.769</v>
      </c>
      <c r="E21" s="530">
        <f t="shared" si="17"/>
        <v>1616.8719999999998</v>
      </c>
      <c r="F21" s="529">
        <f t="shared" si="17"/>
        <v>921.88100000000009</v>
      </c>
      <c r="G21" s="529">
        <f t="shared" si="17"/>
        <v>1527.335</v>
      </c>
      <c r="H21" s="559">
        <f t="shared" si="17"/>
        <v>722.55179026069686</v>
      </c>
      <c r="I21" s="559">
        <f t="shared" si="17"/>
        <v>710.48902774179078</v>
      </c>
      <c r="J21" s="559">
        <f t="shared" si="17"/>
        <v>608.38855494266295</v>
      </c>
      <c r="K21" s="559">
        <f t="shared" si="17"/>
        <v>549.00564654787081</v>
      </c>
      <c r="L21" s="559">
        <f t="shared" si="17"/>
        <v>408.2141411232551</v>
      </c>
      <c r="M21" s="559">
        <f t="shared" si="17"/>
        <v>462.51149176081435</v>
      </c>
      <c r="N21" s="559">
        <f t="shared" si="17"/>
        <v>481.01195143125028</v>
      </c>
      <c r="O21" s="559">
        <f t="shared" si="17"/>
        <v>540.43641850644917</v>
      </c>
      <c r="P21" s="559">
        <f t="shared" si="17"/>
        <v>560.97300240969776</v>
      </c>
      <c r="Q21" s="559">
        <f t="shared" si="17"/>
        <v>625.58597436472201</v>
      </c>
      <c r="R21" s="559">
        <f t="shared" si="17"/>
        <v>648.10706944185358</v>
      </c>
      <c r="S21" s="559">
        <f t="shared" si="17"/>
        <v>717.90834526462004</v>
      </c>
      <c r="T21" s="559">
        <f t="shared" si="17"/>
        <v>742.31722900361456</v>
      </c>
      <c r="U21" s="559">
        <f t="shared" si="17"/>
        <v>817.23907541359995</v>
      </c>
      <c r="V21" s="559">
        <f t="shared" si="17"/>
        <v>843.39072582683661</v>
      </c>
      <c r="W21" s="559">
        <f t="shared" si="17"/>
        <v>923.29288101116231</v>
      </c>
      <c r="X21" s="559">
        <f t="shared" si="17"/>
        <v>950.99166744149807</v>
      </c>
      <c r="Y21" s="559">
        <f t="shared" si="17"/>
        <v>1035.6575108268435</v>
      </c>
      <c r="Z21" s="559">
        <f t="shared" si="17"/>
        <v>1064.6559211299962</v>
      </c>
      <c r="AA21" s="559">
        <f t="shared" si="17"/>
        <v>1153.7900122092135</v>
      </c>
      <c r="AB21" s="559">
        <f t="shared" si="17"/>
        <v>1183.7885525266538</v>
      </c>
      <c r="AC21" s="559">
        <f t="shared" si="17"/>
        <v>1277.0157167331681</v>
      </c>
      <c r="AD21" s="559">
        <f t="shared" si="17"/>
        <v>1371.6115236597684</v>
      </c>
      <c r="AE21" s="559">
        <f t="shared" si="17"/>
        <v>1401.7869771802834</v>
      </c>
      <c r="AF21" s="559">
        <f t="shared" si="17"/>
        <v>1499.4183578671418</v>
      </c>
    </row>
    <row r="22" spans="1:45" x14ac:dyDescent="0.25">
      <c r="A22" s="706"/>
      <c r="B22" s="295">
        <v>16</v>
      </c>
      <c r="C22" s="309" t="s">
        <v>294</v>
      </c>
      <c r="D22" s="533">
        <v>-224.02699999999999</v>
      </c>
      <c r="E22" s="533">
        <v>-308.26100000000002</v>
      </c>
      <c r="F22" s="533">
        <v>-364.07499999999999</v>
      </c>
      <c r="G22" s="533">
        <v>-587.42600000000004</v>
      </c>
      <c r="H22" s="553">
        <f>-$D$57*H6</f>
        <v>-402.77605697999996</v>
      </c>
      <c r="I22" s="553">
        <f t="shared" ref="I22:K22" si="18">-$D$57*I6</f>
        <v>-416.8732189742999</v>
      </c>
      <c r="J22" s="553">
        <f t="shared" si="18"/>
        <v>-434.7570800682974</v>
      </c>
      <c r="K22" s="553">
        <f t="shared" si="18"/>
        <v>-455.6254199115757</v>
      </c>
      <c r="L22" s="553">
        <f>-$E$57*L6</f>
        <v>-474.76168754786187</v>
      </c>
      <c r="M22" s="553">
        <f>-$E$57*M6</f>
        <v>-493.75215504977638</v>
      </c>
      <c r="N22" s="553">
        <f t="shared" ref="N22:AF22" si="19">-$E$57*N6</f>
        <v>-513.50224125176737</v>
      </c>
      <c r="O22" s="553">
        <f t="shared" si="19"/>
        <v>-533.01532641933466</v>
      </c>
      <c r="P22" s="553">
        <f t="shared" si="19"/>
        <v>-553.26990882326936</v>
      </c>
      <c r="Q22" s="553">
        <f t="shared" si="19"/>
        <v>-573.18762554090711</v>
      </c>
      <c r="R22" s="553">
        <f t="shared" si="19"/>
        <v>-593.82238006037971</v>
      </c>
      <c r="S22" s="553">
        <f t="shared" si="19"/>
        <v>-614.01234098243265</v>
      </c>
      <c r="T22" s="553">
        <f t="shared" si="19"/>
        <v>-634.88876057583536</v>
      </c>
      <c r="U22" s="553">
        <f t="shared" si="19"/>
        <v>-655.20520091426215</v>
      </c>
      <c r="V22" s="553">
        <f t="shared" si="19"/>
        <v>-676.17176734351847</v>
      </c>
      <c r="W22" s="553">
        <f t="shared" si="19"/>
        <v>-696.45692036382411</v>
      </c>
      <c r="X22" s="553">
        <f t="shared" si="19"/>
        <v>-717.35062797473881</v>
      </c>
      <c r="Y22" s="553">
        <f t="shared" si="19"/>
        <v>-737.43644555803155</v>
      </c>
      <c r="Z22" s="553">
        <f t="shared" si="19"/>
        <v>-758.0846660336565</v>
      </c>
      <c r="AA22" s="553">
        <f t="shared" si="19"/>
        <v>-777.79486735053149</v>
      </c>
      <c r="AB22" s="553">
        <f t="shared" si="19"/>
        <v>-798.01753390164538</v>
      </c>
      <c r="AC22" s="553">
        <f t="shared" si="19"/>
        <v>-817.16995471528492</v>
      </c>
      <c r="AD22" s="553">
        <f t="shared" si="19"/>
        <v>-835.14769371902116</v>
      </c>
      <c r="AE22" s="553">
        <f t="shared" si="19"/>
        <v>-853.52094298083978</v>
      </c>
      <c r="AF22" s="553">
        <f t="shared" si="19"/>
        <v>-870.59136184045656</v>
      </c>
    </row>
    <row r="23" spans="1:45" x14ac:dyDescent="0.25">
      <c r="A23" s="706"/>
      <c r="B23" s="295">
        <v>17</v>
      </c>
      <c r="C23" s="309" t="s">
        <v>295</v>
      </c>
      <c r="D23" s="533">
        <v>-0.13700000000000001</v>
      </c>
      <c r="E23" s="533">
        <v>-35.718000000000004</v>
      </c>
      <c r="F23" s="533">
        <v>-28.818999999999999</v>
      </c>
      <c r="G23" s="533">
        <v>-27.25</v>
      </c>
      <c r="H23" s="558">
        <v>0</v>
      </c>
      <c r="I23" s="558">
        <v>0</v>
      </c>
      <c r="J23" s="558">
        <v>0</v>
      </c>
      <c r="K23" s="558">
        <v>0</v>
      </c>
      <c r="L23" s="558">
        <v>0</v>
      </c>
      <c r="M23" s="558">
        <v>0</v>
      </c>
      <c r="N23" s="558">
        <v>0</v>
      </c>
      <c r="O23" s="558">
        <v>0</v>
      </c>
      <c r="P23" s="558">
        <v>0</v>
      </c>
      <c r="Q23" s="558">
        <v>0</v>
      </c>
      <c r="R23" s="558">
        <v>0</v>
      </c>
      <c r="S23" s="558">
        <v>0</v>
      </c>
      <c r="T23" s="558">
        <v>0</v>
      </c>
      <c r="U23" s="558">
        <v>0</v>
      </c>
      <c r="V23" s="558">
        <v>0</v>
      </c>
      <c r="W23" s="558">
        <v>0</v>
      </c>
      <c r="X23" s="558">
        <v>0</v>
      </c>
      <c r="Y23" s="558">
        <v>0</v>
      </c>
      <c r="Z23" s="558">
        <v>0</v>
      </c>
      <c r="AA23" s="558">
        <v>0</v>
      </c>
      <c r="AB23" s="558">
        <v>0</v>
      </c>
      <c r="AC23" s="558">
        <v>0</v>
      </c>
      <c r="AD23" s="558">
        <v>0</v>
      </c>
      <c r="AE23" s="558">
        <v>0</v>
      </c>
      <c r="AF23" s="558">
        <v>0</v>
      </c>
    </row>
    <row r="24" spans="1:45" x14ac:dyDescent="0.25">
      <c r="A24" s="706"/>
      <c r="B24" s="295">
        <v>18</v>
      </c>
      <c r="C24" s="310" t="s">
        <v>296</v>
      </c>
      <c r="D24" s="531">
        <f t="shared" ref="D24:AF24" si="20">D22+D23</f>
        <v>-224.16399999999999</v>
      </c>
      <c r="E24" s="531">
        <f t="shared" si="20"/>
        <v>-343.97900000000004</v>
      </c>
      <c r="F24" s="531">
        <f t="shared" si="20"/>
        <v>-392.89400000000001</v>
      </c>
      <c r="G24" s="531">
        <f t="shared" si="20"/>
        <v>-614.67600000000004</v>
      </c>
      <c r="H24" s="554">
        <f t="shared" si="20"/>
        <v>-402.77605697999996</v>
      </c>
      <c r="I24" s="554">
        <f t="shared" si="20"/>
        <v>-416.8732189742999</v>
      </c>
      <c r="J24" s="554">
        <f t="shared" si="20"/>
        <v>-434.7570800682974</v>
      </c>
      <c r="K24" s="554">
        <f t="shared" si="20"/>
        <v>-455.6254199115757</v>
      </c>
      <c r="L24" s="554">
        <f t="shared" si="20"/>
        <v>-474.76168754786187</v>
      </c>
      <c r="M24" s="554">
        <f t="shared" si="20"/>
        <v>-493.75215504977638</v>
      </c>
      <c r="N24" s="554">
        <f t="shared" si="20"/>
        <v>-513.50224125176737</v>
      </c>
      <c r="O24" s="554">
        <f t="shared" si="20"/>
        <v>-533.01532641933466</v>
      </c>
      <c r="P24" s="554">
        <f t="shared" si="20"/>
        <v>-553.26990882326936</v>
      </c>
      <c r="Q24" s="554">
        <f t="shared" si="20"/>
        <v>-573.18762554090711</v>
      </c>
      <c r="R24" s="554">
        <f t="shared" si="20"/>
        <v>-593.82238006037971</v>
      </c>
      <c r="S24" s="554">
        <f t="shared" si="20"/>
        <v>-614.01234098243265</v>
      </c>
      <c r="T24" s="554">
        <f t="shared" si="20"/>
        <v>-634.88876057583536</v>
      </c>
      <c r="U24" s="554">
        <f t="shared" si="20"/>
        <v>-655.20520091426215</v>
      </c>
      <c r="V24" s="554">
        <f t="shared" si="20"/>
        <v>-676.17176734351847</v>
      </c>
      <c r="W24" s="554">
        <f t="shared" si="20"/>
        <v>-696.45692036382411</v>
      </c>
      <c r="X24" s="554">
        <f t="shared" si="20"/>
        <v>-717.35062797473881</v>
      </c>
      <c r="Y24" s="554">
        <f t="shared" si="20"/>
        <v>-737.43644555803155</v>
      </c>
      <c r="Z24" s="554">
        <f t="shared" si="20"/>
        <v>-758.0846660336565</v>
      </c>
      <c r="AA24" s="554">
        <f t="shared" si="20"/>
        <v>-777.79486735053149</v>
      </c>
      <c r="AB24" s="554">
        <f t="shared" si="20"/>
        <v>-798.01753390164538</v>
      </c>
      <c r="AC24" s="554">
        <f t="shared" si="20"/>
        <v>-817.16995471528492</v>
      </c>
      <c r="AD24" s="554">
        <f t="shared" si="20"/>
        <v>-835.14769371902116</v>
      </c>
      <c r="AE24" s="554">
        <f t="shared" si="20"/>
        <v>-853.52094298083978</v>
      </c>
      <c r="AF24" s="554">
        <f t="shared" si="20"/>
        <v>-870.59136184045656</v>
      </c>
    </row>
    <row r="25" spans="1:45" s="298" customFormat="1" x14ac:dyDescent="0.25">
      <c r="A25" s="706"/>
      <c r="B25" s="295">
        <v>19</v>
      </c>
      <c r="C25" s="309" t="s">
        <v>297</v>
      </c>
      <c r="D25" s="534">
        <v>-0.82599999999999996</v>
      </c>
      <c r="E25" s="534">
        <v>-0.72599999999999998</v>
      </c>
      <c r="F25" s="534">
        <v>-0.74</v>
      </c>
      <c r="G25" s="534">
        <v>-0.82299999999999995</v>
      </c>
      <c r="H25" s="560">
        <v>0</v>
      </c>
      <c r="I25" s="560">
        <v>0</v>
      </c>
      <c r="J25" s="560">
        <v>0</v>
      </c>
      <c r="K25" s="560">
        <v>0</v>
      </c>
      <c r="L25" s="560">
        <v>0</v>
      </c>
      <c r="M25" s="560">
        <v>0</v>
      </c>
      <c r="N25" s="560">
        <v>0</v>
      </c>
      <c r="O25" s="560">
        <v>0</v>
      </c>
      <c r="P25" s="560">
        <v>0</v>
      </c>
      <c r="Q25" s="560">
        <v>0</v>
      </c>
      <c r="R25" s="560">
        <v>0</v>
      </c>
      <c r="S25" s="560">
        <v>0</v>
      </c>
      <c r="T25" s="560">
        <v>0</v>
      </c>
      <c r="U25" s="560">
        <v>0</v>
      </c>
      <c r="V25" s="560">
        <v>0</v>
      </c>
      <c r="W25" s="560">
        <v>0</v>
      </c>
      <c r="X25" s="560">
        <v>0</v>
      </c>
      <c r="Y25" s="560">
        <v>0</v>
      </c>
      <c r="Z25" s="560">
        <v>0</v>
      </c>
      <c r="AA25" s="560">
        <v>0</v>
      </c>
      <c r="AB25" s="560">
        <v>0</v>
      </c>
      <c r="AC25" s="560">
        <v>0</v>
      </c>
      <c r="AD25" s="560">
        <v>0</v>
      </c>
      <c r="AE25" s="560">
        <v>0</v>
      </c>
      <c r="AF25" s="560">
        <v>0</v>
      </c>
      <c r="AG25" s="311"/>
    </row>
    <row r="26" spans="1:45" x14ac:dyDescent="0.25">
      <c r="A26" s="706"/>
      <c r="B26" s="295">
        <v>20</v>
      </c>
      <c r="C26" s="312" t="s">
        <v>298</v>
      </c>
      <c r="D26" s="535">
        <v>172.447</v>
      </c>
      <c r="E26" s="535">
        <v>1481.403</v>
      </c>
      <c r="F26" s="534">
        <v>-515.86500000000001</v>
      </c>
      <c r="G26" s="534">
        <v>-0.13700000000000001</v>
      </c>
      <c r="H26" s="557">
        <v>300</v>
      </c>
      <c r="I26" s="557">
        <v>500</v>
      </c>
      <c r="J26" s="557">
        <v>600</v>
      </c>
      <c r="K26" s="557">
        <v>700</v>
      </c>
      <c r="L26" s="557">
        <v>700</v>
      </c>
      <c r="M26" s="557">
        <v>700</v>
      </c>
      <c r="N26" s="557">
        <v>700</v>
      </c>
      <c r="O26" s="557">
        <v>600</v>
      </c>
      <c r="P26" s="557">
        <v>700</v>
      </c>
      <c r="Q26" s="557">
        <v>700</v>
      </c>
      <c r="R26" s="557">
        <v>700</v>
      </c>
      <c r="S26" s="557">
        <v>700</v>
      </c>
      <c r="T26" s="557">
        <v>700</v>
      </c>
      <c r="U26" s="557">
        <v>700</v>
      </c>
      <c r="V26" s="557">
        <v>700</v>
      </c>
      <c r="W26" s="557">
        <v>700</v>
      </c>
      <c r="X26" s="557">
        <v>700</v>
      </c>
      <c r="Y26" s="557">
        <v>700</v>
      </c>
      <c r="Z26" s="557">
        <v>700</v>
      </c>
      <c r="AA26" s="557">
        <v>700</v>
      </c>
      <c r="AB26" s="557">
        <v>700</v>
      </c>
      <c r="AC26" s="557">
        <v>700</v>
      </c>
      <c r="AD26" s="557">
        <v>700</v>
      </c>
      <c r="AE26" s="557">
        <v>700</v>
      </c>
      <c r="AF26" s="557">
        <v>700</v>
      </c>
    </row>
    <row r="27" spans="1:45" x14ac:dyDescent="0.25">
      <c r="A27" s="706"/>
      <c r="B27" s="295">
        <v>21</v>
      </c>
      <c r="C27" s="309" t="s">
        <v>471</v>
      </c>
      <c r="D27" s="535">
        <v>138.631</v>
      </c>
      <c r="E27" s="534">
        <v>-1150.8820000000001</v>
      </c>
      <c r="F27" s="534">
        <v>-478.71100000000001</v>
      </c>
      <c r="G27" s="534">
        <v>-732.26599999999996</v>
      </c>
      <c r="H27" s="555">
        <f>H16*$D55</f>
        <v>-445.31132998747876</v>
      </c>
      <c r="I27" s="555">
        <f>I16*$D55</f>
        <v>-452.44859596582785</v>
      </c>
      <c r="J27" s="555">
        <f>J16*$D55</f>
        <v>-471.8586407327619</v>
      </c>
      <c r="K27" s="555">
        <f>K16*$D55</f>
        <v>-494.50785548793459</v>
      </c>
      <c r="L27" s="555">
        <f t="shared" ref="L27:AF27" si="21">L16*$E55</f>
        <v>-406.2615803797471</v>
      </c>
      <c r="M27" s="555">
        <f t="shared" si="21"/>
        <v>-422.51204359493704</v>
      </c>
      <c r="N27" s="555">
        <f t="shared" si="21"/>
        <v>-439.41252533873461</v>
      </c>
      <c r="O27" s="555">
        <f t="shared" si="21"/>
        <v>-456.11020130160654</v>
      </c>
      <c r="P27" s="555">
        <f t="shared" si="21"/>
        <v>-473.44238895106758</v>
      </c>
      <c r="Q27" s="555">
        <f t="shared" si="21"/>
        <v>-490.48631495330602</v>
      </c>
      <c r="R27" s="555">
        <f t="shared" si="21"/>
        <v>-508.14382229162504</v>
      </c>
      <c r="S27" s="555">
        <f t="shared" si="21"/>
        <v>-525.42071224954032</v>
      </c>
      <c r="T27" s="555">
        <f t="shared" si="21"/>
        <v>-543.28501646602479</v>
      </c>
      <c r="U27" s="555">
        <f t="shared" si="21"/>
        <v>-560.6701369929375</v>
      </c>
      <c r="V27" s="555">
        <f t="shared" si="21"/>
        <v>-578.61158137671146</v>
      </c>
      <c r="W27" s="555">
        <f t="shared" si="21"/>
        <v>-595.96992881801282</v>
      </c>
      <c r="X27" s="555">
        <f t="shared" si="21"/>
        <v>-613.84902668255324</v>
      </c>
      <c r="Y27" s="555">
        <f t="shared" si="21"/>
        <v>-631.03679942966482</v>
      </c>
      <c r="Z27" s="555">
        <f t="shared" si="21"/>
        <v>-648.70582981369535</v>
      </c>
      <c r="AA27" s="555">
        <f t="shared" si="21"/>
        <v>-665.5721813888515</v>
      </c>
      <c r="AB27" s="555">
        <f t="shared" si="21"/>
        <v>-682.87705810496163</v>
      </c>
      <c r="AC27" s="555">
        <f t="shared" si="21"/>
        <v>-699.26610749948077</v>
      </c>
      <c r="AD27" s="555">
        <f t="shared" si="21"/>
        <v>-714.64996186446933</v>
      </c>
      <c r="AE27" s="555">
        <f t="shared" si="21"/>
        <v>-730.37226102548777</v>
      </c>
      <c r="AF27" s="555">
        <f t="shared" si="21"/>
        <v>-744.97970624599748</v>
      </c>
    </row>
    <row r="28" spans="1:45" x14ac:dyDescent="0.25">
      <c r="A28" s="706"/>
      <c r="B28" s="295">
        <v>22</v>
      </c>
      <c r="C28" s="312" t="s">
        <v>299</v>
      </c>
      <c r="D28" s="534">
        <v>-107.404</v>
      </c>
      <c r="E28" s="534">
        <v>-602.96400000000006</v>
      </c>
      <c r="F28" s="534">
        <v>-163.08099999999999</v>
      </c>
      <c r="G28" s="534">
        <v>-351.20100000000002</v>
      </c>
      <c r="H28" s="553">
        <f>H16*$D58</f>
        <v>-300.58514774154816</v>
      </c>
      <c r="I28" s="553">
        <f>I16*$D58</f>
        <v>-305.40280227693381</v>
      </c>
      <c r="J28" s="553">
        <f>J16*$D58</f>
        <v>-318.50458249461428</v>
      </c>
      <c r="K28" s="553">
        <f>K16*$D58</f>
        <v>-333.79280245435586</v>
      </c>
      <c r="L28" s="553">
        <f t="shared" ref="L28:AF28" si="22">L16*$E58</f>
        <v>-253.91348773734194</v>
      </c>
      <c r="M28" s="553">
        <f t="shared" si="22"/>
        <v>-264.07002724683565</v>
      </c>
      <c r="N28" s="553">
        <f t="shared" si="22"/>
        <v>-274.63282833670911</v>
      </c>
      <c r="O28" s="553">
        <f t="shared" si="22"/>
        <v>-285.06887581350406</v>
      </c>
      <c r="P28" s="553">
        <f t="shared" si="22"/>
        <v>-295.90149309441722</v>
      </c>
      <c r="Q28" s="553">
        <f t="shared" si="22"/>
        <v>-306.55394684581626</v>
      </c>
      <c r="R28" s="553">
        <f t="shared" si="22"/>
        <v>-317.58988893226564</v>
      </c>
      <c r="S28" s="553">
        <f t="shared" si="22"/>
        <v>-328.38794515596265</v>
      </c>
      <c r="T28" s="553">
        <f t="shared" si="22"/>
        <v>-339.55313529126545</v>
      </c>
      <c r="U28" s="553">
        <f t="shared" si="22"/>
        <v>-350.41883562058592</v>
      </c>
      <c r="V28" s="553">
        <f t="shared" si="22"/>
        <v>-361.63223836044466</v>
      </c>
      <c r="W28" s="553">
        <f t="shared" si="22"/>
        <v>-372.481205511258</v>
      </c>
      <c r="X28" s="553">
        <f t="shared" si="22"/>
        <v>-383.65564167659574</v>
      </c>
      <c r="Y28" s="553">
        <f t="shared" si="22"/>
        <v>-394.39799964354046</v>
      </c>
      <c r="Z28" s="553">
        <f t="shared" si="22"/>
        <v>-405.44114363355959</v>
      </c>
      <c r="AA28" s="553">
        <f t="shared" si="22"/>
        <v>-415.98261336803216</v>
      </c>
      <c r="AB28" s="553">
        <f t="shared" si="22"/>
        <v>-426.79816131560096</v>
      </c>
      <c r="AC28" s="553">
        <f t="shared" si="22"/>
        <v>-437.04131718717542</v>
      </c>
      <c r="AD28" s="553">
        <f t="shared" si="22"/>
        <v>-446.65622616529328</v>
      </c>
      <c r="AE28" s="553">
        <f t="shared" si="22"/>
        <v>-456.48266314092984</v>
      </c>
      <c r="AF28" s="553">
        <f t="shared" si="22"/>
        <v>-465.61231640374842</v>
      </c>
    </row>
    <row r="29" spans="1:45" x14ac:dyDescent="0.25">
      <c r="A29" s="706"/>
      <c r="B29" s="295">
        <v>23</v>
      </c>
      <c r="C29" s="309" t="s">
        <v>300</v>
      </c>
      <c r="D29" s="535">
        <v>57.209000000000003</v>
      </c>
      <c r="E29" s="534">
        <v>-14.553000000000001</v>
      </c>
      <c r="F29" s="534">
        <v>-89.239000000000004</v>
      </c>
      <c r="G29" s="535">
        <v>48.679000000000002</v>
      </c>
      <c r="H29" s="560">
        <f t="shared" ref="H29:AF29" si="23">G29*(1+H5)</f>
        <v>50.334086000000006</v>
      </c>
      <c r="I29" s="560">
        <f t="shared" si="23"/>
        <v>52.095779010000001</v>
      </c>
      <c r="J29" s="560">
        <f t="shared" si="23"/>
        <v>54.330687929528999</v>
      </c>
      <c r="K29" s="560">
        <f t="shared" si="23"/>
        <v>56.938560950146396</v>
      </c>
      <c r="L29" s="560">
        <f t="shared" si="23"/>
        <v>59.32998051005255</v>
      </c>
      <c r="M29" s="560">
        <f t="shared" si="23"/>
        <v>61.703179730454657</v>
      </c>
      <c r="N29" s="560">
        <f t="shared" si="23"/>
        <v>64.171306919672844</v>
      </c>
      <c r="O29" s="560">
        <f t="shared" si="23"/>
        <v>66.609816582620411</v>
      </c>
      <c r="P29" s="560">
        <f t="shared" si="23"/>
        <v>69.140989612759995</v>
      </c>
      <c r="Q29" s="560">
        <f t="shared" si="23"/>
        <v>71.630065238819355</v>
      </c>
      <c r="R29" s="560">
        <f t="shared" si="23"/>
        <v>74.208747587416852</v>
      </c>
      <c r="S29" s="560">
        <f t="shared" si="23"/>
        <v>76.731845005389033</v>
      </c>
      <c r="T29" s="560">
        <f t="shared" si="23"/>
        <v>79.340727735572258</v>
      </c>
      <c r="U29" s="560">
        <f t="shared" si="23"/>
        <v>81.879631023110576</v>
      </c>
      <c r="V29" s="560">
        <f t="shared" si="23"/>
        <v>84.499779215850111</v>
      </c>
      <c r="W29" s="560">
        <f t="shared" si="23"/>
        <v>87.034772592325623</v>
      </c>
      <c r="X29" s="560">
        <f t="shared" si="23"/>
        <v>89.645815770095396</v>
      </c>
      <c r="Y29" s="560">
        <f t="shared" si="23"/>
        <v>92.155898611658074</v>
      </c>
      <c r="Z29" s="560">
        <f t="shared" si="23"/>
        <v>94.736263772784497</v>
      </c>
      <c r="AA29" s="560">
        <f t="shared" si="23"/>
        <v>97.199406630876894</v>
      </c>
      <c r="AB29" s="560">
        <f t="shared" si="23"/>
        <v>99.726591203279696</v>
      </c>
      <c r="AC29" s="560">
        <f t="shared" si="23"/>
        <v>102.12002939215841</v>
      </c>
      <c r="AD29" s="560">
        <f t="shared" si="23"/>
        <v>104.3666700387859</v>
      </c>
      <c r="AE29" s="560">
        <f t="shared" si="23"/>
        <v>106.66273677963919</v>
      </c>
      <c r="AF29" s="560">
        <f t="shared" si="23"/>
        <v>108.79599151523198</v>
      </c>
    </row>
    <row r="30" spans="1:45" x14ac:dyDescent="0.25">
      <c r="A30" s="707"/>
      <c r="B30" s="295">
        <v>24</v>
      </c>
      <c r="C30" s="310" t="s">
        <v>301</v>
      </c>
      <c r="D30" s="529">
        <v>260.05700000000002</v>
      </c>
      <c r="E30" s="532">
        <f t="shared" ref="E30:AF30" si="24">SUM(E25:E29)</f>
        <v>-287.72200000000021</v>
      </c>
      <c r="F30" s="532">
        <f t="shared" si="24"/>
        <v>-1247.636</v>
      </c>
      <c r="G30" s="532">
        <f t="shared" si="24"/>
        <v>-1035.748</v>
      </c>
      <c r="H30" s="554">
        <f t="shared" si="24"/>
        <v>-395.5623917290269</v>
      </c>
      <c r="I30" s="554">
        <f t="shared" si="24"/>
        <v>-205.75561923276166</v>
      </c>
      <c r="J30" s="554">
        <f t="shared" si="24"/>
        <v>-136.03253529784718</v>
      </c>
      <c r="K30" s="554">
        <f t="shared" si="24"/>
        <v>-71.36209699214406</v>
      </c>
      <c r="L30" s="554">
        <f t="shared" si="24"/>
        <v>99.15491239296351</v>
      </c>
      <c r="M30" s="554">
        <f t="shared" si="24"/>
        <v>75.12110888868196</v>
      </c>
      <c r="N30" s="554">
        <f t="shared" si="24"/>
        <v>50.125953244229123</v>
      </c>
      <c r="O30" s="554">
        <f t="shared" si="24"/>
        <v>-74.56926053249019</v>
      </c>
      <c r="P30" s="554">
        <f t="shared" si="24"/>
        <v>-0.20289243272480917</v>
      </c>
      <c r="Q30" s="554">
        <f t="shared" si="24"/>
        <v>-25.410196560302921</v>
      </c>
      <c r="R30" s="554">
        <f t="shared" si="24"/>
        <v>-51.524963636473828</v>
      </c>
      <c r="S30" s="554">
        <f t="shared" si="24"/>
        <v>-77.076812400113937</v>
      </c>
      <c r="T30" s="554">
        <f t="shared" si="24"/>
        <v>-103.49742402171798</v>
      </c>
      <c r="U30" s="554">
        <f t="shared" si="24"/>
        <v>-129.20934159041286</v>
      </c>
      <c r="V30" s="554">
        <f t="shared" si="24"/>
        <v>-155.744040521306</v>
      </c>
      <c r="W30" s="554">
        <f t="shared" si="24"/>
        <v>-181.41636173694519</v>
      </c>
      <c r="X30" s="554">
        <f t="shared" si="24"/>
        <v>-207.85885258905358</v>
      </c>
      <c r="Y30" s="554">
        <f t="shared" si="24"/>
        <v>-233.27890046154721</v>
      </c>
      <c r="Z30" s="554">
        <f t="shared" si="24"/>
        <v>-259.41070967447047</v>
      </c>
      <c r="AA30" s="554">
        <f t="shared" si="24"/>
        <v>-284.3553881260068</v>
      </c>
      <c r="AB30" s="554">
        <f t="shared" si="24"/>
        <v>-309.94862821728293</v>
      </c>
      <c r="AC30" s="554">
        <f t="shared" si="24"/>
        <v>-334.18739529449778</v>
      </c>
      <c r="AD30" s="554">
        <f t="shared" si="24"/>
        <v>-356.9395179909767</v>
      </c>
      <c r="AE30" s="554">
        <f t="shared" si="24"/>
        <v>-380.19218738677841</v>
      </c>
      <c r="AF30" s="554">
        <f t="shared" si="24"/>
        <v>-401.7960311345139</v>
      </c>
    </row>
    <row r="31" spans="1:45" x14ac:dyDescent="0.25">
      <c r="C31" s="306"/>
      <c r="D31" s="307"/>
      <c r="E31" s="307"/>
      <c r="F31" s="307"/>
      <c r="G31" s="307"/>
      <c r="H31" s="308"/>
      <c r="I31" s="308"/>
      <c r="J31" s="308"/>
      <c r="K31" s="308"/>
      <c r="L31" s="308"/>
      <c r="M31" s="308"/>
      <c r="N31" s="308"/>
      <c r="O31" s="308"/>
      <c r="P31" s="308"/>
      <c r="Q31" s="308"/>
      <c r="R31" s="308"/>
      <c r="S31" s="308"/>
      <c r="T31" s="308"/>
      <c r="U31" s="308"/>
      <c r="V31" s="308"/>
      <c r="W31" s="308"/>
      <c r="X31" s="308"/>
      <c r="Y31" s="308"/>
      <c r="Z31" s="308"/>
      <c r="AA31" s="308"/>
      <c r="AB31" s="308"/>
      <c r="AC31" s="308"/>
      <c r="AD31" s="308"/>
      <c r="AE31" s="308"/>
      <c r="AF31" s="308"/>
    </row>
    <row r="32" spans="1:45" x14ac:dyDescent="0.25">
      <c r="A32" s="713" t="s">
        <v>302</v>
      </c>
      <c r="B32" s="295">
        <v>25</v>
      </c>
      <c r="C32" s="313" t="s">
        <v>303</v>
      </c>
      <c r="D32" s="446">
        <f t="shared" ref="D32:I32" si="25">D21+D24+D25+D26+D29</f>
        <v>1557.4350000000002</v>
      </c>
      <c r="E32" s="446">
        <f t="shared" si="25"/>
        <v>2739.0169999999998</v>
      </c>
      <c r="F32" s="446">
        <f t="shared" si="25"/>
        <v>-76.856999999999942</v>
      </c>
      <c r="G32" s="446">
        <f t="shared" si="25"/>
        <v>960.37800000000004</v>
      </c>
      <c r="H32" s="314">
        <f t="shared" si="25"/>
        <v>670.1098192806968</v>
      </c>
      <c r="I32" s="314">
        <f t="shared" si="25"/>
        <v>845.71158777749088</v>
      </c>
      <c r="J32" s="314">
        <f t="shared" ref="J32:AF32" si="26">J21+J24+J25+J26+J29</f>
        <v>827.96216280389444</v>
      </c>
      <c r="K32" s="314">
        <f t="shared" si="26"/>
        <v>850.31878758644154</v>
      </c>
      <c r="L32" s="314">
        <f t="shared" si="26"/>
        <v>692.78243408544586</v>
      </c>
      <c r="M32" s="314">
        <f t="shared" si="26"/>
        <v>730.46251644149265</v>
      </c>
      <c r="N32" s="314">
        <f t="shared" si="26"/>
        <v>731.68101709915572</v>
      </c>
      <c r="O32" s="314">
        <f t="shared" si="26"/>
        <v>674.03090866973491</v>
      </c>
      <c r="P32" s="314">
        <f t="shared" si="26"/>
        <v>776.84408319918839</v>
      </c>
      <c r="Q32" s="314">
        <f t="shared" si="26"/>
        <v>824.02841406263428</v>
      </c>
      <c r="R32" s="314">
        <f t="shared" si="26"/>
        <v>828.49343696889071</v>
      </c>
      <c r="S32" s="314">
        <f t="shared" si="26"/>
        <v>880.6278492875764</v>
      </c>
      <c r="T32" s="314">
        <f t="shared" si="26"/>
        <v>886.76919616335147</v>
      </c>
      <c r="U32" s="314">
        <f t="shared" si="26"/>
        <v>943.91350552244842</v>
      </c>
      <c r="V32" s="314">
        <f t="shared" si="26"/>
        <v>951.71873769916829</v>
      </c>
      <c r="W32" s="314">
        <f t="shared" si="26"/>
        <v>1013.8707332396639</v>
      </c>
      <c r="X32" s="314">
        <f t="shared" si="26"/>
        <v>1023.2868552368546</v>
      </c>
      <c r="Y32" s="314">
        <f t="shared" si="26"/>
        <v>1090.3769638804699</v>
      </c>
      <c r="Z32" s="314">
        <f t="shared" si="26"/>
        <v>1101.3075188691241</v>
      </c>
      <c r="AA32" s="314">
        <f t="shared" si="26"/>
        <v>1173.194551489559</v>
      </c>
      <c r="AB32" s="314">
        <f t="shared" si="26"/>
        <v>1185.497609828288</v>
      </c>
      <c r="AC32" s="314">
        <f t="shared" si="26"/>
        <v>1261.9657914100417</v>
      </c>
      <c r="AD32" s="314">
        <f t="shared" si="26"/>
        <v>1340.8304999795332</v>
      </c>
      <c r="AE32" s="314">
        <f t="shared" si="26"/>
        <v>1354.9287709790829</v>
      </c>
      <c r="AF32" s="314">
        <f t="shared" si="26"/>
        <v>1437.6229875419172</v>
      </c>
    </row>
    <row r="33" spans="1:32" x14ac:dyDescent="0.25">
      <c r="A33" s="714"/>
      <c r="B33" s="295">
        <v>26</v>
      </c>
      <c r="C33" s="313" t="s">
        <v>304</v>
      </c>
      <c r="D33" s="446">
        <f>-1*(D27+D28)</f>
        <v>-31.227000000000004</v>
      </c>
      <c r="E33" s="446">
        <f>-1*(E27+E28)</f>
        <v>1753.846</v>
      </c>
      <c r="F33" s="446">
        <f>-1*(F27+F28)</f>
        <v>641.79200000000003</v>
      </c>
      <c r="G33" s="446">
        <f t="shared" ref="G33:AE33" si="27">-1*(G27+G28)</f>
        <v>1083.4670000000001</v>
      </c>
      <c r="H33" s="315">
        <f>-1*(H27+H28)</f>
        <v>745.89647772902686</v>
      </c>
      <c r="I33" s="315">
        <f t="shared" si="27"/>
        <v>757.85139824276166</v>
      </c>
      <c r="J33" s="315">
        <f t="shared" si="27"/>
        <v>790.36322322737624</v>
      </c>
      <c r="K33" s="315">
        <f t="shared" si="27"/>
        <v>828.3006579422904</v>
      </c>
      <c r="L33" s="315">
        <f t="shared" si="27"/>
        <v>660.17506811708904</v>
      </c>
      <c r="M33" s="315">
        <f t="shared" si="27"/>
        <v>686.58207084177275</v>
      </c>
      <c r="N33" s="315">
        <f t="shared" si="27"/>
        <v>714.04535367544372</v>
      </c>
      <c r="O33" s="315">
        <f t="shared" si="27"/>
        <v>741.17907711511066</v>
      </c>
      <c r="P33" s="315">
        <f t="shared" si="27"/>
        <v>769.34388204548486</v>
      </c>
      <c r="Q33" s="315">
        <f t="shared" si="27"/>
        <v>797.04026179912228</v>
      </c>
      <c r="R33" s="315">
        <f t="shared" si="27"/>
        <v>825.73371122389062</v>
      </c>
      <c r="S33" s="315">
        <f t="shared" si="27"/>
        <v>853.80865740550303</v>
      </c>
      <c r="T33" s="315">
        <f t="shared" si="27"/>
        <v>882.83815175729023</v>
      </c>
      <c r="U33" s="315">
        <f t="shared" si="27"/>
        <v>911.08897261352342</v>
      </c>
      <c r="V33" s="315">
        <f t="shared" si="27"/>
        <v>940.24381973715617</v>
      </c>
      <c r="W33" s="315">
        <f t="shared" si="27"/>
        <v>968.45113432927087</v>
      </c>
      <c r="X33" s="315">
        <f t="shared" si="27"/>
        <v>997.50466835914904</v>
      </c>
      <c r="Y33" s="315">
        <f t="shared" si="27"/>
        <v>1025.4347990732053</v>
      </c>
      <c r="Z33" s="315">
        <f t="shared" si="27"/>
        <v>1054.1469734472548</v>
      </c>
      <c r="AA33" s="315">
        <f t="shared" si="27"/>
        <v>1081.5547947568837</v>
      </c>
      <c r="AB33" s="315">
        <f t="shared" si="27"/>
        <v>1109.6752194205626</v>
      </c>
      <c r="AC33" s="315">
        <f t="shared" si="27"/>
        <v>1136.3074246866563</v>
      </c>
      <c r="AD33" s="315">
        <f t="shared" si="27"/>
        <v>1161.3061880297626</v>
      </c>
      <c r="AE33" s="315">
        <f t="shared" si="27"/>
        <v>1186.8549241664177</v>
      </c>
      <c r="AF33" s="315">
        <f>-1*(AF27+AF28)</f>
        <v>1210.592022649746</v>
      </c>
    </row>
    <row r="34" spans="1:32" x14ac:dyDescent="0.25">
      <c r="A34" s="715"/>
      <c r="B34" s="295">
        <v>27</v>
      </c>
      <c r="C34" s="313" t="s">
        <v>305</v>
      </c>
      <c r="D34" s="447">
        <f>D32-D33</f>
        <v>1588.6620000000003</v>
      </c>
      <c r="E34" s="447">
        <f>E32-E33</f>
        <v>985.17099999999982</v>
      </c>
      <c r="F34" s="448">
        <f>F32-F33</f>
        <v>-718.649</v>
      </c>
      <c r="G34" s="448">
        <f>G32-G33</f>
        <v>-123.08900000000006</v>
      </c>
      <c r="H34" s="315">
        <f t="shared" ref="H34:AE34" si="28">H32-H33</f>
        <v>-75.786658448330058</v>
      </c>
      <c r="I34" s="315">
        <f>I32-I33</f>
        <v>87.860189534729216</v>
      </c>
      <c r="J34" s="315">
        <f t="shared" si="28"/>
        <v>37.598939576518205</v>
      </c>
      <c r="K34" s="315">
        <f t="shared" si="28"/>
        <v>22.018129644151145</v>
      </c>
      <c r="L34" s="315">
        <f t="shared" si="28"/>
        <v>32.607365968356817</v>
      </c>
      <c r="M34" s="315">
        <f t="shared" si="28"/>
        <v>43.880445599719906</v>
      </c>
      <c r="N34" s="315">
        <f t="shared" si="28"/>
        <v>17.635663423712003</v>
      </c>
      <c r="O34" s="315">
        <f t="shared" si="28"/>
        <v>-67.148168445375745</v>
      </c>
      <c r="P34" s="316">
        <f t="shared" si="28"/>
        <v>7.5002011537035287</v>
      </c>
      <c r="Q34" s="316">
        <f t="shared" si="28"/>
        <v>26.988152263512006</v>
      </c>
      <c r="R34" s="316">
        <f t="shared" si="28"/>
        <v>2.7597257450000825</v>
      </c>
      <c r="S34" s="316">
        <f t="shared" si="28"/>
        <v>26.819191882073369</v>
      </c>
      <c r="T34" s="316">
        <f t="shared" si="28"/>
        <v>3.9310444060612326</v>
      </c>
      <c r="U34" s="316">
        <f t="shared" si="28"/>
        <v>32.824532908924994</v>
      </c>
      <c r="V34" s="316">
        <f>V32-V33</f>
        <v>11.474917962012114</v>
      </c>
      <c r="W34" s="316">
        <f t="shared" si="28"/>
        <v>45.419598910393006</v>
      </c>
      <c r="X34" s="316">
        <f t="shared" si="28"/>
        <v>25.782186877705612</v>
      </c>
      <c r="Y34" s="316">
        <f t="shared" si="28"/>
        <v>64.942164807264589</v>
      </c>
      <c r="Z34" s="316">
        <f t="shared" si="28"/>
        <v>47.160545421869301</v>
      </c>
      <c r="AA34" s="315">
        <f t="shared" si="28"/>
        <v>91.639756732675323</v>
      </c>
      <c r="AB34" s="315">
        <f t="shared" si="28"/>
        <v>75.822390407725379</v>
      </c>
      <c r="AC34" s="316">
        <f t="shared" si="28"/>
        <v>125.65836672338537</v>
      </c>
      <c r="AD34" s="316">
        <f t="shared" si="28"/>
        <v>179.52431194977066</v>
      </c>
      <c r="AE34" s="316">
        <f t="shared" si="28"/>
        <v>168.07384681266512</v>
      </c>
      <c r="AF34" s="316">
        <f>AF32-AF33</f>
        <v>227.03096489217114</v>
      </c>
    </row>
    <row r="36" spans="1:32" x14ac:dyDescent="0.25">
      <c r="A36" s="716" t="s">
        <v>306</v>
      </c>
      <c r="B36" s="317">
        <v>28</v>
      </c>
      <c r="C36" s="313" t="s">
        <v>307</v>
      </c>
      <c r="D36" s="445">
        <v>1658.067</v>
      </c>
      <c r="E36" s="300">
        <f t="shared" ref="E36" si="29">D36+E34</f>
        <v>2643.2379999999998</v>
      </c>
      <c r="F36" s="300">
        <f t="shared" ref="F36" si="30">E36+F34</f>
        <v>1924.5889999999999</v>
      </c>
      <c r="G36" s="300">
        <f>F36+G34</f>
        <v>1801.5</v>
      </c>
      <c r="H36" s="300">
        <f t="shared" ref="H36:AD36" si="31">G36+H34</f>
        <v>1725.7133415516701</v>
      </c>
      <c r="I36" s="300">
        <f t="shared" si="31"/>
        <v>1813.5735310863993</v>
      </c>
      <c r="J36" s="300">
        <f t="shared" si="31"/>
        <v>1851.1724706629175</v>
      </c>
      <c r="K36" s="300">
        <f t="shared" si="31"/>
        <v>1873.1906003070685</v>
      </c>
      <c r="L36" s="300">
        <f t="shared" si="31"/>
        <v>1905.7979662754253</v>
      </c>
      <c r="M36" s="300">
        <f t="shared" si="31"/>
        <v>1949.6784118751452</v>
      </c>
      <c r="N36" s="300">
        <f t="shared" si="31"/>
        <v>1967.3140752988572</v>
      </c>
      <c r="O36" s="300">
        <f t="shared" si="31"/>
        <v>1900.1659068534814</v>
      </c>
      <c r="P36" s="300">
        <f t="shared" si="31"/>
        <v>1907.6661080071849</v>
      </c>
      <c r="Q36" s="300">
        <f>P36+Q34</f>
        <v>1934.6542602706968</v>
      </c>
      <c r="R36" s="300">
        <f t="shared" si="31"/>
        <v>1937.413986015697</v>
      </c>
      <c r="S36" s="300">
        <f t="shared" si="31"/>
        <v>1964.2331778977705</v>
      </c>
      <c r="T36" s="300">
        <f t="shared" si="31"/>
        <v>1968.1642223038316</v>
      </c>
      <c r="U36" s="300">
        <f t="shared" si="31"/>
        <v>2000.9887552127566</v>
      </c>
      <c r="V36" s="300">
        <f t="shared" si="31"/>
        <v>2012.4636731747687</v>
      </c>
      <c r="W36" s="300">
        <f t="shared" si="31"/>
        <v>2057.8832720851615</v>
      </c>
      <c r="X36" s="300">
        <f t="shared" si="31"/>
        <v>2083.665458962867</v>
      </c>
      <c r="Y36" s="300">
        <f t="shared" si="31"/>
        <v>2148.6076237701318</v>
      </c>
      <c r="Z36" s="300">
        <f t="shared" si="31"/>
        <v>2195.7681691920011</v>
      </c>
      <c r="AA36" s="300">
        <f t="shared" si="31"/>
        <v>2287.4079259246764</v>
      </c>
      <c r="AB36" s="300">
        <f t="shared" si="31"/>
        <v>2363.2303163324018</v>
      </c>
      <c r="AC36" s="300">
        <f t="shared" si="31"/>
        <v>2488.8886830557872</v>
      </c>
      <c r="AD36" s="300">
        <f t="shared" si="31"/>
        <v>2668.4129950055576</v>
      </c>
      <c r="AE36" s="300">
        <f>AD36+AE34</f>
        <v>2836.4868418182227</v>
      </c>
      <c r="AF36" s="300">
        <f>AE36+AF34</f>
        <v>3063.5178067103939</v>
      </c>
    </row>
    <row r="37" spans="1:32" x14ac:dyDescent="0.25">
      <c r="A37" s="716"/>
      <c r="B37" s="318">
        <v>29</v>
      </c>
      <c r="C37" s="313" t="s">
        <v>308</v>
      </c>
      <c r="D37" s="408">
        <f>Cifras_en_Millones!F60</f>
        <v>4967.7849999999999</v>
      </c>
      <c r="E37" s="408">
        <f>Cifras_en_Millones!E60</f>
        <v>6425.1230000000014</v>
      </c>
      <c r="F37" s="408">
        <f>Cifras_en_Millones!D60</f>
        <v>5949.5280000000002</v>
      </c>
      <c r="G37" s="408">
        <f>Cifras_en_Millones!C60</f>
        <v>6157.57</v>
      </c>
      <c r="H37" s="300">
        <f t="shared" ref="H37:AF37" si="32">G37</f>
        <v>6157.57</v>
      </c>
      <c r="I37" s="300">
        <f t="shared" si="32"/>
        <v>6157.57</v>
      </c>
      <c r="J37" s="300">
        <f t="shared" si="32"/>
        <v>6157.57</v>
      </c>
      <c r="K37" s="300">
        <f t="shared" si="32"/>
        <v>6157.57</v>
      </c>
      <c r="L37" s="300">
        <f t="shared" si="32"/>
        <v>6157.57</v>
      </c>
      <c r="M37" s="300">
        <f t="shared" si="32"/>
        <v>6157.57</v>
      </c>
      <c r="N37" s="300">
        <f t="shared" si="32"/>
        <v>6157.57</v>
      </c>
      <c r="O37" s="300">
        <f t="shared" si="32"/>
        <v>6157.57</v>
      </c>
      <c r="P37" s="300">
        <f t="shared" si="32"/>
        <v>6157.57</v>
      </c>
      <c r="Q37" s="300">
        <f t="shared" si="32"/>
        <v>6157.57</v>
      </c>
      <c r="R37" s="300">
        <f t="shared" si="32"/>
        <v>6157.57</v>
      </c>
      <c r="S37" s="300">
        <f t="shared" si="32"/>
        <v>6157.57</v>
      </c>
      <c r="T37" s="300">
        <f t="shared" si="32"/>
        <v>6157.57</v>
      </c>
      <c r="U37" s="300">
        <f t="shared" si="32"/>
        <v>6157.57</v>
      </c>
      <c r="V37" s="300">
        <f t="shared" si="32"/>
        <v>6157.57</v>
      </c>
      <c r="W37" s="300">
        <f t="shared" si="32"/>
        <v>6157.57</v>
      </c>
      <c r="X37" s="300">
        <f t="shared" si="32"/>
        <v>6157.57</v>
      </c>
      <c r="Y37" s="300">
        <f t="shared" si="32"/>
        <v>6157.57</v>
      </c>
      <c r="Z37" s="300">
        <f t="shared" si="32"/>
        <v>6157.57</v>
      </c>
      <c r="AA37" s="300">
        <f t="shared" si="32"/>
        <v>6157.57</v>
      </c>
      <c r="AB37" s="300">
        <f t="shared" si="32"/>
        <v>6157.57</v>
      </c>
      <c r="AC37" s="300">
        <f t="shared" si="32"/>
        <v>6157.57</v>
      </c>
      <c r="AD37" s="300">
        <f t="shared" si="32"/>
        <v>6157.57</v>
      </c>
      <c r="AE37" s="300">
        <f t="shared" si="32"/>
        <v>6157.57</v>
      </c>
      <c r="AF37" s="300">
        <f t="shared" si="32"/>
        <v>6157.57</v>
      </c>
    </row>
    <row r="38" spans="1:32" x14ac:dyDescent="0.25">
      <c r="A38" s="716"/>
      <c r="B38" s="320">
        <v>30</v>
      </c>
      <c r="C38" s="313" t="s">
        <v>309</v>
      </c>
      <c r="D38" s="319"/>
      <c r="E38" s="319"/>
      <c r="F38" s="300"/>
      <c r="G38" s="321">
        <f t="shared" ref="G38:AF38" si="33">1/((1+$D$47)^G3)</f>
        <v>1</v>
      </c>
      <c r="H38" s="321">
        <f>1/((1+$D$47)^H3)</f>
        <v>0.97868599929760469</v>
      </c>
      <c r="I38" s="321">
        <f t="shared" si="33"/>
        <v>0.89787706357578423</v>
      </c>
      <c r="J38" s="321">
        <f t="shared" si="33"/>
        <v>0.82374042529888447</v>
      </c>
      <c r="K38" s="321">
        <f t="shared" si="33"/>
        <v>0.75572516082466457</v>
      </c>
      <c r="L38" s="321">
        <f t="shared" si="33"/>
        <v>0.69332583561895833</v>
      </c>
      <c r="M38" s="321">
        <f t="shared" si="33"/>
        <v>0.63607874827427369</v>
      </c>
      <c r="N38" s="321">
        <f t="shared" si="33"/>
        <v>0.58355848465529681</v>
      </c>
      <c r="O38" s="321">
        <f t="shared" si="33"/>
        <v>0.5353747565644924</v>
      </c>
      <c r="P38" s="321">
        <f t="shared" si="33"/>
        <v>0.49116950143531413</v>
      </c>
      <c r="Q38" s="321">
        <f t="shared" si="33"/>
        <v>0.45061422150028818</v>
      </c>
      <c r="R38" s="321">
        <f t="shared" si="33"/>
        <v>0.41340754266081486</v>
      </c>
      <c r="S38" s="321">
        <f t="shared" si="33"/>
        <v>0.37927297491817874</v>
      </c>
      <c r="T38" s="321">
        <f t="shared" si="33"/>
        <v>0.3479568577230997</v>
      </c>
      <c r="U38" s="321">
        <f t="shared" si="33"/>
        <v>0.31922647497532075</v>
      </c>
      <c r="V38" s="321">
        <f t="shared" si="33"/>
        <v>0.29286832566543186</v>
      </c>
      <c r="W38" s="321">
        <f t="shared" si="33"/>
        <v>0.26868653730773573</v>
      </c>
      <c r="X38" s="321">
        <f t="shared" si="33"/>
        <v>0.24650141037406939</v>
      </c>
      <c r="Y38" s="321">
        <f t="shared" si="33"/>
        <v>0.22614808291199029</v>
      </c>
      <c r="Z38" s="321">
        <f t="shared" si="33"/>
        <v>0.20747530542384424</v>
      </c>
      <c r="AA38" s="321">
        <f t="shared" si="33"/>
        <v>0.19034431690260939</v>
      </c>
      <c r="AB38" s="321">
        <f t="shared" si="33"/>
        <v>0.17462781367211869</v>
      </c>
      <c r="AC38" s="321">
        <f t="shared" si="33"/>
        <v>0.16020900336891622</v>
      </c>
      <c r="AD38" s="321">
        <f t="shared" si="33"/>
        <v>0.14698073703570297</v>
      </c>
      <c r="AE38" s="321">
        <f t="shared" si="33"/>
        <v>0.1348447128767917</v>
      </c>
      <c r="AF38" s="321">
        <f t="shared" si="33"/>
        <v>0.12371074575852443</v>
      </c>
    </row>
    <row r="39" spans="1:32" x14ac:dyDescent="0.25">
      <c r="A39" s="322"/>
      <c r="B39" s="322"/>
      <c r="C39" s="322"/>
      <c r="D39" s="323"/>
      <c r="E39" s="323"/>
      <c r="F39" s="383">
        <f>1/((1+$D$48+0.001)^F$3)</f>
        <v>1.000004089344201</v>
      </c>
      <c r="G39" s="383">
        <f>1/((1+$D$47+0.001)^G$3)</f>
        <v>1</v>
      </c>
      <c r="H39" s="383">
        <f t="shared" ref="H39:AE39" si="34">1/((1+$D$47+0.001)^H$3)</f>
        <v>0.97846165865265677</v>
      </c>
      <c r="I39" s="383">
        <f t="shared" si="34"/>
        <v>0.89684844972745803</v>
      </c>
      <c r="J39" s="383">
        <f t="shared" si="34"/>
        <v>0.82204257536888925</v>
      </c>
      <c r="K39" s="383">
        <f t="shared" si="34"/>
        <v>0.75347623773500383</v>
      </c>
      <c r="L39" s="383">
        <f t="shared" si="34"/>
        <v>0.69062899884051687</v>
      </c>
      <c r="M39" s="383">
        <f t="shared" si="34"/>
        <v>0.63302383028461673</v>
      </c>
      <c r="N39" s="383">
        <f t="shared" si="34"/>
        <v>0.5802234924698596</v>
      </c>
      <c r="O39" s="383">
        <f t="shared" si="34"/>
        <v>0.53182721582938552</v>
      </c>
      <c r="P39" s="383">
        <f t="shared" si="34"/>
        <v>0.48746765887203075</v>
      </c>
      <c r="Q39" s="383">
        <f t="shared" si="34"/>
        <v>0.44680811995603192</v>
      </c>
      <c r="R39" s="383">
        <f t="shared" si="34"/>
        <v>0.40953998162789357</v>
      </c>
      <c r="S39" s="383">
        <f t="shared" si="34"/>
        <v>0.37538036812822512</v>
      </c>
      <c r="T39" s="383">
        <f t="shared" si="34"/>
        <v>0.34406999828434931</v>
      </c>
      <c r="U39" s="383">
        <f t="shared" si="34"/>
        <v>0.31537121749252911</v>
      </c>
      <c r="V39" s="383">
        <f t="shared" si="34"/>
        <v>0.28906619385199744</v>
      </c>
      <c r="W39" s="383">
        <f t="shared" si="34"/>
        <v>0.26495526475893444</v>
      </c>
      <c r="X39" s="383">
        <f t="shared" si="34"/>
        <v>0.24285542141057231</v>
      </c>
      <c r="Y39" s="383">
        <f t="shared" si="34"/>
        <v>0.22259891971638157</v>
      </c>
      <c r="Z39" s="383">
        <f t="shared" si="34"/>
        <v>0.20403200707276042</v>
      </c>
      <c r="AA39" s="383">
        <f t="shared" si="34"/>
        <v>0.18701375533708564</v>
      </c>
      <c r="AB39" s="383">
        <f t="shared" si="34"/>
        <v>0.17141499114306658</v>
      </c>
      <c r="AC39" s="383">
        <f t="shared" si="34"/>
        <v>0.15711731543819116</v>
      </c>
      <c r="AD39" s="383">
        <f t="shared" si="34"/>
        <v>0.14401220480127516</v>
      </c>
      <c r="AE39" s="383">
        <f t="shared" si="34"/>
        <v>0.13200018771885899</v>
      </c>
      <c r="AF39" s="322"/>
    </row>
    <row r="40" spans="1:32" x14ac:dyDescent="0.25">
      <c r="A40" s="322"/>
      <c r="B40" s="322"/>
      <c r="C40" s="322"/>
      <c r="D40" s="323"/>
      <c r="E40" s="323"/>
      <c r="F40" s="383">
        <f>1/((1+$D$48+0.005)^F$3)</f>
        <v>1.0000204061366231</v>
      </c>
      <c r="G40" s="383">
        <f>1/((1+$D$47+0.005)^G$3)</f>
        <v>1</v>
      </c>
      <c r="H40" s="383">
        <f t="shared" ref="H40:AE40" si="35">1/((1+$D$47+0.005)^H$3)</f>
        <v>0.97756685967507773</v>
      </c>
      <c r="I40" s="383">
        <f t="shared" si="35"/>
        <v>0.89275512299093862</v>
      </c>
      <c r="J40" s="383">
        <f t="shared" si="35"/>
        <v>0.81530148218350551</v>
      </c>
      <c r="K40" s="383">
        <f t="shared" si="35"/>
        <v>0.74456756363790477</v>
      </c>
      <c r="L40" s="383">
        <f t="shared" si="35"/>
        <v>0.67997037775151115</v>
      </c>
      <c r="M40" s="383">
        <f t="shared" si="35"/>
        <v>0.62097751392832068</v>
      </c>
      <c r="N40" s="383">
        <f t="shared" si="35"/>
        <v>0.56710275244595498</v>
      </c>
      <c r="O40" s="383">
        <f t="shared" si="35"/>
        <v>0.5179020570282693</v>
      </c>
      <c r="P40" s="383">
        <f t="shared" si="35"/>
        <v>0.47296991509431002</v>
      </c>
      <c r="Q40" s="383">
        <f t="shared" si="35"/>
        <v>0.43193599551991779</v>
      </c>
      <c r="R40" s="383">
        <f t="shared" si="35"/>
        <v>0.39446209636522178</v>
      </c>
      <c r="S40" s="383">
        <f t="shared" si="35"/>
        <v>0.36023935741116142</v>
      </c>
      <c r="T40" s="383">
        <f t="shared" si="35"/>
        <v>0.32898571453074105</v>
      </c>
      <c r="U40" s="383">
        <f t="shared" si="35"/>
        <v>0.30044357491391871</v>
      </c>
      <c r="V40" s="383">
        <f t="shared" si="35"/>
        <v>0.27437769398531398</v>
      </c>
      <c r="W40" s="383">
        <f t="shared" si="35"/>
        <v>0.25057323651626845</v>
      </c>
      <c r="X40" s="383">
        <f t="shared" si="35"/>
        <v>0.22883400595093009</v>
      </c>
      <c r="Y40" s="383">
        <f t="shared" si="35"/>
        <v>0.20898082735244755</v>
      </c>
      <c r="Z40" s="383">
        <f t="shared" si="35"/>
        <v>0.19085007064150464</v>
      </c>
      <c r="AA40" s="383">
        <f t="shared" si="35"/>
        <v>0.17429230195571202</v>
      </c>
      <c r="AB40" s="383">
        <f t="shared" si="35"/>
        <v>0.15917105201434886</v>
      </c>
      <c r="AC40" s="383">
        <f t="shared" si="35"/>
        <v>0.14536169133730489</v>
      </c>
      <c r="AD40" s="383">
        <f t="shared" si="35"/>
        <v>0.13275040304776703</v>
      </c>
      <c r="AE40" s="383">
        <f t="shared" si="35"/>
        <v>0.12123324479248133</v>
      </c>
      <c r="AF40" s="322"/>
    </row>
    <row r="41" spans="1:32" x14ac:dyDescent="0.25">
      <c r="A41" s="322"/>
      <c r="B41" s="322"/>
      <c r="C41" s="322"/>
      <c r="D41" s="323"/>
      <c r="E41" s="323"/>
      <c r="F41" s="384"/>
      <c r="G41" s="384"/>
      <c r="H41" s="384"/>
      <c r="I41" s="470"/>
      <c r="J41" s="469"/>
      <c r="K41" s="469"/>
      <c r="L41" s="469"/>
      <c r="M41" s="469"/>
      <c r="N41" s="469"/>
      <c r="O41" s="469"/>
      <c r="P41" s="469"/>
      <c r="Q41" s="469"/>
      <c r="R41" s="469"/>
      <c r="S41" s="469"/>
      <c r="T41" s="469"/>
      <c r="U41" s="469"/>
      <c r="V41" s="469"/>
      <c r="W41" s="469"/>
      <c r="X41" s="469"/>
      <c r="Y41" s="469"/>
      <c r="Z41" s="469"/>
      <c r="AA41" s="469"/>
      <c r="AB41" s="469"/>
      <c r="AC41" s="469"/>
      <c r="AD41" s="469"/>
      <c r="AE41" s="469"/>
      <c r="AF41" s="322"/>
    </row>
    <row r="42" spans="1:32" x14ac:dyDescent="0.25">
      <c r="C42" s="325" t="s">
        <v>135</v>
      </c>
      <c r="D42" s="326"/>
      <c r="E42" s="327"/>
      <c r="F42" s="394" t="s">
        <v>263</v>
      </c>
      <c r="G42" s="394" t="s">
        <v>263</v>
      </c>
      <c r="H42" s="326">
        <f>1000000*H16/OP!C8</f>
        <v>13.66488676775128</v>
      </c>
      <c r="I42" s="328">
        <f>1000000*I16/OP!$C8</f>
        <v>13.883901926041114</v>
      </c>
      <c r="J42" s="328">
        <f>1000000*J16/OP!$C8</f>
        <v>14.479521318668278</v>
      </c>
    </row>
    <row r="43" spans="1:32" x14ac:dyDescent="0.25">
      <c r="C43" s="329" t="s">
        <v>154</v>
      </c>
      <c r="D43" s="301"/>
      <c r="E43" s="301"/>
      <c r="F43" s="330"/>
      <c r="G43" s="330"/>
      <c r="H43" s="330"/>
      <c r="I43" s="331"/>
      <c r="J43" s="331"/>
    </row>
    <row r="44" spans="1:32" x14ac:dyDescent="0.25">
      <c r="C44" s="332" t="s">
        <v>136</v>
      </c>
      <c r="D44" s="333"/>
      <c r="E44" s="333"/>
      <c r="F44" s="393" t="s">
        <v>263</v>
      </c>
      <c r="G44" s="393" t="s">
        <v>263</v>
      </c>
      <c r="H44" s="334">
        <f t="shared" ref="H44:I44" si="36">$D$64/H16</f>
        <v>10.52433272860903</v>
      </c>
      <c r="I44" s="335">
        <f t="shared" si="36"/>
        <v>10.358313952998992</v>
      </c>
    </row>
    <row r="45" spans="1:32" x14ac:dyDescent="0.25">
      <c r="A45" s="322"/>
      <c r="B45" s="322"/>
      <c r="C45" s="322"/>
      <c r="D45" s="323"/>
      <c r="E45" s="323"/>
      <c r="F45" s="323"/>
      <c r="G45" s="324"/>
      <c r="H45" s="324"/>
      <c r="I45" s="324"/>
      <c r="J45" s="324"/>
      <c r="K45" s="324"/>
      <c r="L45" s="324"/>
      <c r="M45" s="324"/>
      <c r="N45" s="324"/>
      <c r="O45" s="324"/>
      <c r="P45" s="324"/>
      <c r="Q45" s="324"/>
      <c r="R45" s="324"/>
      <c r="S45" s="324"/>
      <c r="T45" s="324"/>
      <c r="U45" s="324"/>
      <c r="V45" s="324"/>
      <c r="W45" s="324"/>
      <c r="X45" s="324"/>
      <c r="Y45" s="324"/>
      <c r="Z45" s="324"/>
      <c r="AA45" s="324"/>
      <c r="AB45" s="324"/>
      <c r="AC45" s="324"/>
      <c r="AD45" s="322"/>
      <c r="AE45" s="322"/>
      <c r="AF45" s="322"/>
    </row>
    <row r="46" spans="1:32" x14ac:dyDescent="0.25">
      <c r="A46" s="708" t="s">
        <v>310</v>
      </c>
      <c r="C46" s="325"/>
      <c r="D46" s="327" t="s">
        <v>311</v>
      </c>
      <c r="E46" s="327" t="s">
        <v>312</v>
      </c>
      <c r="F46" s="327" t="s">
        <v>313</v>
      </c>
      <c r="G46" s="336" t="s">
        <v>314</v>
      </c>
    </row>
    <row r="47" spans="1:32" x14ac:dyDescent="0.25">
      <c r="A47" s="710"/>
      <c r="C47" s="337" t="s">
        <v>315</v>
      </c>
      <c r="D47" s="338">
        <f>SUM(E47:G47)</f>
        <v>0.09</v>
      </c>
      <c r="E47" s="449">
        <v>0.04</v>
      </c>
      <c r="F47" s="569">
        <v>0.04</v>
      </c>
      <c r="G47" s="339">
        <v>0.01</v>
      </c>
      <c r="H47" s="289" t="s">
        <v>263</v>
      </c>
      <c r="I47" s="361"/>
      <c r="AE47" s="340"/>
    </row>
    <row r="48" spans="1:32" x14ac:dyDescent="0.25">
      <c r="D48" s="341"/>
      <c r="E48" s="341"/>
      <c r="F48" s="341"/>
      <c r="G48" s="342"/>
      <c r="I48" s="361"/>
      <c r="AE48" s="340"/>
    </row>
    <row r="49" spans="1:31" x14ac:dyDescent="0.25">
      <c r="C49" s="325"/>
      <c r="D49" s="343" t="s">
        <v>316</v>
      </c>
      <c r="E49" s="343" t="s">
        <v>317</v>
      </c>
      <c r="F49" s="336" t="s">
        <v>318</v>
      </c>
      <c r="H49" s="587"/>
    </row>
    <row r="50" spans="1:31" x14ac:dyDescent="0.25">
      <c r="A50" s="705" t="s">
        <v>319</v>
      </c>
      <c r="C50" s="344" t="s">
        <v>320</v>
      </c>
      <c r="D50" s="345">
        <v>0.25</v>
      </c>
      <c r="E50" s="345">
        <v>0.25</v>
      </c>
      <c r="F50" s="588" t="s">
        <v>626</v>
      </c>
      <c r="G50" s="598"/>
      <c r="H50" s="587"/>
      <c r="I50" s="587"/>
      <c r="J50" s="587"/>
      <c r="K50" s="587"/>
      <c r="L50" s="303"/>
      <c r="O50" s="587"/>
      <c r="P50" s="591"/>
      <c r="V50" s="587"/>
      <c r="W50" s="591"/>
      <c r="AE50" s="301"/>
    </row>
    <row r="51" spans="1:31" x14ac:dyDescent="0.25">
      <c r="A51" s="706"/>
      <c r="C51" s="346" t="s">
        <v>321</v>
      </c>
      <c r="D51" s="347">
        <v>-4.4999999999999997E-3</v>
      </c>
      <c r="E51" s="347">
        <v>-4.4999999999999997E-3</v>
      </c>
      <c r="F51" s="348" t="s">
        <v>322</v>
      </c>
      <c r="G51" s="599"/>
      <c r="L51" s="600"/>
      <c r="M51" s="590"/>
      <c r="O51" s="587"/>
      <c r="AE51" s="301"/>
    </row>
    <row r="52" spans="1:31" x14ac:dyDescent="0.25">
      <c r="A52" s="706"/>
      <c r="C52" s="346" t="s">
        <v>323</v>
      </c>
      <c r="D52" s="347">
        <v>0.24</v>
      </c>
      <c r="E52" s="347">
        <v>0.24</v>
      </c>
      <c r="F52" s="349" t="s">
        <v>324</v>
      </c>
      <c r="H52" s="717"/>
      <c r="I52" s="717"/>
      <c r="J52" s="717"/>
      <c r="K52" s="717"/>
      <c r="L52" s="704"/>
      <c r="M52" s="704"/>
      <c r="T52" s="590"/>
      <c r="AE52" s="301"/>
    </row>
    <row r="53" spans="1:31" x14ac:dyDescent="0.25">
      <c r="A53" s="706"/>
      <c r="C53" s="346" t="s">
        <v>325</v>
      </c>
      <c r="D53" s="347">
        <v>4.7500000000000001E-2</v>
      </c>
      <c r="E53" s="347">
        <v>4.7500000000000001E-2</v>
      </c>
      <c r="F53" s="349" t="s">
        <v>326</v>
      </c>
      <c r="H53" s="718"/>
      <c r="I53" s="718"/>
      <c r="J53" s="718"/>
      <c r="K53" s="718"/>
      <c r="L53" s="704"/>
      <c r="M53" s="704"/>
      <c r="O53" s="587"/>
      <c r="P53" s="589"/>
      <c r="Q53" s="589"/>
      <c r="R53" s="589"/>
      <c r="S53" s="589"/>
      <c r="T53" s="589"/>
      <c r="V53" s="592"/>
      <c r="W53" s="589"/>
      <c r="X53" s="589"/>
      <c r="Y53" s="589"/>
      <c r="Z53" s="589"/>
      <c r="AA53" s="589"/>
    </row>
    <row r="54" spans="1:31" x14ac:dyDescent="0.25">
      <c r="A54" s="706"/>
      <c r="C54" s="346" t="s">
        <v>327</v>
      </c>
      <c r="D54" s="347">
        <v>3.5000000000000003E-2</v>
      </c>
      <c r="E54" s="347">
        <v>3.5000000000000003E-2</v>
      </c>
      <c r="F54" s="348" t="s">
        <v>328</v>
      </c>
    </row>
    <row r="55" spans="1:31" x14ac:dyDescent="0.25">
      <c r="A55" s="706"/>
      <c r="C55" s="391" t="s">
        <v>616</v>
      </c>
      <c r="D55" s="556">
        <v>-0.4</v>
      </c>
      <c r="E55" s="556">
        <v>-0.4</v>
      </c>
      <c r="F55" s="348" t="s">
        <v>617</v>
      </c>
      <c r="H55" s="587"/>
      <c r="O55" s="587"/>
    </row>
    <row r="56" spans="1:31" x14ac:dyDescent="0.25">
      <c r="A56" s="706"/>
      <c r="C56" s="346" t="s">
        <v>329</v>
      </c>
      <c r="D56" s="561">
        <v>-1.25</v>
      </c>
      <c r="E56" s="561">
        <v>-1.25</v>
      </c>
      <c r="F56" s="348" t="s">
        <v>330</v>
      </c>
      <c r="H56" s="587"/>
      <c r="M56" s="590"/>
      <c r="O56" s="587"/>
    </row>
    <row r="57" spans="1:31" x14ac:dyDescent="0.25">
      <c r="A57" s="706"/>
      <c r="C57" s="346" t="s">
        <v>331</v>
      </c>
      <c r="D57" s="347">
        <v>0.03</v>
      </c>
      <c r="E57" s="347">
        <v>0.03</v>
      </c>
      <c r="F57" s="348" t="s">
        <v>322</v>
      </c>
      <c r="H57" s="587"/>
      <c r="I57" s="589"/>
      <c r="J57" s="589"/>
      <c r="K57" s="589"/>
      <c r="L57" s="589"/>
      <c r="M57" s="590"/>
      <c r="O57" s="587"/>
      <c r="T57" s="590"/>
    </row>
    <row r="58" spans="1:31" x14ac:dyDescent="0.25">
      <c r="A58" s="706"/>
      <c r="C58" s="346" t="s">
        <v>120</v>
      </c>
      <c r="D58" s="347">
        <v>-0.27</v>
      </c>
      <c r="E58" s="347">
        <v>-0.25</v>
      </c>
      <c r="F58" s="348" t="s">
        <v>618</v>
      </c>
      <c r="H58" s="587"/>
      <c r="I58" s="589"/>
      <c r="J58" s="589"/>
      <c r="K58" s="589"/>
      <c r="L58" s="589"/>
      <c r="M58" s="589"/>
      <c r="O58" s="587"/>
      <c r="P58" s="589"/>
      <c r="Q58" s="589"/>
      <c r="R58" s="589"/>
      <c r="S58" s="589"/>
      <c r="T58" s="589"/>
    </row>
    <row r="59" spans="1:31" x14ac:dyDescent="0.25">
      <c r="A59" s="707"/>
      <c r="C59" s="350" t="s">
        <v>300</v>
      </c>
      <c r="D59" s="338"/>
      <c r="E59" s="338"/>
      <c r="F59" s="351" t="s">
        <v>619</v>
      </c>
    </row>
    <row r="60" spans="1:31" x14ac:dyDescent="0.25">
      <c r="D60" s="301"/>
      <c r="E60" s="301"/>
      <c r="F60" s="301"/>
    </row>
    <row r="61" spans="1:31" x14ac:dyDescent="0.25">
      <c r="A61" s="708" t="s">
        <v>332</v>
      </c>
      <c r="C61" s="319"/>
      <c r="D61" s="352" t="s">
        <v>333</v>
      </c>
      <c r="E61" s="352" t="s">
        <v>334</v>
      </c>
      <c r="F61" s="289" t="s">
        <v>276</v>
      </c>
      <c r="AE61" s="340">
        <f>((AE36-AE37)*AE38)</f>
        <v>-447.83050490497033</v>
      </c>
    </row>
    <row r="62" spans="1:31" x14ac:dyDescent="0.25">
      <c r="A62" s="709"/>
      <c r="C62" s="319" t="s">
        <v>335</v>
      </c>
      <c r="D62" s="300">
        <f>SUMPRODUCT(G33:AE33,G38:AE38)+((AE36-AE37)*AE38)</f>
        <v>9175.8056271132591</v>
      </c>
      <c r="E62" s="353">
        <f>D62/D64</f>
        <v>0.78315167599946967</v>
      </c>
      <c r="F62" s="301" t="s">
        <v>336</v>
      </c>
      <c r="AE62" s="340">
        <f>AE54+AE61</f>
        <v>-447.83050490497033</v>
      </c>
    </row>
    <row r="63" spans="1:31" x14ac:dyDescent="0.25">
      <c r="A63" s="709"/>
      <c r="C63" s="319" t="s">
        <v>337</v>
      </c>
      <c r="D63" s="300">
        <f>(AF32/(D47-AF5))*AF38</f>
        <v>2540.7058844058351</v>
      </c>
      <c r="E63" s="353">
        <f>D63/D64</f>
        <v>0.21684832400053025</v>
      </c>
      <c r="F63" s="354" t="s">
        <v>338</v>
      </c>
    </row>
    <row r="64" spans="1:31" x14ac:dyDescent="0.25">
      <c r="A64" s="709"/>
      <c r="C64" s="319" t="s">
        <v>339</v>
      </c>
      <c r="D64" s="464">
        <f>D62+D63</f>
        <v>11716.511511519095</v>
      </c>
      <c r="E64" s="352"/>
      <c r="F64" s="288" t="s">
        <v>340</v>
      </c>
    </row>
    <row r="65" spans="1:32" x14ac:dyDescent="0.25">
      <c r="A65" s="709"/>
      <c r="C65" s="355" t="s">
        <v>341</v>
      </c>
      <c r="D65" s="465">
        <f>D66/D67-1</f>
        <v>-0.27720854881348322</v>
      </c>
      <c r="E65" s="356"/>
      <c r="F65" s="354" t="s">
        <v>342</v>
      </c>
    </row>
    <row r="66" spans="1:32" x14ac:dyDescent="0.25">
      <c r="A66" s="710"/>
      <c r="C66" s="355" t="s">
        <v>343</v>
      </c>
      <c r="D66" s="466">
        <f>1000000*D64/OP!C8</f>
        <v>143.81381504258124</v>
      </c>
      <c r="E66" s="357"/>
      <c r="F66" s="354" t="s">
        <v>344</v>
      </c>
    </row>
    <row r="67" spans="1:32" x14ac:dyDescent="0.25">
      <c r="C67" s="355" t="s">
        <v>345</v>
      </c>
      <c r="D67" s="466">
        <f>OP!C7</f>
        <v>198.97</v>
      </c>
      <c r="E67" s="357"/>
      <c r="F67" s="354" t="s">
        <v>345</v>
      </c>
    </row>
    <row r="68" spans="1:32" x14ac:dyDescent="0.25">
      <c r="D68" s="379"/>
    </row>
    <row r="69" spans="1:32" x14ac:dyDescent="0.25">
      <c r="C69" s="358"/>
      <c r="D69" s="360"/>
      <c r="E69" s="382"/>
      <c r="AD69" s="289"/>
      <c r="AE69" s="289"/>
      <c r="AF69" s="289"/>
    </row>
    <row r="70" spans="1:32" x14ac:dyDescent="0.25">
      <c r="C70" s="358"/>
      <c r="D70" s="360"/>
      <c r="E70" s="382"/>
      <c r="F70" s="360"/>
      <c r="G70" s="361"/>
      <c r="H70" s="361"/>
      <c r="I70" s="361"/>
      <c r="J70" s="361"/>
      <c r="K70" s="361"/>
      <c r="L70" s="361"/>
      <c r="M70" s="361"/>
      <c r="N70" s="361"/>
      <c r="O70" s="361"/>
      <c r="P70" s="361"/>
      <c r="Q70" s="361"/>
      <c r="R70" s="361"/>
      <c r="S70" s="361"/>
      <c r="T70" s="361"/>
      <c r="U70" s="361"/>
      <c r="V70" s="361"/>
      <c r="W70" s="361"/>
      <c r="X70" s="361"/>
      <c r="Y70" s="361"/>
      <c r="Z70" s="361"/>
      <c r="AA70" s="361"/>
      <c r="AB70" s="361"/>
      <c r="AC70" s="361"/>
      <c r="AD70" s="361"/>
      <c r="AE70" s="361"/>
      <c r="AF70" s="361"/>
    </row>
    <row r="71" spans="1:32" x14ac:dyDescent="0.25">
      <c r="C71" s="389"/>
      <c r="D71" s="360"/>
      <c r="F71" s="360"/>
      <c r="AF71" s="340"/>
    </row>
    <row r="72" spans="1:32" x14ac:dyDescent="0.25">
      <c r="C72" s="380"/>
      <c r="D72" s="381"/>
    </row>
    <row r="73" spans="1:32" x14ac:dyDescent="0.25">
      <c r="C73" s="380"/>
      <c r="D73" s="340"/>
    </row>
    <row r="74" spans="1:32" x14ac:dyDescent="0.25">
      <c r="C74" s="380"/>
      <c r="D74" s="381"/>
    </row>
    <row r="75" spans="1:32" x14ac:dyDescent="0.25">
      <c r="C75" s="385"/>
      <c r="E75" s="288" t="s">
        <v>263</v>
      </c>
      <c r="F75" s="288" t="s">
        <v>263</v>
      </c>
      <c r="G75" s="288" t="s">
        <v>263</v>
      </c>
    </row>
  </sheetData>
  <mergeCells count="14">
    <mergeCell ref="M52:M53"/>
    <mergeCell ref="A50:A59"/>
    <mergeCell ref="A61:A66"/>
    <mergeCell ref="C1:L1"/>
    <mergeCell ref="A5:A16"/>
    <mergeCell ref="A18:A30"/>
    <mergeCell ref="A32:A34"/>
    <mergeCell ref="A36:A38"/>
    <mergeCell ref="A46:A47"/>
    <mergeCell ref="H52:H53"/>
    <mergeCell ref="I52:I53"/>
    <mergeCell ref="J52:J53"/>
    <mergeCell ref="K52:K53"/>
    <mergeCell ref="L52:L5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H94"/>
  <sheetViews>
    <sheetView view="pageBreakPreview" topLeftCell="A3" zoomScale="77" zoomScaleNormal="85" zoomScaleSheetLayoutView="130" workbookViewId="0">
      <selection activeCell="M26" sqref="M26"/>
    </sheetView>
  </sheetViews>
  <sheetFormatPr defaultColWidth="11.42578125" defaultRowHeight="12" x14ac:dyDescent="0.2"/>
  <cols>
    <col min="1" max="1" width="36.140625" style="213" customWidth="1"/>
    <col min="2" max="11" width="12.42578125" style="213" customWidth="1"/>
    <col min="12" max="13" width="12.42578125" style="269" customWidth="1"/>
    <col min="14" max="14" width="12.28515625" style="269" bestFit="1" customWidth="1"/>
    <col min="15" max="16384" width="11.42578125" style="212"/>
  </cols>
  <sheetData>
    <row r="1" spans="1:15" ht="15.75" x14ac:dyDescent="0.25">
      <c r="A1" s="719" t="str">
        <f>Cifras_Originales!H3</f>
        <v>DICK'S Sporting Goods, Inc. (DKS)</v>
      </c>
      <c r="B1" s="719"/>
      <c r="C1" s="719"/>
      <c r="D1" s="719"/>
      <c r="E1" s="719"/>
      <c r="F1" s="719"/>
      <c r="G1" s="719"/>
      <c r="H1" s="719"/>
      <c r="I1" s="719"/>
      <c r="J1" s="719"/>
      <c r="K1" s="719"/>
      <c r="L1" s="719"/>
      <c r="M1" s="211"/>
      <c r="N1" s="211"/>
    </row>
    <row r="2" spans="1:15" ht="12" customHeight="1" x14ac:dyDescent="0.2">
      <c r="A2" s="720" t="str">
        <f>Cifras_Originales!D2</f>
        <v>Cifras en Millones de USD</v>
      </c>
      <c r="B2" s="720"/>
      <c r="C2" s="720"/>
      <c r="D2" s="720"/>
      <c r="E2" s="720"/>
      <c r="F2" s="720"/>
      <c r="G2" s="720"/>
      <c r="H2" s="720"/>
      <c r="I2" s="720"/>
      <c r="J2" s="720"/>
      <c r="K2" s="720"/>
      <c r="L2" s="720"/>
      <c r="M2" s="213"/>
      <c r="N2" s="213"/>
    </row>
    <row r="3" spans="1:15" ht="12" customHeight="1" x14ac:dyDescent="0.2">
      <c r="G3" s="214"/>
    </row>
    <row r="4" spans="1:15" x14ac:dyDescent="0.2">
      <c r="A4" s="215" t="s">
        <v>202</v>
      </c>
      <c r="B4" s="216">
        <v>2024</v>
      </c>
      <c r="C4" s="216">
        <f>Cifras_Originales!C5</f>
        <v>2023</v>
      </c>
      <c r="D4" s="216">
        <f>Cifras_Originales!D5</f>
        <v>2022</v>
      </c>
      <c r="E4" s="216">
        <f>Cifras_Originales!E5</f>
        <v>2021</v>
      </c>
      <c r="F4" s="216">
        <f>Cifras_Originales!F5</f>
        <v>2020</v>
      </c>
      <c r="G4" s="216">
        <f>Cifras_Originales!G5</f>
        <v>2019</v>
      </c>
      <c r="H4" s="216">
        <f>Cifras_Originales!H5</f>
        <v>2018</v>
      </c>
      <c r="I4" s="216">
        <f>Cifras_Originales!I5</f>
        <v>2017</v>
      </c>
      <c r="J4" s="216">
        <f>Cifras_Originales!J5</f>
        <v>2016</v>
      </c>
      <c r="K4" s="216">
        <f>Cifras_Originales!K5</f>
        <v>2015</v>
      </c>
      <c r="L4" s="216">
        <f>Cifras_Originales!L5</f>
        <v>2014</v>
      </c>
      <c r="M4" s="216">
        <f>Cifras_Originales!M5</f>
        <v>2013</v>
      </c>
      <c r="N4" s="216"/>
      <c r="O4" s="216"/>
    </row>
    <row r="5" spans="1:15" ht="12" customHeight="1" x14ac:dyDescent="0.2">
      <c r="A5" s="213" t="s">
        <v>203</v>
      </c>
      <c r="B5" s="217"/>
      <c r="C5" s="217">
        <f>Cifras_Originales!C6</f>
        <v>12984.398999999999</v>
      </c>
      <c r="D5" s="217">
        <f>Cifras_Originales!D6</f>
        <v>12368.198</v>
      </c>
      <c r="E5" s="217">
        <f>Cifras_Originales!E6</f>
        <v>12293.368</v>
      </c>
      <c r="F5" s="217">
        <f>Cifras_Originales!F6</f>
        <v>9584.0190000000002</v>
      </c>
      <c r="G5" s="217">
        <f>Cifras_Originales!G6</f>
        <v>8750.7430000000004</v>
      </c>
      <c r="H5" s="217">
        <f>Cifras_Originales!H6</f>
        <v>8436.57</v>
      </c>
      <c r="I5" s="217">
        <f>Cifras_Originales!I6</f>
        <v>8590.4719999999998</v>
      </c>
      <c r="J5" s="217">
        <f>Cifras_Originales!J6</f>
        <v>7921.9809999999998</v>
      </c>
      <c r="K5" s="217">
        <f>Cifras_Originales!K6</f>
        <v>7270.6949999999997</v>
      </c>
      <c r="L5" s="217">
        <f>Cifras_Originales!L6</f>
        <v>6814.4790000000003</v>
      </c>
      <c r="M5" s="217">
        <f>Cifras_Originales!M6</f>
        <v>6213.1729999999998</v>
      </c>
      <c r="N5" s="217"/>
      <c r="O5" s="217"/>
    </row>
    <row r="6" spans="1:15" ht="12" customHeight="1" x14ac:dyDescent="0.2">
      <c r="A6" s="213" t="s">
        <v>204</v>
      </c>
      <c r="B6" s="218">
        <f>B5/C5-1</f>
        <v>-1</v>
      </c>
      <c r="C6" s="218">
        <f>C5/D5-1</f>
        <v>4.9821404864313967E-2</v>
      </c>
      <c r="D6" s="218">
        <f>D5/E5-1</f>
        <v>6.087021880415433E-3</v>
      </c>
      <c r="E6" s="218">
        <f t="shared" ref="E6:L6" si="0">E5/F5-1</f>
        <v>0.28269445208737598</v>
      </c>
      <c r="F6" s="218">
        <f t="shared" si="0"/>
        <v>9.5223457025306324E-2</v>
      </c>
      <c r="G6" s="218">
        <f t="shared" si="0"/>
        <v>3.7239423130490223E-2</v>
      </c>
      <c r="H6" s="218">
        <f t="shared" si="0"/>
        <v>-1.7915430025265189E-2</v>
      </c>
      <c r="I6" s="218">
        <f t="shared" si="0"/>
        <v>8.4384322557703673E-2</v>
      </c>
      <c r="J6" s="218">
        <f t="shared" si="0"/>
        <v>8.9576856132735694E-2</v>
      </c>
      <c r="K6" s="218">
        <f t="shared" si="0"/>
        <v>6.694803814055339E-2</v>
      </c>
      <c r="L6" s="218">
        <f t="shared" si="0"/>
        <v>9.6779214098818844E-2</v>
      </c>
      <c r="M6" s="218"/>
      <c r="N6" s="218"/>
      <c r="O6" s="218"/>
    </row>
    <row r="7" spans="1:15" ht="12" customHeight="1" x14ac:dyDescent="0.2">
      <c r="A7" s="213" t="s">
        <v>205</v>
      </c>
      <c r="B7" s="217"/>
      <c r="C7" s="217">
        <f>Cifras_Originales!C7</f>
        <v>4533.375</v>
      </c>
      <c r="D7" s="217">
        <f>Cifras_Originales!D7</f>
        <v>4284.558</v>
      </c>
      <c r="E7" s="217">
        <f>Cifras_Originales!E7</f>
        <v>4711.8860000000004</v>
      </c>
      <c r="F7" s="217">
        <f>Cifras_Originales!F7</f>
        <v>3050.7069999999999</v>
      </c>
      <c r="G7" s="217">
        <f>Cifras_Originales!G7</f>
        <v>2554.558</v>
      </c>
      <c r="H7" s="217">
        <f>Cifras_Originales!H7</f>
        <v>2437.7820000000002</v>
      </c>
      <c r="I7" s="217">
        <f>Cifras_Originales!I7</f>
        <v>2489.06</v>
      </c>
      <c r="J7" s="217">
        <f>Cifras_Originales!J7</f>
        <v>2365.7829999999999</v>
      </c>
      <c r="K7" s="217">
        <f>Cifras_Originales!K7</f>
        <v>2182.8870000000002</v>
      </c>
      <c r="L7" s="217">
        <f>Cifras_Originales!L7</f>
        <v>2086.6660000000002</v>
      </c>
      <c r="M7" s="217">
        <f>Cifras_Originales!M7</f>
        <v>1943.95</v>
      </c>
      <c r="N7" s="217"/>
      <c r="O7" s="217"/>
    </row>
    <row r="8" spans="1:15" ht="12" customHeight="1" x14ac:dyDescent="0.2">
      <c r="A8" s="213" t="s">
        <v>206</v>
      </c>
      <c r="B8" s="218" t="e">
        <f>B7/B5</f>
        <v>#DIV/0!</v>
      </c>
      <c r="C8" s="218">
        <f>C7/C5</f>
        <v>0.34914014888174649</v>
      </c>
      <c r="D8" s="218">
        <f>D7/D5</f>
        <v>0.34641731964510919</v>
      </c>
      <c r="E8" s="218">
        <f t="shared" ref="E8:M8" si="1">E7/E5</f>
        <v>0.38328682587229151</v>
      </c>
      <c r="F8" s="218">
        <f t="shared" si="1"/>
        <v>0.31831186895601937</v>
      </c>
      <c r="G8" s="218">
        <f t="shared" si="1"/>
        <v>0.29192469713714592</v>
      </c>
      <c r="H8" s="218">
        <f t="shared" si="1"/>
        <v>0.28895416028077764</v>
      </c>
      <c r="I8" s="218">
        <f t="shared" si="1"/>
        <v>0.28974659366796146</v>
      </c>
      <c r="J8" s="218">
        <f t="shared" si="1"/>
        <v>0.29863527822144487</v>
      </c>
      <c r="K8" s="218">
        <f t="shared" si="1"/>
        <v>0.3002308582604552</v>
      </c>
      <c r="L8" s="218">
        <f t="shared" si="1"/>
        <v>0.30621064354296201</v>
      </c>
      <c r="M8" s="218">
        <f t="shared" si="1"/>
        <v>0.31287556293700497</v>
      </c>
      <c r="N8" s="218"/>
      <c r="O8" s="218"/>
    </row>
    <row r="9" spans="1:15" ht="12" customHeight="1" x14ac:dyDescent="0.2">
      <c r="A9" s="213" t="s">
        <v>207</v>
      </c>
      <c r="B9" s="217">
        <f>B5-B11</f>
        <v>0</v>
      </c>
      <c r="C9" s="217">
        <f>C5-C11</f>
        <v>11702.034</v>
      </c>
      <c r="D9" s="217">
        <f>D5-D11</f>
        <v>10905.179</v>
      </c>
      <c r="E9" s="217">
        <f t="shared" ref="E9:M9" si="2">E5-E11</f>
        <v>10258.865</v>
      </c>
      <c r="F9" s="217">
        <f t="shared" si="2"/>
        <v>8842.5419999999995</v>
      </c>
      <c r="G9" s="217">
        <f t="shared" si="2"/>
        <v>8375.130000000001</v>
      </c>
      <c r="H9" s="217">
        <f t="shared" si="2"/>
        <v>7991.8369999999995</v>
      </c>
      <c r="I9" s="217">
        <f t="shared" si="2"/>
        <v>8112.8980000000001</v>
      </c>
      <c r="J9" s="217">
        <f t="shared" si="2"/>
        <v>7472.1269999999995</v>
      </c>
      <c r="K9" s="217">
        <f t="shared" si="2"/>
        <v>6735.5029999999997</v>
      </c>
      <c r="L9" s="217">
        <f t="shared" si="2"/>
        <v>6260.42</v>
      </c>
      <c r="M9" s="217">
        <f t="shared" si="2"/>
        <v>5676.3609999999999</v>
      </c>
      <c r="N9" s="217"/>
      <c r="O9" s="217"/>
    </row>
    <row r="10" spans="1:15" ht="12" customHeight="1" x14ac:dyDescent="0.2">
      <c r="A10" s="213" t="s">
        <v>206</v>
      </c>
      <c r="B10" s="218" t="e">
        <f>B9/B5</f>
        <v>#DIV/0!</v>
      </c>
      <c r="C10" s="218">
        <f>C9/C5</f>
        <v>0.90123801648424395</v>
      </c>
      <c r="D10" s="218">
        <f>D9/D5</f>
        <v>0.88171122422199255</v>
      </c>
      <c r="E10" s="218">
        <f t="shared" ref="E10:M10" si="3">E9/E5</f>
        <v>0.83450401875222469</v>
      </c>
      <c r="F10" s="218">
        <f t="shared" si="3"/>
        <v>0.92263402232403746</v>
      </c>
      <c r="G10" s="218">
        <f t="shared" si="3"/>
        <v>0.95707644482302823</v>
      </c>
      <c r="H10" s="218">
        <f t="shared" si="3"/>
        <v>0.94728509334954847</v>
      </c>
      <c r="I10" s="218">
        <f t="shared" si="3"/>
        <v>0.94440654716062167</v>
      </c>
      <c r="J10" s="218">
        <f t="shared" si="3"/>
        <v>0.94321445608112409</v>
      </c>
      <c r="K10" s="218">
        <f t="shared" si="3"/>
        <v>0.92639053075393751</v>
      </c>
      <c r="L10" s="218">
        <f t="shared" si="3"/>
        <v>0.91869385759351518</v>
      </c>
      <c r="M10" s="218">
        <f t="shared" si="3"/>
        <v>0.91360098938175394</v>
      </c>
      <c r="N10" s="218"/>
      <c r="O10" s="218"/>
    </row>
    <row r="11" spans="1:15" ht="12" customHeight="1" x14ac:dyDescent="0.2">
      <c r="A11" s="213" t="s">
        <v>208</v>
      </c>
      <c r="B11" s="217"/>
      <c r="C11" s="217">
        <f>Cifras_Originales!C8</f>
        <v>1282.365</v>
      </c>
      <c r="D11" s="217">
        <f>Cifras_Originales!D8</f>
        <v>1463.019</v>
      </c>
      <c r="E11" s="217">
        <f>Cifras_Originales!E8</f>
        <v>2034.5029999999999</v>
      </c>
      <c r="F11" s="217">
        <f>Cifras_Originales!F8</f>
        <v>741.47699999999998</v>
      </c>
      <c r="G11" s="217">
        <f>Cifras_Originales!G8</f>
        <v>375.613</v>
      </c>
      <c r="H11" s="217">
        <f>Cifras_Originales!H8</f>
        <v>444.733</v>
      </c>
      <c r="I11" s="217">
        <f>Cifras_Originales!I8</f>
        <v>477.57400000000001</v>
      </c>
      <c r="J11" s="217">
        <f>Cifras_Originales!J8</f>
        <v>449.85399999999998</v>
      </c>
      <c r="K11" s="217">
        <f>Cifras_Originales!K8</f>
        <v>535.19200000000001</v>
      </c>
      <c r="L11" s="217">
        <f>Cifras_Originales!L8</f>
        <v>554.05899999999997</v>
      </c>
      <c r="M11" s="217">
        <f>Cifras_Originales!M8</f>
        <v>536.81200000000001</v>
      </c>
      <c r="N11" s="217"/>
      <c r="O11" s="217"/>
    </row>
    <row r="12" spans="1:15" ht="12" customHeight="1" x14ac:dyDescent="0.2">
      <c r="A12" s="213" t="s">
        <v>206</v>
      </c>
      <c r="B12" s="218" t="e">
        <f>B11/B5</f>
        <v>#DIV/0!</v>
      </c>
      <c r="C12" s="218">
        <f>C11/C5</f>
        <v>9.8761983515756102E-2</v>
      </c>
      <c r="D12" s="218">
        <f>D11/D5</f>
        <v>0.11828877577800744</v>
      </c>
      <c r="E12" s="218">
        <f t="shared" ref="E12:M12" si="4">E11/E5</f>
        <v>0.1654959812477752</v>
      </c>
      <c r="F12" s="218">
        <f t="shared" si="4"/>
        <v>7.7365977675962455E-2</v>
      </c>
      <c r="G12" s="218">
        <f t="shared" si="4"/>
        <v>4.2923555176971828E-2</v>
      </c>
      <c r="H12" s="218">
        <f t="shared" si="4"/>
        <v>5.2714906650451546E-2</v>
      </c>
      <c r="I12" s="218">
        <f t="shared" si="4"/>
        <v>5.5593452839378325E-2</v>
      </c>
      <c r="J12" s="218">
        <f t="shared" si="4"/>
        <v>5.6785543918875844E-2</v>
      </c>
      <c r="K12" s="218">
        <f t="shared" si="4"/>
        <v>7.3609469246062445E-2</v>
      </c>
      <c r="L12" s="218">
        <f t="shared" si="4"/>
        <v>8.1306142406484774E-2</v>
      </c>
      <c r="M12" s="218">
        <f t="shared" si="4"/>
        <v>8.6399010618246105E-2</v>
      </c>
      <c r="N12" s="218"/>
      <c r="O12" s="218"/>
    </row>
    <row r="13" spans="1:15" ht="12" customHeight="1" x14ac:dyDescent="0.2">
      <c r="A13" s="213" t="s">
        <v>209</v>
      </c>
      <c r="B13" s="219">
        <f>B11/C11-1</f>
        <v>-1</v>
      </c>
      <c r="C13" s="219">
        <f>C11/D11-1</f>
        <v>-0.12348028289448054</v>
      </c>
      <c r="D13" s="219">
        <f>D11/E11-1</f>
        <v>-0.28089612057588509</v>
      </c>
      <c r="E13" s="219">
        <f t="shared" ref="E13:L13" si="5">E11/F11-1</f>
        <v>1.7438517985048763</v>
      </c>
      <c r="F13" s="219">
        <f t="shared" si="5"/>
        <v>0.97404509428587405</v>
      </c>
      <c r="G13" s="219">
        <f t="shared" si="5"/>
        <v>-0.15541909415312105</v>
      </c>
      <c r="H13" s="219">
        <f t="shared" si="5"/>
        <v>-6.8766306373462593E-2</v>
      </c>
      <c r="I13" s="219">
        <f t="shared" si="5"/>
        <v>6.1619992264156931E-2</v>
      </c>
      <c r="J13" s="219">
        <f t="shared" si="5"/>
        <v>-0.15945305609949334</v>
      </c>
      <c r="K13" s="219">
        <f t="shared" si="5"/>
        <v>-3.4052330167003819E-2</v>
      </c>
      <c r="L13" s="219">
        <f t="shared" si="5"/>
        <v>3.2128566425489558E-2</v>
      </c>
      <c r="M13" s="219"/>
      <c r="N13" s="219"/>
      <c r="O13" s="219"/>
    </row>
    <row r="14" spans="1:15" ht="12" customHeight="1" x14ac:dyDescent="0.2">
      <c r="A14" s="213" t="s">
        <v>210</v>
      </c>
      <c r="B14" s="217"/>
      <c r="C14" s="217">
        <f>Cifras_Originales!C9</f>
        <v>137.69999999999999</v>
      </c>
      <c r="D14" s="217">
        <f>Cifras_Originales!D9</f>
        <v>95.22</v>
      </c>
      <c r="E14" s="217">
        <f>Cifras_Originales!E9</f>
        <v>57.838999999999999</v>
      </c>
      <c r="F14" s="217">
        <f>Cifras_Originales!F9</f>
        <v>48.811999999999998</v>
      </c>
      <c r="G14" s="217">
        <f>Cifras_Originales!G9</f>
        <v>17.012</v>
      </c>
      <c r="H14" s="217">
        <f>Cifras_Originales!H9</f>
        <v>11.1</v>
      </c>
      <c r="I14" s="217">
        <f>Cifras_Originales!I9</f>
        <v>8.0470000000000006</v>
      </c>
      <c r="J14" s="217">
        <f>Cifras_Originales!J9</f>
        <v>5.8559999999999999</v>
      </c>
      <c r="K14" s="217">
        <f>Cifras_Originales!K9</f>
        <v>4.0119999999999996</v>
      </c>
      <c r="L14" s="217">
        <f>Cifras_Originales!L9</f>
        <v>3.3149999999999999</v>
      </c>
      <c r="M14" s="217">
        <f>Cifras_Originales!M9</f>
        <v>3.129</v>
      </c>
      <c r="N14" s="217"/>
      <c r="O14" s="217"/>
    </row>
    <row r="15" spans="1:15" ht="12" customHeight="1" x14ac:dyDescent="0.2">
      <c r="A15" s="213" t="s">
        <v>211</v>
      </c>
      <c r="B15" s="217"/>
      <c r="C15" s="217">
        <f>Cifras_Originales!C10</f>
        <v>-93.8</v>
      </c>
      <c r="D15" s="217">
        <f>Cifras_Originales!D10</f>
        <v>-15.949</v>
      </c>
      <c r="E15" s="217">
        <f>Cifras_Originales!E10</f>
        <v>-17.744</v>
      </c>
      <c r="F15" s="217">
        <f>Cifras_Originales!F10</f>
        <v>-19.07</v>
      </c>
      <c r="G15" s="217">
        <f>Cifras_Originales!G10</f>
        <v>-15.324</v>
      </c>
      <c r="H15" s="217">
        <f>Cifras_Originales!H10</f>
        <v>2.5649999999999999</v>
      </c>
      <c r="I15" s="217">
        <f>Cifras_Originales!I10</f>
        <v>-31.81</v>
      </c>
      <c r="J15" s="217">
        <f>Cifras_Originales!J10</f>
        <v>-14.423999999999999</v>
      </c>
      <c r="K15" s="217">
        <f>Cifras_Originales!K10</f>
        <v>0.30499999999999999</v>
      </c>
      <c r="L15" s="217">
        <f>Cifras_Originales!L10</f>
        <v>-5.17</v>
      </c>
      <c r="M15" s="217">
        <f>Cifras_Originales!M10</f>
        <v>-12.224</v>
      </c>
      <c r="N15" s="217"/>
      <c r="O15" s="217"/>
    </row>
    <row r="16" spans="1:15" ht="12" customHeight="1" x14ac:dyDescent="0.2">
      <c r="A16" s="213" t="s">
        <v>212</v>
      </c>
      <c r="B16" s="217">
        <f>B11-B14-B15</f>
        <v>0</v>
      </c>
      <c r="C16" s="217">
        <f>C11-C14-C15</f>
        <v>1238.4649999999999</v>
      </c>
      <c r="D16" s="217">
        <f>D11-D14-D15</f>
        <v>1383.748</v>
      </c>
      <c r="E16" s="217">
        <f t="shared" ref="E16:M16" si="6">E11-E14-E15</f>
        <v>1994.4079999999999</v>
      </c>
      <c r="F16" s="217">
        <f t="shared" si="6"/>
        <v>711.73500000000001</v>
      </c>
      <c r="G16" s="217">
        <f t="shared" si="6"/>
        <v>373.92500000000001</v>
      </c>
      <c r="H16" s="217">
        <f t="shared" si="6"/>
        <v>431.06799999999998</v>
      </c>
      <c r="I16" s="217">
        <f t="shared" si="6"/>
        <v>501.33699999999999</v>
      </c>
      <c r="J16" s="217">
        <f t="shared" si="6"/>
        <v>458.42199999999997</v>
      </c>
      <c r="K16" s="217">
        <f t="shared" si="6"/>
        <v>530.87500000000011</v>
      </c>
      <c r="L16" s="217">
        <f t="shared" si="6"/>
        <v>555.91399999999987</v>
      </c>
      <c r="M16" s="217">
        <f t="shared" si="6"/>
        <v>545.90700000000004</v>
      </c>
      <c r="N16" s="217"/>
      <c r="O16" s="217"/>
    </row>
    <row r="17" spans="1:15" ht="12" customHeight="1" x14ac:dyDescent="0.2">
      <c r="A17" s="213" t="s">
        <v>213</v>
      </c>
      <c r="B17" s="217"/>
      <c r="C17" s="217">
        <f>Cifras_Originales!C11</f>
        <v>393.93299999999999</v>
      </c>
      <c r="D17" s="217">
        <f>Cifras_Originales!D11</f>
        <v>375</v>
      </c>
      <c r="E17" s="217">
        <f>Cifras_Originales!E11</f>
        <v>322.55099999999999</v>
      </c>
      <c r="F17" s="217">
        <f>Cifras_Originales!F11</f>
        <v>326.01400000000001</v>
      </c>
      <c r="G17" s="217">
        <f>Cifras_Originales!G11</f>
        <v>335.74599999999998</v>
      </c>
      <c r="H17" s="217">
        <f>Cifras_Originales!H11</f>
        <v>243.83</v>
      </c>
      <c r="I17" s="217">
        <f>Cifras_Originales!I11</f>
        <v>237.65100000000001</v>
      </c>
      <c r="J17" s="217">
        <f>Cifras_Originales!J11</f>
        <v>233.834</v>
      </c>
      <c r="K17" s="217">
        <f>Cifras_Originales!K11</f>
        <v>193.59399999999999</v>
      </c>
      <c r="L17" s="217">
        <f>Cifras_Originales!L11</f>
        <v>179.43100000000001</v>
      </c>
      <c r="M17" s="217">
        <f>Cifras_Originales!M11</f>
        <v>154.928</v>
      </c>
      <c r="N17" s="217"/>
      <c r="O17" s="217"/>
    </row>
    <row r="18" spans="1:15" ht="12" customHeight="1" x14ac:dyDescent="0.2">
      <c r="A18" s="213" t="s">
        <v>214</v>
      </c>
      <c r="B18" s="217"/>
      <c r="C18" s="217">
        <f>Cifras_Originales!C12</f>
        <v>536.33100000000002</v>
      </c>
      <c r="D18" s="217">
        <f>Cifras_Originales!D12</f>
        <v>359.15499999999997</v>
      </c>
      <c r="E18" s="217">
        <f>Cifras_Originales!E12</f>
        <v>-248.73100000000011</v>
      </c>
      <c r="F18" s="217">
        <f>Cifras_Originales!F12</f>
        <v>392.78200000000015</v>
      </c>
      <c r="G18" s="217">
        <f>Cifras_Originales!G12</f>
        <v>333.54199999999997</v>
      </c>
      <c r="H18" s="217">
        <f>Cifras_Originales!H12</f>
        <v>617.75900000000001</v>
      </c>
      <c r="I18" s="217">
        <f>Cifras_Originales!I12</f>
        <v>581.07100000000003</v>
      </c>
      <c r="J18" s="217">
        <f>Cifras_Originales!J12</f>
        <v>598.26300000000003</v>
      </c>
      <c r="K18" s="217">
        <f>Cifras_Originales!K12</f>
        <v>621.01499999999999</v>
      </c>
      <c r="L18" s="217">
        <f>Cifras_Originales!L12</f>
        <v>731.55100000000004</v>
      </c>
      <c r="M18" s="217">
        <f>Cifras_Originales!M12</f>
        <v>617.48400000000004</v>
      </c>
      <c r="N18" s="217"/>
      <c r="O18" s="217"/>
    </row>
    <row r="19" spans="1:15" ht="12" customHeight="1" x14ac:dyDescent="0.2">
      <c r="A19" s="213" t="s">
        <v>215</v>
      </c>
      <c r="B19" s="217">
        <f>B11-B15+B17</f>
        <v>0</v>
      </c>
      <c r="C19" s="217">
        <f>C11-C15+C17</f>
        <v>1770.098</v>
      </c>
      <c r="D19" s="217">
        <f>D11-D15+D17</f>
        <v>1853.9680000000001</v>
      </c>
      <c r="E19" s="217">
        <f t="shared" ref="E19:M19" si="7">E11-E15+E17</f>
        <v>2374.7979999999998</v>
      </c>
      <c r="F19" s="217">
        <f t="shared" si="7"/>
        <v>1086.5610000000001</v>
      </c>
      <c r="G19" s="217">
        <f t="shared" si="7"/>
        <v>726.68299999999999</v>
      </c>
      <c r="H19" s="217">
        <f t="shared" si="7"/>
        <v>685.99800000000005</v>
      </c>
      <c r="I19" s="217">
        <f t="shared" si="7"/>
        <v>747.03500000000008</v>
      </c>
      <c r="J19" s="217">
        <f t="shared" si="7"/>
        <v>698.11199999999997</v>
      </c>
      <c r="K19" s="217">
        <f t="shared" si="7"/>
        <v>728.48099999999999</v>
      </c>
      <c r="L19" s="217">
        <f t="shared" si="7"/>
        <v>738.66</v>
      </c>
      <c r="M19" s="217">
        <f t="shared" si="7"/>
        <v>703.96400000000006</v>
      </c>
      <c r="N19" s="217"/>
      <c r="O19" s="217"/>
    </row>
    <row r="20" spans="1:15" ht="12.75" x14ac:dyDescent="0.2">
      <c r="A20" s="213" t="s">
        <v>206</v>
      </c>
      <c r="B20" s="218" t="e">
        <f>B19/B5</f>
        <v>#DIV/0!</v>
      </c>
      <c r="C20" s="218">
        <f>C19/C5</f>
        <v>0.13632498508402277</v>
      </c>
      <c r="D20" s="218">
        <f>D19/D5</f>
        <v>0.14989798837308393</v>
      </c>
      <c r="E20" s="218">
        <f t="shared" ref="E20:M20" si="8">E19/E5</f>
        <v>0.19317716674551674</v>
      </c>
      <c r="F20" s="218">
        <f t="shared" si="8"/>
        <v>0.11337216672880136</v>
      </c>
      <c r="G20" s="218">
        <f t="shared" si="8"/>
        <v>8.30424342252995E-2</v>
      </c>
      <c r="H20" s="218">
        <f t="shared" si="8"/>
        <v>8.1312429103296724E-2</v>
      </c>
      <c r="I20" s="218">
        <f t="shared" si="8"/>
        <v>8.6960879448766043E-2</v>
      </c>
      <c r="J20" s="218">
        <f t="shared" si="8"/>
        <v>8.8123412565619633E-2</v>
      </c>
      <c r="K20" s="218">
        <f t="shared" si="8"/>
        <v>0.10019413549873843</v>
      </c>
      <c r="L20" s="218">
        <f t="shared" si="8"/>
        <v>0.10839566751911628</v>
      </c>
      <c r="M20" s="218">
        <f t="shared" si="8"/>
        <v>0.1133018507612777</v>
      </c>
      <c r="N20" s="218"/>
      <c r="O20" s="218"/>
    </row>
    <row r="21" spans="1:15" ht="12" customHeight="1" x14ac:dyDescent="0.2">
      <c r="A21" s="213" t="s">
        <v>216</v>
      </c>
      <c r="B21" s="217"/>
      <c r="C21" s="217">
        <f>Cifras_Originales!C15</f>
        <v>191.92</v>
      </c>
      <c r="D21" s="217">
        <f>Cifras_Originales!D15</f>
        <v>340.7</v>
      </c>
      <c r="E21" s="217">
        <f>Cifras_Originales!E15</f>
        <v>474.5</v>
      </c>
      <c r="F21" s="217">
        <f>Cifras_Originales!F15</f>
        <v>181.5</v>
      </c>
      <c r="G21" s="217">
        <f>Cifras_Originales!G15</f>
        <v>76.5</v>
      </c>
      <c r="H21" s="217">
        <f>Cifras_Originales!H15</f>
        <v>111.2</v>
      </c>
      <c r="I21" s="217">
        <f>Cifras_Originales!I15</f>
        <v>177.9</v>
      </c>
      <c r="J21" s="217">
        <f>Cifras_Originales!J15</f>
        <v>171</v>
      </c>
      <c r="K21" s="217">
        <f>Cifras_Originales!K15</f>
        <v>200.5</v>
      </c>
      <c r="L21" s="217">
        <f>Cifras_Originales!L15</f>
        <v>211.7</v>
      </c>
      <c r="M21" s="217">
        <f>Cifras_Originales!M15</f>
        <v>208.3</v>
      </c>
      <c r="N21" s="217"/>
      <c r="O21" s="217"/>
    </row>
    <row r="22" spans="1:15" ht="12" customHeight="1" x14ac:dyDescent="0.2">
      <c r="A22" s="213" t="s">
        <v>217</v>
      </c>
      <c r="B22" s="220" t="e">
        <f>+B21/B16</f>
        <v>#DIV/0!</v>
      </c>
      <c r="C22" s="220">
        <f>+C21/C16</f>
        <v>0.15496602649247254</v>
      </c>
      <c r="D22" s="220">
        <f>+D21/D16</f>
        <v>0.24621535135010131</v>
      </c>
      <c r="E22" s="220">
        <f t="shared" ref="E22:M22" si="9">+E21/E16</f>
        <v>0.23791521092975962</v>
      </c>
      <c r="F22" s="220">
        <f t="shared" si="9"/>
        <v>0.25501064300617504</v>
      </c>
      <c r="G22" s="220">
        <f t="shared" si="9"/>
        <v>0.20458648124623921</v>
      </c>
      <c r="H22" s="220">
        <f t="shared" si="9"/>
        <v>0.25796394072396933</v>
      </c>
      <c r="I22" s="220">
        <f t="shared" si="9"/>
        <v>0.35485112808350472</v>
      </c>
      <c r="J22" s="220">
        <f t="shared" si="9"/>
        <v>0.3730187469187779</v>
      </c>
      <c r="K22" s="220">
        <f t="shared" si="9"/>
        <v>0.37767836119613835</v>
      </c>
      <c r="L22" s="220">
        <f t="shared" si="9"/>
        <v>0.38081429861453397</v>
      </c>
      <c r="M22" s="220">
        <f t="shared" si="9"/>
        <v>0.38156682365311306</v>
      </c>
      <c r="N22" s="220"/>
      <c r="O22" s="220"/>
    </row>
    <row r="23" spans="1:15" ht="12" customHeight="1" x14ac:dyDescent="0.2">
      <c r="A23" s="213" t="s">
        <v>41</v>
      </c>
      <c r="B23" s="217"/>
      <c r="C23" s="217">
        <f>Cifras_Originales!C16</f>
        <v>1046.519</v>
      </c>
      <c r="D23" s="217">
        <f>Cifras_Originales!D16</f>
        <v>1043</v>
      </c>
      <c r="E23" s="217">
        <f>Cifras_Originales!E16</f>
        <v>1519.8710000000001</v>
      </c>
      <c r="F23" s="217">
        <f>Cifras_Originales!F16</f>
        <v>530.25099999999998</v>
      </c>
      <c r="G23" s="217">
        <f>Cifras_Originales!G16</f>
        <v>297.46199999999999</v>
      </c>
      <c r="H23" s="217">
        <f>Cifras_Originales!H16</f>
        <v>319.86399999999998</v>
      </c>
      <c r="I23" s="217">
        <f>Cifras_Originales!I16</f>
        <v>323.44499999999999</v>
      </c>
      <c r="J23" s="217">
        <f>Cifras_Originales!J16</f>
        <v>287.39600000000002</v>
      </c>
      <c r="K23" s="217">
        <f>Cifras_Originales!K16</f>
        <v>330.39100000000002</v>
      </c>
      <c r="L23" s="217">
        <f>Cifras_Originales!L16</f>
        <v>344.19799999999998</v>
      </c>
      <c r="M23" s="217">
        <f>Cifras_Originales!M16</f>
        <v>337.59800000000001</v>
      </c>
      <c r="N23" s="217"/>
      <c r="O23" s="217"/>
    </row>
    <row r="24" spans="1:15" ht="12" customHeight="1" x14ac:dyDescent="0.2">
      <c r="A24" s="213" t="s">
        <v>206</v>
      </c>
      <c r="B24" s="218" t="e">
        <f>B23/B5</f>
        <v>#DIV/0!</v>
      </c>
      <c r="C24" s="218">
        <f>C23/C5</f>
        <v>8.059818556099517E-2</v>
      </c>
      <c r="D24" s="218">
        <f>D23/D5</f>
        <v>8.432918037049536E-2</v>
      </c>
      <c r="E24" s="218">
        <f t="shared" ref="E24:M24" si="10">E23/E5</f>
        <v>0.12363340949363917</v>
      </c>
      <c r="F24" s="218">
        <f t="shared" si="10"/>
        <v>5.5326580633865599E-2</v>
      </c>
      <c r="G24" s="218">
        <f t="shared" si="10"/>
        <v>3.3992770671016158E-2</v>
      </c>
      <c r="H24" s="218">
        <f t="shared" si="10"/>
        <v>3.7913986371238544E-2</v>
      </c>
      <c r="I24" s="218">
        <f t="shared" si="10"/>
        <v>3.7651598189249673E-2</v>
      </c>
      <c r="J24" s="218">
        <f t="shared" si="10"/>
        <v>3.6278299581884887E-2</v>
      </c>
      <c r="K24" s="218">
        <f t="shared" si="10"/>
        <v>4.5441460548131925E-2</v>
      </c>
      <c r="L24" s="218">
        <f t="shared" si="10"/>
        <v>5.0509804197797069E-2</v>
      </c>
      <c r="M24" s="218">
        <f t="shared" si="10"/>
        <v>5.4335844181386872E-2</v>
      </c>
      <c r="N24" s="218"/>
      <c r="O24" s="218"/>
    </row>
    <row r="25" spans="1:15" ht="12" customHeight="1" x14ac:dyDescent="0.2">
      <c r="A25" s="221" t="s">
        <v>218</v>
      </c>
      <c r="B25" s="222">
        <f>B23/C23-1</f>
        <v>-1</v>
      </c>
      <c r="C25" s="222">
        <f>C23/D23-1</f>
        <v>3.3739213806327495E-3</v>
      </c>
      <c r="D25" s="222">
        <f>D23/E23-1</f>
        <v>-0.3137575491604222</v>
      </c>
      <c r="E25" s="222">
        <f t="shared" ref="E25:L25" si="11">E23/F23-1</f>
        <v>1.8663236844437825</v>
      </c>
      <c r="F25" s="222">
        <f t="shared" si="11"/>
        <v>0.7825839939219128</v>
      </c>
      <c r="G25" s="222">
        <f t="shared" si="11"/>
        <v>-7.0036015306505273E-2</v>
      </c>
      <c r="H25" s="222">
        <f t="shared" si="11"/>
        <v>-1.1071434092349564E-2</v>
      </c>
      <c r="I25" s="222">
        <f t="shared" si="11"/>
        <v>0.12543320018371862</v>
      </c>
      <c r="J25" s="222">
        <f t="shared" si="11"/>
        <v>-0.13013369008235698</v>
      </c>
      <c r="K25" s="222">
        <f t="shared" si="11"/>
        <v>-4.0113539300053902E-2</v>
      </c>
      <c r="L25" s="222">
        <f t="shared" si="11"/>
        <v>1.9549878849993041E-2</v>
      </c>
      <c r="M25" s="222"/>
      <c r="N25" s="218"/>
      <c r="O25" s="218"/>
    </row>
    <row r="26" spans="1:15" ht="12" customHeight="1" x14ac:dyDescent="0.2">
      <c r="A26" s="213" t="s">
        <v>219</v>
      </c>
      <c r="B26" s="217">
        <f>B40-C40</f>
        <v>-1801.22</v>
      </c>
      <c r="C26" s="217">
        <f>C40-D40</f>
        <v>-123.16599999999994</v>
      </c>
      <c r="D26" s="217">
        <f>D40-E40</f>
        <v>-718.81899999999996</v>
      </c>
      <c r="E26" s="217">
        <f t="shared" ref="E26:M26" si="12">E40-F40</f>
        <v>985.13799999999992</v>
      </c>
      <c r="F26" s="217">
        <f t="shared" si="12"/>
        <v>1588.723</v>
      </c>
      <c r="G26" s="217">
        <f t="shared" si="12"/>
        <v>-44.309000000000012</v>
      </c>
      <c r="H26" s="217">
        <f t="shared" si="12"/>
        <v>12.400000000000006</v>
      </c>
      <c r="I26" s="217">
        <f t="shared" si="12"/>
        <v>-63.523999999999987</v>
      </c>
      <c r="J26" s="217">
        <f t="shared" si="12"/>
        <v>45.84099999999998</v>
      </c>
      <c r="K26" s="217">
        <f t="shared" si="12"/>
        <v>-102.74299999999999</v>
      </c>
      <c r="L26" s="217">
        <f t="shared" si="12"/>
        <v>39.948000000000008</v>
      </c>
      <c r="M26" s="217">
        <f t="shared" si="12"/>
        <v>181.73099999999999</v>
      </c>
      <c r="N26" s="218"/>
      <c r="O26" s="218"/>
    </row>
    <row r="27" spans="1:15" ht="12" customHeight="1" x14ac:dyDescent="0.2">
      <c r="A27" s="223" t="s">
        <v>220</v>
      </c>
      <c r="B27" s="224"/>
      <c r="C27" s="224">
        <f>Cifras_Originales!C17</f>
        <v>351.2</v>
      </c>
      <c r="D27" s="224">
        <f>Cifras_Originales!D17</f>
        <v>163.1</v>
      </c>
      <c r="E27" s="224">
        <f>Cifras_Originales!E17</f>
        <v>603</v>
      </c>
      <c r="F27" s="224">
        <f>Cifras_Originales!F17</f>
        <v>107.4</v>
      </c>
      <c r="G27" s="224">
        <f>Cifras_Originales!G17</f>
        <v>98.3</v>
      </c>
      <c r="H27" s="224">
        <f>Cifras_Originales!H17</f>
        <v>89.3</v>
      </c>
      <c r="I27" s="224">
        <f>Cifras_Originales!I17</f>
        <v>73.099999999999994</v>
      </c>
      <c r="J27" s="224">
        <f>Cifras_Originales!J17</f>
        <v>68</v>
      </c>
      <c r="K27" s="224">
        <f>Cifras_Originales!K17</f>
        <v>64.7</v>
      </c>
      <c r="L27" s="224">
        <f>Cifras_Originales!L17</f>
        <v>61.3</v>
      </c>
      <c r="M27" s="224">
        <f>Cifras_Originales!M17</f>
        <v>64.400000000000006</v>
      </c>
      <c r="N27" s="218"/>
      <c r="O27" s="218"/>
    </row>
    <row r="28" spans="1:15" ht="12" customHeight="1" x14ac:dyDescent="0.2">
      <c r="A28" s="362"/>
      <c r="B28" s="363">
        <f>B27/C27-1</f>
        <v>-1</v>
      </c>
      <c r="C28" s="363">
        <f>C27/D27-1</f>
        <v>1.1532801961986512</v>
      </c>
      <c r="D28" s="363">
        <f t="shared" ref="D28:L28" si="13">D27/E27-1</f>
        <v>-0.72951907131011606</v>
      </c>
      <c r="E28" s="363">
        <f t="shared" si="13"/>
        <v>4.6145251396648046</v>
      </c>
      <c r="F28" s="363">
        <f t="shared" si="13"/>
        <v>9.2573753814852555E-2</v>
      </c>
      <c r="G28" s="363">
        <f t="shared" si="13"/>
        <v>0.1007838745800671</v>
      </c>
      <c r="H28" s="363">
        <f t="shared" si="13"/>
        <v>0.22161422708618339</v>
      </c>
      <c r="I28" s="363">
        <f t="shared" si="13"/>
        <v>7.4999999999999956E-2</v>
      </c>
      <c r="J28" s="363">
        <f t="shared" si="13"/>
        <v>5.1004636785162205E-2</v>
      </c>
      <c r="K28" s="363">
        <f t="shared" si="13"/>
        <v>5.5464926590538477E-2</v>
      </c>
      <c r="L28" s="363">
        <f t="shared" si="13"/>
        <v>-4.8136645962733038E-2</v>
      </c>
      <c r="M28" s="217"/>
      <c r="N28" s="218"/>
      <c r="O28" s="218"/>
    </row>
    <row r="29" spans="1:15" ht="12" customHeight="1" x14ac:dyDescent="0.2">
      <c r="A29" s="225" t="s">
        <v>221</v>
      </c>
      <c r="B29" s="226"/>
      <c r="C29" s="226">
        <f>Cifras_Originales!C18</f>
        <v>648.6</v>
      </c>
      <c r="D29" s="226">
        <f>Cifras_Originales!D18</f>
        <v>426.7</v>
      </c>
      <c r="E29" s="226">
        <f>Cifras_Originales!E18</f>
        <v>1180</v>
      </c>
      <c r="F29" s="226">
        <f>Cifras_Originales!F18</f>
        <v>0.30690000000000001</v>
      </c>
      <c r="G29" s="226">
        <f>Cifras_Originales!G18</f>
        <v>402.2</v>
      </c>
      <c r="H29" s="226">
        <f>Cifras_Originales!H18</f>
        <v>33.89</v>
      </c>
      <c r="I29" s="226">
        <f>Cifras_Originales!I18</f>
        <v>42.53</v>
      </c>
      <c r="J29" s="226">
        <f>Cifras_Originales!J18</f>
        <v>29.88</v>
      </c>
      <c r="K29" s="226">
        <f>Cifras_Originales!K18</f>
        <v>57.33</v>
      </c>
      <c r="L29" s="226">
        <f>Cifras_Originales!L18</f>
        <v>7.22E-2</v>
      </c>
      <c r="M29" s="226">
        <f>Cifras_Originales!M18</f>
        <v>150.06800000000001</v>
      </c>
      <c r="N29" s="218"/>
      <c r="O29" s="218"/>
    </row>
    <row r="30" spans="1:15" ht="12" customHeight="1" x14ac:dyDescent="0.2">
      <c r="A30" s="213" t="s">
        <v>12</v>
      </c>
      <c r="B30" s="217">
        <f>SUM(B26:B29)</f>
        <v>-1802.22</v>
      </c>
      <c r="C30" s="217">
        <f>SUM(C26:C29)</f>
        <v>877.78728019619871</v>
      </c>
      <c r="D30" s="217">
        <f>SUM(D26:D29)</f>
        <v>-129.74851907131011</v>
      </c>
      <c r="E30" s="217">
        <f t="shared" ref="E30:M30" si="14">SUM(E26:E29)</f>
        <v>2772.7525251396646</v>
      </c>
      <c r="F30" s="217">
        <f t="shared" si="14"/>
        <v>1696.5224737538149</v>
      </c>
      <c r="G30" s="217">
        <f t="shared" si="14"/>
        <v>456.29178387458006</v>
      </c>
      <c r="H30" s="217">
        <f t="shared" si="14"/>
        <v>135.81161422708618</v>
      </c>
      <c r="I30" s="217">
        <f t="shared" si="14"/>
        <v>52.181000000000012</v>
      </c>
      <c r="J30" s="217">
        <f t="shared" si="14"/>
        <v>143.77200463678514</v>
      </c>
      <c r="K30" s="217">
        <f t="shared" si="14"/>
        <v>19.342464926590544</v>
      </c>
      <c r="L30" s="217">
        <f t="shared" si="14"/>
        <v>101.27206335403727</v>
      </c>
      <c r="M30" s="217">
        <f t="shared" si="14"/>
        <v>396.19900000000001</v>
      </c>
      <c r="N30" s="218"/>
      <c r="O30" s="218"/>
    </row>
    <row r="31" spans="1:15" ht="12" customHeight="1" x14ac:dyDescent="0.2">
      <c r="A31" s="227" t="s">
        <v>222</v>
      </c>
      <c r="B31" s="228">
        <f>B30-(B60-C60)</f>
        <v>4355.3499999999995</v>
      </c>
      <c r="C31" s="228">
        <f>C30-(C60-D60)</f>
        <v>669.74528019619925</v>
      </c>
      <c r="D31" s="228">
        <f>D30-(D60-E60)</f>
        <v>345.84648092869105</v>
      </c>
      <c r="E31" s="228">
        <f t="shared" ref="E31:M31" si="15">E30-(E60-F60)</f>
        <v>1315.4145251396631</v>
      </c>
      <c r="F31" s="228">
        <f t="shared" si="15"/>
        <v>1265.8854737538152</v>
      </c>
      <c r="G31" s="228">
        <f t="shared" si="15"/>
        <v>-2734.2682161254202</v>
      </c>
      <c r="H31" s="228">
        <f t="shared" si="15"/>
        <v>72.473614227086216</v>
      </c>
      <c r="I31" s="228">
        <f t="shared" si="15"/>
        <v>-32.762999999999948</v>
      </c>
      <c r="J31" s="228">
        <f t="shared" si="15"/>
        <v>-35.466995363214892</v>
      </c>
      <c r="K31" s="228">
        <f t="shared" si="15"/>
        <v>-2.7435350734093547</v>
      </c>
      <c r="L31" s="228">
        <f t="shared" si="15"/>
        <v>-2.4129366459629011</v>
      </c>
      <c r="M31" s="228">
        <f t="shared" si="15"/>
        <v>-497.09699999999992</v>
      </c>
      <c r="N31" s="228"/>
      <c r="O31" s="228"/>
    </row>
    <row r="32" spans="1:15" ht="12" customHeight="1" x14ac:dyDescent="0.2">
      <c r="A32" s="229" t="s">
        <v>223</v>
      </c>
      <c r="B32" s="230">
        <f>B31+B34</f>
        <v>4355.3499999999995</v>
      </c>
      <c r="C32" s="230">
        <f>C31+C34</f>
        <v>669.74528019619925</v>
      </c>
      <c r="D32" s="230">
        <f>D31+D34</f>
        <v>345.84648092869105</v>
      </c>
      <c r="E32" s="230">
        <f t="shared" ref="E32:M32" si="16">E31+E34</f>
        <v>1315.4145251396631</v>
      </c>
      <c r="F32" s="230">
        <f t="shared" si="16"/>
        <v>1274.3854737538152</v>
      </c>
      <c r="G32" s="230">
        <f t="shared" si="16"/>
        <v>-2734.2682161254202</v>
      </c>
      <c r="H32" s="230">
        <f t="shared" si="16"/>
        <v>72.473614227086216</v>
      </c>
      <c r="I32" s="230">
        <f t="shared" si="16"/>
        <v>-32.762999999999948</v>
      </c>
      <c r="J32" s="230">
        <f t="shared" si="16"/>
        <v>-35.466995363214892</v>
      </c>
      <c r="K32" s="230">
        <f t="shared" si="16"/>
        <v>-2.7435350734093547</v>
      </c>
      <c r="L32" s="230">
        <f t="shared" si="16"/>
        <v>-2.4129366459629011</v>
      </c>
      <c r="M32" s="230">
        <f t="shared" si="16"/>
        <v>-497.09699999999992</v>
      </c>
      <c r="N32" s="217"/>
      <c r="O32" s="217"/>
    </row>
    <row r="33" spans="1:15" ht="12" customHeight="1" x14ac:dyDescent="0.2">
      <c r="A33" s="213" t="s">
        <v>118</v>
      </c>
      <c r="B33" s="217"/>
      <c r="C33" s="217">
        <f>Cifras_Originales!C13</f>
        <v>520.4</v>
      </c>
      <c r="D33" s="217">
        <f>Cifras_Originales!D13</f>
        <v>328</v>
      </c>
      <c r="E33" s="217">
        <f>Cifras_Originales!E13</f>
        <v>268.10000000000002</v>
      </c>
      <c r="F33" s="217">
        <f>Cifras_Originales!F13</f>
        <v>167.3</v>
      </c>
      <c r="G33" s="217">
        <f>Cifras_Originales!G13</f>
        <v>179.5</v>
      </c>
      <c r="H33" s="217">
        <f>Cifras_Originales!H13</f>
        <v>170.5</v>
      </c>
      <c r="I33" s="217">
        <f>Cifras_Originales!I13</f>
        <v>372.6</v>
      </c>
      <c r="J33" s="217">
        <f>Cifras_Originales!J13</f>
        <v>242</v>
      </c>
      <c r="K33" s="217">
        <f>Cifras_Originales!K13</f>
        <v>370.02800000000002</v>
      </c>
      <c r="L33" s="217">
        <f>Cifras_Originales!L13</f>
        <v>349.00700000000001</v>
      </c>
      <c r="M33" s="217">
        <f>Cifras_Originales!M13</f>
        <v>285.66800000000001</v>
      </c>
      <c r="N33" s="218"/>
      <c r="O33" s="218"/>
    </row>
    <row r="34" spans="1:15" ht="12" customHeight="1" x14ac:dyDescent="0.2">
      <c r="A34" s="231" t="s">
        <v>19</v>
      </c>
      <c r="B34" s="217"/>
      <c r="C34" s="217">
        <f>Cifras_Originales!C14</f>
        <v>0</v>
      </c>
      <c r="D34" s="217">
        <f>Cifras_Originales!D14</f>
        <v>0</v>
      </c>
      <c r="E34" s="217">
        <f>Cifras_Originales!E14</f>
        <v>0</v>
      </c>
      <c r="F34" s="217">
        <f>Cifras_Originales!F14</f>
        <v>8.5</v>
      </c>
      <c r="G34" s="217">
        <f>Cifras_Originales!G14</f>
        <v>0</v>
      </c>
      <c r="H34" s="217">
        <f>Cifras_Originales!H14</f>
        <v>0</v>
      </c>
      <c r="I34" s="217">
        <f>Cifras_Originales!I14</f>
        <v>0</v>
      </c>
      <c r="J34" s="217">
        <f>Cifras_Originales!J14</f>
        <v>0</v>
      </c>
      <c r="K34" s="217">
        <f>Cifras_Originales!K14</f>
        <v>0</v>
      </c>
      <c r="L34" s="217">
        <f>Cifras_Originales!L14</f>
        <v>0</v>
      </c>
      <c r="M34" s="217">
        <f>Cifras_Originales!M14</f>
        <v>0</v>
      </c>
      <c r="N34" s="218"/>
      <c r="O34" s="218"/>
    </row>
    <row r="35" spans="1:15" ht="12" customHeight="1" x14ac:dyDescent="0.2">
      <c r="A35" s="231" t="s">
        <v>224</v>
      </c>
      <c r="B35" s="217">
        <f t="shared" ref="B35:M35" si="17">+B34+B33</f>
        <v>0</v>
      </c>
      <c r="C35" s="217">
        <f t="shared" si="17"/>
        <v>520.4</v>
      </c>
      <c r="D35" s="217">
        <f t="shared" si="17"/>
        <v>328</v>
      </c>
      <c r="E35" s="217">
        <f t="shared" si="17"/>
        <v>268.10000000000002</v>
      </c>
      <c r="F35" s="217">
        <f t="shared" si="17"/>
        <v>175.8</v>
      </c>
      <c r="G35" s="217">
        <f t="shared" si="17"/>
        <v>179.5</v>
      </c>
      <c r="H35" s="217">
        <f t="shared" si="17"/>
        <v>170.5</v>
      </c>
      <c r="I35" s="217">
        <f t="shared" si="17"/>
        <v>372.6</v>
      </c>
      <c r="J35" s="217">
        <f t="shared" si="17"/>
        <v>242</v>
      </c>
      <c r="K35" s="217">
        <f t="shared" si="17"/>
        <v>370.02800000000002</v>
      </c>
      <c r="L35" s="217">
        <f t="shared" si="17"/>
        <v>349.00700000000001</v>
      </c>
      <c r="M35" s="217">
        <f t="shared" si="17"/>
        <v>285.66800000000001</v>
      </c>
      <c r="N35" s="217"/>
      <c r="O35" s="217"/>
    </row>
    <row r="36" spans="1:15" ht="12" customHeight="1" x14ac:dyDescent="0.2">
      <c r="A36" s="231"/>
      <c r="B36" s="218" t="e">
        <f>+B35/B5</f>
        <v>#DIV/0!</v>
      </c>
      <c r="C36" s="218">
        <f>+C35/C5</f>
        <v>4.0078866954103919E-2</v>
      </c>
      <c r="D36" s="218">
        <f t="shared" ref="D36:M36" si="18">+D35/D5</f>
        <v>2.6519627192255493E-2</v>
      </c>
      <c r="E36" s="218">
        <f t="shared" si="18"/>
        <v>2.1808506830674881E-2</v>
      </c>
      <c r="F36" s="218">
        <f t="shared" si="18"/>
        <v>1.8343035421778692E-2</v>
      </c>
      <c r="G36" s="218">
        <f t="shared" si="18"/>
        <v>2.0512543906271729E-2</v>
      </c>
      <c r="H36" s="218">
        <f t="shared" si="18"/>
        <v>2.0209634958282811E-2</v>
      </c>
      <c r="I36" s="218">
        <f t="shared" si="18"/>
        <v>4.3373635348558266E-2</v>
      </c>
      <c r="J36" s="218">
        <f t="shared" si="18"/>
        <v>3.0547914719815664E-2</v>
      </c>
      <c r="K36" s="218">
        <f t="shared" si="18"/>
        <v>5.0893071432648464E-2</v>
      </c>
      <c r="L36" s="218">
        <f t="shared" si="18"/>
        <v>5.1215507451119885E-2</v>
      </c>
      <c r="M36" s="218">
        <f t="shared" si="18"/>
        <v>4.5977795886256508E-2</v>
      </c>
      <c r="N36" s="217"/>
      <c r="O36" s="217"/>
    </row>
    <row r="37" spans="1:15" ht="12" customHeight="1" x14ac:dyDescent="0.2">
      <c r="A37" s="231" t="s">
        <v>225</v>
      </c>
      <c r="B37" s="217">
        <f t="shared" ref="B37:M37" si="19">SUM(B27:B29)</f>
        <v>-1</v>
      </c>
      <c r="C37" s="217">
        <f t="shared" si="19"/>
        <v>1000.9532801961986</v>
      </c>
      <c r="D37" s="217">
        <f t="shared" si="19"/>
        <v>589.0704809286899</v>
      </c>
      <c r="E37" s="217">
        <f t="shared" si="19"/>
        <v>1787.6145251396647</v>
      </c>
      <c r="F37" s="217">
        <f t="shared" si="19"/>
        <v>107.79947375381485</v>
      </c>
      <c r="G37" s="217">
        <f t="shared" si="19"/>
        <v>500.60078387458009</v>
      </c>
      <c r="H37" s="217">
        <f t="shared" si="19"/>
        <v>123.41161422708618</v>
      </c>
      <c r="I37" s="217">
        <f t="shared" si="19"/>
        <v>115.705</v>
      </c>
      <c r="J37" s="217">
        <f t="shared" si="19"/>
        <v>97.931004636785161</v>
      </c>
      <c r="K37" s="217">
        <f t="shared" si="19"/>
        <v>122.08546492659055</v>
      </c>
      <c r="L37" s="217">
        <f t="shared" si="19"/>
        <v>61.324063354037264</v>
      </c>
      <c r="M37" s="217">
        <f t="shared" si="19"/>
        <v>214.46800000000002</v>
      </c>
      <c r="N37" s="217"/>
      <c r="O37" s="217"/>
    </row>
    <row r="38" spans="1:15" ht="12" customHeight="1" x14ac:dyDescent="0.2">
      <c r="A38" s="216"/>
      <c r="B38" s="210"/>
      <c r="C38" s="210"/>
      <c r="D38" s="210"/>
      <c r="E38" s="210"/>
      <c r="F38" s="210"/>
      <c r="G38" s="210"/>
      <c r="H38" s="210"/>
      <c r="I38" s="210"/>
      <c r="J38" s="210"/>
      <c r="K38" s="210"/>
      <c r="L38" s="210"/>
      <c r="M38" s="210"/>
      <c r="N38" s="210"/>
      <c r="O38" s="210"/>
    </row>
    <row r="39" spans="1:15" ht="12" customHeight="1" x14ac:dyDescent="0.2">
      <c r="A39" s="232" t="s">
        <v>226</v>
      </c>
      <c r="B39" s="233"/>
      <c r="C39" s="233"/>
      <c r="D39" s="233"/>
      <c r="E39" s="233"/>
      <c r="F39" s="233"/>
      <c r="G39" s="233"/>
      <c r="H39" s="233"/>
      <c r="I39" s="233"/>
      <c r="J39" s="233"/>
      <c r="K39" s="233"/>
      <c r="L39" s="233"/>
      <c r="M39" s="233"/>
      <c r="N39" s="233"/>
      <c r="O39" s="233"/>
    </row>
    <row r="40" spans="1:15" ht="12" customHeight="1" x14ac:dyDescent="0.2">
      <c r="A40" s="213" t="s">
        <v>227</v>
      </c>
      <c r="B40" s="217"/>
      <c r="C40" s="217">
        <f>Cifras_Originales!C22</f>
        <v>1801.22</v>
      </c>
      <c r="D40" s="217">
        <f>Cifras_Originales!D22</f>
        <v>1924.386</v>
      </c>
      <c r="E40" s="217">
        <f>Cifras_Originales!E22</f>
        <v>2643.2049999999999</v>
      </c>
      <c r="F40" s="217">
        <f>Cifras_Originales!F22</f>
        <v>1658.067</v>
      </c>
      <c r="G40" s="217">
        <f>Cifras_Originales!G22</f>
        <v>69.343999999999994</v>
      </c>
      <c r="H40" s="217">
        <f>Cifras_Originales!H22</f>
        <v>113.65300000000001</v>
      </c>
      <c r="I40" s="217">
        <f>Cifras_Originales!I22</f>
        <v>101.253</v>
      </c>
      <c r="J40" s="217">
        <f>Cifras_Originales!J22</f>
        <v>164.77699999999999</v>
      </c>
      <c r="K40" s="217">
        <f>Cifras_Originales!K22</f>
        <v>118.93600000000001</v>
      </c>
      <c r="L40" s="217">
        <f>Cifras_Originales!L22</f>
        <v>221.679</v>
      </c>
      <c r="M40" s="217">
        <f>Cifras_Originales!M22</f>
        <v>181.73099999999999</v>
      </c>
      <c r="N40" s="217"/>
      <c r="O40" s="217"/>
    </row>
    <row r="41" spans="1:15" ht="12" customHeight="1" x14ac:dyDescent="0.2">
      <c r="A41" s="213" t="s">
        <v>228</v>
      </c>
      <c r="B41" s="217"/>
      <c r="C41" s="217">
        <f>Cifras_Originales!C23</f>
        <v>114.877</v>
      </c>
      <c r="D41" s="217">
        <f>Cifras_Originales!D23</f>
        <v>71.286000000000001</v>
      </c>
      <c r="E41" s="217">
        <f>Cifras_Originales!E23</f>
        <v>68.263000000000005</v>
      </c>
      <c r="F41" s="217">
        <f>Cifras_Originales!F23</f>
        <v>53.149000000000001</v>
      </c>
      <c r="G41" s="217">
        <f>Cifras_Originales!G23</f>
        <v>53.173000000000002</v>
      </c>
      <c r="H41" s="217">
        <f>Cifras_Originales!H23</f>
        <v>37.97</v>
      </c>
      <c r="I41" s="217">
        <f>Cifras_Originales!I23</f>
        <v>60.106999999999999</v>
      </c>
      <c r="J41" s="217">
        <f>Cifras_Originales!J23</f>
        <v>75.198999999999998</v>
      </c>
      <c r="K41" s="217">
        <f>Cifras_Originales!K23</f>
        <v>61.395000000000003</v>
      </c>
      <c r="L41" s="217">
        <f>Cifras_Originales!L23</f>
        <v>80.292000000000002</v>
      </c>
      <c r="M41" s="217">
        <f>Cifras_Originales!M23</f>
        <v>60.779000000000003</v>
      </c>
      <c r="N41" s="217"/>
      <c r="O41" s="217"/>
    </row>
    <row r="42" spans="1:15" ht="12" customHeight="1" x14ac:dyDescent="0.2">
      <c r="A42" s="213" t="s">
        <v>229</v>
      </c>
      <c r="B42" s="217"/>
      <c r="C42" s="217">
        <f>Cifras_Originales!C24</f>
        <v>2848.797</v>
      </c>
      <c r="D42" s="217">
        <f>Cifras_Originales!D24</f>
        <v>2830.9169999999999</v>
      </c>
      <c r="E42" s="217">
        <f>Cifras_Originales!E24</f>
        <v>2297.6089999999999</v>
      </c>
      <c r="F42" s="217">
        <f>Cifras_Originales!F24</f>
        <v>1953.568</v>
      </c>
      <c r="G42" s="217">
        <f>Cifras_Originales!G24</f>
        <v>2202.2750000000001</v>
      </c>
      <c r="H42" s="217">
        <f>Cifras_Originales!H24</f>
        <v>1824.6959999999999</v>
      </c>
      <c r="I42" s="217">
        <f>Cifras_Originales!I24</f>
        <v>1711.1030000000001</v>
      </c>
      <c r="J42" s="217">
        <f>Cifras_Originales!J24</f>
        <v>1638.6320000000001</v>
      </c>
      <c r="K42" s="217">
        <f>Cifras_Originales!K24</f>
        <v>1527.1869999999999</v>
      </c>
      <c r="L42" s="217">
        <f>Cifras_Originales!L24</f>
        <v>1390.7670000000001</v>
      </c>
      <c r="M42" s="217">
        <f>Cifras_Originales!M24</f>
        <v>1232.0650000000001</v>
      </c>
      <c r="N42" s="217"/>
      <c r="O42" s="217"/>
    </row>
    <row r="43" spans="1:15" ht="12" customHeight="1" x14ac:dyDescent="0.2">
      <c r="A43" s="213" t="s">
        <v>230</v>
      </c>
      <c r="B43" s="217"/>
      <c r="C43" s="217">
        <f>Cifras_Originales!C25</f>
        <v>1638.1610000000001</v>
      </c>
      <c r="D43" s="217">
        <f>Cifras_Originales!D25</f>
        <v>1312.9880000000001</v>
      </c>
      <c r="E43" s="217">
        <f>Cifras_Originales!E25</f>
        <v>1319.681</v>
      </c>
      <c r="F43" s="217">
        <f>Cifras_Originales!F25</f>
        <v>1300.2650000000001</v>
      </c>
      <c r="G43" s="217">
        <f>Cifras_Originales!G25</f>
        <v>1415.7280000000001</v>
      </c>
      <c r="H43" s="217">
        <f>Cifras_Originales!H25</f>
        <v>1565.271</v>
      </c>
      <c r="I43" s="217">
        <f>Cifras_Originales!I25</f>
        <v>1677.34</v>
      </c>
      <c r="J43" s="217">
        <f>Cifras_Originales!J25</f>
        <v>1522.5740000000001</v>
      </c>
      <c r="K43" s="217">
        <f>Cifras_Originales!K25</f>
        <v>1347.885</v>
      </c>
      <c r="L43" s="217">
        <f>Cifras_Originales!L25</f>
        <v>1203.3820000000001</v>
      </c>
      <c r="M43" s="217">
        <f>Cifras_Originales!M25</f>
        <v>1084.529</v>
      </c>
      <c r="N43" s="217"/>
      <c r="O43" s="217"/>
    </row>
    <row r="44" spans="1:15" ht="12" customHeight="1" x14ac:dyDescent="0.2">
      <c r="A44" s="213" t="s">
        <v>231</v>
      </c>
      <c r="B44" s="217">
        <f>B45-SUM(B40:B43)</f>
        <v>0</v>
      </c>
      <c r="C44" s="217">
        <f>Cifras_Originales!C26</f>
        <v>2908.6970000000001</v>
      </c>
      <c r="D44" s="217">
        <f>Cifras_Originales!D26</f>
        <v>2852.6189999999997</v>
      </c>
      <c r="E44" s="217">
        <f>Cifras_Originales!E26</f>
        <v>2712.9179999999997</v>
      </c>
      <c r="F44" s="217">
        <f>Cifras_Originales!F26</f>
        <v>2787.8100000000004</v>
      </c>
      <c r="G44" s="217">
        <f>Cifras_Originales!G26</f>
        <v>2888.0400000000004</v>
      </c>
      <c r="H44" s="217">
        <f>Cifras_Originales!H26</f>
        <v>645.5590000000002</v>
      </c>
      <c r="I44" s="217">
        <f>Cifras_Originales!I26</f>
        <v>654.13600000000042</v>
      </c>
      <c r="J44" s="217">
        <f>Cifras_Originales!J26</f>
        <v>657.11399999999958</v>
      </c>
      <c r="K44" s="217">
        <f>Cifras_Originales!K26</f>
        <v>503.93299999999954</v>
      </c>
      <c r="L44" s="217">
        <f>Cifras_Originales!L26</f>
        <v>540.07799999999997</v>
      </c>
      <c r="M44" s="217">
        <f>Cifras_Originales!M26</f>
        <v>512.38299999999981</v>
      </c>
      <c r="N44" s="217"/>
      <c r="O44" s="217"/>
    </row>
    <row r="45" spans="1:15" ht="12" customHeight="1" x14ac:dyDescent="0.2">
      <c r="A45" s="213" t="s">
        <v>232</v>
      </c>
      <c r="B45" s="234"/>
      <c r="C45" s="234">
        <f>Cifras_Originales!C27</f>
        <v>9311.7520000000004</v>
      </c>
      <c r="D45" s="234">
        <f>Cifras_Originales!D27</f>
        <v>8992.1959999999999</v>
      </c>
      <c r="E45" s="234">
        <f>Cifras_Originales!E27</f>
        <v>9041.6759999999995</v>
      </c>
      <c r="F45" s="234">
        <f>Cifras_Originales!F27</f>
        <v>7752.8590000000004</v>
      </c>
      <c r="G45" s="234">
        <f>Cifras_Originales!G27</f>
        <v>6628.56</v>
      </c>
      <c r="H45" s="234">
        <f>Cifras_Originales!H27</f>
        <v>4187.1490000000003</v>
      </c>
      <c r="I45" s="234">
        <f>Cifras_Originales!I27</f>
        <v>4203.9390000000003</v>
      </c>
      <c r="J45" s="234">
        <f>Cifras_Originales!J27</f>
        <v>4058.2959999999998</v>
      </c>
      <c r="K45" s="234">
        <f>Cifras_Originales!K27</f>
        <v>3559.3359999999998</v>
      </c>
      <c r="L45" s="234">
        <f>Cifras_Originales!L27</f>
        <v>3436.1979999999999</v>
      </c>
      <c r="M45" s="234">
        <f>Cifras_Originales!M27</f>
        <v>3071.4870000000001</v>
      </c>
      <c r="N45" s="234"/>
      <c r="O45" s="234"/>
    </row>
    <row r="46" spans="1:15" ht="12" customHeight="1" x14ac:dyDescent="0.2">
      <c r="B46" s="209"/>
      <c r="C46" s="209"/>
      <c r="D46" s="209"/>
      <c r="E46" s="209"/>
      <c r="F46" s="209"/>
      <c r="G46" s="209"/>
      <c r="H46" s="209"/>
      <c r="I46" s="209"/>
      <c r="J46" s="209"/>
      <c r="K46" s="209"/>
      <c r="L46" s="209"/>
      <c r="M46" s="209"/>
      <c r="N46" s="209"/>
      <c r="O46" s="209"/>
    </row>
    <row r="47" spans="1:15" ht="12" customHeight="1" x14ac:dyDescent="0.2">
      <c r="B47" s="209"/>
      <c r="C47" s="209"/>
      <c r="D47" s="209"/>
      <c r="E47" s="209"/>
      <c r="F47" s="209"/>
      <c r="G47" s="209"/>
      <c r="H47" s="209"/>
      <c r="I47" s="209"/>
      <c r="J47" s="209"/>
      <c r="K47" s="209"/>
      <c r="L47" s="209"/>
      <c r="M47" s="209"/>
      <c r="N47" s="209"/>
      <c r="O47" s="209"/>
    </row>
    <row r="48" spans="1:15" ht="12" customHeight="1" x14ac:dyDescent="0.2">
      <c r="A48" s="232" t="s">
        <v>233</v>
      </c>
      <c r="B48" s="233"/>
      <c r="C48" s="233"/>
      <c r="D48" s="233"/>
      <c r="E48" s="233"/>
      <c r="F48" s="233"/>
      <c r="G48" s="233"/>
      <c r="H48" s="233"/>
      <c r="I48" s="233"/>
      <c r="J48" s="233"/>
      <c r="K48" s="233"/>
      <c r="L48" s="233"/>
      <c r="M48" s="233"/>
      <c r="N48" s="233"/>
      <c r="O48" s="233"/>
    </row>
    <row r="49" spans="1:15" ht="12" customHeight="1" x14ac:dyDescent="0.2">
      <c r="A49" s="213" t="s">
        <v>234</v>
      </c>
      <c r="B49" s="217"/>
      <c r="C49" s="217">
        <f>Cifras_Originales!C31</f>
        <v>2752</v>
      </c>
      <c r="D49" s="217">
        <f>Cifras_Originales!D31</f>
        <v>2641.4459999999999</v>
      </c>
      <c r="E49" s="217">
        <f>Cifras_Originales!E31</f>
        <v>2712.68</v>
      </c>
      <c r="F49" s="217">
        <f>Cifras_Originales!F31</f>
        <v>2550.1979999999999</v>
      </c>
      <c r="G49" s="217">
        <f>Cifras_Originales!G31</f>
        <v>2076.4740000000002</v>
      </c>
      <c r="H49" s="217">
        <f>Cifras_Originales!H31</f>
        <v>1504.6389999999999</v>
      </c>
      <c r="I49" s="217">
        <f>Cifras_Originales!I31</f>
        <v>1425.0139999999999</v>
      </c>
      <c r="J49" s="217">
        <f>Cifras_Originales!J31</f>
        <v>1397.415</v>
      </c>
      <c r="K49" s="217">
        <f>Cifras_Originales!K31</f>
        <v>1191.675</v>
      </c>
      <c r="L49" s="217">
        <f>Cifras_Originales!L31</f>
        <v>1118.8330000000001</v>
      </c>
      <c r="M49" s="217">
        <f>Cifras_Originales!M31</f>
        <v>1002.587</v>
      </c>
      <c r="N49" s="217"/>
      <c r="O49" s="217"/>
    </row>
    <row r="50" spans="1:15" ht="12" customHeight="1" x14ac:dyDescent="0.2">
      <c r="A50" s="213" t="s">
        <v>235</v>
      </c>
      <c r="B50" s="217"/>
      <c r="C50" s="217">
        <f>Cifras_Originales!C32</f>
        <v>1894</v>
      </c>
      <c r="D50" s="217">
        <f>Cifras_Originales!D32</f>
        <v>1745</v>
      </c>
      <c r="E50" s="217">
        <f>Cifras_Originales!E32</f>
        <v>1914.9290000000001</v>
      </c>
      <c r="F50" s="217">
        <f>Cifras_Originales!F32</f>
        <v>1817.2239999999999</v>
      </c>
      <c r="G50" s="217">
        <f>Cifras_Originales!G32</f>
        <v>1427.5450000000001</v>
      </c>
      <c r="H50" s="217">
        <f>Cifras_Originales!H32</f>
        <v>1274.4079999999999</v>
      </c>
      <c r="I50" s="217">
        <f>Cifras_Originales!I32</f>
        <v>1207.732</v>
      </c>
      <c r="J50" s="217">
        <f>Cifras_Originales!J32</f>
        <v>1192.981</v>
      </c>
      <c r="K50" s="217">
        <f>Cifras_Originales!K32</f>
        <v>1006.7</v>
      </c>
      <c r="L50" s="217">
        <f>Cifras_Originales!L32</f>
        <v>946.03700000000003</v>
      </c>
      <c r="M50" s="217">
        <f>Cifras_Originales!M32</f>
        <v>847.30399999999997</v>
      </c>
      <c r="N50" s="217"/>
      <c r="O50" s="217"/>
    </row>
    <row r="51" spans="1:15" ht="12" customHeight="1" x14ac:dyDescent="0.2">
      <c r="A51" s="213" t="s">
        <v>236</v>
      </c>
      <c r="B51" s="217"/>
      <c r="C51" s="217">
        <f>Cifras_Originales!C33</f>
        <v>492.85599999999999</v>
      </c>
      <c r="D51" s="217">
        <f>Cifras_Originales!D33</f>
        <v>546.755</v>
      </c>
      <c r="E51" s="217">
        <f>Cifras_Originales!E33</f>
        <v>480.31799999999998</v>
      </c>
      <c r="F51" s="217">
        <f>Cifras_Originales!F33</f>
        <v>472.67</v>
      </c>
      <c r="G51" s="217">
        <f>Cifras_Originales!G33</f>
        <v>422.97</v>
      </c>
      <c r="H51" s="217">
        <f>Cifras_Originales!H33</f>
        <v>5.6230000000000002</v>
      </c>
      <c r="I51" s="217">
        <f>Cifras_Originales!I33</f>
        <v>5.202</v>
      </c>
      <c r="J51" s="217">
        <f>Cifras_Originales!J33</f>
        <v>0.64600000000000002</v>
      </c>
      <c r="K51" s="217">
        <f>Cifras_Originales!K33</f>
        <v>0.58899999999999997</v>
      </c>
      <c r="L51" s="217">
        <f>Cifras_Originales!L33</f>
        <v>0.53700000000000003</v>
      </c>
      <c r="M51" s="217">
        <f>Cifras_Originales!M33</f>
        <v>0.89900000000000002</v>
      </c>
      <c r="N51" s="217"/>
      <c r="O51" s="217"/>
    </row>
    <row r="52" spans="1:15" ht="12" customHeight="1" x14ac:dyDescent="0.2">
      <c r="A52" s="213" t="s">
        <v>237</v>
      </c>
      <c r="B52" s="217"/>
      <c r="C52" s="217">
        <f>Cifras_Originales!C34</f>
        <v>365.14400000000001</v>
      </c>
      <c r="D52" s="217">
        <f>Cifras_Originales!D34</f>
        <v>349.69099999999992</v>
      </c>
      <c r="E52" s="217">
        <f>Cifras_Originales!E34</f>
        <v>317.43299999999977</v>
      </c>
      <c r="F52" s="217">
        <f>Cifras_Originales!F34</f>
        <v>260.30399999999992</v>
      </c>
      <c r="G52" s="217">
        <f>Cifras_Originales!G34</f>
        <v>225.95900000000006</v>
      </c>
      <c r="H52" s="217">
        <f>Cifras_Originales!H34</f>
        <v>224.608</v>
      </c>
      <c r="I52" s="217">
        <f>Cifras_Originales!I34</f>
        <v>212.07999999999993</v>
      </c>
      <c r="J52" s="217">
        <f>Cifras_Originales!J34</f>
        <v>203.78799999999998</v>
      </c>
      <c r="K52" s="217">
        <f>Cifras_Originales!K34</f>
        <v>184.38599999999991</v>
      </c>
      <c r="L52" s="217">
        <f>Cifras_Originales!L34</f>
        <v>172.25900000000004</v>
      </c>
      <c r="M52" s="217">
        <f>Cifras_Originales!M34</f>
        <v>154.38400000000001</v>
      </c>
      <c r="N52" s="217"/>
      <c r="O52" s="217"/>
    </row>
    <row r="53" spans="1:15" ht="12" customHeight="1" x14ac:dyDescent="0.2">
      <c r="A53" s="213" t="s">
        <v>238</v>
      </c>
      <c r="B53" s="217"/>
      <c r="C53" s="217">
        <f>Cifras_Originales!C35</f>
        <v>3942.0770000000002</v>
      </c>
      <c r="D53" s="217">
        <f>Cifras_Originales!D35</f>
        <v>3826.127</v>
      </c>
      <c r="E53" s="217">
        <f>Cifras_Originales!E35</f>
        <v>4227.41</v>
      </c>
      <c r="F53" s="217">
        <f>Cifras_Originales!F35</f>
        <v>2863.127</v>
      </c>
      <c r="G53" s="217">
        <f>Cifras_Originales!G35</f>
        <v>2820.4879999999998</v>
      </c>
      <c r="H53" s="217">
        <f>Cifras_Originales!H35</f>
        <v>778.34900000000005</v>
      </c>
      <c r="I53" s="217">
        <f>Cifras_Originales!I35</f>
        <v>837.42399999999998</v>
      </c>
      <c r="J53" s="217">
        <f>Cifras_Originales!J35</f>
        <v>731.39200000000005</v>
      </c>
      <c r="K53" s="217">
        <f>Cifras_Originales!K35</f>
        <v>578.47400000000005</v>
      </c>
      <c r="L53" s="217">
        <f>Cifras_Originales!L35</f>
        <v>485.14</v>
      </c>
      <c r="M53" s="217">
        <f>Cifras_Originales!M35</f>
        <v>376.721</v>
      </c>
      <c r="N53" s="217"/>
      <c r="O53" s="217"/>
    </row>
    <row r="54" spans="1:15" ht="12" customHeight="1" x14ac:dyDescent="0.2">
      <c r="A54" s="213" t="s">
        <v>239</v>
      </c>
      <c r="B54" s="217"/>
      <c r="C54" s="217">
        <f>Cifras_Originales!C36</f>
        <v>1483</v>
      </c>
      <c r="D54" s="217">
        <f>Cifras_Originales!D36</f>
        <v>1540</v>
      </c>
      <c r="E54" s="217">
        <f>Cifras_Originales!E36</f>
        <v>1930.73</v>
      </c>
      <c r="F54" s="217">
        <f>Cifras_Originales!F36</f>
        <v>418.58300000000003</v>
      </c>
      <c r="G54" s="217">
        <f>Cifras_Originales!G36</f>
        <v>233.28700000000001</v>
      </c>
      <c r="H54" s="217">
        <f>Cifras_Originales!H36</f>
        <v>11.776</v>
      </c>
      <c r="I54" s="217">
        <f>Cifras_Originales!I36</f>
        <v>10.231999999999999</v>
      </c>
      <c r="J54" s="217">
        <f>Cifras_Originales!J36</f>
        <v>0</v>
      </c>
      <c r="K54" s="217">
        <f>Cifras_Originales!K36</f>
        <v>6.4539999999999997</v>
      </c>
      <c r="L54" s="217">
        <f>Cifras_Originales!L36</f>
        <v>44.494</v>
      </c>
      <c r="M54" s="217">
        <f>Cifras_Originales!M36</f>
        <v>38.616999999999997</v>
      </c>
      <c r="N54" s="217"/>
      <c r="O54" s="217"/>
    </row>
    <row r="55" spans="1:15" ht="12" customHeight="1" x14ac:dyDescent="0.2">
      <c r="A55" s="213" t="s">
        <v>240</v>
      </c>
      <c r="B55" s="217"/>
      <c r="C55" s="217">
        <f>Cifras_Originales!C37</f>
        <v>2287.7139999999999</v>
      </c>
      <c r="D55" s="217">
        <f>Cifras_Originales!D37</f>
        <v>2117.7730000000001</v>
      </c>
      <c r="E55" s="217">
        <f>Cifras_Originales!E37</f>
        <v>2099.1460000000002</v>
      </c>
      <c r="F55" s="217">
        <f>Cifras_Originales!F37</f>
        <v>2259.308</v>
      </c>
      <c r="G55" s="217">
        <f>Cifras_Originales!G37</f>
        <v>2453.346</v>
      </c>
      <c r="H55" s="217">
        <f>Cifras_Originales!H37</f>
        <v>54.780999999999999</v>
      </c>
      <c r="I55" s="217">
        <f>Cifras_Originales!I37</f>
        <v>60.084000000000003</v>
      </c>
      <c r="J55" s="217">
        <f>Cifras_Originales!J37</f>
        <v>4.6790000000000003</v>
      </c>
      <c r="K55" s="217">
        <f>Cifras_Originales!K37</f>
        <v>5.3239999999999998</v>
      </c>
      <c r="L55" s="217">
        <f>Cifras_Originales!L37</f>
        <v>5.9130000000000003</v>
      </c>
      <c r="M55" s="217">
        <f>Cifras_Originales!M37</f>
        <v>6.476</v>
      </c>
      <c r="N55" s="217"/>
      <c r="O55" s="217"/>
    </row>
    <row r="56" spans="1:15" ht="12" customHeight="1" x14ac:dyDescent="0.2">
      <c r="A56" s="213" t="s">
        <v>241</v>
      </c>
      <c r="B56" s="217">
        <f>B53-SUM(B54:B55)</f>
        <v>0</v>
      </c>
      <c r="C56" s="217">
        <f>Cifras_Originales!C38</f>
        <v>171.36300000000028</v>
      </c>
      <c r="D56" s="217">
        <f>Cifras_Originales!D38</f>
        <v>168.35399999999981</v>
      </c>
      <c r="E56" s="217">
        <f>Cifras_Originales!E38</f>
        <v>197.53399999999965</v>
      </c>
      <c r="F56" s="217">
        <f>Cifras_Originales!F38</f>
        <v>185.23599999999988</v>
      </c>
      <c r="G56" s="217">
        <f>Cifras_Originales!G38</f>
        <v>133.85500000000002</v>
      </c>
      <c r="H56" s="217">
        <f>Cifras_Originales!H38</f>
        <v>711.79200000000014</v>
      </c>
      <c r="I56" s="217">
        <f>Cifras_Originales!I38</f>
        <v>767.10799999999995</v>
      </c>
      <c r="J56" s="217">
        <f>Cifras_Originales!J38</f>
        <v>726.71300000000008</v>
      </c>
      <c r="K56" s="217">
        <f>Cifras_Originales!K38</f>
        <v>566.69600000000014</v>
      </c>
      <c r="L56" s="217">
        <f>Cifras_Originales!L38</f>
        <v>434.73299999999995</v>
      </c>
      <c r="M56" s="217">
        <f>Cifras_Originales!M38</f>
        <v>331.62799999999999</v>
      </c>
      <c r="N56" s="217"/>
      <c r="O56" s="217"/>
    </row>
    <row r="57" spans="1:15" ht="12" customHeight="1" x14ac:dyDescent="0.2">
      <c r="A57" s="213" t="s">
        <v>242</v>
      </c>
      <c r="B57" s="234"/>
      <c r="C57" s="234">
        <f>Cifras_Originales!C39</f>
        <v>6694.0770000000002</v>
      </c>
      <c r="D57" s="234">
        <f>Cifras_Originales!D39</f>
        <v>6467.5730000000003</v>
      </c>
      <c r="E57" s="234">
        <f>Cifras_Originales!E39</f>
        <v>6940.09</v>
      </c>
      <c r="F57" s="234">
        <f>Cifras_Originales!F39</f>
        <v>5413.3249999999998</v>
      </c>
      <c r="G57" s="234">
        <f>Cifras_Originales!G39</f>
        <v>4896.9619999999995</v>
      </c>
      <c r="H57" s="234">
        <f>Cifras_Originales!H39</f>
        <v>2282.9879999999998</v>
      </c>
      <c r="I57" s="234">
        <f>Cifras_Originales!I39</f>
        <v>2262.4380000000001</v>
      </c>
      <c r="J57" s="234">
        <f>Cifras_Originales!J39</f>
        <v>2128.8069999999998</v>
      </c>
      <c r="K57" s="234">
        <f>Cifras_Originales!K39</f>
        <v>1770.1489999999999</v>
      </c>
      <c r="L57" s="234">
        <f>Cifras_Originales!L39</f>
        <v>1603.973</v>
      </c>
      <c r="M57" s="234">
        <f>Cifras_Originales!M39</f>
        <v>1379.308</v>
      </c>
      <c r="N57" s="234"/>
      <c r="O57" s="234"/>
    </row>
    <row r="58" spans="1:15" ht="12" customHeight="1" x14ac:dyDescent="0.2">
      <c r="B58" s="209"/>
      <c r="C58" s="209"/>
      <c r="D58" s="209"/>
      <c r="E58" s="209"/>
      <c r="F58" s="209"/>
      <c r="G58" s="209"/>
      <c r="H58" s="209"/>
      <c r="I58" s="209"/>
      <c r="J58" s="209"/>
      <c r="K58" s="209"/>
      <c r="L58" s="209"/>
      <c r="M58" s="209"/>
      <c r="N58" s="209"/>
      <c r="O58" s="209"/>
    </row>
    <row r="59" spans="1:15" ht="12" customHeight="1" x14ac:dyDescent="0.2">
      <c r="A59" s="213" t="s">
        <v>356</v>
      </c>
      <c r="B59" s="217">
        <f>B60-B40</f>
        <v>0</v>
      </c>
      <c r="C59" s="217">
        <f t="shared" ref="C59:M59" si="20">C60-C40</f>
        <v>4356.3499999999995</v>
      </c>
      <c r="D59" s="217">
        <f t="shared" si="20"/>
        <v>4025.1420000000003</v>
      </c>
      <c r="E59" s="217">
        <f t="shared" si="20"/>
        <v>3781.9180000000015</v>
      </c>
      <c r="F59" s="217">
        <f t="shared" si="20"/>
        <v>3309.7179999999998</v>
      </c>
      <c r="G59" s="217">
        <f t="shared" si="20"/>
        <v>4467.8040000000001</v>
      </c>
      <c r="H59" s="217">
        <f t="shared" si="20"/>
        <v>1232.9349999999999</v>
      </c>
      <c r="I59" s="217">
        <f t="shared" si="20"/>
        <v>1181.9970000000001</v>
      </c>
      <c r="J59" s="217">
        <f t="shared" si="20"/>
        <v>1033.529</v>
      </c>
      <c r="K59" s="217">
        <f t="shared" si="20"/>
        <v>900.13099999999997</v>
      </c>
      <c r="L59" s="217">
        <f t="shared" si="20"/>
        <v>775.30200000000013</v>
      </c>
      <c r="M59" s="217">
        <f t="shared" si="20"/>
        <v>711.56499999999994</v>
      </c>
      <c r="N59" s="209"/>
      <c r="O59" s="209"/>
    </row>
    <row r="60" spans="1:15" ht="12" customHeight="1" x14ac:dyDescent="0.2">
      <c r="A60" s="213" t="s">
        <v>17</v>
      </c>
      <c r="B60" s="217">
        <f>B50+B51+B54+B55</f>
        <v>0</v>
      </c>
      <c r="C60" s="217">
        <f t="shared" ref="C60:M60" si="21">C50+C51+C54+C55</f>
        <v>6157.57</v>
      </c>
      <c r="D60" s="217">
        <f t="shared" si="21"/>
        <v>5949.5280000000002</v>
      </c>
      <c r="E60" s="217">
        <f t="shared" si="21"/>
        <v>6425.1230000000014</v>
      </c>
      <c r="F60" s="217">
        <f t="shared" si="21"/>
        <v>4967.7849999999999</v>
      </c>
      <c r="G60" s="217">
        <f t="shared" si="21"/>
        <v>4537.1480000000001</v>
      </c>
      <c r="H60" s="217">
        <f t="shared" si="21"/>
        <v>1346.588</v>
      </c>
      <c r="I60" s="217">
        <f t="shared" si="21"/>
        <v>1283.25</v>
      </c>
      <c r="J60" s="217">
        <f t="shared" si="21"/>
        <v>1198.306</v>
      </c>
      <c r="K60" s="217">
        <f t="shared" si="21"/>
        <v>1019.067</v>
      </c>
      <c r="L60" s="217">
        <f t="shared" si="21"/>
        <v>996.98100000000011</v>
      </c>
      <c r="M60" s="217">
        <f t="shared" si="21"/>
        <v>893.29599999999994</v>
      </c>
      <c r="N60" s="217"/>
      <c r="O60" s="217"/>
    </row>
    <row r="61" spans="1:15" ht="12" customHeight="1" x14ac:dyDescent="0.2">
      <c r="B61" s="219" t="e">
        <f>B60/B45</f>
        <v>#DIV/0!</v>
      </c>
      <c r="C61" s="219">
        <f>C60/C45</f>
        <v>0.66126868499075142</v>
      </c>
      <c r="D61" s="219">
        <f>D60/D45</f>
        <v>0.66163237545089104</v>
      </c>
      <c r="E61" s="219">
        <f t="shared" ref="E61:M61" si="22">E60/E45</f>
        <v>0.71061194849273535</v>
      </c>
      <c r="F61" s="219">
        <f t="shared" si="22"/>
        <v>0.64076813469714844</v>
      </c>
      <c r="G61" s="219">
        <f t="shared" si="22"/>
        <v>0.68448471462881832</v>
      </c>
      <c r="H61" s="219">
        <f t="shared" si="22"/>
        <v>0.32160021054899163</v>
      </c>
      <c r="I61" s="219">
        <f t="shared" si="22"/>
        <v>0.30524943392375575</v>
      </c>
      <c r="J61" s="219">
        <f t="shared" si="22"/>
        <v>0.29527318855007129</v>
      </c>
      <c r="K61" s="219">
        <f t="shared" si="22"/>
        <v>0.28630817658125002</v>
      </c>
      <c r="L61" s="219">
        <f t="shared" si="22"/>
        <v>0.29014073112201338</v>
      </c>
      <c r="M61" s="219">
        <f t="shared" si="22"/>
        <v>0.29083502551044493</v>
      </c>
      <c r="N61" s="219"/>
      <c r="O61" s="219"/>
    </row>
    <row r="62" spans="1:15" ht="12" customHeight="1" x14ac:dyDescent="0.2">
      <c r="B62" s="209"/>
      <c r="C62" s="209"/>
      <c r="D62" s="209"/>
      <c r="E62" s="209"/>
      <c r="F62" s="209"/>
      <c r="G62" s="209"/>
      <c r="H62" s="209"/>
      <c r="I62" s="209"/>
      <c r="J62" s="209"/>
      <c r="K62" s="209"/>
      <c r="L62" s="209"/>
      <c r="M62" s="209"/>
      <c r="N62" s="209"/>
      <c r="O62" s="209"/>
    </row>
    <row r="63" spans="1:15" s="235" customFormat="1" ht="12" customHeight="1" x14ac:dyDescent="0.2">
      <c r="A63" s="232" t="s">
        <v>243</v>
      </c>
      <c r="B63" s="234">
        <v>0</v>
      </c>
      <c r="C63" s="234">
        <f>Cifras_Originales!C42</f>
        <v>0</v>
      </c>
      <c r="D63" s="234">
        <f>Cifras_Originales!D42</f>
        <v>0</v>
      </c>
      <c r="E63" s="234">
        <f>Cifras_Originales!E42</f>
        <v>0</v>
      </c>
      <c r="F63" s="234">
        <f>Cifras_Originales!F42</f>
        <v>0</v>
      </c>
      <c r="G63" s="234">
        <f>Cifras_Originales!G42</f>
        <v>0</v>
      </c>
      <c r="H63" s="234">
        <f>Cifras_Originales!H42</f>
        <v>0</v>
      </c>
      <c r="I63" s="234">
        <f>Cifras_Originales!I42</f>
        <v>0</v>
      </c>
      <c r="J63" s="234">
        <f>Cifras_Originales!J42</f>
        <v>0</v>
      </c>
      <c r="K63" s="234">
        <f>Cifras_Originales!K42</f>
        <v>0</v>
      </c>
      <c r="L63" s="234">
        <f>Cifras_Originales!L42</f>
        <v>0</v>
      </c>
      <c r="M63" s="234">
        <f>Cifras_Originales!M42</f>
        <v>0</v>
      </c>
      <c r="N63" s="234"/>
      <c r="O63" s="234"/>
    </row>
    <row r="64" spans="1:15" ht="12" customHeight="1" x14ac:dyDescent="0.2">
      <c r="B64" s="209"/>
      <c r="C64" s="209"/>
      <c r="D64" s="209"/>
      <c r="E64" s="209"/>
      <c r="F64" s="209"/>
      <c r="G64" s="209"/>
      <c r="H64" s="209"/>
      <c r="I64" s="209"/>
      <c r="J64" s="209"/>
      <c r="K64" s="209"/>
      <c r="L64" s="209"/>
      <c r="M64" s="209"/>
      <c r="N64" s="209"/>
      <c r="O64" s="209"/>
    </row>
    <row r="65" spans="1:242" ht="12" customHeight="1" x14ac:dyDescent="0.2">
      <c r="B65" s="209"/>
      <c r="C65" s="209"/>
      <c r="D65" s="209"/>
      <c r="E65" s="209"/>
      <c r="F65" s="209"/>
      <c r="G65" s="209"/>
      <c r="H65" s="209"/>
      <c r="I65" s="209"/>
      <c r="J65" s="209"/>
      <c r="K65" s="209"/>
      <c r="L65" s="209"/>
      <c r="M65" s="209"/>
      <c r="N65" s="209"/>
      <c r="O65" s="209"/>
    </row>
    <row r="66" spans="1:242" ht="12" customHeight="1" x14ac:dyDescent="0.2">
      <c r="A66" s="232" t="s">
        <v>244</v>
      </c>
      <c r="B66" s="217">
        <f>B45-B57-B63</f>
        <v>0</v>
      </c>
      <c r="C66" s="217">
        <f>C45-C57-C63</f>
        <v>2617.6750000000002</v>
      </c>
      <c r="D66" s="217">
        <f>D45-D57-D63</f>
        <v>2524.6229999999996</v>
      </c>
      <c r="E66" s="217">
        <f t="shared" ref="E66:M66" si="23">E45-E57-E63</f>
        <v>2101.5859999999993</v>
      </c>
      <c r="F66" s="217">
        <f t="shared" si="23"/>
        <v>2339.5340000000006</v>
      </c>
      <c r="G66" s="217">
        <f t="shared" si="23"/>
        <v>1731.5980000000009</v>
      </c>
      <c r="H66" s="217">
        <f t="shared" si="23"/>
        <v>1904.1610000000005</v>
      </c>
      <c r="I66" s="217">
        <f t="shared" si="23"/>
        <v>1941.5010000000002</v>
      </c>
      <c r="J66" s="217">
        <f t="shared" si="23"/>
        <v>1929.489</v>
      </c>
      <c r="K66" s="217">
        <f t="shared" si="23"/>
        <v>1789.1869999999999</v>
      </c>
      <c r="L66" s="217">
        <f t="shared" si="23"/>
        <v>1832.2249999999999</v>
      </c>
      <c r="M66" s="217">
        <f t="shared" si="23"/>
        <v>1692.1790000000001</v>
      </c>
      <c r="N66" s="217"/>
      <c r="O66" s="217"/>
    </row>
    <row r="67" spans="1:242" ht="12" customHeight="1" x14ac:dyDescent="0.2">
      <c r="L67" s="213"/>
      <c r="M67" s="213"/>
      <c r="N67" s="213"/>
      <c r="O67" s="213"/>
    </row>
    <row r="68" spans="1:242" ht="12" customHeight="1" x14ac:dyDescent="0.2">
      <c r="L68" s="213"/>
      <c r="M68" s="213"/>
      <c r="N68" s="213"/>
      <c r="O68" s="213"/>
    </row>
    <row r="69" spans="1:242" ht="12" customHeight="1" x14ac:dyDescent="0.2">
      <c r="A69" s="216" t="s">
        <v>245</v>
      </c>
      <c r="B69" s="216"/>
      <c r="C69" s="216"/>
      <c r="D69" s="216"/>
      <c r="E69" s="216"/>
      <c r="F69" s="216"/>
      <c r="G69" s="216"/>
      <c r="H69" s="216"/>
      <c r="I69" s="216"/>
      <c r="J69" s="216"/>
      <c r="K69" s="216"/>
      <c r="L69" s="216"/>
      <c r="M69" s="216"/>
      <c r="N69" s="216"/>
      <c r="O69" s="216"/>
    </row>
    <row r="70" spans="1:242" ht="12" customHeight="1" x14ac:dyDescent="0.2">
      <c r="A70" s="213" t="s">
        <v>246</v>
      </c>
      <c r="B70" s="217"/>
      <c r="C70" s="217">
        <f>Cifras_Originales!C47</f>
        <v>18900</v>
      </c>
      <c r="D70" s="217">
        <f>Cifras_Originales!D47</f>
        <v>18800</v>
      </c>
      <c r="E70" s="217">
        <f>Cifras_Originales!E47</f>
        <v>17800</v>
      </c>
      <c r="F70" s="217">
        <f>Cifras_Originales!F47</f>
        <v>16800</v>
      </c>
      <c r="G70" s="217">
        <f>Cifras_Originales!G47</f>
        <v>15300</v>
      </c>
      <c r="H70" s="217">
        <f>Cifras_Originales!H47</f>
        <v>15200</v>
      </c>
      <c r="I70" s="217">
        <f>Cifras_Originales!I47</f>
        <v>15400</v>
      </c>
      <c r="J70" s="217">
        <f>Cifras_Originales!J47</f>
        <v>14600</v>
      </c>
      <c r="K70" s="217">
        <f>Cifras_Originales!K47</f>
        <v>13100</v>
      </c>
      <c r="L70" s="217">
        <f>Cifras_Originales!L47</f>
        <v>12000</v>
      </c>
      <c r="M70" s="217">
        <f>Cifras_Originales!M47</f>
        <v>11200</v>
      </c>
      <c r="N70" s="217"/>
      <c r="O70" s="217"/>
    </row>
    <row r="71" spans="1:242" ht="12" customHeight="1" x14ac:dyDescent="0.2">
      <c r="A71" s="213" t="s">
        <v>247</v>
      </c>
      <c r="B71" s="217"/>
      <c r="C71" s="217">
        <f>+Cifras_Originales!C48</f>
        <v>82.448335</v>
      </c>
      <c r="D71" s="217">
        <f>+Cifras_Originales!D48</f>
        <v>85.618121000000002</v>
      </c>
      <c r="E71" s="217">
        <f>+Cifras_Originales!E48</f>
        <v>79.849731000000006</v>
      </c>
      <c r="F71" s="217">
        <f>+Cifras_Originales!F48</f>
        <v>89.281316000000004</v>
      </c>
      <c r="G71" s="217">
        <f>+Cifras_Originales!G48</f>
        <v>86.938593999999995</v>
      </c>
      <c r="H71" s="217">
        <f>+Cifras_Originales!H48</f>
        <v>96.303132000000005</v>
      </c>
      <c r="I71" s="217">
        <f>+Cifras_Originales!I48</f>
        <v>104.59835</v>
      </c>
      <c r="J71" s="217">
        <f>+Cifras_Originales!J48</f>
        <v>112.796538</v>
      </c>
      <c r="K71" s="217">
        <f>+Cifras_Originales!K48</f>
        <v>114.92326300000001</v>
      </c>
      <c r="L71" s="217">
        <f>+Cifras_Originales!L48</f>
        <v>118.793115</v>
      </c>
      <c r="M71" s="217">
        <f>+Cifras_Originales!M48</f>
        <v>123.84475</v>
      </c>
      <c r="N71" s="217"/>
      <c r="O71" s="217"/>
    </row>
    <row r="72" spans="1:242" ht="12" customHeight="1" x14ac:dyDescent="0.2">
      <c r="A72" s="213" t="s">
        <v>172</v>
      </c>
      <c r="B72" s="219"/>
      <c r="C72" s="219">
        <f>Cifras_Originales!C49</f>
        <v>0.96299999999999997</v>
      </c>
      <c r="D72" s="219">
        <f>Cifras_Originales!D49</f>
        <v>0</v>
      </c>
      <c r="E72" s="219">
        <f>Cifras_Originales!E49</f>
        <v>0</v>
      </c>
      <c r="F72" s="219">
        <f>Cifras_Originales!F49</f>
        <v>0</v>
      </c>
      <c r="G72" s="219">
        <f>Cifras_Originales!G49</f>
        <v>0</v>
      </c>
      <c r="H72" s="219">
        <f>Cifras_Originales!H49</f>
        <v>0</v>
      </c>
      <c r="I72" s="219">
        <f>Cifras_Originales!I49</f>
        <v>0</v>
      </c>
      <c r="J72" s="219">
        <f>Cifras_Originales!J49</f>
        <v>0</v>
      </c>
      <c r="K72" s="219">
        <f>Cifras_Originales!K49</f>
        <v>0</v>
      </c>
      <c r="L72" s="219">
        <f>Cifras_Originales!L49</f>
        <v>0</v>
      </c>
      <c r="M72" s="219">
        <f>Cifras_Originales!M49</f>
        <v>0</v>
      </c>
      <c r="N72" s="219"/>
      <c r="O72" s="219"/>
    </row>
    <row r="73" spans="1:242" ht="12" customHeight="1" x14ac:dyDescent="0.2">
      <c r="A73" s="213" t="s">
        <v>248</v>
      </c>
      <c r="B73" s="218"/>
      <c r="C73" s="218">
        <f>Cifras_Originales!C50</f>
        <v>3.5999999999999997E-2</v>
      </c>
      <c r="D73" s="218">
        <f>Cifras_Originales!D50</f>
        <v>0</v>
      </c>
      <c r="E73" s="218">
        <f>Cifras_Originales!E50</f>
        <v>0</v>
      </c>
      <c r="F73" s="218">
        <f>Cifras_Originales!F50</f>
        <v>0</v>
      </c>
      <c r="G73" s="218">
        <f>Cifras_Originales!G50</f>
        <v>0</v>
      </c>
      <c r="H73" s="218">
        <f>Cifras_Originales!H50</f>
        <v>0</v>
      </c>
      <c r="I73" s="218">
        <f>Cifras_Originales!I50</f>
        <v>0</v>
      </c>
      <c r="J73" s="218">
        <f>Cifras_Originales!J50</f>
        <v>0</v>
      </c>
      <c r="K73" s="218">
        <f>Cifras_Originales!K50</f>
        <v>0</v>
      </c>
      <c r="L73" s="218">
        <f>Cifras_Originales!L50</f>
        <v>0</v>
      </c>
      <c r="M73" s="218">
        <f>Cifras_Originales!M50</f>
        <v>0</v>
      </c>
      <c r="N73" s="218"/>
      <c r="O73" s="218"/>
    </row>
    <row r="74" spans="1:242" ht="12" customHeight="1" x14ac:dyDescent="0.2">
      <c r="A74" s="213" t="s">
        <v>249</v>
      </c>
      <c r="B74" s="217"/>
      <c r="C74" s="217" t="str">
        <f>+Cifras_Originales!C51</f>
        <v>BBB</v>
      </c>
      <c r="D74" s="217">
        <f>+Cifras_Originales!D51</f>
        <v>0</v>
      </c>
      <c r="E74" s="217">
        <f>+Cifras_Originales!E51</f>
        <v>0</v>
      </c>
      <c r="F74" s="217">
        <f>+Cifras_Originales!F51</f>
        <v>0</v>
      </c>
      <c r="G74" s="217">
        <f>+Cifras_Originales!G51</f>
        <v>0</v>
      </c>
      <c r="H74" s="217">
        <f>+Cifras_Originales!H51</f>
        <v>0</v>
      </c>
      <c r="I74" s="217">
        <f>+Cifras_Originales!I51</f>
        <v>0</v>
      </c>
      <c r="J74" s="217">
        <f>+Cifras_Originales!J51</f>
        <v>0</v>
      </c>
      <c r="K74" s="217">
        <f>+Cifras_Originales!K51</f>
        <v>0</v>
      </c>
      <c r="L74" s="217">
        <f>+Cifras_Originales!L51</f>
        <v>0</v>
      </c>
      <c r="M74" s="217">
        <f>+Cifras_Originales!M51</f>
        <v>0</v>
      </c>
      <c r="N74" s="217"/>
      <c r="O74" s="217"/>
    </row>
    <row r="75" spans="1:242" ht="12" customHeight="1" x14ac:dyDescent="0.2">
      <c r="A75" s="213" t="str">
        <f>Cifras_Originales!A52</f>
        <v>Vol. Diario en Millones USD</v>
      </c>
      <c r="B75" s="217"/>
      <c r="C75" s="217">
        <f>Cifras_Originales!C52</f>
        <v>17.355699999999999</v>
      </c>
      <c r="D75" s="217">
        <f>Cifras_Originales!D52</f>
        <v>16.983000000000001</v>
      </c>
      <c r="E75" s="217">
        <f>Cifras_Originales!E52</f>
        <v>25.922499999999999</v>
      </c>
      <c r="F75" s="217">
        <f>Cifras_Originales!F52</f>
        <v>29.223199999999999</v>
      </c>
      <c r="G75" s="217">
        <f>Cifras_Originales!G52</f>
        <v>33.847200000000001</v>
      </c>
      <c r="H75" s="217">
        <f>Cifras_Originales!H52</f>
        <v>34.812800000000003</v>
      </c>
      <c r="I75" s="217">
        <f>Cifras_Originales!I52</f>
        <v>53.820099999999996</v>
      </c>
      <c r="J75" s="217">
        <f>Cifras_Originales!J52</f>
        <v>43.5032</v>
      </c>
      <c r="K75" s="217">
        <f>Cifras_Originales!K52</f>
        <v>33.607199999999999</v>
      </c>
      <c r="L75" s="217">
        <f>Cifras_Originales!L52</f>
        <v>18.831900000000001</v>
      </c>
      <c r="M75" s="217">
        <f>Cifras_Originales!M52</f>
        <v>34.819499999999998</v>
      </c>
      <c r="N75" s="217"/>
      <c r="O75" s="217"/>
      <c r="IH75" s="213">
        <f>Cifras_Originales!GO52</f>
        <v>0</v>
      </c>
    </row>
    <row r="76" spans="1:242" ht="12" customHeight="1" x14ac:dyDescent="0.2">
      <c r="C76" s="236"/>
      <c r="D76" s="236"/>
      <c r="E76" s="236"/>
      <c r="F76" s="236"/>
      <c r="G76" s="236"/>
      <c r="H76" s="236"/>
      <c r="I76" s="236"/>
      <c r="J76" s="236"/>
      <c r="K76" s="236"/>
      <c r="L76" s="236"/>
      <c r="M76" s="236"/>
      <c r="N76" s="236"/>
      <c r="IH76" s="213"/>
    </row>
    <row r="77" spans="1:242" ht="12" customHeight="1" x14ac:dyDescent="0.2">
      <c r="B77" s="216">
        <f>+Cifras_Originales!C53</f>
        <v>2021</v>
      </c>
      <c r="C77" s="216">
        <f>+Cifras_Originales!D53</f>
        <v>2022</v>
      </c>
      <c r="D77" s="216">
        <f>+Cifras_Originales!E53</f>
        <v>2023</v>
      </c>
      <c r="H77" s="216"/>
      <c r="I77" s="236"/>
      <c r="J77" s="236"/>
      <c r="K77" s="236"/>
      <c r="L77" s="236"/>
      <c r="M77" s="236"/>
      <c r="N77" s="236"/>
      <c r="IH77" s="213"/>
    </row>
    <row r="78" spans="1:242" ht="12" customHeight="1" x14ac:dyDescent="0.2">
      <c r="A78" s="213" t="str">
        <f>Cifras_Originales!A54</f>
        <v>Posicion en Corto (%)</v>
      </c>
      <c r="B78" s="218">
        <f>Cifras_Originales!C54</f>
        <v>0</v>
      </c>
      <c r="C78" s="237"/>
      <c r="D78" s="237"/>
      <c r="H78" s="236"/>
      <c r="I78" s="236"/>
      <c r="J78" s="236"/>
      <c r="K78" s="236"/>
      <c r="L78" s="236"/>
      <c r="M78" s="236"/>
      <c r="N78" s="236"/>
      <c r="IH78" s="213"/>
    </row>
    <row r="79" spans="1:242" ht="12" customHeight="1" x14ac:dyDescent="0.2">
      <c r="A79" s="213" t="str">
        <f>Cifras_Originales!A55</f>
        <v>EPS</v>
      </c>
      <c r="B79" s="237">
        <f>Cifras_Originales!C55</f>
        <v>18.27</v>
      </c>
      <c r="C79" s="237">
        <f>Cifras_Originales!D55</f>
        <v>13.43</v>
      </c>
      <c r="D79" s="237">
        <f>Cifras_Originales!E55</f>
        <v>12.72</v>
      </c>
    </row>
    <row r="80" spans="1:242" ht="12" customHeight="1" x14ac:dyDescent="0.2"/>
    <row r="81" spans="1:8" x14ac:dyDescent="0.2">
      <c r="A81" s="232" t="str">
        <f>+Cifras_Originales!A57</f>
        <v>BONOS DE LA EMISORA A 3, 5 Y 10</v>
      </c>
      <c r="B81" s="216" t="s">
        <v>250</v>
      </c>
      <c r="C81" s="216" t="s">
        <v>251</v>
      </c>
      <c r="D81" s="216" t="s">
        <v>252</v>
      </c>
      <c r="E81" s="216" t="s">
        <v>253</v>
      </c>
      <c r="H81" s="216"/>
    </row>
    <row r="82" spans="1:8" ht="12.75" x14ac:dyDescent="0.2">
      <c r="A82" s="213">
        <f>+Cifras_Originales!A58</f>
        <v>0</v>
      </c>
      <c r="B82" s="237">
        <f>+Cifras_Originales!C58</f>
        <v>0</v>
      </c>
      <c r="C82" s="208">
        <f>+Cifras_Originales!D58</f>
        <v>0</v>
      </c>
      <c r="D82" s="218">
        <f>+Cifras_Originales!E58</f>
        <v>0</v>
      </c>
      <c r="E82" s="208">
        <f>+Cifras_Originales!F58</f>
        <v>0</v>
      </c>
    </row>
    <row r="83" spans="1:8" ht="12.75" x14ac:dyDescent="0.2">
      <c r="A83" s="213">
        <f>+Cifras_Originales!A59</f>
        <v>0</v>
      </c>
      <c r="B83" s="237">
        <f>+Cifras_Originales!C59</f>
        <v>0</v>
      </c>
      <c r="C83" s="208">
        <f>+Cifras_Originales!D59</f>
        <v>0</v>
      </c>
      <c r="D83" s="218">
        <f>+Cifras_Originales!E59</f>
        <v>0</v>
      </c>
      <c r="E83" s="208">
        <f>+Cifras_Originales!F59</f>
        <v>0</v>
      </c>
    </row>
    <row r="84" spans="1:8" ht="12.75" x14ac:dyDescent="0.2">
      <c r="A84" s="213">
        <f>+Cifras_Originales!A60</f>
        <v>0</v>
      </c>
      <c r="B84" s="237">
        <f>+Cifras_Originales!C60</f>
        <v>0</v>
      </c>
      <c r="C84" s="208">
        <f>+Cifras_Originales!D60</f>
        <v>0</v>
      </c>
      <c r="D84" s="218">
        <f>+Cifras_Originales!E60</f>
        <v>0</v>
      </c>
      <c r="E84" s="208">
        <f>+Cifras_Originales!F60</f>
        <v>0</v>
      </c>
    </row>
    <row r="85" spans="1:8" ht="12.75" x14ac:dyDescent="0.2">
      <c r="A85" s="213">
        <f>+Cifras_Originales!A61</f>
        <v>0</v>
      </c>
      <c r="B85" s="237">
        <f>+Cifras_Originales!C61</f>
        <v>0</v>
      </c>
      <c r="C85" s="208">
        <f>+Cifras_Originales!D61</f>
        <v>0</v>
      </c>
      <c r="D85" s="218">
        <f>+Cifras_Originales!E61</f>
        <v>0</v>
      </c>
      <c r="E85" s="208">
        <f>+Cifras_Originales!F61</f>
        <v>0</v>
      </c>
    </row>
    <row r="86" spans="1:8" ht="12.75" x14ac:dyDescent="0.2">
      <c r="C86" s="237"/>
      <c r="D86" s="237"/>
      <c r="E86" s="208"/>
      <c r="F86" s="238"/>
      <c r="G86" s="208"/>
    </row>
    <row r="87" spans="1:8" ht="12.75" x14ac:dyDescent="0.2">
      <c r="C87" s="237"/>
      <c r="D87" s="237"/>
      <c r="E87" s="208"/>
      <c r="F87" s="238"/>
      <c r="G87" s="208"/>
    </row>
    <row r="88" spans="1:8" ht="12.75" x14ac:dyDescent="0.2">
      <c r="C88" s="237"/>
      <c r="D88" s="237"/>
      <c r="E88" s="208"/>
      <c r="F88" s="238"/>
      <c r="G88" s="208"/>
    </row>
    <row r="89" spans="1:8" ht="12.75" x14ac:dyDescent="0.2">
      <c r="C89" s="237"/>
      <c r="D89" s="237"/>
      <c r="E89" s="208"/>
      <c r="F89" s="238"/>
      <c r="G89" s="208"/>
    </row>
    <row r="90" spans="1:8" ht="12.75" x14ac:dyDescent="0.2">
      <c r="C90" s="237"/>
      <c r="D90" s="237"/>
      <c r="E90" s="208"/>
      <c r="F90" s="238"/>
      <c r="G90" s="208"/>
    </row>
    <row r="91" spans="1:8" ht="12.75" x14ac:dyDescent="0.2">
      <c r="C91" s="237"/>
      <c r="D91" s="237"/>
      <c r="E91" s="208"/>
      <c r="F91" s="238"/>
      <c r="G91" s="208"/>
    </row>
    <row r="92" spans="1:8" ht="12.75" x14ac:dyDescent="0.2">
      <c r="C92" s="237"/>
      <c r="D92" s="237"/>
      <c r="E92" s="208"/>
      <c r="F92" s="238"/>
      <c r="G92" s="208"/>
    </row>
    <row r="93" spans="1:8" ht="12.75" x14ac:dyDescent="0.2">
      <c r="C93" s="237"/>
      <c r="D93" s="237"/>
      <c r="E93" s="208"/>
      <c r="F93" s="238"/>
      <c r="G93" s="208"/>
    </row>
    <row r="94" spans="1:8" ht="12.75" x14ac:dyDescent="0.2">
      <c r="C94" s="237"/>
      <c r="D94" s="237"/>
      <c r="E94" s="208"/>
      <c r="F94" s="238"/>
      <c r="G94" s="208"/>
    </row>
  </sheetData>
  <mergeCells count="2">
    <mergeCell ref="A1:L1"/>
    <mergeCell ref="A2:L2"/>
  </mergeCells>
  <printOptions horizontalCentered="1" verticalCentered="1"/>
  <pageMargins left="0.25" right="0.25" top="0.75" bottom="0.75" header="0.3" footer="0.3"/>
  <pageSetup paperSize="122" scale="60" orientation="portrait" r:id="rId1"/>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Z64"/>
  <sheetViews>
    <sheetView zoomScaleNormal="100" workbookViewId="0">
      <selection activeCell="B36" sqref="B36"/>
    </sheetView>
  </sheetViews>
  <sheetFormatPr defaultColWidth="11.42578125" defaultRowHeight="14.25" x14ac:dyDescent="0.2"/>
  <cols>
    <col min="1" max="1" width="34.140625" style="239" customWidth="1"/>
    <col min="2" max="2" width="14" style="239" customWidth="1"/>
    <col min="3" max="3" width="14.42578125" style="239" customWidth="1"/>
    <col min="4" max="8" width="14.42578125" style="239" bestFit="1" customWidth="1"/>
    <col min="9" max="9" width="15.140625" style="239" bestFit="1" customWidth="1"/>
    <col min="10" max="11" width="14.42578125" style="239" bestFit="1" customWidth="1"/>
    <col min="12" max="13" width="14.42578125" style="240" bestFit="1" customWidth="1"/>
    <col min="14" max="16" width="14.42578125" style="239" customWidth="1"/>
    <col min="17" max="17" width="11.42578125" style="239" customWidth="1"/>
    <col min="18" max="18" width="17.140625" style="239" customWidth="1"/>
    <col min="19" max="19" width="18.140625" style="239" bestFit="1" customWidth="1"/>
    <col min="20" max="20" width="18.140625" style="239" customWidth="1"/>
    <col min="21" max="31" width="14.7109375" style="239" customWidth="1"/>
    <col min="32" max="16384" width="11.42578125" style="239"/>
  </cols>
  <sheetData>
    <row r="1" spans="1:32" x14ac:dyDescent="0.2">
      <c r="A1" s="239" t="s">
        <v>346</v>
      </c>
    </row>
    <row r="2" spans="1:32" x14ac:dyDescent="0.2">
      <c r="A2" s="239" t="s">
        <v>347</v>
      </c>
      <c r="C2" s="270"/>
      <c r="D2" s="721" t="str">
        <f>"Cifras en "&amp;A2&amp;" de "&amp;A1</f>
        <v>Cifras en Millones de USD</v>
      </c>
      <c r="E2" s="721"/>
      <c r="F2" s="721"/>
      <c r="G2" s="721"/>
      <c r="H2" s="721"/>
      <c r="I2" s="721"/>
      <c r="J2" s="721"/>
      <c r="K2" s="721"/>
      <c r="L2" s="721"/>
      <c r="M2" s="721"/>
    </row>
    <row r="3" spans="1:32" x14ac:dyDescent="0.2">
      <c r="A3" s="239" t="s">
        <v>439</v>
      </c>
      <c r="E3" s="244"/>
      <c r="H3" s="239" t="str">
        <f>A3&amp;" ("&amp;A4&amp;")"</f>
        <v>DICK'S Sporting Goods, Inc. (DKS)</v>
      </c>
    </row>
    <row r="4" spans="1:32" x14ac:dyDescent="0.2">
      <c r="A4" s="239" t="s">
        <v>440</v>
      </c>
      <c r="E4" s="244"/>
      <c r="L4" s="239"/>
      <c r="M4" s="239"/>
    </row>
    <row r="5" spans="1:32" ht="15" x14ac:dyDescent="0.25">
      <c r="A5" s="271" t="s">
        <v>254</v>
      </c>
      <c r="B5" s="271">
        <v>2024</v>
      </c>
      <c r="C5" s="271">
        <v>2023</v>
      </c>
      <c r="D5" s="271">
        <f>C5-1</f>
        <v>2022</v>
      </c>
      <c r="E5" s="271">
        <f>D5-1</f>
        <v>2021</v>
      </c>
      <c r="F5" s="271">
        <f t="shared" ref="F5:N5" si="0">E5-1</f>
        <v>2020</v>
      </c>
      <c r="G5" s="271">
        <f t="shared" si="0"/>
        <v>2019</v>
      </c>
      <c r="H5" s="271">
        <f t="shared" si="0"/>
        <v>2018</v>
      </c>
      <c r="I5" s="271">
        <f t="shared" si="0"/>
        <v>2017</v>
      </c>
      <c r="J5" s="271">
        <f t="shared" si="0"/>
        <v>2016</v>
      </c>
      <c r="K5" s="271">
        <f t="shared" si="0"/>
        <v>2015</v>
      </c>
      <c r="L5" s="271">
        <f t="shared" si="0"/>
        <v>2014</v>
      </c>
      <c r="M5" s="271">
        <f t="shared" si="0"/>
        <v>2013</v>
      </c>
      <c r="N5" s="271">
        <f t="shared" si="0"/>
        <v>2012</v>
      </c>
      <c r="U5" s="364"/>
    </row>
    <row r="6" spans="1:32" x14ac:dyDescent="0.2">
      <c r="A6" s="242" t="s">
        <v>203</v>
      </c>
      <c r="B6" s="605">
        <v>13442.849</v>
      </c>
      <c r="C6" s="243">
        <v>12984.398999999999</v>
      </c>
      <c r="D6" s="243">
        <v>12368.198</v>
      </c>
      <c r="E6" s="243">
        <v>12293.368</v>
      </c>
      <c r="F6" s="243">
        <v>9584.0190000000002</v>
      </c>
      <c r="G6" s="243">
        <v>8750.7430000000004</v>
      </c>
      <c r="H6" s="243">
        <v>8436.57</v>
      </c>
      <c r="I6" s="243">
        <v>8590.4719999999998</v>
      </c>
      <c r="J6" s="243">
        <v>7921.9809999999998</v>
      </c>
      <c r="K6" s="243">
        <v>7270.6949999999997</v>
      </c>
      <c r="L6" s="243">
        <v>6814.4790000000003</v>
      </c>
      <c r="M6" s="243">
        <v>6213.1729999999998</v>
      </c>
      <c r="N6" s="243">
        <v>5836.1189999999997</v>
      </c>
      <c r="O6" s="243"/>
      <c r="P6" s="240"/>
      <c r="Q6" s="240"/>
    </row>
    <row r="7" spans="1:32" x14ac:dyDescent="0.2">
      <c r="A7" s="242" t="s">
        <v>205</v>
      </c>
      <c r="B7" s="605">
        <v>4825.6959999999999</v>
      </c>
      <c r="C7" s="243">
        <v>4533.375</v>
      </c>
      <c r="D7" s="243">
        <v>4284.558</v>
      </c>
      <c r="E7" s="243">
        <v>4711.8860000000004</v>
      </c>
      <c r="F7" s="243">
        <v>3050.7069999999999</v>
      </c>
      <c r="G7" s="243">
        <v>2554.558</v>
      </c>
      <c r="H7" s="243">
        <v>2437.7820000000002</v>
      </c>
      <c r="I7" s="243">
        <v>2489.06</v>
      </c>
      <c r="J7" s="243">
        <v>2365.7829999999999</v>
      </c>
      <c r="K7" s="243">
        <v>2182.8870000000002</v>
      </c>
      <c r="L7" s="243">
        <v>2086.6660000000002</v>
      </c>
      <c r="M7" s="243">
        <v>1943.95</v>
      </c>
      <c r="N7" s="243">
        <v>1837.163</v>
      </c>
      <c r="O7" s="243"/>
      <c r="P7" s="240"/>
      <c r="Q7" s="365"/>
      <c r="U7" s="366"/>
      <c r="V7" s="364"/>
    </row>
    <row r="8" spans="1:32" x14ac:dyDescent="0.2">
      <c r="A8" s="242" t="s">
        <v>208</v>
      </c>
      <c r="B8" s="605">
        <v>1473.932</v>
      </c>
      <c r="C8" s="243">
        <v>1282.365</v>
      </c>
      <c r="D8" s="243">
        <v>1463.019</v>
      </c>
      <c r="E8" s="243">
        <v>2034.5029999999999</v>
      </c>
      <c r="F8" s="243">
        <v>741.47699999999998</v>
      </c>
      <c r="G8" s="243">
        <v>375.613</v>
      </c>
      <c r="H8" s="243">
        <v>444.733</v>
      </c>
      <c r="I8" s="243">
        <v>477.57400000000001</v>
      </c>
      <c r="J8" s="243">
        <v>449.85399999999998</v>
      </c>
      <c r="K8" s="243">
        <v>535.19200000000001</v>
      </c>
      <c r="L8" s="243">
        <v>554.05899999999997</v>
      </c>
      <c r="M8" s="243">
        <v>536.81200000000001</v>
      </c>
      <c r="N8" s="243">
        <v>523.67399999999998</v>
      </c>
      <c r="O8" s="243"/>
      <c r="P8" s="240"/>
      <c r="Q8" s="367"/>
    </row>
    <row r="9" spans="1:32" ht="15" x14ac:dyDescent="0.25">
      <c r="A9" s="242" t="s">
        <v>255</v>
      </c>
      <c r="B9" s="605">
        <v>52.987000000000002</v>
      </c>
      <c r="C9" s="243">
        <v>137.69999999999999</v>
      </c>
      <c r="D9" s="243">
        <v>95.22</v>
      </c>
      <c r="E9" s="243">
        <v>57.838999999999999</v>
      </c>
      <c r="F9" s="243">
        <v>48.811999999999998</v>
      </c>
      <c r="G9" s="243">
        <v>17.012</v>
      </c>
      <c r="H9" s="243">
        <v>11.1</v>
      </c>
      <c r="I9" s="243">
        <v>8.0470000000000006</v>
      </c>
      <c r="J9" s="243">
        <v>5.8559999999999999</v>
      </c>
      <c r="K9" s="243">
        <v>4.0119999999999996</v>
      </c>
      <c r="L9" s="243">
        <v>3.3149999999999999</v>
      </c>
      <c r="M9" s="243">
        <v>3.129</v>
      </c>
      <c r="N9" s="243">
        <v>7.0339999999999998</v>
      </c>
      <c r="O9" s="243"/>
      <c r="P9" s="240"/>
      <c r="Q9" s="240"/>
      <c r="T9" s="271">
        <v>2023</v>
      </c>
      <c r="U9" s="271">
        <f t="shared" ref="U9:AD9" si="1">D5</f>
        <v>2022</v>
      </c>
      <c r="V9" s="271">
        <f t="shared" si="1"/>
        <v>2021</v>
      </c>
      <c r="W9" s="271">
        <f t="shared" si="1"/>
        <v>2020</v>
      </c>
      <c r="X9" s="271">
        <f t="shared" si="1"/>
        <v>2019</v>
      </c>
      <c r="Y9" s="271">
        <f t="shared" si="1"/>
        <v>2018</v>
      </c>
      <c r="Z9" s="271">
        <f t="shared" si="1"/>
        <v>2017</v>
      </c>
      <c r="AA9" s="271">
        <f t="shared" si="1"/>
        <v>2016</v>
      </c>
      <c r="AB9" s="271">
        <f t="shared" si="1"/>
        <v>2015</v>
      </c>
      <c r="AC9" s="271">
        <f t="shared" si="1"/>
        <v>2014</v>
      </c>
      <c r="AD9" s="271">
        <f t="shared" si="1"/>
        <v>2013</v>
      </c>
      <c r="AE9" s="271"/>
    </row>
    <row r="10" spans="1:32" x14ac:dyDescent="0.2">
      <c r="A10" s="242" t="s">
        <v>256</v>
      </c>
      <c r="B10" s="605">
        <v>-98.087999999999994</v>
      </c>
      <c r="C10" s="243">
        <v>-93.8</v>
      </c>
      <c r="D10" s="243">
        <v>-15.949</v>
      </c>
      <c r="E10" s="243">
        <v>-17.744</v>
      </c>
      <c r="F10" s="243">
        <v>-19.07</v>
      </c>
      <c r="G10" s="243">
        <v>-15.324</v>
      </c>
      <c r="H10" s="243">
        <v>2.5649999999999999</v>
      </c>
      <c r="I10" s="243">
        <v>-31.81</v>
      </c>
      <c r="J10" s="243">
        <v>-14.423999999999999</v>
      </c>
      <c r="K10" s="243">
        <v>0.30499999999999999</v>
      </c>
      <c r="L10" s="243">
        <v>-5.17</v>
      </c>
      <c r="M10" s="243">
        <v>-12.224</v>
      </c>
      <c r="N10" s="243">
        <v>-4.5549999999999997</v>
      </c>
      <c r="O10" s="243"/>
      <c r="P10" s="240"/>
      <c r="Q10" s="240"/>
      <c r="S10" s="239" t="s">
        <v>348</v>
      </c>
      <c r="T10" s="244">
        <f t="shared" ref="T10:AE10" si="2">C24</f>
        <v>2848.797</v>
      </c>
      <c r="U10" s="244">
        <f t="shared" si="2"/>
        <v>2830.9169999999999</v>
      </c>
      <c r="V10" s="244">
        <f t="shared" si="2"/>
        <v>2297.6089999999999</v>
      </c>
      <c r="W10" s="244">
        <f t="shared" si="2"/>
        <v>1953.568</v>
      </c>
      <c r="X10" s="244">
        <f t="shared" si="2"/>
        <v>2202.2750000000001</v>
      </c>
      <c r="Y10" s="244">
        <f t="shared" si="2"/>
        <v>1824.6959999999999</v>
      </c>
      <c r="Z10" s="244">
        <f t="shared" si="2"/>
        <v>1711.1030000000001</v>
      </c>
      <c r="AA10" s="244">
        <f t="shared" si="2"/>
        <v>1638.6320000000001</v>
      </c>
      <c r="AB10" s="244">
        <f t="shared" si="2"/>
        <v>1527.1869999999999</v>
      </c>
      <c r="AC10" s="244">
        <f t="shared" si="2"/>
        <v>1390.7670000000001</v>
      </c>
      <c r="AD10" s="244">
        <f t="shared" si="2"/>
        <v>1232.0650000000001</v>
      </c>
      <c r="AE10" s="244">
        <f t="shared" si="2"/>
        <v>1096.1859999999999</v>
      </c>
      <c r="AF10" s="244"/>
    </row>
    <row r="11" spans="1:32" x14ac:dyDescent="0.2">
      <c r="A11" s="242" t="s">
        <v>257</v>
      </c>
      <c r="B11" s="605">
        <v>400.40899999999999</v>
      </c>
      <c r="C11" s="243">
        <v>393.93299999999999</v>
      </c>
      <c r="D11" s="243">
        <v>375</v>
      </c>
      <c r="E11" s="243">
        <v>322.55099999999999</v>
      </c>
      <c r="F11" s="243">
        <v>326.01400000000001</v>
      </c>
      <c r="G11" s="243">
        <v>335.74599999999998</v>
      </c>
      <c r="H11" s="243">
        <v>243.83</v>
      </c>
      <c r="I11" s="243">
        <v>237.65100000000001</v>
      </c>
      <c r="J11" s="243">
        <v>233.834</v>
      </c>
      <c r="K11" s="243">
        <v>193.59399999999999</v>
      </c>
      <c r="L11" s="243">
        <v>179.43100000000001</v>
      </c>
      <c r="M11" s="243">
        <v>154.928</v>
      </c>
      <c r="N11" s="243">
        <v>125.096</v>
      </c>
      <c r="O11" s="243"/>
      <c r="P11" s="240"/>
      <c r="Q11" s="240"/>
      <c r="S11" s="239" t="s">
        <v>349</v>
      </c>
      <c r="T11" s="244">
        <f t="shared" ref="T11:AE11" si="3">C23</f>
        <v>114.877</v>
      </c>
      <c r="U11" s="244">
        <f t="shared" si="3"/>
        <v>71.286000000000001</v>
      </c>
      <c r="V11" s="244">
        <f t="shared" si="3"/>
        <v>68.263000000000005</v>
      </c>
      <c r="W11" s="244">
        <f t="shared" si="3"/>
        <v>53.149000000000001</v>
      </c>
      <c r="X11" s="244">
        <f t="shared" si="3"/>
        <v>53.173000000000002</v>
      </c>
      <c r="Y11" s="244">
        <f t="shared" si="3"/>
        <v>37.97</v>
      </c>
      <c r="Z11" s="244">
        <f t="shared" si="3"/>
        <v>60.106999999999999</v>
      </c>
      <c r="AA11" s="244">
        <f t="shared" si="3"/>
        <v>75.198999999999998</v>
      </c>
      <c r="AB11" s="244">
        <f t="shared" si="3"/>
        <v>61.395000000000003</v>
      </c>
      <c r="AC11" s="244">
        <f t="shared" si="3"/>
        <v>80.292000000000002</v>
      </c>
      <c r="AD11" s="244">
        <f t="shared" si="3"/>
        <v>60.779000000000003</v>
      </c>
      <c r="AE11" s="244">
        <f t="shared" si="3"/>
        <v>34.625</v>
      </c>
      <c r="AF11" s="244"/>
    </row>
    <row r="12" spans="1:32" x14ac:dyDescent="0.2">
      <c r="A12" s="242" t="s">
        <v>214</v>
      </c>
      <c r="B12" s="243">
        <f>T17</f>
        <v>61.471000000000103</v>
      </c>
      <c r="C12" s="243">
        <f>U17</f>
        <v>536.33100000000002</v>
      </c>
      <c r="D12" s="243">
        <f t="shared" ref="D12:F12" si="4">V17</f>
        <v>359.15499999999997</v>
      </c>
      <c r="E12" s="243">
        <f t="shared" si="4"/>
        <v>-248.73100000000011</v>
      </c>
      <c r="F12" s="243">
        <f t="shared" si="4"/>
        <v>392.78200000000015</v>
      </c>
      <c r="G12" s="243">
        <v>333.54199999999997</v>
      </c>
      <c r="H12" s="243">
        <v>617.75900000000001</v>
      </c>
      <c r="I12" s="243">
        <v>581.07100000000003</v>
      </c>
      <c r="J12" s="243">
        <v>598.26300000000003</v>
      </c>
      <c r="K12" s="243">
        <v>621.01499999999999</v>
      </c>
      <c r="L12" s="243">
        <v>731.55100000000004</v>
      </c>
      <c r="M12" s="243">
        <v>617.48400000000004</v>
      </c>
      <c r="N12" s="243">
        <v>595.12099999999998</v>
      </c>
      <c r="O12" s="243"/>
      <c r="P12" s="240"/>
      <c r="Q12" s="240"/>
      <c r="S12" s="239" t="s">
        <v>350</v>
      </c>
      <c r="U12" s="244"/>
      <c r="V12" s="244"/>
      <c r="W12" s="244"/>
      <c r="X12" s="244"/>
      <c r="Y12" s="244"/>
      <c r="Z12" s="244"/>
      <c r="AA12" s="244"/>
      <c r="AB12" s="244"/>
      <c r="AC12" s="244"/>
      <c r="AD12" s="244"/>
      <c r="AE12" s="244"/>
      <c r="AF12" s="244"/>
    </row>
    <row r="13" spans="1:32" x14ac:dyDescent="0.2">
      <c r="A13" s="242" t="s">
        <v>118</v>
      </c>
      <c r="B13" s="604">
        <v>726</v>
      </c>
      <c r="C13" s="243">
        <v>520.4</v>
      </c>
      <c r="D13" s="243">
        <v>328</v>
      </c>
      <c r="E13" s="243">
        <v>268.10000000000002</v>
      </c>
      <c r="F13" s="243">
        <v>167.3</v>
      </c>
      <c r="G13" s="243">
        <v>179.5</v>
      </c>
      <c r="H13" s="243">
        <v>170.5</v>
      </c>
      <c r="I13" s="243">
        <v>372.6</v>
      </c>
      <c r="J13" s="243">
        <v>242</v>
      </c>
      <c r="K13" s="243">
        <v>370.02800000000002</v>
      </c>
      <c r="L13" s="243">
        <v>349.00700000000001</v>
      </c>
      <c r="M13" s="243">
        <v>285.66800000000001</v>
      </c>
      <c r="N13" s="243">
        <v>258</v>
      </c>
      <c r="O13" s="243"/>
      <c r="V13" s="244"/>
    </row>
    <row r="14" spans="1:32" x14ac:dyDescent="0.2">
      <c r="A14" s="242" t="s">
        <v>19</v>
      </c>
      <c r="B14" s="604">
        <v>0</v>
      </c>
      <c r="C14" s="243">
        <v>0</v>
      </c>
      <c r="D14" s="243">
        <v>0</v>
      </c>
      <c r="E14" s="243">
        <v>0</v>
      </c>
      <c r="F14" s="243">
        <v>8.5</v>
      </c>
      <c r="G14" s="243">
        <v>0</v>
      </c>
      <c r="H14" s="243">
        <v>0</v>
      </c>
      <c r="I14" s="243">
        <v>0</v>
      </c>
      <c r="J14" s="243">
        <v>0</v>
      </c>
      <c r="K14" s="243">
        <v>0</v>
      </c>
      <c r="L14" s="243">
        <v>0</v>
      </c>
      <c r="M14" s="243">
        <v>0</v>
      </c>
      <c r="N14" s="243">
        <v>0</v>
      </c>
      <c r="O14" s="243"/>
      <c r="P14" s="240"/>
      <c r="Q14" s="240"/>
      <c r="T14" s="240">
        <f>(T10-U10)</f>
        <v>17.880000000000109</v>
      </c>
      <c r="U14" s="240">
        <f>(U10-V10)</f>
        <v>533.30799999999999</v>
      </c>
      <c r="V14" s="240">
        <f t="shared" ref="V14:AD14" si="5">(V10-W10)</f>
        <v>344.04099999999994</v>
      </c>
      <c r="W14" s="240">
        <f t="shared" si="5"/>
        <v>-248.70700000000011</v>
      </c>
      <c r="X14" s="240">
        <f t="shared" si="5"/>
        <v>377.57900000000018</v>
      </c>
      <c r="Y14" s="240">
        <f t="shared" si="5"/>
        <v>113.59299999999985</v>
      </c>
      <c r="Z14" s="240">
        <f t="shared" si="5"/>
        <v>72.471000000000004</v>
      </c>
      <c r="AA14" s="240">
        <f t="shared" si="5"/>
        <v>111.44500000000016</v>
      </c>
      <c r="AB14" s="240">
        <f t="shared" si="5"/>
        <v>136.41999999999985</v>
      </c>
      <c r="AC14" s="240">
        <f t="shared" si="5"/>
        <v>158.702</v>
      </c>
      <c r="AD14" s="240">
        <f t="shared" si="5"/>
        <v>135.87900000000013</v>
      </c>
      <c r="AE14" s="368"/>
      <c r="AF14" s="368"/>
    </row>
    <row r="15" spans="1:32" x14ac:dyDescent="0.2">
      <c r="A15" s="242" t="s">
        <v>216</v>
      </c>
      <c r="B15" s="605">
        <v>353.7</v>
      </c>
      <c r="C15" s="243">
        <v>191.92</v>
      </c>
      <c r="D15" s="243">
        <v>340.7</v>
      </c>
      <c r="E15" s="243">
        <v>474.5</v>
      </c>
      <c r="F15" s="243">
        <v>181.5</v>
      </c>
      <c r="G15" s="243">
        <v>76.5</v>
      </c>
      <c r="H15" s="243">
        <v>111.2</v>
      </c>
      <c r="I15" s="243">
        <v>177.9</v>
      </c>
      <c r="J15" s="243">
        <v>171</v>
      </c>
      <c r="K15" s="243">
        <v>200.5</v>
      </c>
      <c r="L15" s="243">
        <v>211.7</v>
      </c>
      <c r="M15" s="243">
        <v>208.3</v>
      </c>
      <c r="N15" s="243">
        <v>230.5</v>
      </c>
      <c r="O15" s="243"/>
      <c r="P15" s="240"/>
      <c r="Q15" s="240"/>
      <c r="S15" s="244"/>
      <c r="T15" s="240">
        <f>T11-U11</f>
        <v>43.590999999999994</v>
      </c>
      <c r="U15" s="240">
        <f t="shared" ref="U15:AD16" si="6">(U11-V11)</f>
        <v>3.0229999999999961</v>
      </c>
      <c r="V15" s="240">
        <f t="shared" si="6"/>
        <v>15.114000000000004</v>
      </c>
      <c r="W15" s="240">
        <f t="shared" si="6"/>
        <v>-2.4000000000000909E-2</v>
      </c>
      <c r="X15" s="240">
        <f t="shared" si="6"/>
        <v>15.203000000000003</v>
      </c>
      <c r="Y15" s="240">
        <f t="shared" si="6"/>
        <v>-22.137</v>
      </c>
      <c r="Z15" s="240">
        <f t="shared" si="6"/>
        <v>-15.091999999999999</v>
      </c>
      <c r="AA15" s="240">
        <f t="shared" si="6"/>
        <v>13.803999999999995</v>
      </c>
      <c r="AB15" s="240">
        <f t="shared" si="6"/>
        <v>-18.896999999999998</v>
      </c>
      <c r="AC15" s="240">
        <f t="shared" si="6"/>
        <v>19.512999999999998</v>
      </c>
      <c r="AD15" s="240">
        <f t="shared" si="6"/>
        <v>26.154000000000003</v>
      </c>
      <c r="AE15" s="368"/>
      <c r="AF15" s="368"/>
    </row>
    <row r="16" spans="1:32" x14ac:dyDescent="0.2">
      <c r="A16" s="242" t="s">
        <v>41</v>
      </c>
      <c r="B16" s="605">
        <v>1165.308</v>
      </c>
      <c r="C16" s="243">
        <v>1046.519</v>
      </c>
      <c r="D16" s="243">
        <v>1043</v>
      </c>
      <c r="E16" s="243">
        <v>1519.8710000000001</v>
      </c>
      <c r="F16" s="243">
        <v>530.25099999999998</v>
      </c>
      <c r="G16" s="243">
        <v>297.46199999999999</v>
      </c>
      <c r="H16" s="243">
        <v>319.86399999999998</v>
      </c>
      <c r="I16" s="243">
        <v>323.44499999999999</v>
      </c>
      <c r="J16" s="243">
        <v>287.39600000000002</v>
      </c>
      <c r="K16" s="243">
        <v>330.39100000000002</v>
      </c>
      <c r="L16" s="243">
        <v>344.19799999999998</v>
      </c>
      <c r="M16" s="243">
        <v>337.59800000000001</v>
      </c>
      <c r="N16" s="243">
        <v>290.709</v>
      </c>
      <c r="O16" s="243"/>
      <c r="P16" s="240"/>
      <c r="Q16" s="240"/>
      <c r="S16" s="244"/>
      <c r="T16" s="240">
        <f>T12-U12</f>
        <v>0</v>
      </c>
      <c r="U16" s="240">
        <f t="shared" si="6"/>
        <v>0</v>
      </c>
      <c r="V16" s="240">
        <f t="shared" si="6"/>
        <v>0</v>
      </c>
      <c r="W16" s="240">
        <f t="shared" si="6"/>
        <v>0</v>
      </c>
      <c r="X16" s="240">
        <f t="shared" si="6"/>
        <v>0</v>
      </c>
      <c r="Y16" s="240">
        <f t="shared" si="6"/>
        <v>0</v>
      </c>
      <c r="Z16" s="240">
        <f t="shared" si="6"/>
        <v>0</v>
      </c>
      <c r="AA16" s="240">
        <f t="shared" si="6"/>
        <v>0</v>
      </c>
      <c r="AB16" s="240">
        <f t="shared" si="6"/>
        <v>0</v>
      </c>
      <c r="AC16" s="240">
        <f t="shared" si="6"/>
        <v>0</v>
      </c>
      <c r="AD16" s="240">
        <f t="shared" si="6"/>
        <v>0</v>
      </c>
      <c r="AE16" s="368"/>
      <c r="AF16" s="368"/>
    </row>
    <row r="17" spans="1:104" ht="15" x14ac:dyDescent="0.25">
      <c r="A17" s="242" t="s">
        <v>220</v>
      </c>
      <c r="B17" s="604">
        <v>362</v>
      </c>
      <c r="C17" s="243">
        <v>351.2</v>
      </c>
      <c r="D17" s="243">
        <v>163.1</v>
      </c>
      <c r="E17" s="243">
        <v>603</v>
      </c>
      <c r="F17" s="243">
        <v>107.4</v>
      </c>
      <c r="G17" s="243">
        <v>98.3</v>
      </c>
      <c r="H17" s="243">
        <v>89.3</v>
      </c>
      <c r="I17" s="243">
        <v>73.099999999999994</v>
      </c>
      <c r="J17" s="243">
        <v>68</v>
      </c>
      <c r="K17" s="243">
        <v>64.7</v>
      </c>
      <c r="L17" s="243">
        <v>61.3</v>
      </c>
      <c r="M17" s="243">
        <v>64.400000000000006</v>
      </c>
      <c r="N17" s="243">
        <v>307</v>
      </c>
      <c r="O17" s="243"/>
      <c r="P17" s="240"/>
      <c r="Q17" s="240"/>
      <c r="S17" s="247" t="s">
        <v>351</v>
      </c>
      <c r="T17" s="246">
        <f>SUM(T14:T16)</f>
        <v>61.471000000000103</v>
      </c>
      <c r="U17" s="246">
        <f>SUM(U14:U16)</f>
        <v>536.33100000000002</v>
      </c>
      <c r="V17" s="246">
        <f t="shared" ref="V17:AD17" si="7">SUM(V14:V16)</f>
        <v>359.15499999999997</v>
      </c>
      <c r="W17" s="246">
        <f t="shared" si="7"/>
        <v>-248.73100000000011</v>
      </c>
      <c r="X17" s="246">
        <f t="shared" si="7"/>
        <v>392.78200000000015</v>
      </c>
      <c r="Y17" s="246">
        <f t="shared" si="7"/>
        <v>91.455999999999847</v>
      </c>
      <c r="Z17" s="246">
        <f t="shared" si="7"/>
        <v>57.379000000000005</v>
      </c>
      <c r="AA17" s="246">
        <f t="shared" si="7"/>
        <v>125.24900000000017</v>
      </c>
      <c r="AB17" s="246">
        <f t="shared" si="7"/>
        <v>117.52299999999985</v>
      </c>
      <c r="AC17" s="246">
        <f t="shared" si="7"/>
        <v>178.215</v>
      </c>
      <c r="AD17" s="246">
        <f t="shared" si="7"/>
        <v>162.03300000000013</v>
      </c>
      <c r="AE17" s="368"/>
      <c r="AF17" s="368"/>
    </row>
    <row r="18" spans="1:104" x14ac:dyDescent="0.2">
      <c r="A18" s="242" t="s">
        <v>258</v>
      </c>
      <c r="B18" s="604">
        <v>268</v>
      </c>
      <c r="C18" s="243">
        <v>648.6</v>
      </c>
      <c r="D18" s="243">
        <v>426.7</v>
      </c>
      <c r="E18" s="243">
        <v>1180</v>
      </c>
      <c r="F18" s="243">
        <v>0.30690000000000001</v>
      </c>
      <c r="G18" s="243">
        <v>402.2</v>
      </c>
      <c r="H18" s="243">
        <v>33.89</v>
      </c>
      <c r="I18" s="243">
        <v>42.53</v>
      </c>
      <c r="J18" s="243">
        <v>29.88</v>
      </c>
      <c r="K18" s="243">
        <v>57.33</v>
      </c>
      <c r="L18" s="243">
        <v>7.22E-2</v>
      </c>
      <c r="M18" s="243">
        <v>150.06800000000001</v>
      </c>
      <c r="N18" s="243">
        <v>0.19339999999999999</v>
      </c>
      <c r="O18" s="243"/>
      <c r="P18" s="240"/>
      <c r="Q18" s="240"/>
      <c r="U18" s="368"/>
    </row>
    <row r="19" spans="1:104" x14ac:dyDescent="0.2">
      <c r="B19" s="240">
        <f>B8-B9-B10-B15</f>
        <v>1165.3329999999999</v>
      </c>
      <c r="C19" s="240">
        <f>C8-C9-C10-C15</f>
        <v>1046.5449999999998</v>
      </c>
      <c r="D19" s="240">
        <f t="shared" ref="D19:N19" si="8">D8-D9-D10-D15</f>
        <v>1043.048</v>
      </c>
      <c r="E19" s="240">
        <f t="shared" si="8"/>
        <v>1519.9079999999999</v>
      </c>
      <c r="F19" s="240">
        <f t="shared" si="8"/>
        <v>530.23500000000001</v>
      </c>
      <c r="G19" s="240">
        <f t="shared" si="8"/>
        <v>297.42500000000001</v>
      </c>
      <c r="H19" s="240">
        <f t="shared" si="8"/>
        <v>319.86799999999999</v>
      </c>
      <c r="I19" s="240">
        <f t="shared" si="8"/>
        <v>323.43700000000001</v>
      </c>
      <c r="J19" s="240">
        <f t="shared" si="8"/>
        <v>287.42199999999997</v>
      </c>
      <c r="K19" s="240">
        <f t="shared" si="8"/>
        <v>330.37500000000011</v>
      </c>
      <c r="L19" s="240">
        <f t="shared" si="8"/>
        <v>344.21399999999988</v>
      </c>
      <c r="M19" s="240">
        <f t="shared" si="8"/>
        <v>337.60700000000003</v>
      </c>
      <c r="N19" s="240">
        <f t="shared" si="8"/>
        <v>290.69499999999994</v>
      </c>
      <c r="R19" s="244"/>
      <c r="U19" s="368"/>
    </row>
    <row r="20" spans="1:104" ht="15" x14ac:dyDescent="0.25">
      <c r="A20" s="271" t="s">
        <v>259</v>
      </c>
      <c r="B20" s="245">
        <f>B16-B19</f>
        <v>-2.4999999999863576E-2</v>
      </c>
      <c r="C20" s="245">
        <f t="shared" ref="C20:N20" si="9">C16-C19</f>
        <v>-2.5999999999839929E-2</v>
      </c>
      <c r="D20" s="245">
        <f t="shared" si="9"/>
        <v>-4.8000000000001819E-2</v>
      </c>
      <c r="E20" s="245">
        <f t="shared" si="9"/>
        <v>-3.6999999999807187E-2</v>
      </c>
      <c r="F20" s="245">
        <f t="shared" si="9"/>
        <v>1.5999999999962711E-2</v>
      </c>
      <c r="G20" s="245">
        <f t="shared" si="9"/>
        <v>3.6999999999977717E-2</v>
      </c>
      <c r="H20" s="245">
        <f t="shared" si="9"/>
        <v>-4.0000000000190994E-3</v>
      </c>
      <c r="I20" s="245">
        <f t="shared" si="9"/>
        <v>7.9999999999813554E-3</v>
      </c>
      <c r="J20" s="245">
        <f t="shared" si="9"/>
        <v>-2.5999999999953616E-2</v>
      </c>
      <c r="K20" s="245">
        <f t="shared" si="9"/>
        <v>1.5999999999905867E-2</v>
      </c>
      <c r="L20" s="245">
        <f t="shared" si="9"/>
        <v>-1.5999999999905867E-2</v>
      </c>
      <c r="M20" s="245">
        <f t="shared" si="9"/>
        <v>-9.0000000000145519E-3</v>
      </c>
      <c r="N20" s="245">
        <f t="shared" si="9"/>
        <v>1.4000000000066848E-2</v>
      </c>
      <c r="R20" s="244"/>
      <c r="U20" s="368"/>
    </row>
    <row r="21" spans="1:104" ht="15" x14ac:dyDescent="0.25">
      <c r="A21" s="241" t="s">
        <v>226</v>
      </c>
      <c r="B21" s="241"/>
      <c r="C21" s="247"/>
      <c r="D21" s="247"/>
      <c r="E21" s="247"/>
      <c r="F21" s="247"/>
      <c r="G21" s="247"/>
      <c r="H21" s="247"/>
      <c r="I21" s="247"/>
      <c r="J21" s="247"/>
      <c r="K21" s="247"/>
      <c r="L21" s="246"/>
      <c r="M21" s="246"/>
      <c r="R21" s="244"/>
      <c r="U21" s="368"/>
    </row>
    <row r="22" spans="1:104" x14ac:dyDescent="0.2">
      <c r="A22" s="242" t="s">
        <v>227</v>
      </c>
      <c r="B22" s="605">
        <v>1689.94</v>
      </c>
      <c r="C22" s="243">
        <v>1801.22</v>
      </c>
      <c r="D22" s="243">
        <v>1924.386</v>
      </c>
      <c r="E22" s="243">
        <v>2643.2049999999999</v>
      </c>
      <c r="F22" s="243">
        <v>1658.067</v>
      </c>
      <c r="G22" s="243">
        <v>69.343999999999994</v>
      </c>
      <c r="H22" s="243">
        <v>113.65300000000001</v>
      </c>
      <c r="I22" s="243">
        <v>101.253</v>
      </c>
      <c r="J22" s="243">
        <v>164.77699999999999</v>
      </c>
      <c r="K22" s="243">
        <v>118.93600000000001</v>
      </c>
      <c r="L22" s="243">
        <v>221.679</v>
      </c>
      <c r="M22" s="243">
        <v>181.73099999999999</v>
      </c>
      <c r="N22" s="243">
        <v>345.214</v>
      </c>
      <c r="O22" s="243"/>
      <c r="P22" s="240"/>
      <c r="Q22" s="240"/>
      <c r="R22" s="244"/>
      <c r="S22" s="244"/>
      <c r="T22" s="244"/>
      <c r="U22" s="244"/>
      <c r="V22" s="244"/>
      <c r="W22" s="244"/>
      <c r="X22" s="244"/>
      <c r="Y22" s="244"/>
      <c r="Z22" s="244"/>
      <c r="AA22" s="244"/>
      <c r="AB22" s="244"/>
      <c r="AC22" s="244"/>
      <c r="AD22" s="244"/>
      <c r="AE22" s="244"/>
    </row>
    <row r="23" spans="1:104" s="249" customFormat="1" x14ac:dyDescent="0.2">
      <c r="A23" s="248" t="s">
        <v>228</v>
      </c>
      <c r="B23" s="243">
        <v>214.25</v>
      </c>
      <c r="C23" s="243">
        <v>114.877</v>
      </c>
      <c r="D23" s="243">
        <v>71.286000000000001</v>
      </c>
      <c r="E23" s="243">
        <v>68.263000000000005</v>
      </c>
      <c r="F23" s="243">
        <v>53.149000000000001</v>
      </c>
      <c r="G23" s="243">
        <v>53.173000000000002</v>
      </c>
      <c r="H23" s="243">
        <v>37.97</v>
      </c>
      <c r="I23" s="243">
        <v>60.106999999999999</v>
      </c>
      <c r="J23" s="243">
        <v>75.198999999999998</v>
      </c>
      <c r="K23" s="243">
        <v>61.395000000000003</v>
      </c>
      <c r="L23" s="243">
        <v>80.292000000000002</v>
      </c>
      <c r="M23" s="243">
        <v>60.779000000000003</v>
      </c>
      <c r="N23" s="243">
        <v>34.625</v>
      </c>
      <c r="O23" s="243"/>
      <c r="P23" s="240"/>
      <c r="Q23" s="240"/>
      <c r="R23" s="244"/>
      <c r="S23" s="244"/>
      <c r="T23" s="244"/>
      <c r="U23" s="244"/>
      <c r="V23" s="244"/>
      <c r="W23" s="244"/>
      <c r="X23" s="244"/>
      <c r="Y23" s="244"/>
      <c r="Z23" s="244"/>
      <c r="AA23" s="244"/>
      <c r="AB23" s="244"/>
      <c r="AC23" s="244"/>
      <c r="AD23" s="244"/>
      <c r="AE23" s="244"/>
      <c r="AF23" s="239"/>
      <c r="AG23" s="239"/>
      <c r="AH23" s="239"/>
      <c r="AI23" s="239"/>
      <c r="AJ23" s="239"/>
      <c r="AK23" s="239"/>
      <c r="AL23" s="239"/>
      <c r="AM23" s="239"/>
      <c r="AN23" s="239"/>
      <c r="AO23" s="239"/>
      <c r="AP23" s="239"/>
      <c r="AQ23" s="239"/>
      <c r="AR23" s="239"/>
      <c r="AS23" s="239"/>
      <c r="AT23" s="239"/>
      <c r="AU23" s="239"/>
      <c r="AV23" s="239"/>
      <c r="AW23" s="239"/>
      <c r="AX23" s="239"/>
      <c r="AY23" s="239"/>
      <c r="AZ23" s="239"/>
      <c r="BA23" s="239"/>
      <c r="BB23" s="239"/>
      <c r="BC23" s="239"/>
      <c r="BD23" s="239"/>
      <c r="BE23" s="239"/>
      <c r="BF23" s="239"/>
      <c r="BG23" s="239"/>
      <c r="BH23" s="239"/>
      <c r="BI23" s="239"/>
      <c r="BJ23" s="239"/>
      <c r="BK23" s="239"/>
      <c r="BL23" s="239"/>
      <c r="BM23" s="239"/>
      <c r="BN23" s="239"/>
      <c r="BO23" s="239"/>
      <c r="BP23" s="239"/>
      <c r="BQ23" s="239"/>
      <c r="BR23" s="239"/>
      <c r="BS23" s="239"/>
      <c r="BT23" s="239"/>
      <c r="BU23" s="239"/>
      <c r="BV23" s="239"/>
      <c r="BW23" s="239"/>
      <c r="BX23" s="239"/>
      <c r="BY23" s="239"/>
      <c r="BZ23" s="239"/>
      <c r="CA23" s="239"/>
      <c r="CB23" s="239"/>
      <c r="CC23" s="239"/>
      <c r="CD23" s="239"/>
      <c r="CE23" s="239"/>
      <c r="CF23" s="239"/>
      <c r="CG23" s="239"/>
      <c r="CH23" s="239"/>
      <c r="CI23" s="239"/>
      <c r="CJ23" s="239"/>
      <c r="CK23" s="239"/>
      <c r="CL23" s="239"/>
      <c r="CM23" s="239"/>
      <c r="CN23" s="239"/>
      <c r="CO23" s="239"/>
      <c r="CP23" s="239"/>
      <c r="CQ23" s="239"/>
      <c r="CR23" s="239"/>
      <c r="CS23" s="239"/>
      <c r="CT23" s="239"/>
      <c r="CU23" s="239"/>
      <c r="CV23" s="239"/>
      <c r="CW23" s="239"/>
      <c r="CX23" s="239"/>
      <c r="CY23" s="239"/>
      <c r="CZ23" s="239"/>
    </row>
    <row r="24" spans="1:104" x14ac:dyDescent="0.2">
      <c r="A24" s="242" t="s">
        <v>229</v>
      </c>
      <c r="B24" s="605">
        <v>3349.83</v>
      </c>
      <c r="C24" s="243">
        <v>2848.797</v>
      </c>
      <c r="D24" s="243">
        <v>2830.9169999999999</v>
      </c>
      <c r="E24" s="243">
        <v>2297.6089999999999</v>
      </c>
      <c r="F24" s="243">
        <v>1953.568</v>
      </c>
      <c r="G24" s="243">
        <v>2202.2750000000001</v>
      </c>
      <c r="H24" s="243">
        <v>1824.6959999999999</v>
      </c>
      <c r="I24" s="243">
        <v>1711.1030000000001</v>
      </c>
      <c r="J24" s="243">
        <v>1638.6320000000001</v>
      </c>
      <c r="K24" s="243">
        <v>1527.1869999999999</v>
      </c>
      <c r="L24" s="243">
        <v>1390.7670000000001</v>
      </c>
      <c r="M24" s="243">
        <v>1232.0650000000001</v>
      </c>
      <c r="N24" s="243">
        <v>1096.1859999999999</v>
      </c>
      <c r="O24" s="243"/>
      <c r="P24" s="240"/>
      <c r="Q24" s="240"/>
      <c r="R24" s="244"/>
      <c r="S24" s="244"/>
      <c r="T24" s="244"/>
      <c r="U24" s="244"/>
      <c r="V24" s="244"/>
      <c r="W24" s="244"/>
      <c r="X24" s="244"/>
      <c r="Y24" s="244"/>
      <c r="Z24" s="244"/>
      <c r="AA24" s="244"/>
      <c r="AB24" s="244"/>
      <c r="AC24" s="244"/>
      <c r="AD24" s="244"/>
      <c r="AE24" s="244"/>
    </row>
    <row r="25" spans="1:104" x14ac:dyDescent="0.2">
      <c r="A25" s="242" t="s">
        <v>260</v>
      </c>
      <c r="B25" s="605">
        <v>2069.9140000000002</v>
      </c>
      <c r="C25" s="243">
        <v>1638.1610000000001</v>
      </c>
      <c r="D25" s="243">
        <v>1312.9880000000001</v>
      </c>
      <c r="E25" s="243">
        <v>1319.681</v>
      </c>
      <c r="F25" s="243">
        <v>1300.2650000000001</v>
      </c>
      <c r="G25" s="243">
        <v>1415.7280000000001</v>
      </c>
      <c r="H25" s="243">
        <v>1565.271</v>
      </c>
      <c r="I25" s="243">
        <v>1677.34</v>
      </c>
      <c r="J25" s="243">
        <v>1522.5740000000001</v>
      </c>
      <c r="K25" s="243">
        <v>1347.885</v>
      </c>
      <c r="L25" s="243">
        <v>1203.3820000000001</v>
      </c>
      <c r="M25" s="243">
        <v>1084.529</v>
      </c>
      <c r="N25" s="243">
        <v>840.13499999999999</v>
      </c>
      <c r="O25" s="243"/>
      <c r="P25" s="240"/>
      <c r="Q25" s="240"/>
      <c r="R25" s="244"/>
      <c r="S25" s="244"/>
      <c r="T25" s="244"/>
      <c r="U25" s="244"/>
      <c r="V25" s="244"/>
      <c r="W25" s="244"/>
      <c r="X25" s="244"/>
      <c r="Y25" s="244"/>
      <c r="Z25" s="244"/>
      <c r="AA25" s="244"/>
      <c r="AB25" s="244"/>
      <c r="AC25" s="244"/>
      <c r="AD25" s="244"/>
      <c r="AE25" s="244"/>
    </row>
    <row r="26" spans="1:104" x14ac:dyDescent="0.2">
      <c r="A26" s="239" t="s">
        <v>231</v>
      </c>
      <c r="B26" s="240">
        <f>B27-SUM(B22:B25)</f>
        <v>3134.7599999999984</v>
      </c>
      <c r="C26" s="240">
        <f t="shared" ref="C26:D26" si="10">C27-SUM(C22:C25)</f>
        <v>2908.6970000000001</v>
      </c>
      <c r="D26" s="240">
        <f t="shared" si="10"/>
        <v>2852.6189999999997</v>
      </c>
      <c r="E26" s="240">
        <f>E27-SUM(E22:E25)</f>
        <v>2712.9179999999997</v>
      </c>
      <c r="F26" s="240">
        <f>F27-SUM(F22:F25)</f>
        <v>2787.8100000000004</v>
      </c>
      <c r="G26" s="240">
        <f>G27-SUM(G22:G25)</f>
        <v>2888.0400000000004</v>
      </c>
      <c r="H26" s="240">
        <f t="shared" ref="H26:N26" si="11">H27-SUM(H22:H25)</f>
        <v>645.5590000000002</v>
      </c>
      <c r="I26" s="240">
        <f t="shared" si="11"/>
        <v>654.13600000000042</v>
      </c>
      <c r="J26" s="240">
        <f t="shared" si="11"/>
        <v>657.11399999999958</v>
      </c>
      <c r="K26" s="240">
        <f t="shared" si="11"/>
        <v>503.93299999999954</v>
      </c>
      <c r="L26" s="240">
        <f t="shared" si="11"/>
        <v>540.07799999999997</v>
      </c>
      <c r="M26" s="240">
        <f t="shared" si="11"/>
        <v>512.38299999999981</v>
      </c>
      <c r="N26" s="240">
        <f t="shared" si="11"/>
        <v>571.64699999999993</v>
      </c>
      <c r="O26" s="240"/>
      <c r="P26" s="240"/>
      <c r="Q26" s="240"/>
      <c r="R26" s="244"/>
      <c r="S26" s="244"/>
      <c r="T26" s="244"/>
      <c r="U26" s="244"/>
      <c r="V26" s="244"/>
      <c r="W26" s="244"/>
      <c r="X26" s="244"/>
      <c r="Y26" s="244"/>
      <c r="Z26" s="244"/>
      <c r="AA26" s="244"/>
      <c r="AB26" s="244"/>
    </row>
    <row r="27" spans="1:104" ht="15" x14ac:dyDescent="0.25">
      <c r="A27" s="242" t="s">
        <v>232</v>
      </c>
      <c r="B27" s="250">
        <v>10458.694</v>
      </c>
      <c r="C27" s="250">
        <v>9311.7520000000004</v>
      </c>
      <c r="D27" s="250">
        <v>8992.1959999999999</v>
      </c>
      <c r="E27" s="250">
        <v>9041.6759999999995</v>
      </c>
      <c r="F27" s="250">
        <v>7752.8590000000004</v>
      </c>
      <c r="G27" s="250">
        <v>6628.56</v>
      </c>
      <c r="H27" s="250">
        <v>4187.1490000000003</v>
      </c>
      <c r="I27" s="250">
        <v>4203.9390000000003</v>
      </c>
      <c r="J27" s="250">
        <v>4058.2959999999998</v>
      </c>
      <c r="K27" s="250">
        <v>3559.3359999999998</v>
      </c>
      <c r="L27" s="250">
        <v>3436.1979999999999</v>
      </c>
      <c r="M27" s="250">
        <v>3071.4870000000001</v>
      </c>
      <c r="N27" s="250">
        <v>2887.8069999999998</v>
      </c>
      <c r="O27" s="250"/>
      <c r="P27" s="240"/>
      <c r="Q27" s="240"/>
      <c r="R27" s="244"/>
      <c r="S27" s="244"/>
      <c r="T27" s="244"/>
      <c r="U27" s="244"/>
      <c r="V27" s="244"/>
      <c r="W27" s="244"/>
      <c r="X27" s="244"/>
      <c r="Y27" s="244"/>
      <c r="Z27" s="244"/>
      <c r="AA27" s="244"/>
      <c r="AB27" s="244"/>
    </row>
    <row r="28" spans="1:104" x14ac:dyDescent="0.2">
      <c r="C28" s="244"/>
      <c r="D28" s="244"/>
      <c r="E28" s="244"/>
      <c r="F28" s="244"/>
      <c r="G28" s="244"/>
      <c r="H28" s="244"/>
      <c r="I28" s="244"/>
      <c r="J28" s="244"/>
      <c r="K28" s="244"/>
      <c r="L28" s="244"/>
      <c r="M28" s="244"/>
      <c r="R28" s="244"/>
      <c r="S28" s="244"/>
      <c r="T28" s="244"/>
      <c r="U28" s="244"/>
      <c r="V28" s="244"/>
      <c r="W28" s="244"/>
      <c r="X28" s="244"/>
      <c r="Y28" s="244"/>
      <c r="Z28" s="244"/>
      <c r="AA28" s="244"/>
      <c r="AB28" s="244"/>
    </row>
    <row r="29" spans="1:104" x14ac:dyDescent="0.2">
      <c r="C29" s="244"/>
      <c r="D29" s="244"/>
      <c r="E29" s="244"/>
      <c r="F29" s="244"/>
      <c r="G29" s="244"/>
      <c r="H29" s="244"/>
      <c r="I29" s="244"/>
      <c r="J29" s="244"/>
      <c r="K29" s="244"/>
      <c r="L29" s="244"/>
      <c r="M29" s="244"/>
      <c r="R29" s="244"/>
      <c r="S29" s="244"/>
      <c r="T29" s="244"/>
      <c r="U29" s="244"/>
      <c r="V29" s="244"/>
      <c r="W29" s="244"/>
      <c r="X29" s="244"/>
      <c r="Y29" s="244"/>
      <c r="Z29" s="244"/>
      <c r="AA29" s="244"/>
      <c r="AB29" s="244"/>
    </row>
    <row r="30" spans="1:104" ht="15" x14ac:dyDescent="0.25">
      <c r="A30" s="241" t="s">
        <v>233</v>
      </c>
      <c r="B30" s="241"/>
      <c r="C30" s="247"/>
      <c r="D30" s="247"/>
      <c r="E30" s="247"/>
      <c r="F30" s="247"/>
      <c r="G30" s="247"/>
      <c r="H30" s="247"/>
      <c r="I30" s="247"/>
      <c r="J30" s="247"/>
      <c r="K30" s="247"/>
      <c r="L30" s="246"/>
      <c r="M30" s="246"/>
      <c r="R30" s="244"/>
      <c r="S30" s="244"/>
      <c r="T30" s="244"/>
      <c r="U30" s="244"/>
      <c r="V30" s="244"/>
      <c r="W30" s="244"/>
      <c r="X30" s="244"/>
      <c r="Y30" s="244"/>
      <c r="Z30" s="244"/>
      <c r="AA30" s="244"/>
      <c r="AB30" s="244"/>
    </row>
    <row r="31" spans="1:104" s="241" customFormat="1" ht="15" x14ac:dyDescent="0.25">
      <c r="A31" s="251" t="s">
        <v>234</v>
      </c>
      <c r="B31" s="250">
        <v>3080.0619999999999</v>
      </c>
      <c r="C31" s="250">
        <v>2752</v>
      </c>
      <c r="D31" s="250">
        <v>2641.4459999999999</v>
      </c>
      <c r="E31" s="250">
        <v>2712.68</v>
      </c>
      <c r="F31" s="250">
        <v>2550.1979999999999</v>
      </c>
      <c r="G31" s="250">
        <v>2076.4740000000002</v>
      </c>
      <c r="H31" s="250">
        <v>1504.6389999999999</v>
      </c>
      <c r="I31" s="250">
        <v>1425.0139999999999</v>
      </c>
      <c r="J31" s="250">
        <v>1397.415</v>
      </c>
      <c r="K31" s="250">
        <v>1191.675</v>
      </c>
      <c r="L31" s="250">
        <v>1118.8330000000001</v>
      </c>
      <c r="M31" s="250">
        <v>1002.587</v>
      </c>
      <c r="N31" s="250">
        <v>1000.768</v>
      </c>
      <c r="O31" s="250"/>
      <c r="P31" s="246"/>
      <c r="Q31" s="246"/>
      <c r="R31" s="244"/>
      <c r="S31" s="244"/>
      <c r="T31" s="244"/>
      <c r="U31" s="244"/>
      <c r="V31" s="244"/>
      <c r="W31" s="244"/>
      <c r="X31" s="244"/>
      <c r="Y31" s="244"/>
      <c r="Z31" s="244"/>
      <c r="AA31" s="244"/>
      <c r="AB31" s="244"/>
    </row>
    <row r="32" spans="1:104" x14ac:dyDescent="0.2">
      <c r="A32" s="242" t="s">
        <v>235</v>
      </c>
      <c r="B32" s="605">
        <v>2181.7849999999999</v>
      </c>
      <c r="C32" s="243">
        <v>1894</v>
      </c>
      <c r="D32" s="243">
        <v>1745</v>
      </c>
      <c r="E32" s="243">
        <v>1914.9290000000001</v>
      </c>
      <c r="F32" s="243">
        <v>1817.2239999999999</v>
      </c>
      <c r="G32" s="243">
        <v>1427.5450000000001</v>
      </c>
      <c r="H32" s="243">
        <v>1274.4079999999999</v>
      </c>
      <c r="I32" s="243">
        <v>1207.732</v>
      </c>
      <c r="J32" s="243">
        <v>1192.981</v>
      </c>
      <c r="K32" s="243">
        <v>1006.7</v>
      </c>
      <c r="L32" s="243">
        <v>946.03700000000003</v>
      </c>
      <c r="M32" s="243">
        <v>847.30399999999997</v>
      </c>
      <c r="N32" s="243">
        <v>845.89300000000003</v>
      </c>
      <c r="O32" s="243"/>
      <c r="P32" s="240"/>
      <c r="Q32" s="240"/>
      <c r="R32" s="244"/>
      <c r="S32" s="244"/>
      <c r="T32" s="244"/>
      <c r="U32" s="244"/>
      <c r="V32" s="244"/>
      <c r="W32" s="244"/>
      <c r="X32" s="244"/>
      <c r="Y32" s="244"/>
      <c r="Z32" s="244"/>
      <c r="AA32" s="244"/>
      <c r="AB32" s="244"/>
    </row>
    <row r="33" spans="1:28" x14ac:dyDescent="0.2">
      <c r="A33" s="242" t="s">
        <v>236</v>
      </c>
      <c r="B33" s="605">
        <v>503.23599999999999</v>
      </c>
      <c r="C33" s="243">
        <v>492.85599999999999</v>
      </c>
      <c r="D33" s="243">
        <v>546.755</v>
      </c>
      <c r="E33" s="243">
        <v>480.31799999999998</v>
      </c>
      <c r="F33" s="243">
        <v>472.67</v>
      </c>
      <c r="G33" s="243">
        <v>422.97</v>
      </c>
      <c r="H33" s="243">
        <v>5.6230000000000002</v>
      </c>
      <c r="I33" s="243">
        <v>5.202</v>
      </c>
      <c r="J33" s="243">
        <v>0.64600000000000002</v>
      </c>
      <c r="K33" s="243">
        <v>0.58899999999999997</v>
      </c>
      <c r="L33" s="243">
        <v>0.53700000000000003</v>
      </c>
      <c r="M33" s="243">
        <v>0.89900000000000002</v>
      </c>
      <c r="N33" s="243">
        <v>8.5129999999999999</v>
      </c>
      <c r="O33" s="243"/>
      <c r="P33" s="240"/>
      <c r="Q33" s="240"/>
      <c r="R33" s="244"/>
      <c r="S33" s="244"/>
      <c r="T33" s="244"/>
      <c r="U33" s="244"/>
      <c r="V33" s="244"/>
      <c r="W33" s="244"/>
      <c r="X33" s="244"/>
      <c r="Y33" s="244"/>
      <c r="Z33" s="244"/>
      <c r="AA33" s="244"/>
      <c r="AB33" s="244"/>
    </row>
    <row r="34" spans="1:28" x14ac:dyDescent="0.2">
      <c r="A34" s="239" t="s">
        <v>237</v>
      </c>
      <c r="B34" s="240">
        <f>B31-B32-B33</f>
        <v>395.04100000000005</v>
      </c>
      <c r="C34" s="240">
        <f>C31-C32-C33</f>
        <v>365.14400000000001</v>
      </c>
      <c r="D34" s="240">
        <f>D31-D32-D33</f>
        <v>349.69099999999992</v>
      </c>
      <c r="E34" s="240">
        <f t="shared" ref="E34:N34" si="12">E31-E32-E33</f>
        <v>317.43299999999977</v>
      </c>
      <c r="F34" s="240">
        <f t="shared" si="12"/>
        <v>260.30399999999992</v>
      </c>
      <c r="G34" s="240">
        <f t="shared" si="12"/>
        <v>225.95900000000006</v>
      </c>
      <c r="H34" s="240">
        <f t="shared" si="12"/>
        <v>224.608</v>
      </c>
      <c r="I34" s="240">
        <f t="shared" si="12"/>
        <v>212.07999999999993</v>
      </c>
      <c r="J34" s="240">
        <f t="shared" si="12"/>
        <v>203.78799999999998</v>
      </c>
      <c r="K34" s="240">
        <f t="shared" si="12"/>
        <v>184.38599999999991</v>
      </c>
      <c r="L34" s="240">
        <f t="shared" si="12"/>
        <v>172.25900000000004</v>
      </c>
      <c r="M34" s="240">
        <f t="shared" si="12"/>
        <v>154.38400000000001</v>
      </c>
      <c r="N34" s="240">
        <f t="shared" si="12"/>
        <v>146.36199999999999</v>
      </c>
      <c r="O34" s="240"/>
      <c r="P34" s="240"/>
      <c r="Q34" s="240"/>
      <c r="R34" s="244"/>
      <c r="S34" s="244"/>
      <c r="T34" s="244"/>
      <c r="U34" s="244"/>
      <c r="V34" s="244"/>
      <c r="W34" s="244"/>
      <c r="X34" s="244"/>
      <c r="Y34" s="244"/>
      <c r="Z34" s="244"/>
      <c r="AA34" s="244"/>
      <c r="AB34" s="244"/>
    </row>
    <row r="35" spans="1:28" s="241" customFormat="1" ht="15" x14ac:dyDescent="0.25">
      <c r="A35" s="251" t="s">
        <v>238</v>
      </c>
      <c r="B35" s="250">
        <v>4180.3680000000004</v>
      </c>
      <c r="C35" s="250">
        <v>3942.0770000000002</v>
      </c>
      <c r="D35" s="250">
        <v>3826.127</v>
      </c>
      <c r="E35" s="250">
        <v>4227.41</v>
      </c>
      <c r="F35" s="250">
        <v>2863.127</v>
      </c>
      <c r="G35" s="250">
        <v>2820.4879999999998</v>
      </c>
      <c r="H35" s="250">
        <v>778.34900000000005</v>
      </c>
      <c r="I35" s="250">
        <v>837.42399999999998</v>
      </c>
      <c r="J35" s="250">
        <v>731.39200000000005</v>
      </c>
      <c r="K35" s="250">
        <v>578.47400000000005</v>
      </c>
      <c r="L35" s="250">
        <v>485.14</v>
      </c>
      <c r="M35" s="250">
        <v>376.721</v>
      </c>
      <c r="N35" s="250">
        <v>299.71499999999997</v>
      </c>
      <c r="O35" s="250"/>
      <c r="P35" s="246"/>
      <c r="Q35" s="246"/>
      <c r="R35" s="244"/>
      <c r="S35" s="244"/>
      <c r="T35" s="244"/>
      <c r="U35" s="244"/>
      <c r="V35" s="244"/>
      <c r="W35" s="244"/>
      <c r="X35" s="244"/>
      <c r="Y35" s="244"/>
      <c r="Z35" s="244"/>
      <c r="AA35" s="244"/>
      <c r="AB35" s="244"/>
    </row>
    <row r="36" spans="1:28" x14ac:dyDescent="0.2">
      <c r="A36" s="242" t="s">
        <v>239</v>
      </c>
      <c r="B36" s="605">
        <v>1484.2170000000001</v>
      </c>
      <c r="C36" s="243">
        <v>1483</v>
      </c>
      <c r="D36" s="243">
        <v>1540</v>
      </c>
      <c r="E36" s="243">
        <v>1930.73</v>
      </c>
      <c r="F36" s="243">
        <v>418.58300000000003</v>
      </c>
      <c r="G36" s="243">
        <v>233.28700000000001</v>
      </c>
      <c r="H36" s="243">
        <v>11.776</v>
      </c>
      <c r="I36" s="243">
        <v>10.231999999999999</v>
      </c>
      <c r="J36" s="243">
        <v>0</v>
      </c>
      <c r="K36" s="243">
        <v>6.4539999999999997</v>
      </c>
      <c r="L36" s="243">
        <v>44.494</v>
      </c>
      <c r="M36" s="243">
        <v>38.616999999999997</v>
      </c>
      <c r="N36" s="243">
        <v>7.4130000000000003</v>
      </c>
      <c r="O36" s="243"/>
      <c r="P36" s="240"/>
      <c r="Q36" s="240"/>
      <c r="R36" s="244"/>
      <c r="S36" s="244"/>
      <c r="T36" s="244"/>
      <c r="U36" s="244"/>
      <c r="V36" s="244"/>
      <c r="W36" s="244"/>
      <c r="X36" s="244"/>
      <c r="Y36" s="244"/>
      <c r="Z36" s="244"/>
      <c r="AA36" s="244"/>
      <c r="AB36" s="244"/>
    </row>
    <row r="37" spans="1:28" x14ac:dyDescent="0.2">
      <c r="A37" s="242" t="s">
        <v>240</v>
      </c>
      <c r="B37" s="605">
        <v>2500.3069999999998</v>
      </c>
      <c r="C37" s="243">
        <v>2287.7139999999999</v>
      </c>
      <c r="D37" s="243">
        <v>2117.7730000000001</v>
      </c>
      <c r="E37" s="243">
        <v>2099.1460000000002</v>
      </c>
      <c r="F37" s="243">
        <v>2259.308</v>
      </c>
      <c r="G37" s="243">
        <v>2453.346</v>
      </c>
      <c r="H37" s="243">
        <v>54.780999999999999</v>
      </c>
      <c r="I37" s="243">
        <v>60.084000000000003</v>
      </c>
      <c r="J37" s="243">
        <v>4.6790000000000003</v>
      </c>
      <c r="K37" s="243">
        <v>5.3239999999999998</v>
      </c>
      <c r="L37" s="243">
        <v>5.9130000000000003</v>
      </c>
      <c r="M37" s="243">
        <v>6.476</v>
      </c>
      <c r="N37" s="243">
        <v>7.7619999999999996</v>
      </c>
      <c r="O37" s="243"/>
      <c r="P37" s="240"/>
      <c r="Q37" s="240"/>
      <c r="R37" s="244"/>
      <c r="S37" s="240"/>
      <c r="T37" s="240"/>
    </row>
    <row r="38" spans="1:28" x14ac:dyDescent="0.2">
      <c r="A38" s="239" t="s">
        <v>241</v>
      </c>
      <c r="B38" s="607">
        <f>B35-B36-B37</f>
        <v>195.84400000000051</v>
      </c>
      <c r="C38" s="240">
        <f>C35-C36-C37</f>
        <v>171.36300000000028</v>
      </c>
      <c r="D38" s="240">
        <f>D35-D36-D37</f>
        <v>168.35399999999981</v>
      </c>
      <c r="E38" s="240">
        <f t="shared" ref="E38:N38" si="13">E35-E36-E37</f>
        <v>197.53399999999965</v>
      </c>
      <c r="F38" s="240">
        <f t="shared" si="13"/>
        <v>185.23599999999988</v>
      </c>
      <c r="G38" s="240">
        <f t="shared" si="13"/>
        <v>133.85500000000002</v>
      </c>
      <c r="H38" s="240">
        <f t="shared" si="13"/>
        <v>711.79200000000014</v>
      </c>
      <c r="I38" s="240">
        <f t="shared" si="13"/>
        <v>767.10799999999995</v>
      </c>
      <c r="J38" s="240">
        <f t="shared" si="13"/>
        <v>726.71300000000008</v>
      </c>
      <c r="K38" s="240">
        <f t="shared" si="13"/>
        <v>566.69600000000014</v>
      </c>
      <c r="L38" s="240">
        <f t="shared" si="13"/>
        <v>434.73299999999995</v>
      </c>
      <c r="M38" s="240">
        <f t="shared" si="13"/>
        <v>331.62799999999999</v>
      </c>
      <c r="N38" s="240">
        <f t="shared" si="13"/>
        <v>284.53999999999996</v>
      </c>
      <c r="O38" s="240"/>
      <c r="P38" s="240"/>
      <c r="Q38" s="240"/>
      <c r="R38" s="240"/>
      <c r="S38" s="240"/>
      <c r="T38" s="240"/>
    </row>
    <row r="39" spans="1:28" s="241" customFormat="1" ht="15" x14ac:dyDescent="0.25">
      <c r="A39" s="241" t="s">
        <v>242</v>
      </c>
      <c r="B39" s="246">
        <f>B31+B35</f>
        <v>7260.43</v>
      </c>
      <c r="C39" s="246">
        <f>C31+C35</f>
        <v>6694.0770000000002</v>
      </c>
      <c r="D39" s="246">
        <f>D31+D35</f>
        <v>6467.5730000000003</v>
      </c>
      <c r="E39" s="246">
        <f>+E35+E31</f>
        <v>6940.09</v>
      </c>
      <c r="F39" s="246">
        <f>+F35+F31</f>
        <v>5413.3249999999998</v>
      </c>
      <c r="G39" s="246">
        <f>+G35+G31</f>
        <v>4896.9619999999995</v>
      </c>
      <c r="H39" s="246">
        <f>+H35+H31</f>
        <v>2282.9879999999998</v>
      </c>
      <c r="I39" s="246">
        <f>+I35+I31</f>
        <v>2262.4380000000001</v>
      </c>
      <c r="J39" s="246">
        <f>J31+J35</f>
        <v>2128.8069999999998</v>
      </c>
      <c r="K39" s="246">
        <f>K35+K31</f>
        <v>1770.1489999999999</v>
      </c>
      <c r="L39" s="246">
        <f>L35+L31</f>
        <v>1603.973</v>
      </c>
      <c r="M39" s="246">
        <f>M35+M31</f>
        <v>1379.308</v>
      </c>
      <c r="N39" s="246">
        <f>N35+N31</f>
        <v>1300.4829999999999</v>
      </c>
      <c r="O39" s="246"/>
      <c r="P39" s="246"/>
      <c r="Q39" s="271"/>
      <c r="R39" s="246"/>
      <c r="S39" s="246"/>
      <c r="T39" s="246"/>
    </row>
    <row r="40" spans="1:28" ht="15" x14ac:dyDescent="0.25">
      <c r="C40" s="244"/>
      <c r="D40" s="244"/>
      <c r="E40" s="244"/>
      <c r="F40" s="244"/>
      <c r="G40" s="244"/>
      <c r="H40" s="244"/>
      <c r="I40" s="244"/>
      <c r="J40" s="244"/>
      <c r="K40" s="244"/>
      <c r="L40" s="244"/>
      <c r="M40" s="244"/>
      <c r="Q40" s="271"/>
    </row>
    <row r="41" spans="1:28" ht="15" x14ac:dyDescent="0.25">
      <c r="C41" s="244"/>
      <c r="D41" s="244"/>
      <c r="E41" s="244"/>
      <c r="F41" s="244"/>
      <c r="G41" s="244"/>
      <c r="H41" s="244"/>
      <c r="I41" s="244"/>
      <c r="J41" s="244"/>
      <c r="K41" s="244"/>
      <c r="L41" s="244"/>
      <c r="M41" s="244"/>
      <c r="Q41" s="271"/>
    </row>
    <row r="42" spans="1:28" s="241" customFormat="1" ht="15" x14ac:dyDescent="0.25">
      <c r="A42" s="251" t="s">
        <v>243</v>
      </c>
      <c r="B42" s="606">
        <v>0</v>
      </c>
      <c r="C42" s="250">
        <v>0</v>
      </c>
      <c r="D42" s="250">
        <v>0</v>
      </c>
      <c r="E42" s="250">
        <v>0</v>
      </c>
      <c r="F42" s="250">
        <v>0</v>
      </c>
      <c r="G42" s="250">
        <v>0</v>
      </c>
      <c r="H42" s="250">
        <v>0</v>
      </c>
      <c r="I42" s="250">
        <v>0</v>
      </c>
      <c r="J42" s="250">
        <v>0</v>
      </c>
      <c r="K42" s="250">
        <v>0</v>
      </c>
      <c r="L42" s="250">
        <v>0</v>
      </c>
      <c r="M42" s="250">
        <v>0</v>
      </c>
      <c r="N42" s="250">
        <v>0</v>
      </c>
      <c r="O42" s="250"/>
      <c r="P42" s="240"/>
      <c r="Q42" s="246"/>
      <c r="R42" s="244"/>
      <c r="S42" s="244"/>
      <c r="T42" s="244"/>
      <c r="U42" s="244"/>
      <c r="V42" s="244"/>
      <c r="W42" s="244"/>
      <c r="X42" s="244"/>
      <c r="Y42" s="244"/>
      <c r="Z42" s="244"/>
      <c r="AA42" s="244"/>
      <c r="AB42" s="244"/>
    </row>
    <row r="43" spans="1:28" ht="15" x14ac:dyDescent="0.25">
      <c r="C43" s="244"/>
      <c r="D43" s="244"/>
      <c r="E43" s="244"/>
      <c r="F43" s="244"/>
      <c r="G43" s="240"/>
      <c r="H43" s="240"/>
      <c r="I43" s="240"/>
      <c r="J43" s="240"/>
      <c r="K43" s="240"/>
      <c r="N43" s="240"/>
      <c r="O43" s="240"/>
      <c r="P43" s="240"/>
      <c r="Q43" s="246"/>
      <c r="R43" s="240"/>
      <c r="S43" s="240"/>
      <c r="T43" s="240"/>
    </row>
    <row r="44" spans="1:28" ht="15" x14ac:dyDescent="0.25">
      <c r="A44" s="241" t="s">
        <v>244</v>
      </c>
      <c r="B44" s="246">
        <f t="shared" ref="B44:G44" si="14">B27-B39-B42</f>
        <v>3198.2639999999992</v>
      </c>
      <c r="C44" s="246">
        <f t="shared" si="14"/>
        <v>2617.6750000000002</v>
      </c>
      <c r="D44" s="246">
        <f t="shared" si="14"/>
        <v>2524.6229999999996</v>
      </c>
      <c r="E44" s="246">
        <f t="shared" si="14"/>
        <v>2101.5859999999993</v>
      </c>
      <c r="F44" s="246">
        <f t="shared" si="14"/>
        <v>2339.5340000000006</v>
      </c>
      <c r="G44" s="246">
        <f t="shared" si="14"/>
        <v>1731.5980000000009</v>
      </c>
      <c r="H44" s="246">
        <f t="shared" ref="H44:K44" si="15">H27-H39-H42</f>
        <v>1904.1610000000005</v>
      </c>
      <c r="I44" s="246">
        <f t="shared" si="15"/>
        <v>1941.5010000000002</v>
      </c>
      <c r="J44" s="246">
        <f t="shared" si="15"/>
        <v>1929.489</v>
      </c>
      <c r="K44" s="246">
        <f t="shared" si="15"/>
        <v>1789.1869999999999</v>
      </c>
      <c r="L44" s="246">
        <f>L27-L39-L42</f>
        <v>1832.2249999999999</v>
      </c>
      <c r="M44" s="246">
        <f t="shared" ref="M44:N44" si="16">M27-M39-M42</f>
        <v>1692.1790000000001</v>
      </c>
      <c r="N44" s="246">
        <f t="shared" si="16"/>
        <v>1587.3239999999998</v>
      </c>
      <c r="O44" s="246"/>
      <c r="P44" s="246"/>
      <c r="Q44" s="246"/>
      <c r="R44" s="246"/>
      <c r="S44" s="246"/>
      <c r="T44" s="246"/>
    </row>
    <row r="45" spans="1:28" ht="15" x14ac:dyDescent="0.25">
      <c r="C45" s="244"/>
      <c r="D45" s="244"/>
      <c r="E45" s="244"/>
      <c r="Q45" s="271"/>
    </row>
    <row r="46" spans="1:28" ht="15" x14ac:dyDescent="0.25">
      <c r="A46" s="271" t="s">
        <v>245</v>
      </c>
      <c r="B46" s="271"/>
      <c r="C46" s="271"/>
      <c r="D46" s="271"/>
      <c r="E46" s="271"/>
      <c r="F46" s="271"/>
      <c r="G46" s="271"/>
      <c r="H46" s="271"/>
      <c r="I46" s="271"/>
      <c r="J46" s="271"/>
      <c r="K46" s="271"/>
      <c r="L46" s="246"/>
      <c r="M46" s="246"/>
      <c r="Q46" s="271"/>
    </row>
    <row r="47" spans="1:28" ht="15" x14ac:dyDescent="0.25">
      <c r="A47" s="242" t="s">
        <v>352</v>
      </c>
      <c r="B47" s="242"/>
      <c r="C47" s="243">
        <v>18900</v>
      </c>
      <c r="D47" s="243">
        <v>18800</v>
      </c>
      <c r="E47" s="243">
        <v>17800</v>
      </c>
      <c r="F47" s="243">
        <v>16800</v>
      </c>
      <c r="G47" s="243">
        <v>15300</v>
      </c>
      <c r="H47" s="243">
        <v>15200</v>
      </c>
      <c r="I47" s="243">
        <v>15400</v>
      </c>
      <c r="J47" s="243">
        <v>14600</v>
      </c>
      <c r="K47" s="243">
        <v>13100</v>
      </c>
      <c r="L47" s="243">
        <v>12000</v>
      </c>
      <c r="M47" s="243">
        <v>11200</v>
      </c>
      <c r="N47" s="243">
        <v>11100</v>
      </c>
      <c r="O47" s="243"/>
      <c r="P47" s="240"/>
      <c r="Q47" s="246"/>
      <c r="R47" s="240"/>
      <c r="S47" s="240"/>
      <c r="T47" s="240"/>
    </row>
    <row r="48" spans="1:28" ht="15" x14ac:dyDescent="0.25">
      <c r="A48" s="242" t="s">
        <v>247</v>
      </c>
      <c r="B48" s="242"/>
      <c r="C48" s="243">
        <v>82.448335</v>
      </c>
      <c r="D48" s="243">
        <v>85.618121000000002</v>
      </c>
      <c r="E48" s="243">
        <v>79.849731000000006</v>
      </c>
      <c r="F48" s="243">
        <v>89.281316000000004</v>
      </c>
      <c r="G48" s="243">
        <v>86.938593999999995</v>
      </c>
      <c r="H48" s="243">
        <v>96.303132000000005</v>
      </c>
      <c r="I48" s="243">
        <v>104.59835</v>
      </c>
      <c r="J48" s="243">
        <v>112.796538</v>
      </c>
      <c r="K48" s="243">
        <v>114.92326300000001</v>
      </c>
      <c r="L48" s="243">
        <v>118.793115</v>
      </c>
      <c r="M48" s="243">
        <v>123.84475</v>
      </c>
      <c r="N48" s="243">
        <v>123.011371</v>
      </c>
      <c r="O48" s="243"/>
      <c r="P48" s="240"/>
      <c r="Q48" s="246"/>
      <c r="R48" s="240"/>
      <c r="S48" s="240"/>
      <c r="T48" s="240"/>
    </row>
    <row r="49" spans="1:20" ht="15" x14ac:dyDescent="0.25">
      <c r="A49" s="242" t="s">
        <v>172</v>
      </c>
      <c r="B49" s="242"/>
      <c r="C49" s="369">
        <v>0.96299999999999997</v>
      </c>
      <c r="D49" s="369"/>
      <c r="E49" s="369"/>
      <c r="F49" s="369"/>
      <c r="G49" s="369"/>
      <c r="H49" s="369"/>
      <c r="I49" s="369"/>
      <c r="J49" s="369"/>
      <c r="K49" s="369"/>
      <c r="L49" s="369"/>
      <c r="M49" s="369"/>
      <c r="N49" s="369"/>
      <c r="O49" s="370"/>
      <c r="P49" s="371"/>
      <c r="Q49" s="372"/>
      <c r="R49" s="371"/>
      <c r="S49" s="371"/>
      <c r="T49" s="371"/>
    </row>
    <row r="50" spans="1:20" ht="15" x14ac:dyDescent="0.25">
      <c r="A50" s="242" t="s">
        <v>248</v>
      </c>
      <c r="B50" s="242"/>
      <c r="C50" s="369">
        <v>3.5999999999999997E-2</v>
      </c>
      <c r="D50" s="369"/>
      <c r="E50" s="369"/>
      <c r="F50" s="369"/>
      <c r="G50" s="369"/>
      <c r="H50" s="369"/>
      <c r="I50" s="369"/>
      <c r="J50" s="369"/>
      <c r="K50" s="369"/>
      <c r="L50" s="369"/>
      <c r="M50" s="369"/>
      <c r="N50" s="369"/>
      <c r="O50" s="370"/>
      <c r="P50" s="371"/>
      <c r="Q50" s="373"/>
      <c r="R50" s="371"/>
      <c r="S50" s="374"/>
      <c r="T50" s="374"/>
    </row>
    <row r="51" spans="1:20" ht="15" x14ac:dyDescent="0.25">
      <c r="A51" s="242" t="s">
        <v>249</v>
      </c>
      <c r="B51" s="242"/>
      <c r="C51" s="243" t="s">
        <v>457</v>
      </c>
      <c r="D51" s="243"/>
      <c r="E51" s="243"/>
      <c r="F51" s="243"/>
      <c r="G51" s="243"/>
      <c r="H51" s="243"/>
      <c r="I51" s="243"/>
      <c r="J51" s="243"/>
      <c r="K51" s="243"/>
      <c r="L51" s="243"/>
      <c r="M51" s="243"/>
      <c r="N51" s="243"/>
      <c r="O51" s="243"/>
      <c r="P51" s="246"/>
      <c r="Q51" s="246"/>
      <c r="R51" s="246"/>
      <c r="S51" s="246"/>
      <c r="T51" s="246"/>
    </row>
    <row r="52" spans="1:20" ht="15" x14ac:dyDescent="0.25">
      <c r="A52" s="242" t="str">
        <f>"Vol. Diario en Millones "&amp;A1</f>
        <v>Vol. Diario en Millones USD</v>
      </c>
      <c r="B52" s="242"/>
      <c r="C52" s="375">
        <v>17.355699999999999</v>
      </c>
      <c r="D52" s="375">
        <v>16.983000000000001</v>
      </c>
      <c r="E52" s="375">
        <v>25.922499999999999</v>
      </c>
      <c r="F52" s="375">
        <v>29.223199999999999</v>
      </c>
      <c r="G52" s="375">
        <v>33.847200000000001</v>
      </c>
      <c r="H52" s="375">
        <v>34.812800000000003</v>
      </c>
      <c r="I52" s="375">
        <v>53.820099999999996</v>
      </c>
      <c r="J52" s="375">
        <v>43.5032</v>
      </c>
      <c r="K52" s="375">
        <v>33.607199999999999</v>
      </c>
      <c r="L52" s="375">
        <v>18.831900000000001</v>
      </c>
      <c r="M52" s="375">
        <v>34.819499999999998</v>
      </c>
      <c r="N52" s="375">
        <v>24.049299999999999</v>
      </c>
      <c r="O52" s="243"/>
      <c r="Q52" s="271"/>
    </row>
    <row r="53" spans="1:20" ht="15" x14ac:dyDescent="0.25">
      <c r="C53" s="271">
        <v>2021</v>
      </c>
      <c r="D53" s="271">
        <f>C53+1</f>
        <v>2022</v>
      </c>
      <c r="E53" s="271">
        <f>D53+1</f>
        <v>2023</v>
      </c>
      <c r="F53" s="376"/>
      <c r="H53" s="376"/>
      <c r="I53" s="376"/>
      <c r="J53" s="376"/>
      <c r="K53" s="376"/>
      <c r="L53" s="376"/>
      <c r="M53" s="376"/>
      <c r="Q53" s="271"/>
    </row>
    <row r="54" spans="1:20" ht="15" x14ac:dyDescent="0.25">
      <c r="A54" s="242" t="s">
        <v>353</v>
      </c>
      <c r="B54" s="242"/>
      <c r="C54" s="369"/>
      <c r="D54" s="369"/>
      <c r="E54" s="369">
        <v>0.11219999999999999</v>
      </c>
      <c r="L54" s="239"/>
      <c r="M54" s="239"/>
      <c r="Q54" s="271"/>
    </row>
    <row r="55" spans="1:20" ht="15" x14ac:dyDescent="0.25">
      <c r="A55" s="242" t="s">
        <v>135</v>
      </c>
      <c r="B55" s="242"/>
      <c r="C55" s="375">
        <v>18.27</v>
      </c>
      <c r="D55" s="375">
        <v>13.43</v>
      </c>
      <c r="E55" s="375">
        <v>12.72</v>
      </c>
      <c r="L55" s="239"/>
      <c r="M55" s="239"/>
      <c r="Q55" s="271"/>
    </row>
    <row r="56" spans="1:20" ht="15" x14ac:dyDescent="0.25">
      <c r="Q56" s="271"/>
    </row>
    <row r="57" spans="1:20" ht="15" x14ac:dyDescent="0.25">
      <c r="A57" s="271" t="s">
        <v>354</v>
      </c>
      <c r="B57" s="271"/>
      <c r="C57" s="271" t="s">
        <v>250</v>
      </c>
      <c r="D57" s="271" t="s">
        <v>249</v>
      </c>
      <c r="E57" s="271" t="s">
        <v>355</v>
      </c>
      <c r="F57" s="271" t="s">
        <v>253</v>
      </c>
      <c r="K57" s="240"/>
      <c r="M57" s="209"/>
      <c r="Q57" s="271"/>
    </row>
    <row r="58" spans="1:20" ht="15" x14ac:dyDescent="0.25">
      <c r="A58" s="242"/>
      <c r="B58" s="242"/>
      <c r="C58" s="377"/>
      <c r="D58" s="243"/>
      <c r="E58" s="378"/>
      <c r="F58" s="243"/>
      <c r="K58" s="240"/>
      <c r="M58" s="209"/>
      <c r="Q58" s="271"/>
    </row>
    <row r="59" spans="1:20" ht="15" x14ac:dyDescent="0.25">
      <c r="A59" s="242"/>
      <c r="B59" s="242"/>
      <c r="C59" s="377"/>
      <c r="D59" s="243"/>
      <c r="E59" s="378"/>
      <c r="F59" s="243"/>
      <c r="K59" s="240"/>
      <c r="M59" s="209"/>
      <c r="Q59" s="271"/>
    </row>
    <row r="60" spans="1:20" ht="15" x14ac:dyDescent="0.25">
      <c r="A60" s="242"/>
      <c r="B60" s="242"/>
      <c r="C60" s="377"/>
      <c r="D60" s="243"/>
      <c r="E60" s="378"/>
      <c r="F60" s="243"/>
      <c r="K60" s="240"/>
      <c r="M60" s="209"/>
      <c r="Q60" s="271"/>
    </row>
    <row r="61" spans="1:20" ht="15" x14ac:dyDescent="0.25">
      <c r="A61" s="242"/>
      <c r="B61" s="242"/>
      <c r="C61" s="377"/>
      <c r="D61" s="243"/>
      <c r="E61" s="378"/>
      <c r="F61" s="243"/>
      <c r="K61" s="240"/>
      <c r="M61" s="209"/>
      <c r="Q61" s="271"/>
    </row>
    <row r="62" spans="1:20" ht="15" x14ac:dyDescent="0.25">
      <c r="Q62" s="271"/>
    </row>
    <row r="63" spans="1:20" ht="15" x14ac:dyDescent="0.25">
      <c r="Q63" s="271"/>
    </row>
    <row r="64" spans="1:20" ht="15" x14ac:dyDescent="0.25">
      <c r="Q64" s="271"/>
    </row>
  </sheetData>
  <mergeCells count="1">
    <mergeCell ref="D2:M2"/>
  </mergeCells>
  <pageMargins left="0.75" right="0.75" top="1" bottom="1" header="0" footer="0"/>
  <pageSetup orientation="portrait" horizontalDpi="4294967292" r:id="rId1"/>
  <headerFooter alignWithMargins="0"/>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BB63"/>
  <sheetViews>
    <sheetView zoomScale="70" zoomScaleNormal="70" workbookViewId="0">
      <pane xSplit="1" ySplit="2" topLeftCell="B3" activePane="bottomRight" state="frozen"/>
      <selection pane="topRight" activeCell="B1" sqref="B1"/>
      <selection pane="bottomLeft" activeCell="A3" sqref="A3"/>
      <selection pane="bottomRight" activeCell="J63" sqref="J63"/>
    </sheetView>
  </sheetViews>
  <sheetFormatPr defaultColWidth="8.7109375" defaultRowHeight="12.75" x14ac:dyDescent="0.2"/>
  <cols>
    <col min="1" max="2" width="13.7109375" customWidth="1"/>
    <col min="3" max="3" width="8.7109375" customWidth="1"/>
    <col min="4" max="4" width="8.28515625" customWidth="1"/>
    <col min="5" max="5" width="8.42578125" customWidth="1"/>
    <col min="6" max="12" width="7.28515625" customWidth="1"/>
  </cols>
  <sheetData>
    <row r="2" spans="1:54" x14ac:dyDescent="0.2">
      <c r="B2" s="112" t="s">
        <v>401</v>
      </c>
      <c r="C2" s="112" t="s">
        <v>400</v>
      </c>
      <c r="D2" s="112" t="s">
        <v>399</v>
      </c>
      <c r="E2" s="112" t="s">
        <v>397</v>
      </c>
      <c r="F2" s="112" t="s">
        <v>396</v>
      </c>
      <c r="G2" t="s">
        <v>395</v>
      </c>
      <c r="H2" t="s">
        <v>394</v>
      </c>
      <c r="I2" t="s">
        <v>390</v>
      </c>
      <c r="J2" t="s">
        <v>391</v>
      </c>
      <c r="K2" t="s">
        <v>392</v>
      </c>
      <c r="L2" t="s">
        <v>393</v>
      </c>
      <c r="M2" t="s">
        <v>371</v>
      </c>
      <c r="N2" t="s">
        <v>372</v>
      </c>
      <c r="O2" t="s">
        <v>373</v>
      </c>
      <c r="P2" t="s">
        <v>374</v>
      </c>
      <c r="Q2" t="s">
        <v>367</v>
      </c>
      <c r="R2" t="s">
        <v>368</v>
      </c>
      <c r="S2" t="s">
        <v>369</v>
      </c>
      <c r="T2" t="s">
        <v>370</v>
      </c>
      <c r="U2" t="s">
        <v>366</v>
      </c>
      <c r="V2" t="s">
        <v>365</v>
      </c>
      <c r="W2" t="s">
        <v>364</v>
      </c>
      <c r="X2" s="112" t="s">
        <v>402</v>
      </c>
      <c r="Y2" s="112"/>
      <c r="Z2" s="112">
        <v>2019</v>
      </c>
      <c r="AA2" s="112">
        <v>2020</v>
      </c>
      <c r="AB2" s="112">
        <v>2021</v>
      </c>
      <c r="AC2">
        <v>2022</v>
      </c>
      <c r="AD2">
        <v>2023</v>
      </c>
      <c r="AE2">
        <v>2024</v>
      </c>
      <c r="AF2">
        <v>2025</v>
      </c>
      <c r="AG2">
        <v>2026</v>
      </c>
      <c r="AH2">
        <v>2027</v>
      </c>
      <c r="AI2">
        <v>2028</v>
      </c>
      <c r="AJ2">
        <v>2029</v>
      </c>
      <c r="AK2">
        <v>2030</v>
      </c>
      <c r="AL2">
        <v>2031</v>
      </c>
      <c r="AM2">
        <v>2032</v>
      </c>
      <c r="AN2">
        <v>2033</v>
      </c>
      <c r="AO2">
        <v>2034</v>
      </c>
      <c r="AP2">
        <v>2035</v>
      </c>
      <c r="AQ2">
        <v>2036</v>
      </c>
      <c r="AR2">
        <v>2037</v>
      </c>
      <c r="AS2">
        <v>2038</v>
      </c>
      <c r="AT2">
        <v>2039</v>
      </c>
      <c r="AU2">
        <v>2040</v>
      </c>
      <c r="AV2">
        <v>2041</v>
      </c>
      <c r="AW2">
        <v>2042</v>
      </c>
      <c r="AX2">
        <v>2043</v>
      </c>
      <c r="AY2">
        <v>2044</v>
      </c>
      <c r="AZ2">
        <v>2045</v>
      </c>
      <c r="BA2">
        <v>2046</v>
      </c>
      <c r="BB2">
        <v>2047</v>
      </c>
    </row>
    <row r="3" spans="1:54" x14ac:dyDescent="0.2">
      <c r="A3" s="112" t="s">
        <v>398</v>
      </c>
      <c r="B3" s="112"/>
      <c r="C3" s="112"/>
      <c r="D3" s="112"/>
      <c r="E3" s="112"/>
      <c r="F3" s="112"/>
    </row>
    <row r="4" spans="1:54" x14ac:dyDescent="0.2">
      <c r="A4" s="112" t="s">
        <v>403</v>
      </c>
      <c r="B4" s="112"/>
      <c r="C4" s="112"/>
      <c r="D4" s="112"/>
      <c r="E4" s="112"/>
      <c r="F4" s="112"/>
    </row>
    <row r="5" spans="1:54" x14ac:dyDescent="0.2">
      <c r="A5" s="112" t="s">
        <v>404</v>
      </c>
      <c r="B5" s="112"/>
      <c r="C5" s="112"/>
      <c r="D5" s="112"/>
      <c r="E5" s="112"/>
      <c r="F5" s="112"/>
      <c r="AE5" s="266">
        <v>4.4999999999999998E-2</v>
      </c>
      <c r="AF5" s="266">
        <f>0.987*AE5</f>
        <v>4.4414999999999996E-2</v>
      </c>
      <c r="AG5" s="266">
        <f t="shared" ref="AG5:BB5" si="0">0.987*AF5</f>
        <v>4.3837604999999995E-2</v>
      </c>
      <c r="AH5" s="266">
        <f t="shared" si="0"/>
        <v>4.3267716134999995E-2</v>
      </c>
      <c r="AI5" s="266">
        <f t="shared" si="0"/>
        <v>4.2705235825244992E-2</v>
      </c>
      <c r="AJ5" s="266">
        <f t="shared" si="0"/>
        <v>4.2150067759516803E-2</v>
      </c>
      <c r="AK5" s="266">
        <f t="shared" si="0"/>
        <v>4.1602116878643083E-2</v>
      </c>
      <c r="AL5" s="266">
        <f t="shared" si="0"/>
        <v>4.1061289359220723E-2</v>
      </c>
      <c r="AM5" s="266">
        <f t="shared" si="0"/>
        <v>4.0527492597550854E-2</v>
      </c>
      <c r="AN5" s="266">
        <f t="shared" si="0"/>
        <v>4.0000635193782691E-2</v>
      </c>
      <c r="AO5" s="266">
        <f t="shared" si="0"/>
        <v>3.9480626936263516E-2</v>
      </c>
      <c r="AP5" s="266">
        <f t="shared" si="0"/>
        <v>3.8967378786092091E-2</v>
      </c>
      <c r="AQ5" s="266">
        <f t="shared" si="0"/>
        <v>3.8460802861872895E-2</v>
      </c>
      <c r="AR5" s="266">
        <f t="shared" si="0"/>
        <v>3.7960812424668547E-2</v>
      </c>
      <c r="AS5" s="266">
        <f t="shared" si="0"/>
        <v>3.7467321863147857E-2</v>
      </c>
      <c r="AT5" s="266">
        <f t="shared" si="0"/>
        <v>3.6980246678926937E-2</v>
      </c>
      <c r="AU5" s="266">
        <f t="shared" si="0"/>
        <v>3.6499503472100889E-2</v>
      </c>
      <c r="AV5" s="266">
        <f t="shared" si="0"/>
        <v>3.6025009926963579E-2</v>
      </c>
      <c r="AW5" s="266">
        <f t="shared" si="0"/>
        <v>3.5556684797913053E-2</v>
      </c>
      <c r="AX5" s="266">
        <f t="shared" si="0"/>
        <v>3.5094447895540185E-2</v>
      </c>
      <c r="AY5" s="266">
        <f t="shared" si="0"/>
        <v>3.4638220072898164E-2</v>
      </c>
      <c r="AZ5" s="266">
        <f t="shared" si="0"/>
        <v>3.4187923211950487E-2</v>
      </c>
      <c r="BA5" s="266">
        <f t="shared" si="0"/>
        <v>3.3743480210195131E-2</v>
      </c>
      <c r="BB5" s="266">
        <f t="shared" si="0"/>
        <v>3.3304814967462591E-2</v>
      </c>
    </row>
    <row r="6" spans="1:54" x14ac:dyDescent="0.2">
      <c r="A6" s="112" t="s">
        <v>405</v>
      </c>
      <c r="B6" s="112"/>
      <c r="C6" s="112"/>
      <c r="D6" s="112"/>
      <c r="E6" s="112"/>
      <c r="F6" s="112"/>
      <c r="AE6" s="133">
        <v>0.09</v>
      </c>
      <c r="AF6">
        <f>AE6*0.975</f>
        <v>8.7749999999999995E-2</v>
      </c>
      <c r="AG6">
        <f t="shared" ref="AG6:BB6" si="1">AF6*0.975</f>
        <v>8.5556249999999986E-2</v>
      </c>
      <c r="AH6">
        <f t="shared" si="1"/>
        <v>8.3417343749999984E-2</v>
      </c>
      <c r="AI6">
        <f t="shared" si="1"/>
        <v>8.1331910156249979E-2</v>
      </c>
      <c r="AJ6">
        <f t="shared" si="1"/>
        <v>7.9298612402343732E-2</v>
      </c>
      <c r="AK6">
        <f t="shared" si="1"/>
        <v>7.731614709228514E-2</v>
      </c>
      <c r="AL6">
        <f t="shared" si="1"/>
        <v>7.5383243414978013E-2</v>
      </c>
      <c r="AM6">
        <f t="shared" si="1"/>
        <v>7.3498662329603559E-2</v>
      </c>
      <c r="AN6">
        <f t="shared" si="1"/>
        <v>7.166119577136347E-2</v>
      </c>
      <c r="AO6">
        <f t="shared" si="1"/>
        <v>6.9869665877079379E-2</v>
      </c>
      <c r="AP6">
        <f t="shared" si="1"/>
        <v>6.8122924230152399E-2</v>
      </c>
      <c r="AQ6">
        <f t="shared" si="1"/>
        <v>6.6419851124398591E-2</v>
      </c>
      <c r="AR6">
        <f t="shared" si="1"/>
        <v>6.4759354846288628E-2</v>
      </c>
      <c r="AS6">
        <f t="shared" si="1"/>
        <v>6.3140370975131407E-2</v>
      </c>
      <c r="AT6">
        <f>AS6*0.975</f>
        <v>6.1561861700753118E-2</v>
      </c>
      <c r="AU6">
        <f t="shared" si="1"/>
        <v>6.0022815158234287E-2</v>
      </c>
      <c r="AV6">
        <f t="shared" si="1"/>
        <v>5.8522244779278428E-2</v>
      </c>
      <c r="AW6">
        <f t="shared" si="1"/>
        <v>5.7059188659796464E-2</v>
      </c>
      <c r="AX6">
        <f t="shared" si="1"/>
        <v>5.5632708943301551E-2</v>
      </c>
      <c r="AY6">
        <f t="shared" si="1"/>
        <v>5.4241891219719014E-2</v>
      </c>
      <c r="AZ6">
        <f t="shared" si="1"/>
        <v>5.2885843939226039E-2</v>
      </c>
      <c r="BA6">
        <f t="shared" si="1"/>
        <v>5.1563697840745389E-2</v>
      </c>
      <c r="BB6">
        <f t="shared" si="1"/>
        <v>5.0274605394726751E-2</v>
      </c>
    </row>
    <row r="7" spans="1:54" x14ac:dyDescent="0.2">
      <c r="A7" s="112"/>
      <c r="B7" s="112"/>
      <c r="C7" s="112"/>
      <c r="D7" s="112"/>
      <c r="E7" s="112"/>
      <c r="F7" s="112"/>
      <c r="AE7" s="133"/>
    </row>
    <row r="8" spans="1:54" x14ac:dyDescent="0.2">
      <c r="A8" s="112" t="s">
        <v>378</v>
      </c>
      <c r="B8" s="112"/>
      <c r="C8" s="112"/>
      <c r="D8" s="112"/>
      <c r="E8" s="112"/>
      <c r="F8" s="112"/>
      <c r="AE8" s="133"/>
    </row>
    <row r="9" spans="1:54" x14ac:dyDescent="0.2">
      <c r="A9" s="112" t="s">
        <v>404</v>
      </c>
      <c r="B9" s="112"/>
      <c r="C9" s="112"/>
      <c r="D9" s="112"/>
      <c r="E9" s="112"/>
      <c r="F9" s="112"/>
      <c r="Z9">
        <f t="shared" ref="Z9:AD10" si="2">Z30/Z26</f>
        <v>0.67792204148997348</v>
      </c>
      <c r="AA9">
        <f t="shared" si="2"/>
        <v>0.68533660706600774</v>
      </c>
      <c r="AB9">
        <f t="shared" si="2"/>
        <v>0.64650696723516432</v>
      </c>
      <c r="AC9">
        <f t="shared" si="2"/>
        <v>0.63716520292600543</v>
      </c>
      <c r="AD9">
        <f t="shared" si="2"/>
        <v>0.63586480102249077</v>
      </c>
      <c r="AE9">
        <f>AD9*1.001</f>
        <v>0.63650066582351317</v>
      </c>
      <c r="AF9">
        <f t="shared" ref="AF9:BB9" si="3">AE9*1.001</f>
        <v>0.6371371664893366</v>
      </c>
      <c r="AG9">
        <f t="shared" si="3"/>
        <v>0.63777430365582588</v>
      </c>
      <c r="AH9">
        <f t="shared" si="3"/>
        <v>0.63841207795948163</v>
      </c>
      <c r="AI9">
        <f t="shared" si="3"/>
        <v>0.63905049003744108</v>
      </c>
      <c r="AJ9">
        <f t="shared" si="3"/>
        <v>0.6396895405274784</v>
      </c>
      <c r="AK9">
        <f t="shared" si="3"/>
        <v>0.64032923006800579</v>
      </c>
      <c r="AL9">
        <f t="shared" si="3"/>
        <v>0.64096955929807375</v>
      </c>
      <c r="AM9">
        <f t="shared" si="3"/>
        <v>0.6416105288573718</v>
      </c>
      <c r="AN9">
        <f t="shared" si="3"/>
        <v>0.64225213938622905</v>
      </c>
      <c r="AO9">
        <f t="shared" si="3"/>
        <v>0.64289439152561523</v>
      </c>
      <c r="AP9">
        <f t="shared" si="3"/>
        <v>0.64353728591714077</v>
      </c>
      <c r="AQ9">
        <f t="shared" si="3"/>
        <v>0.64418082320305781</v>
      </c>
      <c r="AR9">
        <f t="shared" si="3"/>
        <v>0.64482500402626075</v>
      </c>
      <c r="AS9">
        <f t="shared" si="3"/>
        <v>0.64546982903028693</v>
      </c>
      <c r="AT9">
        <f t="shared" si="3"/>
        <v>0.64611529885931718</v>
      </c>
      <c r="AU9">
        <f t="shared" si="3"/>
        <v>0.64676141415817645</v>
      </c>
      <c r="AV9">
        <f t="shared" si="3"/>
        <v>0.64740817557233454</v>
      </c>
      <c r="AW9">
        <f t="shared" si="3"/>
        <v>0.64805558374790684</v>
      </c>
      <c r="AX9">
        <f t="shared" si="3"/>
        <v>0.64870363933165465</v>
      </c>
      <c r="AY9">
        <f t="shared" si="3"/>
        <v>0.64935234297098621</v>
      </c>
      <c r="AZ9">
        <f t="shared" si="3"/>
        <v>0.65000169531395713</v>
      </c>
      <c r="BA9">
        <f t="shared" si="3"/>
        <v>0.65065169700927106</v>
      </c>
      <c r="BB9">
        <f t="shared" si="3"/>
        <v>0.65130234870628023</v>
      </c>
    </row>
    <row r="10" spans="1:54" x14ac:dyDescent="0.2">
      <c r="A10" s="112" t="s">
        <v>405</v>
      </c>
      <c r="B10" s="112"/>
      <c r="C10" s="112"/>
      <c r="D10" s="112"/>
      <c r="E10" s="112"/>
      <c r="F10" s="112"/>
      <c r="Z10">
        <f t="shared" si="2"/>
        <v>0.36261908362316647</v>
      </c>
      <c r="AA10">
        <f t="shared" si="2"/>
        <v>0.33984898080642761</v>
      </c>
      <c r="AB10">
        <f t="shared" si="2"/>
        <v>0.30274022652539279</v>
      </c>
      <c r="AC10">
        <f t="shared" si="2"/>
        <v>0.28254553366867619</v>
      </c>
      <c r="AD10">
        <f t="shared" si="2"/>
        <v>0.29105248779560761</v>
      </c>
      <c r="AE10">
        <f>AD10*1.001</f>
        <v>0.2913435402834032</v>
      </c>
      <c r="AF10">
        <f t="shared" ref="AF10:BB10" si="4">AE10*1.001</f>
        <v>0.29163488382368657</v>
      </c>
      <c r="AG10">
        <f t="shared" si="4"/>
        <v>0.29192651870751024</v>
      </c>
      <c r="AH10">
        <f t="shared" si="4"/>
        <v>0.2922184452262177</v>
      </c>
      <c r="AI10">
        <f t="shared" si="4"/>
        <v>0.2925106636714439</v>
      </c>
      <c r="AJ10">
        <f t="shared" si="4"/>
        <v>0.29280317433511532</v>
      </c>
      <c r="AK10">
        <f t="shared" si="4"/>
        <v>0.29309597750945043</v>
      </c>
      <c r="AL10">
        <f t="shared" si="4"/>
        <v>0.29338907348695986</v>
      </c>
      <c r="AM10">
        <f t="shared" si="4"/>
        <v>0.29368246256044678</v>
      </c>
      <c r="AN10">
        <f t="shared" si="4"/>
        <v>0.29397614502300717</v>
      </c>
      <c r="AO10">
        <f t="shared" si="4"/>
        <v>0.29427012116803014</v>
      </c>
      <c r="AP10">
        <f t="shared" si="4"/>
        <v>0.29456439128919815</v>
      </c>
      <c r="AQ10">
        <f t="shared" si="4"/>
        <v>0.29485895568048731</v>
      </c>
      <c r="AR10">
        <f t="shared" si="4"/>
        <v>0.29515381463616774</v>
      </c>
      <c r="AS10">
        <f t="shared" si="4"/>
        <v>0.29544896845080387</v>
      </c>
      <c r="AT10">
        <f t="shared" si="4"/>
        <v>0.29574441741925467</v>
      </c>
      <c r="AU10">
        <f t="shared" si="4"/>
        <v>0.29604016183667387</v>
      </c>
      <c r="AV10">
        <f t="shared" si="4"/>
        <v>0.29633620199851052</v>
      </c>
      <c r="AW10">
        <f t="shared" si="4"/>
        <v>0.296632538200509</v>
      </c>
      <c r="AX10">
        <f t="shared" si="4"/>
        <v>0.2969291707387095</v>
      </c>
      <c r="AY10">
        <f t="shared" si="4"/>
        <v>0.2972260999094482</v>
      </c>
      <c r="AZ10">
        <f t="shared" si="4"/>
        <v>0.2975233260093576</v>
      </c>
      <c r="BA10">
        <f t="shared" si="4"/>
        <v>0.29782084933536696</v>
      </c>
      <c r="BB10">
        <f t="shared" si="4"/>
        <v>0.29811867018470228</v>
      </c>
    </row>
    <row r="11" spans="1:54" x14ac:dyDescent="0.2">
      <c r="A11" s="112"/>
      <c r="B11" s="112"/>
      <c r="C11" s="112"/>
      <c r="D11" s="112"/>
      <c r="E11" s="112"/>
      <c r="F11" s="112"/>
    </row>
    <row r="12" spans="1:54" x14ac:dyDescent="0.2">
      <c r="A12" s="112" t="s">
        <v>379</v>
      </c>
      <c r="B12" s="112"/>
      <c r="C12" s="112"/>
      <c r="D12" s="112"/>
      <c r="E12" s="112"/>
      <c r="F12" s="112"/>
      <c r="Z12">
        <f>Z33/Z25</f>
        <v>6.233136285716482E-2</v>
      </c>
      <c r="AA12">
        <f t="shared" ref="AA12:AD12" si="5">AA33/AA25</f>
        <v>6.8309564140393061E-2</v>
      </c>
      <c r="AB12">
        <f t="shared" si="5"/>
        <v>5.9904269074427925E-2</v>
      </c>
      <c r="AC12">
        <f t="shared" si="5"/>
        <v>6.657148363798665E-2</v>
      </c>
      <c r="AD12">
        <f t="shared" si="5"/>
        <v>7.8317483273248417E-2</v>
      </c>
      <c r="AE12" s="112">
        <f>1.01*AD12</f>
        <v>7.9100658105980909E-2</v>
      </c>
      <c r="AF12" s="112">
        <f t="shared" ref="AF12:BB12" si="6">1.01*AE12</f>
        <v>7.9891664687040717E-2</v>
      </c>
      <c r="AG12" s="112">
        <f t="shared" si="6"/>
        <v>8.0690581333911118E-2</v>
      </c>
      <c r="AH12" s="112">
        <f t="shared" si="6"/>
        <v>8.1497487147250233E-2</v>
      </c>
      <c r="AI12" s="112">
        <f t="shared" si="6"/>
        <v>8.2312462018722735E-2</v>
      </c>
      <c r="AJ12" s="112">
        <f t="shared" si="6"/>
        <v>8.3135586638909964E-2</v>
      </c>
      <c r="AK12" s="112">
        <f t="shared" si="6"/>
        <v>8.3966942505299069E-2</v>
      </c>
      <c r="AL12" s="112">
        <f t="shared" si="6"/>
        <v>8.4806611930352063E-2</v>
      </c>
      <c r="AM12" s="112">
        <f t="shared" si="6"/>
        <v>8.5654678049655583E-2</v>
      </c>
      <c r="AN12" s="112">
        <f t="shared" si="6"/>
        <v>8.6511224830152139E-2</v>
      </c>
      <c r="AO12" s="112">
        <f t="shared" si="6"/>
        <v>8.7376337078453659E-2</v>
      </c>
      <c r="AP12" s="112">
        <f t="shared" si="6"/>
        <v>8.82501004492382E-2</v>
      </c>
      <c r="AQ12" s="112">
        <f t="shared" si="6"/>
        <v>8.9132601453730587E-2</v>
      </c>
      <c r="AR12" s="112">
        <f t="shared" si="6"/>
        <v>9.0023927468267886E-2</v>
      </c>
      <c r="AS12" s="112">
        <f t="shared" si="6"/>
        <v>9.0924166742950563E-2</v>
      </c>
      <c r="AT12" s="112">
        <f t="shared" si="6"/>
        <v>9.1833408410380069E-2</v>
      </c>
      <c r="AU12" s="112">
        <f t="shared" si="6"/>
        <v>9.2751742494483869E-2</v>
      </c>
      <c r="AV12" s="112">
        <f t="shared" si="6"/>
        <v>9.3679259919428715E-2</v>
      </c>
      <c r="AW12" s="112">
        <f t="shared" si="6"/>
        <v>9.4616052518622998E-2</v>
      </c>
      <c r="AX12" s="112">
        <f t="shared" si="6"/>
        <v>9.5562213043809227E-2</v>
      </c>
      <c r="AY12" s="112">
        <f t="shared" si="6"/>
        <v>9.6517835174247321E-2</v>
      </c>
      <c r="AZ12" s="112">
        <f t="shared" si="6"/>
        <v>9.7483013525989801E-2</v>
      </c>
      <c r="BA12" s="112">
        <f t="shared" si="6"/>
        <v>9.8457843661249697E-2</v>
      </c>
      <c r="BB12" s="112">
        <f t="shared" si="6"/>
        <v>9.9442422097862193E-2</v>
      </c>
    </row>
    <row r="13" spans="1:54" x14ac:dyDescent="0.2">
      <c r="A13" s="112" t="s">
        <v>380</v>
      </c>
      <c r="B13" s="112"/>
      <c r="C13" s="112"/>
      <c r="D13" s="112"/>
      <c r="E13" s="112"/>
      <c r="F13" s="112"/>
      <c r="Z13">
        <f>Z34/Z25</f>
        <v>7.0126146348213125E-2</v>
      </c>
      <c r="AA13">
        <f t="shared" ref="AA13:AD13" si="7">AA34/AA25</f>
        <v>7.2549769593646979E-2</v>
      </c>
      <c r="AB13">
        <f t="shared" si="7"/>
        <v>6.006555190163388E-2</v>
      </c>
      <c r="AC13">
        <f t="shared" si="7"/>
        <v>6.3637378020328261E-2</v>
      </c>
      <c r="AD13">
        <f t="shared" si="7"/>
        <v>6.5265004477000232E-2</v>
      </c>
      <c r="AE13">
        <f>AD13*1.001</f>
        <v>6.5330269481477229E-2</v>
      </c>
      <c r="AF13">
        <f t="shared" ref="AF13:BB13" si="8">AE13*1.001</f>
        <v>6.5395599750958697E-2</v>
      </c>
      <c r="AG13">
        <f t="shared" si="8"/>
        <v>6.546099535070965E-2</v>
      </c>
      <c r="AH13">
        <f t="shared" si="8"/>
        <v>6.5526456346060358E-2</v>
      </c>
      <c r="AI13">
        <f t="shared" si="8"/>
        <v>6.5591982802406412E-2</v>
      </c>
      <c r="AJ13">
        <f t="shared" si="8"/>
        <v>6.5657574785208811E-2</v>
      </c>
      <c r="AK13">
        <f t="shared" si="8"/>
        <v>6.5723232359994013E-2</v>
      </c>
      <c r="AL13">
        <f t="shared" si="8"/>
        <v>6.5788955592353995E-2</v>
      </c>
      <c r="AM13">
        <f t="shared" si="8"/>
        <v>6.5854744547946348E-2</v>
      </c>
      <c r="AN13">
        <f t="shared" si="8"/>
        <v>6.5920599292494289E-2</v>
      </c>
      <c r="AO13">
        <f t="shared" si="8"/>
        <v>6.5986519891786777E-2</v>
      </c>
      <c r="AP13">
        <f t="shared" si="8"/>
        <v>6.6052506411678563E-2</v>
      </c>
      <c r="AQ13">
        <f t="shared" si="8"/>
        <v>6.6118558918090237E-2</v>
      </c>
      <c r="AR13">
        <f t="shared" si="8"/>
        <v>6.6184677477008319E-2</v>
      </c>
      <c r="AS13">
        <f t="shared" si="8"/>
        <v>6.6250862154485321E-2</v>
      </c>
      <c r="AT13">
        <f t="shared" si="8"/>
        <v>6.6317113016639798E-2</v>
      </c>
      <c r="AU13">
        <f t="shared" si="8"/>
        <v>6.6383430129656432E-2</v>
      </c>
      <c r="AV13">
        <f t="shared" si="8"/>
        <v>6.6449813559786075E-2</v>
      </c>
      <c r="AW13">
        <f t="shared" si="8"/>
        <v>6.651626337334586E-2</v>
      </c>
      <c r="AX13">
        <f t="shared" si="8"/>
        <v>6.65827796367192E-2</v>
      </c>
      <c r="AY13">
        <f t="shared" si="8"/>
        <v>6.6649362416355912E-2</v>
      </c>
      <c r="AZ13">
        <f t="shared" si="8"/>
        <v>6.6716011778772261E-2</v>
      </c>
      <c r="BA13">
        <f t="shared" si="8"/>
        <v>6.6782727790551027E-2</v>
      </c>
      <c r="BB13">
        <f t="shared" si="8"/>
        <v>6.6849510518341565E-2</v>
      </c>
    </row>
    <row r="14" spans="1:54" x14ac:dyDescent="0.2">
      <c r="A14" s="112"/>
      <c r="B14" s="112"/>
      <c r="C14" s="112"/>
      <c r="D14" s="112"/>
      <c r="E14" s="112"/>
      <c r="F14" s="112"/>
    </row>
    <row r="15" spans="1:54" x14ac:dyDescent="0.2">
      <c r="A15" s="112" t="s">
        <v>406</v>
      </c>
      <c r="B15" s="112"/>
      <c r="C15" s="112"/>
      <c r="D15" s="112"/>
      <c r="E15" s="112"/>
      <c r="F15" s="112"/>
    </row>
    <row r="16" spans="1:54" x14ac:dyDescent="0.2">
      <c r="A16" s="112"/>
      <c r="B16" s="112"/>
      <c r="C16" s="112"/>
      <c r="D16" s="112"/>
      <c r="E16" s="112"/>
      <c r="F16" s="112"/>
    </row>
    <row r="17" spans="1:54" x14ac:dyDescent="0.2">
      <c r="A17" s="112" t="s">
        <v>323</v>
      </c>
      <c r="B17" s="112"/>
      <c r="C17" s="112"/>
      <c r="D17" s="112"/>
      <c r="E17" s="112"/>
      <c r="F17" s="112"/>
      <c r="Z17">
        <f>Z41/Z40</f>
        <v>0.15943836804235059</v>
      </c>
      <c r="AA17">
        <f t="shared" ref="AA17:AC17" si="9">AA41/AA40</f>
        <v>0.14428164731484103</v>
      </c>
      <c r="AB17">
        <f t="shared" si="9"/>
        <v>0.13302260844085087</v>
      </c>
      <c r="AC17">
        <f t="shared" si="9"/>
        <v>0.16204461684424407</v>
      </c>
      <c r="AE17" s="133"/>
    </row>
    <row r="18" spans="1:54" x14ac:dyDescent="0.2">
      <c r="A18" s="112"/>
      <c r="B18" s="112"/>
      <c r="C18" s="112"/>
      <c r="D18" s="112"/>
      <c r="E18" s="112"/>
      <c r="F18" s="112"/>
      <c r="AE18" s="133"/>
    </row>
    <row r="19" spans="1:54" x14ac:dyDescent="0.2">
      <c r="A19" t="s">
        <v>385</v>
      </c>
      <c r="B19" s="112"/>
      <c r="C19" s="112"/>
      <c r="D19" s="112"/>
      <c r="E19" s="112"/>
      <c r="F19" s="112"/>
      <c r="Z19">
        <f>Z52/Z25</f>
        <v>4.8225418373857493E-2</v>
      </c>
      <c r="AA19">
        <f t="shared" ref="AA19:AC19" si="10">AA52/AA25</f>
        <v>4.0274666229532081E-2</v>
      </c>
      <c r="AB19">
        <f t="shared" si="10"/>
        <v>3.084602410494865E-2</v>
      </c>
      <c r="AC19">
        <f t="shared" si="10"/>
        <v>2.8159298857803657E-2</v>
      </c>
      <c r="AE19" s="133"/>
    </row>
    <row r="20" spans="1:54" x14ac:dyDescent="0.2">
      <c r="A20" t="s">
        <v>386</v>
      </c>
      <c r="B20" s="112"/>
      <c r="C20" s="112"/>
      <c r="D20" s="112"/>
      <c r="E20" s="112"/>
      <c r="F20" s="112"/>
      <c r="Z20">
        <f>Z53/Z25</f>
        <v>2.3322853167495598E-2</v>
      </c>
      <c r="AA20">
        <f t="shared" ref="AA20:AC20" si="11">AA53/AA25</f>
        <v>2.4876600550061016E-2</v>
      </c>
      <c r="AB20">
        <f t="shared" si="11"/>
        <v>2.1611898845597662E-2</v>
      </c>
      <c r="AC20">
        <f t="shared" si="11"/>
        <v>2.2920005680550203E-2</v>
      </c>
      <c r="AE20" s="133"/>
    </row>
    <row r="21" spans="1:54" x14ac:dyDescent="0.2">
      <c r="A21" s="112" t="s">
        <v>408</v>
      </c>
      <c r="B21" s="112"/>
      <c r="C21" s="112"/>
      <c r="D21" s="112"/>
      <c r="E21" s="112"/>
      <c r="F21" s="112"/>
      <c r="U21" s="392">
        <f>((W25+V25)/(R25+S25))-1</f>
        <v>-1.999589429473414E-2</v>
      </c>
      <c r="Z21">
        <f>(Z53+Z54)/Z25</f>
        <v>3.1148385311368546E-2</v>
      </c>
      <c r="AA21">
        <f t="shared" ref="AA21:AC21" si="12">(AA53+AA54)/AA25</f>
        <v>3.4908839225543234E-2</v>
      </c>
      <c r="AB21">
        <f t="shared" si="12"/>
        <v>3.9533427916143865E-2</v>
      </c>
      <c r="AC21">
        <f t="shared" si="12"/>
        <v>3.8701284210099204E-2</v>
      </c>
      <c r="AE21" s="133"/>
    </row>
    <row r="22" spans="1:54" x14ac:dyDescent="0.2">
      <c r="A22" s="112" t="s">
        <v>118</v>
      </c>
      <c r="B22" s="112"/>
      <c r="C22" s="112"/>
      <c r="D22" s="112"/>
      <c r="E22" s="112"/>
      <c r="F22" s="112"/>
      <c r="U22">
        <f>((W25+V25)/(F25+G25))-1</f>
        <v>0.57956252682787235</v>
      </c>
      <c r="Z22">
        <f>Z55/Z25</f>
        <v>4.033838892433525E-2</v>
      </c>
      <c r="AA22">
        <f t="shared" ref="AA22:AC22" si="13">AA55/AA25</f>
        <v>2.6625138881299748E-2</v>
      </c>
      <c r="AB22">
        <f t="shared" si="13"/>
        <v>3.0302036264033657E-2</v>
      </c>
      <c r="AC22">
        <f t="shared" si="13"/>
        <v>2.7155058732831552E-2</v>
      </c>
      <c r="AE22" s="133"/>
    </row>
    <row r="23" spans="1:54" x14ac:dyDescent="0.2">
      <c r="A23" s="112" t="s">
        <v>409</v>
      </c>
      <c r="B23" s="112"/>
      <c r="C23" s="112"/>
      <c r="D23" s="112"/>
      <c r="E23" s="112"/>
      <c r="F23" s="112"/>
      <c r="Z23">
        <f>Z21/Z20</f>
        <v>1.3355306526038233</v>
      </c>
      <c r="AA23">
        <f t="shared" ref="AA23:AC23" si="14">AA21/AA20</f>
        <v>1.4032801288622054</v>
      </c>
      <c r="AB23">
        <f t="shared" si="14"/>
        <v>1.8292436124462434</v>
      </c>
      <c r="AC23">
        <f t="shared" si="14"/>
        <v>1.6885372870104003</v>
      </c>
      <c r="AE23" s="133"/>
    </row>
    <row r="24" spans="1:54" x14ac:dyDescent="0.2">
      <c r="A24" s="112"/>
      <c r="B24" s="112"/>
      <c r="C24" s="112"/>
      <c r="D24" s="112"/>
      <c r="E24" s="112"/>
      <c r="F24" s="112"/>
    </row>
    <row r="25" spans="1:54" x14ac:dyDescent="0.2">
      <c r="A25" t="s">
        <v>375</v>
      </c>
      <c r="C25">
        <f t="shared" ref="C25:W25" si="15">C26+C27</f>
        <v>53265</v>
      </c>
      <c r="D25">
        <f t="shared" si="15"/>
        <v>64040</v>
      </c>
      <c r="E25">
        <f t="shared" si="15"/>
        <v>84310</v>
      </c>
      <c r="F25">
        <f t="shared" si="15"/>
        <v>58015</v>
      </c>
      <c r="G25">
        <f t="shared" si="15"/>
        <v>53809</v>
      </c>
      <c r="H25">
        <f t="shared" si="15"/>
        <v>64040</v>
      </c>
      <c r="I25">
        <f t="shared" si="15"/>
        <v>91819</v>
      </c>
      <c r="J25">
        <f t="shared" si="15"/>
        <v>58313</v>
      </c>
      <c r="K25">
        <f t="shared" si="15"/>
        <v>59685</v>
      </c>
      <c r="L25">
        <f t="shared" si="15"/>
        <v>64698</v>
      </c>
      <c r="M25">
        <f t="shared" si="15"/>
        <v>111439</v>
      </c>
      <c r="N25">
        <f t="shared" si="15"/>
        <v>89584</v>
      </c>
      <c r="O25">
        <f t="shared" si="15"/>
        <v>81434</v>
      </c>
      <c r="P25">
        <f t="shared" si="15"/>
        <v>83360</v>
      </c>
      <c r="Q25">
        <f t="shared" si="15"/>
        <v>123945</v>
      </c>
      <c r="R25">
        <f t="shared" si="15"/>
        <v>97278</v>
      </c>
      <c r="S25">
        <f t="shared" si="15"/>
        <v>82959</v>
      </c>
      <c r="T25">
        <f t="shared" si="15"/>
        <v>90146</v>
      </c>
      <c r="U25">
        <f t="shared" si="15"/>
        <v>117154</v>
      </c>
      <c r="V25">
        <f t="shared" si="15"/>
        <v>94836</v>
      </c>
      <c r="W25">
        <f t="shared" si="15"/>
        <v>81797</v>
      </c>
      <c r="X25">
        <f>X26+X27</f>
        <v>89282</v>
      </c>
      <c r="Z25">
        <f>Z26+Z27</f>
        <v>260174</v>
      </c>
      <c r="AA25">
        <f>AA26+AA27</f>
        <v>274515</v>
      </c>
      <c r="AB25">
        <f>AB26+AB27</f>
        <v>365817</v>
      </c>
      <c r="AC25">
        <f>AC26+AC27</f>
        <v>394328</v>
      </c>
      <c r="AD25">
        <f>AD26+AD27</f>
        <v>383069</v>
      </c>
      <c r="AE25">
        <f t="shared" ref="AE25:BB25" si="16">AE26+AE27</f>
        <v>404095.69999999995</v>
      </c>
      <c r="AF25">
        <f t="shared" si="16"/>
        <v>426020.38502915</v>
      </c>
      <c r="AG25">
        <f t="shared" si="16"/>
        <v>448860.48893937253</v>
      </c>
      <c r="AH25">
        <f t="shared" si="16"/>
        <v>472632.31682514609</v>
      </c>
      <c r="AI25">
        <f t="shared" si="16"/>
        <v>497350.97627166676</v>
      </c>
      <c r="AJ25">
        <f t="shared" si="16"/>
        <v>523030.31453687267</v>
      </c>
      <c r="AK25">
        <f t="shared" si="16"/>
        <v>549682.8620322668</v>
      </c>
      <c r="AL25">
        <f t="shared" si="16"/>
        <v>577319.78240064369</v>
      </c>
      <c r="AM25">
        <f t="shared" si="16"/>
        <v>605950.82942131127</v>
      </c>
      <c r="AN25">
        <f t="shared" si="16"/>
        <v>635584.31090613932</v>
      </c>
      <c r="AO25">
        <f t="shared" si="16"/>
        <v>666227.05968362512</v>
      </c>
      <c r="AP25">
        <f t="shared" si="16"/>
        <v>697884.41170396539</v>
      </c>
      <c r="AQ25">
        <f t="shared" si="16"/>
        <v>730560.19123654719</v>
      </c>
      <c r="AR25">
        <f t="shared" si="16"/>
        <v>764256.70307296689</v>
      </c>
      <c r="AS25">
        <f t="shared" si="16"/>
        <v>798974.73159418046</v>
      </c>
      <c r="AT25">
        <f t="shared" si="16"/>
        <v>834713.54651011061</v>
      </c>
      <c r="AU25">
        <f t="shared" si="16"/>
        <v>871470.91503434</v>
      </c>
      <c r="AV25">
        <f t="shared" si="16"/>
        <v>909243.1202156581</v>
      </c>
      <c r="AW25">
        <f t="shared" si="16"/>
        <v>948024.98511235893</v>
      </c>
      <c r="AX25">
        <f t="shared" si="16"/>
        <v>987809.90246440098</v>
      </c>
      <c r="AY25">
        <f t="shared" si="16"/>
        <v>1028589.869492837</v>
      </c>
      <c r="AZ25">
        <f t="shared" si="16"/>
        <v>1070355.5274352536</v>
      </c>
      <c r="BA25">
        <f t="shared" si="16"/>
        <v>1113096.2054101799</v>
      </c>
      <c r="BB25">
        <f t="shared" si="16"/>
        <v>1156799.9681923776</v>
      </c>
    </row>
    <row r="26" spans="1:54" x14ac:dyDescent="0.2">
      <c r="A26" s="390" t="s">
        <v>376</v>
      </c>
      <c r="B26" s="390"/>
      <c r="C26" s="390">
        <v>43095</v>
      </c>
      <c r="D26" s="390">
        <v>51529</v>
      </c>
      <c r="E26" s="390">
        <v>73435</v>
      </c>
      <c r="F26" s="390">
        <v>46565</v>
      </c>
      <c r="G26" s="390">
        <v>42354</v>
      </c>
      <c r="H26" s="390">
        <v>51529</v>
      </c>
      <c r="I26" s="390">
        <v>79104</v>
      </c>
      <c r="J26" s="390">
        <v>44965</v>
      </c>
      <c r="K26" s="390">
        <v>46529</v>
      </c>
      <c r="L26" s="390">
        <v>50149</v>
      </c>
      <c r="M26">
        <v>95678</v>
      </c>
      <c r="N26" s="201">
        <v>72683</v>
      </c>
      <c r="O26">
        <v>63948</v>
      </c>
      <c r="P26">
        <v>65083</v>
      </c>
      <c r="Q26">
        <v>104429</v>
      </c>
      <c r="R26">
        <v>77457</v>
      </c>
      <c r="S26">
        <v>63355</v>
      </c>
      <c r="T26">
        <v>70958</v>
      </c>
      <c r="U26">
        <v>96388</v>
      </c>
      <c r="V26">
        <v>73929</v>
      </c>
      <c r="W26">
        <v>60584</v>
      </c>
      <c r="X26">
        <v>67977</v>
      </c>
      <c r="Z26">
        <f>SUM(E26:H26)</f>
        <v>213883</v>
      </c>
      <c r="AA26">
        <f>SUM(I26:L26)</f>
        <v>220747</v>
      </c>
      <c r="AB26">
        <f>SUM(M26:P26)</f>
        <v>297392</v>
      </c>
      <c r="AC26">
        <f>SUM(Q26:T26)</f>
        <v>316199</v>
      </c>
      <c r="AD26">
        <f>SUM(U26:X26)</f>
        <v>298878</v>
      </c>
      <c r="AE26" s="112">
        <f>(1+AE5)*AD26</f>
        <v>312327.50999999995</v>
      </c>
      <c r="AF26" s="112">
        <f t="shared" ref="AF26:BB26" si="17">(1+AF5)*AE26</f>
        <v>326199.53635665</v>
      </c>
      <c r="AG26" s="112">
        <f t="shared" si="17"/>
        <v>340499.34278263594</v>
      </c>
      <c r="AH26" s="112">
        <f t="shared" si="17"/>
        <v>355231.97169030906</v>
      </c>
      <c r="AI26" s="112">
        <f t="shared" si="17"/>
        <v>370402.23681401042</v>
      </c>
      <c r="AJ26" s="112">
        <f t="shared" si="17"/>
        <v>386014.71619399753</v>
      </c>
      <c r="AK26" s="112">
        <f t="shared" si="17"/>
        <v>402073.74553397647</v>
      </c>
      <c r="AL26" s="112">
        <f t="shared" si="17"/>
        <v>418583.41194309283</v>
      </c>
      <c r="AM26" s="112">
        <f t="shared" si="17"/>
        <v>435547.54807207413</v>
      </c>
      <c r="AN26" s="112">
        <f t="shared" si="17"/>
        <v>452969.72665205173</v>
      </c>
      <c r="AO26" s="112">
        <f t="shared" si="17"/>
        <v>470853.25544342265</v>
      </c>
      <c r="AP26" s="112">
        <f t="shared" si="17"/>
        <v>489201.17260095105</v>
      </c>
      <c r="AQ26" s="112">
        <f t="shared" si="17"/>
        <v>508016.2424601533</v>
      </c>
      <c r="AR26" s="112">
        <f t="shared" si="17"/>
        <v>527300.95174886822</v>
      </c>
      <c r="AS26" s="112">
        <f t="shared" si="17"/>
        <v>547057.50622678723</v>
      </c>
      <c r="AT26" s="112">
        <f t="shared" si="17"/>
        <v>567287.82775461243</v>
      </c>
      <c r="AU26" s="112">
        <f t="shared" si="17"/>
        <v>587993.55179342255</v>
      </c>
      <c r="AV26" s="112">
        <f t="shared" si="17"/>
        <v>609176.02533377125</v>
      </c>
      <c r="AW26" s="112">
        <f t="shared" si="17"/>
        <v>630836.30525300954</v>
      </c>
      <c r="AX26" s="112">
        <f t="shared" si="17"/>
        <v>652975.15709832637</v>
      </c>
      <c r="AY26" s="112">
        <f t="shared" si="17"/>
        <v>675593.05429203343</v>
      </c>
      <c r="AZ26" s="112">
        <f t="shared" si="17"/>
        <v>698690.17775469646</v>
      </c>
      <c r="BA26" s="112">
        <f t="shared" si="17"/>
        <v>722266.41594081966</v>
      </c>
      <c r="BB26" s="112">
        <f t="shared" si="17"/>
        <v>746321.36528094101</v>
      </c>
    </row>
    <row r="27" spans="1:54" x14ac:dyDescent="0.2">
      <c r="A27" s="390" t="s">
        <v>377</v>
      </c>
      <c r="B27" s="390"/>
      <c r="C27" s="390">
        <v>10170</v>
      </c>
      <c r="D27" s="390">
        <v>12511</v>
      </c>
      <c r="E27" s="390">
        <v>10875</v>
      </c>
      <c r="F27" s="390">
        <v>11450</v>
      </c>
      <c r="G27" s="390">
        <v>11455</v>
      </c>
      <c r="H27" s="390">
        <v>12511</v>
      </c>
      <c r="I27" s="390">
        <v>12715</v>
      </c>
      <c r="J27" s="390">
        <v>13348</v>
      </c>
      <c r="K27" s="390">
        <v>13156</v>
      </c>
      <c r="L27" s="390">
        <v>14549</v>
      </c>
      <c r="M27">
        <v>15761</v>
      </c>
      <c r="N27">
        <v>16901</v>
      </c>
      <c r="O27">
        <v>17486</v>
      </c>
      <c r="P27">
        <v>18277</v>
      </c>
      <c r="Q27">
        <v>19516</v>
      </c>
      <c r="R27">
        <v>19821</v>
      </c>
      <c r="S27">
        <v>19604</v>
      </c>
      <c r="T27">
        <v>19188</v>
      </c>
      <c r="U27">
        <v>20766</v>
      </c>
      <c r="V27">
        <v>20907</v>
      </c>
      <c r="W27">
        <v>21213</v>
      </c>
      <c r="X27">
        <v>21305</v>
      </c>
      <c r="Z27">
        <f>SUM(E27:H27)</f>
        <v>46291</v>
      </c>
      <c r="AA27">
        <f>SUM(I27:L27)</f>
        <v>53768</v>
      </c>
      <c r="AB27">
        <f>SUM(M27:P27)</f>
        <v>68425</v>
      </c>
      <c r="AC27">
        <f>SUM(Q27:T27)</f>
        <v>78129</v>
      </c>
      <c r="AD27">
        <f>SUM(U27:X27)</f>
        <v>84191</v>
      </c>
      <c r="AE27" s="112">
        <f>(1+AE6)*AD27</f>
        <v>91768.19</v>
      </c>
      <c r="AF27" s="112">
        <f t="shared" ref="AF27:BB27" si="18">(1+AF6)*AE27</f>
        <v>99820.848672499997</v>
      </c>
      <c r="AG27" s="112">
        <f t="shared" si="18"/>
        <v>108361.14615673658</v>
      </c>
      <c r="AH27" s="112">
        <f t="shared" si="18"/>
        <v>117400.34513483704</v>
      </c>
      <c r="AI27" s="112">
        <f t="shared" si="18"/>
        <v>126948.73945765635</v>
      </c>
      <c r="AJ27" s="112">
        <f t="shared" si="18"/>
        <v>137015.59834287516</v>
      </c>
      <c r="AK27" s="112">
        <f t="shared" si="18"/>
        <v>147609.11649829036</v>
      </c>
      <c r="AL27" s="112">
        <f t="shared" si="18"/>
        <v>158736.3704575508</v>
      </c>
      <c r="AM27" s="112">
        <f t="shared" si="18"/>
        <v>170403.28134923716</v>
      </c>
      <c r="AN27" s="112">
        <f t="shared" si="18"/>
        <v>182614.58425408759</v>
      </c>
      <c r="AO27" s="112">
        <f t="shared" si="18"/>
        <v>195373.80424020247</v>
      </c>
      <c r="AP27" s="112">
        <f t="shared" si="18"/>
        <v>208683.23910301441</v>
      </c>
      <c r="AQ27" s="112">
        <f t="shared" si="18"/>
        <v>222543.9487763939</v>
      </c>
      <c r="AR27" s="112">
        <f t="shared" si="18"/>
        <v>236955.75132409864</v>
      </c>
      <c r="AS27" s="112">
        <f t="shared" si="18"/>
        <v>251917.22536739323</v>
      </c>
      <c r="AT27" s="112">
        <f t="shared" si="18"/>
        <v>267425.71875549818</v>
      </c>
      <c r="AU27" s="112">
        <f t="shared" si="18"/>
        <v>283477.36324091739</v>
      </c>
      <c r="AV27" s="112">
        <f t="shared" si="18"/>
        <v>300067.09488188679</v>
      </c>
      <c r="AW27" s="112">
        <f t="shared" si="18"/>
        <v>317188.67985934939</v>
      </c>
      <c r="AX27" s="112">
        <f t="shared" si="18"/>
        <v>334834.74536607461</v>
      </c>
      <c r="AY27" s="112">
        <f t="shared" si="18"/>
        <v>352996.81520080357</v>
      </c>
      <c r="AZ27" s="112">
        <f t="shared" si="18"/>
        <v>371665.34968055709</v>
      </c>
      <c r="BA27" s="112">
        <f t="shared" si="18"/>
        <v>390829.78946936032</v>
      </c>
      <c r="BB27" s="112">
        <f t="shared" si="18"/>
        <v>410478.60291143652</v>
      </c>
    </row>
    <row r="28" spans="1:54" x14ac:dyDescent="0.2">
      <c r="C28" s="112" t="s">
        <v>263</v>
      </c>
    </row>
    <row r="29" spans="1:54" x14ac:dyDescent="0.2">
      <c r="A29" t="s">
        <v>378</v>
      </c>
    </row>
    <row r="30" spans="1:54" x14ac:dyDescent="0.2">
      <c r="A30" s="390" t="s">
        <v>376</v>
      </c>
      <c r="B30" s="390"/>
      <c r="C30" s="390">
        <v>28956</v>
      </c>
      <c r="D30" s="390">
        <v>35238</v>
      </c>
      <c r="E30" s="390">
        <v>48238</v>
      </c>
      <c r="F30" s="390">
        <v>32047</v>
      </c>
      <c r="G30" s="390">
        <v>29473</v>
      </c>
      <c r="H30" s="390">
        <v>35238</v>
      </c>
      <c r="I30" s="390">
        <v>52075</v>
      </c>
      <c r="J30" s="390">
        <v>31321</v>
      </c>
      <c r="K30" s="390">
        <v>32693</v>
      </c>
      <c r="L30" s="390">
        <v>35197</v>
      </c>
      <c r="M30">
        <v>62130</v>
      </c>
      <c r="N30">
        <v>46447</v>
      </c>
      <c r="O30">
        <v>40899</v>
      </c>
      <c r="P30">
        <v>42790</v>
      </c>
      <c r="Q30">
        <v>64309</v>
      </c>
      <c r="R30">
        <v>49290</v>
      </c>
      <c r="S30">
        <v>41485</v>
      </c>
      <c r="T30">
        <v>46387</v>
      </c>
      <c r="U30">
        <v>60765</v>
      </c>
      <c r="V30">
        <v>46795</v>
      </c>
      <c r="W30">
        <v>39136</v>
      </c>
      <c r="X30">
        <v>43350</v>
      </c>
      <c r="Z30">
        <f>SUM(E30:H30)</f>
        <v>144996</v>
      </c>
      <c r="AA30">
        <f>SUM(I30:L30)</f>
        <v>151286</v>
      </c>
      <c r="AB30">
        <f>SUM(M30:P30)</f>
        <v>192266</v>
      </c>
      <c r="AC30">
        <f>SUM(Q30:T30)</f>
        <v>201471</v>
      </c>
      <c r="AD30">
        <f>SUM(U30:X30)</f>
        <v>190046</v>
      </c>
      <c r="AE30">
        <f>AE9*AE26</f>
        <v>198796.66806999993</v>
      </c>
      <c r="AF30">
        <f t="shared" ref="AF30:BB30" si="19">AF9*AF26</f>
        <v>207833.84830441131</v>
      </c>
      <c r="AG30">
        <f t="shared" si="19"/>
        <v>217161.731238462</v>
      </c>
      <c r="AH30">
        <f t="shared" si="19"/>
        <v>226784.38120445397</v>
      </c>
      <c r="AI30">
        <f t="shared" si="19"/>
        <v>236705.73094695766</v>
      </c>
      <c r="AJ30">
        <f t="shared" si="19"/>
        <v>246929.57643898326</v>
      </c>
      <c r="AK30">
        <f t="shared" si="19"/>
        <v>257459.57190833043</v>
      </c>
      <c r="AL30">
        <f t="shared" si="19"/>
        <v>268299.22508264828</v>
      </c>
      <c r="AM30">
        <f t="shared" si="19"/>
        <v>279451.89266105503</v>
      </c>
      <c r="AN30">
        <f t="shared" si="19"/>
        <v>290920.7760194756</v>
      </c>
      <c r="AO30">
        <f t="shared" si="19"/>
        <v>302708.91715615429</v>
      </c>
      <c r="AP30">
        <f t="shared" si="19"/>
        <v>314819.19488309877</v>
      </c>
      <c r="AQ30">
        <f t="shared" si="19"/>
        <v>327254.32126850577</v>
      </c>
      <c r="AR30">
        <f t="shared" si="19"/>
        <v>340016.83833451505</v>
      </c>
      <c r="AS30">
        <f t="shared" si="19"/>
        <v>353109.1150139395</v>
      </c>
      <c r="AT30">
        <f t="shared" si="19"/>
        <v>366533.34436892427</v>
      </c>
      <c r="AU30">
        <f t="shared" si="19"/>
        <v>380291.54107380292</v>
      </c>
      <c r="AV30">
        <f t="shared" si="19"/>
        <v>394385.53916374309</v>
      </c>
      <c r="AW30">
        <f t="shared" si="19"/>
        <v>408816.99005011184</v>
      </c>
      <c r="AX30">
        <f t="shared" si="19"/>
        <v>423587.36080284324</v>
      </c>
      <c r="AY30">
        <f t="shared" si="19"/>
        <v>438697.93269945658</v>
      </c>
      <c r="AZ30">
        <f t="shared" si="19"/>
        <v>454149.80003976275</v>
      </c>
      <c r="BA30">
        <f t="shared" si="19"/>
        <v>469943.86922469834</v>
      </c>
      <c r="BB30">
        <f t="shared" si="19"/>
        <v>486080.85809715459</v>
      </c>
    </row>
    <row r="31" spans="1:54" x14ac:dyDescent="0.2">
      <c r="A31" s="390" t="s">
        <v>377</v>
      </c>
      <c r="B31" s="390"/>
      <c r="C31" s="390">
        <v>3888</v>
      </c>
      <c r="D31" s="390">
        <v>4489</v>
      </c>
      <c r="E31" s="390">
        <v>4041</v>
      </c>
      <c r="F31" s="390">
        <v>4147</v>
      </c>
      <c r="G31" s="390">
        <v>4109</v>
      </c>
      <c r="H31" s="390">
        <v>4489</v>
      </c>
      <c r="I31" s="390">
        <v>4527</v>
      </c>
      <c r="J31" s="390">
        <v>4622</v>
      </c>
      <c r="K31" s="390">
        <v>4312</v>
      </c>
      <c r="L31" s="390">
        <v>4812</v>
      </c>
      <c r="M31">
        <v>4981</v>
      </c>
      <c r="N31">
        <v>5058</v>
      </c>
      <c r="O31">
        <v>5280</v>
      </c>
      <c r="P31">
        <v>5396</v>
      </c>
      <c r="Q31">
        <v>5393</v>
      </c>
      <c r="R31">
        <v>5429</v>
      </c>
      <c r="S31">
        <v>5589</v>
      </c>
      <c r="T31">
        <v>5664</v>
      </c>
      <c r="U31">
        <v>6057</v>
      </c>
      <c r="V31">
        <v>6065</v>
      </c>
      <c r="W31">
        <v>6248</v>
      </c>
      <c r="X31">
        <v>6134</v>
      </c>
      <c r="Z31">
        <f>SUM(E31:H31)</f>
        <v>16786</v>
      </c>
      <c r="AA31">
        <f>SUM(I31:L31)</f>
        <v>18273</v>
      </c>
      <c r="AB31">
        <f>SUM(M31:P31)</f>
        <v>20715</v>
      </c>
      <c r="AC31">
        <f>SUM(Q31:T31)</f>
        <v>22075</v>
      </c>
      <c r="AD31">
        <f>SUM(U31:X31)</f>
        <v>24504</v>
      </c>
      <c r="AE31">
        <f>AE10*AE27</f>
        <v>26736.069360000001</v>
      </c>
      <c r="AF31">
        <f t="shared" ref="AF31:BB31" si="20">AF10*AF27</f>
        <v>29111.241605786334</v>
      </c>
      <c r="AG31">
        <f t="shared" si="20"/>
        <v>31633.492160691811</v>
      </c>
      <c r="AH31">
        <f t="shared" si="20"/>
        <v>34306.546324323434</v>
      </c>
      <c r="AI31">
        <f t="shared" si="20"/>
        <v>37133.860031012278</v>
      </c>
      <c r="AJ31">
        <f t="shared" si="20"/>
        <v>40118.602128219012</v>
      </c>
      <c r="AK31">
        <f t="shared" si="20"/>
        <v>43263.638289372757</v>
      </c>
      <c r="AL31">
        <f t="shared" si="20"/>
        <v>46571.516657223656</v>
      </c>
      <c r="AM31">
        <f t="shared" si="20"/>
        <v>50044.455295024622</v>
      </c>
      <c r="AN31">
        <f t="shared" si="20"/>
        <v>53684.331503995818</v>
      </c>
      <c r="AO31">
        <f t="shared" si="20"/>
        <v>57492.67304682338</v>
      </c>
      <c r="AP31">
        <f t="shared" si="20"/>
        <v>61470.651298637633</v>
      </c>
      <c r="AQ31">
        <f t="shared" si="20"/>
        <v>65619.076329219373</v>
      </c>
      <c r="AR31">
        <f t="shared" si="20"/>
        <v>69938.393903286866</v>
      </c>
      <c r="AS31">
        <f t="shared" si="20"/>
        <v>74428.684369785013</v>
      </c>
      <c r="AT31">
        <f t="shared" si="20"/>
        <v>79089.663396270262</v>
      </c>
      <c r="AU31">
        <f t="shared" si="20"/>
        <v>83920.684490874773</v>
      </c>
      <c r="AV31">
        <f t="shared" si="20"/>
        <v>88920.743242025026</v>
      </c>
      <c r="AW31">
        <f t="shared" si="20"/>
        <v>94088.483195147477</v>
      </c>
      <c r="AX31">
        <f t="shared" si="20"/>
        <v>99422.203276055487</v>
      </c>
      <c r="AY31">
        <f t="shared" si="20"/>
        <v>104919.86666259107</v>
      </c>
      <c r="AZ31">
        <f t="shared" si="20"/>
        <v>110579.11099939028</v>
      </c>
      <c r="BA31">
        <f t="shared" si="20"/>
        <v>116397.25984532754</v>
      </c>
      <c r="BB31">
        <f t="shared" si="20"/>
        <v>122371.33523923192</v>
      </c>
    </row>
    <row r="33" spans="1:54" x14ac:dyDescent="0.2">
      <c r="A33" t="s">
        <v>379</v>
      </c>
      <c r="C33">
        <v>3701</v>
      </c>
      <c r="D33">
        <v>4110</v>
      </c>
      <c r="E33">
        <v>3902</v>
      </c>
      <c r="F33">
        <v>3948</v>
      </c>
      <c r="G33">
        <v>4257</v>
      </c>
      <c r="H33">
        <v>4110</v>
      </c>
      <c r="I33">
        <v>4451</v>
      </c>
      <c r="J33">
        <v>4565</v>
      </c>
      <c r="K33">
        <v>4758</v>
      </c>
      <c r="L33">
        <v>4978</v>
      </c>
      <c r="M33">
        <v>5163</v>
      </c>
      <c r="N33">
        <v>5262</v>
      </c>
      <c r="O33">
        <v>5717</v>
      </c>
      <c r="P33">
        <v>5772</v>
      </c>
      <c r="Q33">
        <v>6306</v>
      </c>
      <c r="R33">
        <v>6387</v>
      </c>
      <c r="S33">
        <v>6797</v>
      </c>
      <c r="T33">
        <v>6761</v>
      </c>
      <c r="U33">
        <v>7709</v>
      </c>
      <c r="V33">
        <v>7457</v>
      </c>
      <c r="W33">
        <v>7442</v>
      </c>
      <c r="X33">
        <v>7393</v>
      </c>
      <c r="Z33">
        <f>SUM(E33:H33)</f>
        <v>16217</v>
      </c>
      <c r="AA33">
        <f>SUM(I33:L33)</f>
        <v>18752</v>
      </c>
      <c r="AB33">
        <f>SUM(M33:P33)</f>
        <v>21914</v>
      </c>
      <c r="AC33">
        <f>SUM(Q33:T33)</f>
        <v>26251</v>
      </c>
      <c r="AD33">
        <f>SUM(U33:X33)</f>
        <v>30001</v>
      </c>
      <c r="AE33">
        <f>AE12*AE$25</f>
        <v>31964.235807797028</v>
      </c>
      <c r="AF33">
        <f t="shared" ref="AF33:BB33" si="21">AF12*AF$25</f>
        <v>34035.477750592836</v>
      </c>
      <c r="AG33">
        <f t="shared" si="21"/>
        <v>36218.813790341548</v>
      </c>
      <c r="AH33">
        <f t="shared" si="21"/>
        <v>38518.346165832445</v>
      </c>
      <c r="AI33">
        <f t="shared" si="21"/>
        <v>40938.183344336241</v>
      </c>
      <c r="AJ33">
        <f t="shared" si="21"/>
        <v>43482.432028956508</v>
      </c>
      <c r="AK33">
        <f t="shared" si="21"/>
        <v>46155.18927241159</v>
      </c>
      <c r="AL33">
        <f t="shared" si="21"/>
        <v>48960.534745766687</v>
      </c>
      <c r="AM33">
        <f t="shared" si="21"/>
        <v>51902.523208004182</v>
      </c>
      <c r="AN33">
        <f t="shared" si="21"/>
        <v>54985.177219318335</v>
      </c>
      <c r="AO33">
        <f t="shared" si="21"/>
        <v>58212.480137703489</v>
      </c>
      <c r="AP33">
        <f t="shared" si="21"/>
        <v>61588.369434832457</v>
      </c>
      <c r="AQ33">
        <f t="shared" si="21"/>
        <v>65116.730363448361</v>
      </c>
      <c r="AR33">
        <f t="shared" si="21"/>
        <v>68801.390004578323</v>
      </c>
      <c r="AS33">
        <f t="shared" si="21"/>
        <v>72646.111718873435</v>
      </c>
      <c r="AT33">
        <f t="shared" si="21"/>
        <v>76654.590022339762</v>
      </c>
      <c r="AU33">
        <f t="shared" si="21"/>
        <v>80830.445902697335</v>
      </c>
      <c r="AV33">
        <f t="shared" si="21"/>
        <v>85177.222588635006</v>
      </c>
      <c r="AW33">
        <f t="shared" si="21"/>
        <v>89698.38178035774</v>
      </c>
      <c r="AX33">
        <f t="shared" si="21"/>
        <v>94397.300346087504</v>
      </c>
      <c r="AY33">
        <f t="shared" si="21"/>
        <v>99277.267485610209</v>
      </c>
      <c r="AZ33">
        <f t="shared" si="21"/>
        <v>104341.48235858878</v>
      </c>
      <c r="BA33">
        <f t="shared" si="21"/>
        <v>109593.05217220577</v>
      </c>
      <c r="BB33">
        <f t="shared" si="21"/>
        <v>115034.99071977998</v>
      </c>
    </row>
    <row r="34" spans="1:54" x14ac:dyDescent="0.2">
      <c r="A34" t="s">
        <v>380</v>
      </c>
      <c r="C34">
        <v>4108</v>
      </c>
      <c r="D34">
        <v>4578</v>
      </c>
      <c r="E34">
        <v>4783</v>
      </c>
      <c r="F34">
        <v>4458</v>
      </c>
      <c r="G34">
        <v>4426</v>
      </c>
      <c r="H34">
        <v>4578</v>
      </c>
      <c r="I34">
        <v>5197</v>
      </c>
      <c r="J34">
        <v>4952</v>
      </c>
      <c r="K34">
        <v>4831</v>
      </c>
      <c r="L34">
        <v>4936</v>
      </c>
      <c r="M34">
        <v>5631</v>
      </c>
      <c r="N34">
        <v>5314</v>
      </c>
      <c r="O34">
        <v>5412</v>
      </c>
      <c r="P34">
        <v>5616</v>
      </c>
      <c r="Q34">
        <v>6449</v>
      </c>
      <c r="R34">
        <v>6193</v>
      </c>
      <c r="S34">
        <v>6012</v>
      </c>
      <c r="T34">
        <v>6440</v>
      </c>
      <c r="U34">
        <v>6607</v>
      </c>
      <c r="V34">
        <v>6201</v>
      </c>
      <c r="W34">
        <v>5973</v>
      </c>
      <c r="X34">
        <v>6220</v>
      </c>
      <c r="Z34">
        <f>SUM(E34:H34)</f>
        <v>18245</v>
      </c>
      <c r="AA34">
        <f>SUM(I34:L34)</f>
        <v>19916</v>
      </c>
      <c r="AB34">
        <f>SUM(M34:P34)</f>
        <v>21973</v>
      </c>
      <c r="AC34">
        <f>SUM(Q34:T34)</f>
        <v>25094</v>
      </c>
      <c r="AD34">
        <f>SUM(U34:X34)</f>
        <v>25001</v>
      </c>
      <c r="AE34">
        <f>AE13*AE$25</f>
        <v>26399.680977306176</v>
      </c>
      <c r="AF34">
        <f t="shared" ref="AF34:BB34" si="22">AF13*AF$25</f>
        <v>27859.858585115609</v>
      </c>
      <c r="AG34">
        <f t="shared" si="22"/>
        <v>29382.854379577526</v>
      </c>
      <c r="AH34">
        <f t="shared" si="22"/>
        <v>30969.920876180302</v>
      </c>
      <c r="AI34">
        <f t="shared" si="22"/>
        <v>32622.236682371207</v>
      </c>
      <c r="AJ34">
        <f t="shared" si="22"/>
        <v>34340.901991636005</v>
      </c>
      <c r="AK34">
        <f t="shared" si="22"/>
        <v>36126.934465653205</v>
      </c>
      <c r="AL34">
        <f t="shared" si="22"/>
        <v>37981.265526943418</v>
      </c>
      <c r="AM34">
        <f t="shared" si="22"/>
        <v>39904.737080156665</v>
      </c>
      <c r="AN34">
        <f t="shared" si="22"/>
        <v>41898.098675839719</v>
      </c>
      <c r="AO34">
        <f t="shared" si="22"/>
        <v>43962.005126260148</v>
      </c>
      <c r="AP34">
        <f t="shared" si="22"/>
        <v>46097.0145786867</v>
      </c>
      <c r="AQ34">
        <f t="shared" si="22"/>
        <v>48303.587047484914</v>
      </c>
      <c r="AR34">
        <f t="shared" si="22"/>
        <v>50582.083402526026</v>
      </c>
      <c r="AS34">
        <f t="shared" si="22"/>
        <v>52932.764807762956</v>
      </c>
      <c r="AT34">
        <f t="shared" si="22"/>
        <v>55355.792600431225</v>
      </c>
      <c r="AU34">
        <f t="shared" si="22"/>
        <v>57851.228598209869</v>
      </c>
      <c r="AV34">
        <f t="shared" si="22"/>
        <v>60419.035818848635</v>
      </c>
      <c r="AW34">
        <f t="shared" si="22"/>
        <v>63059.079594245952</v>
      </c>
      <c r="AX34">
        <f t="shared" si="22"/>
        <v>65771.129058756298</v>
      </c>
      <c r="AY34">
        <f t="shared" si="22"/>
        <v>68554.858989620319</v>
      </c>
      <c r="AZ34">
        <f t="shared" si="22"/>
        <v>71409.851975844373</v>
      </c>
      <c r="BA34">
        <f t="shared" si="22"/>
        <v>74335.600890603324</v>
      </c>
      <c r="BB34">
        <f t="shared" si="22"/>
        <v>77331.511641293531</v>
      </c>
    </row>
    <row r="36" spans="1:54" x14ac:dyDescent="0.2">
      <c r="A36" s="112" t="s">
        <v>407</v>
      </c>
      <c r="C36">
        <f>C25-C30-C31-C33-C34</f>
        <v>12612</v>
      </c>
      <c r="D36">
        <f t="shared" ref="D36:BB36" si="23">D25-D30-D31-D33-D34</f>
        <v>15625</v>
      </c>
      <c r="E36">
        <f t="shared" si="23"/>
        <v>23346</v>
      </c>
      <c r="F36">
        <f t="shared" si="23"/>
        <v>13415</v>
      </c>
      <c r="G36">
        <f t="shared" si="23"/>
        <v>11544</v>
      </c>
      <c r="H36">
        <f t="shared" si="23"/>
        <v>15625</v>
      </c>
      <c r="I36">
        <f t="shared" si="23"/>
        <v>25569</v>
      </c>
      <c r="J36">
        <f t="shared" si="23"/>
        <v>12853</v>
      </c>
      <c r="K36">
        <f t="shared" si="23"/>
        <v>13091</v>
      </c>
      <c r="L36">
        <f t="shared" si="23"/>
        <v>14775</v>
      </c>
      <c r="M36">
        <f t="shared" si="23"/>
        <v>33534</v>
      </c>
      <c r="N36">
        <f t="shared" si="23"/>
        <v>27503</v>
      </c>
      <c r="O36">
        <f t="shared" si="23"/>
        <v>24126</v>
      </c>
      <c r="P36">
        <f t="shared" si="23"/>
        <v>23786</v>
      </c>
      <c r="Q36">
        <f t="shared" si="23"/>
        <v>41488</v>
      </c>
      <c r="R36">
        <f t="shared" si="23"/>
        <v>29979</v>
      </c>
      <c r="S36">
        <f t="shared" si="23"/>
        <v>23076</v>
      </c>
      <c r="T36">
        <f t="shared" si="23"/>
        <v>24894</v>
      </c>
      <c r="U36">
        <f t="shared" si="23"/>
        <v>36016</v>
      </c>
      <c r="V36">
        <f t="shared" si="23"/>
        <v>28318</v>
      </c>
      <c r="W36">
        <f t="shared" si="23"/>
        <v>22998</v>
      </c>
      <c r="X36">
        <f>X25-X30-X31-X33-X34</f>
        <v>26185</v>
      </c>
      <c r="Z36">
        <f t="shared" si="23"/>
        <v>63930</v>
      </c>
      <c r="AA36">
        <f t="shared" si="23"/>
        <v>66288</v>
      </c>
      <c r="AB36">
        <f t="shared" si="23"/>
        <v>108949</v>
      </c>
      <c r="AC36">
        <f t="shared" si="23"/>
        <v>119437</v>
      </c>
      <c r="AD36">
        <f t="shared" si="23"/>
        <v>113517</v>
      </c>
      <c r="AE36">
        <f t="shared" si="23"/>
        <v>120199.04578489682</v>
      </c>
      <c r="AF36">
        <f t="shared" si="23"/>
        <v>127179.9587832439</v>
      </c>
      <c r="AG36">
        <f t="shared" si="23"/>
        <v>134463.59737029963</v>
      </c>
      <c r="AH36">
        <f t="shared" si="23"/>
        <v>142053.12225435593</v>
      </c>
      <c r="AI36">
        <f t="shared" si="23"/>
        <v>149950.9652669894</v>
      </c>
      <c r="AJ36">
        <f t="shared" si="23"/>
        <v>158158.8019490779</v>
      </c>
      <c r="AK36">
        <f t="shared" si="23"/>
        <v>166677.52809649881</v>
      </c>
      <c r="AL36">
        <f t="shared" si="23"/>
        <v>175507.24038806168</v>
      </c>
      <c r="AM36">
        <f t="shared" si="23"/>
        <v>184647.22117707078</v>
      </c>
      <c r="AN36">
        <f t="shared" si="23"/>
        <v>194095.92748750985</v>
      </c>
      <c r="AO36">
        <f t="shared" si="23"/>
        <v>203850.98421668384</v>
      </c>
      <c r="AP36">
        <f t="shared" si="23"/>
        <v>213909.18150870985</v>
      </c>
      <c r="AQ36">
        <f t="shared" si="23"/>
        <v>224266.47622788875</v>
      </c>
      <c r="AR36">
        <f t="shared" si="23"/>
        <v>234917.99742806063</v>
      </c>
      <c r="AS36">
        <f t="shared" si="23"/>
        <v>245858.05568381955</v>
      </c>
      <c r="AT36">
        <f t="shared" si="23"/>
        <v>257080.1561221451</v>
      </c>
      <c r="AU36">
        <f t="shared" si="23"/>
        <v>268577.01496875513</v>
      </c>
      <c r="AV36">
        <f t="shared" si="23"/>
        <v>280340.57940240635</v>
      </c>
      <c r="AW36">
        <f t="shared" si="23"/>
        <v>292362.050492496</v>
      </c>
      <c r="AX36">
        <f t="shared" si="23"/>
        <v>304631.90898065845</v>
      </c>
      <c r="AY36">
        <f t="shared" si="23"/>
        <v>317139.94365555886</v>
      </c>
      <c r="AZ36">
        <f t="shared" si="23"/>
        <v>329875.28206166747</v>
      </c>
      <c r="BA36">
        <f t="shared" si="23"/>
        <v>342826.42327734496</v>
      </c>
      <c r="BB36">
        <f t="shared" si="23"/>
        <v>355981.2724949175</v>
      </c>
    </row>
    <row r="37" spans="1:54" x14ac:dyDescent="0.2">
      <c r="AB37" s="112"/>
      <c r="AC37" s="112"/>
    </row>
    <row r="38" spans="1:54" x14ac:dyDescent="0.2">
      <c r="A38" t="s">
        <v>381</v>
      </c>
      <c r="C38">
        <v>672</v>
      </c>
      <c r="D38">
        <v>502</v>
      </c>
      <c r="E38">
        <v>560</v>
      </c>
      <c r="F38">
        <v>378</v>
      </c>
      <c r="G38">
        <v>367</v>
      </c>
      <c r="H38">
        <v>502</v>
      </c>
      <c r="I38">
        <v>349</v>
      </c>
      <c r="J38">
        <v>282</v>
      </c>
      <c r="K38">
        <v>46</v>
      </c>
      <c r="L38">
        <v>126</v>
      </c>
      <c r="M38">
        <v>45</v>
      </c>
      <c r="N38">
        <v>508</v>
      </c>
      <c r="O38">
        <v>243</v>
      </c>
      <c r="P38">
        <v>-538</v>
      </c>
      <c r="Q38">
        <v>-247</v>
      </c>
      <c r="R38">
        <v>160</v>
      </c>
      <c r="S38">
        <v>-10</v>
      </c>
      <c r="T38">
        <v>-237</v>
      </c>
      <c r="U38">
        <v>-393</v>
      </c>
      <c r="V38">
        <v>64</v>
      </c>
      <c r="W38">
        <v>-265</v>
      </c>
      <c r="Z38">
        <f>SUM(E38:H38)</f>
        <v>1807</v>
      </c>
      <c r="AA38">
        <f>SUM(I38:L38)</f>
        <v>803</v>
      </c>
      <c r="AB38">
        <f>SUM(M38:P38)</f>
        <v>258</v>
      </c>
      <c r="AC38">
        <f>SUM(Q38:T38)</f>
        <v>-334</v>
      </c>
    </row>
    <row r="39" spans="1:54" x14ac:dyDescent="0.2">
      <c r="AC39" s="112"/>
    </row>
    <row r="40" spans="1:54" x14ac:dyDescent="0.2">
      <c r="A40" t="s">
        <v>382</v>
      </c>
      <c r="C40">
        <f t="shared" ref="C40:W40" si="24">C26+C27-C30-C31-C33-C34+C38</f>
        <v>13284</v>
      </c>
      <c r="D40">
        <f t="shared" si="24"/>
        <v>16127</v>
      </c>
      <c r="E40">
        <f t="shared" si="24"/>
        <v>23906</v>
      </c>
      <c r="F40">
        <f t="shared" si="24"/>
        <v>13793</v>
      </c>
      <c r="G40">
        <f t="shared" si="24"/>
        <v>11911</v>
      </c>
      <c r="H40">
        <f t="shared" si="24"/>
        <v>16127</v>
      </c>
      <c r="I40">
        <f t="shared" si="24"/>
        <v>25918</v>
      </c>
      <c r="J40">
        <f t="shared" si="24"/>
        <v>13135</v>
      </c>
      <c r="K40">
        <f t="shared" si="24"/>
        <v>13137</v>
      </c>
      <c r="L40">
        <f t="shared" si="24"/>
        <v>14901</v>
      </c>
      <c r="M40">
        <f t="shared" si="24"/>
        <v>33579</v>
      </c>
      <c r="N40">
        <f t="shared" si="24"/>
        <v>28011</v>
      </c>
      <c r="O40">
        <f t="shared" si="24"/>
        <v>24369</v>
      </c>
      <c r="P40">
        <f t="shared" si="24"/>
        <v>23248</v>
      </c>
      <c r="Q40">
        <f t="shared" si="24"/>
        <v>41241</v>
      </c>
      <c r="R40">
        <f t="shared" si="24"/>
        <v>30139</v>
      </c>
      <c r="S40">
        <f t="shared" si="24"/>
        <v>23066</v>
      </c>
      <c r="T40">
        <f t="shared" si="24"/>
        <v>24657</v>
      </c>
      <c r="U40">
        <f t="shared" si="24"/>
        <v>35623</v>
      </c>
      <c r="V40">
        <f t="shared" si="24"/>
        <v>28382</v>
      </c>
      <c r="W40">
        <f t="shared" si="24"/>
        <v>22733</v>
      </c>
      <c r="Z40">
        <f>SUM(E40:H40)</f>
        <v>65737</v>
      </c>
      <c r="AA40">
        <f>SUM(I40:L40)</f>
        <v>67091</v>
      </c>
      <c r="AB40">
        <f>SUM(M40:P40)</f>
        <v>109207</v>
      </c>
      <c r="AC40">
        <f>SUM(Q40:T40)</f>
        <v>119103</v>
      </c>
    </row>
    <row r="41" spans="1:54" x14ac:dyDescent="0.2">
      <c r="A41" t="s">
        <v>383</v>
      </c>
      <c r="C41">
        <v>1765</v>
      </c>
      <c r="D41">
        <v>2441</v>
      </c>
      <c r="E41">
        <v>3941</v>
      </c>
      <c r="F41">
        <v>2232</v>
      </c>
      <c r="G41">
        <v>1867</v>
      </c>
      <c r="H41">
        <v>2441</v>
      </c>
      <c r="I41">
        <v>3682</v>
      </c>
      <c r="J41">
        <v>1886</v>
      </c>
      <c r="K41">
        <v>1884</v>
      </c>
      <c r="L41">
        <v>2228</v>
      </c>
      <c r="M41">
        <v>4824</v>
      </c>
      <c r="N41">
        <v>4381</v>
      </c>
      <c r="O41">
        <v>2625</v>
      </c>
      <c r="P41">
        <v>2697</v>
      </c>
      <c r="Q41">
        <v>6611</v>
      </c>
      <c r="R41">
        <v>5129</v>
      </c>
      <c r="S41">
        <v>3624</v>
      </c>
      <c r="T41">
        <v>3936</v>
      </c>
      <c r="U41">
        <v>5625</v>
      </c>
      <c r="V41">
        <v>4222</v>
      </c>
      <c r="W41">
        <v>2852</v>
      </c>
      <c r="Z41">
        <f>SUM(E41:H41)</f>
        <v>10481</v>
      </c>
      <c r="AA41">
        <f>SUM(I41:L41)</f>
        <v>9680</v>
      </c>
      <c r="AB41">
        <f>SUM(M41:P41)</f>
        <v>14527</v>
      </c>
      <c r="AC41">
        <f>SUM(Q41:T41)</f>
        <v>19300</v>
      </c>
    </row>
    <row r="42" spans="1:54" x14ac:dyDescent="0.2">
      <c r="A42" t="s">
        <v>384</v>
      </c>
      <c r="C42">
        <f t="shared" ref="C42:W42" si="25">C40-C41</f>
        <v>11519</v>
      </c>
      <c r="D42">
        <f t="shared" si="25"/>
        <v>13686</v>
      </c>
      <c r="E42">
        <f t="shared" si="25"/>
        <v>19965</v>
      </c>
      <c r="F42">
        <f t="shared" si="25"/>
        <v>11561</v>
      </c>
      <c r="G42">
        <f t="shared" si="25"/>
        <v>10044</v>
      </c>
      <c r="H42">
        <f t="shared" si="25"/>
        <v>13686</v>
      </c>
      <c r="I42">
        <f t="shared" si="25"/>
        <v>22236</v>
      </c>
      <c r="J42">
        <f t="shared" si="25"/>
        <v>11249</v>
      </c>
      <c r="K42">
        <f t="shared" si="25"/>
        <v>11253</v>
      </c>
      <c r="L42">
        <f t="shared" si="25"/>
        <v>12673</v>
      </c>
      <c r="M42">
        <f t="shared" si="25"/>
        <v>28755</v>
      </c>
      <c r="N42">
        <f t="shared" si="25"/>
        <v>23630</v>
      </c>
      <c r="O42">
        <f t="shared" si="25"/>
        <v>21744</v>
      </c>
      <c r="P42">
        <f t="shared" si="25"/>
        <v>20551</v>
      </c>
      <c r="Q42">
        <f t="shared" si="25"/>
        <v>34630</v>
      </c>
      <c r="R42">
        <f t="shared" si="25"/>
        <v>25010</v>
      </c>
      <c r="S42">
        <f t="shared" si="25"/>
        <v>19442</v>
      </c>
      <c r="T42">
        <f t="shared" si="25"/>
        <v>20721</v>
      </c>
      <c r="U42">
        <f t="shared" si="25"/>
        <v>29998</v>
      </c>
      <c r="V42">
        <f t="shared" si="25"/>
        <v>24160</v>
      </c>
      <c r="W42">
        <f t="shared" si="25"/>
        <v>19881</v>
      </c>
    </row>
    <row r="45" spans="1:54" x14ac:dyDescent="0.2">
      <c r="A45" t="s">
        <v>385</v>
      </c>
      <c r="E45">
        <v>3395</v>
      </c>
      <c r="F45">
        <v>6435</v>
      </c>
      <c r="G45">
        <v>9368</v>
      </c>
      <c r="H45">
        <v>12547</v>
      </c>
      <c r="I45">
        <v>2816</v>
      </c>
      <c r="J45">
        <v>5602</v>
      </c>
      <c r="K45">
        <v>8354</v>
      </c>
      <c r="L45">
        <v>11056</v>
      </c>
      <c r="M45">
        <v>2666</v>
      </c>
      <c r="N45">
        <v>5463</v>
      </c>
      <c r="O45">
        <v>8295</v>
      </c>
      <c r="P45">
        <v>11284</v>
      </c>
      <c r="Q45">
        <v>2697</v>
      </c>
      <c r="R45">
        <v>5434</v>
      </c>
      <c r="S45">
        <v>8239</v>
      </c>
      <c r="T45">
        <v>11104</v>
      </c>
      <c r="U45">
        <v>2916</v>
      </c>
      <c r="V45">
        <v>5814</v>
      </c>
      <c r="W45">
        <v>8866</v>
      </c>
    </row>
    <row r="46" spans="1:54" x14ac:dyDescent="0.2">
      <c r="A46" t="s">
        <v>386</v>
      </c>
      <c r="E46">
        <v>1559</v>
      </c>
      <c r="F46">
        <v>3073</v>
      </c>
      <c r="G46">
        <v>4569</v>
      </c>
      <c r="H46">
        <v>6068</v>
      </c>
      <c r="I46">
        <v>1710</v>
      </c>
      <c r="J46">
        <v>3407</v>
      </c>
      <c r="K46">
        <v>5105</v>
      </c>
      <c r="L46">
        <v>6829</v>
      </c>
      <c r="M46">
        <v>2020</v>
      </c>
      <c r="N46">
        <v>4001</v>
      </c>
      <c r="O46">
        <v>5961</v>
      </c>
      <c r="P46">
        <v>7906</v>
      </c>
      <c r="Q46">
        <v>2265</v>
      </c>
      <c r="R46">
        <v>4517</v>
      </c>
      <c r="S46">
        <v>6760</v>
      </c>
      <c r="T46">
        <v>9038</v>
      </c>
      <c r="U46">
        <v>2905</v>
      </c>
      <c r="V46">
        <v>5591</v>
      </c>
      <c r="W46">
        <v>8208</v>
      </c>
    </row>
    <row r="47" spans="1:54" x14ac:dyDescent="0.2">
      <c r="A47" t="s">
        <v>387</v>
      </c>
      <c r="E47">
        <v>1318</v>
      </c>
      <c r="F47">
        <v>1037</v>
      </c>
      <c r="G47">
        <v>2325</v>
      </c>
      <c r="H47">
        <v>2036</v>
      </c>
      <c r="I47">
        <v>1377</v>
      </c>
      <c r="J47">
        <v>1136</v>
      </c>
      <c r="K47">
        <v>2804</v>
      </c>
      <c r="L47">
        <v>2754</v>
      </c>
      <c r="M47">
        <v>2861</v>
      </c>
      <c r="N47">
        <v>3160</v>
      </c>
      <c r="O47">
        <v>5855</v>
      </c>
      <c r="P47">
        <v>6556</v>
      </c>
      <c r="Q47">
        <v>2888</v>
      </c>
      <c r="R47">
        <v>3218</v>
      </c>
      <c r="S47">
        <v>5915</v>
      </c>
      <c r="T47">
        <v>6223</v>
      </c>
      <c r="U47">
        <v>2316</v>
      </c>
      <c r="V47">
        <v>2734</v>
      </c>
      <c r="W47">
        <v>5119</v>
      </c>
    </row>
    <row r="48" spans="1:54" x14ac:dyDescent="0.2">
      <c r="A48" t="s">
        <v>118</v>
      </c>
      <c r="E48">
        <v>3355</v>
      </c>
      <c r="F48">
        <v>5718</v>
      </c>
      <c r="G48">
        <v>7718</v>
      </c>
      <c r="H48">
        <v>10495</v>
      </c>
      <c r="I48">
        <v>2107</v>
      </c>
      <c r="J48">
        <v>3960</v>
      </c>
      <c r="K48">
        <v>5525</v>
      </c>
      <c r="L48">
        <v>7309</v>
      </c>
      <c r="M48">
        <v>3500</v>
      </c>
      <c r="N48">
        <v>5769</v>
      </c>
      <c r="O48">
        <v>7862</v>
      </c>
      <c r="P48">
        <v>11085</v>
      </c>
      <c r="Q48">
        <v>2803</v>
      </c>
      <c r="R48">
        <v>5317</v>
      </c>
      <c r="S48">
        <v>7419</v>
      </c>
      <c r="T48">
        <v>10708</v>
      </c>
      <c r="U48">
        <v>3787</v>
      </c>
      <c r="V48">
        <v>6703</v>
      </c>
      <c r="W48">
        <v>8796</v>
      </c>
    </row>
    <row r="49" spans="1:29" x14ac:dyDescent="0.2">
      <c r="A49" t="s">
        <v>388</v>
      </c>
      <c r="E49">
        <v>3568</v>
      </c>
      <c r="F49">
        <v>7011</v>
      </c>
      <c r="G49">
        <v>10640</v>
      </c>
      <c r="H49">
        <v>14119</v>
      </c>
      <c r="I49">
        <v>3539</v>
      </c>
      <c r="J49">
        <v>6914</v>
      </c>
      <c r="K49">
        <v>10570</v>
      </c>
      <c r="L49">
        <v>14081</v>
      </c>
      <c r="M49">
        <v>3613</v>
      </c>
      <c r="N49">
        <v>7060</v>
      </c>
      <c r="O49">
        <v>10827</v>
      </c>
      <c r="P49">
        <v>14467</v>
      </c>
      <c r="Q49">
        <v>3732</v>
      </c>
      <c r="R49">
        <v>7327</v>
      </c>
      <c r="S49">
        <v>11138</v>
      </c>
      <c r="T49">
        <v>14841</v>
      </c>
      <c r="U49">
        <v>3768</v>
      </c>
      <c r="V49">
        <v>7418</v>
      </c>
      <c r="W49">
        <v>11267</v>
      </c>
    </row>
    <row r="50" spans="1:29" x14ac:dyDescent="0.2">
      <c r="A50" t="s">
        <v>389</v>
      </c>
      <c r="E50">
        <v>8796</v>
      </c>
      <c r="F50">
        <v>32498</v>
      </c>
      <c r="G50">
        <v>49463</v>
      </c>
      <c r="H50">
        <v>66897</v>
      </c>
      <c r="I50">
        <v>20706</v>
      </c>
      <c r="J50">
        <v>39280</v>
      </c>
      <c r="K50">
        <v>55171</v>
      </c>
      <c r="L50">
        <v>72358</v>
      </c>
      <c r="M50">
        <v>24775</v>
      </c>
      <c r="N50">
        <v>43323</v>
      </c>
      <c r="O50">
        <v>66223</v>
      </c>
      <c r="P50">
        <v>85971</v>
      </c>
      <c r="Q50">
        <v>20478</v>
      </c>
      <c r="R50">
        <v>43109</v>
      </c>
      <c r="S50">
        <v>64974</v>
      </c>
      <c r="T50">
        <v>89402</v>
      </c>
      <c r="U50">
        <v>19475</v>
      </c>
      <c r="V50">
        <v>39069</v>
      </c>
      <c r="W50">
        <v>56547</v>
      </c>
    </row>
    <row r="52" spans="1:29" x14ac:dyDescent="0.2">
      <c r="A52" t="s">
        <v>385</v>
      </c>
      <c r="E52">
        <f>E45</f>
        <v>3395</v>
      </c>
      <c r="F52">
        <f t="shared" ref="F52" si="26">F45-E45</f>
        <v>3040</v>
      </c>
      <c r="G52">
        <f t="shared" ref="G52" si="27">G45-F45</f>
        <v>2933</v>
      </c>
      <c r="H52">
        <f t="shared" ref="H52" si="28">H45-G45</f>
        <v>3179</v>
      </c>
      <c r="I52">
        <f>I45</f>
        <v>2816</v>
      </c>
      <c r="J52">
        <f t="shared" ref="J52:K52" si="29">J45-I45</f>
        <v>2786</v>
      </c>
      <c r="K52">
        <f t="shared" si="29"/>
        <v>2752</v>
      </c>
      <c r="L52">
        <f>L45-K45</f>
        <v>2702</v>
      </c>
      <c r="M52">
        <f>M45</f>
        <v>2666</v>
      </c>
      <c r="N52">
        <f>N45-M45</f>
        <v>2797</v>
      </c>
      <c r="O52">
        <f>O45-N45</f>
        <v>2832</v>
      </c>
      <c r="P52">
        <f>P45-O45</f>
        <v>2989</v>
      </c>
      <c r="Q52">
        <f>Q45</f>
        <v>2697</v>
      </c>
      <c r="R52">
        <f>R45-Q45</f>
        <v>2737</v>
      </c>
      <c r="S52">
        <f>S45-R45</f>
        <v>2805</v>
      </c>
      <c r="T52">
        <f>T45-S45</f>
        <v>2865</v>
      </c>
      <c r="U52">
        <f>U45</f>
        <v>2916</v>
      </c>
      <c r="V52">
        <f>V45-U45</f>
        <v>2898</v>
      </c>
      <c r="W52">
        <f>W45-V45</f>
        <v>3052</v>
      </c>
      <c r="X52">
        <v>3262</v>
      </c>
      <c r="Z52">
        <f>SUM(E52:H52)</f>
        <v>12547</v>
      </c>
      <c r="AA52">
        <f>SUM(I52:L52)</f>
        <v>11056</v>
      </c>
      <c r="AB52">
        <f>SUM(M52:P52)</f>
        <v>11284</v>
      </c>
      <c r="AC52">
        <f>SUM(Q52:T52)</f>
        <v>11104</v>
      </c>
    </row>
    <row r="53" spans="1:29" x14ac:dyDescent="0.2">
      <c r="A53" t="s">
        <v>386</v>
      </c>
      <c r="E53">
        <f t="shared" ref="E53:E57" si="30">E46</f>
        <v>1559</v>
      </c>
      <c r="F53">
        <f t="shared" ref="F53" si="31">F46-E46</f>
        <v>1514</v>
      </c>
      <c r="G53">
        <f t="shared" ref="G53" si="32">G46-F46</f>
        <v>1496</v>
      </c>
      <c r="H53">
        <f t="shared" ref="H53" si="33">H46-G46</f>
        <v>1499</v>
      </c>
      <c r="I53">
        <f t="shared" ref="I53:I57" si="34">I46</f>
        <v>1710</v>
      </c>
      <c r="J53">
        <f t="shared" ref="J53:L57" si="35">J46-I46</f>
        <v>1697</v>
      </c>
      <c r="K53">
        <f t="shared" si="35"/>
        <v>1698</v>
      </c>
      <c r="L53">
        <f t="shared" si="35"/>
        <v>1724</v>
      </c>
      <c r="M53">
        <f t="shared" ref="M53:M57" si="36">M46</f>
        <v>2020</v>
      </c>
      <c r="N53">
        <f t="shared" ref="N53:P53" si="37">N46-M46</f>
        <v>1981</v>
      </c>
      <c r="O53">
        <f t="shared" si="37"/>
        <v>1960</v>
      </c>
      <c r="P53">
        <f t="shared" si="37"/>
        <v>1945</v>
      </c>
      <c r="Q53">
        <f t="shared" ref="Q53:Q57" si="38">Q46</f>
        <v>2265</v>
      </c>
      <c r="R53">
        <f t="shared" ref="R53:T53" si="39">R46-Q46</f>
        <v>2252</v>
      </c>
      <c r="S53">
        <f t="shared" si="39"/>
        <v>2243</v>
      </c>
      <c r="T53">
        <f t="shared" si="39"/>
        <v>2278</v>
      </c>
      <c r="U53">
        <f t="shared" ref="U53:U57" si="40">U46</f>
        <v>2905</v>
      </c>
      <c r="V53">
        <f t="shared" ref="V53:W53" si="41">V46-U46</f>
        <v>2686</v>
      </c>
      <c r="W53">
        <f t="shared" si="41"/>
        <v>2617</v>
      </c>
      <c r="Z53">
        <f t="shared" ref="Z53:Z57" si="42">SUM(E53:H53)</f>
        <v>6068</v>
      </c>
      <c r="AA53">
        <f t="shared" ref="AA53:AA57" si="43">SUM(I53:L53)</f>
        <v>6829</v>
      </c>
      <c r="AB53">
        <f t="shared" ref="AB53:AB57" si="44">SUM(M53:P53)</f>
        <v>7906</v>
      </c>
      <c r="AC53">
        <f t="shared" ref="AC53:AC57" si="45">SUM(Q53:T53)</f>
        <v>9038</v>
      </c>
    </row>
    <row r="54" spans="1:29" x14ac:dyDescent="0.2">
      <c r="A54" t="s">
        <v>387</v>
      </c>
      <c r="E54">
        <f t="shared" si="30"/>
        <v>1318</v>
      </c>
      <c r="F54">
        <f t="shared" ref="F54" si="46">F47-E47</f>
        <v>-281</v>
      </c>
      <c r="G54">
        <f t="shared" ref="G54" si="47">G47-F47</f>
        <v>1288</v>
      </c>
      <c r="H54">
        <f t="shared" ref="H54" si="48">H47-G47</f>
        <v>-289</v>
      </c>
      <c r="I54">
        <f t="shared" si="34"/>
        <v>1377</v>
      </c>
      <c r="J54">
        <f t="shared" si="35"/>
        <v>-241</v>
      </c>
      <c r="K54">
        <f t="shared" si="35"/>
        <v>1668</v>
      </c>
      <c r="L54">
        <f t="shared" si="35"/>
        <v>-50</v>
      </c>
      <c r="M54">
        <f t="shared" si="36"/>
        <v>2861</v>
      </c>
      <c r="N54">
        <f t="shared" ref="N54:P54" si="49">N47-M47</f>
        <v>299</v>
      </c>
      <c r="O54">
        <f t="shared" si="49"/>
        <v>2695</v>
      </c>
      <c r="P54">
        <f t="shared" si="49"/>
        <v>701</v>
      </c>
      <c r="Q54">
        <f t="shared" si="38"/>
        <v>2888</v>
      </c>
      <c r="R54">
        <f t="shared" ref="R54:T54" si="50">R47-Q47</f>
        <v>330</v>
      </c>
      <c r="S54">
        <f t="shared" si="50"/>
        <v>2697</v>
      </c>
      <c r="T54">
        <f t="shared" si="50"/>
        <v>308</v>
      </c>
      <c r="U54">
        <f t="shared" si="40"/>
        <v>2316</v>
      </c>
      <c r="V54">
        <f t="shared" ref="V54:W54" si="51">V47-U47</f>
        <v>418</v>
      </c>
      <c r="W54">
        <f t="shared" si="51"/>
        <v>2385</v>
      </c>
      <c r="Z54">
        <f t="shared" si="42"/>
        <v>2036</v>
      </c>
      <c r="AA54">
        <f t="shared" si="43"/>
        <v>2754</v>
      </c>
      <c r="AB54">
        <f t="shared" si="44"/>
        <v>6556</v>
      </c>
      <c r="AC54">
        <f t="shared" si="45"/>
        <v>6223</v>
      </c>
    </row>
    <row r="55" spans="1:29" x14ac:dyDescent="0.2">
      <c r="A55" t="s">
        <v>118</v>
      </c>
      <c r="E55">
        <f t="shared" si="30"/>
        <v>3355</v>
      </c>
      <c r="F55">
        <f t="shared" ref="F55" si="52">F48-E48</f>
        <v>2363</v>
      </c>
      <c r="G55">
        <f t="shared" ref="G55" si="53">G48-F48</f>
        <v>2000</v>
      </c>
      <c r="H55">
        <f t="shared" ref="H55" si="54">H48-G48</f>
        <v>2777</v>
      </c>
      <c r="I55">
        <f t="shared" si="34"/>
        <v>2107</v>
      </c>
      <c r="J55">
        <f t="shared" si="35"/>
        <v>1853</v>
      </c>
      <c r="K55">
        <f t="shared" si="35"/>
        <v>1565</v>
      </c>
      <c r="L55">
        <f t="shared" si="35"/>
        <v>1784</v>
      </c>
      <c r="M55">
        <f t="shared" si="36"/>
        <v>3500</v>
      </c>
      <c r="N55">
        <f t="shared" ref="N55:P55" si="55">N48-M48</f>
        <v>2269</v>
      </c>
      <c r="O55">
        <f t="shared" si="55"/>
        <v>2093</v>
      </c>
      <c r="P55">
        <f t="shared" si="55"/>
        <v>3223</v>
      </c>
      <c r="Q55">
        <f t="shared" si="38"/>
        <v>2803</v>
      </c>
      <c r="R55">
        <f t="shared" ref="R55:T55" si="56">R48-Q48</f>
        <v>2514</v>
      </c>
      <c r="S55">
        <f t="shared" si="56"/>
        <v>2102</v>
      </c>
      <c r="T55">
        <f t="shared" si="56"/>
        <v>3289</v>
      </c>
      <c r="U55">
        <f t="shared" si="40"/>
        <v>3787</v>
      </c>
      <c r="V55">
        <f t="shared" ref="V55:W55" si="57">V48-U48</f>
        <v>2916</v>
      </c>
      <c r="W55">
        <f t="shared" si="57"/>
        <v>2093</v>
      </c>
      <c r="Z55">
        <f t="shared" si="42"/>
        <v>10495</v>
      </c>
      <c r="AA55">
        <f t="shared" si="43"/>
        <v>7309</v>
      </c>
      <c r="AB55">
        <f t="shared" si="44"/>
        <v>11085</v>
      </c>
      <c r="AC55">
        <f t="shared" si="45"/>
        <v>10708</v>
      </c>
    </row>
    <row r="56" spans="1:29" x14ac:dyDescent="0.2">
      <c r="A56" t="s">
        <v>388</v>
      </c>
      <c r="E56">
        <f t="shared" si="30"/>
        <v>3568</v>
      </c>
      <c r="F56">
        <f t="shared" ref="F56" si="58">F49-E49</f>
        <v>3443</v>
      </c>
      <c r="G56">
        <f t="shared" ref="G56" si="59">G49-F49</f>
        <v>3629</v>
      </c>
      <c r="H56">
        <f t="shared" ref="H56" si="60">H49-G49</f>
        <v>3479</v>
      </c>
      <c r="I56">
        <f t="shared" si="34"/>
        <v>3539</v>
      </c>
      <c r="J56">
        <f t="shared" si="35"/>
        <v>3375</v>
      </c>
      <c r="K56">
        <f t="shared" si="35"/>
        <v>3656</v>
      </c>
      <c r="L56">
        <f t="shared" si="35"/>
        <v>3511</v>
      </c>
      <c r="M56">
        <f t="shared" si="36"/>
        <v>3613</v>
      </c>
      <c r="N56">
        <f t="shared" ref="N56:P56" si="61">N49-M49</f>
        <v>3447</v>
      </c>
      <c r="O56">
        <f t="shared" si="61"/>
        <v>3767</v>
      </c>
      <c r="P56">
        <f t="shared" si="61"/>
        <v>3640</v>
      </c>
      <c r="Q56">
        <f t="shared" si="38"/>
        <v>3732</v>
      </c>
      <c r="R56">
        <f t="shared" ref="R56:T56" si="62">R49-Q49</f>
        <v>3595</v>
      </c>
      <c r="S56">
        <f t="shared" si="62"/>
        <v>3811</v>
      </c>
      <c r="T56">
        <f t="shared" si="62"/>
        <v>3703</v>
      </c>
      <c r="U56">
        <f t="shared" si="40"/>
        <v>3768</v>
      </c>
      <c r="V56">
        <f t="shared" ref="V56:W56" si="63">V49-U49</f>
        <v>3650</v>
      </c>
      <c r="W56">
        <f t="shared" si="63"/>
        <v>3849</v>
      </c>
      <c r="Z56">
        <f t="shared" si="42"/>
        <v>14119</v>
      </c>
      <c r="AA56">
        <f t="shared" si="43"/>
        <v>14081</v>
      </c>
      <c r="AB56">
        <f t="shared" si="44"/>
        <v>14467</v>
      </c>
      <c r="AC56">
        <f t="shared" si="45"/>
        <v>14841</v>
      </c>
    </row>
    <row r="57" spans="1:29" x14ac:dyDescent="0.2">
      <c r="A57" t="s">
        <v>389</v>
      </c>
      <c r="E57">
        <f t="shared" si="30"/>
        <v>8796</v>
      </c>
      <c r="F57">
        <f t="shared" ref="F57" si="64">F50-E50</f>
        <v>23702</v>
      </c>
      <c r="G57">
        <f t="shared" ref="G57" si="65">G50-F50</f>
        <v>16965</v>
      </c>
      <c r="H57">
        <f t="shared" ref="H57" si="66">H50-G50</f>
        <v>17434</v>
      </c>
      <c r="I57">
        <f t="shared" si="34"/>
        <v>20706</v>
      </c>
      <c r="J57">
        <f>J50-I50</f>
        <v>18574</v>
      </c>
      <c r="K57">
        <f t="shared" si="35"/>
        <v>15891</v>
      </c>
      <c r="L57">
        <f t="shared" si="35"/>
        <v>17187</v>
      </c>
      <c r="M57">
        <f t="shared" si="36"/>
        <v>24775</v>
      </c>
      <c r="N57">
        <f t="shared" ref="N57:P57" si="67">N50-M50</f>
        <v>18548</v>
      </c>
      <c r="O57">
        <f t="shared" si="67"/>
        <v>22900</v>
      </c>
      <c r="P57">
        <f t="shared" si="67"/>
        <v>19748</v>
      </c>
      <c r="Q57">
        <f t="shared" si="38"/>
        <v>20478</v>
      </c>
      <c r="R57">
        <f t="shared" ref="R57:T57" si="68">R50-Q50</f>
        <v>22631</v>
      </c>
      <c r="S57">
        <f t="shared" si="68"/>
        <v>21865</v>
      </c>
      <c r="T57">
        <f t="shared" si="68"/>
        <v>24428</v>
      </c>
      <c r="U57">
        <f t="shared" si="40"/>
        <v>19475</v>
      </c>
      <c r="V57">
        <f t="shared" ref="V57:W57" si="69">V50-U50</f>
        <v>19594</v>
      </c>
      <c r="W57">
        <f t="shared" si="69"/>
        <v>17478</v>
      </c>
      <c r="Z57">
        <f t="shared" si="42"/>
        <v>66897</v>
      </c>
      <c r="AA57">
        <f t="shared" si="43"/>
        <v>72358</v>
      </c>
      <c r="AB57">
        <f t="shared" si="44"/>
        <v>85971</v>
      </c>
      <c r="AC57">
        <f t="shared" si="45"/>
        <v>89402</v>
      </c>
    </row>
    <row r="63" spans="1:29" x14ac:dyDescent="0.2">
      <c r="J63">
        <v>-1</v>
      </c>
    </row>
  </sheetData>
  <phoneticPr fontId="7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Props1.xml><?xml version="1.0" encoding="utf-8"?>
<ds:datastoreItem xmlns:ds="http://schemas.openxmlformats.org/officeDocument/2006/customXml" ds:itemID="{6206C075-38B2-4794-9284-163FF9CCDD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ba73c8a-1af7-4183-b158-1cd1291da2b6"/>
    <ds:schemaRef ds:uri="8c89d0e4-a8d9-42ba-a773-c59a56f772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7FB3ED4-AE09-4A5F-AFD9-51C7AB84015B}">
  <ds:schemaRefs>
    <ds:schemaRef ds:uri="http://schemas.microsoft.com/sharepoint/v3/contenttype/forms"/>
  </ds:schemaRefs>
</ds:datastoreItem>
</file>

<file path=customXml/itemProps3.xml><?xml version="1.0" encoding="utf-8"?>
<ds:datastoreItem xmlns:ds="http://schemas.openxmlformats.org/officeDocument/2006/customXml" ds:itemID="{D4F95F15-C902-4F29-BCC3-173A7BFB5290}">
  <ds:schemaRefs>
    <ds:schemaRef ds:uri="8c89d0e4-a8d9-42ba-a773-c59a56f7723e"/>
    <ds:schemaRef ds:uri="http://purl.org/dc/elements/1.1/"/>
    <ds:schemaRef ds:uri="http://schemas.microsoft.com/office/2006/documentManagement/types"/>
    <ds:schemaRef ds:uri="http://schemas.microsoft.com/office/infopath/2007/PartnerControls"/>
    <ds:schemaRef ds:uri="http://purl.org/dc/terms/"/>
    <ds:schemaRef ds:uri="http://purl.org/dc/dcmitype/"/>
    <ds:schemaRef ds:uri="http://schemas.openxmlformats.org/package/2006/metadata/core-properties"/>
    <ds:schemaRef ds:uri="6ba73c8a-1af7-4183-b158-1cd1291da2b6"/>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OP</vt:lpstr>
      <vt:lpstr>Segments</vt:lpstr>
      <vt:lpstr>COVID-19 impact</vt:lpstr>
      <vt:lpstr>Peers</vt:lpstr>
      <vt:lpstr>Acuerdo</vt:lpstr>
      <vt:lpstr>ESG</vt:lpstr>
      <vt:lpstr>DCF</vt:lpstr>
      <vt:lpstr>DCFF</vt:lpstr>
      <vt:lpstr>Cifras_en_Millones</vt:lpstr>
      <vt:lpstr>Cifras_Originales</vt:lpstr>
      <vt:lpstr>Q</vt:lpstr>
      <vt:lpstr>Cifras_en_Millones!Print_Area</vt:lpstr>
      <vt:lpstr>OP!Print_Area</vt:lpstr>
    </vt:vector>
  </TitlesOfParts>
  <Company>HIL CONSULTORES, S.C.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ABRAHAM E. HERNANDEZ P.</dc:creator>
  <cp:lastModifiedBy>João Pedro Botelho Pereira de Rodrigues Ferreira</cp:lastModifiedBy>
  <cp:lastPrinted>2019-08-19T22:45:59Z</cp:lastPrinted>
  <dcterms:created xsi:type="dcterms:W3CDTF">2000-04-19T14:51:26Z</dcterms:created>
  <dcterms:modified xsi:type="dcterms:W3CDTF">2025-04-19T23:59:36Z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MediaServiceImageTags">
    <vt:lpwstr/>
  </property>
</Properties>
</file>