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Researches/24-25/4th cycle/Team 6 (José Lima)/"/>
    </mc:Choice>
  </mc:AlternateContent>
  <xr:revisionPtr revIDLastSave="66" documentId="11_48746C17380F9C8025B81BB68B390096CE282C3A" xr6:coauthVersionLast="47" xr6:coauthVersionMax="47" xr10:uidLastSave="{A5DF3E4A-C038-4818-A44E-19707228DA2A}"/>
  <bookViews>
    <workbookView xWindow="-105" yWindow="0" windowWidth="14610" windowHeight="16305" tabRatio="644" xr2:uid="{00000000-000D-0000-FFFF-FFFF00000000}"/>
  </bookViews>
  <sheets>
    <sheet name="OP" sheetId="1" r:id="rId1"/>
    <sheet name="COVID-19 impact" sheetId="12" state="hidden" r:id="rId2"/>
    <sheet name="Peers" sheetId="10" r:id="rId3"/>
    <sheet name="Acuerdo" sheetId="11" state="hidden" r:id="rId4"/>
    <sheet name="ESG" sheetId="7" r:id="rId5"/>
    <sheet name="Ratios" sheetId="13" r:id="rId6"/>
    <sheet name="DCF" sheetId="4" state="hidden" r:id="rId7"/>
  </sheets>
  <externalReferences>
    <externalReference r:id="rId8"/>
  </externalReferences>
  <definedNames>
    <definedName name="Benchmark">[1]ControlsH!$B$3</definedName>
    <definedName name="BestConsOv">#REF!</definedName>
    <definedName name="Broker_Name">OFFSET(#REF!,0,0,[1]ControlsH!$E$5, 1)</definedName>
    <definedName name="calCODE">[1]ControlsH!$C$4</definedName>
    <definedName name="Chart_Benchmark_100_Size">OFFSET(#REF!, 0, 0, [1]ControlsH!$E$3, 1)</definedName>
    <definedName name="Chart_Date_Size">OFFSET(#REF!, 0, 0, [1]ControlsH!$E$3, 1)</definedName>
    <definedName name="Chart_Date_VAL1_Size">OFFSET(#REF!, 0, 0, [1]ControlsH!$I$3, 1)</definedName>
    <definedName name="Chart_Date_VAL2_Size">OFFSET(#REF!, 0, 0, [1]ControlsH!$I$5, 1)</definedName>
    <definedName name="Chart_Peer_100_Size">OFFSET(#REF!, 0, 0, [1]ControlsH!$E$3, 1)</definedName>
    <definedName name="Chart_Price_100_Size">OFFSET(#REF!, 0, 0, [1]ControlsH!$E$3, 1)</definedName>
    <definedName name="Chart_Price_Size">OFFSET(#REF!, 0, 0, [1]ControlsH!$E$3, 1)</definedName>
    <definedName name="Chart_VAL1_FY1_Size">OFFSET(#REF!, 0, 0, [1]ControlsH!$F$3, 1)</definedName>
    <definedName name="Chart_VAL1_FY2_Size">OFFSET(#REF!, 0, 0, [1]ControlsH!$G$3, 1)</definedName>
    <definedName name="Chart_VAL1_FY3_Size">OFFSET(#REF!, 0, 0, [1]ControlsH!$H$3, 1)</definedName>
    <definedName name="Chart_VAL2_FY1_Size">OFFSET(#REF!, 0, 0, [1]ControlsH!$F$5, 1)</definedName>
    <definedName name="Chart_VAL2_FY2_Size">OFFSET(#REF!, 0, 0, [1]ControlsH!$G$5, 1)</definedName>
    <definedName name="Chart_VAL2_FY3_Size">OFFSET(#REF!, 0, 0, [1]ControlsH!$H$5, 1)</definedName>
    <definedName name="Chart_Volume_Size">OFFSET(#REF!, 0, 0, [1]ControlsH!$E$3, 1)</definedName>
    <definedName name="compNAME">[1]ControlsH!$B$6</definedName>
    <definedName name="CURRENCY">[1]ControlsH!$B$9</definedName>
    <definedName name="currPRICE">[1]Overview!$E$19</definedName>
    <definedName name="custBenchmark">[1]Overview!$C$9</definedName>
    <definedName name="custED">#REF!</definedName>
    <definedName name="custSD">#REF!</definedName>
    <definedName name="dayCODE">[1]ControlsH!$C$5</definedName>
    <definedName name="ED">[1]ControlsH!$B$5</definedName>
    <definedName name="ESTBrokersItem">#REF!</definedName>
    <definedName name="ESTBrokersPeriod">#REF!</definedName>
    <definedName name="ESTDetailBroker">#REF!</definedName>
    <definedName name="ESTDetailBroker2">#REF!</definedName>
    <definedName name="ESTDetailPeriod">#REF!</definedName>
    <definedName name="EstDetPerO">#REF!</definedName>
    <definedName name="EstDetPerT">#REF!</definedName>
    <definedName name="ExternalData_1" localSheetId="5" hidden="1">Ratios!$A$1:$O$20</definedName>
    <definedName name="FinancialsPeriod">#REF!</definedName>
    <definedName name="fundTICKER">[1]ControlsH!$B$15</definedName>
    <definedName name="GraphValRatio1">#REF!</definedName>
    <definedName name="GraphValRatio2">#REF!</definedName>
    <definedName name="Index1">#REF!</definedName>
    <definedName name="Lang">[1]Overview!$D$11</definedName>
    <definedName name="newCrncy">[1]ControlsH!$B$21:$B$199</definedName>
    <definedName name="newEstBrokerPeriod">#REF!</definedName>
    <definedName name="newEstBrokersItem">#REF!</definedName>
    <definedName name="newEstDetailBroker">#REF!</definedName>
    <definedName name="newEstDetailBroker2">#REF!</definedName>
    <definedName name="newEstDetailPeriod">#REF!</definedName>
    <definedName name="newFinancialsPeriod">#REF!</definedName>
    <definedName name="newOverviewCon">#REF!</definedName>
    <definedName name="newOverviewYear">#REF!</definedName>
    <definedName name="newOwners">#REF!</definedName>
    <definedName name="newPeersRatio">#REF!</definedName>
    <definedName name="newPeriod">#REF!</definedName>
    <definedName name="newValRatio1">#REF!</definedName>
    <definedName name="newValRatio2">#REF!</definedName>
    <definedName name="OverviewValRatioPeriod">[1]Overview!$D$30</definedName>
    <definedName name="PeerDate1">[1]Peers!$S$11</definedName>
    <definedName name="peerHist1">#REF!</definedName>
    <definedName name="PeerIndex">[1]ControlsH!$F$35:$F$36</definedName>
    <definedName name="Peers">OFFSET([1]Peers!$C$18,0,0,MAX(COUNTA([1]Peers!$C$18:$C$47),1),1)</definedName>
    <definedName name="peersWEIGHT">[1]ControlsH!$B$13</definedName>
    <definedName name="PERIODICITY">[1]ControlsH!$C$3</definedName>
    <definedName name="_xlnm.Print_Area" localSheetId="0">OP!$A$1:$M$51</definedName>
    <definedName name="salesGEOG">OFFSET([1]Overview!$W$16, 0, 0,#REF!, 1)</definedName>
    <definedName name="salesPROD">OFFSET([1]Overview!$Q$16, 0, 0,#REF!, 1)</definedName>
    <definedName name="SD">[1]ControlsH!$B$4</definedName>
    <definedName name="shBroker1">#REF!</definedName>
    <definedName name="shBrokerRange">#REF!</definedName>
    <definedName name="shOverviewYear">#REF!</definedName>
    <definedName name="shPeer1">#REF!</definedName>
    <definedName name="shPeerRange">#REF!</definedName>
    <definedName name="shPeersDate1">#REF!</definedName>
    <definedName name="startingDate">#REF!</definedName>
    <definedName name="Target_Price">OFFSET(#REF!,0,0,[1]ControlsH!$E$5, 1)</definedName>
    <definedName name="TICKER">[1]Overview!$D$8</definedName>
    <definedName name="Top20OwnerType">[1]Owners!$E$24</definedName>
    <definedName name="ViewConsolidatedOrParent">[1]Overview!$O$13</definedName>
    <definedName name="ViewYear">[1]Overview!$U$13</definedName>
    <definedName name="YTDdt">[1]ControlsH!$G$34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10" l="1"/>
  <c r="E18" i="10"/>
  <c r="E6" i="10"/>
  <c r="D6" i="10"/>
  <c r="C6" i="10"/>
  <c r="B14" i="10"/>
  <c r="B11" i="10"/>
  <c r="B16" i="10"/>
  <c r="C16" i="10"/>
  <c r="D16" i="10"/>
  <c r="E16" i="10"/>
  <c r="B17" i="10"/>
  <c r="C11" i="10"/>
  <c r="D11" i="10"/>
  <c r="E11" i="10"/>
  <c r="B9" i="10"/>
  <c r="C9" i="10"/>
  <c r="D9" i="10"/>
  <c r="B10" i="10"/>
  <c r="C10" i="10"/>
  <c r="B6" i="10"/>
  <c r="H24" i="7"/>
  <c r="E20" i="10"/>
  <c r="E4" i="10"/>
  <c r="D20" i="10"/>
  <c r="D4" i="10"/>
  <c r="D5" i="10" s="1"/>
  <c r="C21" i="10"/>
  <c r="C20" i="10"/>
  <c r="C4" i="10"/>
  <c r="C5" i="10" l="1"/>
  <c r="E5" i="10"/>
  <c r="L29" i="1"/>
  <c r="K29" i="1"/>
  <c r="I38" i="1"/>
  <c r="I37" i="1"/>
  <c r="I36" i="1"/>
  <c r="I35" i="1"/>
  <c r="I34" i="1"/>
  <c r="I33" i="1"/>
  <c r="I32" i="1"/>
  <c r="I31" i="1"/>
  <c r="I30" i="1"/>
  <c r="I29" i="1"/>
  <c r="I28" i="1"/>
  <c r="I27" i="1"/>
  <c r="I26" i="1"/>
  <c r="B5" i="10"/>
  <c r="B4" i="10"/>
  <c r="T27" i="1" l="1"/>
  <c r="S36" i="1"/>
  <c r="T36" i="1"/>
  <c r="S37" i="1"/>
  <c r="T37" i="1"/>
  <c r="H39" i="1"/>
  <c r="I39" i="1"/>
  <c r="H42" i="1"/>
  <c r="I42" i="1"/>
  <c r="C42" i="1"/>
  <c r="I41" i="1"/>
  <c r="H41" i="1"/>
  <c r="M26" i="1"/>
  <c r="G26" i="1" s="1"/>
  <c r="M27" i="1"/>
  <c r="G27" i="1" s="1"/>
  <c r="S27" i="1" s="1"/>
  <c r="M28" i="1"/>
  <c r="G28" i="1" s="1"/>
  <c r="M29" i="1"/>
  <c r="G29" i="1" s="1"/>
  <c r="M30" i="1"/>
  <c r="G30" i="1" s="1"/>
  <c r="M31" i="1"/>
  <c r="G31" i="1" s="1"/>
  <c r="M32" i="1"/>
  <c r="G32" i="1" s="1"/>
  <c r="M33" i="1"/>
  <c r="G33" i="1" s="1"/>
  <c r="M34" i="1"/>
  <c r="G34" i="1" s="1"/>
  <c r="M35" i="1"/>
  <c r="G35" i="1" s="1"/>
  <c r="M36" i="1"/>
  <c r="G36" i="1" s="1"/>
  <c r="M37" i="1"/>
  <c r="G37" i="1" s="1"/>
  <c r="F27" i="1"/>
  <c r="O38" i="1"/>
  <c r="O37" i="1"/>
  <c r="E38" i="1"/>
  <c r="E37" i="1"/>
  <c r="E36" i="1"/>
  <c r="Q37" i="1" s="1"/>
  <c r="E35" i="1"/>
  <c r="E34" i="1"/>
  <c r="E33" i="1"/>
  <c r="E32" i="1"/>
  <c r="E31" i="1"/>
  <c r="E30" i="1"/>
  <c r="E29" i="1"/>
  <c r="E28" i="1"/>
  <c r="E27" i="1"/>
  <c r="E26" i="1"/>
  <c r="E41" i="1" s="1"/>
  <c r="E39" i="1" l="1"/>
  <c r="Q27" i="1"/>
  <c r="Q36" i="1"/>
  <c r="G42" i="1"/>
  <c r="Q38" i="1"/>
  <c r="G41" i="1"/>
  <c r="E42" i="1"/>
  <c r="G39" i="1"/>
  <c r="F26" i="1"/>
  <c r="R27" i="1" s="1"/>
  <c r="F28" i="1"/>
  <c r="F29" i="1"/>
  <c r="F30" i="1"/>
  <c r="F31" i="1"/>
  <c r="F32" i="1"/>
  <c r="F33" i="1"/>
  <c r="F34" i="1"/>
  <c r="F35" i="1"/>
  <c r="F36" i="1"/>
  <c r="R36" i="1" s="1"/>
  <c r="F37" i="1"/>
  <c r="R37" i="1" s="1"/>
  <c r="F38" i="1"/>
  <c r="R38" i="1" s="1"/>
  <c r="D38" i="1"/>
  <c r="D37" i="1"/>
  <c r="P37" i="1" s="1"/>
  <c r="D42" i="1" l="1"/>
  <c r="D39" i="1"/>
  <c r="P38" i="1"/>
  <c r="F41" i="1"/>
  <c r="F39" i="1"/>
  <c r="F42" i="1"/>
  <c r="J18" i="1"/>
  <c r="J17" i="1"/>
  <c r="L19" i="1"/>
  <c r="B22" i="10" s="1"/>
  <c r="L11" i="1"/>
  <c r="C15" i="1"/>
  <c r="L7" i="1"/>
  <c r="E12" i="1"/>
  <c r="E10" i="1"/>
  <c r="J11" i="1"/>
  <c r="J16" i="1" s="1"/>
  <c r="C9" i="1"/>
  <c r="C12" i="1" s="1"/>
  <c r="B21" i="10" s="1"/>
  <c r="E11" i="1" l="1"/>
  <c r="E16" i="1"/>
  <c r="L18" i="1"/>
  <c r="C39" i="1" l="1"/>
  <c r="L41" i="1" l="1"/>
  <c r="K41" i="1"/>
  <c r="K42" i="1" s="1"/>
  <c r="C41" i="1"/>
  <c r="J24" i="1" l="1"/>
  <c r="L21" i="1" l="1"/>
  <c r="L23" i="1" l="1"/>
  <c r="P36" i="1" l="1"/>
  <c r="O36" i="1"/>
  <c r="D41" i="1" l="1"/>
  <c r="L40" i="1"/>
  <c r="K40" i="1"/>
  <c r="J13" i="1" l="1"/>
  <c r="B59" i="4"/>
  <c r="E61" i="4"/>
  <c r="D61" i="4"/>
  <c r="B43" i="4" l="1"/>
  <c r="C43" i="4"/>
  <c r="D42" i="4"/>
  <c r="E38" i="4" l="1"/>
  <c r="D38" i="4"/>
  <c r="C50" i="4" l="1"/>
  <c r="B50" i="4"/>
  <c r="C47" i="4"/>
  <c r="C40" i="4" l="1"/>
  <c r="B40" i="4"/>
  <c r="C38" i="4"/>
  <c r="B38" i="4"/>
  <c r="C37" i="4"/>
  <c r="B37" i="4"/>
  <c r="S35" i="1" l="1"/>
  <c r="R35" i="1"/>
  <c r="P35" i="1"/>
  <c r="O35" i="1"/>
  <c r="C36" i="4" s="1"/>
  <c r="D43" i="4" l="1"/>
  <c r="E43" i="4" s="1"/>
  <c r="F43" i="4" s="1"/>
  <c r="G43" i="4" s="1"/>
  <c r="H43" i="4" s="1"/>
  <c r="I43" i="4" s="1"/>
  <c r="J43" i="4" s="1"/>
  <c r="K43" i="4" s="1"/>
  <c r="L43" i="4" s="1"/>
  <c r="M43" i="4" s="1"/>
  <c r="N43" i="4" s="1"/>
  <c r="O43" i="4" s="1"/>
  <c r="P43" i="4" s="1"/>
  <c r="Q43" i="4" s="1"/>
  <c r="R43" i="4" s="1"/>
  <c r="S43" i="4" s="1"/>
  <c r="T43" i="4" s="1"/>
  <c r="U43" i="4" s="1"/>
  <c r="V43" i="4" s="1"/>
  <c r="W43" i="4" s="1"/>
  <c r="X43" i="4" s="1"/>
  <c r="Y43" i="4" s="1"/>
  <c r="Z43" i="4" s="1"/>
  <c r="AA43" i="4" s="1"/>
  <c r="AB43" i="4" s="1"/>
  <c r="AC43" i="4" s="1"/>
  <c r="Q35" i="1" l="1"/>
  <c r="L42" i="1" l="1"/>
  <c r="B47" i="4"/>
  <c r="T35" i="1"/>
  <c r="D48" i="4" l="1"/>
  <c r="E42" i="4" s="1"/>
  <c r="E48" i="4" l="1"/>
  <c r="F42" i="4" s="1"/>
  <c r="P27" i="1"/>
  <c r="P29" i="1"/>
  <c r="P30" i="1"/>
  <c r="P31" i="1"/>
  <c r="P32" i="1"/>
  <c r="P33" i="1"/>
  <c r="P34" i="1"/>
  <c r="F48" i="4" l="1"/>
  <c r="G42" i="4" s="1"/>
  <c r="G48" i="4" l="1"/>
  <c r="H42" i="4" s="1"/>
  <c r="H48" i="4" l="1"/>
  <c r="I42" i="4" s="1"/>
  <c r="B44" i="4"/>
  <c r="C44" i="4"/>
  <c r="I48" i="4" l="1"/>
  <c r="J42" i="4" s="1"/>
  <c r="E47" i="4"/>
  <c r="J48" i="4" l="1"/>
  <c r="K42" i="4" s="1"/>
  <c r="E13" i="1"/>
  <c r="K48" i="4" l="1"/>
  <c r="L42" i="4" s="1"/>
  <c r="F47" i="4"/>
  <c r="O29" i="1"/>
  <c r="O32" i="1"/>
  <c r="O33" i="1"/>
  <c r="L48" i="4" l="1"/>
  <c r="M42" i="4" s="1"/>
  <c r="G47" i="4"/>
  <c r="M48" i="4" l="1"/>
  <c r="N42" i="4" s="1"/>
  <c r="N48" i="4" l="1"/>
  <c r="O42" i="4" s="1"/>
  <c r="O48" i="4" l="1"/>
  <c r="P42" i="4" s="1"/>
  <c r="B41" i="4"/>
  <c r="P48" i="4" l="1"/>
  <c r="Q42" i="4" s="1"/>
  <c r="E40" i="4"/>
  <c r="F40" i="4" s="1"/>
  <c r="G40" i="4" s="1"/>
  <c r="H40" i="4" s="1"/>
  <c r="I40" i="4" s="1"/>
  <c r="J40" i="4" s="1"/>
  <c r="K40" i="4" s="1"/>
  <c r="L40" i="4" s="1"/>
  <c r="M40" i="4" s="1"/>
  <c r="N40" i="4" s="1"/>
  <c r="O40" i="4" s="1"/>
  <c r="P40" i="4" s="1"/>
  <c r="Q40" i="4" s="1"/>
  <c r="R40" i="4" s="1"/>
  <c r="S40" i="4" s="1"/>
  <c r="T40" i="4" s="1"/>
  <c r="U40" i="4" s="1"/>
  <c r="V40" i="4" s="1"/>
  <c r="W40" i="4" s="1"/>
  <c r="X40" i="4" s="1"/>
  <c r="Y40" i="4" s="1"/>
  <c r="Z40" i="4" s="1"/>
  <c r="AA40" i="4" s="1"/>
  <c r="AB40" i="4" s="1"/>
  <c r="AC40" i="4" s="1"/>
  <c r="C41" i="4"/>
  <c r="Q48" i="4" l="1"/>
  <c r="R42" i="4" s="1"/>
  <c r="B27" i="1"/>
  <c r="R48" i="4" l="1"/>
  <c r="S42" i="4" s="1"/>
  <c r="S48" i="4" l="1"/>
  <c r="T42" i="4" s="1"/>
  <c r="T48" i="4" l="1"/>
  <c r="U42" i="4" s="1"/>
  <c r="C49" i="4"/>
  <c r="U48" i="4" l="1"/>
  <c r="V42" i="4" s="1"/>
  <c r="V48" i="4" l="1"/>
  <c r="W42" i="4" s="1"/>
  <c r="N13" i="1"/>
  <c r="W48" i="4" l="1"/>
  <c r="X42" i="4" s="1"/>
  <c r="B49" i="4"/>
  <c r="X48" i="4" l="1"/>
  <c r="Y42" i="4" s="1"/>
  <c r="H47" i="4"/>
  <c r="O27" i="1"/>
  <c r="E35" i="4"/>
  <c r="F35" i="4" s="1"/>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B46" i="4"/>
  <c r="C46" i="4"/>
  <c r="C53" i="4" s="1"/>
  <c r="D37" i="4"/>
  <c r="E9" i="1"/>
  <c r="J14" i="1"/>
  <c r="J15" i="1"/>
  <c r="L12" i="1"/>
  <c r="L26" i="1"/>
  <c r="B28" i="1"/>
  <c r="B29" i="1" s="1"/>
  <c r="B30" i="1" s="1"/>
  <c r="B31" i="1" s="1"/>
  <c r="B32" i="1" s="1"/>
  <c r="B33" i="1" s="1"/>
  <c r="B34" i="1" s="1"/>
  <c r="B35" i="1" s="1"/>
  <c r="B36" i="1" s="1"/>
  <c r="B37" i="1" s="1"/>
  <c r="Q28" i="1"/>
  <c r="T28" i="1"/>
  <c r="O28" i="1"/>
  <c r="P28" i="1"/>
  <c r="D40" i="1" s="1"/>
  <c r="R28" i="1"/>
  <c r="S28" i="1"/>
  <c r="Q29" i="1"/>
  <c r="R29" i="1"/>
  <c r="S29" i="1"/>
  <c r="T29" i="1"/>
  <c r="O30" i="1"/>
  <c r="Q30" i="1"/>
  <c r="R30" i="1"/>
  <c r="S30" i="1"/>
  <c r="T30" i="1"/>
  <c r="T31" i="1"/>
  <c r="O31" i="1"/>
  <c r="Q31" i="1"/>
  <c r="R31" i="1"/>
  <c r="S31" i="1"/>
  <c r="R32" i="1"/>
  <c r="S32" i="1"/>
  <c r="T32" i="1"/>
  <c r="R33" i="1"/>
  <c r="S33" i="1"/>
  <c r="Q34" i="1"/>
  <c r="O34" i="1"/>
  <c r="B36" i="4" s="1"/>
  <c r="R34" i="1"/>
  <c r="S34" i="1"/>
  <c r="Q32" i="1"/>
  <c r="Q33" i="1"/>
  <c r="T34" i="1"/>
  <c r="T33" i="1"/>
  <c r="C40" i="1" l="1"/>
  <c r="L13" i="1"/>
  <c r="Y33" i="4"/>
  <c r="Q33" i="4"/>
  <c r="I33" i="4"/>
  <c r="Z32" i="4"/>
  <c r="R32" i="4"/>
  <c r="J32" i="4"/>
  <c r="AA31" i="4"/>
  <c r="S31" i="4"/>
  <c r="K31" i="4"/>
  <c r="X33" i="4"/>
  <c r="P33" i="4"/>
  <c r="H33" i="4"/>
  <c r="Y32" i="4"/>
  <c r="Q32" i="4"/>
  <c r="I32" i="4"/>
  <c r="Z31" i="4"/>
  <c r="R31" i="4"/>
  <c r="J31" i="4"/>
  <c r="Z33" i="4"/>
  <c r="AB31" i="4"/>
  <c r="W33" i="4"/>
  <c r="O33" i="4"/>
  <c r="G33" i="4"/>
  <c r="X32" i="4"/>
  <c r="P32" i="4"/>
  <c r="H32" i="4"/>
  <c r="Y31" i="4"/>
  <c r="Q31" i="4"/>
  <c r="I31" i="4"/>
  <c r="D69" i="4"/>
  <c r="V33" i="4"/>
  <c r="N33" i="4"/>
  <c r="F33" i="4"/>
  <c r="W32" i="4"/>
  <c r="O32" i="4"/>
  <c r="G32" i="4"/>
  <c r="X31" i="4"/>
  <c r="P31" i="4"/>
  <c r="H31" i="4"/>
  <c r="AC33" i="4"/>
  <c r="U33" i="4"/>
  <c r="M33" i="4"/>
  <c r="E33" i="4"/>
  <c r="V32" i="4"/>
  <c r="N32" i="4"/>
  <c r="F32" i="4"/>
  <c r="W31" i="4"/>
  <c r="O31" i="4"/>
  <c r="G31" i="4"/>
  <c r="R33" i="4"/>
  <c r="AB33" i="4"/>
  <c r="T33" i="4"/>
  <c r="L33" i="4"/>
  <c r="AC32" i="4"/>
  <c r="U32" i="4"/>
  <c r="M32" i="4"/>
  <c r="E32" i="4"/>
  <c r="V31" i="4"/>
  <c r="N31" i="4"/>
  <c r="F31" i="4"/>
  <c r="AA32" i="4"/>
  <c r="K32" i="4"/>
  <c r="L31" i="4"/>
  <c r="AA33" i="4"/>
  <c r="S33" i="4"/>
  <c r="K33" i="4"/>
  <c r="AB32" i="4"/>
  <c r="T32" i="4"/>
  <c r="L32" i="4"/>
  <c r="AC31" i="4"/>
  <c r="U31" i="4"/>
  <c r="M31" i="4"/>
  <c r="E31" i="4"/>
  <c r="J33" i="4"/>
  <c r="S32" i="4"/>
  <c r="T31" i="4"/>
  <c r="Y48" i="4"/>
  <c r="Z42" i="4" s="1"/>
  <c r="I47" i="4"/>
  <c r="J47" i="4" s="1"/>
  <c r="K47" i="4" s="1"/>
  <c r="L47" i="4" s="1"/>
  <c r="M47" i="4" s="1"/>
  <c r="N47" i="4" s="1"/>
  <c r="O47" i="4" s="1"/>
  <c r="P47" i="4" s="1"/>
  <c r="Q47" i="4" s="1"/>
  <c r="R47" i="4" s="1"/>
  <c r="S47" i="4" s="1"/>
  <c r="T47" i="4" s="1"/>
  <c r="U47" i="4" s="1"/>
  <c r="V47" i="4" s="1"/>
  <c r="W47" i="4" s="1"/>
  <c r="X47" i="4" s="1"/>
  <c r="Y47" i="4" s="1"/>
  <c r="Z47" i="4" s="1"/>
  <c r="AA47" i="4" s="1"/>
  <c r="AB47" i="4" s="1"/>
  <c r="AC47" i="4" s="1"/>
  <c r="D39" i="4"/>
  <c r="D44" i="4" s="1"/>
  <c r="E37" i="4"/>
  <c r="L16" i="1"/>
  <c r="L14" i="1" l="1"/>
  <c r="B20" i="10"/>
  <c r="Z48" i="4"/>
  <c r="AA42" i="4" s="1"/>
  <c r="H64" i="4"/>
  <c r="H65" i="4"/>
  <c r="D45" i="4"/>
  <c r="D41" i="4"/>
  <c r="F37" i="4"/>
  <c r="E39" i="4"/>
  <c r="E44" i="4" s="1"/>
  <c r="L15" i="1"/>
  <c r="AA48" i="4" l="1"/>
  <c r="AB42" i="4" s="1"/>
  <c r="D50" i="4"/>
  <c r="D49" i="4"/>
  <c r="D46" i="4"/>
  <c r="D53" i="4" s="1"/>
  <c r="G37" i="4"/>
  <c r="F39" i="4"/>
  <c r="F44" i="4" s="1"/>
  <c r="E41" i="4"/>
  <c r="AB48" i="4" l="1"/>
  <c r="AC42" i="4" s="1"/>
  <c r="E49" i="4"/>
  <c r="E45" i="4"/>
  <c r="E46" i="4" s="1"/>
  <c r="E53" i="4" s="1"/>
  <c r="G39" i="4"/>
  <c r="G44" i="4" s="1"/>
  <c r="H37" i="4"/>
  <c r="F41" i="4"/>
  <c r="H63" i="4"/>
  <c r="AC48" i="4" l="1"/>
  <c r="E50" i="4"/>
  <c r="F45" i="4"/>
  <c r="F46" i="4" s="1"/>
  <c r="F53" i="4" s="1"/>
  <c r="G41" i="4"/>
  <c r="I37" i="4"/>
  <c r="H39" i="4"/>
  <c r="H44" i="4" s="1"/>
  <c r="E68" i="4" l="1"/>
  <c r="F50" i="4"/>
  <c r="F68" i="4" s="1"/>
  <c r="G45" i="4"/>
  <c r="G46" i="4" s="1"/>
  <c r="H45" i="4"/>
  <c r="I39" i="4"/>
  <c r="I44" i="4" s="1"/>
  <c r="H41" i="4"/>
  <c r="J37" i="4"/>
  <c r="H50" i="4" l="1"/>
  <c r="H68" i="4" s="1"/>
  <c r="G50" i="4"/>
  <c r="G68" i="4" s="1"/>
  <c r="H46" i="4"/>
  <c r="I45" i="4"/>
  <c r="I41" i="4"/>
  <c r="K37" i="4"/>
  <c r="J39" i="4"/>
  <c r="J44" i="4" s="1"/>
  <c r="I50" i="4" l="1"/>
  <c r="I68" i="4" s="1"/>
  <c r="I46" i="4"/>
  <c r="J41" i="4"/>
  <c r="K39" i="4"/>
  <c r="K44" i="4" s="1"/>
  <c r="L37" i="4"/>
  <c r="J45" i="4" l="1"/>
  <c r="J46" i="4" s="1"/>
  <c r="K41" i="4"/>
  <c r="M37" i="4"/>
  <c r="L39" i="4"/>
  <c r="L44" i="4" s="1"/>
  <c r="J50" i="4" l="1"/>
  <c r="K45" i="4"/>
  <c r="K46" i="4" s="1"/>
  <c r="N37" i="4"/>
  <c r="L41" i="4"/>
  <c r="M39" i="4"/>
  <c r="M44" i="4" s="1"/>
  <c r="J68" i="4" l="1"/>
  <c r="K50" i="4"/>
  <c r="K68" i="4" s="1"/>
  <c r="L45" i="4"/>
  <c r="L46" i="4" s="1"/>
  <c r="O37" i="4"/>
  <c r="N39" i="4"/>
  <c r="N44" i="4" s="1"/>
  <c r="M41" i="4"/>
  <c r="L50" i="4" l="1"/>
  <c r="L68" i="4" s="1"/>
  <c r="M45" i="4"/>
  <c r="M46" i="4" s="1"/>
  <c r="O39" i="4"/>
  <c r="O44" i="4" s="1"/>
  <c r="P37" i="4"/>
  <c r="N41" i="4"/>
  <c r="M50" i="4" l="1"/>
  <c r="M68" i="4" s="1"/>
  <c r="N45" i="4"/>
  <c r="N46" i="4" s="1"/>
  <c r="O41" i="4"/>
  <c r="Q37" i="4"/>
  <c r="P39" i="4"/>
  <c r="P44" i="4" s="1"/>
  <c r="N50" i="4" l="1"/>
  <c r="N68" i="4" s="1"/>
  <c r="O45" i="4"/>
  <c r="O46" i="4" s="1"/>
  <c r="P41" i="4"/>
  <c r="Q39" i="4"/>
  <c r="Q44" i="4" s="1"/>
  <c r="R37" i="4"/>
  <c r="O50" i="4" l="1"/>
  <c r="O68" i="4" s="1"/>
  <c r="P45" i="4"/>
  <c r="P46" i="4" s="1"/>
  <c r="Q41" i="4"/>
  <c r="Q45" i="4"/>
  <c r="S37" i="4"/>
  <c r="R39" i="4"/>
  <c r="R44" i="4" s="1"/>
  <c r="Q50" i="4" l="1"/>
  <c r="Q68" i="4" s="1"/>
  <c r="P50" i="4"/>
  <c r="P68" i="4" s="1"/>
  <c r="R41" i="4"/>
  <c r="Q46" i="4"/>
  <c r="S39" i="4"/>
  <c r="S44" i="4" s="1"/>
  <c r="T37" i="4"/>
  <c r="R45" i="4" l="1"/>
  <c r="R46" i="4" s="1"/>
  <c r="S41" i="4"/>
  <c r="S45" i="4"/>
  <c r="U37" i="4"/>
  <c r="T39" i="4"/>
  <c r="T44" i="4" s="1"/>
  <c r="S50" i="4" l="1"/>
  <c r="S68" i="4" s="1"/>
  <c r="R50" i="4"/>
  <c r="R68" i="4" s="1"/>
  <c r="T45" i="4"/>
  <c r="T41" i="4"/>
  <c r="V37" i="4"/>
  <c r="U39" i="4"/>
  <c r="U44" i="4" s="1"/>
  <c r="S46" i="4"/>
  <c r="T50" i="4" l="1"/>
  <c r="T68" i="4" s="1"/>
  <c r="T46" i="4"/>
  <c r="U41" i="4"/>
  <c r="U45" i="4"/>
  <c r="W37" i="4"/>
  <c r="V39" i="4"/>
  <c r="V44" i="4" s="1"/>
  <c r="U50" i="4" l="1"/>
  <c r="U68" i="4" s="1"/>
  <c r="X37" i="4"/>
  <c r="W39" i="4"/>
  <c r="W44" i="4" s="1"/>
  <c r="U46" i="4"/>
  <c r="V41" i="4"/>
  <c r="V45" i="4" l="1"/>
  <c r="V46" i="4" s="1"/>
  <c r="W45" i="4"/>
  <c r="W41" i="4"/>
  <c r="X39" i="4"/>
  <c r="X44" i="4" s="1"/>
  <c r="Y37" i="4"/>
  <c r="W50" i="4" l="1"/>
  <c r="W68" i="4" s="1"/>
  <c r="V50" i="4"/>
  <c r="V68" i="4" s="1"/>
  <c r="W46" i="4"/>
  <c r="X41" i="4"/>
  <c r="X45" i="4"/>
  <c r="Y39" i="4"/>
  <c r="Y44" i="4" s="1"/>
  <c r="Z37" i="4"/>
  <c r="X50" i="4" l="1"/>
  <c r="X68" i="4" s="1"/>
  <c r="Y41" i="4"/>
  <c r="AA37" i="4"/>
  <c r="X46" i="4"/>
  <c r="Z39" i="4"/>
  <c r="Z44" i="4" s="1"/>
  <c r="Y45" i="4" l="1"/>
  <c r="Y46" i="4" s="1"/>
  <c r="Z41" i="4"/>
  <c r="Z45" i="4"/>
  <c r="AA39" i="4"/>
  <c r="AA44" i="4" s="1"/>
  <c r="AB37" i="4"/>
  <c r="Z50" i="4" l="1"/>
  <c r="Z68" i="4" s="1"/>
  <c r="Y50" i="4"/>
  <c r="Y68" i="4" s="1"/>
  <c r="AA41" i="4"/>
  <c r="AB39" i="4"/>
  <c r="AB44" i="4" s="1"/>
  <c r="AC37" i="4"/>
  <c r="Z46" i="4"/>
  <c r="AA45" i="4" l="1"/>
  <c r="AA46" i="4" s="1"/>
  <c r="AB45" i="4"/>
  <c r="AB41" i="4"/>
  <c r="AC39" i="4"/>
  <c r="AC44" i="4" s="1"/>
  <c r="AB50" i="4" l="1"/>
  <c r="AA50" i="4"/>
  <c r="AA68" i="4" s="1"/>
  <c r="AB46" i="4"/>
  <c r="AC45" i="4"/>
  <c r="AC41" i="4"/>
  <c r="AB68" i="4" l="1"/>
  <c r="D68" i="4" s="1"/>
  <c r="E62" i="4"/>
  <c r="D62" i="4"/>
  <c r="AC50" i="4"/>
  <c r="AC46" i="4"/>
  <c r="AC68" i="4" l="1"/>
  <c r="D63" i="4"/>
  <c r="D64" i="4" s="1"/>
  <c r="E63" i="4"/>
  <c r="E64" i="4" s="1"/>
  <c r="AC52" i="4"/>
  <c r="C63" i="4" s="1"/>
  <c r="D51" i="4" l="1"/>
  <c r="E51" i="4" s="1"/>
  <c r="F51" i="4" s="1"/>
  <c r="G51" i="4" s="1"/>
  <c r="H51" i="4" s="1"/>
  <c r="I51" i="4" s="1"/>
  <c r="J51" i="4" s="1"/>
  <c r="K51" i="4" s="1"/>
  <c r="L51" i="4" s="1"/>
  <c r="M51" i="4" s="1"/>
  <c r="N51" i="4" s="1"/>
  <c r="O51" i="4" s="1"/>
  <c r="P51" i="4" s="1"/>
  <c r="Q51" i="4" s="1"/>
  <c r="R51" i="4" s="1"/>
  <c r="S51" i="4" s="1"/>
  <c r="T51" i="4" s="1"/>
  <c r="U51" i="4" s="1"/>
  <c r="V51" i="4" s="1"/>
  <c r="W51" i="4" s="1"/>
  <c r="X51" i="4" s="1"/>
  <c r="Y51" i="4" s="1"/>
  <c r="Z51" i="4" s="1"/>
  <c r="AA51" i="4" s="1"/>
  <c r="AB51" i="4" s="1"/>
  <c r="AC51" i="4" l="1"/>
  <c r="AB52" i="4"/>
  <c r="C62" i="4" s="1"/>
  <c r="B61" i="4" l="1"/>
  <c r="B62" i="4" s="1"/>
  <c r="B63" i="4" l="1"/>
  <c r="B67" i="4" s="1"/>
  <c r="F56" i="4"/>
  <c r="D55" i="4"/>
  <c r="F55" i="4"/>
  <c r="B64" i="4"/>
  <c r="D56" i="4"/>
  <c r="E56" i="4"/>
  <c r="E55" i="4"/>
  <c r="B65" i="4" l="1"/>
  <c r="D65" i="4"/>
  <c r="E65" i="4"/>
  <c r="B69" i="4"/>
  <c r="B6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bloomberg-alunos</author>
    <author>José Lima</author>
    <author>林伊婧</author>
    <author>Lalo Rodriguez</author>
  </authors>
  <commentList>
    <comment ref="B2" authorId="0" shapeId="0" xr:uid="{00000000-0006-0000-0000-000001000000}">
      <text>
        <r>
          <rPr>
            <b/>
            <sz val="9"/>
            <color indexed="81"/>
            <rFont val="Tahoma"/>
            <family val="2"/>
          </rPr>
          <t>(date of last modification)</t>
        </r>
      </text>
    </comment>
    <comment ref="D2" authorId="0" shapeId="0" xr:uid="{00000000-0006-0000-0000-000002000000}">
      <text>
        <r>
          <rPr>
            <b/>
            <sz val="9"/>
            <color indexed="81"/>
            <rFont val="Tahoma"/>
            <family val="2"/>
          </rPr>
          <t>Date of last report/release</t>
        </r>
      </text>
    </comment>
    <comment ref="K2" authorId="0" shapeId="0" xr:uid="{00000000-0006-0000-0000-000003000000}">
      <text>
        <r>
          <rPr>
            <b/>
            <sz val="9"/>
            <color indexed="81"/>
            <rFont val="Tahoma"/>
            <family val="2"/>
          </rPr>
          <t>Stock market</t>
        </r>
      </text>
    </comment>
    <comment ref="D4" authorId="1" shapeId="0" xr:uid="{00000000-0006-0000-0000-000004000000}">
      <text>
        <r>
          <rPr>
            <b/>
            <sz val="9"/>
            <color indexed="81"/>
            <rFont val="Tahoma"/>
            <family val="2"/>
          </rPr>
          <t>José Lima:</t>
        </r>
        <r>
          <rPr>
            <sz val="9"/>
            <color indexed="81"/>
            <rFont val="Tahoma"/>
            <family val="2"/>
          </rPr>
          <t xml:space="preserve">
https://ir.poolcorp.com/directors/</t>
        </r>
      </text>
    </comment>
    <comment ref="B5" authorId="1" shapeId="0" xr:uid="{00000000-0006-0000-0000-000005000000}">
      <text>
        <r>
          <rPr>
            <b/>
            <sz val="9"/>
            <color indexed="81"/>
            <rFont val="Tahoma"/>
            <family val="2"/>
          </rPr>
          <t>José Lima:</t>
        </r>
        <r>
          <rPr>
            <sz val="9"/>
            <color indexed="81"/>
            <rFont val="Tahoma"/>
            <family val="2"/>
          </rPr>
          <t xml:space="preserve">
All Numbers in millions of USD, except for outstanding shares.</t>
        </r>
      </text>
    </comment>
    <comment ref="B7" authorId="2" shapeId="0" xr:uid="{00000000-0006-0000-0000-000006000000}">
      <text>
        <r>
          <rPr>
            <b/>
            <sz val="10"/>
            <color rgb="FF000000"/>
            <rFont val="Tahoma"/>
            <family val="2"/>
          </rPr>
          <t>Last price</t>
        </r>
        <r>
          <rPr>
            <sz val="10"/>
            <color rgb="FF000000"/>
            <rFont val="Tahoma"/>
            <family val="2"/>
          </rPr>
          <t xml:space="preserve">
</t>
        </r>
      </text>
    </comment>
    <comment ref="C7" authorId="1" shapeId="0" xr:uid="{00000000-0006-0000-0000-000007000000}">
      <text>
        <r>
          <rPr>
            <b/>
            <sz val="9"/>
            <color indexed="81"/>
            <rFont val="Tahoma"/>
            <charset val="1"/>
          </rPr>
          <t>José Lima:</t>
        </r>
        <r>
          <rPr>
            <sz val="9"/>
            <color indexed="81"/>
            <rFont val="Tahoma"/>
            <charset val="1"/>
          </rPr>
          <t xml:space="preserve">
09/02/2025</t>
        </r>
      </text>
    </comment>
    <comment ref="D7" authorId="2" shapeId="0" xr:uid="{00000000-0006-0000-0000-000008000000}">
      <text>
        <r>
          <rPr>
            <b/>
            <sz val="10"/>
            <color rgb="FF000000"/>
            <rFont val="Tahoma"/>
            <family val="2"/>
          </rPr>
          <t>Total Assets</t>
        </r>
        <r>
          <rPr>
            <sz val="10"/>
            <color rgb="FF000000"/>
            <rFont val="Tahoma"/>
            <family val="2"/>
          </rPr>
          <t xml:space="preserve">
</t>
        </r>
      </text>
    </comment>
    <comment ref="I7" authorId="0" shapeId="0" xr:uid="{00000000-0006-0000-0000-000009000000}">
      <text>
        <r>
          <rPr>
            <b/>
            <sz val="9"/>
            <color indexed="81"/>
            <rFont val="Tahoma"/>
            <family val="2"/>
          </rPr>
          <t>End of financial year</t>
        </r>
      </text>
    </comment>
    <comment ref="D8" authorId="2" shapeId="0" xr:uid="{00000000-0006-0000-0000-00000A000000}">
      <text>
        <r>
          <rPr>
            <b/>
            <sz val="10"/>
            <color rgb="FF000000"/>
            <rFont val="Tahoma"/>
            <family val="2"/>
          </rPr>
          <t>Total liabilities</t>
        </r>
        <r>
          <rPr>
            <sz val="10"/>
            <color rgb="FF000000"/>
            <rFont val="Tahoma"/>
            <family val="2"/>
          </rPr>
          <t xml:space="preserve">
</t>
        </r>
      </text>
    </comment>
    <comment ref="B10" authorId="2" shapeId="0" xr:uid="{00000000-0006-0000-0000-00000B000000}">
      <text>
        <r>
          <rPr>
            <b/>
            <sz val="10"/>
            <color rgb="FF000000"/>
            <rFont val="Tahoma"/>
            <family val="2"/>
          </rPr>
          <t>Debt</t>
        </r>
        <r>
          <rPr>
            <sz val="10"/>
            <color rgb="FF000000"/>
            <rFont val="Tahoma"/>
            <family val="2"/>
          </rPr>
          <t xml:space="preserve">
</t>
        </r>
      </text>
    </comment>
    <comment ref="D10" authorId="2" shapeId="0" xr:uid="{00000000-0006-0000-0000-00000C000000}">
      <text>
        <r>
          <rPr>
            <b/>
            <sz val="10"/>
            <color rgb="FF000000"/>
            <rFont val="Tahoma"/>
            <family val="2"/>
          </rPr>
          <t>EBITDA/Net financial cost</t>
        </r>
        <r>
          <rPr>
            <sz val="10"/>
            <color rgb="FF000000"/>
            <rFont val="Tahoma"/>
            <family val="2"/>
          </rPr>
          <t xml:space="preserve">
</t>
        </r>
      </text>
    </comment>
    <comment ref="D11" authorId="2" shapeId="0" xr:uid="{00000000-0006-0000-0000-00000D000000}">
      <text>
        <r>
          <rPr>
            <b/>
            <sz val="10"/>
            <color rgb="FF000000"/>
            <rFont val="Tahoma"/>
            <family val="2"/>
          </rPr>
          <t>Debt/EBITDA</t>
        </r>
        <r>
          <rPr>
            <sz val="10"/>
            <color rgb="FF000000"/>
            <rFont val="Tahoma"/>
            <family val="2"/>
          </rPr>
          <t xml:space="preserve">
</t>
        </r>
      </text>
    </comment>
    <comment ref="D12" authorId="2" shapeId="0" xr:uid="{00000000-0006-0000-0000-00000E000000}">
      <text>
        <r>
          <rPr>
            <b/>
            <sz val="10"/>
            <color rgb="FF000000"/>
            <rFont val="Tahoma"/>
            <family val="2"/>
          </rPr>
          <t>Other assets</t>
        </r>
        <r>
          <rPr>
            <sz val="10"/>
            <color rgb="FF000000"/>
            <rFont val="Tahoma"/>
            <family val="2"/>
          </rPr>
          <t xml:space="preserve">
</t>
        </r>
      </text>
    </comment>
    <comment ref="B13" authorId="2" shapeId="0" xr:uid="{00000000-0006-0000-0000-00000F000000}">
      <text>
        <r>
          <rPr>
            <sz val="10"/>
            <color rgb="FF000000"/>
            <rFont val="Arial"/>
            <family val="2"/>
          </rPr>
          <t>Ownership % (Domestic / International)</t>
        </r>
      </text>
    </comment>
    <comment ref="D13" authorId="2" shapeId="0" xr:uid="{00000000-0006-0000-0000-000010000000}">
      <text>
        <r>
          <rPr>
            <b/>
            <sz val="10"/>
            <color rgb="FF000000"/>
            <rFont val="Tahoma"/>
            <family val="2"/>
          </rPr>
          <t>Debt/asset</t>
        </r>
      </text>
    </comment>
    <comment ref="B14" authorId="2" shapeId="0" xr:uid="{00000000-0006-0000-0000-000011000000}">
      <text>
        <r>
          <rPr>
            <sz val="10"/>
            <color rgb="FF000000"/>
            <rFont val="Arial"/>
            <family val="2"/>
          </rPr>
          <t>Liquidity Ratio (Avg. Position / Volume)</t>
        </r>
      </text>
    </comment>
    <comment ref="D14" authorId="2" shapeId="0" xr:uid="{00000000-0006-0000-0000-000012000000}">
      <text>
        <r>
          <rPr>
            <b/>
            <sz val="10"/>
            <color rgb="FF000000"/>
            <rFont val="Tahoma"/>
            <family val="2"/>
          </rPr>
          <t>Operating margin</t>
        </r>
      </text>
    </comment>
    <comment ref="C15" authorId="1" shapeId="0" xr:uid="{00000000-0006-0000-0000-000013000000}">
      <text>
        <r>
          <rPr>
            <b/>
            <sz val="9"/>
            <color indexed="81"/>
            <rFont val="Tahoma"/>
            <charset val="1"/>
          </rPr>
          <t>José Lima:</t>
        </r>
        <r>
          <rPr>
            <sz val="9"/>
            <color indexed="81"/>
            <rFont val="Tahoma"/>
            <charset val="1"/>
          </rPr>
          <t xml:space="preserve">
number of stocks shorted/number of stocks</t>
        </r>
      </text>
    </comment>
    <comment ref="D15" authorId="2" shapeId="0" xr:uid="{00000000-0006-0000-0000-000014000000}">
      <text>
        <r>
          <rPr>
            <b/>
            <sz val="10"/>
            <color rgb="FF000000"/>
            <rFont val="Tahoma"/>
            <family val="2"/>
          </rPr>
          <t>Net income margin</t>
        </r>
        <r>
          <rPr>
            <sz val="10"/>
            <color rgb="FF000000"/>
            <rFont val="Tahoma"/>
            <family val="2"/>
          </rPr>
          <t xml:space="preserve">
</t>
        </r>
      </text>
    </comment>
    <comment ref="D16" authorId="2" shapeId="0" xr:uid="{00000000-0006-0000-0000-000015000000}">
      <text>
        <r>
          <rPr>
            <b/>
            <sz val="10"/>
            <color rgb="FF000000"/>
            <rFont val="Tahoma"/>
            <family val="2"/>
          </rPr>
          <t>EBITDA/Revenue</t>
        </r>
        <r>
          <rPr>
            <sz val="10"/>
            <color rgb="FF000000"/>
            <rFont val="Tahoma"/>
            <family val="2"/>
          </rPr>
          <t xml:space="preserve">
</t>
        </r>
      </text>
    </comment>
    <comment ref="C17" authorId="3" shapeId="0" xr:uid="{00000000-0006-0000-0000-000016000000}">
      <text>
        <r>
          <rPr>
            <b/>
            <sz val="9"/>
            <color rgb="FF000000"/>
            <rFont val="Tahoma"/>
            <family val="2"/>
          </rPr>
          <t>Write a brief conclusion for each section of ESG, justifying why you chose this traffic light</t>
        </r>
      </text>
    </comment>
    <comment ref="D17" authorId="2" shapeId="0" xr:uid="{00000000-0006-0000-0000-000017000000}">
      <text>
        <r>
          <rPr>
            <b/>
            <sz val="10"/>
            <color rgb="FF000000"/>
            <rFont val="Tahoma"/>
            <family val="2"/>
          </rPr>
          <t>林伊婧</t>
        </r>
        <r>
          <rPr>
            <b/>
            <sz val="10"/>
            <color rgb="FF000000"/>
            <rFont val="Tahoma"/>
            <family val="2"/>
          </rPr>
          <t>:</t>
        </r>
        <r>
          <rPr>
            <sz val="10"/>
            <color rgb="FF000000"/>
            <rFont val="Tahoma"/>
            <family val="2"/>
          </rPr>
          <t xml:space="preserve">
</t>
        </r>
      </text>
    </comment>
    <comment ref="I24" authorId="2" shapeId="0" xr:uid="{00000000-0006-0000-0000-000018000000}">
      <text>
        <r>
          <rPr>
            <b/>
            <sz val="10"/>
            <color rgb="FF000000"/>
            <rFont val="Tahoma"/>
            <family val="2"/>
          </rPr>
          <t>Discount rate</t>
        </r>
        <r>
          <rPr>
            <sz val="10"/>
            <color rgb="FF000000"/>
            <rFont val="Tahoma"/>
            <family val="2"/>
          </rPr>
          <t xml:space="preserve">
</t>
        </r>
      </text>
    </comment>
    <comment ref="E25" authorId="0" shapeId="0" xr:uid="{00000000-0006-0000-0000-000019000000}">
      <text>
        <r>
          <rPr>
            <sz val="9"/>
            <color indexed="81"/>
            <rFont val="Tahoma"/>
            <charset val="1"/>
          </rPr>
          <t>dividends + repurchases
(dividend per share* n shares) + repurchases</t>
        </r>
      </text>
    </comment>
    <comment ref="J28" authorId="0" shapeId="0" xr:uid="{00000000-0006-0000-0000-00001A000000}">
      <text>
        <r>
          <rPr>
            <b/>
            <sz val="9"/>
            <color indexed="81"/>
            <rFont val="Tahoma"/>
            <family val="2"/>
          </rPr>
          <t>bloomberg-alunos:</t>
        </r>
        <r>
          <rPr>
            <sz val="9"/>
            <color indexed="81"/>
            <rFont val="Tahoma"/>
            <family val="2"/>
          </rPr>
          <t xml:space="preserve">
Cash from operating Activities</t>
        </r>
      </text>
    </comment>
    <comment ref="K29" authorId="0" shapeId="0" xr:uid="{00000000-0006-0000-0000-00001B000000}">
      <text>
        <r>
          <rPr>
            <b/>
            <sz val="9"/>
            <color indexed="81"/>
            <rFont val="Tahoma"/>
            <family val="2"/>
          </rPr>
          <t>bloomberg-alunos:</t>
        </r>
        <r>
          <rPr>
            <sz val="9"/>
            <color indexed="81"/>
            <rFont val="Tahoma"/>
            <family val="2"/>
          </rPr>
          <t xml:space="preserve">
only data from 2023 since the BS doesnt have EST</t>
        </r>
      </text>
    </comment>
    <comment ref="G35" authorId="1" shapeId="0" xr:uid="{00000000-0006-0000-0000-00001C000000}">
      <text>
        <r>
          <rPr>
            <b/>
            <sz val="9"/>
            <color indexed="81"/>
            <rFont val="Tahoma"/>
            <family val="2"/>
          </rPr>
          <t>José Lima:</t>
        </r>
        <r>
          <rPr>
            <sz val="9"/>
            <color indexed="81"/>
            <rFont val="Tahoma"/>
            <family val="2"/>
          </rPr>
          <t xml:space="preserve">
debt (ST+LT)/total assets</t>
        </r>
      </text>
    </comment>
    <comment ref="C39" authorId="0" shapeId="0" xr:uid="{00000000-0006-0000-0000-00001D000000}">
      <text>
        <r>
          <rPr>
            <b/>
            <sz val="9"/>
            <color indexed="81"/>
            <rFont val="Tahoma"/>
            <family val="2"/>
          </rPr>
          <t>bloomberg-alunos:</t>
        </r>
        <r>
          <rPr>
            <sz val="9"/>
            <color indexed="81"/>
            <rFont val="Tahoma"/>
            <family val="2"/>
          </rPr>
          <t xml:space="preserve">
last 5 years</t>
        </r>
      </text>
    </comment>
    <comment ref="B51" authorId="0" shapeId="0" xr:uid="{00000000-0006-0000-0000-00001E000000}">
      <text>
        <r>
          <rPr>
            <b/>
            <sz val="9"/>
            <color indexed="81"/>
            <rFont val="Tahoma"/>
            <family val="2"/>
          </rPr>
          <t>average of last 3 years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林伊婧</author>
    <author>bloomberg-alunos</author>
  </authors>
  <commentList>
    <comment ref="C3" authorId="0" shapeId="0" xr:uid="{00000000-0006-0000-0400-000001000000}">
      <text>
        <r>
          <rPr>
            <b/>
            <sz val="10"/>
            <color rgb="FF000000"/>
            <rFont val="Tahoma"/>
            <family val="2"/>
          </rPr>
          <t>Impact, scale from: none,low,medium and high</t>
        </r>
      </text>
    </comment>
    <comment ref="D3" authorId="0" shapeId="0" xr:uid="{00000000-0006-0000-0400-000002000000}">
      <text>
        <r>
          <rPr>
            <b/>
            <sz val="10"/>
            <color rgb="FF000000"/>
            <rFont val="Tahoma"/>
            <family val="2"/>
          </rPr>
          <t>Does the company report? Yes/No</t>
        </r>
        <r>
          <rPr>
            <sz val="10"/>
            <color rgb="FF000000"/>
            <rFont val="Tahoma"/>
            <family val="2"/>
          </rPr>
          <t xml:space="preserve">
</t>
        </r>
      </text>
    </comment>
    <comment ref="F3" authorId="0" shapeId="0" xr:uid="{00000000-0006-0000-0400-000003000000}">
      <text>
        <r>
          <rPr>
            <b/>
            <sz val="10"/>
            <color rgb="FF000000"/>
            <rFont val="Tahoma"/>
            <family val="2"/>
          </rPr>
          <t>Mitigation plan
yes/no</t>
        </r>
      </text>
    </comment>
    <comment ref="G3" authorId="0" shapeId="0" xr:uid="{00000000-0006-0000-0400-000004000000}">
      <text>
        <r>
          <rPr>
            <b/>
            <sz val="10"/>
            <color rgb="FF000000"/>
            <rFont val="Tahoma"/>
            <family val="2"/>
          </rPr>
          <t>Traffic lights</t>
        </r>
      </text>
    </comment>
    <comment ref="H3" authorId="0" shapeId="0" xr:uid="{00000000-0006-0000-0400-000005000000}">
      <text>
        <r>
          <rPr>
            <b/>
            <sz val="10"/>
            <color rgb="FF000000"/>
            <rFont val="Tahoma"/>
            <family val="2"/>
          </rPr>
          <t>Comments</t>
        </r>
      </text>
    </comment>
    <comment ref="H31" authorId="1" shapeId="0" xr:uid="{00000000-0006-0000-0400-000006000000}">
      <text>
        <r>
          <rPr>
            <b/>
            <sz val="9"/>
            <color indexed="81"/>
            <rFont val="Tahoma"/>
            <charset val="1"/>
          </rPr>
          <t>Miguel Gomes:
Source - Bloomberg</t>
        </r>
        <r>
          <rPr>
            <sz val="9"/>
            <color indexed="81"/>
            <rFont val="Tahoma"/>
            <charset val="1"/>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Fernanda Salas</author>
    <author>sistemas</author>
  </authors>
  <commentList>
    <comment ref="D36" authorId="0" shapeId="0" xr:uid="{00000000-0006-0000-0600-000001000000}">
      <text>
        <r>
          <rPr>
            <sz val="9"/>
            <color indexed="81"/>
            <rFont val="Tahoma"/>
            <family val="2"/>
          </rPr>
          <t>Real al 3Q 2021</t>
        </r>
      </text>
    </comment>
    <comment ref="D38" authorId="0" shapeId="0" xr:uid="{00000000-0006-0000-0600-000002000000}">
      <text>
        <r>
          <rPr>
            <sz val="9"/>
            <color indexed="81"/>
            <rFont val="Tahoma"/>
            <family val="2"/>
          </rPr>
          <t>Tienen 30.2% al 3Q 2021</t>
        </r>
      </text>
    </comment>
    <comment ref="D42" authorId="0" shapeId="0" xr:uid="{00000000-0006-0000-0600-000003000000}">
      <text>
        <r>
          <rPr>
            <sz val="9"/>
            <color indexed="81"/>
            <rFont val="Tahoma"/>
            <family val="2"/>
          </rPr>
          <t xml:space="preserve">siempre han traído productos financieros… </t>
        </r>
      </text>
    </comment>
    <comment ref="D43" authorId="1" shapeId="0" xr:uid="{00000000-0006-0000-0600-000004000000}">
      <text>
        <r>
          <rPr>
            <b/>
            <sz val="9"/>
            <color indexed="81"/>
            <rFont val="Tahoma"/>
            <family val="2"/>
          </rPr>
          <t>sistemas:</t>
        </r>
        <r>
          <rPr>
            <sz val="9"/>
            <color indexed="81"/>
            <rFont val="Tahoma"/>
            <family val="2"/>
          </rPr>
          <t xml:space="preserve">
Agregamos a otros gastos el pago por la retención de impuestos de las acciones que otorga a los empleados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 1" description="Connection to the 'Table 1' query in the workbook." type="5" refreshedVersion="8" background="1" saveData="1">
    <dbPr connection="Provider=Microsoft.Mashup.OleDb.1;Data Source=$Workbook$;Location=&quot;Table 1&quot;;Extended Properties=&quot;&quot;" command="SELECT * FROM [Table 1]"/>
  </connection>
</connections>
</file>

<file path=xl/sharedStrings.xml><?xml version="1.0" encoding="utf-8"?>
<sst xmlns="http://schemas.openxmlformats.org/spreadsheetml/2006/main" count="554" uniqueCount="460">
  <si>
    <t>Ingresos</t>
  </si>
  <si>
    <t>Margen Operativo</t>
  </si>
  <si>
    <t>Insiders Own:</t>
  </si>
  <si>
    <t>EBIT</t>
  </si>
  <si>
    <t>+Dep&amp;Amort</t>
  </si>
  <si>
    <t>=EBIDTA</t>
  </si>
  <si>
    <t>Deuda/Activo</t>
  </si>
  <si>
    <t>Precio/Valor en libros</t>
  </si>
  <si>
    <t>AAG</t>
  </si>
  <si>
    <t>Ventas</t>
  </si>
  <si>
    <t>Crecimiento</t>
  </si>
  <si>
    <t>ISR &amp; PTU</t>
  </si>
  <si>
    <t>FNP</t>
  </si>
  <si>
    <t>F(t)</t>
  </si>
  <si>
    <t>VPN/Acción</t>
  </si>
  <si>
    <t>VPN*@i%</t>
  </si>
  <si>
    <t>Calificación (S&amp;P)</t>
  </si>
  <si>
    <t>Deuda</t>
  </si>
  <si>
    <t>Utilidad antes de Impuestos</t>
  </si>
  <si>
    <t>Inversiones</t>
  </si>
  <si>
    <t>CVAR</t>
  </si>
  <si>
    <t>Dep&amp;Amort</t>
  </si>
  <si>
    <t>EBIDTA</t>
  </si>
  <si>
    <t>Otros Gastos</t>
  </si>
  <si>
    <t>Precio/Utilidad(p)</t>
  </si>
  <si>
    <t>Precio/FNP (p)</t>
  </si>
  <si>
    <t>Float:</t>
  </si>
  <si>
    <t>Último Año</t>
  </si>
  <si>
    <t>Outstanding Shares</t>
  </si>
  <si>
    <t>Market Cap.</t>
  </si>
  <si>
    <t>Cash Flow</t>
  </si>
  <si>
    <t>Investing Activities</t>
  </si>
  <si>
    <t>Año</t>
  </si>
  <si>
    <t>Último Precio</t>
  </si>
  <si>
    <t>+Deuda Total</t>
  </si>
  <si>
    <t>Cash/Precio</t>
  </si>
  <si>
    <t>Margen neto (p)</t>
  </si>
  <si>
    <t>Ebidta/Ingresos(p)</t>
  </si>
  <si>
    <t>Utilidad Neta (p)</t>
  </si>
  <si>
    <t>Utilidad Neta</t>
  </si>
  <si>
    <t>UPA</t>
  </si>
  <si>
    <t>Riesgos</t>
  </si>
  <si>
    <t>Oportunidades</t>
  </si>
  <si>
    <t>Tesis de inversión</t>
  </si>
  <si>
    <t>FNP(p)/Activos</t>
  </si>
  <si>
    <t>=Enterprise Value</t>
  </si>
  <si>
    <t>-Cash</t>
  </si>
  <si>
    <t>EV/Activos</t>
  </si>
  <si>
    <t>"Otros activos"/Activo</t>
  </si>
  <si>
    <t>EV/Ebidta (p)</t>
  </si>
  <si>
    <t>TDY(p)/Precio</t>
  </si>
  <si>
    <t xml:space="preserve">   Perpetuidad</t>
  </si>
  <si>
    <t>"TELP"</t>
  </si>
  <si>
    <t>Margen de Operación (p)</t>
  </si>
  <si>
    <t>ROA</t>
  </si>
  <si>
    <t>Ebidta(p)</t>
  </si>
  <si>
    <t>CIF/Deuda Neta Promedio</t>
  </si>
  <si>
    <t>Supuestos de valuación</t>
  </si>
  <si>
    <t>DCF Value</t>
  </si>
  <si>
    <t>Ebidta/CIF</t>
  </si>
  <si>
    <t>Div. Yield:</t>
  </si>
  <si>
    <t>Profit</t>
  </si>
  <si>
    <t>Deuda/Ebidta</t>
  </si>
  <si>
    <t xml:space="preserve">   DCF 25Y</t>
  </si>
  <si>
    <t>Impacto</t>
  </si>
  <si>
    <t>¿Reporta?</t>
  </si>
  <si>
    <t>Mitigación</t>
  </si>
  <si>
    <t>Semáforo</t>
  </si>
  <si>
    <t>Ambiental</t>
  </si>
  <si>
    <t>Emisiones directas CO2</t>
  </si>
  <si>
    <t>Uso total de agua</t>
  </si>
  <si>
    <t>"Best in class"</t>
  </si>
  <si>
    <t>Total Energy Consumption</t>
  </si>
  <si>
    <t>Waste Management</t>
  </si>
  <si>
    <t>Land Degradation/Deforestation/Biodiversity loss/Animal sufering/…</t>
  </si>
  <si>
    <t>Social</t>
  </si>
  <si>
    <t>% Rotación de empleados</t>
  </si>
  <si>
    <t>Sueldos y compensaciones</t>
  </si>
  <si>
    <t>Temas de reputación</t>
  </si>
  <si>
    <t>Temas de discriminación</t>
  </si>
  <si>
    <t>Seguridad laboral</t>
  </si>
  <si>
    <t>Daños a la salud</t>
  </si>
  <si>
    <t>PXP?</t>
  </si>
  <si>
    <t>Supply chain</t>
  </si>
  <si>
    <t>Community involvement</t>
  </si>
  <si>
    <t>Public Sector</t>
  </si>
  <si>
    <t>Litigios</t>
  </si>
  <si>
    <t>Gobierno</t>
  </si>
  <si>
    <t>Diversidad (Género, edad, industria, región)</t>
  </si>
  <si>
    <t>% independientes</t>
  </si>
  <si>
    <t>CEO/Chairman</t>
  </si>
  <si>
    <t>Auditoría/Consultoría</t>
  </si>
  <si>
    <t>Esquemas de compensación al management</t>
  </si>
  <si>
    <t>Comentarios</t>
  </si>
  <si>
    <t>MITIGACIÓN</t>
  </si>
  <si>
    <t>RANKING</t>
  </si>
  <si>
    <t>IMPACTO</t>
  </si>
  <si>
    <t>PARÁMETROS</t>
  </si>
  <si>
    <t>KSF</t>
  </si>
  <si>
    <t>Acción</t>
  </si>
  <si>
    <t>Div.+Recompra</t>
  </si>
  <si>
    <t>Tasa de descuento:</t>
  </si>
  <si>
    <t>(p) = Promedio de últimos 3 años</t>
  </si>
  <si>
    <t>Análisis ESG</t>
  </si>
  <si>
    <t>Ranking</t>
  </si>
  <si>
    <t>Discounted Cash Flow</t>
  </si>
  <si>
    <r>
      <rPr>
        <b/>
        <sz val="10"/>
        <color indexed="9"/>
        <rFont val="Symbol"/>
        <family val="1"/>
        <charset val="2"/>
      </rPr>
      <t>D</t>
    </r>
    <r>
      <rPr>
        <b/>
        <sz val="10"/>
        <color indexed="9"/>
        <rFont val="Arial"/>
        <family val="2"/>
      </rPr>
      <t xml:space="preserve"> Analista</t>
    </r>
  </si>
  <si>
    <t>Múltiplos</t>
  </si>
  <si>
    <t>*Nota: Estos múltiplos no consideran el promedio de los últimos 3 años, únicamente valores del último año reportado</t>
  </si>
  <si>
    <t>Año termina:</t>
  </si>
  <si>
    <t>Capex</t>
  </si>
  <si>
    <t>Adquisiones</t>
  </si>
  <si>
    <t>Dividends</t>
  </si>
  <si>
    <t>Stock Repurchases</t>
  </si>
  <si>
    <t>FNP (p)</t>
  </si>
  <si>
    <t>FX</t>
  </si>
  <si>
    <t>NOTES:</t>
  </si>
  <si>
    <t>t inversiones; t adq. neto dep.</t>
  </si>
  <si>
    <t>E</t>
  </si>
  <si>
    <t>S</t>
  </si>
  <si>
    <t>G</t>
  </si>
  <si>
    <t>Semáforo ESG</t>
  </si>
  <si>
    <t>ROIC</t>
  </si>
  <si>
    <t>ESG</t>
  </si>
  <si>
    <t>Riesgos claros</t>
  </si>
  <si>
    <t>Deuda/Activos</t>
  </si>
  <si>
    <t>Activos</t>
  </si>
  <si>
    <t>EPS</t>
  </si>
  <si>
    <t>E$/UN</t>
  </si>
  <si>
    <t>EEV/EBIDA</t>
  </si>
  <si>
    <t>% Short</t>
  </si>
  <si>
    <t>Participación adicional del CEO en otros consejos o excesiva del Ch.</t>
  </si>
  <si>
    <t>Salidas recientes de consejeros/C-level executives?</t>
  </si>
  <si>
    <t>t liq. (Pos prom./Vol.)</t>
  </si>
  <si>
    <t>PO / Precio Stand By</t>
  </si>
  <si>
    <t>Transparencia (segmentos, fuente de riqueza, adquisiciones, otros)</t>
  </si>
  <si>
    <t xml:space="preserve">Factor D&amp;A </t>
  </si>
  <si>
    <t>CP</t>
  </si>
  <si>
    <t>LP</t>
  </si>
  <si>
    <t>CHECKLIST</t>
  </si>
  <si>
    <t>Peer Analysis</t>
  </si>
  <si>
    <t>Consenso</t>
  </si>
  <si>
    <t>PO/Stand By</t>
  </si>
  <si>
    <t>Activo:</t>
  </si>
  <si>
    <t>Pasivo:</t>
  </si>
  <si>
    <t>CER</t>
  </si>
  <si>
    <t>Consenso EPS</t>
  </si>
  <si>
    <t>Acuerdo</t>
  </si>
  <si>
    <t>Depreciación</t>
  </si>
  <si>
    <t>Capex + Adq</t>
  </si>
  <si>
    <t>Invertir</t>
  </si>
  <si>
    <t>NO invertir</t>
  </si>
  <si>
    <t>Mantener sin elevar posición</t>
  </si>
  <si>
    <t>Mantener (y seguir comprando)</t>
  </si>
  <si>
    <t>Liquidar</t>
  </si>
  <si>
    <t>PENDIENTE</t>
  </si>
  <si>
    <t>Tenencia % (nac/int'l)</t>
  </si>
  <si>
    <t>Factor CIF</t>
  </si>
  <si>
    <t>Factor ISR</t>
  </si>
  <si>
    <t>Factor inv</t>
  </si>
  <si>
    <t>Suma D&amp;A</t>
  </si>
  <si>
    <t>Suma Inv.</t>
  </si>
  <si>
    <t>Inv.+Goodwill</t>
  </si>
  <si>
    <t>Liquidez y Solvencia</t>
  </si>
  <si>
    <t>Float</t>
  </si>
  <si>
    <t>(Capex + Adq.)/Revenue</t>
  </si>
  <si>
    <t>VER DCF</t>
  </si>
  <si>
    <t>SIC: Sí</t>
  </si>
  <si>
    <t>**Cifras en USD</t>
  </si>
  <si>
    <t>Tax (p) últ. 5a</t>
  </si>
  <si>
    <t>2019 (Real)</t>
  </si>
  <si>
    <t>CIF</t>
  </si>
  <si>
    <t>CAGR</t>
  </si>
  <si>
    <t>Deuda/EBITDA</t>
  </si>
  <si>
    <t>Millones de USD</t>
  </si>
  <si>
    <t>Inversiones y Capex</t>
  </si>
  <si>
    <t>tiempo promedio como consejeros independientes</t>
  </si>
  <si>
    <t>Tiempo que tardan en reportar luego del final del trimestre/año</t>
  </si>
  <si>
    <t>Pros y Cons</t>
  </si>
  <si>
    <t>https://www.apple.com/newsroom/2020/03/apples-covid-19-response/</t>
  </si>
  <si>
    <t>https://glg.it/articles/how-might-the-wuhan-coronavirus-impact-apples-supply-chain/</t>
  </si>
  <si>
    <t>https://www.cnbc.com/2020/02/18/the-significance-of-apples-coronavirus-warning.html</t>
  </si>
  <si>
    <t>March 13</t>
  </si>
  <si>
    <t>January 29</t>
  </si>
  <si>
    <t>Ferbuary 18</t>
  </si>
  <si>
    <t>Otros:</t>
  </si>
  <si>
    <t>https://www.macrumors.com/guide/covid-19-coronavirus/</t>
  </si>
  <si>
    <t>2020 (Real)</t>
  </si>
  <si>
    <t>ROA (p)</t>
  </si>
  <si>
    <t>ROIC (p)</t>
  </si>
  <si>
    <t>b</t>
  </si>
  <si>
    <t>Precio/Utilidad</t>
  </si>
  <si>
    <t>EV/Ebitda</t>
  </si>
  <si>
    <t>Analista: Research</t>
  </si>
  <si>
    <t>Deuda + Lease Liabilities</t>
  </si>
  <si>
    <t xml:space="preserve"> </t>
  </si>
  <si>
    <t>Normal</t>
  </si>
  <si>
    <t>Duración</t>
  </si>
  <si>
    <r>
      <t xml:space="preserve">b </t>
    </r>
    <r>
      <rPr>
        <sz val="10"/>
        <rFont val="Arial"/>
        <family val="2"/>
      </rPr>
      <t>(Bloomberg; Yahoo)</t>
    </r>
  </si>
  <si>
    <t>Cash Flow from Operations (BWC)</t>
  </si>
  <si>
    <t>Working Capital</t>
  </si>
  <si>
    <t>Endeudamiento Neto</t>
  </si>
  <si>
    <t>Otros Financiemientos</t>
  </si>
  <si>
    <t>4.0%; 4.4%; 5%</t>
  </si>
  <si>
    <t>Bonos 1;5;40a (USD)</t>
  </si>
  <si>
    <t>Multiplos (USD)</t>
  </si>
  <si>
    <t>Precio/Ventas</t>
  </si>
  <si>
    <t>(risks)</t>
  </si>
  <si>
    <t>(opportunities)</t>
  </si>
  <si>
    <t>(write the peers' names here)</t>
  </si>
  <si>
    <t>2024 Est.</t>
  </si>
  <si>
    <t>(You can make up a table with different indicators in order to link them to the multiples/ratios. At the end, put the table unvisible with white color)</t>
  </si>
  <si>
    <t>NONE</t>
  </si>
  <si>
    <t>LOW</t>
  </si>
  <si>
    <t>MEDIUM</t>
  </si>
  <si>
    <t>HIGH</t>
  </si>
  <si>
    <t>Medium high</t>
  </si>
  <si>
    <t>Medium</t>
  </si>
  <si>
    <t>"Villain"</t>
  </si>
  <si>
    <t>Is there evidence of progam/plan/etc…</t>
  </si>
  <si>
    <t>TRAFFIC LIGHTS</t>
  </si>
  <si>
    <t>(date of last modification)</t>
  </si>
  <si>
    <t>Rentabilidad (2024)</t>
  </si>
  <si>
    <t>Description: POOLCORP is the world's largest wholesale distributor of swimming pool and related outdoor living products operating approximately 440 sales centers in North America, Europe and Australia.</t>
  </si>
  <si>
    <t>Latham Group Inc.</t>
  </si>
  <si>
    <t>(SWIM)</t>
  </si>
  <si>
    <t>XNAS</t>
  </si>
  <si>
    <t>Pool Corporation</t>
  </si>
  <si>
    <t>Hawkins Inc.</t>
  </si>
  <si>
    <t>(HWKN)</t>
  </si>
  <si>
    <t>(POOL)</t>
  </si>
  <si>
    <t>(HAYW)</t>
  </si>
  <si>
    <r>
      <t>CEO &amp; BOARD: Peter D. Arvan</t>
    </r>
    <r>
      <rPr>
        <sz val="9.5"/>
        <rFont val="Arial"/>
        <family val="2"/>
      </rPr>
      <t>, President and CEO of Pool Corporation since 2019, Mr. Arvan served as Chief Executive Officer of Roofing Supply Group from 2013 to 2015, and as President of SABIC Polymershapes from 2004 to 2013.</t>
    </r>
    <r>
      <rPr>
        <b/>
        <sz val="9.5"/>
        <rFont val="Arial"/>
        <family val="2"/>
      </rPr>
      <t xml:space="preserve"> Manuel J. Perez de la Mesa</t>
    </r>
    <r>
      <rPr>
        <sz val="9.5"/>
        <rFont val="Arial"/>
        <family val="2"/>
      </rPr>
      <t xml:space="preserve">, Vice Chairman of the Board, Retired, Former President and Chief Executive Officer of Pool Corporation. </t>
    </r>
    <r>
      <rPr>
        <b/>
        <sz val="9.5"/>
        <rFont val="Arial"/>
        <family val="2"/>
      </rPr>
      <t>John E. Stokely</t>
    </r>
    <r>
      <rPr>
        <sz val="9.5"/>
        <rFont val="Arial"/>
        <family val="2"/>
      </rPr>
      <t xml:space="preserve">, Non-Executive Chairman of the Board, Director Since: 2000, Mr. Stokely served as President, Chief Executive Officer and Chairman of Richfood Holdings, Inc., a regional Fortune 500 wholesale food distributor and operator of retail grocery stores. </t>
    </r>
    <r>
      <rPr>
        <b/>
        <sz val="9.5"/>
        <rFont val="Arial"/>
        <family val="2"/>
      </rPr>
      <t xml:space="preserve">Martha "Marty" S. Gervasi, </t>
    </r>
    <r>
      <rPr>
        <sz val="9.5"/>
        <rFont val="Arial"/>
        <family val="2"/>
      </rPr>
      <t xml:space="preserve">Non-Executive Chairman, Ms. Gervasi served as Chief Human Resources Officer of The Hartford Financial Services Group from 2012 until her retirement in 2020. </t>
    </r>
    <r>
      <rPr>
        <b/>
        <sz val="9.5"/>
        <rFont val="Arial"/>
        <family val="2"/>
      </rPr>
      <t xml:space="preserve">James "Jim" D. Hope, </t>
    </r>
    <r>
      <rPr>
        <sz val="9.5"/>
        <rFont val="Arial"/>
        <family val="2"/>
      </rPr>
      <t xml:space="preserve">Non-Executive Chairman, Prior to his retirement in December of 2022, Mr. Hope served as the Chief Financial Officer of Performance Food Group Company. </t>
    </r>
    <r>
      <rPr>
        <b/>
        <sz val="9.5"/>
        <rFont val="Arial"/>
        <family val="2"/>
      </rPr>
      <t xml:space="preserve">Kevin Murphy,  </t>
    </r>
    <r>
      <rPr>
        <sz val="9.5"/>
        <rFont val="Arial"/>
        <family val="2"/>
      </rPr>
      <t xml:space="preserve">Non-Executive Chairman, CEO at Ferguson. </t>
    </r>
    <r>
      <rPr>
        <b/>
        <sz val="9.5"/>
        <rFont val="Arial"/>
        <family val="2"/>
      </rPr>
      <t xml:space="preserve">Debra S. Oler,  </t>
    </r>
    <r>
      <rPr>
        <sz val="9.5"/>
        <rFont val="Arial"/>
        <family val="2"/>
      </rPr>
      <t xml:space="preserve">Non-Executive Chairman, Retired, Former Senior Vice President/President North American Sales and Service of W.W. Grainger, Inc. </t>
    </r>
    <r>
      <rPr>
        <b/>
        <sz val="9.5"/>
        <rFont val="Arial"/>
        <family val="2"/>
      </rPr>
      <t>Carlos A. Sabater</t>
    </r>
    <r>
      <rPr>
        <sz val="9.5"/>
        <rFont val="Arial"/>
        <family val="2"/>
      </rPr>
      <t xml:space="preserve">, Non-Executive Chairman, Retired, Former Senior Global Partner at Deloitte &amp; Touche LLP. </t>
    </r>
    <r>
      <rPr>
        <b/>
        <sz val="9.5"/>
        <rFont val="Arial"/>
        <family val="2"/>
      </rPr>
      <t>David G. Whalen</t>
    </r>
    <r>
      <rPr>
        <sz val="9.5"/>
        <rFont val="Arial"/>
        <family val="2"/>
      </rPr>
      <t>, Non-Executive Chairman, Retired, former President and Chief Executive Officer, A.T. Cross Company</t>
    </r>
    <r>
      <rPr>
        <b/>
        <sz val="9.5"/>
        <rFont val="Arial"/>
        <family val="2"/>
      </rPr>
      <t>.</t>
    </r>
  </si>
  <si>
    <t>31/12/X</t>
  </si>
  <si>
    <t>Consumer Discretionary</t>
  </si>
  <si>
    <t>The Company will release its full year and fourth quarter 2024 earnings results before the market opens on February 20, 2025</t>
  </si>
  <si>
    <t>Berkshire Hathaway current holds a position of 404,057 stock of POOL, worth $152.25m at the time. The stake was acquired in Q3 2024.</t>
  </si>
  <si>
    <t>"Pool Corp (NASDAQ:POOL) is also run by a seasoned team and its management and board of directors is committed to return capital to shareholders through dividends and buybacks."</t>
  </si>
  <si>
    <t>Margen Operativo 2024</t>
  </si>
  <si>
    <t>Crecimiento (TTM)</t>
  </si>
  <si>
    <t>2011 Y</t>
  </si>
  <si>
    <t>2012 Y</t>
  </si>
  <si>
    <t>2013 Y</t>
  </si>
  <si>
    <t>2014 Y</t>
  </si>
  <si>
    <t>2015 Y</t>
  </si>
  <si>
    <t>2016 Y</t>
  </si>
  <si>
    <t>2017 Y</t>
  </si>
  <si>
    <t>2018 Y</t>
  </si>
  <si>
    <t>2019 Y</t>
  </si>
  <si>
    <t>2020 Y</t>
  </si>
  <si>
    <t>2021 Y</t>
  </si>
  <si>
    <t>2022 Y</t>
  </si>
  <si>
    <t>2023 Y</t>
  </si>
  <si>
    <t>TTM</t>
  </si>
  <si>
    <t>Revenue per Share</t>
  </si>
  <si>
    <t>44.94</t>
  </si>
  <si>
    <t>50.73</t>
  </si>
  <si>
    <t>54.82</t>
  </si>
  <si>
    <t>61.4</t>
  </si>
  <si>
    <t>68.27</t>
  </si>
  <si>
    <t>74.37</t>
  </si>
  <si>
    <t>80.32</t>
  </si>
  <si>
    <t>98.16</t>
  </si>
  <si>
    <t>Basic EPS, GAAP</t>
  </si>
  <si>
    <t>2.1</t>
  </si>
  <si>
    <t>2.5</t>
  </si>
  <si>
    <t>2.98</t>
  </si>
  <si>
    <t>3.56</t>
  </si>
  <si>
    <t>4.69</t>
  </si>
  <si>
    <t>5.82</t>
  </si>
  <si>
    <t>6.57</t>
  </si>
  <si>
    <t>9.14</t>
  </si>
  <si>
    <t>Free Cash Flow per Basic Share</t>
  </si>
  <si>
    <t>1.87</t>
  </si>
  <si>
    <t>2.36</t>
  </si>
  <si>
    <t>2.71</t>
  </si>
  <si>
    <t>3.13</t>
  </si>
  <si>
    <t>3.33</t>
  </si>
  <si>
    <t>2.16</t>
  </si>
  <si>
    <t>6.66</t>
  </si>
  <si>
    <t>9.37</t>
  </si>
  <si>
    <t>Dividend per Share</t>
  </si>
  <si>
    <t>0.73</t>
  </si>
  <si>
    <t>0.85</t>
  </si>
  <si>
    <t>1</t>
  </si>
  <si>
    <t>1.19</t>
  </si>
  <si>
    <t>1.42</t>
  </si>
  <si>
    <t>1.72</t>
  </si>
  <si>
    <t>2.29</t>
  </si>
  <si>
    <t>Book Value per Share</t>
  </si>
  <si>
    <t>-0.59</t>
  </si>
  <si>
    <t>-2.05</t>
  </si>
  <si>
    <t>-2.43</t>
  </si>
  <si>
    <t>-4.39</t>
  </si>
  <si>
    <t>-4.81</t>
  </si>
  <si>
    <t>-5.42</t>
  </si>
  <si>
    <t>-1.62</t>
  </si>
  <si>
    <t>3.34</t>
  </si>
  <si>
    <t>Tangible Book Value per Share</t>
  </si>
  <si>
    <t>2.25</t>
  </si>
  <si>
    <t>1.32</t>
  </si>
  <si>
    <t>1.65</t>
  </si>
  <si>
    <t>0.17</t>
  </si>
  <si>
    <t>0.5</t>
  </si>
  <si>
    <t>0.57</t>
  </si>
  <si>
    <t>5.29</t>
  </si>
  <si>
    <t>8.95</t>
  </si>
  <si>
    <t>Basic Weighted Avg Shares</t>
  </si>
  <si>
    <t>46</t>
  </si>
  <si>
    <t>44</t>
  </si>
  <si>
    <t>43</t>
  </si>
  <si>
    <t>42</t>
  </si>
  <si>
    <t>41</t>
  </si>
  <si>
    <t>40</t>
  </si>
  <si>
    <t>Sales/Revenue/Turnover</t>
  </si>
  <si>
    <t>2,080</t>
  </si>
  <si>
    <t>2,247</t>
  </si>
  <si>
    <t>2,363</t>
  </si>
  <si>
    <t>2,571</t>
  </si>
  <si>
    <t>2,788</t>
  </si>
  <si>
    <t>2,998</t>
  </si>
  <si>
    <t>3,200</t>
  </si>
  <si>
    <t>3,937</t>
  </si>
  <si>
    <t>Operating Margin (%)</t>
  </si>
  <si>
    <t>7.96</t>
  </si>
  <si>
    <t>8.41</t>
  </si>
  <si>
    <t>9.15</t>
  </si>
  <si>
    <t>9.95</t>
  </si>
  <si>
    <t>10.2</t>
  </si>
  <si>
    <t>10.47</t>
  </si>
  <si>
    <t>10.67</t>
  </si>
  <si>
    <t>11.96</t>
  </si>
  <si>
    <t>Depreciation Expense</t>
  </si>
  <si>
    <t>15</t>
  </si>
  <si>
    <t>16</t>
  </si>
  <si>
    <t>17</t>
  </si>
  <si>
    <t>22</t>
  </si>
  <si>
    <t>26</t>
  </si>
  <si>
    <t>28</t>
  </si>
  <si>
    <t>29</t>
  </si>
  <si>
    <t>Net Income, GAAP</t>
  </si>
  <si>
    <t>97</t>
  </si>
  <si>
    <t>111</t>
  </si>
  <si>
    <t>128</t>
  </si>
  <si>
    <t>149</t>
  </si>
  <si>
    <t>192</t>
  </si>
  <si>
    <t>234</t>
  </si>
  <si>
    <t>262</t>
  </si>
  <si>
    <t>367</t>
  </si>
  <si>
    <t>Effective Tax Rate (%)</t>
  </si>
  <si>
    <t>38.8</t>
  </si>
  <si>
    <t>38.9</t>
  </si>
  <si>
    <t>38.5</t>
  </si>
  <si>
    <t>28.97</t>
  </si>
  <si>
    <t>20.06</t>
  </si>
  <si>
    <t>17.69</t>
  </si>
  <si>
    <t>18.87</t>
  </si>
  <si>
    <t>Profit Margin (%)</t>
  </si>
  <si>
    <t>4.68</t>
  </si>
  <si>
    <t>4.93</t>
  </si>
  <si>
    <t>5.43</t>
  </si>
  <si>
    <t>5.79</t>
  </si>
  <si>
    <t>6.87</t>
  </si>
  <si>
    <t>7.82</t>
  </si>
  <si>
    <t>8.18</t>
  </si>
  <si>
    <t>9.32</t>
  </si>
  <si>
    <t>314</t>
  </si>
  <si>
    <t>345</t>
  </si>
  <si>
    <t>357</t>
  </si>
  <si>
    <t>399</t>
  </si>
  <si>
    <t>461</t>
  </si>
  <si>
    <t>610</t>
  </si>
  <si>
    <t>583</t>
  </si>
  <si>
    <t>639</t>
  </si>
  <si>
    <t>LT Debt</t>
  </si>
  <si>
    <t>246</t>
  </si>
  <si>
    <t>319</t>
  </si>
  <si>
    <t>326</t>
  </si>
  <si>
    <t>437</t>
  </si>
  <si>
    <t>509</t>
  </si>
  <si>
    <t>658</t>
  </si>
  <si>
    <t>622</t>
  </si>
  <si>
    <t>551</t>
  </si>
  <si>
    <t>Total Equity</t>
  </si>
  <si>
    <t>286</t>
  </si>
  <si>
    <t>244</t>
  </si>
  <si>
    <t>256</t>
  </si>
  <si>
    <t>205</t>
  </si>
  <si>
    <t>223</t>
  </si>
  <si>
    <t>224</t>
  </si>
  <si>
    <t>410</t>
  </si>
  <si>
    <t>Return on Invested Capital (%)</t>
  </si>
  <si>
    <t>19.25</t>
  </si>
  <si>
    <t>20.74</t>
  </si>
  <si>
    <t>22.82</t>
  </si>
  <si>
    <t>25.29</t>
  </si>
  <si>
    <t>28.81</t>
  </si>
  <si>
    <t>30.43</t>
  </si>
  <si>
    <t>27.97</t>
  </si>
  <si>
    <t>31.93</t>
  </si>
  <si>
    <t>Return on Capital (%)</t>
  </si>
  <si>
    <t>44.55</t>
  </si>
  <si>
    <t>51.14</t>
  </si>
  <si>
    <t>58.77</t>
  </si>
  <si>
    <t>66.26</t>
  </si>
  <si>
    <t>70.2</t>
  </si>
  <si>
    <t>65.11</t>
  </si>
  <si>
    <t>52.39</t>
  </si>
  <si>
    <t>54.49</t>
  </si>
  <si>
    <t>Return on Common Equity (%)</t>
  </si>
  <si>
    <t>- -</t>
  </si>
  <si>
    <r>
      <t>D</t>
    </r>
    <r>
      <rPr>
        <b/>
        <sz val="10"/>
        <color theme="1"/>
        <rFont val="Arial"/>
        <family val="2"/>
      </rPr>
      <t xml:space="preserve"> Cash and Equivalents</t>
    </r>
  </si>
  <si>
    <r>
      <t>Inv/</t>
    </r>
    <r>
      <rPr>
        <sz val="10"/>
        <color theme="1"/>
        <rFont val="Symbol"/>
        <family val="1"/>
        <charset val="2"/>
      </rPr>
      <t>D</t>
    </r>
    <r>
      <rPr>
        <sz val="10"/>
        <color theme="1"/>
        <rFont val="Arial"/>
        <family val="2"/>
      </rPr>
      <t xml:space="preserve"> Vts</t>
    </r>
  </si>
  <si>
    <t>Column1</t>
  </si>
  <si>
    <t>https://www.roic.ai/quote/POOL</t>
  </si>
  <si>
    <t>Data extracted from:</t>
  </si>
  <si>
    <t>POOL</t>
  </si>
  <si>
    <t>Activo</t>
  </si>
  <si>
    <t>Margen</t>
  </si>
  <si>
    <r>
      <t xml:space="preserve">Pool Corporation is the world’s largest wholesale distributor of swimming pool and backyard products, operating over 440 sales centers across North America, Europe, and Australia. With strong market postion, the company generates constant shareholdervalue by re-acquiring shares and distribuiting dividends. This value delivered probably attracted warren buffet into the business, which he bought part. 
Pool have shown consistent growth in their operating margin, net sales and free cash flow over the past years. The balance sheet is robust, with total assets near $3.43B and total liabilities around $2.33B, they have </t>
    </r>
    <r>
      <rPr>
        <sz val="9"/>
        <color theme="1"/>
        <rFont val="Arial"/>
        <family val="2"/>
      </rPr>
      <t>healthy stockholders's equity</t>
    </r>
    <r>
      <rPr>
        <sz val="9"/>
        <rFont val="Arial"/>
        <family val="2"/>
      </rPr>
      <t xml:space="preserve"> that supports liquidity and growth iniatiatives. Pool Corporation’s </t>
    </r>
    <r>
      <rPr>
        <b/>
        <sz val="9"/>
        <rFont val="Arial"/>
        <family val="2"/>
      </rPr>
      <t>resilient business model</t>
    </r>
    <r>
      <rPr>
        <sz val="9"/>
        <rFont val="Arial"/>
        <family val="2"/>
      </rPr>
      <t xml:space="preserve">, </t>
    </r>
    <r>
      <rPr>
        <b/>
        <sz val="9"/>
        <rFont val="Arial"/>
        <family val="2"/>
      </rPr>
      <t>efficient capital managemen</t>
    </r>
    <r>
      <rPr>
        <sz val="9"/>
        <rFont val="Arial"/>
        <family val="2"/>
      </rPr>
      <t xml:space="preserve">t, and </t>
    </r>
    <r>
      <rPr>
        <b/>
        <sz val="9"/>
        <rFont val="Arial"/>
        <family val="2"/>
      </rPr>
      <t xml:space="preserve">strong cash generation, </t>
    </r>
    <r>
      <rPr>
        <sz val="9"/>
        <rFont val="Arial"/>
        <family val="2"/>
      </rPr>
      <t>position it well for sustainable growth and attractive returns in a mature yet evolving industry.</t>
    </r>
  </si>
  <si>
    <t>Div+Recompra</t>
  </si>
  <si>
    <t>Capex + Acq</t>
  </si>
  <si>
    <t>Pool Corp’s key success factor is its extensive, efficient distribution network that ensures timely product availability and superior customer service, driving market leadership in the pool supplies industry.</t>
  </si>
  <si>
    <r>
      <rPr>
        <sz val="9"/>
        <color theme="1"/>
        <rFont val="Arial"/>
        <family val="2"/>
      </rPr>
      <t>(historical stock price of the company and its peers; source: Bloomberg)</t>
    </r>
    <r>
      <rPr>
        <b/>
        <sz val="9"/>
        <color theme="1"/>
        <rFont val="Arial"/>
        <family val="2"/>
      </rPr>
      <t xml:space="preserve"> CHECK RATIOS SHEET!</t>
    </r>
  </si>
  <si>
    <t>=</t>
  </si>
  <si>
    <t>Sales 2024 1S</t>
  </si>
  <si>
    <t>Sales 2020 1S</t>
  </si>
  <si>
    <t>Crecimiento (1S24/1S20)</t>
  </si>
  <si>
    <t>Hayward Holdings Inc.</t>
  </si>
  <si>
    <t>Margen Operativo 2023</t>
  </si>
  <si>
    <t>Best in Class</t>
  </si>
  <si>
    <t>Medium High</t>
  </si>
  <si>
    <t>Sí</t>
  </si>
  <si>
    <t>No</t>
  </si>
  <si>
    <t>Villain</t>
  </si>
  <si>
    <t>N/A</t>
  </si>
  <si>
    <t>Sín envolvimento con setor público</t>
  </si>
  <si>
    <t xml:space="preserve">Género en Gerencia: 81% Hombre 19% Mujer; Demás Empleados: 81% Hombre 19% Mujer.                                                                                              Representación racial/étnica en Gerencia: 75% blanca, 1% asiática, 4% negra, 17% hispana, 3% otra; Demás Empleados: 55% blanca, 1% asiática, 14% negra, 26% hispana, 4% otra.   </t>
  </si>
  <si>
    <t>CEO no es el chairmain y está en el board de una LLC, Plaskolite</t>
  </si>
  <si>
    <t>Se alinea con los estándares SASB y publica un Informe de Responsabilidad Corporativa detallado.</t>
  </si>
  <si>
    <t>Informacíon no fue disponibilisada</t>
  </si>
  <si>
    <t xml:space="preserve">Medium </t>
  </si>
  <si>
    <t>In-Store: Tasa de rotación voluntaria: 36% (excluyendo trabajadores temporales). Tasa de rotación involuntaria: 10%.</t>
  </si>
  <si>
    <t>Mantiene relaciones estratégicas con proveedores globales.</t>
  </si>
  <si>
    <t>No se reportaron pérdidas monetarias por violaciones de leyes laborales.</t>
  </si>
  <si>
    <t>No se reportan litigios específicos por discriminación y tienen Ethics and Discrimination policies.</t>
  </si>
  <si>
    <t>No se informaron incidentes graves y tienen un Health and Safety policy.</t>
  </si>
  <si>
    <t>A través del programa "Swimpact!", Pool Corp ha patrocinado 42,000 lecciones de natación y la capacitación de 3,000 salvavidas.</t>
  </si>
  <si>
    <t>La empresa ha sido reconocida por su compromiso con la sostenibilidad y la seguridad.</t>
  </si>
  <si>
    <t>Salario promedio por hora: $20.86 USD; 0% de los empleados de tienda ganan el salario mínimo</t>
  </si>
  <si>
    <t>Se desviaron 7,857 toneladas de materiales de los vertederos, logrando una tasa de desviación del 17%.</t>
  </si>
  <si>
    <t>151,676 GJ en 2022; 60.7% provino de electricidad de la red.</t>
  </si>
  <si>
    <t>Gastaron 10 veces minos de sus competidores</t>
  </si>
  <si>
    <t xml:space="preserve">En 2022, las emisiones directas de gases de efecto invernadero (Alcance 1) de la flota de vehículos de Pool Corporation fueron 35,189 toneladas métricas de CO₂ equivalente (MtCO₂e). </t>
  </si>
  <si>
    <t>Ningun reportado</t>
  </si>
  <si>
    <t>Peter D. Arvan es el CEO y presidente de la empresa. El chairman es John E. Stokely y el Vice-Chairman  es Manuel Perez de la Mesa (ex-CEO de POOL corp.) ningun de los dos es executivo.</t>
  </si>
  <si>
    <t>Company has Executive and Director share ownership guidelines,  half of the compensation is usually granted in Salaries and Bonuses(Non-Equity Incentives) and the other half in stock awards.</t>
  </si>
  <si>
    <t>Sí(para in-store)</t>
  </si>
  <si>
    <t>Final de Febrebro (10k), 30/31-Abril,Junio, Octubre(10Q)</t>
  </si>
  <si>
    <t>Auditor(Ernst &amp; Young) has been employed for over 30 years with company, audit committee is composed of only independent directors and receives no outside fees or bonuses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</si>
</sst>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164" formatCode="_-* #,##0.00_-;\-* #,##0.00_-;_-* &quot;-&quot;??_-;_-@_-"/>
    <numFmt numFmtId="165" formatCode="_-* #,##0.00\ &quot;€&quot;_-;\-* #,##0.00\ &quot;€&quot;_-;_-* &quot;-&quot;??\ &quot;€&quot;_-;_-@_-"/>
    <numFmt numFmtId="166" formatCode="&quot;$&quot;#,##0;[Red]\-&quot;$&quot;#,##0"/>
    <numFmt numFmtId="167" formatCode="&quot;$&quot;#,##0.00;[Red]\-&quot;$&quot;#,##0.00"/>
    <numFmt numFmtId="168" formatCode="_-&quot;$&quot;* #,##0.00_-;\-&quot;$&quot;* #,##0.00_-;_-&quot;$&quot;* &quot;-&quot;??_-;_-@_-"/>
    <numFmt numFmtId="169" formatCode="&quot;$&quot;#,##0.00"/>
    <numFmt numFmtId="170" formatCode="&quot;$&quot;#,##0.0"/>
    <numFmt numFmtId="171" formatCode="&quot;$&quot;#,##0"/>
    <numFmt numFmtId="172" formatCode="0.0%"/>
    <numFmt numFmtId="173" formatCode="0.0"/>
    <numFmt numFmtId="174" formatCode="#,##0.0"/>
    <numFmt numFmtId="175" formatCode="0.000"/>
    <numFmt numFmtId="176" formatCode="_-[$$-409]* #,##0.00_ ;_-[$$-409]* \-#,##0.00\ ;_-[$$-409]* &quot;-&quot;??_ ;_-@_ "/>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sz val="7.9"/>
      <name val="Arial"/>
      <family val="2"/>
    </font>
    <font>
      <b/>
      <sz val="9"/>
      <color indexed="8"/>
      <name val="Arial"/>
      <family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b/>
      <sz val="9.3000000000000007"/>
      <name val="Arial"/>
      <family val="2"/>
    </font>
    <font>
      <sz val="8"/>
      <name val="Arial"/>
      <family val="2"/>
    </font>
    <font>
      <b/>
      <sz val="10"/>
      <color indexed="9"/>
      <name val="Symbol"/>
      <family val="1"/>
      <charset val="2"/>
    </font>
    <font>
      <b/>
      <sz val="9.5"/>
      <name val="Arial"/>
      <family val="2"/>
    </font>
    <font>
      <sz val="9.5"/>
      <name val="Arial"/>
      <family val="2"/>
    </font>
    <font>
      <b/>
      <sz val="9"/>
      <name val="Arial"/>
      <family val="2"/>
    </font>
    <font>
      <sz val="10"/>
      <name val="Arial"/>
      <family val="2"/>
    </font>
    <font>
      <sz val="12"/>
      <name val="Arial"/>
      <family val="2"/>
    </font>
    <font>
      <sz val="9"/>
      <color indexed="81"/>
      <name val="Tahoma"/>
      <family val="2"/>
    </font>
    <font>
      <sz val="11"/>
      <color theme="1"/>
      <name val="Calibri"/>
      <family val="2"/>
      <scheme val="minor"/>
    </font>
    <font>
      <sz val="10"/>
      <color rgb="FFFF0000"/>
      <name val="Arial"/>
      <family val="2"/>
    </font>
    <font>
      <sz val="10"/>
      <color theme="0"/>
      <name val="Arial"/>
      <family val="2"/>
    </font>
    <font>
      <sz val="10"/>
      <color rgb="FF00B0F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0"/>
      <color rgb="FF002060"/>
      <name val="Arial"/>
      <family val="2"/>
    </font>
    <font>
      <b/>
      <sz val="11"/>
      <color theme="0"/>
      <name val="Arial"/>
      <family val="2"/>
    </font>
    <font>
      <b/>
      <sz val="16"/>
      <color theme="0"/>
      <name val="Arial"/>
      <family val="2"/>
    </font>
    <font>
      <sz val="7.9"/>
      <color theme="0"/>
      <name val="Arial"/>
      <family val="2"/>
    </font>
    <font>
      <b/>
      <sz val="9"/>
      <color indexed="81"/>
      <name val="Tahoma"/>
      <family val="2"/>
    </font>
    <font>
      <sz val="10"/>
      <color rgb="FF0070C0"/>
      <name val="Arial"/>
      <family val="2"/>
    </font>
    <font>
      <sz val="10"/>
      <color rgb="FF92D050"/>
      <name val="Arial"/>
      <family val="2"/>
    </font>
    <font>
      <u/>
      <sz val="10"/>
      <color theme="0"/>
      <name val="Arial"/>
      <family val="2"/>
    </font>
    <font>
      <b/>
      <sz val="10"/>
      <color rgb="FF0070C0"/>
      <name val="Arial"/>
      <family val="2"/>
    </font>
    <font>
      <sz val="10"/>
      <color rgb="FF002060"/>
      <name val="Arial"/>
      <family val="2"/>
    </font>
    <font>
      <sz val="11"/>
      <color theme="0"/>
      <name val="Calibri"/>
      <family val="2"/>
      <scheme val="minor"/>
    </font>
    <font>
      <b/>
      <sz val="7.2"/>
      <color theme="0"/>
      <name val="Arial"/>
      <family val="2"/>
    </font>
    <font>
      <sz val="10"/>
      <color rgb="FF000000"/>
      <name val="Arial"/>
      <family val="2"/>
    </font>
    <font>
      <sz val="10"/>
      <color theme="1"/>
      <name val="Arial"/>
      <family val="2"/>
    </font>
    <font>
      <b/>
      <sz val="10"/>
      <color rgb="FF000000"/>
      <name val="Tahoma"/>
      <family val="2"/>
    </font>
    <font>
      <sz val="10"/>
      <color rgb="FF000000"/>
      <name val="Tahoma"/>
      <family val="2"/>
    </font>
    <font>
      <b/>
      <sz val="9"/>
      <color rgb="FF000000"/>
      <name val="Tahoma"/>
      <family val="2"/>
    </font>
    <font>
      <sz val="12"/>
      <color theme="1"/>
      <name val="Calibri"/>
      <family val="2"/>
    </font>
    <font>
      <sz val="16"/>
      <color theme="1"/>
      <name val="Arial"/>
      <family val="2"/>
    </font>
    <font>
      <sz val="9"/>
      <color indexed="81"/>
      <name val="Tahoma"/>
      <charset val="1"/>
    </font>
    <font>
      <b/>
      <sz val="9"/>
      <color indexed="81"/>
      <name val="Tahoma"/>
      <charset val="1"/>
    </font>
    <font>
      <b/>
      <sz val="7"/>
      <name val="Arial"/>
      <family val="2"/>
    </font>
    <font>
      <b/>
      <sz val="10"/>
      <color theme="1"/>
      <name val="Arial"/>
      <family val="2"/>
    </font>
    <font>
      <b/>
      <sz val="10"/>
      <color theme="1"/>
      <name val="Symbol"/>
      <family val="1"/>
      <charset val="2"/>
    </font>
    <font>
      <sz val="10"/>
      <color theme="1"/>
      <name val="Symbol"/>
      <family val="1"/>
      <charset val="2"/>
    </font>
    <font>
      <b/>
      <sz val="9"/>
      <color theme="1"/>
      <name val="Arial"/>
      <family val="2"/>
    </font>
    <font>
      <sz val="10"/>
      <name val="Arial"/>
    </font>
    <font>
      <sz val="9"/>
      <name val="Arial"/>
      <family val="2"/>
    </font>
    <font>
      <sz val="9"/>
      <color theme="1"/>
      <name val="Arial"/>
      <family val="2"/>
    </font>
    <font>
      <sz val="12"/>
      <color theme="0"/>
      <name val="Calibri"/>
      <family val="2"/>
    </font>
    <font>
      <sz val="16"/>
      <color theme="0"/>
      <name val="Arial"/>
      <family val="2"/>
    </font>
    <font>
      <sz val="12"/>
      <color theme="0"/>
      <name val="Calibri"/>
      <family val="2"/>
      <scheme val="minor"/>
    </font>
    <font>
      <b/>
      <sz val="12"/>
      <color theme="0"/>
      <name val="Calibri"/>
      <family val="2"/>
      <scheme val="minor"/>
    </font>
  </fonts>
  <fills count="17">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theme="3"/>
        <bgColor indexed="64"/>
      </patternFill>
    </fill>
    <fill>
      <patternFill patternType="solid">
        <fgColor theme="0" tint="-0.49998474074526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theme="1"/>
        <bgColor indexed="64"/>
      </patternFill>
    </fill>
    <fill>
      <patternFill patternType="solid">
        <fgColor theme="4" tint="-0.49998474074526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5" tint="-0.249977111117893"/>
        <bgColor indexed="64"/>
      </patternFill>
    </fill>
  </fills>
  <borders count="94">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medium">
        <color theme="3"/>
      </left>
      <right/>
      <top style="thin">
        <color theme="0" tint="-0.499984740745262"/>
      </top>
      <bottom style="thin">
        <color theme="0" tint="-0.499984740745262"/>
      </bottom>
      <diagonal/>
    </border>
    <border>
      <left style="thin">
        <color theme="0" tint="-0.499984740745262"/>
      </left>
      <right style="medium">
        <color theme="3"/>
      </right>
      <top style="thin">
        <color theme="0" tint="-0.499984740745262"/>
      </top>
      <bottom style="thin">
        <color theme="0" tint="-0.499984740745262"/>
      </bottom>
      <diagonal/>
    </border>
    <border>
      <left style="medium">
        <color theme="3"/>
      </left>
      <right/>
      <top style="thin">
        <color theme="0" tint="-0.499984740745262"/>
      </top>
      <bottom/>
      <diagonal/>
    </border>
    <border>
      <left style="thin">
        <color theme="0" tint="-0.499984740745262"/>
      </left>
      <right style="medium">
        <color theme="3"/>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right style="thin">
        <color theme="0" tint="-0.499984740745262"/>
      </right>
      <top/>
      <bottom style="medium">
        <color theme="3"/>
      </bottom>
      <diagonal/>
    </border>
    <border>
      <left style="thin">
        <color theme="0" tint="-0.499984740745262"/>
      </left>
      <right style="thin">
        <color theme="0" tint="-0.499984740745262"/>
      </right>
      <top/>
      <bottom style="medium">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thin">
        <color theme="3"/>
      </left>
      <right/>
      <top style="thin">
        <color theme="3"/>
      </top>
      <bottom/>
      <diagonal/>
    </border>
    <border>
      <left/>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theme="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medium">
        <color theme="3"/>
      </left>
      <right style="thin">
        <color theme="0" tint="-0.14999847407452621"/>
      </right>
      <top style="thin">
        <color theme="0" tint="-0.14999847407452621"/>
      </top>
      <bottom style="medium">
        <color theme="3"/>
      </bottom>
      <diagonal/>
    </border>
    <border>
      <left style="thin">
        <color theme="0" tint="-0.14999847407452621"/>
      </left>
      <right style="thin">
        <color theme="0" tint="-0.14999847407452621"/>
      </right>
      <top style="thin">
        <color theme="0" tint="-0.14999847407452621"/>
      </top>
      <bottom style="medium">
        <color theme="3"/>
      </bottom>
      <diagonal/>
    </border>
    <border>
      <left style="thin">
        <color theme="0" tint="-0.14999847407452621"/>
      </left>
      <right style="thin">
        <color theme="0" tint="-0.14999847407452621"/>
      </right>
      <top style="medium">
        <color theme="3"/>
      </top>
      <bottom style="thin">
        <color theme="0" tint="-0.1499984740745262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style="medium">
        <color theme="3"/>
      </top>
      <bottom style="thin">
        <color theme="0" tint="-0.249977111117893"/>
      </bottom>
      <diagonal/>
    </border>
    <border>
      <left/>
      <right/>
      <top style="medium">
        <color theme="3"/>
      </top>
      <bottom style="thin">
        <color theme="0" tint="-0.249977111117893"/>
      </bottom>
      <diagonal/>
    </border>
    <border>
      <left/>
      <right style="thin">
        <color theme="0" tint="-0.249977111117893"/>
      </right>
      <top style="medium">
        <color theme="3"/>
      </top>
      <bottom style="thin">
        <color theme="0" tint="-0.249977111117893"/>
      </bottom>
      <diagonal/>
    </border>
    <border>
      <left style="medium">
        <color theme="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medium">
        <color theme="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theme="3"/>
      </left>
      <right/>
      <top style="medium">
        <color theme="3"/>
      </top>
      <bottom style="thin">
        <color theme="0" tint="-0.499984740745262"/>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3"/>
      </right>
      <top/>
      <bottom style="medium">
        <color theme="3"/>
      </bottom>
      <diagonal/>
    </border>
    <border>
      <left style="thin">
        <color theme="0" tint="-0.249977111117893"/>
      </left>
      <right/>
      <top style="thin">
        <color theme="0" tint="-0.249977111117893"/>
      </top>
      <bottom/>
      <diagonal/>
    </border>
    <border>
      <left/>
      <right/>
      <top/>
      <bottom style="thin">
        <color indexed="64"/>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499984740745262"/>
      </left>
      <right style="medium">
        <color theme="3"/>
      </right>
      <top/>
      <bottom/>
      <diagonal/>
    </border>
    <border>
      <left style="thin">
        <color theme="0" tint="-0.499984740745262"/>
      </left>
      <right style="medium">
        <color theme="3"/>
      </right>
      <top/>
      <bottom style="thin">
        <color theme="0" tint="-0.499984740745262"/>
      </bottom>
      <diagonal/>
    </border>
    <border>
      <left style="thin">
        <color theme="0" tint="-0.499984740745262"/>
      </left>
      <right style="medium">
        <color theme="3"/>
      </right>
      <top/>
      <bottom style="medium">
        <color theme="3"/>
      </bottom>
      <diagonal/>
    </border>
    <border>
      <left style="thin">
        <color theme="0" tint="-0.499984740745262"/>
      </left>
      <right style="thin">
        <color theme="0" tint="-0.499984740745262"/>
      </right>
      <top/>
      <bottom style="thin">
        <color indexed="64"/>
      </bottom>
      <diagonal/>
    </border>
    <border>
      <left style="thin">
        <color theme="0" tint="-0.249977111117893"/>
      </left>
      <right style="thin">
        <color theme="0" tint="-0.249977111117893"/>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theme="0" tint="-0.499984740745262"/>
      </top>
      <bottom/>
      <diagonal/>
    </border>
    <border>
      <left style="medium">
        <color indexed="64"/>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top style="thin">
        <color theme="0" tint="-0.499984740745262"/>
      </top>
      <bottom/>
      <diagonal/>
    </border>
    <border>
      <left/>
      <right style="medium">
        <color indexed="64"/>
      </right>
      <top style="thin">
        <color theme="0" tint="-0.499984740745262"/>
      </top>
      <bottom/>
      <diagonal/>
    </border>
    <border>
      <left style="thin">
        <color indexed="64"/>
      </left>
      <right style="thin">
        <color theme="0" tint="-0.499984740745262"/>
      </right>
      <top/>
      <bottom/>
      <diagonal/>
    </border>
    <border>
      <left style="thin">
        <color theme="0" tint="-0.499984740745262"/>
      </left>
      <right style="medium">
        <color theme="3"/>
      </right>
      <top style="thin">
        <color theme="1" tint="0.249977111117893"/>
      </top>
      <bottom/>
      <diagonal/>
    </border>
  </borders>
  <cellStyleXfs count="39">
    <xf numFmtId="0" fontId="0" fillId="0" borderId="0"/>
    <xf numFmtId="0" fontId="15" fillId="2" borderId="1" applyNumberFormat="0" applyProtection="0">
      <alignment horizontal="left" vertical="center" readingOrder="1"/>
    </xf>
    <xf numFmtId="0" fontId="16" fillId="2" borderId="2">
      <alignment horizontal="left"/>
    </xf>
    <xf numFmtId="0" fontId="16" fillId="2" borderId="3">
      <alignment horizontal="right"/>
    </xf>
    <xf numFmtId="0" fontId="16" fillId="2" borderId="3">
      <alignment horizontal="left"/>
    </xf>
    <xf numFmtId="3" fontId="17" fillId="3" borderId="4">
      <alignment horizontal="right"/>
    </xf>
    <xf numFmtId="174" fontId="9" fillId="3" borderId="4">
      <alignment horizontal="right"/>
    </xf>
    <xf numFmtId="4" fontId="9" fillId="3" borderId="4">
      <alignment horizontal="right"/>
    </xf>
    <xf numFmtId="0" fontId="17" fillId="3" borderId="5"/>
    <xf numFmtId="0" fontId="18" fillId="3" borderId="5"/>
    <xf numFmtId="0" fontId="8" fillId="0" borderId="0" applyNumberFormat="0" applyFill="0" applyBorder="0" applyAlignment="0" applyProtection="0">
      <alignment vertical="top"/>
      <protection locked="0"/>
    </xf>
    <xf numFmtId="168" fontId="25" fillId="0" borderId="0" applyFont="0" applyFill="0" applyBorder="0" applyAlignment="0" applyProtection="0"/>
    <xf numFmtId="168" fontId="10" fillId="0" borderId="0" applyFont="0" applyFill="0" applyBorder="0" applyAlignment="0" applyProtection="0"/>
    <xf numFmtId="0" fontId="28" fillId="0" borderId="0"/>
    <xf numFmtId="0" fontId="10" fillId="0" borderId="0"/>
    <xf numFmtId="9" fontId="6" fillId="0" borderId="0" applyFont="0" applyFill="0" applyBorder="0" applyAlignment="0" applyProtection="0"/>
    <xf numFmtId="9" fontId="25" fillId="0" borderId="0" applyFont="0" applyFill="0" applyBorder="0" applyAlignment="0" applyProtection="0"/>
    <xf numFmtId="9" fontId="10" fillId="0" borderId="0" applyFont="0" applyFill="0" applyBorder="0" applyAlignment="0" applyProtection="0"/>
    <xf numFmtId="9" fontId="28" fillId="0" borderId="0" applyFont="0" applyFill="0" applyBorder="0" applyAlignment="0" applyProtection="0"/>
    <xf numFmtId="0" fontId="5"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4"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0" fontId="4" fillId="0" borderId="0"/>
    <xf numFmtId="164" fontId="6" fillId="0" borderId="0" applyFont="0" applyFill="0" applyBorder="0" applyAlignment="0" applyProtection="0"/>
    <xf numFmtId="165" fontId="6" fillId="0" borderId="0" applyFont="0" applyFill="0" applyBorder="0" applyAlignment="0" applyProtection="0"/>
    <xf numFmtId="0" fontId="3" fillId="0" borderId="0"/>
    <xf numFmtId="0" fontId="3"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1" fillId="0" borderId="0"/>
    <xf numFmtId="44" fontId="62" fillId="0" borderId="0" applyFont="0" applyFill="0" applyBorder="0" applyAlignment="0" applyProtection="0"/>
  </cellStyleXfs>
  <cellXfs count="373">
    <xf numFmtId="0" fontId="0" fillId="0" borderId="0" xfId="0"/>
    <xf numFmtId="171" fontId="0" fillId="0" borderId="0" xfId="0" applyNumberFormat="1" applyAlignment="1">
      <alignment horizontal="center"/>
    </xf>
    <xf numFmtId="169" fontId="0" fillId="0" borderId="0" xfId="0" applyNumberFormat="1" applyAlignment="1">
      <alignment horizontal="center"/>
    </xf>
    <xf numFmtId="9" fontId="0" fillId="0" borderId="0" xfId="15" applyFont="1" applyAlignment="1">
      <alignment horizontal="center"/>
    </xf>
    <xf numFmtId="0" fontId="0" fillId="0" borderId="0" xfId="0" applyAlignment="1">
      <alignment horizontal="center"/>
    </xf>
    <xf numFmtId="2" fontId="0" fillId="0" borderId="0" xfId="0" applyNumberFormat="1" applyAlignment="1">
      <alignment horizontal="center"/>
    </xf>
    <xf numFmtId="172" fontId="0" fillId="0" borderId="0" xfId="15" applyNumberFormat="1" applyFont="1" applyAlignment="1">
      <alignment horizontal="center"/>
    </xf>
    <xf numFmtId="171" fontId="0" fillId="0" borderId="0" xfId="0" applyNumberFormat="1"/>
    <xf numFmtId="9" fontId="0" fillId="0" borderId="0" xfId="0" applyNumberFormat="1" applyAlignment="1">
      <alignment horizontal="center"/>
    </xf>
    <xf numFmtId="10" fontId="0" fillId="0" borderId="0" xfId="0" applyNumberFormat="1" applyAlignment="1">
      <alignment horizontal="center"/>
    </xf>
    <xf numFmtId="172" fontId="0" fillId="0" borderId="0" xfId="0" applyNumberFormat="1" applyAlignment="1">
      <alignment horizontal="center"/>
    </xf>
    <xf numFmtId="0" fontId="10" fillId="0" borderId="0" xfId="0" applyFont="1"/>
    <xf numFmtId="0" fontId="11" fillId="0" borderId="0" xfId="0" applyFont="1" applyAlignment="1">
      <alignment horizontal="center"/>
    </xf>
    <xf numFmtId="171" fontId="10" fillId="0" borderId="0" xfId="0" applyNumberFormat="1" applyFont="1"/>
    <xf numFmtId="0" fontId="12" fillId="0" borderId="0" xfId="0" applyFont="1" applyAlignment="1">
      <alignment vertical="top" wrapText="1"/>
    </xf>
    <xf numFmtId="0" fontId="30" fillId="0" borderId="0" xfId="0" applyFont="1"/>
    <xf numFmtId="0" fontId="31" fillId="0" borderId="0" xfId="0" applyFont="1"/>
    <xf numFmtId="171" fontId="10" fillId="0" borderId="0" xfId="0" applyNumberFormat="1" applyFont="1" applyAlignment="1">
      <alignment horizontal="center"/>
    </xf>
    <xf numFmtId="0" fontId="20" fillId="0" borderId="0" xfId="0" applyFont="1"/>
    <xf numFmtId="0" fontId="16" fillId="4" borderId="6" xfId="3" applyFill="1" applyBorder="1" applyAlignment="1">
      <alignment horizontal="center" vertical="center"/>
    </xf>
    <xf numFmtId="0" fontId="32" fillId="4" borderId="6" xfId="0" applyFont="1" applyFill="1" applyBorder="1" applyAlignment="1">
      <alignment horizontal="center"/>
    </xf>
    <xf numFmtId="0" fontId="16" fillId="4" borderId="8" xfId="4" applyFill="1" applyBorder="1">
      <alignment horizontal="left"/>
    </xf>
    <xf numFmtId="0" fontId="16" fillId="4" borderId="9" xfId="3" applyFill="1" applyBorder="1" applyAlignment="1">
      <alignment horizontal="center" vertical="center"/>
    </xf>
    <xf numFmtId="0" fontId="33" fillId="0" borderId="10" xfId="8" applyFont="1" applyFill="1" applyBorder="1" applyAlignment="1">
      <alignment horizontal="center"/>
    </xf>
    <xf numFmtId="0" fontId="33" fillId="0" borderId="12" xfId="8" applyFont="1" applyFill="1" applyBorder="1" applyAlignment="1">
      <alignment horizontal="center"/>
    </xf>
    <xf numFmtId="0" fontId="32" fillId="4" borderId="13" xfId="0" applyFont="1" applyFill="1" applyBorder="1" applyAlignment="1">
      <alignment horizontal="center"/>
    </xf>
    <xf numFmtId="0" fontId="30" fillId="4" borderId="0" xfId="0" applyFont="1" applyFill="1"/>
    <xf numFmtId="171" fontId="30" fillId="4" borderId="0" xfId="0" applyNumberFormat="1" applyFont="1" applyFill="1"/>
    <xf numFmtId="171" fontId="30" fillId="4" borderId="0" xfId="0" applyNumberFormat="1" applyFont="1" applyFill="1" applyAlignment="1">
      <alignment horizontal="center"/>
    </xf>
    <xf numFmtId="172" fontId="11" fillId="0" borderId="0" xfId="0" applyNumberFormat="1" applyFont="1" applyAlignment="1">
      <alignment horizontal="center"/>
    </xf>
    <xf numFmtId="10" fontId="11" fillId="0" borderId="0" xfId="0" applyNumberFormat="1" applyFont="1" applyAlignment="1">
      <alignment horizontal="center"/>
    </xf>
    <xf numFmtId="171" fontId="32" fillId="4" borderId="0" xfId="0" applyNumberFormat="1" applyFont="1" applyFill="1" applyAlignment="1">
      <alignment horizontal="center"/>
    </xf>
    <xf numFmtId="171" fontId="10" fillId="0" borderId="0" xfId="10" applyNumberFormat="1" applyFont="1" applyAlignment="1" applyProtection="1">
      <alignment horizontal="left"/>
    </xf>
    <xf numFmtId="171" fontId="11" fillId="0" borderId="0" xfId="0" applyNumberFormat="1" applyFont="1" applyAlignment="1">
      <alignment horizontal="left"/>
    </xf>
    <xf numFmtId="169" fontId="11" fillId="0" borderId="0" xfId="0" applyNumberFormat="1" applyFont="1" applyAlignment="1">
      <alignment horizontal="center"/>
    </xf>
    <xf numFmtId="9" fontId="11" fillId="0" borderId="0" xfId="15" applyFont="1" applyAlignment="1">
      <alignment horizontal="center"/>
    </xf>
    <xf numFmtId="0" fontId="34" fillId="3" borderId="12" xfId="9" applyFont="1" applyBorder="1"/>
    <xf numFmtId="0" fontId="34" fillId="3" borderId="15" xfId="9" applyFont="1" applyBorder="1"/>
    <xf numFmtId="0" fontId="34" fillId="0" borderId="12" xfId="9" applyFont="1" applyFill="1" applyBorder="1"/>
    <xf numFmtId="0" fontId="34" fillId="3" borderId="16" xfId="9" applyFont="1" applyBorder="1"/>
    <xf numFmtId="0" fontId="34" fillId="0" borderId="12" xfId="0" applyFont="1" applyBorder="1"/>
    <xf numFmtId="0" fontId="34" fillId="0" borderId="17" xfId="0" applyFont="1" applyBorder="1" applyAlignment="1">
      <alignment horizontal="center"/>
    </xf>
    <xf numFmtId="0" fontId="34" fillId="0" borderId="18" xfId="0" applyFont="1" applyBorder="1"/>
    <xf numFmtId="0" fontId="34" fillId="0" borderId="16" xfId="0" applyFont="1" applyBorder="1"/>
    <xf numFmtId="0" fontId="34" fillId="0" borderId="19" xfId="0" applyFont="1" applyBorder="1" applyAlignment="1">
      <alignment horizontal="center"/>
    </xf>
    <xf numFmtId="0" fontId="34" fillId="0" borderId="20" xfId="0" applyFont="1" applyBorder="1"/>
    <xf numFmtId="0" fontId="24" fillId="0" borderId="0" xfId="0" applyFont="1"/>
    <xf numFmtId="172" fontId="30" fillId="4" borderId="0" xfId="0" applyNumberFormat="1" applyFont="1" applyFill="1" applyAlignment="1">
      <alignment horizontal="center"/>
    </xf>
    <xf numFmtId="0" fontId="34" fillId="3" borderId="12" xfId="9" applyFont="1" applyBorder="1" applyAlignment="1">
      <alignment vertical="center"/>
    </xf>
    <xf numFmtId="0" fontId="10" fillId="0" borderId="0" xfId="0" applyFont="1" applyAlignment="1">
      <alignment vertical="center"/>
    </xf>
    <xf numFmtId="0" fontId="34" fillId="0" borderId="12" xfId="0" applyFont="1" applyBorder="1" applyAlignment="1">
      <alignment vertical="center"/>
    </xf>
    <xf numFmtId="0" fontId="34" fillId="0" borderId="17" xfId="0" applyFont="1" applyBorder="1" applyAlignment="1">
      <alignment horizontal="center" vertical="center"/>
    </xf>
    <xf numFmtId="0" fontId="34" fillId="0" borderId="18" xfId="0" applyFont="1" applyBorder="1" applyAlignment="1">
      <alignment vertical="center"/>
    </xf>
    <xf numFmtId="0" fontId="35" fillId="0" borderId="0" xfId="10" applyFont="1" applyAlignment="1" applyProtection="1"/>
    <xf numFmtId="0" fontId="36" fillId="0" borderId="0" xfId="0" applyFont="1"/>
    <xf numFmtId="172" fontId="10" fillId="0" borderId="0" xfId="15" applyNumberFormat="1" applyFont="1" applyAlignment="1">
      <alignment horizontal="center"/>
    </xf>
    <xf numFmtId="174" fontId="0" fillId="0" borderId="0" xfId="0" applyNumberFormat="1" applyAlignment="1">
      <alignment horizontal="center"/>
    </xf>
    <xf numFmtId="169" fontId="10" fillId="0" borderId="0" xfId="0" applyNumberFormat="1" applyFont="1"/>
    <xf numFmtId="0" fontId="11" fillId="0" borderId="0" xfId="0" applyFont="1" applyAlignment="1">
      <alignment horizontal="left"/>
    </xf>
    <xf numFmtId="0" fontId="14" fillId="0" borderId="24" xfId="0" applyFont="1" applyBorder="1"/>
    <xf numFmtId="0" fontId="32" fillId="4" borderId="24" xfId="0" applyFont="1" applyFill="1" applyBorder="1"/>
    <xf numFmtId="0" fontId="32" fillId="4" borderId="24" xfId="0" applyFont="1" applyFill="1" applyBorder="1" applyAlignment="1">
      <alignment horizontal="center"/>
    </xf>
    <xf numFmtId="0" fontId="11" fillId="0" borderId="28" xfId="0" applyFont="1" applyBorder="1" applyAlignment="1">
      <alignment horizontal="center"/>
    </xf>
    <xf numFmtId="0" fontId="37" fillId="4" borderId="29" xfId="0" applyFont="1" applyFill="1" applyBorder="1" applyAlignment="1">
      <alignment horizontal="center"/>
    </xf>
    <xf numFmtId="0" fontId="32" fillId="4" borderId="28" xfId="0" applyFont="1" applyFill="1" applyBorder="1" applyAlignment="1">
      <alignment horizontal="center"/>
    </xf>
    <xf numFmtId="171" fontId="0" fillId="7" borderId="0" xfId="0" applyNumberFormat="1" applyFill="1" applyAlignment="1">
      <alignment horizontal="center"/>
    </xf>
    <xf numFmtId="171" fontId="10" fillId="7" borderId="0" xfId="0" applyNumberFormat="1" applyFont="1" applyFill="1" applyAlignment="1">
      <alignment horizontal="center"/>
    </xf>
    <xf numFmtId="171" fontId="10" fillId="0" borderId="30" xfId="0" applyNumberFormat="1" applyFont="1" applyBorder="1"/>
    <xf numFmtId="171" fontId="10" fillId="0" borderId="31" xfId="0" applyNumberFormat="1" applyFont="1" applyBorder="1" applyAlignment="1">
      <alignment horizontal="center"/>
    </xf>
    <xf numFmtId="171" fontId="10" fillId="0" borderId="32" xfId="0" applyNumberFormat="1" applyFont="1" applyBorder="1"/>
    <xf numFmtId="174" fontId="0" fillId="0" borderId="33" xfId="0" applyNumberFormat="1" applyBorder="1" applyAlignment="1">
      <alignment horizontal="center"/>
    </xf>
    <xf numFmtId="171" fontId="10" fillId="0" borderId="34" xfId="0" applyNumberFormat="1" applyFont="1" applyBorder="1"/>
    <xf numFmtId="171" fontId="0" fillId="0" borderId="35" xfId="0" applyNumberFormat="1" applyBorder="1" applyAlignment="1">
      <alignment horizontal="center"/>
    </xf>
    <xf numFmtId="174" fontId="0" fillId="0" borderId="35" xfId="0" applyNumberFormat="1" applyBorder="1" applyAlignment="1">
      <alignment horizontal="center"/>
    </xf>
    <xf numFmtId="174" fontId="0" fillId="0" borderId="36" xfId="0" applyNumberFormat="1" applyBorder="1" applyAlignment="1">
      <alignment horizontal="center"/>
    </xf>
    <xf numFmtId="169" fontId="0" fillId="0" borderId="31" xfId="0" applyNumberFormat="1" applyBorder="1" applyAlignment="1">
      <alignment horizontal="center"/>
    </xf>
    <xf numFmtId="0" fontId="37" fillId="4" borderId="37" xfId="0" applyFont="1" applyFill="1" applyBorder="1"/>
    <xf numFmtId="0" fontId="37" fillId="4" borderId="38" xfId="0" applyFont="1" applyFill="1" applyBorder="1"/>
    <xf numFmtId="0" fontId="37" fillId="4" borderId="39" xfId="0" applyFont="1" applyFill="1" applyBorder="1" applyAlignment="1">
      <alignment horizontal="center"/>
    </xf>
    <xf numFmtId="170" fontId="26" fillId="8" borderId="24" xfId="0" applyNumberFormat="1" applyFont="1" applyFill="1" applyBorder="1" applyAlignment="1">
      <alignment horizontal="center" vertical="center"/>
    </xf>
    <xf numFmtId="172" fontId="30" fillId="4" borderId="0" xfId="15" applyNumberFormat="1" applyFont="1" applyFill="1" applyAlignment="1">
      <alignment horizontal="center"/>
    </xf>
    <xf numFmtId="0" fontId="10" fillId="0" borderId="24" xfId="0" applyFont="1" applyBorder="1" applyAlignment="1">
      <alignment horizontal="left" vertical="center"/>
    </xf>
    <xf numFmtId="172" fontId="11" fillId="0" borderId="24" xfId="15" applyNumberFormat="1" applyFont="1" applyBorder="1" applyAlignment="1">
      <alignment horizontal="center" vertical="center"/>
    </xf>
    <xf numFmtId="0" fontId="0" fillId="0" borderId="24" xfId="0" applyBorder="1" applyAlignment="1">
      <alignment vertical="center"/>
    </xf>
    <xf numFmtId="169" fontId="30" fillId="4" borderId="0" xfId="0" applyNumberFormat="1" applyFont="1" applyFill="1" applyAlignment="1">
      <alignment horizontal="center"/>
    </xf>
    <xf numFmtId="0" fontId="10" fillId="0" borderId="0" xfId="0" applyFont="1" applyAlignment="1">
      <alignment horizontal="left"/>
    </xf>
    <xf numFmtId="171" fontId="6" fillId="0" borderId="24" xfId="0" applyNumberFormat="1" applyFont="1" applyBorder="1" applyAlignment="1">
      <alignment horizontal="center"/>
    </xf>
    <xf numFmtId="14" fontId="6" fillId="0" borderId="26" xfId="0" applyNumberFormat="1" applyFont="1" applyBorder="1" applyAlignment="1">
      <alignment horizontal="center" vertical="center"/>
    </xf>
    <xf numFmtId="0" fontId="6" fillId="0" borderId="0" xfId="0" applyFont="1"/>
    <xf numFmtId="0" fontId="6" fillId="0" borderId="24" xfId="0" applyFont="1" applyBorder="1"/>
    <xf numFmtId="9" fontId="6" fillId="0" borderId="24" xfId="15" applyFont="1" applyBorder="1" applyAlignment="1">
      <alignment horizontal="center"/>
    </xf>
    <xf numFmtId="169" fontId="6" fillId="0" borderId="24" xfId="0" applyNumberFormat="1" applyFont="1" applyBorder="1" applyAlignment="1">
      <alignment horizontal="center"/>
    </xf>
    <xf numFmtId="171" fontId="6" fillId="0" borderId="24" xfId="15" applyNumberFormat="1" applyFont="1" applyFill="1" applyBorder="1" applyAlignment="1">
      <alignment horizontal="center"/>
    </xf>
    <xf numFmtId="0" fontId="6" fillId="0" borderId="28" xfId="0" applyFont="1" applyBorder="1"/>
    <xf numFmtId="0" fontId="6" fillId="0" borderId="24" xfId="0" applyFont="1" applyBorder="1" applyAlignment="1">
      <alignment horizontal="left"/>
    </xf>
    <xf numFmtId="0" fontId="6" fillId="0" borderId="28" xfId="0" quotePrefix="1" applyFont="1" applyBorder="1"/>
    <xf numFmtId="171" fontId="6" fillId="0" borderId="24" xfId="15" applyNumberFormat="1" applyFont="1" applyBorder="1" applyAlignment="1">
      <alignment horizontal="center"/>
    </xf>
    <xf numFmtId="172" fontId="6" fillId="0" borderId="0" xfId="0" applyNumberFormat="1" applyFont="1" applyAlignment="1">
      <alignment horizontal="center"/>
    </xf>
    <xf numFmtId="0" fontId="6" fillId="0" borderId="0" xfId="0" applyFont="1" applyAlignment="1">
      <alignment horizontal="center"/>
    </xf>
    <xf numFmtId="172" fontId="6" fillId="0" borderId="24" xfId="15" applyNumberFormat="1" applyFont="1" applyFill="1" applyBorder="1" applyAlignment="1">
      <alignment horizontal="center"/>
    </xf>
    <xf numFmtId="169" fontId="30" fillId="0" borderId="0" xfId="0" applyNumberFormat="1" applyFont="1"/>
    <xf numFmtId="3" fontId="30" fillId="0" borderId="0" xfId="0" applyNumberFormat="1" applyFont="1"/>
    <xf numFmtId="0" fontId="39" fillId="0" borderId="0" xfId="0" applyFont="1" applyAlignment="1">
      <alignment vertical="top" wrapText="1"/>
    </xf>
    <xf numFmtId="9" fontId="30" fillId="0" borderId="0" xfId="15" applyFont="1" applyFill="1"/>
    <xf numFmtId="0" fontId="6" fillId="0" borderId="27" xfId="0" applyFont="1" applyBorder="1" applyAlignment="1">
      <alignment horizontal="center" vertical="center"/>
    </xf>
    <xf numFmtId="10" fontId="6" fillId="0" borderId="0" xfId="0" applyNumberFormat="1" applyFont="1" applyAlignment="1">
      <alignment horizontal="center"/>
    </xf>
    <xf numFmtId="170" fontId="0" fillId="0" borderId="0" xfId="0" applyNumberFormat="1" applyAlignment="1">
      <alignment horizontal="center"/>
    </xf>
    <xf numFmtId="4" fontId="6" fillId="0" borderId="24" xfId="0" applyNumberFormat="1" applyFont="1" applyBorder="1" applyAlignment="1">
      <alignment horizontal="center"/>
    </xf>
    <xf numFmtId="14" fontId="6" fillId="0" borderId="24" xfId="0" applyNumberFormat="1" applyFont="1" applyBorder="1" applyAlignment="1">
      <alignment horizontal="center"/>
    </xf>
    <xf numFmtId="171" fontId="6" fillId="0" borderId="0" xfId="0" applyNumberFormat="1" applyFont="1"/>
    <xf numFmtId="0" fontId="43" fillId="0" borderId="0" xfId="10" applyFont="1" applyFill="1" applyAlignment="1" applyProtection="1"/>
    <xf numFmtId="0" fontId="0" fillId="0" borderId="65" xfId="0" applyBorder="1" applyAlignment="1">
      <alignment horizontal="left"/>
    </xf>
    <xf numFmtId="2" fontId="10" fillId="7" borderId="0" xfId="0" applyNumberFormat="1" applyFont="1" applyFill="1" applyAlignment="1">
      <alignment horizontal="center"/>
    </xf>
    <xf numFmtId="2" fontId="10" fillId="0" borderId="0" xfId="0" applyNumberFormat="1" applyFont="1" applyAlignment="1">
      <alignment horizontal="center"/>
    </xf>
    <xf numFmtId="9" fontId="30" fillId="0" borderId="0" xfId="15" applyFont="1"/>
    <xf numFmtId="9" fontId="39" fillId="0" borderId="0" xfId="15" applyFont="1" applyAlignment="1">
      <alignment vertical="top" wrapText="1"/>
    </xf>
    <xf numFmtId="0" fontId="44" fillId="0" borderId="65" xfId="0" applyFont="1" applyBorder="1" applyAlignment="1">
      <alignment horizontal="left"/>
    </xf>
    <xf numFmtId="3" fontId="17" fillId="3" borderId="7" xfId="5" applyBorder="1">
      <alignment horizontal="right"/>
    </xf>
    <xf numFmtId="3" fontId="17" fillId="0" borderId="7" xfId="5" applyFill="1" applyBorder="1">
      <alignment horizontal="right"/>
    </xf>
    <xf numFmtId="0" fontId="6" fillId="3" borderId="18" xfId="9" applyFont="1" applyBorder="1" applyAlignment="1">
      <alignment horizontal="right"/>
    </xf>
    <xf numFmtId="174" fontId="6" fillId="3" borderId="18" xfId="6" applyFont="1" applyBorder="1">
      <alignment horizontal="right"/>
    </xf>
    <xf numFmtId="0" fontId="6" fillId="3" borderId="7" xfId="9" applyFont="1" applyBorder="1" applyAlignment="1">
      <alignment horizontal="right"/>
    </xf>
    <xf numFmtId="3" fontId="11" fillId="3" borderId="7" xfId="5" applyFont="1" applyBorder="1">
      <alignment horizontal="right"/>
    </xf>
    <xf numFmtId="4" fontId="6" fillId="0" borderId="18" xfId="7" applyFont="1" applyFill="1" applyBorder="1">
      <alignment horizontal="right"/>
    </xf>
    <xf numFmtId="4" fontId="6" fillId="3" borderId="18" xfId="7" applyFont="1" applyBorder="1">
      <alignment horizontal="right"/>
    </xf>
    <xf numFmtId="0" fontId="6" fillId="0" borderId="18" xfId="9" applyFont="1" applyFill="1" applyBorder="1" applyAlignment="1">
      <alignment horizontal="right"/>
    </xf>
    <xf numFmtId="4" fontId="6" fillId="5" borderId="18" xfId="7" applyFont="1" applyFill="1" applyBorder="1">
      <alignment horizontal="right"/>
    </xf>
    <xf numFmtId="0" fontId="6" fillId="3" borderId="72" xfId="9" applyFont="1" applyBorder="1" applyAlignment="1">
      <alignment horizontal="right"/>
    </xf>
    <xf numFmtId="174" fontId="6" fillId="3" borderId="72" xfId="6" applyFont="1" applyBorder="1">
      <alignment horizontal="right"/>
    </xf>
    <xf numFmtId="3" fontId="11" fillId="3" borderId="18" xfId="5" applyFont="1" applyBorder="1">
      <alignment horizontal="right"/>
    </xf>
    <xf numFmtId="4" fontId="6" fillId="5" borderId="20" xfId="7" applyFont="1" applyFill="1" applyBorder="1">
      <alignment horizontal="right"/>
    </xf>
    <xf numFmtId="4" fontId="6" fillId="0" borderId="20" xfId="7" applyFont="1" applyFill="1" applyBorder="1">
      <alignment horizontal="right"/>
    </xf>
    <xf numFmtId="4" fontId="6" fillId="3" borderId="20" xfId="7" applyFont="1" applyBorder="1">
      <alignment horizontal="right"/>
    </xf>
    <xf numFmtId="0" fontId="8" fillId="0" borderId="0" xfId="10" applyAlignment="1" applyProtection="1"/>
    <xf numFmtId="0" fontId="44" fillId="0" borderId="1" xfId="0" applyFont="1" applyBorder="1"/>
    <xf numFmtId="0" fontId="0" fillId="0" borderId="1" xfId="0" applyBorder="1"/>
    <xf numFmtId="0" fontId="8" fillId="0" borderId="1" xfId="10" applyBorder="1" applyAlignment="1" applyProtection="1"/>
    <xf numFmtId="0" fontId="0" fillId="0" borderId="65" xfId="0" applyBorder="1"/>
    <xf numFmtId="0" fontId="29" fillId="0" borderId="0" xfId="0" applyFont="1" applyAlignment="1">
      <alignment horizontal="center"/>
    </xf>
    <xf numFmtId="172" fontId="32" fillId="5" borderId="0" xfId="0" applyNumberFormat="1" applyFont="1" applyFill="1" applyAlignment="1">
      <alignment horizontal="center"/>
    </xf>
    <xf numFmtId="0" fontId="6" fillId="0" borderId="24" xfId="0" applyFont="1" applyBorder="1" applyAlignment="1">
      <alignment horizontal="center"/>
    </xf>
    <xf numFmtId="0" fontId="46" fillId="12" borderId="75" xfId="0" applyFont="1" applyFill="1" applyBorder="1" applyAlignment="1">
      <alignment horizontal="center" vertical="center"/>
    </xf>
    <xf numFmtId="0" fontId="46" fillId="12" borderId="0" xfId="0" applyFont="1" applyFill="1" applyAlignment="1">
      <alignment horizontal="center" vertical="center"/>
    </xf>
    <xf numFmtId="0" fontId="0" fillId="0" borderId="76" xfId="0" applyBorder="1" applyAlignment="1">
      <alignment horizontal="left" vertical="center"/>
    </xf>
    <xf numFmtId="0" fontId="0" fillId="0" borderId="78" xfId="0" applyBorder="1" applyAlignment="1">
      <alignment horizontal="left" vertical="center"/>
    </xf>
    <xf numFmtId="172" fontId="0" fillId="13" borderId="0" xfId="15" applyNumberFormat="1" applyFont="1" applyFill="1" applyAlignment="1">
      <alignment horizontal="center"/>
    </xf>
    <xf numFmtId="0" fontId="14" fillId="0" borderId="76" xfId="0" applyFont="1" applyBorder="1" applyAlignment="1">
      <alignment horizontal="left" vertical="center"/>
    </xf>
    <xf numFmtId="169" fontId="6" fillId="0" borderId="73" xfId="0" applyNumberFormat="1" applyFont="1" applyBorder="1"/>
    <xf numFmtId="10" fontId="0" fillId="0" borderId="0" xfId="0" applyNumberFormat="1"/>
    <xf numFmtId="4" fontId="0" fillId="0" borderId="0" xfId="0" applyNumberFormat="1" applyAlignment="1">
      <alignment horizontal="center"/>
    </xf>
    <xf numFmtId="10" fontId="6" fillId="0" borderId="0" xfId="0" applyNumberFormat="1" applyFont="1"/>
    <xf numFmtId="10" fontId="0" fillId="0" borderId="82" xfId="0" applyNumberFormat="1" applyBorder="1" applyAlignment="1">
      <alignment horizontal="center"/>
    </xf>
    <xf numFmtId="10" fontId="0" fillId="0" borderId="83" xfId="0" applyNumberFormat="1" applyBorder="1" applyAlignment="1">
      <alignment horizontal="center"/>
    </xf>
    <xf numFmtId="166" fontId="0" fillId="0" borderId="0" xfId="0" applyNumberFormat="1" applyAlignment="1">
      <alignment horizontal="center"/>
    </xf>
    <xf numFmtId="166" fontId="6" fillId="0" borderId="84" xfId="0" applyNumberFormat="1" applyFont="1" applyBorder="1" applyAlignment="1">
      <alignment horizontal="center"/>
    </xf>
    <xf numFmtId="166" fontId="0" fillId="0" borderId="65" xfId="0" applyNumberFormat="1" applyBorder="1" applyAlignment="1">
      <alignment horizontal="center"/>
    </xf>
    <xf numFmtId="166" fontId="6" fillId="0" borderId="85" xfId="0" applyNumberFormat="1" applyFont="1" applyBorder="1" applyAlignment="1">
      <alignment horizontal="center"/>
    </xf>
    <xf numFmtId="167" fontId="11" fillId="0" borderId="0" xfId="0" applyNumberFormat="1" applyFont="1" applyAlignment="1">
      <alignment horizontal="center"/>
    </xf>
    <xf numFmtId="0" fontId="6" fillId="0" borderId="81" xfId="0" applyFont="1" applyBorder="1" applyAlignment="1">
      <alignment horizontal="center"/>
    </xf>
    <xf numFmtId="4" fontId="0" fillId="0" borderId="0" xfId="0" applyNumberFormat="1"/>
    <xf numFmtId="0" fontId="0" fillId="0" borderId="0" xfId="15" applyNumberFormat="1" applyFont="1" applyAlignment="1">
      <alignment horizontal="center"/>
    </xf>
    <xf numFmtId="172" fontId="0" fillId="0" borderId="0" xfId="0" applyNumberFormat="1"/>
    <xf numFmtId="3" fontId="0" fillId="0" borderId="0" xfId="15" applyNumberFormat="1" applyFont="1" applyAlignment="1">
      <alignment horizontal="center"/>
    </xf>
    <xf numFmtId="2" fontId="3" fillId="0" borderId="0" xfId="32" applyNumberFormat="1" applyAlignment="1">
      <alignment horizontal="center"/>
    </xf>
    <xf numFmtId="0" fontId="6" fillId="0" borderId="76" xfId="0" applyFont="1" applyBorder="1" applyAlignment="1">
      <alignment horizontal="left" vertical="center"/>
    </xf>
    <xf numFmtId="3" fontId="0" fillId="0" borderId="0" xfId="0" applyNumberFormat="1" applyAlignment="1">
      <alignment horizontal="center"/>
    </xf>
    <xf numFmtId="2" fontId="0" fillId="13" borderId="0" xfId="0" applyNumberFormat="1" applyFill="1" applyAlignment="1">
      <alignment horizontal="center"/>
    </xf>
    <xf numFmtId="172" fontId="0" fillId="14" borderId="0" xfId="15" applyNumberFormat="1" applyFont="1" applyFill="1" applyBorder="1" applyAlignment="1">
      <alignment horizontal="center"/>
    </xf>
    <xf numFmtId="3" fontId="6" fillId="0" borderId="17" xfId="0" applyNumberFormat="1" applyFont="1" applyBorder="1" applyAlignment="1">
      <alignment horizontal="center"/>
    </xf>
    <xf numFmtId="9" fontId="6" fillId="0" borderId="24" xfId="15" applyFont="1" applyFill="1" applyBorder="1" applyAlignment="1">
      <alignment horizontal="center"/>
    </xf>
    <xf numFmtId="10" fontId="6" fillId="0" borderId="24" xfId="0" applyNumberFormat="1" applyFont="1" applyBorder="1" applyAlignment="1">
      <alignment horizontal="center"/>
    </xf>
    <xf numFmtId="0" fontId="10" fillId="0" borderId="40" xfId="0" applyFont="1" applyBorder="1" applyAlignment="1">
      <alignment horizontal="center" vertical="center" wrapText="1"/>
    </xf>
    <xf numFmtId="0" fontId="10" fillId="0" borderId="41" xfId="0" applyFont="1" applyBorder="1" applyAlignment="1">
      <alignment horizontal="center" vertical="center" wrapText="1"/>
    </xf>
    <xf numFmtId="0" fontId="53" fillId="0" borderId="0" xfId="20" applyFont="1" applyAlignment="1">
      <alignment horizontal="left" wrapText="1" readingOrder="1"/>
    </xf>
    <xf numFmtId="0" fontId="54" fillId="0" borderId="0" xfId="0" applyFont="1" applyAlignment="1">
      <alignment vertical="top" wrapText="1"/>
    </xf>
    <xf numFmtId="0" fontId="49" fillId="0" borderId="0" xfId="0" applyFont="1"/>
    <xf numFmtId="3" fontId="54" fillId="0" borderId="0" xfId="0" applyNumberFormat="1" applyFont="1" applyAlignment="1">
      <alignment vertical="top" wrapText="1"/>
    </xf>
    <xf numFmtId="14" fontId="6" fillId="0" borderId="25" xfId="0" applyNumberFormat="1" applyFont="1" applyBorder="1" applyAlignment="1">
      <alignment horizontal="center" vertical="center" wrapText="1"/>
    </xf>
    <xf numFmtId="9" fontId="49" fillId="0" borderId="29" xfId="0" applyNumberFormat="1" applyFont="1" applyBorder="1" applyAlignment="1">
      <alignment horizontal="center"/>
    </xf>
    <xf numFmtId="0" fontId="49" fillId="0" borderId="29" xfId="0" applyFont="1" applyBorder="1" applyAlignment="1">
      <alignment horizontal="center"/>
    </xf>
    <xf numFmtId="172" fontId="49" fillId="0" borderId="29" xfId="15" applyNumberFormat="1" applyFont="1" applyFill="1" applyBorder="1" applyAlignment="1">
      <alignment horizontal="center"/>
    </xf>
    <xf numFmtId="2" fontId="49" fillId="0" borderId="29" xfId="15" applyNumberFormat="1" applyFont="1" applyBorder="1" applyAlignment="1">
      <alignment horizontal="center"/>
    </xf>
    <xf numFmtId="172" fontId="49" fillId="0" borderId="29" xfId="15" applyNumberFormat="1" applyFont="1" applyBorder="1" applyAlignment="1">
      <alignment horizontal="center"/>
    </xf>
    <xf numFmtId="173" fontId="49" fillId="0" borderId="29" xfId="15" applyNumberFormat="1" applyFont="1" applyBorder="1" applyAlignment="1">
      <alignment horizontal="center"/>
    </xf>
    <xf numFmtId="173" fontId="49" fillId="0" borderId="29" xfId="0" applyNumberFormat="1" applyFont="1" applyBorder="1" applyAlignment="1">
      <alignment horizontal="center"/>
    </xf>
    <xf numFmtId="172" fontId="49" fillId="0" borderId="29" xfId="15" quotePrefix="1" applyNumberFormat="1" applyFont="1" applyFill="1" applyBorder="1" applyAlignment="1">
      <alignment horizontal="center"/>
    </xf>
    <xf numFmtId="0" fontId="11" fillId="0" borderId="26" xfId="0" applyFont="1" applyBorder="1" applyAlignment="1">
      <alignment horizontal="center" vertical="center"/>
    </xf>
    <xf numFmtId="172" fontId="49" fillId="0" borderId="24" xfId="15" applyNumberFormat="1" applyFont="1" applyBorder="1" applyAlignment="1">
      <alignment horizontal="center"/>
    </xf>
    <xf numFmtId="10" fontId="49" fillId="0" borderId="29" xfId="15" applyNumberFormat="1" applyFont="1" applyBorder="1" applyAlignment="1">
      <alignment horizontal="center"/>
    </xf>
    <xf numFmtId="10" fontId="49" fillId="0" borderId="29" xfId="17" applyNumberFormat="1" applyFont="1" applyBorder="1" applyAlignment="1">
      <alignment horizontal="center"/>
    </xf>
    <xf numFmtId="0" fontId="57" fillId="0" borderId="42" xfId="0" applyFont="1" applyBorder="1" applyAlignment="1">
      <alignment horizontal="left" vertical="center" wrapText="1"/>
    </xf>
    <xf numFmtId="0" fontId="6" fillId="9" borderId="0" xfId="0" applyFont="1" applyFill="1"/>
    <xf numFmtId="171" fontId="49" fillId="0" borderId="24" xfId="0" applyNumberFormat="1" applyFont="1" applyBorder="1" applyAlignment="1">
      <alignment horizontal="center"/>
    </xf>
    <xf numFmtId="171" fontId="49" fillId="15" borderId="24" xfId="0" applyNumberFormat="1" applyFont="1" applyFill="1" applyBorder="1" applyAlignment="1">
      <alignment horizontal="center"/>
    </xf>
    <xf numFmtId="0" fontId="58" fillId="0" borderId="28" xfId="0" applyFont="1" applyBorder="1" applyAlignment="1">
      <alignment horizontal="center"/>
    </xf>
    <xf numFmtId="0" fontId="49" fillId="0" borderId="24" xfId="0" applyFont="1" applyBorder="1"/>
    <xf numFmtId="0" fontId="58" fillId="0" borderId="24" xfId="0" applyFont="1" applyBorder="1" applyAlignment="1">
      <alignment horizontal="center"/>
    </xf>
    <xf numFmtId="0" fontId="58" fillId="0" borderId="29" xfId="0" applyFont="1" applyBorder="1" applyAlignment="1">
      <alignment horizontal="center"/>
    </xf>
    <xf numFmtId="171" fontId="49" fillId="0" borderId="29" xfId="0" applyNumberFormat="1" applyFont="1" applyBorder="1" applyAlignment="1">
      <alignment horizontal="center"/>
    </xf>
    <xf numFmtId="0" fontId="49" fillId="0" borderId="24" xfId="0" applyFont="1" applyBorder="1" applyAlignment="1">
      <alignment horizontal="left" indent="1"/>
    </xf>
    <xf numFmtId="0" fontId="49" fillId="0" borderId="24" xfId="0" applyFont="1" applyBorder="1" applyAlignment="1">
      <alignment horizontal="left"/>
    </xf>
    <xf numFmtId="9" fontId="49" fillId="0" borderId="24" xfId="15" applyFont="1" applyFill="1" applyBorder="1" applyAlignment="1">
      <alignment horizontal="center"/>
    </xf>
    <xf numFmtId="0" fontId="58" fillId="15" borderId="28" xfId="0" applyFont="1" applyFill="1" applyBorder="1" applyAlignment="1">
      <alignment horizontal="center"/>
    </xf>
    <xf numFmtId="9" fontId="49" fillId="15" borderId="24" xfId="15" applyFont="1" applyFill="1" applyBorder="1" applyAlignment="1">
      <alignment horizontal="center"/>
    </xf>
    <xf numFmtId="0" fontId="49" fillId="0" borderId="28" xfId="0" applyFont="1" applyBorder="1" applyAlignment="1">
      <alignment horizontal="center"/>
    </xf>
    <xf numFmtId="0" fontId="59" fillId="0" borderId="24" xfId="0" applyFont="1" applyBorder="1"/>
    <xf numFmtId="171" fontId="58" fillId="0" borderId="24" xfId="0" applyNumberFormat="1" applyFont="1" applyBorder="1" applyAlignment="1">
      <alignment horizontal="center"/>
    </xf>
    <xf numFmtId="171" fontId="58" fillId="0" borderId="29" xfId="0" applyNumberFormat="1" applyFont="1" applyBorder="1" applyAlignment="1">
      <alignment horizontal="center"/>
    </xf>
    <xf numFmtId="9" fontId="49" fillId="0" borderId="24" xfId="26" applyFont="1" applyBorder="1" applyAlignment="1">
      <alignment horizontal="center"/>
    </xf>
    <xf numFmtId="172" fontId="49" fillId="0" borderId="29" xfId="26" applyNumberFormat="1" applyFont="1" applyBorder="1" applyAlignment="1">
      <alignment horizontal="center"/>
    </xf>
    <xf numFmtId="173" fontId="49" fillId="0" borderId="24" xfId="0" applyNumberFormat="1" applyFont="1" applyBorder="1" applyAlignment="1">
      <alignment horizontal="center"/>
    </xf>
    <xf numFmtId="10" fontId="49" fillId="0" borderId="24" xfId="15" applyNumberFormat="1" applyFont="1" applyBorder="1" applyAlignment="1">
      <alignment horizontal="center"/>
    </xf>
    <xf numFmtId="10" fontId="49" fillId="0" borderId="24" xfId="15" applyNumberFormat="1" applyFont="1" applyFill="1" applyBorder="1" applyAlignment="1">
      <alignment horizontal="center"/>
    </xf>
    <xf numFmtId="10" fontId="49" fillId="0" borderId="0" xfId="15" applyNumberFormat="1" applyFont="1" applyAlignment="1">
      <alignment horizontal="center"/>
    </xf>
    <xf numFmtId="172" fontId="49" fillId="15" borderId="24" xfId="15" applyNumberFormat="1" applyFont="1" applyFill="1" applyBorder="1" applyAlignment="1">
      <alignment horizontal="center"/>
    </xf>
    <xf numFmtId="170" fontId="49" fillId="0" borderId="24" xfId="0" applyNumberFormat="1" applyFont="1" applyBorder="1" applyAlignment="1">
      <alignment horizontal="center"/>
    </xf>
    <xf numFmtId="170" fontId="49" fillId="15" borderId="24" xfId="0" applyNumberFormat="1" applyFont="1" applyFill="1" applyBorder="1" applyAlignment="1">
      <alignment horizontal="center"/>
    </xf>
    <xf numFmtId="0" fontId="32" fillId="4" borderId="0" xfId="0" applyFont="1" applyFill="1" applyAlignment="1">
      <alignment horizontal="center"/>
    </xf>
    <xf numFmtId="9" fontId="6" fillId="0" borderId="0" xfId="15" applyFont="1" applyFill="1"/>
    <xf numFmtId="9" fontId="6" fillId="0" borderId="0" xfId="15" applyFont="1"/>
    <xf numFmtId="176" fontId="6" fillId="0" borderId="0" xfId="0" applyNumberFormat="1" applyFont="1"/>
    <xf numFmtId="176" fontId="6" fillId="0" borderId="0" xfId="15" applyNumberFormat="1" applyFont="1"/>
    <xf numFmtId="176" fontId="6" fillId="0" borderId="0" xfId="15" applyNumberFormat="1" applyFont="1" applyFill="1"/>
    <xf numFmtId="169" fontId="49" fillId="0" borderId="24" xfId="0" applyNumberFormat="1" applyFont="1" applyBorder="1" applyAlignment="1">
      <alignment horizontal="right"/>
    </xf>
    <xf numFmtId="169" fontId="49" fillId="0" borderId="24" xfId="38" applyNumberFormat="1" applyFont="1" applyBorder="1" applyAlignment="1">
      <alignment horizontal="right"/>
    </xf>
    <xf numFmtId="169" fontId="49" fillId="15" borderId="24" xfId="0" applyNumberFormat="1" applyFont="1" applyFill="1" applyBorder="1" applyAlignment="1">
      <alignment horizontal="right"/>
    </xf>
    <xf numFmtId="10" fontId="6" fillId="0" borderId="0" xfId="15" applyNumberFormat="1" applyFont="1" applyFill="1"/>
    <xf numFmtId="10" fontId="6" fillId="0" borderId="0" xfId="15" applyNumberFormat="1" applyFont="1"/>
    <xf numFmtId="171" fontId="6" fillId="0" borderId="43" xfId="0" applyNumberFormat="1" applyFont="1" applyBorder="1" applyAlignment="1">
      <alignment horizontal="center"/>
    </xf>
    <xf numFmtId="169" fontId="49" fillId="0" borderId="43" xfId="0" applyNumberFormat="1" applyFont="1" applyBorder="1" applyAlignment="1">
      <alignment horizontal="center"/>
    </xf>
    <xf numFmtId="2" fontId="6" fillId="0" borderId="43" xfId="15" applyNumberFormat="1" applyFont="1" applyBorder="1" applyAlignment="1">
      <alignment horizontal="center"/>
    </xf>
    <xf numFmtId="175" fontId="49" fillId="0" borderId="43" xfId="15" applyNumberFormat="1" applyFont="1" applyBorder="1" applyAlignment="1">
      <alignment horizontal="center"/>
    </xf>
    <xf numFmtId="10" fontId="6" fillId="0" borderId="43" xfId="15" applyNumberFormat="1" applyFont="1" applyBorder="1" applyAlignment="1">
      <alignment horizontal="center"/>
    </xf>
    <xf numFmtId="172" fontId="6" fillId="0" borderId="43" xfId="15" applyNumberFormat="1" applyFont="1" applyBorder="1" applyAlignment="1">
      <alignment horizontal="center"/>
    </xf>
    <xf numFmtId="10" fontId="49" fillId="0" borderId="43" xfId="15" applyNumberFormat="1" applyFont="1" applyFill="1" applyBorder="1" applyAlignment="1">
      <alignment horizontal="center"/>
    </xf>
    <xf numFmtId="10" fontId="49" fillId="0" borderId="43" xfId="15" applyNumberFormat="1" applyFont="1" applyBorder="1" applyAlignment="1">
      <alignment horizontal="center"/>
    </xf>
    <xf numFmtId="172" fontId="41" fillId="0" borderId="43" xfId="15" applyNumberFormat="1" applyFont="1" applyFill="1" applyBorder="1" applyAlignment="1">
      <alignment horizontal="center"/>
    </xf>
    <xf numFmtId="0" fontId="6" fillId="0" borderId="39" xfId="0" applyFont="1" applyBorder="1"/>
    <xf numFmtId="0" fontId="6" fillId="0" borderId="39" xfId="0" quotePrefix="1" applyFont="1" applyBorder="1"/>
    <xf numFmtId="172" fontId="11" fillId="0" borderId="24" xfId="17" applyNumberFormat="1" applyFont="1" applyFill="1" applyBorder="1" applyAlignment="1">
      <alignment horizontal="center"/>
    </xf>
    <xf numFmtId="0" fontId="6" fillId="0" borderId="24" xfId="0" applyFont="1" applyBorder="1" applyAlignment="1">
      <alignment horizontal="left" vertical="center"/>
    </xf>
    <xf numFmtId="0" fontId="0" fillId="0" borderId="24" xfId="0" applyBorder="1"/>
    <xf numFmtId="10" fontId="6" fillId="0" borderId="24" xfId="0" applyNumberFormat="1" applyFont="1" applyBorder="1" applyAlignment="1">
      <alignment horizontal="center" vertical="center"/>
    </xf>
    <xf numFmtId="0" fontId="6" fillId="0" borderId="24" xfId="0" applyFont="1" applyBorder="1" applyAlignment="1">
      <alignment vertical="center"/>
    </xf>
    <xf numFmtId="176" fontId="49" fillId="0" borderId="24" xfId="0" applyNumberFormat="1" applyFont="1" applyBorder="1" applyAlignment="1">
      <alignment horizontal="right"/>
    </xf>
    <xf numFmtId="176" fontId="49" fillId="0" borderId="29" xfId="0" applyNumberFormat="1" applyFont="1" applyBorder="1" applyAlignment="1">
      <alignment horizontal="right"/>
    </xf>
    <xf numFmtId="0" fontId="65" fillId="9" borderId="0" xfId="20" applyFont="1" applyFill="1" applyAlignment="1">
      <alignment horizontal="left" wrapText="1" readingOrder="1"/>
    </xf>
    <xf numFmtId="0" fontId="66" fillId="9" borderId="0" xfId="0" applyFont="1" applyFill="1" applyAlignment="1">
      <alignment vertical="top" wrapText="1"/>
    </xf>
    <xf numFmtId="2" fontId="67" fillId="9" borderId="0" xfId="0" applyNumberFormat="1" applyFont="1" applyFill="1" applyAlignment="1">
      <alignment horizontal="center" vertical="center" wrapText="1"/>
    </xf>
    <xf numFmtId="2" fontId="67" fillId="9" borderId="0" xfId="0" applyNumberFormat="1" applyFont="1" applyFill="1" applyAlignment="1">
      <alignment horizontal="center" vertical="center"/>
    </xf>
    <xf numFmtId="2" fontId="67" fillId="9" borderId="0" xfId="20" applyNumberFormat="1" applyFont="1" applyFill="1" applyAlignment="1">
      <alignment horizontal="center" wrapText="1" readingOrder="1"/>
    </xf>
    <xf numFmtId="2" fontId="68" fillId="9" borderId="0" xfId="0" applyNumberFormat="1" applyFont="1" applyFill="1" applyAlignment="1">
      <alignment horizontal="center"/>
    </xf>
    <xf numFmtId="2" fontId="67" fillId="9" borderId="0" xfId="0" applyNumberFormat="1" applyFont="1" applyFill="1" applyAlignment="1">
      <alignment horizontal="center"/>
    </xf>
    <xf numFmtId="0" fontId="37" fillId="9" borderId="0" xfId="0" applyFont="1" applyFill="1"/>
    <xf numFmtId="0" fontId="37" fillId="9" borderId="0" xfId="0" applyFont="1" applyFill="1" applyAlignment="1">
      <alignment horizontal="center"/>
    </xf>
    <xf numFmtId="0" fontId="30" fillId="9" borderId="0" xfId="0" applyFont="1" applyFill="1"/>
    <xf numFmtId="0" fontId="0" fillId="0" borderId="92" xfId="0" applyBorder="1"/>
    <xf numFmtId="174" fontId="6" fillId="6" borderId="18" xfId="6" applyFont="1" applyFill="1" applyBorder="1">
      <alignment horizontal="right"/>
    </xf>
    <xf numFmtId="174" fontId="6" fillId="9" borderId="18" xfId="6" applyFont="1" applyFill="1" applyBorder="1">
      <alignment horizontal="right"/>
    </xf>
    <xf numFmtId="4" fontId="6" fillId="8" borderId="18" xfId="7" applyFont="1" applyFill="1" applyBorder="1">
      <alignment horizontal="right"/>
    </xf>
    <xf numFmtId="4" fontId="6" fillId="10" borderId="18" xfId="7" applyFont="1" applyFill="1" applyBorder="1">
      <alignment horizontal="right"/>
    </xf>
    <xf numFmtId="174" fontId="6" fillId="8" borderId="72" xfId="6" applyFont="1" applyFill="1" applyBorder="1">
      <alignment horizontal="right"/>
    </xf>
    <xf numFmtId="4" fontId="6" fillId="3" borderId="69" xfId="7" applyFont="1" applyBorder="1" applyAlignment="1">
      <alignment horizontal="left" wrapText="1"/>
    </xf>
    <xf numFmtId="4" fontId="42" fillId="6" borderId="72" xfId="7" applyFont="1" applyFill="1" applyBorder="1">
      <alignment horizontal="right"/>
    </xf>
    <xf numFmtId="4" fontId="6" fillId="0" borderId="69" xfId="7" applyFont="1" applyFill="1" applyBorder="1" applyAlignment="1">
      <alignment horizontal="left" wrapText="1"/>
    </xf>
    <xf numFmtId="4" fontId="45" fillId="8" borderId="18" xfId="7" applyFont="1" applyFill="1" applyBorder="1">
      <alignment horizontal="right"/>
    </xf>
    <xf numFmtId="9" fontId="6" fillId="3" borderId="69" xfId="15" applyFont="1" applyFill="1" applyBorder="1" applyAlignment="1">
      <alignment horizontal="left" wrapText="1"/>
    </xf>
    <xf numFmtId="4" fontId="6" fillId="3" borderId="18" xfId="7" applyFont="1" applyBorder="1" applyAlignment="1">
      <alignment horizontal="center"/>
    </xf>
    <xf numFmtId="3" fontId="17" fillId="3" borderId="11" xfId="5" applyBorder="1" applyAlignment="1">
      <alignment horizontal="left"/>
    </xf>
    <xf numFmtId="174" fontId="6" fillId="3" borderId="69" xfId="6" applyFont="1" applyBorder="1" applyAlignment="1">
      <alignment horizontal="left" vertical="center" wrapText="1"/>
    </xf>
    <xf numFmtId="174" fontId="6" fillId="9" borderId="69" xfId="6" applyFont="1" applyFill="1" applyBorder="1" applyAlignment="1">
      <alignment horizontal="left" vertical="center" wrapText="1"/>
    </xf>
    <xf numFmtId="174" fontId="6" fillId="3" borderId="70" xfId="6" applyFont="1" applyBorder="1" applyAlignment="1">
      <alignment horizontal="left" vertical="center" wrapText="1"/>
    </xf>
    <xf numFmtId="3" fontId="11" fillId="3" borderId="11" xfId="5" applyFont="1" applyBorder="1" applyAlignment="1">
      <alignment horizontal="left" wrapText="1"/>
    </xf>
    <xf numFmtId="0" fontId="6" fillId="0" borderId="69" xfId="0" applyFont="1" applyBorder="1" applyAlignment="1">
      <alignment horizontal="left"/>
    </xf>
    <xf numFmtId="0" fontId="6" fillId="0" borderId="69" xfId="19" applyFont="1" applyBorder="1" applyAlignment="1">
      <alignment horizontal="left" wrapText="1"/>
    </xf>
    <xf numFmtId="3" fontId="11" fillId="3" borderId="93" xfId="5" applyFont="1" applyBorder="1" applyAlignment="1">
      <alignment horizontal="left" wrapText="1"/>
    </xf>
    <xf numFmtId="4" fontId="6" fillId="9" borderId="69" xfId="7" applyFont="1" applyFill="1" applyBorder="1" applyAlignment="1">
      <alignment horizontal="left" wrapText="1"/>
    </xf>
    <xf numFmtId="4" fontId="6" fillId="3" borderId="71" xfId="7" applyFont="1" applyBorder="1" applyAlignment="1">
      <alignment horizontal="left" wrapText="1"/>
    </xf>
    <xf numFmtId="4" fontId="29" fillId="6" borderId="20" xfId="7" applyFont="1" applyFill="1" applyBorder="1">
      <alignment horizontal="right"/>
    </xf>
    <xf numFmtId="4" fontId="49" fillId="3" borderId="69" xfId="7" applyFont="1" applyBorder="1" applyAlignment="1">
      <alignment horizontal="left" wrapText="1"/>
    </xf>
    <xf numFmtId="0" fontId="6" fillId="3" borderId="18" xfId="9" applyFont="1" applyBorder="1" applyAlignment="1">
      <alignment horizontal="right" wrapText="1"/>
    </xf>
    <xf numFmtId="172" fontId="0" fillId="9" borderId="0" xfId="15" applyNumberFormat="1" applyFont="1" applyFill="1" applyAlignment="1">
      <alignment horizontal="center"/>
    </xf>
    <xf numFmtId="3" fontId="0" fillId="9" borderId="0" xfId="0" applyNumberFormat="1" applyFill="1" applyAlignment="1">
      <alignment horizontal="center"/>
    </xf>
    <xf numFmtId="3" fontId="0" fillId="9" borderId="77" xfId="0" applyNumberFormat="1" applyFill="1" applyBorder="1" applyAlignment="1">
      <alignment horizontal="center"/>
    </xf>
    <xf numFmtId="2" fontId="0" fillId="9" borderId="0" xfId="15" applyNumberFormat="1" applyFont="1" applyFill="1" applyAlignment="1">
      <alignment horizontal="center"/>
    </xf>
    <xf numFmtId="2" fontId="0" fillId="14" borderId="0" xfId="0" applyNumberFormat="1" applyFill="1" applyAlignment="1">
      <alignment horizontal="center"/>
    </xf>
    <xf numFmtId="0" fontId="6" fillId="0" borderId="1" xfId="0" applyFont="1" applyBorder="1" applyAlignment="1">
      <alignment horizontal="left" vertical="top" wrapText="1"/>
    </xf>
    <xf numFmtId="0" fontId="0" fillId="0" borderId="1" xfId="0" applyBorder="1" applyAlignment="1">
      <alignment horizontal="left" vertical="top"/>
    </xf>
    <xf numFmtId="0" fontId="11" fillId="0" borderId="64" xfId="0" applyFont="1" applyBorder="1" applyAlignment="1">
      <alignment horizontal="left" vertical="center" wrapText="1"/>
    </xf>
    <xf numFmtId="0" fontId="11" fillId="0" borderId="48" xfId="0" applyFont="1" applyBorder="1" applyAlignment="1">
      <alignment horizontal="left" vertical="center"/>
    </xf>
    <xf numFmtId="0" fontId="11" fillId="0" borderId="49" xfId="0" applyFont="1" applyBorder="1" applyAlignment="1">
      <alignment horizontal="left" vertical="center"/>
    </xf>
    <xf numFmtId="0" fontId="11" fillId="0" borderId="66" xfId="0" applyFont="1" applyBorder="1" applyAlignment="1">
      <alignment horizontal="left" vertical="center"/>
    </xf>
    <xf numFmtId="0" fontId="11" fillId="0" borderId="0" xfId="0" applyFont="1" applyAlignment="1">
      <alignment horizontal="left" vertical="center"/>
    </xf>
    <xf numFmtId="0" fontId="11" fillId="0" borderId="67" xfId="0" applyFont="1" applyBorder="1" applyAlignment="1">
      <alignment horizontal="left" vertical="center"/>
    </xf>
    <xf numFmtId="0" fontId="11" fillId="0" borderId="68" xfId="0" applyFont="1" applyBorder="1" applyAlignment="1">
      <alignment horizontal="left" vertical="center"/>
    </xf>
    <xf numFmtId="0" fontId="11" fillId="0" borderId="51" xfId="0" applyFont="1" applyBorder="1" applyAlignment="1">
      <alignment horizontal="left" vertical="center"/>
    </xf>
    <xf numFmtId="0" fontId="11" fillId="0" borderId="52" xfId="0" applyFont="1" applyBorder="1" applyAlignment="1">
      <alignment horizontal="left" vertical="center"/>
    </xf>
    <xf numFmtId="0" fontId="47" fillId="11" borderId="55" xfId="0" applyFont="1" applyFill="1" applyBorder="1" applyAlignment="1">
      <alignment horizontal="center" vertical="center" wrapText="1"/>
    </xf>
    <xf numFmtId="0" fontId="13" fillId="11" borderId="55" xfId="0" applyFont="1" applyFill="1" applyBorder="1" applyAlignment="1">
      <alignment horizontal="center" vertical="center" wrapText="1"/>
    </xf>
    <xf numFmtId="0" fontId="13" fillId="11" borderId="56" xfId="0" applyFont="1" applyFill="1" applyBorder="1" applyAlignment="1">
      <alignment horizontal="center" vertical="center" wrapText="1"/>
    </xf>
    <xf numFmtId="0" fontId="58" fillId="4" borderId="37" xfId="0" applyFont="1" applyFill="1" applyBorder="1" applyAlignment="1">
      <alignment horizontal="left"/>
    </xf>
    <xf numFmtId="0" fontId="58" fillId="4" borderId="38" xfId="0" applyFont="1" applyFill="1" applyBorder="1" applyAlignment="1">
      <alignment horizontal="left"/>
    </xf>
    <xf numFmtId="0" fontId="58" fillId="4" borderId="39" xfId="0" applyFont="1" applyFill="1" applyBorder="1" applyAlignment="1">
      <alignment horizontal="left"/>
    </xf>
    <xf numFmtId="0" fontId="58" fillId="4" borderId="57" xfId="0" applyFont="1" applyFill="1" applyBorder="1" applyAlignment="1">
      <alignment horizontal="left"/>
    </xf>
    <xf numFmtId="0" fontId="58" fillId="4" borderId="58" xfId="0" applyFont="1" applyFill="1" applyBorder="1" applyAlignment="1">
      <alignment horizontal="left"/>
    </xf>
    <xf numFmtId="0" fontId="61" fillId="0" borderId="24" xfId="0" applyFont="1" applyBorder="1" applyAlignment="1">
      <alignment horizontal="center" vertical="center" wrapText="1"/>
    </xf>
    <xf numFmtId="0" fontId="61" fillId="0" borderId="29" xfId="0" applyFont="1" applyBorder="1" applyAlignment="1">
      <alignment horizontal="center" vertical="center" wrapText="1"/>
    </xf>
    <xf numFmtId="170" fontId="7" fillId="0" borderId="29" xfId="0" applyNumberFormat="1" applyFont="1" applyBorder="1" applyAlignment="1">
      <alignment horizontal="center" vertical="center"/>
    </xf>
    <xf numFmtId="0" fontId="49" fillId="0" borderId="28" xfId="0" applyFont="1" applyBorder="1" applyAlignment="1">
      <alignment horizontal="left" vertical="center" wrapText="1"/>
    </xf>
    <xf numFmtId="0" fontId="49" fillId="0" borderId="24" xfId="0" applyFont="1" applyBorder="1" applyAlignment="1">
      <alignment horizontal="left" vertical="center" wrapText="1"/>
    </xf>
    <xf numFmtId="0" fontId="32" fillId="4" borderId="24" xfId="0" applyFont="1" applyFill="1" applyBorder="1" applyAlignment="1">
      <alignment horizontal="center"/>
    </xf>
    <xf numFmtId="0" fontId="32" fillId="4" borderId="29" xfId="0" applyFont="1" applyFill="1" applyBorder="1" applyAlignment="1">
      <alignment horizontal="center"/>
    </xf>
    <xf numFmtId="0" fontId="58" fillId="4" borderId="28" xfId="0" applyFont="1" applyFill="1" applyBorder="1" applyAlignment="1">
      <alignment horizontal="left"/>
    </xf>
    <xf numFmtId="0" fontId="58" fillId="4" borderId="24" xfId="0" applyFont="1" applyFill="1" applyBorder="1" applyAlignment="1">
      <alignment horizontal="left"/>
    </xf>
    <xf numFmtId="0" fontId="63" fillId="0" borderId="47" xfId="0" applyFont="1" applyBorder="1" applyAlignment="1">
      <alignment horizontal="left" vertical="center" wrapText="1"/>
    </xf>
    <xf numFmtId="0" fontId="63" fillId="0" borderId="48" xfId="0" applyFont="1" applyBorder="1" applyAlignment="1">
      <alignment horizontal="left" vertical="center" wrapText="1"/>
    </xf>
    <xf numFmtId="0" fontId="63" fillId="0" borderId="49" xfId="0" applyFont="1" applyBorder="1" applyAlignment="1">
      <alignment horizontal="left" vertical="center" wrapText="1"/>
    </xf>
    <xf numFmtId="0" fontId="63" fillId="0" borderId="50" xfId="0" applyFont="1" applyBorder="1" applyAlignment="1">
      <alignment horizontal="left" vertical="center" wrapText="1"/>
    </xf>
    <xf numFmtId="0" fontId="63" fillId="0" borderId="51" xfId="0" applyFont="1" applyBorder="1" applyAlignment="1">
      <alignment horizontal="left" vertical="center" wrapText="1"/>
    </xf>
    <xf numFmtId="0" fontId="63" fillId="0" borderId="52" xfId="0" applyFont="1" applyBorder="1" applyAlignment="1">
      <alignment horizontal="left" vertical="center" wrapText="1"/>
    </xf>
    <xf numFmtId="0" fontId="6" fillId="16" borderId="53" xfId="0" applyFont="1" applyFill="1" applyBorder="1" applyAlignment="1">
      <alignment horizontal="center" vertical="center" wrapText="1"/>
    </xf>
    <xf numFmtId="0" fontId="10" fillId="16" borderId="54" xfId="0" applyFont="1" applyFill="1" applyBorder="1" applyAlignment="1">
      <alignment horizontal="center" vertical="center" wrapText="1"/>
    </xf>
    <xf numFmtId="0" fontId="11" fillId="0" borderId="24" xfId="0" applyFont="1" applyBorder="1" applyAlignment="1">
      <alignment horizontal="center"/>
    </xf>
    <xf numFmtId="0" fontId="37" fillId="4" borderId="24" xfId="0" applyFont="1" applyFill="1" applyBorder="1" applyAlignment="1">
      <alignment horizontal="center"/>
    </xf>
    <xf numFmtId="0" fontId="7" fillId="0" borderId="44" xfId="0" applyFont="1" applyBorder="1" applyAlignment="1">
      <alignment horizontal="center" vertical="center"/>
    </xf>
    <xf numFmtId="0" fontId="7" fillId="0" borderId="45" xfId="0" applyFont="1" applyBorder="1" applyAlignment="1">
      <alignment horizontal="center" vertical="center"/>
    </xf>
    <xf numFmtId="0" fontId="7" fillId="0" borderId="46" xfId="0" applyFont="1" applyBorder="1" applyAlignment="1">
      <alignment horizontal="center" vertical="center"/>
    </xf>
    <xf numFmtId="0" fontId="32" fillId="4" borderId="37" xfId="0" applyFont="1" applyFill="1" applyBorder="1" applyAlignment="1">
      <alignment horizontal="left"/>
    </xf>
    <xf numFmtId="0" fontId="32" fillId="4" borderId="38" xfId="0" applyFont="1" applyFill="1" applyBorder="1" applyAlignment="1">
      <alignment horizontal="left"/>
    </xf>
    <xf numFmtId="0" fontId="32" fillId="4" borderId="39" xfId="0" applyFont="1" applyFill="1" applyBorder="1" applyAlignment="1">
      <alignment horizontal="left"/>
    </xf>
    <xf numFmtId="0" fontId="22" fillId="0" borderId="24" xfId="0" applyFont="1" applyBorder="1" applyAlignment="1">
      <alignment horizontal="left" vertical="center" wrapText="1"/>
    </xf>
    <xf numFmtId="0" fontId="22" fillId="0" borderId="29" xfId="0" applyFont="1" applyBorder="1" applyAlignment="1">
      <alignment horizontal="left" vertical="center" wrapText="1"/>
    </xf>
    <xf numFmtId="0" fontId="19" fillId="0" borderId="28" xfId="0" applyFont="1" applyBorder="1" applyAlignment="1">
      <alignment horizontal="center" wrapText="1"/>
    </xf>
    <xf numFmtId="0" fontId="19" fillId="0" borderId="24" xfId="0" applyFont="1" applyBorder="1" applyAlignment="1">
      <alignment horizontal="center" wrapText="1"/>
    </xf>
    <xf numFmtId="9" fontId="7" fillId="0" borderId="29" xfId="15" applyFont="1" applyBorder="1" applyAlignment="1">
      <alignment horizontal="center" vertical="center"/>
    </xf>
    <xf numFmtId="0" fontId="19" fillId="0" borderId="28" xfId="0" applyFont="1" applyBorder="1" applyAlignment="1">
      <alignment horizontal="left" vertical="center" wrapText="1"/>
    </xf>
    <xf numFmtId="0" fontId="19" fillId="0" borderId="24" xfId="0" applyFont="1" applyBorder="1" applyAlignment="1">
      <alignment horizontal="left" vertical="center" wrapText="1"/>
    </xf>
    <xf numFmtId="0" fontId="23" fillId="0" borderId="24" xfId="0" applyFont="1" applyBorder="1" applyAlignment="1">
      <alignment horizontal="left" vertical="center" wrapText="1"/>
    </xf>
    <xf numFmtId="0" fontId="23" fillId="0" borderId="29" xfId="0" applyFont="1" applyBorder="1" applyAlignment="1">
      <alignment horizontal="left" vertical="center" wrapText="1"/>
    </xf>
    <xf numFmtId="0" fontId="32" fillId="4" borderId="28" xfId="0" applyFont="1" applyFill="1" applyBorder="1" applyAlignment="1">
      <alignment horizontal="center"/>
    </xf>
    <xf numFmtId="0" fontId="63" fillId="0" borderId="37" xfId="0" applyFont="1" applyBorder="1" applyAlignment="1">
      <alignment horizontal="left" vertical="center" wrapText="1"/>
    </xf>
    <xf numFmtId="0" fontId="63" fillId="0" borderId="38" xfId="0" applyFont="1" applyBorder="1" applyAlignment="1">
      <alignment horizontal="left" vertical="center" wrapText="1"/>
    </xf>
    <xf numFmtId="0" fontId="63" fillId="0" borderId="39" xfId="0" applyFont="1" applyBorder="1" applyAlignment="1">
      <alignment horizontal="left" vertical="center" wrapText="1"/>
    </xf>
    <xf numFmtId="0" fontId="32" fillId="4" borderId="39" xfId="0" applyFont="1" applyFill="1" applyBorder="1" applyAlignment="1">
      <alignment horizontal="center"/>
    </xf>
    <xf numFmtId="0" fontId="32" fillId="4" borderId="43" xfId="0" applyFont="1" applyFill="1" applyBorder="1" applyAlignment="1">
      <alignment horizontal="center"/>
    </xf>
    <xf numFmtId="0" fontId="46" fillId="12" borderId="74" xfId="0" applyFont="1" applyFill="1" applyBorder="1" applyAlignment="1">
      <alignment horizontal="center" vertical="center"/>
    </xf>
    <xf numFmtId="0" fontId="46" fillId="12" borderId="76" xfId="0" applyFont="1" applyFill="1" applyBorder="1" applyAlignment="1">
      <alignment horizontal="center" vertical="center"/>
    </xf>
    <xf numFmtId="4" fontId="42" fillId="10" borderId="90" xfId="7" applyFont="1" applyFill="1" applyBorder="1" applyAlignment="1">
      <alignment horizontal="center"/>
    </xf>
    <xf numFmtId="4" fontId="42" fillId="10" borderId="86" xfId="7" applyFont="1" applyFill="1" applyBorder="1" applyAlignment="1">
      <alignment horizontal="center"/>
    </xf>
    <xf numFmtId="4" fontId="42" fillId="10" borderId="91" xfId="7" applyFont="1" applyFill="1" applyBorder="1" applyAlignment="1">
      <alignment horizontal="center"/>
    </xf>
    <xf numFmtId="4" fontId="42" fillId="8" borderId="76" xfId="7" applyFont="1" applyFill="1" applyBorder="1" applyAlignment="1">
      <alignment horizontal="center"/>
    </xf>
    <xf numFmtId="4" fontId="42" fillId="8" borderId="0" xfId="7" applyFont="1" applyFill="1" applyBorder="1" applyAlignment="1">
      <alignment horizontal="center"/>
    </xf>
    <xf numFmtId="4" fontId="42" fillId="8" borderId="77" xfId="7" applyFont="1" applyFill="1" applyBorder="1" applyAlignment="1">
      <alignment horizontal="center"/>
    </xf>
    <xf numFmtId="4" fontId="6" fillId="6" borderId="78" xfId="7" applyFont="1" applyFill="1" applyBorder="1" applyAlignment="1">
      <alignment horizontal="center"/>
    </xf>
    <xf numFmtId="4" fontId="6" fillId="6" borderId="79" xfId="7" applyFont="1" applyFill="1" applyBorder="1" applyAlignment="1">
      <alignment horizontal="center"/>
    </xf>
    <xf numFmtId="4" fontId="6" fillId="6" borderId="80" xfId="7" applyFont="1" applyFill="1" applyBorder="1" applyAlignment="1">
      <alignment horizontal="center"/>
    </xf>
    <xf numFmtId="0" fontId="32" fillId="4" borderId="59" xfId="0" applyFont="1" applyFill="1" applyBorder="1" applyAlignment="1">
      <alignment horizontal="center" vertical="center"/>
    </xf>
    <xf numFmtId="0" fontId="32" fillId="4" borderId="60" xfId="0" applyFont="1" applyFill="1" applyBorder="1" applyAlignment="1">
      <alignment horizontal="center" vertical="center"/>
    </xf>
    <xf numFmtId="0" fontId="32" fillId="4" borderId="61" xfId="0" applyFont="1" applyFill="1" applyBorder="1" applyAlignment="1">
      <alignment horizontal="center" vertical="center"/>
    </xf>
    <xf numFmtId="0" fontId="15" fillId="4" borderId="21" xfId="1" applyFill="1" applyBorder="1" applyAlignment="1">
      <alignment horizontal="center" vertical="center" readingOrder="1"/>
    </xf>
    <xf numFmtId="0" fontId="15" fillId="4" borderId="22" xfId="1" applyFill="1" applyBorder="1" applyAlignment="1">
      <alignment horizontal="center" vertical="center" readingOrder="1"/>
    </xf>
    <xf numFmtId="0" fontId="15" fillId="4" borderId="23" xfId="1" applyFill="1" applyBorder="1" applyAlignment="1">
      <alignment horizontal="center" vertical="center" readingOrder="1"/>
    </xf>
    <xf numFmtId="0" fontId="32" fillId="4" borderId="8" xfId="0" applyFont="1" applyFill="1" applyBorder="1" applyAlignment="1">
      <alignment horizontal="center"/>
    </xf>
    <xf numFmtId="0" fontId="32" fillId="4" borderId="62" xfId="0" applyFont="1" applyFill="1" applyBorder="1" applyAlignment="1">
      <alignment horizontal="center"/>
    </xf>
    <xf numFmtId="0" fontId="34" fillId="0" borderId="14" xfId="0" applyFont="1" applyBorder="1" applyAlignment="1">
      <alignment horizontal="center" vertical="center" wrapText="1"/>
    </xf>
    <xf numFmtId="0" fontId="34" fillId="0" borderId="63" xfId="0" applyFont="1" applyBorder="1" applyAlignment="1">
      <alignment horizontal="center" vertical="center" wrapText="1"/>
    </xf>
    <xf numFmtId="0" fontId="32" fillId="4" borderId="87" xfId="0" applyFont="1" applyFill="1" applyBorder="1" applyAlignment="1">
      <alignment horizontal="center" vertical="center"/>
    </xf>
    <xf numFmtId="0" fontId="32" fillId="4" borderId="88" xfId="0" applyFont="1" applyFill="1" applyBorder="1" applyAlignment="1">
      <alignment horizontal="center" vertical="center"/>
    </xf>
    <xf numFmtId="0" fontId="32" fillId="4" borderId="89" xfId="0" applyFont="1" applyFill="1" applyBorder="1" applyAlignment="1">
      <alignment horizontal="center" vertical="center"/>
    </xf>
    <xf numFmtId="171" fontId="0" fillId="0" borderId="0" xfId="0" applyNumberFormat="1" applyAlignment="1">
      <alignment horizontal="center"/>
    </xf>
    <xf numFmtId="0" fontId="38" fillId="4" borderId="0" xfId="0" applyFont="1" applyFill="1" applyAlignment="1">
      <alignment horizontal="center"/>
    </xf>
    <xf numFmtId="172" fontId="0" fillId="0" borderId="0" xfId="0" applyNumberFormat="1" applyAlignment="1">
      <alignment horizontal="center"/>
    </xf>
    <xf numFmtId="0" fontId="0" fillId="0" borderId="0" xfId="0" applyAlignment="1">
      <alignment horizontal="center"/>
    </xf>
  </cellXfs>
  <cellStyles count="39">
    <cellStyle name="blp_title_header_row_left" xfId="1" xr:uid="{00000000-0005-0000-0000-000000000000}"/>
    <cellStyle name="Currency" xfId="38" builtinId="4"/>
    <cellStyle name="fa_column_header_bottom_left 2" xfId="2" xr:uid="{00000000-0005-0000-0000-000002000000}"/>
    <cellStyle name="fa_column_header_top 2" xfId="3" xr:uid="{00000000-0005-0000-0000-000003000000}"/>
    <cellStyle name="fa_column_header_top_left 2" xfId="4" xr:uid="{00000000-0005-0000-0000-000004000000}"/>
    <cellStyle name="fa_data_bold_0_grouped" xfId="5" xr:uid="{00000000-0005-0000-0000-000005000000}"/>
    <cellStyle name="fa_data_standard_1_grouped" xfId="6" xr:uid="{00000000-0005-0000-0000-000006000000}"/>
    <cellStyle name="fa_data_standard_2_grouped" xfId="7" xr:uid="{00000000-0005-0000-0000-000007000000}"/>
    <cellStyle name="fa_row_header_bold 2" xfId="8" xr:uid="{00000000-0005-0000-0000-000008000000}"/>
    <cellStyle name="fa_row_header_standard 2" xfId="9" xr:uid="{00000000-0005-0000-0000-000009000000}"/>
    <cellStyle name="Hyperlink" xfId="10" builtinId="8"/>
    <cellStyle name="Millares 2" xfId="29" xr:uid="{00000000-0005-0000-0000-00000B000000}"/>
    <cellStyle name="Moneda 2" xfId="11" xr:uid="{00000000-0005-0000-0000-00000C000000}"/>
    <cellStyle name="Moneda 2 2" xfId="12" xr:uid="{00000000-0005-0000-0000-00000D000000}"/>
    <cellStyle name="Moneda 2 2 2" xfId="22" xr:uid="{00000000-0005-0000-0000-00000E000000}"/>
    <cellStyle name="Moneda 2 3" xfId="21" xr:uid="{00000000-0005-0000-0000-00000F000000}"/>
    <cellStyle name="Moneda 3" xfId="30" xr:uid="{00000000-0005-0000-0000-000010000000}"/>
    <cellStyle name="Normal" xfId="0" builtinId="0"/>
    <cellStyle name="Normal 2" xfId="13" xr:uid="{00000000-0005-0000-0000-000012000000}"/>
    <cellStyle name="Normal 2 2" xfId="14" xr:uid="{00000000-0005-0000-0000-000013000000}"/>
    <cellStyle name="Normal 2 2 2" xfId="24" xr:uid="{00000000-0005-0000-0000-000014000000}"/>
    <cellStyle name="Normal 2 3" xfId="19" xr:uid="{00000000-0005-0000-0000-000015000000}"/>
    <cellStyle name="Normal 2 3 2" xfId="28" xr:uid="{00000000-0005-0000-0000-000016000000}"/>
    <cellStyle name="Normal 2 4" xfId="23" xr:uid="{00000000-0005-0000-0000-000017000000}"/>
    <cellStyle name="Normal 2 4 2" xfId="31" xr:uid="{00000000-0005-0000-0000-000018000000}"/>
    <cellStyle name="Normal 3" xfId="37" xr:uid="{00000000-0005-0000-0000-000019000000}"/>
    <cellStyle name="Normal 3 2" xfId="20" xr:uid="{00000000-0005-0000-0000-00001A000000}"/>
    <cellStyle name="Normal 3 3" xfId="32" xr:uid="{00000000-0005-0000-0000-00001B000000}"/>
    <cellStyle name="Normal 3 3 2" xfId="33" xr:uid="{00000000-0005-0000-0000-00001C000000}"/>
    <cellStyle name="Normal 5" xfId="34" xr:uid="{00000000-0005-0000-0000-00001D000000}"/>
    <cellStyle name="Percent" xfId="15" builtinId="5"/>
    <cellStyle name="Porcentaje 2" xfId="16" xr:uid="{00000000-0005-0000-0000-00001F000000}"/>
    <cellStyle name="Porcentaje 2 2" xfId="17" xr:uid="{00000000-0005-0000-0000-000020000000}"/>
    <cellStyle name="Porcentaje 2 2 2" xfId="26" xr:uid="{00000000-0005-0000-0000-000021000000}"/>
    <cellStyle name="Porcentaje 2 3" xfId="25" xr:uid="{00000000-0005-0000-0000-000022000000}"/>
    <cellStyle name="Porcentaje 3" xfId="18" xr:uid="{00000000-0005-0000-0000-000023000000}"/>
    <cellStyle name="Porcentaje 3 2" xfId="27" xr:uid="{00000000-0005-0000-0000-000024000000}"/>
    <cellStyle name="Porcentaje 4 2" xfId="36" xr:uid="{00000000-0005-0000-0000-000025000000}"/>
    <cellStyle name="Porcentaje 5" xfId="35" xr:uid="{00000000-0005-0000-0000-00002600000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FFFF66"/>
      <color rgb="FFFF5050"/>
      <color rgb="FFFFFFCC"/>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9D6-40DE-82A1-0FA536C6450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9D6-40DE-82A1-0FA536C6450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9D6-40DE-82A1-0FA536C64509}"/>
              </c:ext>
            </c:extLst>
          </c:dPt>
          <c:cat>
            <c:strRef>
              <c:f>DCF!$B$35:$F$35</c:f>
              <c:strCache>
                <c:ptCount val="5"/>
                <c:pt idx="0">
                  <c:v>2019 (Real)</c:v>
                </c:pt>
                <c:pt idx="1">
                  <c:v>2020 (Real)</c:v>
                </c:pt>
                <c:pt idx="2">
                  <c:v>2021</c:v>
                </c:pt>
                <c:pt idx="3">
                  <c:v>2022</c:v>
                </c:pt>
                <c:pt idx="4">
                  <c:v>2023</c:v>
                </c:pt>
              </c:strCache>
            </c:strRef>
          </c:cat>
          <c:val>
            <c:numRef>
              <c:f>DCF!$B$37:$F$37</c:f>
              <c:numCache>
                <c:formatCode>"$"#,##0</c:formatCode>
                <c:ptCount val="5"/>
                <c:pt idx="0">
                  <c:v>3936.623</c:v>
                </c:pt>
                <c:pt idx="1">
                  <c:v>5295.5839999999998</c:v>
                </c:pt>
                <c:pt idx="2">
                  <c:v>5314.4410500000004</c:v>
                </c:pt>
                <c:pt idx="3">
                  <c:v>5495.1320457000002</c:v>
                </c:pt>
                <c:pt idx="4">
                  <c:v>6017.1695900414998</c:v>
                </c:pt>
              </c:numCache>
            </c:numRef>
          </c:val>
          <c:smooth val="0"/>
          <c:extLst>
            <c:ext xmlns:c16="http://schemas.microsoft.com/office/drawing/2014/chart" uri="{C3380CC4-5D6E-409C-BE32-E72D297353CC}">
              <c16:uniqueId val="{00000006-29D6-40DE-82A1-0FA536C64509}"/>
            </c:ext>
          </c:extLst>
        </c:ser>
        <c:dLbls>
          <c:showLegendKey val="0"/>
          <c:showVal val="0"/>
          <c:showCatName val="0"/>
          <c:showSerName val="0"/>
          <c:showPercent val="0"/>
          <c:showBubbleSize val="0"/>
        </c:dLbls>
        <c:smooth val="0"/>
        <c:axId val="468295536"/>
        <c:axId val="469723232"/>
      </c:lineChart>
      <c:catAx>
        <c:axId val="4682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3232"/>
        <c:crosses val="autoZero"/>
        <c:auto val="0"/>
        <c:lblAlgn val="ctr"/>
        <c:lblOffset val="100"/>
        <c:noMultiLvlLbl val="0"/>
      </c:catAx>
      <c:valAx>
        <c:axId val="4697232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829553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0852-4BF1-A341-E431ACE2ED9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0852-4BF1-A341-E431ACE2ED9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0852-4BF1-A341-E431ACE2ED99}"/>
              </c:ext>
            </c:extLst>
          </c:dPt>
          <c:cat>
            <c:strRef>
              <c:f>DCF!$B$35:$F$35</c:f>
              <c:strCache>
                <c:ptCount val="5"/>
                <c:pt idx="0">
                  <c:v>2019 (Real)</c:v>
                </c:pt>
                <c:pt idx="1">
                  <c:v>2020 (Real)</c:v>
                </c:pt>
                <c:pt idx="2">
                  <c:v>2021</c:v>
                </c:pt>
                <c:pt idx="3">
                  <c:v>2022</c:v>
                </c:pt>
                <c:pt idx="4">
                  <c:v>2023</c:v>
                </c:pt>
              </c:strCache>
            </c:strRef>
          </c:cat>
          <c:val>
            <c:numRef>
              <c:f>DCF!$B$38:$F$38</c:f>
              <c:numCache>
                <c:formatCode>0.0%</c:formatCode>
                <c:ptCount val="5"/>
                <c:pt idx="0">
                  <c:v>0.1179</c:v>
                </c:pt>
                <c:pt idx="1">
                  <c:v>0.1573</c:v>
                </c:pt>
                <c:pt idx="2">
                  <c:v>0.29593021537936248</c:v>
                </c:pt>
                <c:pt idx="3">
                  <c:v>0.28617540807249875</c:v>
                </c:pt>
                <c:pt idx="4">
                  <c:v>0.27</c:v>
                </c:pt>
              </c:numCache>
            </c:numRef>
          </c:val>
          <c:smooth val="0"/>
          <c:extLst>
            <c:ext xmlns:c16="http://schemas.microsoft.com/office/drawing/2014/chart" uri="{C3380CC4-5D6E-409C-BE32-E72D297353CC}">
              <c16:uniqueId val="{00000006-0852-4BF1-A341-E431ACE2ED99}"/>
            </c:ext>
          </c:extLst>
        </c:ser>
        <c:dLbls>
          <c:showLegendKey val="0"/>
          <c:showVal val="0"/>
          <c:showCatName val="0"/>
          <c:showSerName val="0"/>
          <c:showPercent val="0"/>
          <c:showBubbleSize val="0"/>
        </c:dLbls>
        <c:smooth val="0"/>
        <c:axId val="469725472"/>
        <c:axId val="469726032"/>
      </c:lineChart>
      <c:catAx>
        <c:axId val="46972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6032"/>
        <c:crosses val="autoZero"/>
        <c:auto val="1"/>
        <c:lblAlgn val="ctr"/>
        <c:lblOffset val="100"/>
        <c:noMultiLvlLbl val="0"/>
      </c:catAx>
      <c:valAx>
        <c:axId val="4697260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97254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92336380204484"/>
          <c:y val="3.5969349607330517E-2"/>
          <c:w val="0.84839388374040381"/>
          <c:h val="0.77604277854266257"/>
        </c:manualLayout>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890B-4B55-856C-0152686CCD41}"/>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890B-4B55-856C-0152686CCD41}"/>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890B-4B55-856C-0152686CCD41}"/>
              </c:ext>
            </c:extLst>
          </c:dPt>
          <c:cat>
            <c:strRef>
              <c:f>DCF!$B$35:$F$35</c:f>
              <c:strCache>
                <c:ptCount val="5"/>
                <c:pt idx="0">
                  <c:v>2019 (Real)</c:v>
                </c:pt>
                <c:pt idx="1">
                  <c:v>2020 (Real)</c:v>
                </c:pt>
                <c:pt idx="2">
                  <c:v>2021</c:v>
                </c:pt>
                <c:pt idx="3">
                  <c:v>2022</c:v>
                </c:pt>
                <c:pt idx="4">
                  <c:v>2023</c:v>
                </c:pt>
              </c:strCache>
            </c:strRef>
          </c:cat>
          <c:val>
            <c:numRef>
              <c:f>DCF!$B$47:$F$47</c:f>
              <c:numCache>
                <c:formatCode>"$"#,##0</c:formatCode>
                <c:ptCount val="5"/>
                <c:pt idx="0">
                  <c:v>146.29999999999998</c:v>
                </c:pt>
                <c:pt idx="1">
                  <c:v>849.7</c:v>
                </c:pt>
                <c:pt idx="2">
                  <c:v>10000</c:v>
                </c:pt>
                <c:pt idx="3">
                  <c:v>10408</c:v>
                </c:pt>
                <c:pt idx="4">
                  <c:v>11594.511999999999</c:v>
                </c:pt>
              </c:numCache>
            </c:numRef>
          </c:val>
          <c:smooth val="0"/>
          <c:extLst>
            <c:ext xmlns:c16="http://schemas.microsoft.com/office/drawing/2014/chart" uri="{C3380CC4-5D6E-409C-BE32-E72D297353CC}">
              <c16:uniqueId val="{00000006-890B-4B55-856C-0152686CCD41}"/>
            </c:ext>
          </c:extLst>
        </c:ser>
        <c:dLbls>
          <c:showLegendKey val="0"/>
          <c:showVal val="0"/>
          <c:showCatName val="0"/>
          <c:showSerName val="0"/>
          <c:showPercent val="0"/>
          <c:showBubbleSize val="0"/>
        </c:dLbls>
        <c:smooth val="0"/>
        <c:axId val="469728272"/>
        <c:axId val="469728832"/>
      </c:lineChart>
      <c:catAx>
        <c:axId val="4697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69728832"/>
        <c:crosses val="autoZero"/>
        <c:auto val="0"/>
        <c:lblAlgn val="ctr"/>
        <c:lblOffset val="100"/>
        <c:noMultiLvlLbl val="0"/>
      </c:catAx>
      <c:valAx>
        <c:axId val="469728832"/>
        <c:scaling>
          <c:orientation val="minMax"/>
          <c:max val="25000"/>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697282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BBB-4662-B16E-6E91A3BCDBBD}"/>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BBB-4662-B16E-6E91A3BCDBBD}"/>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BBB-4662-B16E-6E91A3BCDBBD}"/>
              </c:ext>
            </c:extLst>
          </c:dPt>
          <c:cat>
            <c:strRef>
              <c:f>DCF!$B$35:$F$35</c:f>
              <c:strCache>
                <c:ptCount val="5"/>
                <c:pt idx="0">
                  <c:v>2019 (Real)</c:v>
                </c:pt>
                <c:pt idx="1">
                  <c:v>2020 (Real)</c:v>
                </c:pt>
                <c:pt idx="2">
                  <c:v>2021</c:v>
                </c:pt>
                <c:pt idx="3">
                  <c:v>2022</c:v>
                </c:pt>
                <c:pt idx="4">
                  <c:v>2023</c:v>
                </c:pt>
              </c:strCache>
            </c:strRef>
          </c:cat>
          <c:val>
            <c:numRef>
              <c:f>DCF!$B$46:$F$46</c:f>
              <c:numCache>
                <c:formatCode>"$"#,##0</c:formatCode>
                <c:ptCount val="5"/>
                <c:pt idx="0">
                  <c:v>58073</c:v>
                </c:pt>
                <c:pt idx="1">
                  <c:v>61045</c:v>
                </c:pt>
                <c:pt idx="2">
                  <c:v>-1652.1951892075344</c:v>
                </c:pt>
                <c:pt idx="3">
                  <c:v>-1725.4908195835346</c:v>
                </c:pt>
                <c:pt idx="4">
                  <c:v>-1867.101412160398</c:v>
                </c:pt>
              </c:numCache>
            </c:numRef>
          </c:val>
          <c:smooth val="0"/>
          <c:extLst>
            <c:ext xmlns:c16="http://schemas.microsoft.com/office/drawing/2014/chart" uri="{C3380CC4-5D6E-409C-BE32-E72D297353CC}">
              <c16:uniqueId val="{00000006-2BBB-4662-B16E-6E91A3BCDBBD}"/>
            </c:ext>
          </c:extLst>
        </c:ser>
        <c:dLbls>
          <c:showLegendKey val="0"/>
          <c:showVal val="0"/>
          <c:showCatName val="0"/>
          <c:showSerName val="0"/>
          <c:showPercent val="0"/>
          <c:showBubbleSize val="0"/>
        </c:dLbls>
        <c:smooth val="0"/>
        <c:axId val="471143824"/>
        <c:axId val="471144384"/>
      </c:lineChart>
      <c:catAx>
        <c:axId val="4711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471144384"/>
        <c:crosses val="autoZero"/>
        <c:auto val="1"/>
        <c:lblAlgn val="ctr"/>
        <c:lblOffset val="100"/>
        <c:noMultiLvlLbl val="0"/>
      </c:catAx>
      <c:valAx>
        <c:axId val="471144384"/>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471143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14</xdr:col>
      <xdr:colOff>304800</xdr:colOff>
      <xdr:row>3</xdr:row>
      <xdr:rowOff>304800</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3</xdr:row>
      <xdr:rowOff>0</xdr:rowOff>
    </xdr:from>
    <xdr:to>
      <xdr:col>14</xdr:col>
      <xdr:colOff>304800</xdr:colOff>
      <xdr:row>3</xdr:row>
      <xdr:rowOff>304800</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851646</xdr:colOff>
      <xdr:row>2</xdr:row>
      <xdr:rowOff>39222</xdr:rowOff>
    </xdr:from>
    <xdr:to>
      <xdr:col>3</xdr:col>
      <xdr:colOff>1248</xdr:colOff>
      <xdr:row>3</xdr:row>
      <xdr:rowOff>840441</xdr:rowOff>
    </xdr:to>
    <xdr:pic>
      <xdr:nvPicPr>
        <xdr:cNvPr id="3" name="Picture 2">
          <a:extLst>
            <a:ext uri="{FF2B5EF4-FFF2-40B4-BE49-F238E27FC236}">
              <a16:creationId xmlns:a16="http://schemas.microsoft.com/office/drawing/2014/main" id="{5E4C5FBA-228F-3D2D-E269-58AEA156BD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69191" y="487457"/>
          <a:ext cx="1232646" cy="12326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38100</xdr:rowOff>
    </xdr:from>
    <xdr:to>
      <xdr:col>5</xdr:col>
      <xdr:colOff>695325</xdr:colOff>
      <xdr:row>21</xdr:row>
      <xdr:rowOff>161924</xdr:rowOff>
    </xdr:to>
    <xdr:pic>
      <xdr:nvPicPr>
        <xdr:cNvPr id="2" name="Imagen 1">
          <a:extLst>
            <a:ext uri="{FF2B5EF4-FFF2-40B4-BE49-F238E27FC236}">
              <a16:creationId xmlns:a16="http://schemas.microsoft.com/office/drawing/2014/main" id="{F2F9330C-25CE-45E1-BA4E-66296A4EDD68}"/>
            </a:ext>
          </a:extLst>
        </xdr:cNvPr>
        <xdr:cNvPicPr>
          <a:picLocks noChangeAspect="1"/>
        </xdr:cNvPicPr>
      </xdr:nvPicPr>
      <xdr:blipFill rotWithShape="1">
        <a:blip xmlns:r="http://schemas.openxmlformats.org/officeDocument/2006/relationships" r:embed="rId1"/>
        <a:srcRect l="24381" t="20576" r="25833" b="16526"/>
        <a:stretch/>
      </xdr:blipFill>
      <xdr:spPr>
        <a:xfrm>
          <a:off x="0" y="361950"/>
          <a:ext cx="4505325" cy="3200399"/>
        </a:xfrm>
        <a:prstGeom prst="rect">
          <a:avLst/>
        </a:prstGeom>
      </xdr:spPr>
    </xdr:pic>
    <xdr:clientData/>
  </xdr:twoCellAnchor>
  <xdr:twoCellAnchor editAs="oneCell">
    <xdr:from>
      <xdr:col>5</xdr:col>
      <xdr:colOff>742951</xdr:colOff>
      <xdr:row>2</xdr:row>
      <xdr:rowOff>19050</xdr:rowOff>
    </xdr:from>
    <xdr:to>
      <xdr:col>12</xdr:col>
      <xdr:colOff>590550</xdr:colOff>
      <xdr:row>26</xdr:row>
      <xdr:rowOff>17452</xdr:rowOff>
    </xdr:to>
    <xdr:pic>
      <xdr:nvPicPr>
        <xdr:cNvPr id="3" name="Imagen 2">
          <a:extLst>
            <a:ext uri="{FF2B5EF4-FFF2-40B4-BE49-F238E27FC236}">
              <a16:creationId xmlns:a16="http://schemas.microsoft.com/office/drawing/2014/main" id="{6C3DB5B5-D2AB-4357-9042-072F61CBB8BC}"/>
            </a:ext>
          </a:extLst>
        </xdr:cNvPr>
        <xdr:cNvPicPr>
          <a:picLocks noChangeAspect="1"/>
        </xdr:cNvPicPr>
      </xdr:nvPicPr>
      <xdr:blipFill rotWithShape="1">
        <a:blip xmlns:r="http://schemas.openxmlformats.org/officeDocument/2006/relationships" r:embed="rId2"/>
        <a:srcRect l="35436" t="14585" r="5186" b="6238"/>
        <a:stretch/>
      </xdr:blipFill>
      <xdr:spPr>
        <a:xfrm>
          <a:off x="4552951" y="342900"/>
          <a:ext cx="5181599" cy="3884602"/>
        </a:xfrm>
        <a:prstGeom prst="rect">
          <a:avLst/>
        </a:prstGeom>
      </xdr:spPr>
    </xdr:pic>
    <xdr:clientData/>
  </xdr:twoCellAnchor>
  <xdr:twoCellAnchor editAs="oneCell">
    <xdr:from>
      <xdr:col>12</xdr:col>
      <xdr:colOff>733424</xdr:colOff>
      <xdr:row>1</xdr:row>
      <xdr:rowOff>152399</xdr:rowOff>
    </xdr:from>
    <xdr:to>
      <xdr:col>19</xdr:col>
      <xdr:colOff>200025</xdr:colOff>
      <xdr:row>25</xdr:row>
      <xdr:rowOff>104774</xdr:rowOff>
    </xdr:to>
    <xdr:pic>
      <xdr:nvPicPr>
        <xdr:cNvPr id="4" name="Imagen 3">
          <a:extLst>
            <a:ext uri="{FF2B5EF4-FFF2-40B4-BE49-F238E27FC236}">
              <a16:creationId xmlns:a16="http://schemas.microsoft.com/office/drawing/2014/main" id="{2F698728-CF09-4265-A947-5121BAAFCF06}"/>
            </a:ext>
          </a:extLst>
        </xdr:cNvPr>
        <xdr:cNvPicPr>
          <a:picLocks noChangeAspect="1"/>
        </xdr:cNvPicPr>
      </xdr:nvPicPr>
      <xdr:blipFill rotWithShape="1">
        <a:blip xmlns:r="http://schemas.openxmlformats.org/officeDocument/2006/relationships" r:embed="rId3"/>
        <a:srcRect l="17645" t="21877" r="37108" b="5196"/>
        <a:stretch/>
      </xdr:blipFill>
      <xdr:spPr>
        <a:xfrm>
          <a:off x="9877424" y="314324"/>
          <a:ext cx="4800601" cy="3838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22</xdr:row>
      <xdr:rowOff>0</xdr:rowOff>
    </xdr:from>
    <xdr:to>
      <xdr:col>4</xdr:col>
      <xdr:colOff>304800</xdr:colOff>
      <xdr:row>23</xdr:row>
      <xdr:rowOff>142875</xdr:rowOff>
    </xdr:to>
    <xdr:sp macro="" textlink="">
      <xdr:nvSpPr>
        <xdr:cNvPr id="914922"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22</xdr:row>
      <xdr:rowOff>0</xdr:rowOff>
    </xdr:from>
    <xdr:to>
      <xdr:col>4</xdr:col>
      <xdr:colOff>304800</xdr:colOff>
      <xdr:row>23</xdr:row>
      <xdr:rowOff>139065</xdr:rowOff>
    </xdr:to>
    <xdr:sp macro="" textlink="">
      <xdr:nvSpPr>
        <xdr:cNvPr id="914923"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22</xdr:row>
      <xdr:rowOff>156482</xdr:rowOff>
    </xdr:from>
    <xdr:to>
      <xdr:col>15</xdr:col>
      <xdr:colOff>55508</xdr:colOff>
      <xdr:row>61</xdr:row>
      <xdr:rowOff>23812</xdr:rowOff>
    </xdr:to>
    <xdr:pic>
      <xdr:nvPicPr>
        <xdr:cNvPr id="5" name="Picture 4">
          <a:extLst>
            <a:ext uri="{FF2B5EF4-FFF2-40B4-BE49-F238E27FC236}">
              <a16:creationId xmlns:a16="http://schemas.microsoft.com/office/drawing/2014/main" id="{7FD0D068-23BE-B117-7456-09EA6FDDA2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823607"/>
          <a:ext cx="10342508" cy="63681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161925</xdr:rowOff>
    </xdr:from>
    <xdr:to>
      <xdr:col>3</xdr:col>
      <xdr:colOff>438150</xdr:colOff>
      <xdr:row>14</xdr:row>
      <xdr:rowOff>95250</xdr:rowOff>
    </xdr:to>
    <xdr:graphicFrame macro="">
      <xdr:nvGraphicFramePr>
        <xdr:cNvPr id="69183" name="Gráfico 1">
          <a:extLst>
            <a:ext uri="{FF2B5EF4-FFF2-40B4-BE49-F238E27FC236}">
              <a16:creationId xmlns:a16="http://schemas.microsoft.com/office/drawing/2014/main" id="{77D8D2A6-31C8-436A-8BAC-BCB6DD15A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523875</xdr:colOff>
      <xdr:row>3</xdr:row>
      <xdr:rowOff>19050</xdr:rowOff>
    </xdr:from>
    <xdr:to>
      <xdr:col>9</xdr:col>
      <xdr:colOff>0</xdr:colOff>
      <xdr:row>14</xdr:row>
      <xdr:rowOff>85725</xdr:rowOff>
    </xdr:to>
    <xdr:graphicFrame macro="">
      <xdr:nvGraphicFramePr>
        <xdr:cNvPr id="69184" name="Gráfico 2">
          <a:extLst>
            <a:ext uri="{FF2B5EF4-FFF2-40B4-BE49-F238E27FC236}">
              <a16:creationId xmlns:a16="http://schemas.microsoft.com/office/drawing/2014/main" id="{9B781514-F142-49A5-BB8C-98E772FF4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16</xdr:row>
      <xdr:rowOff>28575</xdr:rowOff>
    </xdr:from>
    <xdr:to>
      <xdr:col>3</xdr:col>
      <xdr:colOff>457200</xdr:colOff>
      <xdr:row>27</xdr:row>
      <xdr:rowOff>123825</xdr:rowOff>
    </xdr:to>
    <xdr:graphicFrame macro="">
      <xdr:nvGraphicFramePr>
        <xdr:cNvPr id="69185" name="Gráfico 4">
          <a:extLst>
            <a:ext uri="{FF2B5EF4-FFF2-40B4-BE49-F238E27FC236}">
              <a16:creationId xmlns:a16="http://schemas.microsoft.com/office/drawing/2014/main" id="{F1BF886D-8D8C-489D-980F-D5383E1E7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542925</xdr:colOff>
      <xdr:row>16</xdr:row>
      <xdr:rowOff>38100</xdr:rowOff>
    </xdr:from>
    <xdr:to>
      <xdr:col>9</xdr:col>
      <xdr:colOff>19050</xdr:colOff>
      <xdr:row>27</xdr:row>
      <xdr:rowOff>104775</xdr:rowOff>
    </xdr:to>
    <xdr:graphicFrame macro="">
      <xdr:nvGraphicFramePr>
        <xdr:cNvPr id="69186" name="Gráfico 5">
          <a:extLst>
            <a:ext uri="{FF2B5EF4-FFF2-40B4-BE49-F238E27FC236}">
              <a16:creationId xmlns:a16="http://schemas.microsoft.com/office/drawing/2014/main" id="{AB6311A8-5D3E-4293-82B3-E0C5B246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istemas/AppData/Local/Temp/Bloomberg/data/XID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CapH"/>
      <sheetName val="PricesH"/>
      <sheetName val="ControlsH"/>
      <sheetName val="DataH"/>
      <sheetName val="Overview"/>
      <sheetName val="Peers"/>
      <sheetName val="Owners"/>
      <sheetName val="Help"/>
      <sheetName val="Indices"/>
      <sheetName val="Financials"/>
      <sheetName val="Ratings"/>
      <sheetName val="EST Brokers"/>
      <sheetName val="EST Detail"/>
      <sheetName val="VAL Graphs"/>
    </sheetNames>
    <sheetDataSet>
      <sheetData sheetId="0" refreshError="1"/>
      <sheetData sheetId="1" refreshError="1"/>
      <sheetData sheetId="2" refreshError="1">
        <row r="3">
          <cell r="B3" t="str">
            <v>SPX</v>
          </cell>
          <cell r="C3" t="e">
            <v>#REF!</v>
          </cell>
          <cell r="E3">
            <v>1</v>
          </cell>
          <cell r="F3">
            <v>1</v>
          </cell>
          <cell r="G3">
            <v>1</v>
          </cell>
          <cell r="H3">
            <v>1</v>
          </cell>
          <cell r="I3">
            <v>1</v>
          </cell>
        </row>
        <row r="4">
          <cell r="B4" t="e">
            <v>#REF!</v>
          </cell>
          <cell r="C4" t="e">
            <v>#REF!</v>
          </cell>
        </row>
        <row r="5">
          <cell r="B5" t="e">
            <v>#REF!</v>
          </cell>
          <cell r="C5" t="e">
            <v>#REF!</v>
          </cell>
          <cell r="E5">
            <v>1</v>
          </cell>
          <cell r="F5">
            <v>1</v>
          </cell>
          <cell r="G5">
            <v>1</v>
          </cell>
          <cell r="H5">
            <v>1</v>
          </cell>
          <cell r="I5">
            <v>1</v>
          </cell>
        </row>
        <row r="6">
          <cell r="B6" t="str">
            <v>APPLE INC</v>
          </cell>
        </row>
        <row r="9">
          <cell r="B9" t="str">
            <v>USD</v>
          </cell>
        </row>
        <row r="13">
          <cell r="B13" t="str">
            <v>Equal Weight</v>
          </cell>
        </row>
        <row r="15">
          <cell r="B15" t="str">
            <v>AAPL US</v>
          </cell>
        </row>
        <row r="21">
          <cell r="B21" t="str">
            <v>Local</v>
          </cell>
        </row>
        <row r="22">
          <cell r="B22" t="str">
            <v>Euro</v>
          </cell>
        </row>
        <row r="23">
          <cell r="B23" t="str">
            <v>U.S. Dollar</v>
          </cell>
        </row>
        <row r="24">
          <cell r="B24" t="str">
            <v>British Pounds</v>
          </cell>
        </row>
        <row r="25">
          <cell r="B25" t="str">
            <v>Canadian Dollar</v>
          </cell>
        </row>
        <row r="26">
          <cell r="B26" t="str">
            <v>Japanese Yen</v>
          </cell>
        </row>
        <row r="27">
          <cell r="B27" t="str">
            <v>Afghanistan Afghani</v>
          </cell>
        </row>
        <row r="28">
          <cell r="B28" t="str">
            <v>Albanian Lek</v>
          </cell>
        </row>
        <row r="29">
          <cell r="B29" t="str">
            <v>Algerian Dinar</v>
          </cell>
        </row>
        <row r="30">
          <cell r="B30" t="str">
            <v>Angolan New Kwanza</v>
          </cell>
        </row>
        <row r="31">
          <cell r="B31" t="str">
            <v>Argentine Peso</v>
          </cell>
        </row>
        <row r="32">
          <cell r="B32" t="str">
            <v>Armenia Dram</v>
          </cell>
        </row>
        <row r="33">
          <cell r="B33" t="str">
            <v>Aruban Guilder</v>
          </cell>
        </row>
        <row r="34">
          <cell r="B34" t="str">
            <v>Australian Dollar</v>
          </cell>
          <cell r="G34" t="str">
            <v>2020-12-31</v>
          </cell>
        </row>
        <row r="35">
          <cell r="B35" t="str">
            <v>Austrian Schilling *</v>
          </cell>
          <cell r="F35" t="str">
            <v>Equal Weight</v>
          </cell>
        </row>
        <row r="36">
          <cell r="B36" t="str">
            <v>Azerbaijan Manat</v>
          </cell>
          <cell r="F36" t="str">
            <v>Market Cap Weight</v>
          </cell>
        </row>
        <row r="37">
          <cell r="B37" t="str">
            <v>Bahamas Dollar</v>
          </cell>
        </row>
        <row r="38">
          <cell r="B38" t="str">
            <v>Bahraini Dinar</v>
          </cell>
        </row>
        <row r="39">
          <cell r="B39" t="str">
            <v>Bangladesh Taka</v>
          </cell>
        </row>
        <row r="40">
          <cell r="B40" t="str">
            <v>Barbados Dollar</v>
          </cell>
        </row>
        <row r="41">
          <cell r="B41" t="str">
            <v>Belarus Rouble</v>
          </cell>
        </row>
        <row r="42">
          <cell r="B42" t="str">
            <v>Belgian Franc *</v>
          </cell>
        </row>
        <row r="43">
          <cell r="B43" t="str">
            <v>Belize Dollar</v>
          </cell>
        </row>
        <row r="44">
          <cell r="B44" t="str">
            <v>Bermuda Dollar</v>
          </cell>
        </row>
        <row r="45">
          <cell r="B45" t="str">
            <v>British Pence</v>
          </cell>
        </row>
        <row r="46">
          <cell r="B46" t="str">
            <v>Bhutan Ngultrum</v>
          </cell>
        </row>
        <row r="47">
          <cell r="B47" t="str">
            <v>Bolivian Boliviano</v>
          </cell>
        </row>
        <row r="48">
          <cell r="B48" t="str">
            <v>Botswana Pula</v>
          </cell>
        </row>
        <row r="49">
          <cell r="B49" t="str">
            <v>Brazilian Real</v>
          </cell>
        </row>
        <row r="50">
          <cell r="B50" t="str">
            <v>Brunei Dollar</v>
          </cell>
        </row>
        <row r="51">
          <cell r="B51" t="str">
            <v>Bulgarian Lev</v>
          </cell>
        </row>
        <row r="52">
          <cell r="B52" t="str">
            <v>Burundi Franc</v>
          </cell>
        </row>
        <row r="53">
          <cell r="B53" t="str">
            <v>C.F.A Franc</v>
          </cell>
        </row>
        <row r="54">
          <cell r="B54" t="str">
            <v>C.F.P Franc</v>
          </cell>
        </row>
        <row r="55">
          <cell r="B55" t="str">
            <v>Cambodian Riel</v>
          </cell>
        </row>
        <row r="56">
          <cell r="B56" t="str">
            <v>Cape Verde Is. Escudo</v>
          </cell>
        </row>
        <row r="57">
          <cell r="B57" t="str">
            <v>Cayman Islands Dollar</v>
          </cell>
        </row>
        <row r="58">
          <cell r="B58" t="str">
            <v>Chilean Peso</v>
          </cell>
        </row>
        <row r="59">
          <cell r="B59" t="str">
            <v>Chile U.F.</v>
          </cell>
        </row>
        <row r="60">
          <cell r="B60" t="str">
            <v>China Renminbi</v>
          </cell>
        </row>
        <row r="61">
          <cell r="B61" t="str">
            <v>Colombian Peso</v>
          </cell>
        </row>
        <row r="62">
          <cell r="B62" t="str">
            <v>Comoros Franc</v>
          </cell>
        </row>
        <row r="63">
          <cell r="B63" t="str">
            <v>Costa Rica Colon</v>
          </cell>
        </row>
        <row r="64">
          <cell r="B64" t="str">
            <v>Croation Kuna</v>
          </cell>
        </row>
        <row r="65">
          <cell r="B65" t="str">
            <v>Cuban Peso</v>
          </cell>
        </row>
        <row r="66">
          <cell r="B66" t="str">
            <v>Cyprus Pound</v>
          </cell>
        </row>
        <row r="67">
          <cell r="B67" t="str">
            <v>Czechoslovakia Koruna</v>
          </cell>
        </row>
        <row r="68">
          <cell r="B68" t="str">
            <v>Danish Krone</v>
          </cell>
        </row>
        <row r="69">
          <cell r="B69" t="str">
            <v>Djibouti Franc</v>
          </cell>
        </row>
        <row r="70">
          <cell r="B70" t="str">
            <v>Dominican Republic Peso</v>
          </cell>
        </row>
        <row r="71">
          <cell r="B71" t="str">
            <v>East Caribbean Dollar</v>
          </cell>
        </row>
        <row r="72">
          <cell r="B72" t="str">
            <v>East German Ostmark</v>
          </cell>
        </row>
        <row r="73">
          <cell r="B73" t="str">
            <v>Ecuador Sucre</v>
          </cell>
        </row>
        <row r="74">
          <cell r="B74" t="str">
            <v>Egyptian Pound</v>
          </cell>
        </row>
        <row r="75">
          <cell r="B75" t="str">
            <v>El Salvador Colon</v>
          </cell>
        </row>
        <row r="76">
          <cell r="B76" t="str">
            <v>Estonian Kroon</v>
          </cell>
        </row>
        <row r="77">
          <cell r="B77" t="str">
            <v>Ethiopian Birr</v>
          </cell>
        </row>
        <row r="78">
          <cell r="B78" t="str">
            <v>Falkland Island Pound</v>
          </cell>
        </row>
        <row r="79">
          <cell r="B79" t="str">
            <v>Fiji Dollar</v>
          </cell>
        </row>
        <row r="80">
          <cell r="B80" t="str">
            <v>Finnish Markka *</v>
          </cell>
        </row>
        <row r="81">
          <cell r="B81" t="str">
            <v>French Franc *</v>
          </cell>
        </row>
        <row r="82">
          <cell r="B82" t="str">
            <v>Gambia Dalasi</v>
          </cell>
        </row>
        <row r="83">
          <cell r="B83" t="str">
            <v>Georgian Coupon</v>
          </cell>
        </row>
        <row r="84">
          <cell r="B84" t="str">
            <v>German Deutschemark *</v>
          </cell>
        </row>
        <row r="85">
          <cell r="B85" t="str">
            <v>Ghana Cedi</v>
          </cell>
        </row>
        <row r="86">
          <cell r="B86" t="str">
            <v>Gibraltar Pound</v>
          </cell>
        </row>
        <row r="87">
          <cell r="B87" t="str">
            <v>Greek Drachma *</v>
          </cell>
        </row>
        <row r="88">
          <cell r="B88" t="str">
            <v>Guatemala Quentzal</v>
          </cell>
        </row>
        <row r="89">
          <cell r="B89" t="str">
            <v>Guinea Franc</v>
          </cell>
        </row>
        <row r="90">
          <cell r="B90" t="str">
            <v>Guinea-Bissau Peso</v>
          </cell>
        </row>
        <row r="91">
          <cell r="B91" t="str">
            <v>Guyana Dollar</v>
          </cell>
        </row>
        <row r="92">
          <cell r="B92" t="str">
            <v>Haiti Gourde</v>
          </cell>
        </row>
        <row r="93">
          <cell r="B93" t="str">
            <v>Honduras Lempira</v>
          </cell>
        </row>
        <row r="94">
          <cell r="B94" t="str">
            <v>Hong Kong Dollar</v>
          </cell>
        </row>
        <row r="95">
          <cell r="B95" t="str">
            <v>Hungarian Forint</v>
          </cell>
        </row>
        <row r="96">
          <cell r="B96" t="str">
            <v>Icelandic Krona</v>
          </cell>
        </row>
        <row r="97">
          <cell r="B97" t="str">
            <v>Indian Rupee</v>
          </cell>
        </row>
        <row r="98">
          <cell r="B98" t="str">
            <v>Indonesian Rupiah</v>
          </cell>
        </row>
        <row r="99">
          <cell r="B99" t="str">
            <v>Iran Rial</v>
          </cell>
        </row>
        <row r="100">
          <cell r="B100" t="str">
            <v>Iraqi Dinar</v>
          </cell>
        </row>
        <row r="101">
          <cell r="B101" t="str">
            <v>Irish Punt</v>
          </cell>
        </row>
        <row r="102">
          <cell r="B102" t="str">
            <v>Israeli Shekel</v>
          </cell>
        </row>
        <row r="103">
          <cell r="B103" t="str">
            <v>Italian Lire *</v>
          </cell>
        </row>
        <row r="104">
          <cell r="B104" t="str">
            <v>Jamaican Dollar</v>
          </cell>
        </row>
        <row r="105">
          <cell r="B105" t="str">
            <v>Jordanian Diner</v>
          </cell>
        </row>
        <row r="106">
          <cell r="B106" t="str">
            <v>Kazakhstan Tenge</v>
          </cell>
        </row>
        <row r="107">
          <cell r="B107" t="str">
            <v>Kenya Shilling</v>
          </cell>
        </row>
        <row r="108">
          <cell r="B108" t="str">
            <v>Kuwait Dinar</v>
          </cell>
        </row>
        <row r="109">
          <cell r="B109" t="str">
            <v>Kyrgystan Som</v>
          </cell>
        </row>
        <row r="110">
          <cell r="B110" t="str">
            <v>Laos New Kip</v>
          </cell>
        </row>
        <row r="111">
          <cell r="B111" t="str">
            <v>Latvian Lats</v>
          </cell>
        </row>
        <row r="112">
          <cell r="B112" t="str">
            <v>Lebanese Pound</v>
          </cell>
        </row>
        <row r="113">
          <cell r="B113" t="str">
            <v>Legacy National Currency</v>
          </cell>
        </row>
        <row r="114">
          <cell r="B114" t="str">
            <v>Lesotho Loit</v>
          </cell>
        </row>
        <row r="115">
          <cell r="B115" t="str">
            <v>Liberian Dollar</v>
          </cell>
        </row>
        <row r="116">
          <cell r="B116" t="str">
            <v>Libyan Dinar</v>
          </cell>
        </row>
        <row r="117">
          <cell r="B117" t="str">
            <v>Lithuanian Litas</v>
          </cell>
        </row>
        <row r="118">
          <cell r="B118" t="str">
            <v>Luxembourg Franc *</v>
          </cell>
        </row>
        <row r="119">
          <cell r="B119" t="str">
            <v>Macau Pataca</v>
          </cell>
        </row>
        <row r="120">
          <cell r="B120" t="str">
            <v>Macedonian Denar</v>
          </cell>
        </row>
        <row r="121">
          <cell r="B121" t="str">
            <v>Malagasy Franc</v>
          </cell>
        </row>
        <row r="122">
          <cell r="B122" t="str">
            <v>Malawi Kwacha</v>
          </cell>
        </row>
        <row r="123">
          <cell r="B123" t="str">
            <v>Malaysian Ringgit</v>
          </cell>
        </row>
        <row r="124">
          <cell r="B124" t="str">
            <v>Madive Island Rufiyaa</v>
          </cell>
        </row>
        <row r="125">
          <cell r="B125" t="str">
            <v>Maltese Lirea</v>
          </cell>
        </row>
        <row r="126">
          <cell r="B126" t="str">
            <v>Mauritania Ouguiya</v>
          </cell>
        </row>
        <row r="127">
          <cell r="B127" t="str">
            <v>Mauritan Rupee</v>
          </cell>
        </row>
        <row r="128">
          <cell r="B128" t="str">
            <v>Mexican Peso</v>
          </cell>
        </row>
        <row r="129">
          <cell r="B129" t="str">
            <v>Moldovan Leu</v>
          </cell>
        </row>
        <row r="130">
          <cell r="B130" t="str">
            <v>Mongolian Tugrik</v>
          </cell>
        </row>
        <row r="131">
          <cell r="B131" t="str">
            <v>Moroccan Dirham</v>
          </cell>
        </row>
        <row r="132">
          <cell r="B132" t="str">
            <v>Mozambique Metical</v>
          </cell>
        </row>
        <row r="133">
          <cell r="B133" t="str">
            <v>Myanmar (Burma) Kyat</v>
          </cell>
        </row>
        <row r="134">
          <cell r="B134" t="str">
            <v>Namibian Dollar</v>
          </cell>
        </row>
        <row r="135">
          <cell r="B135" t="str">
            <v>Nepalese Rupee</v>
          </cell>
        </row>
        <row r="136">
          <cell r="B136" t="str">
            <v>Netherlands Antilles Guilder</v>
          </cell>
        </row>
        <row r="137">
          <cell r="B137" t="str">
            <v>Netherlands Guilder *</v>
          </cell>
        </row>
        <row r="138">
          <cell r="B138" t="str">
            <v>New Zealand Dollar</v>
          </cell>
        </row>
        <row r="139">
          <cell r="B139" t="str">
            <v>Nicaragua Cordoba Oro</v>
          </cell>
        </row>
        <row r="140">
          <cell r="B140" t="str">
            <v>Nigerian Naira</v>
          </cell>
        </row>
        <row r="141">
          <cell r="B141" t="str">
            <v>North Korean Won</v>
          </cell>
        </row>
        <row r="142">
          <cell r="B142" t="str">
            <v>Norwegian Krone</v>
          </cell>
        </row>
        <row r="143">
          <cell r="B143" t="str">
            <v>Oman Rial</v>
          </cell>
        </row>
        <row r="144">
          <cell r="B144" t="str">
            <v>Pakistan Rupee</v>
          </cell>
        </row>
        <row r="145">
          <cell r="B145" t="str">
            <v>Panama Balboa</v>
          </cell>
        </row>
        <row r="146">
          <cell r="B146" t="str">
            <v>Papua and New Guinea Kina</v>
          </cell>
        </row>
        <row r="147">
          <cell r="B147" t="str">
            <v>Paraguay Guarani</v>
          </cell>
        </row>
        <row r="148">
          <cell r="B148" t="str">
            <v>Peruvian New Sol</v>
          </cell>
        </row>
        <row r="149">
          <cell r="B149" t="str">
            <v>Philippines Peso</v>
          </cell>
        </row>
        <row r="150">
          <cell r="B150" t="str">
            <v>Polish Zloty</v>
          </cell>
        </row>
        <row r="151">
          <cell r="B151" t="str">
            <v>Portuguese Escudo *</v>
          </cell>
        </row>
        <row r="152">
          <cell r="B152" t="str">
            <v>Qatari Rial</v>
          </cell>
        </row>
        <row r="153">
          <cell r="B153" t="str">
            <v>Romanian Leu</v>
          </cell>
        </row>
        <row r="154">
          <cell r="B154" t="str">
            <v>Russian Rouble</v>
          </cell>
        </row>
        <row r="155">
          <cell r="B155" t="str">
            <v>Rwanda Franc</v>
          </cell>
        </row>
        <row r="156">
          <cell r="B156" t="str">
            <v>Sao Tome &amp; Principe Dobra</v>
          </cell>
        </row>
        <row r="157">
          <cell r="B157" t="str">
            <v>Saudi Arabian Riyal</v>
          </cell>
        </row>
        <row r="158">
          <cell r="B158" t="str">
            <v>Seychelles Rupee</v>
          </cell>
        </row>
        <row r="159">
          <cell r="B159" t="str">
            <v>Sierra Leone Leone</v>
          </cell>
        </row>
        <row r="160">
          <cell r="B160" t="str">
            <v>Singapore Dollar</v>
          </cell>
        </row>
        <row r="161">
          <cell r="B161" t="str">
            <v>Slovakia Koruna</v>
          </cell>
        </row>
        <row r="162">
          <cell r="B162" t="str">
            <v>Slovenian Tolar</v>
          </cell>
        </row>
        <row r="163">
          <cell r="B163" t="str">
            <v>Solomon Island Dollar</v>
          </cell>
        </row>
        <row r="164">
          <cell r="B164" t="str">
            <v>Somali Shilling</v>
          </cell>
        </row>
        <row r="165">
          <cell r="B165" t="str">
            <v>South African Ran</v>
          </cell>
        </row>
        <row r="166">
          <cell r="B166" t="str">
            <v>South Korean Won</v>
          </cell>
        </row>
        <row r="167">
          <cell r="B167" t="str">
            <v>Spanish Peseta *</v>
          </cell>
        </row>
        <row r="168">
          <cell r="B168" t="str">
            <v>Sri Lanka Rupee</v>
          </cell>
        </row>
        <row r="169">
          <cell r="B169" t="str">
            <v>St. Helena Pound</v>
          </cell>
        </row>
        <row r="170">
          <cell r="B170" t="str">
            <v>Sudanese Pound</v>
          </cell>
        </row>
        <row r="171">
          <cell r="B171" t="str">
            <v>Surinam Guilder</v>
          </cell>
        </row>
        <row r="172">
          <cell r="B172" t="str">
            <v>Swaziland Lilangeni</v>
          </cell>
        </row>
        <row r="173">
          <cell r="B173" t="str">
            <v>Swedish Krona</v>
          </cell>
        </row>
        <row r="174">
          <cell r="B174" t="str">
            <v>Swiss Franc</v>
          </cell>
        </row>
        <row r="175">
          <cell r="B175" t="str">
            <v>Syrian Pound</v>
          </cell>
        </row>
        <row r="176">
          <cell r="B176" t="str">
            <v>Taiwan Dollar</v>
          </cell>
        </row>
        <row r="177">
          <cell r="B177" t="str">
            <v>Tajikistan Rouble</v>
          </cell>
        </row>
        <row r="178">
          <cell r="B178" t="str">
            <v>Tanzania Shilling</v>
          </cell>
        </row>
        <row r="179">
          <cell r="B179" t="str">
            <v>Thailand Baht</v>
          </cell>
        </row>
        <row r="180">
          <cell r="B180" t="str">
            <v>Tonga Pa'anga</v>
          </cell>
        </row>
        <row r="181">
          <cell r="B181" t="str">
            <v>Trinidad and Tobago Dollar</v>
          </cell>
        </row>
        <row r="182">
          <cell r="B182" t="str">
            <v>Tunisian Dinar</v>
          </cell>
        </row>
        <row r="183">
          <cell r="B183" t="str">
            <v>Old Turkish Lira</v>
          </cell>
        </row>
        <row r="184">
          <cell r="B184" t="str">
            <v>New Turkish Lira</v>
          </cell>
        </row>
        <row r="185">
          <cell r="B185" t="str">
            <v>Turkmenistan Manet</v>
          </cell>
        </row>
        <row r="186">
          <cell r="B186" t="str">
            <v>UAE Dirham</v>
          </cell>
        </row>
        <row r="187">
          <cell r="B187" t="str">
            <v>Uganda Shilling</v>
          </cell>
        </row>
        <row r="188">
          <cell r="B188" t="str">
            <v>Ukraine Karbovanets</v>
          </cell>
        </row>
        <row r="189">
          <cell r="B189" t="str">
            <v>Uruguay Peso</v>
          </cell>
        </row>
        <row r="190">
          <cell r="B190" t="str">
            <v>Uzbekistan Sum</v>
          </cell>
        </row>
        <row r="191">
          <cell r="B191" t="str">
            <v>Vanuatu Vatu</v>
          </cell>
        </row>
        <row r="192">
          <cell r="B192" t="str">
            <v>Venezualan Bolivar</v>
          </cell>
        </row>
        <row r="193">
          <cell r="B193" t="str">
            <v>Vietnam Dong</v>
          </cell>
        </row>
        <row r="194">
          <cell r="B194" t="str">
            <v>Western Somoa Tala</v>
          </cell>
        </row>
        <row r="195">
          <cell r="B195" t="str">
            <v>Yemeni Rial</v>
          </cell>
        </row>
        <row r="196">
          <cell r="B196" t="str">
            <v>Yugoslav New Dinar</v>
          </cell>
        </row>
        <row r="197">
          <cell r="B197" t="str">
            <v>Zaire Zaire</v>
          </cell>
        </row>
        <row r="198">
          <cell r="B198" t="str">
            <v>Zambian Kwacha</v>
          </cell>
        </row>
        <row r="199">
          <cell r="B199" t="str">
            <v>Zimbabwe Dollar</v>
          </cell>
        </row>
      </sheetData>
      <sheetData sheetId="3" refreshError="1"/>
      <sheetData sheetId="4" refreshError="1">
        <row r="8">
          <cell r="D8" t="str">
            <v>AAPL US</v>
          </cell>
        </row>
        <row r="11">
          <cell r="D11" t="str">
            <v>English</v>
          </cell>
        </row>
        <row r="13">
          <cell r="O13" t="str">
            <v>Consolidated</v>
          </cell>
          <cell r="U13" t="str">
            <v>-1FY</v>
          </cell>
        </row>
        <row r="16">
          <cell r="Q16">
            <v>213883</v>
          </cell>
          <cell r="W16">
            <v>116914</v>
          </cell>
        </row>
        <row r="19">
          <cell r="E19">
            <v>125.6242980957031</v>
          </cell>
        </row>
        <row r="30">
          <cell r="D30" t="str">
            <v>Fiscal Year</v>
          </cell>
        </row>
      </sheetData>
      <sheetData sheetId="5" refreshError="1">
        <row r="11">
          <cell r="S11">
            <v>2017</v>
          </cell>
        </row>
        <row r="18">
          <cell r="C18" t="str">
            <v>005930 KS</v>
          </cell>
        </row>
        <row r="19">
          <cell r="C19" t="str">
            <v>2498 TT</v>
          </cell>
        </row>
      </sheetData>
      <sheetData sheetId="6" refreshError="1">
        <row r="24">
          <cell r="E24" t="str">
            <v>TOP 20 ALL</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500-000000000000}" autoFormatId="16" applyNumberFormats="0" applyBorderFormats="0" applyFontFormats="0" applyPatternFormats="0" applyAlignmentFormats="0" applyWidthHeightFormats="0">
  <queryTableRefresh nextId="16">
    <queryTableFields count="15">
      <queryTableField id="1" name="Customize view" tableColumnId="1"/>
      <queryTableField id="2" name="2011 Y" tableColumnId="2"/>
      <queryTableField id="3" name="2012 Y" tableColumnId="3"/>
      <queryTableField id="4" name="2013 Y" tableColumnId="4"/>
      <queryTableField id="5" name="2014 Y" tableColumnId="5"/>
      <queryTableField id="6" name="2015 Y" tableColumnId="6"/>
      <queryTableField id="7" name="2016 Y" tableColumnId="7"/>
      <queryTableField id="8" name="2017 Y" tableColumnId="8"/>
      <queryTableField id="9" name="2018 Y" tableColumnId="9"/>
      <queryTableField id="10" name="2019 Y" tableColumnId="10"/>
      <queryTableField id="11" name="2020 Y" tableColumnId="11"/>
      <queryTableField id="12" name="2021 Y" tableColumnId="12"/>
      <queryTableField id="13" name="2022 Y" tableColumnId="13"/>
      <queryTableField id="14" name="2023 Y" tableColumnId="14"/>
      <queryTableField id="15" name="TTM"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0" tableType="queryTable" totalsRowShown="0">
  <autoFilter ref="A1:O20" xr:uid="{00000000-0009-0000-0100-000001000000}"/>
  <tableColumns count="15">
    <tableColumn id="1" xr3:uid="{00000000-0010-0000-0000-000001000000}" uniqueName="1" name="Column1" queryTableFieldId="1" dataDxfId="8"/>
    <tableColumn id="2" xr3:uid="{00000000-0010-0000-0000-000002000000}" uniqueName="2" name="2011 Y" queryTableFieldId="2"/>
    <tableColumn id="3" xr3:uid="{00000000-0010-0000-0000-000003000000}" uniqueName="3" name="2012 Y" queryTableFieldId="3"/>
    <tableColumn id="4" xr3:uid="{00000000-0010-0000-0000-000004000000}" uniqueName="4" name="2013 Y" queryTableFieldId="4" dataDxfId="7"/>
    <tableColumn id="5" xr3:uid="{00000000-0010-0000-0000-000005000000}" uniqueName="5" name="2014 Y" queryTableFieldId="5" dataDxfId="6"/>
    <tableColumn id="6" xr3:uid="{00000000-0010-0000-0000-000006000000}" uniqueName="6" name="2015 Y" queryTableFieldId="6" dataDxfId="5"/>
    <tableColumn id="7" xr3:uid="{00000000-0010-0000-0000-000007000000}" uniqueName="7" name="2016 Y" queryTableFieldId="7" dataDxfId="4"/>
    <tableColumn id="8" xr3:uid="{00000000-0010-0000-0000-000008000000}" uniqueName="8" name="2017 Y" queryTableFieldId="8" dataDxfId="3"/>
    <tableColumn id="9" xr3:uid="{00000000-0010-0000-0000-000009000000}" uniqueName="9" name="2018 Y" queryTableFieldId="9" dataDxfId="2"/>
    <tableColumn id="10" xr3:uid="{00000000-0010-0000-0000-00000A000000}" uniqueName="10" name="2019 Y" queryTableFieldId="10" dataDxfId="1"/>
    <tableColumn id="11" xr3:uid="{00000000-0010-0000-0000-00000B000000}" uniqueName="11" name="2020 Y" queryTableFieldId="11" dataDxfId="0"/>
    <tableColumn id="12" xr3:uid="{00000000-0010-0000-0000-00000C000000}" uniqueName="12" name="2021 Y" queryTableFieldId="12"/>
    <tableColumn id="13" xr3:uid="{00000000-0010-0000-0000-00000D000000}" uniqueName="13" name="2022 Y" queryTableFieldId="13"/>
    <tableColumn id="14" xr3:uid="{00000000-0010-0000-0000-00000E000000}" uniqueName="14" name="2023 Y" queryTableFieldId="14"/>
    <tableColumn id="15" xr3:uid="{00000000-0010-0000-0000-00000F000000}" uniqueName="15" name="TTM" queryTableFieldId="15"/>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macrumors.com/guide/covid-19-coronavirus/" TargetMode="External"/><Relationship Id="rId2" Type="http://schemas.openxmlformats.org/officeDocument/2006/relationships/hyperlink" Target="https://glg.it/articles/how-might-the-wuhan-coronavirus-impact-apples-supply-chain/" TargetMode="External"/><Relationship Id="rId1" Type="http://schemas.openxmlformats.org/officeDocument/2006/relationships/hyperlink" Target="https://www.apple.com/newsroom/2020/03/apples-covid-19-response/" TargetMode="External"/><Relationship Id="rId5" Type="http://schemas.openxmlformats.org/officeDocument/2006/relationships/drawing" Target="../drawings/drawing2.xml"/><Relationship Id="rId4" Type="http://schemas.openxmlformats.org/officeDocument/2006/relationships/hyperlink" Target="https://www.cnbc.com/2020/02/18/the-significance-of-apples-coronavirus-warning.html"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hyperlink" Target="https://www.roic.ai/quote/POOL"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VPN*@i%25"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BT58"/>
  <sheetViews>
    <sheetView showGridLines="0" tabSelected="1" zoomScale="70" zoomScaleNormal="70" workbookViewId="0">
      <selection activeCell="J29" sqref="I21:L29"/>
    </sheetView>
  </sheetViews>
  <sheetFormatPr defaultColWidth="11.42578125" defaultRowHeight="12.75" x14ac:dyDescent="0.2"/>
  <cols>
    <col min="1" max="1" width="0.7109375" customWidth="1"/>
    <col min="2" max="2" width="19.140625" customWidth="1"/>
    <col min="3" max="3" width="29.7109375" customWidth="1"/>
    <col min="4" max="4" width="30.28515625" customWidth="1"/>
    <col min="5" max="5" width="15.7109375" customWidth="1"/>
    <col min="6" max="6" width="13.7109375" customWidth="1"/>
    <col min="7" max="7" width="14.42578125" customWidth="1"/>
    <col min="8" max="8" width="20.42578125" customWidth="1"/>
    <col min="9" max="9" width="17.7109375" customWidth="1"/>
    <col min="10" max="10" width="28.7109375" customWidth="1"/>
    <col min="11" max="11" width="20.140625" customWidth="1"/>
    <col min="12" max="12" width="16.28515625" bestFit="1" customWidth="1"/>
    <col min="13" max="13" width="12.85546875" customWidth="1"/>
    <col min="14" max="14" width="12.85546875" style="15" customWidth="1"/>
    <col min="15" max="15" width="12.85546875" style="114" customWidth="1"/>
    <col min="16" max="16" width="12.85546875" style="15" customWidth="1"/>
    <col min="17" max="20" width="12.85546875" customWidth="1"/>
    <col min="21" max="30" width="11.42578125" style="11" customWidth="1"/>
  </cols>
  <sheetData>
    <row r="1" spans="2:17" ht="3.75" customHeight="1" thickBot="1" x14ac:dyDescent="0.25"/>
    <row r="2" spans="2:17" ht="31.5" customHeight="1" x14ac:dyDescent="0.2">
      <c r="B2" s="177" t="s">
        <v>221</v>
      </c>
      <c r="C2" s="87" t="s">
        <v>193</v>
      </c>
      <c r="D2" s="190" t="s">
        <v>235</v>
      </c>
      <c r="E2" s="324" t="s">
        <v>416</v>
      </c>
      <c r="F2" s="325"/>
      <c r="G2" s="325"/>
      <c r="H2" s="325"/>
      <c r="I2" s="325"/>
      <c r="J2" s="326"/>
      <c r="K2" s="186" t="s">
        <v>226</v>
      </c>
      <c r="L2" s="104" t="s">
        <v>167</v>
      </c>
    </row>
    <row r="3" spans="2:17" ht="33.75" customHeight="1" x14ac:dyDescent="0.2">
      <c r="B3" s="335" t="s">
        <v>416</v>
      </c>
      <c r="C3" s="336"/>
      <c r="D3" s="330" t="s">
        <v>223</v>
      </c>
      <c r="E3" s="337"/>
      <c r="F3" s="337"/>
      <c r="G3" s="337"/>
      <c r="H3" s="337"/>
      <c r="I3" s="337"/>
      <c r="J3" s="337"/>
      <c r="K3" s="337"/>
      <c r="L3" s="338"/>
      <c r="O3" s="15"/>
    </row>
    <row r="4" spans="2:17" ht="71.099999999999994" customHeight="1" x14ac:dyDescent="0.2">
      <c r="B4" s="335"/>
      <c r="C4" s="336"/>
      <c r="D4" s="330" t="s">
        <v>232</v>
      </c>
      <c r="E4" s="330"/>
      <c r="F4" s="330"/>
      <c r="G4" s="330"/>
      <c r="H4" s="330"/>
      <c r="I4" s="330"/>
      <c r="J4" s="330"/>
      <c r="K4" s="330"/>
      <c r="L4" s="331"/>
    </row>
    <row r="5" spans="2:17" ht="15.75" customHeight="1" x14ac:dyDescent="0.2">
      <c r="B5" s="332" t="s">
        <v>174</v>
      </c>
      <c r="C5" s="333"/>
      <c r="D5" s="330"/>
      <c r="E5" s="330"/>
      <c r="F5" s="330"/>
      <c r="G5" s="330"/>
      <c r="H5" s="330"/>
      <c r="I5" s="330"/>
      <c r="J5" s="330"/>
      <c r="K5" s="330"/>
      <c r="L5" s="331"/>
      <c r="N5" s="110"/>
    </row>
    <row r="6" spans="2:17" x14ac:dyDescent="0.2">
      <c r="B6" s="339" t="s">
        <v>99</v>
      </c>
      <c r="C6" s="310"/>
      <c r="D6" s="310" t="s">
        <v>163</v>
      </c>
      <c r="E6" s="344"/>
      <c r="F6" s="310"/>
      <c r="G6" s="310"/>
      <c r="H6" s="310"/>
      <c r="I6" s="343" t="s">
        <v>222</v>
      </c>
      <c r="J6" s="310"/>
      <c r="K6" s="310" t="s">
        <v>107</v>
      </c>
      <c r="L6" s="311"/>
    </row>
    <row r="7" spans="2:17" x14ac:dyDescent="0.2">
      <c r="B7" s="93" t="s">
        <v>33</v>
      </c>
      <c r="C7" s="91">
        <v>331.71</v>
      </c>
      <c r="D7" s="94" t="s">
        <v>143</v>
      </c>
      <c r="E7" s="228">
        <v>3428</v>
      </c>
      <c r="F7" s="322"/>
      <c r="G7" s="322"/>
      <c r="H7" s="239"/>
      <c r="I7" s="237" t="s">
        <v>109</v>
      </c>
      <c r="J7" s="108" t="s">
        <v>233</v>
      </c>
      <c r="K7" s="89" t="s">
        <v>26</v>
      </c>
      <c r="L7" s="178">
        <f>36850000/C8</f>
        <v>0.96820809248554918</v>
      </c>
      <c r="Q7" s="88"/>
    </row>
    <row r="8" spans="2:17" ht="12.75" customHeight="1" x14ac:dyDescent="0.2">
      <c r="B8" s="93" t="s">
        <v>28</v>
      </c>
      <c r="C8" s="168">
        <v>38060000</v>
      </c>
      <c r="D8" s="89" t="s">
        <v>144</v>
      </c>
      <c r="E8" s="228">
        <v>2115.2809999999999</v>
      </c>
      <c r="F8" s="240"/>
      <c r="G8" s="240"/>
      <c r="H8" s="99"/>
      <c r="I8" s="237"/>
      <c r="J8" s="88"/>
      <c r="K8" s="89" t="s">
        <v>2</v>
      </c>
      <c r="L8" s="188">
        <v>4.9500000000000002E-2</v>
      </c>
      <c r="M8" s="11"/>
      <c r="O8" s="103"/>
      <c r="Q8" s="88"/>
    </row>
    <row r="9" spans="2:17" ht="12.75" customHeight="1" x14ac:dyDescent="0.2">
      <c r="B9" s="93" t="s">
        <v>29</v>
      </c>
      <c r="C9" s="86">
        <f>C7*C8/1000000</f>
        <v>12624.882600000001</v>
      </c>
      <c r="D9" s="89" t="s">
        <v>35</v>
      </c>
      <c r="E9" s="229">
        <f>1000000*C11/C8</f>
        <v>2.4500788229111929</v>
      </c>
      <c r="F9" s="240"/>
      <c r="G9" s="240"/>
      <c r="H9" s="99"/>
      <c r="I9" s="237" t="s">
        <v>3</v>
      </c>
      <c r="J9" s="86">
        <v>635.89800000000002</v>
      </c>
      <c r="K9" s="59" t="s">
        <v>198</v>
      </c>
      <c r="L9" s="179">
        <v>1.01</v>
      </c>
      <c r="O9" s="103"/>
      <c r="Q9" s="88"/>
    </row>
    <row r="10" spans="2:17" ht="12.75" customHeight="1" x14ac:dyDescent="0.2">
      <c r="B10" s="95" t="s">
        <v>34</v>
      </c>
      <c r="C10" s="86">
        <v>1240</v>
      </c>
      <c r="D10" s="89" t="s">
        <v>59</v>
      </c>
      <c r="E10" s="230">
        <f>679.62/51.922</f>
        <v>13.089249258503139</v>
      </c>
      <c r="F10" s="240"/>
      <c r="G10" s="240"/>
      <c r="H10" s="99"/>
      <c r="I10" s="238" t="s">
        <v>4</v>
      </c>
      <c r="J10" s="86">
        <v>43.722000000000001</v>
      </c>
      <c r="K10" s="89" t="s">
        <v>16</v>
      </c>
      <c r="L10" s="180" t="s">
        <v>234</v>
      </c>
      <c r="O10" s="103"/>
      <c r="Q10" s="88"/>
    </row>
    <row r="11" spans="2:17" ht="12.75" customHeight="1" x14ac:dyDescent="0.2">
      <c r="B11" s="95" t="s">
        <v>46</v>
      </c>
      <c r="C11" s="86">
        <v>93.25</v>
      </c>
      <c r="D11" s="89" t="s">
        <v>62</v>
      </c>
      <c r="E11" s="231">
        <f>C10/J11</f>
        <v>1.8245490126835584</v>
      </c>
      <c r="F11" s="240"/>
      <c r="G11" s="240"/>
      <c r="H11" s="99"/>
      <c r="I11" s="238" t="s">
        <v>5</v>
      </c>
      <c r="J11" s="91">
        <f>J9+J10</f>
        <v>679.62</v>
      </c>
      <c r="K11" s="89" t="s">
        <v>7</v>
      </c>
      <c r="L11" s="181">
        <f>((C7*C8)/1000000)/(E7-E8)</f>
        <v>9.6173534473105065</v>
      </c>
      <c r="Q11" s="88"/>
    </row>
    <row r="12" spans="2:17" ht="12.75" customHeight="1" x14ac:dyDescent="0.2">
      <c r="B12" s="95" t="s">
        <v>45</v>
      </c>
      <c r="C12" s="86">
        <f>C9+C10-C11</f>
        <v>13771.632600000001</v>
      </c>
      <c r="D12" s="89" t="s">
        <v>48</v>
      </c>
      <c r="E12" s="232">
        <f>(9.269+83.426)/E7</f>
        <v>2.7040548424737458E-2</v>
      </c>
      <c r="F12" s="240"/>
      <c r="G12" s="240"/>
      <c r="H12" s="99"/>
      <c r="I12" s="237" t="s">
        <v>39</v>
      </c>
      <c r="J12" s="96">
        <v>448.46199999999999</v>
      </c>
      <c r="K12" s="89" t="s">
        <v>44</v>
      </c>
      <c r="L12" s="182">
        <f>J18/E7</f>
        <v>0.19446839751069625</v>
      </c>
      <c r="Q12" s="88"/>
    </row>
    <row r="13" spans="2:17" ht="12.75" customHeight="1" x14ac:dyDescent="0.2">
      <c r="B13" s="95" t="s">
        <v>156</v>
      </c>
      <c r="C13" s="169"/>
      <c r="D13" s="89" t="s">
        <v>6</v>
      </c>
      <c r="E13" s="233">
        <f>C10/E7</f>
        <v>0.36172695449241538</v>
      </c>
      <c r="F13" s="310"/>
      <c r="G13" s="310"/>
      <c r="H13" s="310"/>
      <c r="I13" s="237" t="s">
        <v>40</v>
      </c>
      <c r="J13" s="91">
        <f>1000000*J12/C8</f>
        <v>11.783026799789805</v>
      </c>
      <c r="K13" s="89" t="s">
        <v>24</v>
      </c>
      <c r="L13" s="183">
        <f>C9/J17</f>
        <v>28.151510272888231</v>
      </c>
      <c r="N13" s="15">
        <f>C10/J11</f>
        <v>1.8245490126835584</v>
      </c>
      <c r="Q13" s="88"/>
    </row>
    <row r="14" spans="2:17" ht="12.75" customHeight="1" x14ac:dyDescent="0.2">
      <c r="B14" s="93" t="s">
        <v>133</v>
      </c>
      <c r="C14" s="107"/>
      <c r="D14" s="89" t="s">
        <v>53</v>
      </c>
      <c r="E14" s="234">
        <v>0.1231</v>
      </c>
      <c r="F14" s="241"/>
      <c r="G14" s="240"/>
      <c r="H14" s="239"/>
      <c r="I14" s="237" t="s">
        <v>54</v>
      </c>
      <c r="J14" s="187">
        <f>J12/E7</f>
        <v>0.13082322053675613</v>
      </c>
      <c r="K14" s="89" t="s">
        <v>47</v>
      </c>
      <c r="L14" s="184">
        <f>C12/E7</f>
        <v>4.0173957409568262</v>
      </c>
      <c r="Q14" s="88"/>
    </row>
    <row r="15" spans="2:17" ht="12.75" customHeight="1" x14ac:dyDescent="0.2">
      <c r="B15" s="93" t="s">
        <v>130</v>
      </c>
      <c r="C15" s="170">
        <f>2760000/C8</f>
        <v>7.2517078297425125E-2</v>
      </c>
      <c r="D15" s="89" t="s">
        <v>36</v>
      </c>
      <c r="E15" s="235">
        <v>8.4199999999999997E-2</v>
      </c>
      <c r="F15" s="240"/>
      <c r="G15" s="240"/>
      <c r="H15" s="242"/>
      <c r="I15" s="237" t="s">
        <v>122</v>
      </c>
      <c r="J15" s="187">
        <f>J12/(E7-(E8-C10))</f>
        <v>0.17568012773830569</v>
      </c>
      <c r="K15" s="89" t="s">
        <v>49</v>
      </c>
      <c r="L15" s="184">
        <f>C12/J16</f>
        <v>20.263724728524764</v>
      </c>
      <c r="Q15" s="88"/>
    </row>
    <row r="16" spans="2:17" ht="12.75" customHeight="1" x14ac:dyDescent="0.2">
      <c r="B16" s="339" t="s">
        <v>121</v>
      </c>
      <c r="C16" s="310"/>
      <c r="D16" s="89" t="s">
        <v>37</v>
      </c>
      <c r="E16" s="232">
        <f>J11/5326.524</f>
        <v>0.12759165264251132</v>
      </c>
      <c r="F16" s="240"/>
      <c r="G16" s="240"/>
      <c r="H16" s="242"/>
      <c r="I16" s="237" t="s">
        <v>55</v>
      </c>
      <c r="J16" s="92">
        <f>J11</f>
        <v>679.62</v>
      </c>
      <c r="K16" s="89" t="s">
        <v>25</v>
      </c>
      <c r="L16" s="183">
        <f>C9/J18</f>
        <v>18.938147709425358</v>
      </c>
      <c r="N16" s="100"/>
      <c r="Q16" s="88"/>
    </row>
    <row r="17" spans="1:72" ht="12.75" customHeight="1" x14ac:dyDescent="0.2">
      <c r="B17" s="62" t="s">
        <v>118</v>
      </c>
      <c r="C17" s="140"/>
      <c r="D17" s="89" t="s">
        <v>56</v>
      </c>
      <c r="E17" s="233"/>
      <c r="F17" s="240"/>
      <c r="G17" s="240"/>
      <c r="H17" s="242"/>
      <c r="I17" s="237" t="s">
        <v>38</v>
      </c>
      <c r="J17" s="86">
        <f>J12</f>
        <v>448.46199999999999</v>
      </c>
      <c r="K17" s="89" t="s">
        <v>204</v>
      </c>
      <c r="L17" s="185" t="s">
        <v>203</v>
      </c>
      <c r="N17" s="15">
        <v>12</v>
      </c>
      <c r="Q17" s="88"/>
    </row>
    <row r="18" spans="1:72" ht="12.75" customHeight="1" x14ac:dyDescent="0.2">
      <c r="B18" s="62" t="s">
        <v>119</v>
      </c>
      <c r="C18" s="86"/>
      <c r="D18" s="89"/>
      <c r="E18" s="236"/>
      <c r="F18" s="240"/>
      <c r="G18" s="243"/>
      <c r="H18" s="242"/>
      <c r="I18" s="237" t="s">
        <v>114</v>
      </c>
      <c r="J18" s="86">
        <f>SUM(626.83+888.229+484.854)/3</f>
        <v>666.63766666666675</v>
      </c>
      <c r="K18" s="89" t="s">
        <v>50</v>
      </c>
      <c r="L18" s="189">
        <f>L19/(C9)</f>
        <v>1.1247629344291882E-6</v>
      </c>
      <c r="Q18" s="88"/>
    </row>
    <row r="19" spans="1:72" ht="12.75" customHeight="1" x14ac:dyDescent="0.2">
      <c r="B19" s="62" t="s">
        <v>120</v>
      </c>
      <c r="C19" s="86"/>
      <c r="D19" s="147" t="s">
        <v>195</v>
      </c>
      <c r="E19" s="3"/>
      <c r="F19" s="240"/>
      <c r="G19" s="243"/>
      <c r="H19" s="242"/>
      <c r="I19" s="237" t="s">
        <v>169</v>
      </c>
      <c r="J19" s="90">
        <v>0.16</v>
      </c>
      <c r="K19" s="89" t="s">
        <v>60</v>
      </c>
      <c r="L19" s="189">
        <f>1.42%</f>
        <v>1.4199999999999999E-2</v>
      </c>
      <c r="Q19" s="88"/>
      <c r="R19" s="15"/>
    </row>
    <row r="20" spans="1:72" ht="15" x14ac:dyDescent="0.25">
      <c r="B20" s="76" t="s">
        <v>43</v>
      </c>
      <c r="C20" s="77"/>
      <c r="D20" s="77"/>
      <c r="E20" s="77"/>
      <c r="F20" s="77"/>
      <c r="G20" s="77"/>
      <c r="H20" s="78" t="s">
        <v>147</v>
      </c>
      <c r="I20" s="323" t="s">
        <v>57</v>
      </c>
      <c r="J20" s="323"/>
      <c r="K20" s="323"/>
      <c r="L20" s="63" t="s">
        <v>58</v>
      </c>
      <c r="M20" s="14"/>
      <c r="N20" s="101"/>
      <c r="O20" s="115"/>
      <c r="P20" s="102"/>
      <c r="Q20" s="14"/>
      <c r="R20" s="14"/>
    </row>
    <row r="21" spans="1:72" ht="35.25" customHeight="1" x14ac:dyDescent="0.2">
      <c r="A21" s="88"/>
      <c r="B21" s="314" t="s">
        <v>419</v>
      </c>
      <c r="C21" s="315"/>
      <c r="D21" s="315"/>
      <c r="E21" s="315"/>
      <c r="F21" s="315"/>
      <c r="G21" s="316"/>
      <c r="H21" s="320" t="s">
        <v>153</v>
      </c>
      <c r="I21" s="288" t="s">
        <v>166</v>
      </c>
      <c r="J21" s="289"/>
      <c r="K21" s="290"/>
      <c r="L21" s="307" t="e">
        <f>#REF!</f>
        <v>#REF!</v>
      </c>
      <c r="M21" s="14"/>
      <c r="N21" s="102"/>
      <c r="O21" s="115"/>
      <c r="P21" s="102"/>
      <c r="Q21" s="14"/>
      <c r="R21" s="14"/>
    </row>
    <row r="22" spans="1:72" ht="35.25" customHeight="1" x14ac:dyDescent="0.2">
      <c r="B22" s="317"/>
      <c r="C22" s="318"/>
      <c r="D22" s="318"/>
      <c r="E22" s="318"/>
      <c r="F22" s="318"/>
      <c r="G22" s="319"/>
      <c r="H22" s="321"/>
      <c r="I22" s="291"/>
      <c r="J22" s="292"/>
      <c r="K22" s="293"/>
      <c r="L22" s="307"/>
      <c r="M22" s="14"/>
      <c r="N22" s="102"/>
      <c r="O22" s="115"/>
      <c r="P22" s="102"/>
      <c r="Q22" s="14"/>
      <c r="R22" s="14"/>
    </row>
    <row r="23" spans="1:72" x14ac:dyDescent="0.2">
      <c r="B23" s="327" t="s">
        <v>98</v>
      </c>
      <c r="C23" s="328"/>
      <c r="D23" s="328"/>
      <c r="E23" s="328"/>
      <c r="F23" s="328"/>
      <c r="G23" s="329"/>
      <c r="H23" s="60" t="s">
        <v>134</v>
      </c>
      <c r="I23" s="294"/>
      <c r="J23" s="295"/>
      <c r="K23" s="296"/>
      <c r="L23" s="334" t="e">
        <f>#REF!</f>
        <v>#REF!</v>
      </c>
      <c r="M23" s="14"/>
      <c r="N23" s="102"/>
      <c r="O23" s="115"/>
      <c r="P23" s="102"/>
      <c r="Q23" s="14"/>
      <c r="R23" s="14"/>
    </row>
    <row r="24" spans="1:72" ht="24.75" customHeight="1" x14ac:dyDescent="0.2">
      <c r="B24" s="340" t="s">
        <v>422</v>
      </c>
      <c r="C24" s="341"/>
      <c r="D24" s="341"/>
      <c r="E24" s="341"/>
      <c r="F24" s="341"/>
      <c r="G24" s="342"/>
      <c r="H24" s="79" t="s">
        <v>424</v>
      </c>
      <c r="I24" s="81" t="s">
        <v>101</v>
      </c>
      <c r="J24" s="82" t="e">
        <f>#REF!</f>
        <v>#REF!</v>
      </c>
      <c r="K24" s="83"/>
      <c r="L24" s="334"/>
      <c r="M24" s="14"/>
      <c r="N24" s="102"/>
      <c r="O24" s="115"/>
      <c r="P24" s="102"/>
      <c r="Q24" s="14"/>
      <c r="R24" s="14"/>
    </row>
    <row r="25" spans="1:72" x14ac:dyDescent="0.2">
      <c r="B25" s="64" t="s">
        <v>32</v>
      </c>
      <c r="C25" s="61" t="s">
        <v>0</v>
      </c>
      <c r="D25" s="61" t="s">
        <v>1</v>
      </c>
      <c r="E25" s="61" t="s">
        <v>100</v>
      </c>
      <c r="F25" s="61" t="s">
        <v>12</v>
      </c>
      <c r="G25" s="61" t="s">
        <v>6</v>
      </c>
      <c r="H25" s="61" t="s">
        <v>148</v>
      </c>
      <c r="I25" s="61" t="s">
        <v>149</v>
      </c>
      <c r="J25" s="310" t="s">
        <v>30</v>
      </c>
      <c r="K25" s="310"/>
      <c r="L25" s="311"/>
      <c r="M25" s="217" t="s">
        <v>17</v>
      </c>
      <c r="N25" s="217" t="s">
        <v>417</v>
      </c>
      <c r="O25" s="217" t="s">
        <v>0</v>
      </c>
      <c r="P25" s="217" t="s">
        <v>418</v>
      </c>
      <c r="Q25" s="217" t="s">
        <v>420</v>
      </c>
      <c r="R25" s="217" t="s">
        <v>12</v>
      </c>
      <c r="S25" s="217" t="s">
        <v>148</v>
      </c>
      <c r="T25" s="217" t="s">
        <v>421</v>
      </c>
    </row>
    <row r="26" spans="1:72" x14ac:dyDescent="0.2">
      <c r="B26" s="194">
        <v>2012</v>
      </c>
      <c r="C26" s="192">
        <v>1954</v>
      </c>
      <c r="D26" s="211">
        <v>7.4099999999999999E-2</v>
      </c>
      <c r="E26" s="223">
        <f>(0.62*C8)/1000000</f>
        <v>23.597200000000001</v>
      </c>
      <c r="F26" s="223">
        <f>(Ratios!C4*OP!$C$8)/1000000</f>
        <v>83.351399999999998</v>
      </c>
      <c r="G26" s="201">
        <f t="shared" ref="G26:G36" si="0">M26/N26</f>
        <v>0.29579810402254675</v>
      </c>
      <c r="H26" s="215">
        <v>11.6</v>
      </c>
      <c r="I26" s="215">
        <f>16.3+4.7</f>
        <v>21</v>
      </c>
      <c r="J26" s="195"/>
      <c r="K26" s="196">
        <v>2024</v>
      </c>
      <c r="L26" s="197">
        <f>K26-1</f>
        <v>2023</v>
      </c>
      <c r="M26" s="220">
        <f>230.9</f>
        <v>230.9</v>
      </c>
      <c r="N26" s="220">
        <v>780.6</v>
      </c>
      <c r="Q26" s="15"/>
      <c r="R26" s="15"/>
      <c r="S26" s="15"/>
      <c r="T26" s="16"/>
      <c r="W26" s="57"/>
    </row>
    <row r="27" spans="1:72" x14ac:dyDescent="0.2">
      <c r="B27" s="194">
        <f t="shared" ref="B27:B34" si="1">B26+1</f>
        <v>2013</v>
      </c>
      <c r="C27" s="192">
        <v>2079.6999999999998</v>
      </c>
      <c r="D27" s="211">
        <v>7.9600000000000004E-2</v>
      </c>
      <c r="E27" s="223">
        <f>(0.73*C8)/1000000</f>
        <v>27.783799999999999</v>
      </c>
      <c r="F27" s="223">
        <f>(Ratios!D4*$C$8)/1000000</f>
        <v>71.172200000000004</v>
      </c>
      <c r="G27" s="201">
        <f t="shared" si="0"/>
        <v>0.2991017237193494</v>
      </c>
      <c r="H27" s="215">
        <v>13.4</v>
      </c>
      <c r="I27" s="215">
        <f>18.7+1.2</f>
        <v>19.899999999999999</v>
      </c>
      <c r="J27" s="195" t="s">
        <v>61</v>
      </c>
      <c r="K27" s="244">
        <v>448.5</v>
      </c>
      <c r="L27" s="245">
        <v>523.20000000000005</v>
      </c>
      <c r="M27" s="220">
        <f>246.4+0</f>
        <v>246.4</v>
      </c>
      <c r="N27" s="220">
        <v>823.8</v>
      </c>
      <c r="O27" s="226">
        <f t="shared" ref="O27:O38" si="2">C27/C26-1</f>
        <v>6.4329580348003956E-2</v>
      </c>
      <c r="P27" s="227">
        <f t="shared" ref="P27:P38" si="3">D27/D26-1</f>
        <v>7.422402159244279E-2</v>
      </c>
      <c r="Q27" s="227">
        <f t="shared" ref="Q27:R35" si="4">E27/E26-1</f>
        <v>0.17741935483870952</v>
      </c>
      <c r="R27" s="227">
        <f t="shared" ref="R27" si="5">F27/F26-1</f>
        <v>-0.14611872146118721</v>
      </c>
      <c r="S27" s="227">
        <f t="shared" ref="S27" si="6">G27/G26-1</f>
        <v>1.1168495172473536E-2</v>
      </c>
      <c r="T27" s="227">
        <f t="shared" ref="S27:T35" si="7">I27/I26-1</f>
        <v>-5.2380952380952417E-2</v>
      </c>
    </row>
    <row r="28" spans="1:72" x14ac:dyDescent="0.2">
      <c r="B28" s="194">
        <f t="shared" si="1"/>
        <v>2014</v>
      </c>
      <c r="C28" s="192">
        <v>2246.6</v>
      </c>
      <c r="D28" s="211">
        <v>8.4099999999999994E-2</v>
      </c>
      <c r="E28" s="223">
        <f>(0.85*C8)/1000000</f>
        <v>32.350999999999999</v>
      </c>
      <c r="F28" s="223">
        <f>(Ratios!E4*OP!$C$8)/1000000</f>
        <v>89.821600000000004</v>
      </c>
      <c r="G28" s="201">
        <f t="shared" si="0"/>
        <v>0.35927875461977826</v>
      </c>
      <c r="H28" s="215">
        <v>14.5</v>
      </c>
      <c r="I28" s="215">
        <f>17.3+10.6</f>
        <v>27.9</v>
      </c>
      <c r="J28" s="195" t="s">
        <v>199</v>
      </c>
      <c r="K28" s="244">
        <v>626.79999999999995</v>
      </c>
      <c r="L28" s="245">
        <v>888.2</v>
      </c>
      <c r="M28" s="220">
        <f>319.3+1.5</f>
        <v>320.8</v>
      </c>
      <c r="N28" s="220">
        <v>892.9</v>
      </c>
      <c r="O28" s="226">
        <f t="shared" si="2"/>
        <v>8.0251959417223739E-2</v>
      </c>
      <c r="P28" s="227">
        <f t="shared" si="3"/>
        <v>5.6532663316582799E-2</v>
      </c>
      <c r="Q28" s="227">
        <f t="shared" si="4"/>
        <v>0.16438356164383561</v>
      </c>
      <c r="R28" s="227">
        <f t="shared" si="4"/>
        <v>0.26203208556149726</v>
      </c>
      <c r="S28" s="227">
        <f t="shared" si="7"/>
        <v>8.2089552238805874E-2</v>
      </c>
      <c r="T28" s="227">
        <f t="shared" si="7"/>
        <v>0.40201005025125625</v>
      </c>
      <c r="BT28">
        <v>4303</v>
      </c>
    </row>
    <row r="29" spans="1:72" x14ac:dyDescent="0.2">
      <c r="B29" s="194">
        <f t="shared" si="1"/>
        <v>2015</v>
      </c>
      <c r="C29" s="192">
        <v>2363.1</v>
      </c>
      <c r="D29" s="211">
        <v>9.1499999999999998E-2</v>
      </c>
      <c r="E29" s="223">
        <f>(1*C8)/1000000</f>
        <v>38.06</v>
      </c>
      <c r="F29" s="224">
        <f>(Ratios!F4*OP!$C$8)/1000000</f>
        <v>103.1426</v>
      </c>
      <c r="G29" s="201">
        <f t="shared" si="0"/>
        <v>0.35102739726027399</v>
      </c>
      <c r="H29" s="215">
        <v>16.399999999999999</v>
      </c>
      <c r="I29" s="215">
        <f>29.1+4.5</f>
        <v>33.6</v>
      </c>
      <c r="J29" s="175" t="s">
        <v>200</v>
      </c>
      <c r="K29" s="244">
        <f>1815.4-770.8</f>
        <v>1044.6000000000001</v>
      </c>
      <c r="L29" s="245">
        <f>2019-675.7</f>
        <v>1343.3</v>
      </c>
      <c r="M29" s="221">
        <f>326.3+1.7</f>
        <v>328</v>
      </c>
      <c r="N29" s="220">
        <v>934.4</v>
      </c>
      <c r="O29" s="226">
        <f t="shared" si="2"/>
        <v>5.1856138164337207E-2</v>
      </c>
      <c r="P29" s="227">
        <f t="shared" si="3"/>
        <v>8.799048751486338E-2</v>
      </c>
      <c r="Q29" s="227">
        <f t="shared" si="4"/>
        <v>0.17647058823529416</v>
      </c>
      <c r="R29" s="227">
        <f t="shared" si="4"/>
        <v>0.14830508474576276</v>
      </c>
      <c r="S29" s="227">
        <f t="shared" si="7"/>
        <v>0.13103448275862051</v>
      </c>
      <c r="T29" s="227">
        <f t="shared" si="7"/>
        <v>0.20430107526881724</v>
      </c>
      <c r="BT29">
        <v>3066</v>
      </c>
    </row>
    <row r="30" spans="1:72" x14ac:dyDescent="0.2">
      <c r="B30" s="194">
        <f t="shared" si="1"/>
        <v>2016</v>
      </c>
      <c r="C30" s="192">
        <v>2570.8000000000002</v>
      </c>
      <c r="D30" s="211">
        <v>9.9500000000000005E-2</v>
      </c>
      <c r="E30" s="223">
        <f>(1.19*C8)/1000000</f>
        <v>45.291400000000003</v>
      </c>
      <c r="F30" s="224">
        <f>(Ratios!G4*OP!$C$8)/1000000</f>
        <v>119.12779999999999</v>
      </c>
      <c r="G30" s="201">
        <f t="shared" si="0"/>
        <v>0.44059953726989237</v>
      </c>
      <c r="H30" s="215">
        <v>20.3</v>
      </c>
      <c r="I30" s="215">
        <f>19.7+34.4</f>
        <v>54.099999999999994</v>
      </c>
      <c r="J30" s="195" t="s">
        <v>31</v>
      </c>
      <c r="K30" s="244">
        <v>66.5</v>
      </c>
      <c r="L30" s="245">
        <v>71.599999999999994</v>
      </c>
      <c r="M30" s="220">
        <f>436.9+1.1</f>
        <v>438</v>
      </c>
      <c r="N30" s="220">
        <v>994.1</v>
      </c>
      <c r="O30" s="226">
        <f t="shared" si="2"/>
        <v>8.7893021878041599E-2</v>
      </c>
      <c r="P30" s="227">
        <f t="shared" si="3"/>
        <v>8.7431693989071135E-2</v>
      </c>
      <c r="Q30" s="227">
        <f t="shared" si="4"/>
        <v>0.18999999999999995</v>
      </c>
      <c r="R30" s="227">
        <f t="shared" si="4"/>
        <v>0.15498154981549805</v>
      </c>
      <c r="S30" s="227">
        <f t="shared" si="7"/>
        <v>0.2378048780487807</v>
      </c>
      <c r="T30" s="227">
        <f t="shared" si="7"/>
        <v>0.61011904761904745</v>
      </c>
      <c r="BT30">
        <v>3283</v>
      </c>
    </row>
    <row r="31" spans="1:72" x14ac:dyDescent="0.2">
      <c r="B31" s="194">
        <f t="shared" si="1"/>
        <v>2017</v>
      </c>
      <c r="C31" s="192">
        <v>2788.2</v>
      </c>
      <c r="D31" s="211">
        <v>0.1021</v>
      </c>
      <c r="E31" s="223">
        <f>(1.42*C8)/1000000</f>
        <v>54.045200000000001</v>
      </c>
      <c r="F31" s="224">
        <f>(Ratios!H4*OP!$C$8)/1000000</f>
        <v>126.7398</v>
      </c>
      <c r="G31" s="201">
        <f t="shared" si="0"/>
        <v>0.47189174461901739</v>
      </c>
      <c r="H31" s="215">
        <v>24.2</v>
      </c>
      <c r="I31" s="215">
        <f>39.4+12.8</f>
        <v>52.2</v>
      </c>
      <c r="J31" s="199" t="s">
        <v>110</v>
      </c>
      <c r="K31" s="244">
        <v>63.1</v>
      </c>
      <c r="L31" s="245">
        <v>60.1</v>
      </c>
      <c r="M31" s="220">
        <f>508.8+10.8</f>
        <v>519.6</v>
      </c>
      <c r="N31" s="220">
        <v>1101.0999999999999</v>
      </c>
      <c r="O31" s="226">
        <f t="shared" si="2"/>
        <v>8.4565115917224043E-2</v>
      </c>
      <c r="P31" s="227">
        <f t="shared" si="3"/>
        <v>2.6130653266331461E-2</v>
      </c>
      <c r="Q31" s="227">
        <f t="shared" si="4"/>
        <v>0.19327731092436973</v>
      </c>
      <c r="R31" s="227">
        <f t="shared" si="4"/>
        <v>6.3897763578274924E-2</v>
      </c>
      <c r="S31" s="227">
        <f t="shared" si="7"/>
        <v>0.1921182266009851</v>
      </c>
      <c r="T31" s="227">
        <f t="shared" si="7"/>
        <v>-3.5120147874306729E-2</v>
      </c>
    </row>
    <row r="32" spans="1:72" x14ac:dyDescent="0.2">
      <c r="B32" s="194">
        <f t="shared" si="1"/>
        <v>2018</v>
      </c>
      <c r="C32" s="192">
        <v>2998.1</v>
      </c>
      <c r="D32" s="211">
        <v>0.1047</v>
      </c>
      <c r="E32" s="223">
        <f>(1.72*C8)/1000000</f>
        <v>65.463200000000001</v>
      </c>
      <c r="F32" s="224">
        <f>(Ratios!I4*OP!$C$8)/1000000</f>
        <v>82.209599999999995</v>
      </c>
      <c r="G32" s="201">
        <f t="shared" si="0"/>
        <v>0.53735192199210258</v>
      </c>
      <c r="H32" s="215">
        <v>26.1</v>
      </c>
      <c r="I32" s="215">
        <f>31.6+2.6</f>
        <v>34.200000000000003</v>
      </c>
      <c r="J32" s="199" t="s">
        <v>111</v>
      </c>
      <c r="K32" s="244">
        <v>4.5</v>
      </c>
      <c r="L32" s="245">
        <v>11.5</v>
      </c>
      <c r="M32" s="220">
        <f>657.6+9.2</f>
        <v>666.80000000000007</v>
      </c>
      <c r="N32" s="220">
        <v>1240.9000000000001</v>
      </c>
      <c r="O32" s="226">
        <f t="shared" si="2"/>
        <v>7.5281543648231919E-2</v>
      </c>
      <c r="P32" s="227">
        <f t="shared" si="3"/>
        <v>2.5465230166503483E-2</v>
      </c>
      <c r="Q32" s="227">
        <f t="shared" si="4"/>
        <v>0.21126760563380276</v>
      </c>
      <c r="R32" s="227">
        <f t="shared" si="4"/>
        <v>-0.35135135135135143</v>
      </c>
      <c r="S32" s="227">
        <f t="shared" si="7"/>
        <v>7.8512396694214948E-2</v>
      </c>
      <c r="T32" s="227">
        <f t="shared" si="7"/>
        <v>-0.34482758620689657</v>
      </c>
    </row>
    <row r="33" spans="2:72" x14ac:dyDescent="0.2">
      <c r="B33" s="194">
        <f t="shared" si="1"/>
        <v>2019</v>
      </c>
      <c r="C33" s="192">
        <v>3199.5169999999998</v>
      </c>
      <c r="D33" s="211">
        <v>0.1067</v>
      </c>
      <c r="E33" s="223">
        <f>(2.1*C8)/1000000</f>
        <v>79.926000000000002</v>
      </c>
      <c r="F33" s="224">
        <f>(Ratios!J4*OP!$C$8)/1000000</f>
        <v>253.4796</v>
      </c>
      <c r="G33" s="201">
        <f t="shared" si="0"/>
        <v>0.46504415829569212</v>
      </c>
      <c r="H33" s="215">
        <v>27.885000000000002</v>
      </c>
      <c r="I33" s="215">
        <f>33.4+8.9</f>
        <v>42.3</v>
      </c>
      <c r="J33" s="200" t="s">
        <v>112</v>
      </c>
      <c r="K33" s="244">
        <v>176.7</v>
      </c>
      <c r="L33" s="245">
        <v>167.5</v>
      </c>
      <c r="M33" s="220">
        <f>621.7+68.1</f>
        <v>689.80000000000007</v>
      </c>
      <c r="N33" s="220">
        <v>1483.3</v>
      </c>
      <c r="O33" s="226">
        <f t="shared" si="2"/>
        <v>6.7181548313932193E-2</v>
      </c>
      <c r="P33" s="227">
        <f t="shared" si="3"/>
        <v>1.9102196752626588E-2</v>
      </c>
      <c r="Q33" s="227">
        <f t="shared" si="4"/>
        <v>0.22093023255813948</v>
      </c>
      <c r="R33" s="227">
        <f t="shared" si="4"/>
        <v>2.0833333333333335</v>
      </c>
      <c r="S33" s="227">
        <f t="shared" si="7"/>
        <v>6.8390804597701083E-2</v>
      </c>
      <c r="T33" s="227">
        <f t="shared" si="7"/>
        <v>0.23684210526315774</v>
      </c>
    </row>
    <row r="34" spans="2:72" x14ac:dyDescent="0.2">
      <c r="B34" s="194">
        <f t="shared" si="1"/>
        <v>2020</v>
      </c>
      <c r="C34" s="192">
        <v>3936.623</v>
      </c>
      <c r="D34" s="212">
        <v>0.1179</v>
      </c>
      <c r="E34" s="223">
        <f>(2.29*C8)/1000000</f>
        <v>87.157399999999996</v>
      </c>
      <c r="F34" s="224">
        <f>(Ratios!K4*OP!$C$8)/1000000</f>
        <v>356.62220000000002</v>
      </c>
      <c r="G34" s="201">
        <f t="shared" si="0"/>
        <v>0.35856756912111282</v>
      </c>
      <c r="H34" s="215">
        <v>27.966999999999999</v>
      </c>
      <c r="I34" s="215">
        <f>21.7+124.6</f>
        <v>146.29999999999998</v>
      </c>
      <c r="J34" s="200" t="s">
        <v>113</v>
      </c>
      <c r="K34" s="244">
        <v>265.5</v>
      </c>
      <c r="L34" s="245">
        <v>295.89999999999998</v>
      </c>
      <c r="M34" s="220">
        <f>551+72.8</f>
        <v>623.79999999999995</v>
      </c>
      <c r="N34" s="220">
        <v>1739.7</v>
      </c>
      <c r="O34" s="226">
        <f t="shared" si="2"/>
        <v>0.23038039804132948</v>
      </c>
      <c r="P34" s="227">
        <f t="shared" si="3"/>
        <v>0.10496719775070296</v>
      </c>
      <c r="Q34" s="227">
        <f t="shared" si="4"/>
        <v>9.0476190476190377E-2</v>
      </c>
      <c r="R34" s="227">
        <f t="shared" si="4"/>
        <v>0.4069069069069069</v>
      </c>
      <c r="S34" s="227">
        <f t="shared" si="7"/>
        <v>2.9406490944952068E-3</v>
      </c>
      <c r="T34" s="227">
        <f t="shared" si="7"/>
        <v>2.458628841607565</v>
      </c>
      <c r="W34" s="57"/>
      <c r="BT34" s="7"/>
    </row>
    <row r="35" spans="2:72" x14ac:dyDescent="0.2">
      <c r="B35" s="194">
        <f t="shared" ref="B35:B37" si="8">B34+1</f>
        <v>2021</v>
      </c>
      <c r="C35" s="192">
        <v>5295.5839999999998</v>
      </c>
      <c r="D35" s="212">
        <v>0.1573</v>
      </c>
      <c r="E35" s="223">
        <f>(2.98*C8)/1000000</f>
        <v>113.4188</v>
      </c>
      <c r="F35" s="223">
        <f>(Ratios!L4*OP!$C$8)/1000000</f>
        <v>263.37520000000001</v>
      </c>
      <c r="G35" s="201">
        <f t="shared" si="0"/>
        <v>0.44195765230312034</v>
      </c>
      <c r="H35" s="215">
        <v>28.286999999999999</v>
      </c>
      <c r="I35" s="215">
        <f>37.7+812</f>
        <v>849.7</v>
      </c>
      <c r="J35" s="200" t="s">
        <v>201</v>
      </c>
      <c r="K35" s="244">
        <v>1297.9000000000001</v>
      </c>
      <c r="L35" s="245">
        <v>1615.2</v>
      </c>
      <c r="M35" s="220">
        <f>1346.9+80.8</f>
        <v>1427.7</v>
      </c>
      <c r="N35" s="220">
        <v>3230.4</v>
      </c>
      <c r="O35" s="226">
        <f t="shared" si="2"/>
        <v>0.34520984102363883</v>
      </c>
      <c r="P35" s="227">
        <f t="shared" si="3"/>
        <v>0.33418150975402883</v>
      </c>
      <c r="Q35" s="227">
        <f t="shared" si="4"/>
        <v>0.30131004366812242</v>
      </c>
      <c r="R35" s="227">
        <f t="shared" si="4"/>
        <v>-0.26147278548559238</v>
      </c>
      <c r="S35" s="227">
        <f t="shared" si="7"/>
        <v>1.144205670969356E-2</v>
      </c>
      <c r="T35" s="227">
        <f t="shared" si="7"/>
        <v>4.8079289131920717</v>
      </c>
      <c r="W35" s="57"/>
      <c r="BT35" s="7"/>
    </row>
    <row r="36" spans="2:72" x14ac:dyDescent="0.2">
      <c r="B36" s="194">
        <f t="shared" si="8"/>
        <v>2022</v>
      </c>
      <c r="C36" s="192">
        <v>6179.7269999999999</v>
      </c>
      <c r="D36" s="211">
        <v>0.16600000000000001</v>
      </c>
      <c r="E36" s="223">
        <f>(3.8*C8)/1000000</f>
        <v>144.62799999999999</v>
      </c>
      <c r="F36" s="223">
        <f>(Ratios!M4*OP!$C$8)/1000000</f>
        <v>426.27199999999999</v>
      </c>
      <c r="G36" s="201">
        <f t="shared" si="0"/>
        <v>0.46581028776574857</v>
      </c>
      <c r="H36" s="215">
        <v>30.381</v>
      </c>
      <c r="I36" s="215">
        <f>43.6+9.3</f>
        <v>52.900000000000006</v>
      </c>
      <c r="J36" s="200" t="s">
        <v>202</v>
      </c>
      <c r="K36" s="244">
        <v>1.7</v>
      </c>
      <c r="L36" s="245">
        <v>0.6</v>
      </c>
      <c r="M36" s="220">
        <f>1560.3+100.5</f>
        <v>1660.8</v>
      </c>
      <c r="N36" s="220">
        <v>3565.4</v>
      </c>
      <c r="O36" s="226">
        <f t="shared" si="2"/>
        <v>0.16695854508209096</v>
      </c>
      <c r="P36" s="227">
        <f t="shared" si="3"/>
        <v>5.5308328035600818E-2</v>
      </c>
      <c r="Q36" s="227">
        <f t="shared" ref="Q36:Q38" si="9">E36/E35-1</f>
        <v>0.27516778523489926</v>
      </c>
      <c r="R36" s="227">
        <f t="shared" ref="R36:R38" si="10">F36/F35-1</f>
        <v>0.61849710982658945</v>
      </c>
      <c r="S36" s="227">
        <f t="shared" ref="S36:S37" si="11">H36/H35-1</f>
        <v>7.4026938169477141E-2</v>
      </c>
      <c r="T36" s="227">
        <f t="shared" ref="T36:T37" si="12">I36/I35-1</f>
        <v>-0.9377427327291985</v>
      </c>
      <c r="W36" s="57"/>
      <c r="BT36" s="7"/>
    </row>
    <row r="37" spans="2:72" x14ac:dyDescent="0.2">
      <c r="B37" s="194">
        <f t="shared" si="8"/>
        <v>2023</v>
      </c>
      <c r="C37" s="192">
        <v>5541.5950000000003</v>
      </c>
      <c r="D37" s="213">
        <f>746.567/C37</f>
        <v>0.13472059939421774</v>
      </c>
      <c r="E37" s="223">
        <f>(4.3*C8)/1000000</f>
        <v>163.65799999999999</v>
      </c>
      <c r="F37" s="223">
        <f>(Ratios!N4*OP!$C$8)/1000000</f>
        <v>814.48400000000004</v>
      </c>
      <c r="G37" s="201">
        <f>M37/N37</f>
        <v>0.39803389632741171</v>
      </c>
      <c r="H37" s="215">
        <v>31.585000000000001</v>
      </c>
      <c r="I37" s="215">
        <f>60.1+11.5</f>
        <v>71.599999999999994</v>
      </c>
      <c r="J37" s="200"/>
      <c r="K37" s="192"/>
      <c r="L37" s="198"/>
      <c r="M37" s="220">
        <f>1237.1+127.4</f>
        <v>1364.5</v>
      </c>
      <c r="N37" s="220">
        <v>3428.1</v>
      </c>
      <c r="O37" s="226">
        <f t="shared" si="2"/>
        <v>-0.10326216675914646</v>
      </c>
      <c r="P37" s="227">
        <f t="shared" si="3"/>
        <v>-0.18843012413121851</v>
      </c>
      <c r="Q37" s="227">
        <f t="shared" si="9"/>
        <v>0.13157894736842102</v>
      </c>
      <c r="R37" s="227">
        <f t="shared" si="10"/>
        <v>0.91071428571428581</v>
      </c>
      <c r="S37" s="227">
        <f t="shared" si="11"/>
        <v>3.9630031927849751E-2</v>
      </c>
      <c r="T37" s="227">
        <f t="shared" si="12"/>
        <v>0.35349716446124746</v>
      </c>
      <c r="W37" s="57"/>
      <c r="BT37" s="7"/>
    </row>
    <row r="38" spans="2:72" x14ac:dyDescent="0.2">
      <c r="B38" s="202" t="s">
        <v>210</v>
      </c>
      <c r="C38" s="193">
        <v>5284.9</v>
      </c>
      <c r="D38" s="214">
        <f>635.898/C37</f>
        <v>0.11474999526309664</v>
      </c>
      <c r="E38" s="225">
        <f>(4.69*C8)/1000000</f>
        <v>178.50139999999999</v>
      </c>
      <c r="F38" s="225">
        <f>(Ratios!O4*OP!$C$8)/1000000</f>
        <v>562.14620000000002</v>
      </c>
      <c r="G38" s="203"/>
      <c r="H38" s="216">
        <v>35.078000000000003</v>
      </c>
      <c r="I38" s="216">
        <f>63.1+4.5</f>
        <v>67.599999999999994</v>
      </c>
      <c r="J38" s="200"/>
      <c r="K38" s="192"/>
      <c r="L38" s="198"/>
      <c r="M38" s="220"/>
      <c r="N38" s="222"/>
      <c r="O38" s="226">
        <f t="shared" si="2"/>
        <v>-4.6321501300618406E-2</v>
      </c>
      <c r="P38" s="227">
        <f t="shared" si="3"/>
        <v>-0.1482371977330903</v>
      </c>
      <c r="Q38" s="227">
        <f t="shared" si="9"/>
        <v>9.0697674418604768E-2</v>
      </c>
      <c r="R38" s="227">
        <f t="shared" si="10"/>
        <v>-0.30981308411214958</v>
      </c>
      <c r="S38" s="88"/>
      <c r="T38" s="88"/>
      <c r="W38" s="57"/>
      <c r="BT38" s="7"/>
    </row>
    <row r="39" spans="2:72" x14ac:dyDescent="0.2">
      <c r="B39" s="204" t="s">
        <v>172</v>
      </c>
      <c r="C39" s="187">
        <f>(C37/C32)^(1/5)-1</f>
        <v>0.13072692476822034</v>
      </c>
      <c r="D39" s="187">
        <f>(D38/D26)^(1/11)-1</f>
        <v>4.0559143700028555E-2</v>
      </c>
      <c r="E39" s="187">
        <f t="shared" ref="E39:I39" si="13">(E38/E26)^(1/11)-1</f>
        <v>0.20195773253970906</v>
      </c>
      <c r="F39" s="187">
        <f t="shared" si="13"/>
        <v>0.18948194075287983</v>
      </c>
      <c r="G39" s="187">
        <f t="shared" si="13"/>
        <v>-1</v>
      </c>
      <c r="H39" s="187">
        <f t="shared" si="13"/>
        <v>0.10583110871118695</v>
      </c>
      <c r="I39" s="187">
        <f t="shared" si="13"/>
        <v>0.1121337908687392</v>
      </c>
      <c r="J39" s="195" t="s">
        <v>115</v>
      </c>
      <c r="K39" s="192">
        <v>0</v>
      </c>
      <c r="L39" s="198">
        <v>0</v>
      </c>
      <c r="M39" s="88"/>
      <c r="N39" s="218"/>
      <c r="O39" s="219"/>
      <c r="P39" s="88"/>
      <c r="Q39" s="88"/>
      <c r="R39" s="88"/>
      <c r="S39" s="88"/>
      <c r="T39" s="88"/>
      <c r="W39" s="55"/>
    </row>
    <row r="40" spans="2:72" x14ac:dyDescent="0.2">
      <c r="B40" s="204" t="s">
        <v>8</v>
      </c>
      <c r="C40" s="187">
        <f>AVERAGE(O27:O37)</f>
        <v>0.1046041386431734</v>
      </c>
      <c r="D40" s="187">
        <f>AVERAGE(P27:P37)</f>
        <v>6.2082168909775977E-2</v>
      </c>
      <c r="E40" s="187"/>
      <c r="F40" s="187"/>
      <c r="G40" s="187"/>
      <c r="H40" s="187"/>
      <c r="I40" s="187"/>
      <c r="J40" s="205" t="s">
        <v>411</v>
      </c>
      <c r="K40" s="206">
        <f>K28+K29+K30+K33+K34+K35+K36+K39</f>
        <v>3479.7000000000003</v>
      </c>
      <c r="L40" s="207">
        <f>L28+L29+L30+L33+L34+L35+L36+L39</f>
        <v>4382.3</v>
      </c>
      <c r="M40" s="88"/>
      <c r="N40" s="218"/>
      <c r="O40" s="219"/>
      <c r="P40" s="88"/>
      <c r="Q40" s="88"/>
      <c r="R40" s="88"/>
      <c r="S40" s="88"/>
      <c r="T40" s="88"/>
    </row>
    <row r="41" spans="2:72" x14ac:dyDescent="0.2">
      <c r="B41" s="204" t="s">
        <v>20</v>
      </c>
      <c r="C41" s="187">
        <f>STDEV(C26:C37)/AVERAGE(C26:C37)</f>
        <v>0.4278931298827206</v>
      </c>
      <c r="D41" s="187">
        <f>STDEV(D26:D38)/AVERAGE(D26:D38)</f>
        <v>0.25534221279362862</v>
      </c>
      <c r="E41" s="187">
        <f>STDEV(E26:E38)/AVERAGE(E26:E38)</f>
        <v>0.6571596139317295</v>
      </c>
      <c r="F41" s="187">
        <f t="shared" ref="F41:H41" si="14">STDEV(F26:F38)/AVERAGE(F26:F38)</f>
        <v>0.88536132598177975</v>
      </c>
      <c r="G41" s="187">
        <f t="shared" si="14"/>
        <v>0.18477890454254964</v>
      </c>
      <c r="H41" s="187">
        <f t="shared" si="14"/>
        <v>0.32293370242751379</v>
      </c>
      <c r="I41" s="187">
        <f>STDEV(I26:I38)/AVERAGE(I26:I38)</f>
        <v>1.9734950196982399</v>
      </c>
      <c r="J41" s="195" t="s">
        <v>412</v>
      </c>
      <c r="K41" s="208">
        <f>SUM(I33:I37)/(C37-C32)</f>
        <v>0.45716622206845298</v>
      </c>
      <c r="L41" s="209">
        <f>(SUM(I33:I37)-SUM(H33:H37))/(C37-C32)</f>
        <v>0.39972360865659251</v>
      </c>
      <c r="M41" s="109"/>
      <c r="N41" s="109"/>
      <c r="O41" s="219"/>
      <c r="P41" s="88"/>
      <c r="Q41" s="88"/>
      <c r="R41" s="88"/>
      <c r="S41" s="88"/>
      <c r="T41" s="88"/>
    </row>
    <row r="42" spans="2:72" x14ac:dyDescent="0.2">
      <c r="B42" s="204" t="s">
        <v>27</v>
      </c>
      <c r="C42" s="187">
        <f>C38/C37-1</f>
        <v>-4.6321501300618406E-2</v>
      </c>
      <c r="D42" s="187">
        <f>D38/D37-1</f>
        <v>-0.1482371977330903</v>
      </c>
      <c r="E42" s="187">
        <f t="shared" ref="E42:I42" si="15">E38/E37-1</f>
        <v>9.0697674418604768E-2</v>
      </c>
      <c r="F42" s="187">
        <f t="shared" si="15"/>
        <v>-0.30981308411214958</v>
      </c>
      <c r="G42" s="187">
        <f>G37/G36-1</f>
        <v>-0.14550213513622723</v>
      </c>
      <c r="H42" s="187">
        <f>H37/H36-1</f>
        <v>3.9630031927849751E-2</v>
      </c>
      <c r="I42" s="187">
        <f t="shared" si="15"/>
        <v>-5.5865921787709549E-2</v>
      </c>
      <c r="J42" s="195" t="s">
        <v>117</v>
      </c>
      <c r="K42" s="210">
        <f>K41/E14</f>
        <v>3.7137792207022988</v>
      </c>
      <c r="L42" s="184">
        <f>L41/E14</f>
        <v>3.2471454805572098</v>
      </c>
      <c r="M42" s="88"/>
      <c r="N42" s="88"/>
      <c r="O42" s="219"/>
      <c r="P42" s="88"/>
      <c r="Q42" s="88"/>
      <c r="R42" s="88"/>
      <c r="S42" s="88"/>
      <c r="T42" s="88"/>
    </row>
    <row r="43" spans="2:72" x14ac:dyDescent="0.2">
      <c r="B43" s="300" t="s">
        <v>178</v>
      </c>
      <c r="C43" s="301"/>
      <c r="D43" s="301"/>
      <c r="E43" s="301"/>
      <c r="F43" s="301"/>
      <c r="G43" s="301"/>
      <c r="H43" s="302"/>
      <c r="I43" s="305" t="s">
        <v>423</v>
      </c>
      <c r="J43" s="305"/>
      <c r="K43" s="305"/>
      <c r="L43" s="306"/>
      <c r="M43" s="14"/>
      <c r="N43" s="14"/>
      <c r="O43" s="219"/>
      <c r="P43" s="88"/>
      <c r="Q43" s="88"/>
      <c r="R43" s="88"/>
      <c r="S43" s="88"/>
      <c r="T43" s="88"/>
    </row>
    <row r="44" spans="2:72" ht="84.6" customHeight="1" x14ac:dyDescent="0.2">
      <c r="B44" s="308"/>
      <c r="C44" s="309"/>
      <c r="D44" s="309"/>
      <c r="E44" s="309"/>
      <c r="F44" s="309"/>
      <c r="G44" s="309"/>
      <c r="H44" s="309"/>
      <c r="I44" s="305"/>
      <c r="J44" s="305"/>
      <c r="K44" s="305"/>
      <c r="L44" s="306"/>
      <c r="M44" s="14"/>
      <c r="N44" s="102"/>
    </row>
    <row r="45" spans="2:72" x14ac:dyDescent="0.2">
      <c r="B45" s="300" t="s">
        <v>41</v>
      </c>
      <c r="C45" s="301"/>
      <c r="D45" s="301"/>
      <c r="E45" s="301"/>
      <c r="F45" s="301"/>
      <c r="G45" s="301"/>
      <c r="H45" s="302"/>
      <c r="I45" s="305"/>
      <c r="J45" s="305"/>
      <c r="K45" s="305"/>
      <c r="L45" s="306"/>
      <c r="M45" s="14"/>
      <c r="N45" s="102"/>
    </row>
    <row r="46" spans="2:72" ht="29.1" customHeight="1" x14ac:dyDescent="0.2">
      <c r="B46" s="308" t="s">
        <v>207</v>
      </c>
      <c r="C46" s="309"/>
      <c r="D46" s="309"/>
      <c r="E46" s="309"/>
      <c r="F46" s="309"/>
      <c r="G46" s="309"/>
      <c r="H46" s="309"/>
      <c r="I46" s="305"/>
      <c r="J46" s="305"/>
      <c r="K46" s="305"/>
      <c r="L46" s="306"/>
      <c r="M46" s="14"/>
      <c r="N46" s="102"/>
    </row>
    <row r="47" spans="2:72" x14ac:dyDescent="0.2">
      <c r="B47" s="312" t="s">
        <v>42</v>
      </c>
      <c r="C47" s="313"/>
      <c r="D47" s="313"/>
      <c r="E47" s="313"/>
      <c r="F47" s="313"/>
      <c r="G47" s="313"/>
      <c r="H47" s="313"/>
      <c r="I47" s="305"/>
      <c r="J47" s="305"/>
      <c r="K47" s="305"/>
      <c r="L47" s="306"/>
      <c r="M47" s="14"/>
      <c r="N47" s="102"/>
    </row>
    <row r="48" spans="2:72" ht="20.25" customHeight="1" x14ac:dyDescent="0.2">
      <c r="B48" s="308" t="s">
        <v>208</v>
      </c>
      <c r="C48" s="309"/>
      <c r="D48" s="309"/>
      <c r="E48" s="309"/>
      <c r="F48" s="309"/>
      <c r="G48" s="309"/>
      <c r="H48" s="309"/>
      <c r="I48" s="305"/>
      <c r="J48" s="305"/>
      <c r="K48" s="305"/>
      <c r="L48" s="306"/>
      <c r="M48" s="14"/>
      <c r="N48" s="102"/>
    </row>
    <row r="49" spans="2:18" x14ac:dyDescent="0.2">
      <c r="B49" s="303" t="s">
        <v>139</v>
      </c>
      <c r="C49" s="304"/>
      <c r="D49" s="304"/>
      <c r="E49" s="304"/>
      <c r="F49" s="304"/>
      <c r="G49" s="304"/>
      <c r="H49" s="304"/>
      <c r="I49" s="305"/>
      <c r="J49" s="305"/>
      <c r="K49" s="305"/>
      <c r="L49" s="306"/>
    </row>
    <row r="50" spans="2:18" ht="13.5" customHeight="1" thickBot="1" x14ac:dyDescent="0.25">
      <c r="B50" s="171" t="s">
        <v>10</v>
      </c>
      <c r="C50" s="172" t="s">
        <v>124</v>
      </c>
      <c r="D50" s="172" t="s">
        <v>123</v>
      </c>
      <c r="E50" s="172" t="s">
        <v>140</v>
      </c>
      <c r="F50" s="172" t="s">
        <v>141</v>
      </c>
      <c r="G50" s="172" t="s">
        <v>98</v>
      </c>
      <c r="H50" s="172" t="s">
        <v>142</v>
      </c>
      <c r="I50" s="297" t="s">
        <v>209</v>
      </c>
      <c r="J50" s="298"/>
      <c r="K50" s="298"/>
      <c r="L50" s="299"/>
    </row>
    <row r="51" spans="2:18" x14ac:dyDescent="0.2">
      <c r="B51" s="18" t="s">
        <v>102</v>
      </c>
      <c r="M51" s="14"/>
      <c r="N51" s="102"/>
      <c r="O51" s="115"/>
      <c r="P51" s="102"/>
      <c r="Q51" s="14"/>
      <c r="R51" s="14"/>
    </row>
    <row r="52" spans="2:18" s="11" customFormat="1" x14ac:dyDescent="0.2">
      <c r="B52" s="54" t="s">
        <v>116</v>
      </c>
      <c r="M52" s="14"/>
      <c r="N52" s="102"/>
      <c r="O52" s="115"/>
      <c r="P52" s="102"/>
      <c r="Q52" s="14"/>
      <c r="R52" s="14"/>
    </row>
    <row r="53" spans="2:18" x14ac:dyDescent="0.2">
      <c r="B53" s="191" t="s">
        <v>236</v>
      </c>
      <c r="C53" s="137"/>
      <c r="D53" s="137"/>
      <c r="E53" s="137"/>
      <c r="F53" s="137"/>
      <c r="G53" s="137"/>
      <c r="H53" s="137"/>
      <c r="I53" s="137"/>
      <c r="J53" s="137"/>
      <c r="K53" s="137"/>
      <c r="L53" s="137"/>
      <c r="M53" s="137"/>
    </row>
    <row r="54" spans="2:18" x14ac:dyDescent="0.2">
      <c r="B54" s="286" t="s">
        <v>237</v>
      </c>
      <c r="C54" s="287"/>
      <c r="D54" s="287"/>
      <c r="E54" s="287"/>
      <c r="F54" s="287"/>
      <c r="G54" s="287"/>
      <c r="H54" s="287"/>
      <c r="I54" s="287"/>
      <c r="J54" s="287"/>
      <c r="K54" s="287"/>
      <c r="L54" s="287"/>
      <c r="M54" s="135"/>
    </row>
    <row r="55" spans="2:18" x14ac:dyDescent="0.2">
      <c r="B55" s="116"/>
      <c r="C55" s="111"/>
      <c r="D55" s="111"/>
      <c r="E55" s="111"/>
      <c r="F55" s="111"/>
      <c r="G55" s="111"/>
      <c r="H55" s="111"/>
      <c r="I55" s="111"/>
      <c r="J55" s="111"/>
      <c r="K55" s="111"/>
      <c r="L55" s="111"/>
      <c r="M55" s="111"/>
    </row>
    <row r="56" spans="2:18" x14ac:dyDescent="0.2">
      <c r="B56" s="134"/>
      <c r="C56" s="135"/>
      <c r="D56" s="135"/>
      <c r="E56" s="135"/>
      <c r="F56" s="135"/>
      <c r="G56" s="135"/>
      <c r="H56" s="135"/>
      <c r="I56" s="135"/>
      <c r="J56" s="135"/>
      <c r="K56" s="135"/>
      <c r="L56" s="135"/>
      <c r="M56" s="135"/>
    </row>
    <row r="57" spans="2:18" x14ac:dyDescent="0.2">
      <c r="B57" s="136"/>
      <c r="C57" s="135"/>
      <c r="D57" s="135"/>
      <c r="E57" s="135"/>
      <c r="F57" s="135"/>
      <c r="G57" s="135"/>
      <c r="H57" s="135"/>
      <c r="I57" s="135"/>
      <c r="J57" s="135"/>
      <c r="K57" s="135"/>
      <c r="L57" s="135"/>
      <c r="M57" s="135"/>
    </row>
    <row r="58" spans="2:18" x14ac:dyDescent="0.2">
      <c r="B58" s="136"/>
      <c r="C58" s="135"/>
      <c r="D58" s="135"/>
      <c r="E58" s="135"/>
      <c r="F58" s="135"/>
      <c r="G58" s="135"/>
      <c r="H58" s="135"/>
      <c r="I58" s="135"/>
      <c r="J58" s="135"/>
      <c r="K58" s="135"/>
      <c r="L58" s="135"/>
      <c r="M58" s="135"/>
    </row>
  </sheetData>
  <mergeCells count="32">
    <mergeCell ref="I20:K20"/>
    <mergeCell ref="B44:H44"/>
    <mergeCell ref="B43:H43"/>
    <mergeCell ref="E2:J2"/>
    <mergeCell ref="B23:G23"/>
    <mergeCell ref="D4:L5"/>
    <mergeCell ref="B5:C5"/>
    <mergeCell ref="L23:L24"/>
    <mergeCell ref="B3:C4"/>
    <mergeCell ref="D3:L3"/>
    <mergeCell ref="K6:L6"/>
    <mergeCell ref="B6:C6"/>
    <mergeCell ref="B24:G24"/>
    <mergeCell ref="B16:C16"/>
    <mergeCell ref="I6:J6"/>
    <mergeCell ref="D6:E6"/>
    <mergeCell ref="F6:H6"/>
    <mergeCell ref="B21:G22"/>
    <mergeCell ref="H21:H22"/>
    <mergeCell ref="F7:G7"/>
    <mergeCell ref="F13:H13"/>
    <mergeCell ref="B54:L54"/>
    <mergeCell ref="I21:K23"/>
    <mergeCell ref="I50:L50"/>
    <mergeCell ref="B45:H45"/>
    <mergeCell ref="B49:H49"/>
    <mergeCell ref="I43:L49"/>
    <mergeCell ref="L21:L22"/>
    <mergeCell ref="B48:H48"/>
    <mergeCell ref="J25:L25"/>
    <mergeCell ref="B46:H46"/>
    <mergeCell ref="B47:H47"/>
  </mergeCells>
  <phoneticPr fontId="0" type="noConversion"/>
  <printOptions horizontalCentered="1" verticalCentered="1"/>
  <pageMargins left="0" right="0" top="0.19685039370078741" bottom="0.19685039370078741" header="0" footer="0"/>
  <pageSetup paperSize="134" scale="65" orientation="landscape" r:id="rId1"/>
  <headerFooter alignWithMargins="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Acuerdo!$A$1:$A$6</xm:f>
          </x14:formula1>
          <xm:sqref>H21:H22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14999847407452621"/>
  </sheetPr>
  <dimension ref="A1:N24"/>
  <sheetViews>
    <sheetView showGridLines="0" workbookViewId="0">
      <selection activeCell="A24" sqref="A24"/>
    </sheetView>
  </sheetViews>
  <sheetFormatPr defaultColWidth="11.42578125" defaultRowHeight="12.75" x14ac:dyDescent="0.2"/>
  <sheetData>
    <row r="1" spans="1:14" x14ac:dyDescent="0.2">
      <c r="A1" s="133" t="s">
        <v>179</v>
      </c>
      <c r="G1" s="133" t="s">
        <v>180</v>
      </c>
      <c r="N1" s="133" t="s">
        <v>181</v>
      </c>
    </row>
    <row r="2" spans="1:14" x14ac:dyDescent="0.2">
      <c r="A2" s="88" t="s">
        <v>182</v>
      </c>
      <c r="G2" s="88" t="s">
        <v>183</v>
      </c>
      <c r="N2" s="88" t="s">
        <v>184</v>
      </c>
    </row>
    <row r="23" spans="1:1" x14ac:dyDescent="0.2">
      <c r="A23" s="88" t="s">
        <v>185</v>
      </c>
    </row>
    <row r="24" spans="1:1" x14ac:dyDescent="0.2">
      <c r="A24" s="133" t="s">
        <v>186</v>
      </c>
    </row>
  </sheetData>
  <hyperlinks>
    <hyperlink ref="A1" r:id="rId1" xr:uid="{00000000-0004-0000-0100-000000000000}"/>
    <hyperlink ref="G1" r:id="rId2" xr:uid="{00000000-0004-0000-0100-000001000000}"/>
    <hyperlink ref="A24" r:id="rId3" xr:uid="{00000000-0004-0000-0100-000002000000}"/>
    <hyperlink ref="N1" r:id="rId4" xr:uid="{00000000-0004-0000-0100-000003000000}"/>
  </hyperlink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F169"/>
  <sheetViews>
    <sheetView showGridLines="0" zoomScale="85" zoomScaleNormal="85" workbookViewId="0">
      <selection activeCell="G59" sqref="G59"/>
    </sheetView>
  </sheetViews>
  <sheetFormatPr defaultColWidth="11.42578125" defaultRowHeight="12.75" x14ac:dyDescent="0.2"/>
  <cols>
    <col min="1" max="1" width="21.28515625" bestFit="1" customWidth="1"/>
    <col min="2" max="5" width="22.85546875" customWidth="1"/>
  </cols>
  <sheetData>
    <row r="1" spans="1:5" ht="5.25" customHeight="1" thickBot="1" x14ac:dyDescent="0.25"/>
    <row r="2" spans="1:5" ht="12.75" customHeight="1" x14ac:dyDescent="0.2">
      <c r="A2" s="345" t="s">
        <v>205</v>
      </c>
      <c r="B2" s="141" t="s">
        <v>230</v>
      </c>
      <c r="C2" s="141" t="s">
        <v>225</v>
      </c>
      <c r="D2" s="141" t="s">
        <v>229</v>
      </c>
      <c r="E2" s="141" t="s">
        <v>231</v>
      </c>
    </row>
    <row r="3" spans="1:5" ht="15" x14ac:dyDescent="0.2">
      <c r="A3" s="346"/>
      <c r="B3" s="142" t="s">
        <v>227</v>
      </c>
      <c r="C3" s="142" t="s">
        <v>224</v>
      </c>
      <c r="D3" s="142" t="s">
        <v>228</v>
      </c>
      <c r="E3" s="142" t="s">
        <v>428</v>
      </c>
    </row>
    <row r="4" spans="1:5" ht="15.6" customHeight="1" x14ac:dyDescent="0.2">
      <c r="A4" s="143" t="s">
        <v>9</v>
      </c>
      <c r="B4" s="165">
        <f>OP!C38*1000000</f>
        <v>5284900000</v>
      </c>
      <c r="C4" s="165">
        <f>566000*1000</f>
        <v>566000000</v>
      </c>
      <c r="D4" s="165">
        <f>919000*1000</f>
        <v>919000000</v>
      </c>
      <c r="E4" s="165">
        <f>992000*1000</f>
        <v>992000000</v>
      </c>
    </row>
    <row r="5" spans="1:5" ht="15.6" customHeight="1" x14ac:dyDescent="0.2">
      <c r="A5" s="164" t="s">
        <v>239</v>
      </c>
      <c r="B5" s="281">
        <f>(OP!C38-OP!C37)/OP!C37</f>
        <v>-4.6321501300618434E-2</v>
      </c>
      <c r="C5" s="281">
        <f>C4/696000000 -1</f>
        <v>-0.18678160919540232</v>
      </c>
      <c r="D5" s="281">
        <f>D4/935000000-1</f>
        <v>-1.7112299465240621E-2</v>
      </c>
      <c r="E5" s="281">
        <f>E4/1314000000-1</f>
        <v>-0.24505327245053277</v>
      </c>
    </row>
    <row r="6" spans="1:5" ht="15.6" customHeight="1" x14ac:dyDescent="0.2">
      <c r="A6" s="164" t="s">
        <v>427</v>
      </c>
      <c r="B6" s="281">
        <f>OP!C39</f>
        <v>0.13072692476822034</v>
      </c>
      <c r="C6" s="281">
        <f>(C29/C30-1)/5</f>
        <v>0.13027275610529654</v>
      </c>
      <c r="D6" s="281">
        <f>(D29/D30-1)/5</f>
        <v>0.1574427960774453</v>
      </c>
      <c r="E6" s="281">
        <f>(E29/E30-1)/5</f>
        <v>5.4721681189133786E-2</v>
      </c>
    </row>
    <row r="7" spans="1:5" ht="15.6" hidden="1" customHeight="1" x14ac:dyDescent="0.2">
      <c r="A7" s="143" t="s">
        <v>17</v>
      </c>
      <c r="B7" s="282">
        <v>122278</v>
      </c>
      <c r="C7" s="282">
        <v>82110</v>
      </c>
      <c r="D7" s="282">
        <v>26772</v>
      </c>
      <c r="E7" s="283">
        <v>100504</v>
      </c>
    </row>
    <row r="8" spans="1:5" ht="15.6" hidden="1" customHeight="1" x14ac:dyDescent="0.2">
      <c r="A8" s="143" t="s">
        <v>126</v>
      </c>
      <c r="B8" s="282">
        <v>323888</v>
      </c>
      <c r="C8" s="282">
        <v>301311</v>
      </c>
      <c r="D8" s="282">
        <v>319616</v>
      </c>
      <c r="E8" s="283">
        <v>321195</v>
      </c>
    </row>
    <row r="9" spans="1:5" ht="15.6" customHeight="1" x14ac:dyDescent="0.2">
      <c r="A9" s="143" t="s">
        <v>125</v>
      </c>
      <c r="B9" s="284">
        <f>OP!C10/OP!E7</f>
        <v>0.36172695449241538</v>
      </c>
      <c r="C9" s="284">
        <f>39.89%</f>
        <v>0.39890000000000003</v>
      </c>
      <c r="D9" s="284">
        <f>16.45%</f>
        <v>0.16449999999999998</v>
      </c>
      <c r="E9" s="284">
        <v>0.33700000000000002</v>
      </c>
    </row>
    <row r="10" spans="1:5" ht="15.6" customHeight="1" x14ac:dyDescent="0.2">
      <c r="A10" s="143" t="s">
        <v>173</v>
      </c>
      <c r="B10" s="284">
        <f>OP!C10/OP!J11</f>
        <v>1.8245490126835584</v>
      </c>
      <c r="C10" s="284">
        <f>4.34</f>
        <v>4.34</v>
      </c>
      <c r="D10" s="284">
        <v>0.77</v>
      </c>
      <c r="E10" s="284">
        <v>4.05</v>
      </c>
    </row>
    <row r="11" spans="1:5" ht="15.6" customHeight="1" x14ac:dyDescent="0.2">
      <c r="A11" s="143" t="s">
        <v>165</v>
      </c>
      <c r="B11" s="6">
        <f>OP!I37/OP!C37</f>
        <v>1.2920467843644291E-2</v>
      </c>
      <c r="C11" s="145">
        <f>(32000000)/C4</f>
        <v>5.6537102473498232E-2</v>
      </c>
      <c r="D11" s="145">
        <f>(57000000)/D4</f>
        <v>6.2023939064200215E-2</v>
      </c>
      <c r="E11" s="167">
        <f>26000000/E4</f>
        <v>2.620967741935484E-2</v>
      </c>
    </row>
    <row r="12" spans="1:5" ht="15.6" customHeight="1" x14ac:dyDescent="0.2">
      <c r="A12" s="143" t="s">
        <v>188</v>
      </c>
      <c r="B12" s="281">
        <v>0.11700000000000001</v>
      </c>
      <c r="C12" s="281">
        <v>1.3299999999999999E-2</v>
      </c>
      <c r="D12" s="281">
        <v>0.1211</v>
      </c>
      <c r="E12" s="281">
        <v>2.7699999999999999E-2</v>
      </c>
    </row>
    <row r="13" spans="1:5" ht="15.6" customHeight="1" x14ac:dyDescent="0.2">
      <c r="A13" s="143" t="s">
        <v>189</v>
      </c>
      <c r="B13" s="281">
        <v>0.1804</v>
      </c>
      <c r="C13" s="281">
        <v>4.3499999999999997E-2</v>
      </c>
      <c r="D13" s="281">
        <v>0.15229999999999999</v>
      </c>
      <c r="E13" s="281">
        <v>5.8200000000000002E-2</v>
      </c>
    </row>
    <row r="14" spans="1:5" ht="15.6" customHeight="1" x14ac:dyDescent="0.2">
      <c r="A14" s="143" t="s">
        <v>429</v>
      </c>
      <c r="B14" s="281">
        <f>OP!D36</f>
        <v>0.16600000000000001</v>
      </c>
      <c r="C14" s="281">
        <v>2.8500000000000001E-2</v>
      </c>
      <c r="D14" s="281">
        <v>0.1143</v>
      </c>
      <c r="E14" s="281">
        <v>0.17660000000000001</v>
      </c>
    </row>
    <row r="15" spans="1:5" ht="15.6" customHeight="1" x14ac:dyDescent="0.2">
      <c r="A15" s="164" t="s">
        <v>238</v>
      </c>
      <c r="B15" s="281">
        <v>0.1231</v>
      </c>
      <c r="C15" s="281">
        <v>4.3499999999999997E-2</v>
      </c>
      <c r="D15" s="281">
        <v>0.12039999999999999</v>
      </c>
      <c r="E15" s="281">
        <v>0.18720000000000001</v>
      </c>
    </row>
    <row r="16" spans="1:5" ht="15.6" customHeight="1" x14ac:dyDescent="0.2">
      <c r="A16" s="143" t="s">
        <v>164</v>
      </c>
      <c r="B16" s="281">
        <f>OP!L7</f>
        <v>0.96820809248554918</v>
      </c>
      <c r="C16" s="281">
        <f>40.21/115.78</f>
        <v>0.34729659699429954</v>
      </c>
      <c r="D16" s="281">
        <f>19.21/20.93</f>
        <v>0.91782130912565696</v>
      </c>
      <c r="E16" s="281">
        <f>214.52/215.91</f>
        <v>0.99356213236996904</v>
      </c>
    </row>
    <row r="17" spans="1:6" ht="15.6" customHeight="1" x14ac:dyDescent="0.2">
      <c r="A17" s="146" t="s">
        <v>190</v>
      </c>
      <c r="B17" s="5">
        <f>OP!L9</f>
        <v>1.01</v>
      </c>
      <c r="C17" s="166">
        <v>1.88</v>
      </c>
      <c r="D17" s="166">
        <v>0.91</v>
      </c>
      <c r="E17" s="285">
        <v>1.17</v>
      </c>
    </row>
    <row r="18" spans="1:6" ht="15.6" customHeight="1" x14ac:dyDescent="0.2">
      <c r="A18" s="143" t="s">
        <v>191</v>
      </c>
      <c r="B18" s="284">
        <v>29.01</v>
      </c>
      <c r="C18" s="284">
        <v>0</v>
      </c>
      <c r="D18" s="284">
        <v>2.42</v>
      </c>
      <c r="E18" s="284">
        <f>2.92</f>
        <v>2.92</v>
      </c>
    </row>
    <row r="19" spans="1:6" ht="15.6" customHeight="1" x14ac:dyDescent="0.2">
      <c r="A19" s="164" t="s">
        <v>206</v>
      </c>
      <c r="B19" s="284">
        <v>2.44</v>
      </c>
      <c r="C19" s="284">
        <f>302000000/C4</f>
        <v>0.53356890459363959</v>
      </c>
      <c r="D19" s="284">
        <v>1.74</v>
      </c>
      <c r="E19" s="284">
        <v>30.18</v>
      </c>
    </row>
    <row r="20" spans="1:6" ht="15.6" customHeight="1" x14ac:dyDescent="0.2">
      <c r="A20" s="143" t="s">
        <v>47</v>
      </c>
      <c r="B20" s="284">
        <f>OP!C12/OP!E7</f>
        <v>4.0173957409568262</v>
      </c>
      <c r="C20" s="284">
        <f>537/835</f>
        <v>0.64311377245508983</v>
      </c>
      <c r="D20" s="284">
        <f>2436/707</f>
        <v>3.4455445544554455</v>
      </c>
      <c r="E20" s="284">
        <f>3866/2946</f>
        <v>1.3122878479293958</v>
      </c>
    </row>
    <row r="21" spans="1:6" ht="15.6" customHeight="1" x14ac:dyDescent="0.2">
      <c r="A21" s="143" t="s">
        <v>192</v>
      </c>
      <c r="B21" s="284">
        <f>OP!C12/OP!J11</f>
        <v>20.263724728524764</v>
      </c>
      <c r="C21" s="284">
        <f>532/75</f>
        <v>7.0933333333333337</v>
      </c>
      <c r="D21" s="284">
        <v>15.92</v>
      </c>
      <c r="E21" s="284">
        <v>15.51</v>
      </c>
    </row>
    <row r="22" spans="1:6" ht="15.6" customHeight="1" thickBot="1" x14ac:dyDescent="0.25">
      <c r="A22" s="144" t="s">
        <v>60</v>
      </c>
      <c r="B22" s="281">
        <f>OP!L19</f>
        <v>1.4199999999999999E-2</v>
      </c>
      <c r="C22" s="281">
        <v>0</v>
      </c>
      <c r="D22" s="281">
        <v>8.2000000000000007E-3</v>
      </c>
      <c r="E22" s="281">
        <v>0</v>
      </c>
    </row>
    <row r="24" spans="1:6" x14ac:dyDescent="0.2">
      <c r="B24" s="46" t="s">
        <v>108</v>
      </c>
    </row>
    <row r="25" spans="1:6" x14ac:dyDescent="0.2">
      <c r="B25" s="46" t="s">
        <v>168</v>
      </c>
    </row>
    <row r="26" spans="1:6" ht="20.25" x14ac:dyDescent="0.25">
      <c r="A26" s="173"/>
      <c r="B26" s="174"/>
      <c r="C26" s="174"/>
      <c r="D26" s="174"/>
      <c r="E26" s="174"/>
      <c r="F26" s="175"/>
    </row>
    <row r="27" spans="1:6" ht="20.25" x14ac:dyDescent="0.2">
      <c r="A27" s="46" t="s">
        <v>211</v>
      </c>
      <c r="B27" s="176"/>
      <c r="C27" s="174"/>
      <c r="D27" s="174"/>
      <c r="E27" s="175"/>
      <c r="F27" s="175"/>
    </row>
    <row r="28" spans="1:6" ht="20.25" x14ac:dyDescent="0.25">
      <c r="A28" s="246"/>
      <c r="B28" s="247"/>
      <c r="C28" s="247"/>
      <c r="D28" s="247"/>
      <c r="E28" s="247"/>
      <c r="F28" s="175"/>
    </row>
    <row r="29" spans="1:6" ht="15.75" x14ac:dyDescent="0.2">
      <c r="A29" s="248" t="s">
        <v>425</v>
      </c>
      <c r="B29" s="248"/>
      <c r="C29" s="248">
        <v>270751</v>
      </c>
      <c r="D29" s="249">
        <v>255879</v>
      </c>
      <c r="E29" s="249">
        <v>496962</v>
      </c>
    </row>
    <row r="30" spans="1:6" ht="15.75" x14ac:dyDescent="0.2">
      <c r="A30" s="248" t="s">
        <v>426</v>
      </c>
      <c r="B30" s="248"/>
      <c r="C30" s="248">
        <v>163956</v>
      </c>
      <c r="D30" s="248">
        <v>143172</v>
      </c>
      <c r="E30" s="249">
        <v>390200</v>
      </c>
    </row>
    <row r="31" spans="1:6" ht="15.75" x14ac:dyDescent="0.25">
      <c r="A31" s="250" t="s">
        <v>253</v>
      </c>
      <c r="B31" s="251"/>
      <c r="C31" s="252">
        <v>314847</v>
      </c>
      <c r="D31" s="252">
        <v>251120</v>
      </c>
      <c r="E31" s="252">
        <v>493679</v>
      </c>
      <c r="F31" s="175"/>
    </row>
    <row r="32" spans="1:6" ht="15.75" x14ac:dyDescent="0.25">
      <c r="A32" s="246"/>
      <c r="B32" s="253"/>
      <c r="C32" s="253"/>
      <c r="D32" s="254"/>
      <c r="E32" s="255"/>
      <c r="F32" s="175"/>
    </row>
    <row r="33" spans="1:6" x14ac:dyDescent="0.2">
      <c r="A33" s="175"/>
      <c r="B33" s="175"/>
      <c r="C33" s="175"/>
      <c r="D33" s="175"/>
      <c r="E33" s="175"/>
      <c r="F33" s="175"/>
    </row>
    <row r="34" spans="1:6" x14ac:dyDescent="0.2">
      <c r="A34" s="175"/>
      <c r="B34" s="175"/>
      <c r="C34" s="175"/>
      <c r="D34" s="175"/>
      <c r="E34" s="175"/>
      <c r="F34" s="175"/>
    </row>
    <row r="35" spans="1:6" x14ac:dyDescent="0.2">
      <c r="A35" s="175"/>
      <c r="B35" s="175"/>
      <c r="C35" s="175"/>
      <c r="D35" s="175"/>
      <c r="E35" s="175"/>
      <c r="F35" s="175"/>
    </row>
    <row r="36" spans="1:6" x14ac:dyDescent="0.2">
      <c r="A36" s="175"/>
      <c r="B36" s="175"/>
      <c r="C36" s="175"/>
      <c r="D36" s="175"/>
      <c r="E36" s="175"/>
      <c r="F36" s="175"/>
    </row>
    <row r="37" spans="1:6" x14ac:dyDescent="0.2">
      <c r="A37" s="175"/>
      <c r="B37" s="175"/>
      <c r="C37" s="175"/>
      <c r="D37" s="175"/>
      <c r="E37" s="175"/>
      <c r="F37" s="175"/>
    </row>
    <row r="38" spans="1:6" x14ac:dyDescent="0.2">
      <c r="A38" s="175"/>
      <c r="B38" s="175"/>
      <c r="C38" s="175"/>
      <c r="D38" s="175"/>
      <c r="E38" s="175"/>
      <c r="F38" s="175"/>
    </row>
    <row r="39" spans="1:6" x14ac:dyDescent="0.2">
      <c r="A39" s="175"/>
      <c r="B39" s="175"/>
      <c r="C39" s="175"/>
      <c r="D39" s="175"/>
      <c r="E39" s="175"/>
      <c r="F39" s="175"/>
    </row>
    <row r="40" spans="1:6" x14ac:dyDescent="0.2">
      <c r="A40" s="175"/>
      <c r="B40" s="175"/>
      <c r="C40" s="175"/>
      <c r="D40" s="175"/>
      <c r="E40" s="175"/>
      <c r="F40" s="175"/>
    </row>
    <row r="41" spans="1:6" x14ac:dyDescent="0.2">
      <c r="A41" s="175"/>
      <c r="B41" s="175"/>
      <c r="C41" s="175"/>
      <c r="D41" s="175"/>
      <c r="E41" s="175"/>
      <c r="F41" s="175"/>
    </row>
    <row r="42" spans="1:6" x14ac:dyDescent="0.2">
      <c r="A42" s="175"/>
      <c r="B42" s="175"/>
      <c r="C42" s="175"/>
      <c r="D42" s="175"/>
      <c r="E42" s="175"/>
      <c r="F42" s="175"/>
    </row>
    <row r="43" spans="1:6" x14ac:dyDescent="0.2">
      <c r="A43" s="175"/>
      <c r="B43" s="175"/>
      <c r="C43" s="175"/>
      <c r="D43" s="175"/>
      <c r="E43" s="175"/>
      <c r="F43" s="175"/>
    </row>
    <row r="44" spans="1:6" x14ac:dyDescent="0.2">
      <c r="A44" s="175"/>
      <c r="B44" s="175"/>
      <c r="C44" s="175"/>
      <c r="D44" s="175"/>
      <c r="E44" s="175"/>
      <c r="F44" s="175"/>
    </row>
    <row r="45" spans="1:6" x14ac:dyDescent="0.2">
      <c r="A45" s="175"/>
      <c r="B45" s="175"/>
      <c r="C45" s="175"/>
      <c r="D45" s="175"/>
      <c r="E45" s="175"/>
      <c r="F45" s="175"/>
    </row>
    <row r="46" spans="1:6" x14ac:dyDescent="0.2">
      <c r="A46" s="175"/>
      <c r="B46" s="175"/>
      <c r="C46" s="175"/>
      <c r="D46" s="175"/>
      <c r="E46" s="175"/>
      <c r="F46" s="175"/>
    </row>
    <row r="47" spans="1:6" x14ac:dyDescent="0.2">
      <c r="A47" s="175"/>
      <c r="B47" s="175"/>
      <c r="C47" s="175"/>
      <c r="D47" s="175"/>
      <c r="E47" s="175"/>
      <c r="F47" s="175"/>
    </row>
    <row r="48" spans="1:6" x14ac:dyDescent="0.2">
      <c r="A48" s="175"/>
      <c r="B48" s="175"/>
      <c r="C48" s="175"/>
      <c r="D48" s="175"/>
      <c r="E48" s="175"/>
      <c r="F48" s="175"/>
    </row>
    <row r="49" spans="1:6" x14ac:dyDescent="0.2">
      <c r="A49" s="175"/>
      <c r="B49" s="175"/>
      <c r="C49" s="175"/>
      <c r="D49" s="175"/>
      <c r="E49" s="175"/>
      <c r="F49" s="175"/>
    </row>
    <row r="50" spans="1:6" x14ac:dyDescent="0.2">
      <c r="A50" s="175"/>
      <c r="B50" s="175"/>
      <c r="C50" s="175"/>
      <c r="D50" s="175"/>
      <c r="E50" s="175"/>
      <c r="F50" s="175"/>
    </row>
    <row r="51" spans="1:6" x14ac:dyDescent="0.2">
      <c r="A51" s="175"/>
      <c r="B51" s="175"/>
      <c r="C51" s="175"/>
      <c r="D51" s="175"/>
      <c r="E51" s="175"/>
      <c r="F51" s="175"/>
    </row>
    <row r="52" spans="1:6" x14ac:dyDescent="0.2">
      <c r="A52" s="175"/>
      <c r="B52" s="175"/>
      <c r="C52" s="175"/>
      <c r="D52" s="175"/>
      <c r="E52" s="175"/>
      <c r="F52" s="175"/>
    </row>
    <row r="53" spans="1:6" x14ac:dyDescent="0.2">
      <c r="A53" s="175"/>
      <c r="B53" s="175"/>
      <c r="C53" s="175"/>
      <c r="D53" s="175"/>
      <c r="E53" s="175"/>
      <c r="F53" s="175"/>
    </row>
    <row r="54" spans="1:6" x14ac:dyDescent="0.2">
      <c r="A54" s="175"/>
      <c r="B54" s="175"/>
      <c r="C54" s="175"/>
      <c r="D54" s="175"/>
      <c r="E54" s="175"/>
      <c r="F54" s="175"/>
    </row>
    <row r="55" spans="1:6" x14ac:dyDescent="0.2">
      <c r="A55" s="175"/>
      <c r="B55" s="175"/>
      <c r="C55" s="175"/>
      <c r="D55" s="175"/>
      <c r="E55" s="175"/>
      <c r="F55" s="175"/>
    </row>
    <row r="56" spans="1:6" x14ac:dyDescent="0.2">
      <c r="A56" s="175"/>
      <c r="B56" s="175"/>
      <c r="C56" s="175"/>
      <c r="D56" s="175"/>
      <c r="E56" s="175"/>
      <c r="F56" s="175"/>
    </row>
    <row r="57" spans="1:6" x14ac:dyDescent="0.2">
      <c r="A57" s="175"/>
      <c r="B57" s="175"/>
      <c r="C57" s="175"/>
      <c r="D57" s="175"/>
      <c r="E57" s="175"/>
      <c r="F57" s="175"/>
    </row>
    <row r="58" spans="1:6" x14ac:dyDescent="0.2">
      <c r="A58" s="175"/>
      <c r="B58" s="175"/>
      <c r="C58" s="175"/>
      <c r="D58" s="175"/>
      <c r="E58" s="175"/>
      <c r="F58" s="175"/>
    </row>
    <row r="59" spans="1:6" x14ac:dyDescent="0.2">
      <c r="A59" s="175"/>
      <c r="B59" s="175"/>
      <c r="C59" s="175"/>
      <c r="D59" s="175"/>
      <c r="E59" s="175"/>
      <c r="F59" s="175"/>
    </row>
    <row r="60" spans="1:6" x14ac:dyDescent="0.2">
      <c r="A60" s="175"/>
      <c r="B60" s="175"/>
      <c r="C60" s="175"/>
      <c r="D60" s="175"/>
      <c r="E60" s="175"/>
      <c r="F60" s="175"/>
    </row>
    <row r="61" spans="1:6" x14ac:dyDescent="0.2">
      <c r="A61" s="175"/>
      <c r="B61" s="175"/>
      <c r="C61" s="175"/>
      <c r="D61" s="175"/>
      <c r="E61" s="175"/>
      <c r="F61" s="175"/>
    </row>
    <row r="62" spans="1:6" x14ac:dyDescent="0.2">
      <c r="A62" s="175"/>
      <c r="B62" s="175"/>
      <c r="C62" s="175"/>
      <c r="D62" s="175"/>
      <c r="E62" s="175"/>
      <c r="F62" s="175"/>
    </row>
    <row r="63" spans="1:6" x14ac:dyDescent="0.2">
      <c r="A63" s="175"/>
      <c r="B63" s="175"/>
      <c r="C63" s="175"/>
      <c r="D63" s="175"/>
      <c r="E63" s="175"/>
      <c r="F63" s="175"/>
    </row>
    <row r="64" spans="1:6" x14ac:dyDescent="0.2">
      <c r="A64" s="175"/>
      <c r="B64" s="175"/>
      <c r="C64" s="175"/>
      <c r="D64" s="175"/>
      <c r="E64" s="175"/>
      <c r="F64" s="175"/>
    </row>
    <row r="65" spans="1:6" x14ac:dyDescent="0.2">
      <c r="A65" s="175"/>
      <c r="B65" s="175"/>
      <c r="C65" s="175"/>
      <c r="D65" s="175"/>
      <c r="E65" s="175"/>
      <c r="F65" s="175"/>
    </row>
    <row r="66" spans="1:6" x14ac:dyDescent="0.2">
      <c r="A66" s="175"/>
      <c r="B66" s="175"/>
      <c r="C66" s="175"/>
      <c r="D66" s="175"/>
      <c r="E66" s="175"/>
      <c r="F66" s="175"/>
    </row>
    <row r="67" spans="1:6" x14ac:dyDescent="0.2">
      <c r="A67" s="175"/>
      <c r="B67" s="175"/>
      <c r="C67" s="175"/>
      <c r="D67" s="175"/>
      <c r="E67" s="175"/>
      <c r="F67" s="175"/>
    </row>
    <row r="68" spans="1:6" x14ac:dyDescent="0.2">
      <c r="A68" s="175"/>
      <c r="B68" s="175"/>
      <c r="C68" s="175"/>
      <c r="D68" s="175"/>
      <c r="E68" s="175"/>
      <c r="F68" s="175"/>
    </row>
    <row r="69" spans="1:6" x14ac:dyDescent="0.2">
      <c r="A69" s="175"/>
      <c r="B69" s="175"/>
      <c r="C69" s="175"/>
      <c r="D69" s="175"/>
      <c r="E69" s="175"/>
      <c r="F69" s="175"/>
    </row>
    <row r="70" spans="1:6" x14ac:dyDescent="0.2">
      <c r="A70" s="175"/>
      <c r="B70" s="175"/>
      <c r="C70" s="175"/>
      <c r="D70" s="175"/>
      <c r="E70" s="175"/>
      <c r="F70" s="175"/>
    </row>
    <row r="71" spans="1:6" x14ac:dyDescent="0.2">
      <c r="A71" s="175"/>
      <c r="B71" s="175"/>
      <c r="C71" s="175"/>
      <c r="D71" s="175"/>
      <c r="E71" s="175"/>
      <c r="F71" s="175"/>
    </row>
    <row r="72" spans="1:6" x14ac:dyDescent="0.2">
      <c r="A72" s="175"/>
      <c r="B72" s="175"/>
      <c r="C72" s="175"/>
      <c r="D72" s="175"/>
      <c r="E72" s="175"/>
      <c r="F72" s="175"/>
    </row>
    <row r="73" spans="1:6" x14ac:dyDescent="0.2">
      <c r="A73" s="175"/>
      <c r="B73" s="175"/>
      <c r="C73" s="175"/>
      <c r="D73" s="175"/>
      <c r="E73" s="175"/>
      <c r="F73" s="175"/>
    </row>
    <row r="74" spans="1:6" x14ac:dyDescent="0.2">
      <c r="A74" s="175"/>
      <c r="B74" s="175"/>
      <c r="C74" s="175"/>
      <c r="D74" s="175"/>
      <c r="E74" s="175"/>
      <c r="F74" s="175"/>
    </row>
    <row r="75" spans="1:6" x14ac:dyDescent="0.2">
      <c r="A75" s="175"/>
      <c r="B75" s="175"/>
      <c r="C75" s="175"/>
      <c r="D75" s="175"/>
      <c r="E75" s="175"/>
      <c r="F75" s="175"/>
    </row>
    <row r="76" spans="1:6" x14ac:dyDescent="0.2">
      <c r="A76" s="175"/>
      <c r="B76" s="175"/>
      <c r="C76" s="175"/>
      <c r="D76" s="175"/>
      <c r="E76" s="175"/>
      <c r="F76" s="175"/>
    </row>
    <row r="77" spans="1:6" x14ac:dyDescent="0.2">
      <c r="A77" s="175"/>
      <c r="B77" s="175"/>
      <c r="C77" s="175"/>
      <c r="D77" s="175"/>
      <c r="E77" s="175"/>
      <c r="F77" s="175"/>
    </row>
    <row r="78" spans="1:6" x14ac:dyDescent="0.2">
      <c r="A78" s="175"/>
      <c r="B78" s="175"/>
      <c r="C78" s="175"/>
      <c r="D78" s="175"/>
      <c r="E78" s="175"/>
      <c r="F78" s="175"/>
    </row>
    <row r="79" spans="1:6" x14ac:dyDescent="0.2">
      <c r="A79" s="175"/>
      <c r="B79" s="175"/>
      <c r="C79" s="175"/>
      <c r="D79" s="175"/>
      <c r="E79" s="175"/>
      <c r="F79" s="175"/>
    </row>
    <row r="80" spans="1:6" x14ac:dyDescent="0.2">
      <c r="A80" s="175"/>
      <c r="B80" s="175"/>
      <c r="C80" s="175"/>
      <c r="D80" s="175"/>
      <c r="E80" s="175"/>
      <c r="F80" s="175"/>
    </row>
    <row r="81" spans="1:6" x14ac:dyDescent="0.2">
      <c r="A81" s="175"/>
      <c r="B81" s="175"/>
      <c r="C81" s="175"/>
      <c r="D81" s="175"/>
      <c r="E81" s="175"/>
      <c r="F81" s="175"/>
    </row>
    <row r="82" spans="1:6" x14ac:dyDescent="0.2">
      <c r="A82" s="175"/>
      <c r="B82" s="175"/>
      <c r="C82" s="175"/>
      <c r="D82" s="175"/>
      <c r="E82" s="175"/>
      <c r="F82" s="175"/>
    </row>
    <row r="83" spans="1:6" x14ac:dyDescent="0.2">
      <c r="A83" s="175"/>
      <c r="B83" s="175"/>
      <c r="C83" s="175"/>
      <c r="D83" s="175"/>
      <c r="E83" s="175"/>
      <c r="F83" s="175"/>
    </row>
    <row r="84" spans="1:6" x14ac:dyDescent="0.2">
      <c r="A84" s="175"/>
      <c r="B84" s="175"/>
      <c r="C84" s="175"/>
      <c r="D84" s="175"/>
      <c r="E84" s="175"/>
      <c r="F84" s="175"/>
    </row>
    <row r="85" spans="1:6" x14ac:dyDescent="0.2">
      <c r="A85" s="175"/>
      <c r="B85" s="175"/>
      <c r="C85" s="175"/>
      <c r="D85" s="175"/>
      <c r="E85" s="175"/>
      <c r="F85" s="175"/>
    </row>
    <row r="86" spans="1:6" x14ac:dyDescent="0.2">
      <c r="A86" s="175"/>
      <c r="B86" s="175"/>
      <c r="C86" s="175"/>
      <c r="D86" s="175"/>
      <c r="E86" s="175"/>
      <c r="F86" s="175"/>
    </row>
    <row r="87" spans="1:6" x14ac:dyDescent="0.2">
      <c r="A87" s="175"/>
      <c r="B87" s="175"/>
      <c r="C87" s="175"/>
      <c r="D87" s="175"/>
      <c r="E87" s="175"/>
      <c r="F87" s="175"/>
    </row>
    <row r="88" spans="1:6" x14ac:dyDescent="0.2">
      <c r="A88" s="175"/>
      <c r="B88" s="175"/>
      <c r="C88" s="175"/>
      <c r="D88" s="175"/>
      <c r="E88" s="175"/>
      <c r="F88" s="175"/>
    </row>
    <row r="89" spans="1:6" x14ac:dyDescent="0.2">
      <c r="A89" s="175"/>
      <c r="B89" s="175"/>
      <c r="C89" s="175"/>
      <c r="D89" s="175"/>
      <c r="E89" s="175"/>
      <c r="F89" s="175"/>
    </row>
    <row r="90" spans="1:6" x14ac:dyDescent="0.2">
      <c r="A90" s="175"/>
      <c r="B90" s="175"/>
      <c r="C90" s="175"/>
      <c r="D90" s="175"/>
      <c r="E90" s="175"/>
      <c r="F90" s="175"/>
    </row>
    <row r="91" spans="1:6" x14ac:dyDescent="0.2">
      <c r="A91" s="175"/>
      <c r="B91" s="175"/>
      <c r="C91" s="175"/>
      <c r="D91" s="175"/>
      <c r="E91" s="175"/>
      <c r="F91" s="175"/>
    </row>
    <row r="92" spans="1:6" x14ac:dyDescent="0.2">
      <c r="A92" s="175"/>
      <c r="B92" s="175"/>
      <c r="C92" s="175"/>
      <c r="D92" s="175"/>
      <c r="E92" s="175"/>
      <c r="F92" s="175"/>
    </row>
    <row r="93" spans="1:6" x14ac:dyDescent="0.2">
      <c r="A93" s="175"/>
      <c r="B93" s="175"/>
      <c r="C93" s="175"/>
      <c r="D93" s="175"/>
      <c r="E93" s="175"/>
      <c r="F93" s="175"/>
    </row>
    <row r="94" spans="1:6" x14ac:dyDescent="0.2">
      <c r="A94" s="175"/>
      <c r="B94" s="175"/>
      <c r="C94" s="175"/>
      <c r="D94" s="175"/>
      <c r="E94" s="175"/>
      <c r="F94" s="175"/>
    </row>
    <row r="95" spans="1:6" x14ac:dyDescent="0.2">
      <c r="A95" s="175"/>
      <c r="B95" s="175"/>
      <c r="C95" s="175"/>
      <c r="D95" s="175"/>
      <c r="E95" s="175"/>
      <c r="F95" s="175"/>
    </row>
    <row r="96" spans="1:6" x14ac:dyDescent="0.2">
      <c r="A96" s="175"/>
      <c r="B96" s="175"/>
      <c r="C96" s="175"/>
      <c r="D96" s="175"/>
      <c r="E96" s="175"/>
      <c r="F96" s="175"/>
    </row>
    <row r="97" spans="1:6" x14ac:dyDescent="0.2">
      <c r="A97" s="175"/>
      <c r="B97" s="175"/>
      <c r="C97" s="175"/>
      <c r="D97" s="175"/>
      <c r="E97" s="175"/>
      <c r="F97" s="175"/>
    </row>
    <row r="98" spans="1:6" x14ac:dyDescent="0.2">
      <c r="A98" s="175"/>
      <c r="B98" s="175"/>
      <c r="C98" s="175"/>
      <c r="D98" s="175"/>
      <c r="E98" s="175"/>
      <c r="F98" s="175"/>
    </row>
    <row r="99" spans="1:6" x14ac:dyDescent="0.2">
      <c r="A99" s="175"/>
      <c r="B99" s="175"/>
      <c r="C99" s="175"/>
      <c r="D99" s="175"/>
      <c r="E99" s="175"/>
      <c r="F99" s="175"/>
    </row>
    <row r="100" spans="1:6" x14ac:dyDescent="0.2">
      <c r="A100" s="175"/>
      <c r="B100" s="175"/>
      <c r="C100" s="175"/>
      <c r="D100" s="175"/>
      <c r="E100" s="175"/>
      <c r="F100" s="175"/>
    </row>
    <row r="101" spans="1:6" x14ac:dyDescent="0.2">
      <c r="A101" s="175"/>
      <c r="B101" s="175"/>
      <c r="C101" s="175"/>
      <c r="D101" s="175"/>
      <c r="E101" s="175"/>
      <c r="F101" s="175"/>
    </row>
    <row r="102" spans="1:6" x14ac:dyDescent="0.2">
      <c r="A102" s="175"/>
      <c r="B102" s="175"/>
      <c r="C102" s="175"/>
      <c r="D102" s="175"/>
      <c r="E102" s="175"/>
      <c r="F102" s="175"/>
    </row>
    <row r="103" spans="1:6" x14ac:dyDescent="0.2">
      <c r="A103" s="175"/>
      <c r="B103" s="175"/>
      <c r="C103" s="175"/>
      <c r="D103" s="175"/>
      <c r="E103" s="175"/>
      <c r="F103" s="175"/>
    </row>
    <row r="104" spans="1:6" x14ac:dyDescent="0.2">
      <c r="A104" s="175"/>
      <c r="B104" s="175"/>
      <c r="C104" s="175"/>
      <c r="D104" s="175"/>
      <c r="E104" s="175"/>
      <c r="F104" s="175"/>
    </row>
    <row r="105" spans="1:6" x14ac:dyDescent="0.2">
      <c r="A105" s="175"/>
      <c r="B105" s="175"/>
      <c r="C105" s="175"/>
      <c r="D105" s="175"/>
      <c r="E105" s="175"/>
      <c r="F105" s="175"/>
    </row>
    <row r="106" spans="1:6" x14ac:dyDescent="0.2">
      <c r="A106" s="175"/>
      <c r="B106" s="175"/>
      <c r="C106" s="175"/>
      <c r="D106" s="175"/>
      <c r="E106" s="175"/>
      <c r="F106" s="175"/>
    </row>
    <row r="107" spans="1:6" x14ac:dyDescent="0.2">
      <c r="A107" s="175"/>
      <c r="B107" s="175"/>
      <c r="C107" s="175"/>
      <c r="D107" s="175"/>
      <c r="E107" s="175"/>
      <c r="F107" s="175"/>
    </row>
    <row r="108" spans="1:6" x14ac:dyDescent="0.2">
      <c r="A108" s="175"/>
      <c r="B108" s="175"/>
      <c r="C108" s="175"/>
      <c r="D108" s="175"/>
      <c r="E108" s="175"/>
      <c r="F108" s="175"/>
    </row>
    <row r="109" spans="1:6" x14ac:dyDescent="0.2">
      <c r="A109" s="175"/>
      <c r="B109" s="175"/>
      <c r="C109" s="175"/>
      <c r="D109" s="175"/>
      <c r="E109" s="175"/>
      <c r="F109" s="175"/>
    </row>
    <row r="110" spans="1:6" x14ac:dyDescent="0.2">
      <c r="A110" s="175"/>
      <c r="B110" s="175"/>
      <c r="C110" s="175"/>
      <c r="D110" s="175"/>
      <c r="E110" s="175"/>
      <c r="F110" s="175"/>
    </row>
    <row r="111" spans="1:6" x14ac:dyDescent="0.2">
      <c r="A111" s="175"/>
      <c r="B111" s="175"/>
      <c r="C111" s="175"/>
      <c r="D111" s="175"/>
      <c r="E111" s="175"/>
      <c r="F111" s="175"/>
    </row>
    <row r="112" spans="1:6" x14ac:dyDescent="0.2">
      <c r="A112" s="175"/>
      <c r="B112" s="175"/>
      <c r="C112" s="175"/>
      <c r="D112" s="175"/>
      <c r="E112" s="175"/>
      <c r="F112" s="175"/>
    </row>
    <row r="113" spans="1:6" x14ac:dyDescent="0.2">
      <c r="A113" s="175"/>
      <c r="B113" s="175"/>
      <c r="C113" s="175"/>
      <c r="D113" s="175"/>
      <c r="E113" s="175"/>
      <c r="F113" s="175"/>
    </row>
    <row r="114" spans="1:6" x14ac:dyDescent="0.2">
      <c r="A114" s="175"/>
      <c r="B114" s="175"/>
      <c r="C114" s="175"/>
      <c r="D114" s="175"/>
      <c r="E114" s="175"/>
      <c r="F114" s="175"/>
    </row>
    <row r="115" spans="1:6" x14ac:dyDescent="0.2">
      <c r="A115" s="175"/>
      <c r="B115" s="175"/>
      <c r="C115" s="175"/>
      <c r="D115" s="175"/>
      <c r="E115" s="175"/>
      <c r="F115" s="175"/>
    </row>
    <row r="116" spans="1:6" x14ac:dyDescent="0.2">
      <c r="A116" s="175"/>
      <c r="B116" s="175"/>
      <c r="C116" s="175"/>
      <c r="D116" s="175"/>
      <c r="E116" s="175"/>
      <c r="F116" s="175"/>
    </row>
    <row r="117" spans="1:6" x14ac:dyDescent="0.2">
      <c r="A117" s="175"/>
      <c r="B117" s="175"/>
      <c r="C117" s="175"/>
      <c r="D117" s="175"/>
      <c r="E117" s="175"/>
      <c r="F117" s="175"/>
    </row>
    <row r="118" spans="1:6" x14ac:dyDescent="0.2">
      <c r="A118" s="175"/>
      <c r="B118" s="175"/>
      <c r="C118" s="175"/>
      <c r="D118" s="175"/>
      <c r="E118" s="175"/>
      <c r="F118" s="175"/>
    </row>
    <row r="119" spans="1:6" x14ac:dyDescent="0.2">
      <c r="A119" s="175"/>
      <c r="B119" s="175"/>
      <c r="C119" s="175"/>
      <c r="D119" s="175"/>
      <c r="E119" s="175"/>
      <c r="F119" s="175"/>
    </row>
    <row r="120" spans="1:6" x14ac:dyDescent="0.2">
      <c r="A120" s="175"/>
      <c r="B120" s="175"/>
      <c r="C120" s="175"/>
      <c r="D120" s="175"/>
      <c r="E120" s="175"/>
      <c r="F120" s="175"/>
    </row>
    <row r="121" spans="1:6" x14ac:dyDescent="0.2">
      <c r="A121" s="175"/>
      <c r="B121" s="175"/>
      <c r="C121" s="175"/>
      <c r="D121" s="175"/>
      <c r="E121" s="175"/>
      <c r="F121" s="175"/>
    </row>
    <row r="122" spans="1:6" x14ac:dyDescent="0.2">
      <c r="A122" s="175"/>
      <c r="B122" s="175"/>
      <c r="C122" s="175"/>
      <c r="D122" s="175"/>
      <c r="E122" s="175"/>
      <c r="F122" s="175"/>
    </row>
    <row r="123" spans="1:6" x14ac:dyDescent="0.2">
      <c r="A123" s="175"/>
      <c r="B123" s="175"/>
      <c r="C123" s="175"/>
      <c r="D123" s="175"/>
      <c r="E123" s="175"/>
      <c r="F123" s="175"/>
    </row>
    <row r="124" spans="1:6" x14ac:dyDescent="0.2">
      <c r="A124" s="175"/>
      <c r="B124" s="175"/>
      <c r="C124" s="175"/>
      <c r="D124" s="175"/>
      <c r="E124" s="175"/>
      <c r="F124" s="175"/>
    </row>
    <row r="125" spans="1:6" x14ac:dyDescent="0.2">
      <c r="A125" s="175"/>
      <c r="B125" s="175"/>
      <c r="C125" s="175"/>
      <c r="D125" s="175"/>
      <c r="E125" s="175"/>
      <c r="F125" s="175"/>
    </row>
    <row r="126" spans="1:6" x14ac:dyDescent="0.2">
      <c r="A126" s="175"/>
      <c r="B126" s="175"/>
      <c r="C126" s="175"/>
      <c r="D126" s="175"/>
      <c r="E126" s="175"/>
      <c r="F126" s="175"/>
    </row>
    <row r="127" spans="1:6" x14ac:dyDescent="0.2">
      <c r="A127" s="175"/>
      <c r="B127" s="175"/>
      <c r="C127" s="175"/>
      <c r="D127" s="175"/>
      <c r="E127" s="175"/>
      <c r="F127" s="175"/>
    </row>
    <row r="128" spans="1:6" x14ac:dyDescent="0.2">
      <c r="A128" s="175"/>
      <c r="B128" s="175"/>
      <c r="C128" s="175"/>
      <c r="D128" s="175"/>
      <c r="E128" s="175"/>
      <c r="F128" s="175"/>
    </row>
    <row r="129" spans="1:6" x14ac:dyDescent="0.2">
      <c r="A129" s="175"/>
      <c r="B129" s="175"/>
      <c r="C129" s="175"/>
      <c r="D129" s="175"/>
      <c r="E129" s="175"/>
      <c r="F129" s="175"/>
    </row>
    <row r="130" spans="1:6" x14ac:dyDescent="0.2">
      <c r="A130" s="175"/>
      <c r="B130" s="175"/>
      <c r="C130" s="175"/>
      <c r="D130" s="175"/>
      <c r="E130" s="175"/>
      <c r="F130" s="175"/>
    </row>
    <row r="131" spans="1:6" x14ac:dyDescent="0.2">
      <c r="A131" s="175"/>
      <c r="B131" s="175"/>
      <c r="C131" s="175"/>
      <c r="D131" s="175"/>
      <c r="E131" s="175"/>
      <c r="F131" s="175"/>
    </row>
    <row r="132" spans="1:6" x14ac:dyDescent="0.2">
      <c r="A132" s="175"/>
      <c r="B132" s="175"/>
      <c r="C132" s="175"/>
      <c r="D132" s="175"/>
      <c r="E132" s="175"/>
      <c r="F132" s="175"/>
    </row>
    <row r="133" spans="1:6" x14ac:dyDescent="0.2">
      <c r="A133" s="175"/>
      <c r="B133" s="175"/>
      <c r="C133" s="175"/>
      <c r="D133" s="175"/>
      <c r="E133" s="175"/>
      <c r="F133" s="175"/>
    </row>
    <row r="134" spans="1:6" x14ac:dyDescent="0.2">
      <c r="A134" s="175"/>
      <c r="B134" s="175"/>
      <c r="C134" s="175"/>
      <c r="D134" s="175"/>
      <c r="E134" s="175"/>
      <c r="F134" s="175"/>
    </row>
    <row r="135" spans="1:6" x14ac:dyDescent="0.2">
      <c r="A135" s="175"/>
      <c r="B135" s="175"/>
      <c r="C135" s="175"/>
      <c r="D135" s="175"/>
      <c r="E135" s="175"/>
      <c r="F135" s="175"/>
    </row>
    <row r="136" spans="1:6" x14ac:dyDescent="0.2">
      <c r="A136" s="175"/>
      <c r="B136" s="175"/>
      <c r="C136" s="175"/>
      <c r="D136" s="175"/>
      <c r="E136" s="175"/>
      <c r="F136" s="175"/>
    </row>
    <row r="137" spans="1:6" x14ac:dyDescent="0.2">
      <c r="A137" s="175"/>
      <c r="B137" s="175"/>
      <c r="C137" s="175"/>
      <c r="D137" s="175"/>
      <c r="E137" s="175"/>
      <c r="F137" s="175"/>
    </row>
    <row r="138" spans="1:6" x14ac:dyDescent="0.2">
      <c r="A138" s="175"/>
      <c r="B138" s="175"/>
      <c r="C138" s="175"/>
      <c r="D138" s="175"/>
      <c r="E138" s="175"/>
      <c r="F138" s="175"/>
    </row>
    <row r="139" spans="1:6" x14ac:dyDescent="0.2">
      <c r="A139" s="175"/>
      <c r="B139" s="175"/>
      <c r="C139" s="175"/>
      <c r="D139" s="175"/>
      <c r="E139" s="175"/>
      <c r="F139" s="175"/>
    </row>
    <row r="140" spans="1:6" x14ac:dyDescent="0.2">
      <c r="A140" s="175"/>
      <c r="B140" s="175"/>
      <c r="C140" s="175"/>
      <c r="D140" s="175"/>
      <c r="E140" s="175"/>
      <c r="F140" s="175"/>
    </row>
    <row r="141" spans="1:6" x14ac:dyDescent="0.2">
      <c r="A141" s="175"/>
      <c r="B141" s="175"/>
      <c r="C141" s="175"/>
      <c r="D141" s="175"/>
      <c r="E141" s="175"/>
      <c r="F141" s="175"/>
    </row>
    <row r="142" spans="1:6" x14ac:dyDescent="0.2">
      <c r="A142" s="175"/>
      <c r="B142" s="175"/>
      <c r="C142" s="175"/>
      <c r="D142" s="175"/>
      <c r="E142" s="175"/>
      <c r="F142" s="175"/>
    </row>
    <row r="143" spans="1:6" x14ac:dyDescent="0.2">
      <c r="A143" s="175"/>
      <c r="B143" s="175"/>
      <c r="C143" s="175"/>
      <c r="D143" s="175"/>
      <c r="E143" s="175"/>
      <c r="F143" s="175"/>
    </row>
    <row r="144" spans="1:6" x14ac:dyDescent="0.2">
      <c r="A144" s="175"/>
      <c r="B144" s="175"/>
      <c r="C144" s="175"/>
      <c r="D144" s="175"/>
      <c r="E144" s="175"/>
      <c r="F144" s="175"/>
    </row>
    <row r="145" spans="1:6" x14ac:dyDescent="0.2">
      <c r="A145" s="175"/>
      <c r="B145" s="175"/>
      <c r="C145" s="175"/>
      <c r="D145" s="175"/>
      <c r="E145" s="175"/>
      <c r="F145" s="175"/>
    </row>
    <row r="146" spans="1:6" x14ac:dyDescent="0.2">
      <c r="A146" s="175"/>
      <c r="B146" s="175"/>
      <c r="C146" s="175"/>
      <c r="D146" s="175"/>
      <c r="E146" s="175"/>
      <c r="F146" s="175"/>
    </row>
    <row r="147" spans="1:6" x14ac:dyDescent="0.2">
      <c r="A147" s="175"/>
      <c r="B147" s="175"/>
      <c r="C147" s="175"/>
      <c r="D147" s="175"/>
      <c r="E147" s="175"/>
      <c r="F147" s="175"/>
    </row>
    <row r="148" spans="1:6" x14ac:dyDescent="0.2">
      <c r="A148" s="175"/>
      <c r="B148" s="175"/>
      <c r="C148" s="175"/>
      <c r="D148" s="175"/>
      <c r="E148" s="175"/>
      <c r="F148" s="175"/>
    </row>
    <row r="149" spans="1:6" x14ac:dyDescent="0.2">
      <c r="A149" s="175"/>
      <c r="B149" s="175"/>
      <c r="C149" s="175"/>
      <c r="D149" s="175"/>
      <c r="E149" s="175"/>
      <c r="F149" s="175"/>
    </row>
    <row r="150" spans="1:6" x14ac:dyDescent="0.2">
      <c r="A150" s="175"/>
      <c r="B150" s="175"/>
      <c r="C150" s="175"/>
      <c r="D150" s="175"/>
      <c r="E150" s="175"/>
      <c r="F150" s="175"/>
    </row>
    <row r="151" spans="1:6" x14ac:dyDescent="0.2">
      <c r="A151" s="175"/>
      <c r="B151" s="175"/>
      <c r="C151" s="175"/>
      <c r="D151" s="175"/>
      <c r="E151" s="175"/>
      <c r="F151" s="175"/>
    </row>
    <row r="152" spans="1:6" x14ac:dyDescent="0.2">
      <c r="A152" s="175"/>
      <c r="B152" s="175"/>
      <c r="C152" s="175"/>
      <c r="D152" s="175"/>
      <c r="E152" s="175"/>
      <c r="F152" s="175"/>
    </row>
    <row r="153" spans="1:6" x14ac:dyDescent="0.2">
      <c r="A153" s="175"/>
      <c r="B153" s="175"/>
      <c r="C153" s="175"/>
      <c r="D153" s="175"/>
      <c r="E153" s="175"/>
      <c r="F153" s="175"/>
    </row>
    <row r="154" spans="1:6" x14ac:dyDescent="0.2">
      <c r="A154" s="175"/>
      <c r="B154" s="175"/>
      <c r="C154" s="175"/>
      <c r="D154" s="175"/>
      <c r="E154" s="175"/>
      <c r="F154" s="175"/>
    </row>
    <row r="155" spans="1:6" x14ac:dyDescent="0.2">
      <c r="A155" s="175"/>
      <c r="B155" s="175"/>
      <c r="C155" s="175"/>
      <c r="D155" s="175"/>
      <c r="E155" s="175"/>
      <c r="F155" s="175"/>
    </row>
    <row r="156" spans="1:6" x14ac:dyDescent="0.2">
      <c r="A156" s="175"/>
      <c r="B156" s="175"/>
      <c r="C156" s="175"/>
      <c r="D156" s="175"/>
      <c r="E156" s="175"/>
      <c r="F156" s="175"/>
    </row>
    <row r="157" spans="1:6" x14ac:dyDescent="0.2">
      <c r="A157" s="175"/>
      <c r="B157" s="175"/>
      <c r="C157" s="175"/>
      <c r="D157" s="175"/>
      <c r="E157" s="175"/>
      <c r="F157" s="175"/>
    </row>
    <row r="158" spans="1:6" x14ac:dyDescent="0.2">
      <c r="A158" s="175"/>
      <c r="B158" s="175"/>
      <c r="C158" s="175"/>
      <c r="D158" s="175"/>
      <c r="E158" s="175"/>
      <c r="F158" s="175"/>
    </row>
    <row r="159" spans="1:6" x14ac:dyDescent="0.2">
      <c r="A159" s="175"/>
      <c r="B159" s="175"/>
      <c r="C159" s="175"/>
      <c r="D159" s="175"/>
      <c r="E159" s="175"/>
      <c r="F159" s="175"/>
    </row>
    <row r="160" spans="1:6" x14ac:dyDescent="0.2">
      <c r="A160" s="175"/>
      <c r="B160" s="175"/>
      <c r="C160" s="175"/>
      <c r="D160" s="175"/>
      <c r="E160" s="175"/>
      <c r="F160" s="175"/>
    </row>
    <row r="161" spans="1:6" x14ac:dyDescent="0.2">
      <c r="A161" s="175"/>
      <c r="B161" s="175"/>
      <c r="C161" s="175"/>
      <c r="D161" s="175"/>
      <c r="E161" s="175"/>
      <c r="F161" s="175"/>
    </row>
    <row r="162" spans="1:6" x14ac:dyDescent="0.2">
      <c r="A162" s="175"/>
      <c r="B162" s="175"/>
      <c r="C162" s="175"/>
      <c r="D162" s="175"/>
      <c r="E162" s="175"/>
      <c r="F162" s="175"/>
    </row>
    <row r="163" spans="1:6" x14ac:dyDescent="0.2">
      <c r="A163" s="175"/>
      <c r="B163" s="175"/>
      <c r="C163" s="175"/>
      <c r="D163" s="175"/>
      <c r="E163" s="175"/>
      <c r="F163" s="175"/>
    </row>
    <row r="164" spans="1:6" x14ac:dyDescent="0.2">
      <c r="A164" s="175"/>
      <c r="B164" s="175"/>
      <c r="C164" s="175"/>
      <c r="D164" s="175"/>
      <c r="E164" s="175"/>
      <c r="F164" s="175"/>
    </row>
    <row r="165" spans="1:6" x14ac:dyDescent="0.2">
      <c r="A165" s="175"/>
      <c r="B165" s="175"/>
      <c r="C165" s="175"/>
      <c r="D165" s="175"/>
      <c r="E165" s="175"/>
      <c r="F165" s="175"/>
    </row>
    <row r="166" spans="1:6" x14ac:dyDescent="0.2">
      <c r="A166" s="175"/>
      <c r="B166" s="175"/>
      <c r="C166" s="175"/>
      <c r="D166" s="175"/>
      <c r="E166" s="175"/>
      <c r="F166" s="175"/>
    </row>
    <row r="167" spans="1:6" x14ac:dyDescent="0.2">
      <c r="A167" s="175"/>
      <c r="B167" s="175"/>
      <c r="C167" s="175"/>
      <c r="D167" s="175"/>
      <c r="E167" s="175"/>
      <c r="F167" s="175"/>
    </row>
    <row r="168" spans="1:6" x14ac:dyDescent="0.2">
      <c r="A168" s="175"/>
      <c r="B168" s="175"/>
      <c r="C168" s="175"/>
      <c r="D168" s="175"/>
      <c r="E168" s="175"/>
      <c r="F168" s="175"/>
    </row>
    <row r="169" spans="1:6" x14ac:dyDescent="0.2">
      <c r="A169" s="175"/>
      <c r="B169" s="175"/>
      <c r="C169" s="175"/>
      <c r="D169" s="175"/>
      <c r="E169" s="175"/>
      <c r="F169" s="175"/>
    </row>
  </sheetData>
  <mergeCells count="1">
    <mergeCell ref="A2:A3"/>
  </mergeCells>
  <conditionalFormatting sqref="B5:E5">
    <cfRule type="colorScale" priority="44">
      <colorScale>
        <cfvo type="min"/>
        <cfvo type="percentile" val="50"/>
        <cfvo type="max"/>
        <color rgb="FFF8696B"/>
        <color rgb="FFFFEB84"/>
        <color rgb="FF63BE7B"/>
      </colorScale>
    </cfRule>
    <cfRule type="colorScale" priority="12">
      <colorScale>
        <cfvo type="min"/>
        <cfvo type="percentile" val="50"/>
        <cfvo type="max"/>
        <color rgb="FFF8696B"/>
        <color rgb="FFFFEB84"/>
        <color rgb="FFFFFF66"/>
      </colorScale>
    </cfRule>
  </conditionalFormatting>
  <conditionalFormatting sqref="B6:E6">
    <cfRule type="colorScale" priority="43">
      <colorScale>
        <cfvo type="min"/>
        <cfvo type="percentile" val="50"/>
        <cfvo type="max"/>
        <color rgb="FFF8696B"/>
        <color rgb="FFFFEB84"/>
        <color rgb="FF63BE7B"/>
      </colorScale>
    </cfRule>
  </conditionalFormatting>
  <conditionalFormatting sqref="B9:E9">
    <cfRule type="colorScale" priority="1">
      <colorScale>
        <cfvo type="min"/>
        <cfvo type="percentile" val="50"/>
        <cfvo type="max"/>
        <color rgb="FF92D050"/>
        <color rgb="FFFFEB84"/>
        <color rgb="FFFFFF66"/>
      </colorScale>
    </cfRule>
    <cfRule type="colorScale" priority="25">
      <colorScale>
        <cfvo type="min"/>
        <cfvo type="percentile" val="50"/>
        <cfvo type="max"/>
        <color rgb="FF00B050"/>
        <color rgb="FFFFEB84"/>
        <color rgb="FFFF0000"/>
      </colorScale>
    </cfRule>
    <cfRule type="colorScale" priority="15">
      <colorScale>
        <cfvo type="min"/>
        <cfvo type="percentile" val="50"/>
        <cfvo type="max"/>
        <color rgb="FF92D050"/>
        <color rgb="FFFFEB84"/>
        <color rgb="FFFF5050"/>
      </colorScale>
    </cfRule>
  </conditionalFormatting>
  <conditionalFormatting sqref="B9:E10 B12:E16">
    <cfRule type="colorScale" priority="42">
      <colorScale>
        <cfvo type="min"/>
        <cfvo type="percentile" val="50"/>
        <cfvo type="max"/>
        <color rgb="FFF8696B"/>
        <color rgb="FFFFEB84"/>
        <color rgb="FF63BE7B"/>
      </colorScale>
    </cfRule>
  </conditionalFormatting>
  <conditionalFormatting sqref="B10:E10">
    <cfRule type="colorScale" priority="14">
      <colorScale>
        <cfvo type="min"/>
        <cfvo type="percentile" val="50"/>
        <cfvo type="max"/>
        <color rgb="FF92D050"/>
        <color rgb="FFFFEB84"/>
        <color rgb="FFFF5050"/>
      </colorScale>
    </cfRule>
  </conditionalFormatting>
  <conditionalFormatting sqref="B11:E11">
    <cfRule type="colorScale" priority="16">
      <colorScale>
        <cfvo type="min"/>
        <cfvo type="percentile" val="50"/>
        <cfvo type="max"/>
        <color rgb="FF92D050"/>
        <color rgb="FFFFEB84"/>
        <color rgb="FFFFFF66"/>
      </colorScale>
    </cfRule>
    <cfRule type="colorScale" priority="17">
      <colorScale>
        <cfvo type="min"/>
        <cfvo type="percentile" val="50"/>
        <cfvo type="max"/>
        <color rgb="FF92D050"/>
        <color rgb="FFFFEB84"/>
        <color rgb="FFC00000"/>
      </colorScale>
    </cfRule>
    <cfRule type="colorScale" priority="18">
      <colorScale>
        <cfvo type="min"/>
        <cfvo type="max"/>
        <color rgb="FF00B050"/>
        <color rgb="FFFF0000"/>
      </colorScale>
    </cfRule>
    <cfRule type="colorScale" priority="19">
      <colorScale>
        <cfvo type="min"/>
        <cfvo type="max"/>
        <color theme="6" tint="-0.249977111117893"/>
        <color rgb="FFFF0000"/>
      </colorScale>
    </cfRule>
  </conditionalFormatting>
  <conditionalFormatting sqref="B12:E12">
    <cfRule type="colorScale" priority="40">
      <colorScale>
        <cfvo type="min"/>
        <cfvo type="percentile" val="50"/>
        <cfvo type="max"/>
        <color rgb="FFF8696B"/>
        <color rgb="FFFFEB84"/>
        <color rgb="FF63BE7B"/>
      </colorScale>
    </cfRule>
  </conditionalFormatting>
  <conditionalFormatting sqref="B12:E16 B5:E10">
    <cfRule type="colorScale" priority="45">
      <colorScale>
        <cfvo type="min"/>
        <cfvo type="percentile" val="50"/>
        <cfvo type="max"/>
        <color rgb="FFF8696B"/>
        <color rgb="FFFFEB84"/>
        <color rgb="FF63BE7B"/>
      </colorScale>
    </cfRule>
  </conditionalFormatting>
  <conditionalFormatting sqref="B13:E13">
    <cfRule type="colorScale" priority="38">
      <colorScale>
        <cfvo type="min"/>
        <cfvo type="percentile" val="50"/>
        <cfvo type="max"/>
        <color rgb="FFF8696B"/>
        <color rgb="FFFFEB84"/>
        <color rgb="FF63BE7B"/>
      </colorScale>
    </cfRule>
  </conditionalFormatting>
  <conditionalFormatting sqref="B14:E14">
    <cfRule type="colorScale" priority="39">
      <colorScale>
        <cfvo type="min"/>
        <cfvo type="percentile" val="50"/>
        <cfvo type="max"/>
        <color rgb="FFF8696B"/>
        <color rgb="FFFFEB84"/>
        <color rgb="FF63BE7B"/>
      </colorScale>
    </cfRule>
  </conditionalFormatting>
  <conditionalFormatting sqref="B15:E15">
    <cfRule type="colorScale" priority="37">
      <colorScale>
        <cfvo type="min"/>
        <cfvo type="percentile" val="50"/>
        <cfvo type="max"/>
        <color rgb="FFF8696B"/>
        <color rgb="FFFFEB84"/>
        <color rgb="FF63BE7B"/>
      </colorScale>
    </cfRule>
  </conditionalFormatting>
  <conditionalFormatting sqref="B16:E16">
    <cfRule type="colorScale" priority="36">
      <colorScale>
        <cfvo type="min"/>
        <cfvo type="percentile" val="50"/>
        <cfvo type="max"/>
        <color rgb="FFF8696B"/>
        <color rgb="FFFFEB84"/>
        <color rgb="FF63BE7B"/>
      </colorScale>
    </cfRule>
  </conditionalFormatting>
  <conditionalFormatting sqref="B17:E17">
    <cfRule type="colorScale" priority="47">
      <colorScale>
        <cfvo type="min"/>
        <cfvo type="max"/>
        <color rgb="FF00B050"/>
        <color rgb="FFFF0000"/>
      </colorScale>
    </cfRule>
    <cfRule type="colorScale" priority="24">
      <colorScale>
        <cfvo type="min"/>
        <cfvo type="percentile" val="50"/>
        <cfvo type="max"/>
        <color rgb="FF92D050"/>
        <color rgb="FFFFEB84"/>
        <color rgb="FFC00000"/>
      </colorScale>
    </cfRule>
    <cfRule type="colorScale" priority="13">
      <colorScale>
        <cfvo type="min"/>
        <cfvo type="percentile" val="50"/>
        <cfvo type="max"/>
        <color rgb="FF92D050"/>
        <color rgb="FFFFEB84"/>
        <color rgb="FFFF5050"/>
      </colorScale>
    </cfRule>
    <cfRule type="colorScale" priority="48">
      <colorScale>
        <cfvo type="min"/>
        <cfvo type="max"/>
        <color theme="6" tint="-0.249977111117893"/>
        <color rgb="FFFF0000"/>
      </colorScale>
    </cfRule>
  </conditionalFormatting>
  <conditionalFormatting sqref="B18:E18">
    <cfRule type="colorScale" priority="6">
      <colorScale>
        <cfvo type="min"/>
        <cfvo type="percentile" val="50"/>
        <cfvo type="max"/>
        <color rgb="FFF8696B"/>
        <color rgb="FFFFEB84"/>
        <color rgb="FF63BE7B"/>
      </colorScale>
    </cfRule>
    <cfRule type="colorScale" priority="5">
      <colorScale>
        <cfvo type="min"/>
        <cfvo type="percentile" val="50"/>
        <cfvo type="max"/>
        <color rgb="FF92D050"/>
        <color rgb="FFFFEB84"/>
        <color rgb="FFFF5050"/>
      </colorScale>
    </cfRule>
    <cfRule type="colorScale" priority="7">
      <colorScale>
        <cfvo type="min"/>
        <cfvo type="percentile" val="50"/>
        <cfvo type="max"/>
        <color rgb="FFF8696B"/>
        <color rgb="FFFFEB84"/>
        <color rgb="FF63BE7B"/>
      </colorScale>
    </cfRule>
  </conditionalFormatting>
  <conditionalFormatting sqref="B19:E19">
    <cfRule type="colorScale" priority="4">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fRule type="colorScale" priority="2">
      <colorScale>
        <cfvo type="min"/>
        <cfvo type="percentile" val="50"/>
        <cfvo type="max"/>
        <color rgb="FF92D050"/>
        <color rgb="FFFFEB84"/>
        <color rgb="FFFF5050"/>
      </colorScale>
    </cfRule>
  </conditionalFormatting>
  <conditionalFormatting sqref="B20:E20">
    <cfRule type="colorScale" priority="10">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fRule type="colorScale" priority="8">
      <colorScale>
        <cfvo type="min"/>
        <cfvo type="percentile" val="50"/>
        <cfvo type="max"/>
        <color rgb="FF92D050"/>
        <color rgb="FFFFEB84"/>
        <color rgb="FFFF5050"/>
      </colorScale>
    </cfRule>
  </conditionalFormatting>
  <conditionalFormatting sqref="B21:E21">
    <cfRule type="colorScale" priority="31">
      <colorScale>
        <cfvo type="min"/>
        <cfvo type="percentile" val="50"/>
        <cfvo type="max"/>
        <color rgb="FFF8696B"/>
        <color rgb="FFFFEB84"/>
        <color rgb="FF63BE7B"/>
      </colorScale>
    </cfRule>
    <cfRule type="colorScale" priority="11">
      <colorScale>
        <cfvo type="min"/>
        <cfvo type="percentile" val="50"/>
        <cfvo type="max"/>
        <color rgb="FF92D050"/>
        <color rgb="FFFFEB84"/>
        <color rgb="FFFF5050"/>
      </colorScale>
    </cfRule>
    <cfRule type="colorScale" priority="30">
      <colorScale>
        <cfvo type="min"/>
        <cfvo type="percentile" val="50"/>
        <cfvo type="max"/>
        <color rgb="FFF8696B"/>
        <color rgb="FFFFEB84"/>
        <color rgb="FF63BE7B"/>
      </colorScale>
    </cfRule>
  </conditionalFormatting>
  <conditionalFormatting sqref="B22:E22">
    <cfRule type="colorScale" priority="26">
      <colorScale>
        <cfvo type="min"/>
        <cfvo type="percentile" val="50"/>
        <cfvo type="max"/>
        <color rgb="FFF8696B"/>
        <color rgb="FFFFEB84"/>
        <color rgb="FF63BE7B"/>
      </colorScale>
    </cfRule>
    <cfRule type="colorScale" priority="27">
      <colorScale>
        <cfvo type="min"/>
        <cfvo type="percentile" val="50"/>
        <cfvo type="max"/>
        <color rgb="FFF8696B"/>
        <color rgb="FFFFEB84"/>
        <color rgb="FF63BE7B"/>
      </colorScale>
    </cfRule>
  </conditionalFormatting>
  <conditionalFormatting sqref="C11">
    <cfRule type="colorScale" priority="20">
      <colorScale>
        <cfvo type="num" val="-1"/>
        <cfvo type="num" val="0"/>
        <cfvo type="num" val="1"/>
        <color rgb="FFF8696B"/>
        <color rgb="FFFFEB84"/>
        <color rgb="FF63BE7B"/>
      </colorScale>
    </cfRule>
    <cfRule type="colorScale" priority="21">
      <colorScale>
        <cfvo type="min"/>
        <cfvo type="max"/>
        <color theme="5" tint="-0.249977111117893"/>
        <color theme="6" tint="-0.499984740745262"/>
      </colorScale>
    </cfRule>
  </conditionalFormatting>
  <conditionalFormatting sqref="C17">
    <cfRule type="colorScale" priority="51">
      <colorScale>
        <cfvo type="num" val="-1"/>
        <cfvo type="num" val="0"/>
        <cfvo type="num" val="1"/>
        <color rgb="FFF8696B"/>
        <color rgb="FFFFEB84"/>
        <color rgb="FF63BE7B"/>
      </colorScale>
    </cfRule>
    <cfRule type="colorScale" priority="52">
      <colorScale>
        <cfvo type="min"/>
        <cfvo type="max"/>
        <color theme="5" tint="-0.249977111117893"/>
        <color theme="6" tint="-0.499984740745262"/>
      </colorScale>
    </cfRule>
  </conditionalFormatting>
  <conditionalFormatting sqref="D11:E11 B11">
    <cfRule type="colorScale" priority="23">
      <colorScale>
        <cfvo type="min"/>
        <cfvo type="max"/>
        <color theme="5" tint="-0.249977111117893"/>
        <color theme="6" tint="-0.499984740745262"/>
      </colorScale>
    </cfRule>
    <cfRule type="colorScale" priority="22">
      <colorScale>
        <cfvo type="num" val="-1"/>
        <cfvo type="num" val="0"/>
        <cfvo type="num" val="1"/>
        <color rgb="FFF8696B"/>
        <color rgb="FFFFEB84"/>
        <color rgb="FF63BE7B"/>
      </colorScale>
    </cfRule>
  </conditionalFormatting>
  <conditionalFormatting sqref="D17:E17 B17">
    <cfRule type="colorScale" priority="58">
      <colorScale>
        <cfvo type="num" val="-1"/>
        <cfvo type="num" val="0"/>
        <cfvo type="num" val="1"/>
        <color rgb="FFF8696B"/>
        <color rgb="FFFFEB84"/>
        <color rgb="FF63BE7B"/>
      </colorScale>
    </cfRule>
    <cfRule type="colorScale" priority="59">
      <colorScale>
        <cfvo type="min"/>
        <cfvo type="max"/>
        <color theme="5" tint="-0.249977111117893"/>
        <color theme="6" tint="-0.499984740745262"/>
      </colorScale>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election activeCell="C6" sqref="C6"/>
    </sheetView>
  </sheetViews>
  <sheetFormatPr defaultColWidth="11.42578125" defaultRowHeight="12.75" x14ac:dyDescent="0.2"/>
  <cols>
    <col min="1" max="1" width="27.140625" bestFit="1" customWidth="1"/>
  </cols>
  <sheetData>
    <row r="1" spans="1:1" x14ac:dyDescent="0.2">
      <c r="A1" t="s">
        <v>150</v>
      </c>
    </row>
    <row r="2" spans="1:1" x14ac:dyDescent="0.2">
      <c r="A2" t="s">
        <v>151</v>
      </c>
    </row>
    <row r="3" spans="1:1" x14ac:dyDescent="0.2">
      <c r="A3" t="s">
        <v>152</v>
      </c>
    </row>
    <row r="4" spans="1:1" x14ac:dyDescent="0.2">
      <c r="A4" t="s">
        <v>153</v>
      </c>
    </row>
    <row r="5" spans="1:1" x14ac:dyDescent="0.2">
      <c r="A5" t="s">
        <v>154</v>
      </c>
    </row>
    <row r="6" spans="1:1" x14ac:dyDescent="0.2">
      <c r="A6" s="11" t="s">
        <v>155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B1:M33"/>
  <sheetViews>
    <sheetView showGridLines="0" zoomScale="70" zoomScaleNormal="70" workbookViewId="0">
      <selection activeCell="H6" sqref="H6"/>
    </sheetView>
  </sheetViews>
  <sheetFormatPr defaultColWidth="11.42578125" defaultRowHeight="12.75" x14ac:dyDescent="0.2"/>
  <cols>
    <col min="1" max="1" width="1.140625" style="11" customWidth="1"/>
    <col min="2" max="2" width="59.42578125" style="11" customWidth="1"/>
    <col min="3" max="3" width="8.28515625" style="11" bestFit="1" customWidth="1"/>
    <col min="4" max="4" width="10.7109375" style="11" bestFit="1" customWidth="1"/>
    <col min="5" max="5" width="11.85546875" style="11" bestFit="1" customWidth="1"/>
    <col min="6" max="6" width="10.42578125" style="11" bestFit="1" customWidth="1"/>
    <col min="7" max="7" width="9.85546875" style="11" bestFit="1" customWidth="1"/>
    <col min="8" max="8" width="121.42578125" style="11" customWidth="1"/>
    <col min="9" max="9" width="2.85546875" style="11" customWidth="1"/>
    <col min="10" max="10" width="7.140625" style="11" customWidth="1"/>
    <col min="11" max="11" width="3.85546875" style="11" customWidth="1"/>
    <col min="12" max="12" width="13.28515625" style="11" bestFit="1" customWidth="1"/>
    <col min="13" max="13" width="18.7109375" style="11" customWidth="1"/>
    <col min="14" max="16384" width="11.42578125" style="11"/>
  </cols>
  <sheetData>
    <row r="1" spans="2:13" ht="6" customHeight="1" thickBot="1" x14ac:dyDescent="0.25"/>
    <row r="2" spans="2:13" ht="20.25" x14ac:dyDescent="0.2">
      <c r="B2" s="359" t="s">
        <v>103</v>
      </c>
      <c r="C2" s="360"/>
      <c r="D2" s="360"/>
      <c r="E2" s="360"/>
      <c r="F2" s="360"/>
      <c r="G2" s="360"/>
      <c r="H2" s="361"/>
      <c r="J2" s="356" t="s">
        <v>97</v>
      </c>
      <c r="K2" s="357"/>
      <c r="L2" s="357"/>
      <c r="M2" s="358"/>
    </row>
    <row r="3" spans="2:13" x14ac:dyDescent="0.2">
      <c r="B3" s="21"/>
      <c r="C3" s="19" t="s">
        <v>64</v>
      </c>
      <c r="D3" s="19" t="s">
        <v>65</v>
      </c>
      <c r="E3" s="19" t="s">
        <v>104</v>
      </c>
      <c r="F3" s="19" t="s">
        <v>66</v>
      </c>
      <c r="G3" s="19" t="s">
        <v>67</v>
      </c>
      <c r="H3" s="22" t="s">
        <v>93</v>
      </c>
      <c r="J3" s="362" t="s">
        <v>96</v>
      </c>
      <c r="K3" s="363"/>
      <c r="L3" s="20" t="s">
        <v>95</v>
      </c>
      <c r="M3" s="25" t="s">
        <v>94</v>
      </c>
    </row>
    <row r="4" spans="2:13" ht="15" x14ac:dyDescent="0.25">
      <c r="B4" s="23" t="s">
        <v>68</v>
      </c>
      <c r="C4" s="117"/>
      <c r="D4" s="117"/>
      <c r="E4" s="119"/>
      <c r="F4" s="117"/>
      <c r="G4" s="118"/>
      <c r="H4" s="268"/>
      <c r="J4" s="40" t="s">
        <v>212</v>
      </c>
      <c r="K4" s="41">
        <v>0</v>
      </c>
      <c r="L4" s="42" t="s">
        <v>71</v>
      </c>
      <c r="M4" s="364" t="s">
        <v>219</v>
      </c>
    </row>
    <row r="5" spans="2:13" ht="25.5" x14ac:dyDescent="0.2">
      <c r="B5" s="36" t="s">
        <v>69</v>
      </c>
      <c r="C5" s="256">
        <v>1</v>
      </c>
      <c r="D5" s="119"/>
      <c r="E5" s="119" t="s">
        <v>430</v>
      </c>
      <c r="F5" s="258" t="s">
        <v>432</v>
      </c>
      <c r="G5" s="257"/>
      <c r="H5" s="269" t="s">
        <v>453</v>
      </c>
      <c r="J5" s="40" t="s">
        <v>213</v>
      </c>
      <c r="K5" s="41">
        <v>1</v>
      </c>
      <c r="L5" s="42" t="s">
        <v>216</v>
      </c>
      <c r="M5" s="364"/>
    </row>
    <row r="6" spans="2:13" s="49" customFormat="1" x14ac:dyDescent="0.2">
      <c r="B6" s="48" t="s">
        <v>70</v>
      </c>
      <c r="C6" s="119">
        <v>1</v>
      </c>
      <c r="D6" s="119"/>
      <c r="E6" s="119" t="s">
        <v>431</v>
      </c>
      <c r="F6" s="258" t="s">
        <v>432</v>
      </c>
      <c r="G6" s="257"/>
      <c r="H6" s="270" t="s">
        <v>452</v>
      </c>
      <c r="J6" s="50" t="s">
        <v>214</v>
      </c>
      <c r="K6" s="51">
        <v>2</v>
      </c>
      <c r="L6" s="52" t="s">
        <v>217</v>
      </c>
      <c r="M6" s="364"/>
    </row>
    <row r="7" spans="2:13" ht="13.5" thickBot="1" x14ac:dyDescent="0.25">
      <c r="B7" s="36" t="s">
        <v>72</v>
      </c>
      <c r="C7" s="119">
        <v>0</v>
      </c>
      <c r="D7" s="119"/>
      <c r="E7" s="119" t="s">
        <v>430</v>
      </c>
      <c r="F7" s="258" t="s">
        <v>432</v>
      </c>
      <c r="G7" s="257"/>
      <c r="H7" s="270" t="s">
        <v>451</v>
      </c>
      <c r="J7" s="43" t="s">
        <v>215</v>
      </c>
      <c r="K7" s="44">
        <v>3</v>
      </c>
      <c r="L7" s="45" t="s">
        <v>218</v>
      </c>
      <c r="M7" s="365"/>
    </row>
    <row r="8" spans="2:13" ht="13.5" thickBot="1" x14ac:dyDescent="0.25">
      <c r="B8" s="36" t="s">
        <v>73</v>
      </c>
      <c r="C8" s="119">
        <v>1</v>
      </c>
      <c r="D8" s="119"/>
      <c r="E8" s="119" t="s">
        <v>430</v>
      </c>
      <c r="F8" s="258" t="s">
        <v>432</v>
      </c>
      <c r="G8" s="257"/>
      <c r="H8" s="269" t="s">
        <v>450</v>
      </c>
    </row>
    <row r="9" spans="2:13" x14ac:dyDescent="0.2">
      <c r="B9" s="37" t="s">
        <v>74</v>
      </c>
      <c r="C9" s="119">
        <v>1</v>
      </c>
      <c r="D9" s="119"/>
      <c r="E9" s="119" t="s">
        <v>217</v>
      </c>
      <c r="F9" s="258" t="s">
        <v>433</v>
      </c>
      <c r="G9" s="261"/>
      <c r="H9" s="271"/>
      <c r="J9" s="366" t="s">
        <v>220</v>
      </c>
      <c r="K9" s="367"/>
      <c r="L9" s="368"/>
    </row>
    <row r="10" spans="2:13" ht="15" x14ac:dyDescent="0.25">
      <c r="B10" s="23" t="s">
        <v>75</v>
      </c>
      <c r="C10" s="121"/>
      <c r="D10" s="122"/>
      <c r="E10" s="122"/>
      <c r="F10" s="122"/>
      <c r="G10" s="123"/>
      <c r="H10" s="272"/>
      <c r="J10" s="347"/>
      <c r="K10" s="348"/>
      <c r="L10" s="349"/>
    </row>
    <row r="11" spans="2:13" ht="25.5" x14ac:dyDescent="0.2">
      <c r="B11" s="36" t="s">
        <v>76</v>
      </c>
      <c r="C11" s="119">
        <v>3</v>
      </c>
      <c r="D11" s="280" t="s">
        <v>457</v>
      </c>
      <c r="E11" s="119" t="s">
        <v>434</v>
      </c>
      <c r="F11" s="258" t="s">
        <v>433</v>
      </c>
      <c r="G11" s="260"/>
      <c r="H11" s="273" t="s">
        <v>442</v>
      </c>
      <c r="J11" s="350"/>
      <c r="K11" s="351"/>
      <c r="L11" s="352"/>
    </row>
    <row r="12" spans="2:13" ht="13.5" thickBot="1" x14ac:dyDescent="0.25">
      <c r="B12" s="36" t="s">
        <v>77</v>
      </c>
      <c r="C12" s="119">
        <v>0</v>
      </c>
      <c r="D12" s="119" t="s">
        <v>432</v>
      </c>
      <c r="E12" s="119" t="s">
        <v>430</v>
      </c>
      <c r="F12" s="258" t="s">
        <v>432</v>
      </c>
      <c r="G12" s="257"/>
      <c r="H12" s="273" t="s">
        <v>449</v>
      </c>
      <c r="J12" s="353"/>
      <c r="K12" s="354"/>
      <c r="L12" s="355"/>
    </row>
    <row r="13" spans="2:13" x14ac:dyDescent="0.2">
      <c r="B13" s="38" t="s">
        <v>78</v>
      </c>
      <c r="C13" s="119">
        <v>0</v>
      </c>
      <c r="D13" s="119" t="s">
        <v>433</v>
      </c>
      <c r="E13" s="119" t="s">
        <v>430</v>
      </c>
      <c r="F13" s="258" t="s">
        <v>432</v>
      </c>
      <c r="G13" s="257"/>
      <c r="H13" s="262" t="s">
        <v>448</v>
      </c>
    </row>
    <row r="14" spans="2:13" x14ac:dyDescent="0.2">
      <c r="B14" s="38" t="s">
        <v>79</v>
      </c>
      <c r="C14" s="119">
        <v>0</v>
      </c>
      <c r="D14" s="119" t="s">
        <v>432</v>
      </c>
      <c r="E14" s="119" t="s">
        <v>430</v>
      </c>
      <c r="F14" s="258" t="s">
        <v>432</v>
      </c>
      <c r="G14" s="257"/>
      <c r="H14" s="262" t="s">
        <v>445</v>
      </c>
    </row>
    <row r="15" spans="2:13" x14ac:dyDescent="0.2">
      <c r="B15" s="36" t="s">
        <v>80</v>
      </c>
      <c r="C15" s="119">
        <v>0</v>
      </c>
      <c r="D15" s="119" t="s">
        <v>433</v>
      </c>
      <c r="E15" s="119" t="s">
        <v>431</v>
      </c>
      <c r="F15" s="258" t="s">
        <v>432</v>
      </c>
      <c r="G15" s="257"/>
      <c r="H15" s="262" t="s">
        <v>446</v>
      </c>
    </row>
    <row r="16" spans="2:13" x14ac:dyDescent="0.2">
      <c r="B16" s="36" t="s">
        <v>81</v>
      </c>
      <c r="C16" s="119">
        <v>0</v>
      </c>
      <c r="D16" s="125" t="s">
        <v>433</v>
      </c>
      <c r="E16" s="119" t="s">
        <v>431</v>
      </c>
      <c r="F16" s="125" t="s">
        <v>432</v>
      </c>
      <c r="G16" s="257"/>
      <c r="H16" s="262" t="s">
        <v>454</v>
      </c>
    </row>
    <row r="17" spans="2:8" x14ac:dyDescent="0.2">
      <c r="B17" s="36" t="s">
        <v>82</v>
      </c>
      <c r="C17" s="126"/>
      <c r="D17" s="119" t="s">
        <v>433</v>
      </c>
      <c r="E17" s="119" t="s">
        <v>431</v>
      </c>
      <c r="F17" s="120" t="s">
        <v>433</v>
      </c>
      <c r="G17" s="257"/>
      <c r="H17" s="274"/>
    </row>
    <row r="18" spans="2:8" x14ac:dyDescent="0.2">
      <c r="B18" s="36" t="s">
        <v>83</v>
      </c>
      <c r="C18" s="119">
        <v>1</v>
      </c>
      <c r="D18" s="119" t="s">
        <v>432</v>
      </c>
      <c r="E18" s="119" t="s">
        <v>431</v>
      </c>
      <c r="F18" s="120" t="s">
        <v>433</v>
      </c>
      <c r="G18" s="257"/>
      <c r="H18" s="279" t="s">
        <v>443</v>
      </c>
    </row>
    <row r="19" spans="2:8" x14ac:dyDescent="0.2">
      <c r="B19" s="36" t="s">
        <v>84</v>
      </c>
      <c r="C19" s="119">
        <v>0</v>
      </c>
      <c r="D19" s="119" t="s">
        <v>432</v>
      </c>
      <c r="E19" s="119" t="s">
        <v>430</v>
      </c>
      <c r="F19" s="120" t="s">
        <v>432</v>
      </c>
      <c r="G19" s="257"/>
      <c r="H19" s="273" t="s">
        <v>447</v>
      </c>
    </row>
    <row r="20" spans="2:8" x14ac:dyDescent="0.2">
      <c r="B20" s="36" t="s">
        <v>85</v>
      </c>
      <c r="C20" s="119">
        <v>0</v>
      </c>
      <c r="D20" s="119" t="s">
        <v>433</v>
      </c>
      <c r="E20" s="119" t="s">
        <v>435</v>
      </c>
      <c r="F20" s="120" t="s">
        <v>433</v>
      </c>
      <c r="G20" s="257"/>
      <c r="H20" s="262" t="s">
        <v>436</v>
      </c>
    </row>
    <row r="21" spans="2:8" x14ac:dyDescent="0.2">
      <c r="B21" s="37" t="s">
        <v>86</v>
      </c>
      <c r="C21" s="127">
        <v>0</v>
      </c>
      <c r="D21" s="127" t="s">
        <v>433</v>
      </c>
      <c r="E21" s="127" t="s">
        <v>430</v>
      </c>
      <c r="F21" s="128" t="s">
        <v>432</v>
      </c>
      <c r="G21" s="263"/>
      <c r="H21" s="269" t="s">
        <v>444</v>
      </c>
    </row>
    <row r="22" spans="2:8" ht="15" x14ac:dyDescent="0.25">
      <c r="B22" s="24" t="s">
        <v>87</v>
      </c>
      <c r="C22" s="129"/>
      <c r="D22" s="129"/>
      <c r="E22" s="124"/>
      <c r="F22" s="129"/>
      <c r="G22" s="123"/>
      <c r="H22" s="275"/>
    </row>
    <row r="23" spans="2:8" ht="38.25" x14ac:dyDescent="0.2">
      <c r="B23" s="36" t="s">
        <v>88</v>
      </c>
      <c r="C23" s="126"/>
      <c r="D23" s="126"/>
      <c r="E23" s="267" t="s">
        <v>217</v>
      </c>
      <c r="F23" s="124" t="s">
        <v>432</v>
      </c>
      <c r="G23" s="265"/>
      <c r="H23" s="264" t="s">
        <v>437</v>
      </c>
    </row>
    <row r="24" spans="2:8" x14ac:dyDescent="0.2">
      <c r="B24" s="36" t="s">
        <v>89</v>
      </c>
      <c r="C24" s="126"/>
      <c r="D24" s="126"/>
      <c r="E24" s="124" t="s">
        <v>431</v>
      </c>
      <c r="F24" s="124" t="s">
        <v>432</v>
      </c>
      <c r="G24" s="257"/>
      <c r="H24" s="266">
        <f>8/9</f>
        <v>0.88888888888888884</v>
      </c>
    </row>
    <row r="25" spans="2:8" x14ac:dyDescent="0.2">
      <c r="B25" s="36" t="s">
        <v>176</v>
      </c>
      <c r="C25" s="126"/>
      <c r="D25" s="126"/>
      <c r="E25" s="124" t="s">
        <v>441</v>
      </c>
      <c r="F25" s="124" t="s">
        <v>433</v>
      </c>
      <c r="G25" s="259"/>
      <c r="H25" s="262" t="s">
        <v>440</v>
      </c>
    </row>
    <row r="26" spans="2:8" x14ac:dyDescent="0.2">
      <c r="B26" s="36" t="s">
        <v>132</v>
      </c>
      <c r="C26" s="126"/>
      <c r="D26" s="126"/>
      <c r="E26" s="124" t="s">
        <v>433</v>
      </c>
      <c r="F26" s="124" t="s">
        <v>433</v>
      </c>
      <c r="G26" s="257"/>
      <c r="H26" s="262"/>
    </row>
    <row r="27" spans="2:8" ht="25.5" x14ac:dyDescent="0.2">
      <c r="B27" s="36" t="s">
        <v>90</v>
      </c>
      <c r="C27" s="126"/>
      <c r="D27" s="126"/>
      <c r="E27" s="124" t="s">
        <v>433</v>
      </c>
      <c r="F27" s="124" t="s">
        <v>433</v>
      </c>
      <c r="G27" s="257"/>
      <c r="H27" s="262" t="s">
        <v>455</v>
      </c>
    </row>
    <row r="28" spans="2:8" x14ac:dyDescent="0.2">
      <c r="B28" s="36" t="s">
        <v>135</v>
      </c>
      <c r="C28" s="126"/>
      <c r="D28" s="126"/>
      <c r="E28" s="119" t="s">
        <v>430</v>
      </c>
      <c r="F28" s="124" t="s">
        <v>432</v>
      </c>
      <c r="G28" s="257"/>
      <c r="H28" s="262" t="s">
        <v>439</v>
      </c>
    </row>
    <row r="29" spans="2:8" x14ac:dyDescent="0.2">
      <c r="B29" s="36" t="s">
        <v>177</v>
      </c>
      <c r="C29" s="126"/>
      <c r="D29" s="126"/>
      <c r="E29" s="119" t="s">
        <v>430</v>
      </c>
      <c r="F29" s="124" t="s">
        <v>432</v>
      </c>
      <c r="G29" s="257"/>
      <c r="H29" s="276" t="s">
        <v>458</v>
      </c>
    </row>
    <row r="30" spans="2:8" x14ac:dyDescent="0.2">
      <c r="B30" s="36" t="s">
        <v>131</v>
      </c>
      <c r="C30" s="126"/>
      <c r="D30" s="126"/>
      <c r="E30" s="124" t="s">
        <v>431</v>
      </c>
      <c r="F30" s="124" t="s">
        <v>433</v>
      </c>
      <c r="G30" s="257"/>
      <c r="H30" s="276" t="s">
        <v>438</v>
      </c>
    </row>
    <row r="31" spans="2:8" ht="25.5" x14ac:dyDescent="0.2">
      <c r="B31" s="36" t="s">
        <v>91</v>
      </c>
      <c r="C31" s="126"/>
      <c r="D31" s="124" t="s">
        <v>432</v>
      </c>
      <c r="E31" s="124" t="s">
        <v>430</v>
      </c>
      <c r="F31" s="124" t="s">
        <v>432</v>
      </c>
      <c r="G31" s="257"/>
      <c r="H31" s="262" t="s">
        <v>459</v>
      </c>
    </row>
    <row r="32" spans="2:8" ht="26.25" thickBot="1" x14ac:dyDescent="0.25">
      <c r="B32" s="39" t="s">
        <v>92</v>
      </c>
      <c r="C32" s="130"/>
      <c r="D32" s="131" t="s">
        <v>432</v>
      </c>
      <c r="E32" s="132" t="s">
        <v>430</v>
      </c>
      <c r="F32" s="132" t="s">
        <v>432</v>
      </c>
      <c r="G32" s="278"/>
      <c r="H32" s="277" t="s">
        <v>456</v>
      </c>
    </row>
    <row r="33" spans="2:8" ht="15.75" customHeight="1" x14ac:dyDescent="0.25">
      <c r="B33" s="53"/>
      <c r="H33" s="85"/>
    </row>
  </sheetData>
  <mergeCells count="8">
    <mergeCell ref="J10:L10"/>
    <mergeCell ref="J11:L11"/>
    <mergeCell ref="J12:L12"/>
    <mergeCell ref="J2:M2"/>
    <mergeCell ref="B2:H2"/>
    <mergeCell ref="J3:K3"/>
    <mergeCell ref="M4:M7"/>
    <mergeCell ref="J9:L9"/>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2"/>
  <sheetViews>
    <sheetView zoomScale="85" zoomScaleNormal="85" workbookViewId="0">
      <selection activeCell="F22" sqref="F22"/>
    </sheetView>
  </sheetViews>
  <sheetFormatPr defaultRowHeight="12.75" x14ac:dyDescent="0.2"/>
  <cols>
    <col min="1" max="1" width="29.42578125" customWidth="1"/>
    <col min="2" max="2" width="8" customWidth="1"/>
    <col min="3" max="10" width="8.7109375" bestFit="1" customWidth="1"/>
    <col min="11" max="11" width="6.7109375" customWidth="1"/>
    <col min="12" max="12" width="6.5703125" customWidth="1"/>
    <col min="13" max="14" width="8.7109375" bestFit="1" customWidth="1"/>
    <col min="15" max="15" width="6.7109375" bestFit="1" customWidth="1"/>
    <col min="16" max="16" width="9" customWidth="1"/>
    <col min="17" max="18" width="9" bestFit="1" customWidth="1"/>
  </cols>
  <sheetData>
    <row r="1" spans="1:15" x14ac:dyDescent="0.2">
      <c r="A1" t="s">
        <v>413</v>
      </c>
      <c r="B1" t="s">
        <v>240</v>
      </c>
      <c r="C1" t="s">
        <v>241</v>
      </c>
      <c r="D1" t="s">
        <v>242</v>
      </c>
      <c r="E1" t="s">
        <v>243</v>
      </c>
      <c r="F1" t="s">
        <v>244</v>
      </c>
      <c r="G1" t="s">
        <v>245</v>
      </c>
      <c r="H1" t="s">
        <v>246</v>
      </c>
      <c r="I1" t="s">
        <v>247</v>
      </c>
      <c r="J1" t="s">
        <v>248</v>
      </c>
      <c r="K1" t="s">
        <v>249</v>
      </c>
      <c r="L1" t="s">
        <v>250</v>
      </c>
      <c r="M1" t="s">
        <v>251</v>
      </c>
      <c r="N1" t="s">
        <v>252</v>
      </c>
      <c r="O1" t="s">
        <v>253</v>
      </c>
    </row>
    <row r="2" spans="1:15" x14ac:dyDescent="0.2">
      <c r="A2" t="s">
        <v>254</v>
      </c>
      <c r="B2">
        <v>37.24</v>
      </c>
      <c r="C2">
        <v>41.63</v>
      </c>
      <c r="D2" t="s">
        <v>255</v>
      </c>
      <c r="E2" t="s">
        <v>256</v>
      </c>
      <c r="F2" t="s">
        <v>257</v>
      </c>
      <c r="G2" t="s">
        <v>258</v>
      </c>
      <c r="H2" t="s">
        <v>259</v>
      </c>
      <c r="I2" t="s">
        <v>260</v>
      </c>
      <c r="J2" t="s">
        <v>261</v>
      </c>
      <c r="K2" t="s">
        <v>262</v>
      </c>
      <c r="L2">
        <v>132.80000000000001</v>
      </c>
      <c r="M2">
        <v>156.81</v>
      </c>
      <c r="N2">
        <v>143.18</v>
      </c>
      <c r="O2">
        <v>139.54</v>
      </c>
    </row>
    <row r="3" spans="1:15" x14ac:dyDescent="0.2">
      <c r="A3" t="s">
        <v>263</v>
      </c>
      <c r="B3">
        <v>1.49</v>
      </c>
      <c r="C3">
        <v>1.75</v>
      </c>
      <c r="D3" t="s">
        <v>264</v>
      </c>
      <c r="E3" t="s">
        <v>265</v>
      </c>
      <c r="F3" t="s">
        <v>266</v>
      </c>
      <c r="G3" t="s">
        <v>267</v>
      </c>
      <c r="H3" t="s">
        <v>268</v>
      </c>
      <c r="I3" t="s">
        <v>269</v>
      </c>
      <c r="J3" t="s">
        <v>270</v>
      </c>
      <c r="K3" t="s">
        <v>271</v>
      </c>
      <c r="L3">
        <v>16.32</v>
      </c>
      <c r="M3">
        <v>18.989999999999998</v>
      </c>
      <c r="N3">
        <v>13.52</v>
      </c>
      <c r="O3">
        <v>11.75</v>
      </c>
    </row>
    <row r="4" spans="1:15" x14ac:dyDescent="0.2">
      <c r="A4" t="s">
        <v>272</v>
      </c>
      <c r="B4">
        <v>1.1599999999999999</v>
      </c>
      <c r="C4">
        <v>2.19</v>
      </c>
      <c r="D4" t="s">
        <v>273</v>
      </c>
      <c r="E4" t="s">
        <v>274</v>
      </c>
      <c r="F4" t="s">
        <v>275</v>
      </c>
      <c r="G4" t="s">
        <v>276</v>
      </c>
      <c r="H4" t="s">
        <v>277</v>
      </c>
      <c r="I4" t="s">
        <v>278</v>
      </c>
      <c r="J4" t="s">
        <v>279</v>
      </c>
      <c r="K4" t="s">
        <v>280</v>
      </c>
      <c r="L4">
        <v>6.92</v>
      </c>
      <c r="M4">
        <v>11.2</v>
      </c>
      <c r="N4">
        <v>21.4</v>
      </c>
      <c r="O4">
        <v>14.77</v>
      </c>
    </row>
    <row r="5" spans="1:15" x14ac:dyDescent="0.2">
      <c r="A5" t="s">
        <v>281</v>
      </c>
      <c r="B5">
        <v>0.55000000000000004</v>
      </c>
      <c r="C5">
        <v>0.62</v>
      </c>
      <c r="D5" t="s">
        <v>282</v>
      </c>
      <c r="E5" t="s">
        <v>283</v>
      </c>
      <c r="F5" t="s">
        <v>284</v>
      </c>
      <c r="G5" t="s">
        <v>285</v>
      </c>
      <c r="H5" t="s">
        <v>286</v>
      </c>
      <c r="I5" t="s">
        <v>287</v>
      </c>
      <c r="J5" t="s">
        <v>264</v>
      </c>
      <c r="K5" t="s">
        <v>288</v>
      </c>
      <c r="L5">
        <v>3</v>
      </c>
      <c r="M5">
        <v>3.82</v>
      </c>
      <c r="N5">
        <v>4.33</v>
      </c>
      <c r="O5">
        <v>4.63</v>
      </c>
    </row>
    <row r="6" spans="1:15" x14ac:dyDescent="0.2">
      <c r="A6" t="s">
        <v>289</v>
      </c>
      <c r="B6">
        <v>0.71</v>
      </c>
      <c r="C6">
        <v>0.12</v>
      </c>
      <c r="D6" t="s">
        <v>290</v>
      </c>
      <c r="E6" t="s">
        <v>291</v>
      </c>
      <c r="F6" t="s">
        <v>292</v>
      </c>
      <c r="G6" t="s">
        <v>293</v>
      </c>
      <c r="H6" t="s">
        <v>294</v>
      </c>
      <c r="I6" t="s">
        <v>295</v>
      </c>
      <c r="J6" t="s">
        <v>296</v>
      </c>
      <c r="K6" t="s">
        <v>297</v>
      </c>
      <c r="L6">
        <v>13.21</v>
      </c>
      <c r="M6">
        <v>16.579999999999998</v>
      </c>
      <c r="N6">
        <v>18.09</v>
      </c>
      <c r="O6">
        <v>21.02</v>
      </c>
    </row>
    <row r="7" spans="1:15" x14ac:dyDescent="0.2">
      <c r="A7" t="s">
        <v>298</v>
      </c>
      <c r="B7">
        <v>1.89</v>
      </c>
      <c r="C7">
        <v>2.14</v>
      </c>
      <c r="D7" t="s">
        <v>299</v>
      </c>
      <c r="E7" t="s">
        <v>300</v>
      </c>
      <c r="F7" t="s">
        <v>301</v>
      </c>
      <c r="G7" t="s">
        <v>302</v>
      </c>
      <c r="H7" t="s">
        <v>303</v>
      </c>
      <c r="I7" t="s">
        <v>304</v>
      </c>
      <c r="J7" t="s">
        <v>305</v>
      </c>
      <c r="K7" t="s">
        <v>306</v>
      </c>
      <c r="L7">
        <v>1.76</v>
      </c>
      <c r="M7">
        <v>6.03</v>
      </c>
      <c r="N7">
        <v>8.1199999999999992</v>
      </c>
      <c r="O7">
        <v>11.52</v>
      </c>
    </row>
    <row r="8" spans="1:15" x14ac:dyDescent="0.2">
      <c r="A8" t="s">
        <v>307</v>
      </c>
      <c r="B8">
        <v>48</v>
      </c>
      <c r="C8">
        <v>47</v>
      </c>
      <c r="D8" t="s">
        <v>308</v>
      </c>
      <c r="E8" t="s">
        <v>309</v>
      </c>
      <c r="F8" t="s">
        <v>310</v>
      </c>
      <c r="G8" t="s">
        <v>311</v>
      </c>
      <c r="H8" t="s">
        <v>312</v>
      </c>
      <c r="I8" t="s">
        <v>313</v>
      </c>
      <c r="J8" t="s">
        <v>313</v>
      </c>
      <c r="K8" t="s">
        <v>313</v>
      </c>
      <c r="L8">
        <v>40</v>
      </c>
      <c r="M8">
        <v>39</v>
      </c>
      <c r="N8">
        <v>39</v>
      </c>
      <c r="O8">
        <v>38</v>
      </c>
    </row>
    <row r="9" spans="1:15" x14ac:dyDescent="0.2">
      <c r="A9" t="s">
        <v>314</v>
      </c>
      <c r="B9">
        <v>1793</v>
      </c>
      <c r="C9">
        <v>1954</v>
      </c>
      <c r="D9" t="s">
        <v>315</v>
      </c>
      <c r="E9" t="s">
        <v>316</v>
      </c>
      <c r="F9" t="s">
        <v>317</v>
      </c>
      <c r="G9" t="s">
        <v>318</v>
      </c>
      <c r="H9" t="s">
        <v>319</v>
      </c>
      <c r="I9" t="s">
        <v>320</v>
      </c>
      <c r="J9" t="s">
        <v>321</v>
      </c>
      <c r="K9" t="s">
        <v>322</v>
      </c>
      <c r="L9">
        <v>5296</v>
      </c>
      <c r="M9">
        <v>6180</v>
      </c>
      <c r="N9">
        <v>5542</v>
      </c>
      <c r="O9">
        <v>5327</v>
      </c>
    </row>
    <row r="10" spans="1:15" x14ac:dyDescent="0.2">
      <c r="A10" t="s">
        <v>323</v>
      </c>
      <c r="B10">
        <v>7.06</v>
      </c>
      <c r="C10">
        <v>7.77</v>
      </c>
      <c r="D10" t="s">
        <v>324</v>
      </c>
      <c r="E10" t="s">
        <v>325</v>
      </c>
      <c r="F10" t="s">
        <v>326</v>
      </c>
      <c r="G10" t="s">
        <v>327</v>
      </c>
      <c r="H10" t="s">
        <v>328</v>
      </c>
      <c r="I10" t="s">
        <v>329</v>
      </c>
      <c r="J10" t="s">
        <v>330</v>
      </c>
      <c r="K10" t="s">
        <v>331</v>
      </c>
      <c r="L10">
        <v>15.73</v>
      </c>
      <c r="M10">
        <v>16.600000000000001</v>
      </c>
      <c r="N10">
        <v>13.47</v>
      </c>
      <c r="O10">
        <v>11.94</v>
      </c>
    </row>
    <row r="11" spans="1:15" x14ac:dyDescent="0.2">
      <c r="A11" t="s">
        <v>332</v>
      </c>
      <c r="B11">
        <v>11</v>
      </c>
      <c r="C11">
        <v>13</v>
      </c>
      <c r="D11" t="s">
        <v>333</v>
      </c>
      <c r="E11" t="s">
        <v>334</v>
      </c>
      <c r="F11" t="s">
        <v>335</v>
      </c>
      <c r="G11" t="s">
        <v>336</v>
      </c>
      <c r="H11" t="s">
        <v>337</v>
      </c>
      <c r="I11" t="s">
        <v>338</v>
      </c>
      <c r="J11" t="s">
        <v>339</v>
      </c>
      <c r="K11" t="s">
        <v>339</v>
      </c>
      <c r="L11">
        <v>30</v>
      </c>
      <c r="M11">
        <v>39</v>
      </c>
      <c r="N11">
        <v>40</v>
      </c>
      <c r="O11">
        <v>44</v>
      </c>
    </row>
    <row r="12" spans="1:15" x14ac:dyDescent="0.2">
      <c r="A12" t="s">
        <v>340</v>
      </c>
      <c r="B12">
        <v>72</v>
      </c>
      <c r="C12">
        <v>82</v>
      </c>
      <c r="D12" t="s">
        <v>341</v>
      </c>
      <c r="E12" t="s">
        <v>342</v>
      </c>
      <c r="F12" t="s">
        <v>343</v>
      </c>
      <c r="G12" t="s">
        <v>344</v>
      </c>
      <c r="H12" t="s">
        <v>345</v>
      </c>
      <c r="I12" t="s">
        <v>346</v>
      </c>
      <c r="J12" t="s">
        <v>347</v>
      </c>
      <c r="K12" t="s">
        <v>348</v>
      </c>
      <c r="L12">
        <v>651</v>
      </c>
      <c r="M12">
        <v>748</v>
      </c>
      <c r="N12">
        <v>523</v>
      </c>
      <c r="O12">
        <v>448</v>
      </c>
    </row>
    <row r="13" spans="1:15" x14ac:dyDescent="0.2">
      <c r="A13" t="s">
        <v>349</v>
      </c>
      <c r="B13">
        <v>38.700000000000003</v>
      </c>
      <c r="C13">
        <v>41</v>
      </c>
      <c r="D13" t="s">
        <v>350</v>
      </c>
      <c r="E13" t="s">
        <v>351</v>
      </c>
      <c r="F13" t="s">
        <v>352</v>
      </c>
      <c r="G13" t="s">
        <v>352</v>
      </c>
      <c r="H13" t="s">
        <v>353</v>
      </c>
      <c r="I13" t="s">
        <v>354</v>
      </c>
      <c r="J13" t="s">
        <v>355</v>
      </c>
      <c r="K13" t="s">
        <v>356</v>
      </c>
      <c r="L13">
        <v>21.09</v>
      </c>
      <c r="M13">
        <v>24.04</v>
      </c>
      <c r="N13">
        <v>23.99</v>
      </c>
      <c r="O13">
        <v>23.23</v>
      </c>
    </row>
    <row r="14" spans="1:15" x14ac:dyDescent="0.2">
      <c r="A14" t="s">
        <v>357</v>
      </c>
      <c r="B14">
        <v>4.01</v>
      </c>
      <c r="C14">
        <v>4.2</v>
      </c>
      <c r="D14" t="s">
        <v>358</v>
      </c>
      <c r="E14" t="s">
        <v>359</v>
      </c>
      <c r="F14" t="s">
        <v>360</v>
      </c>
      <c r="G14" t="s">
        <v>361</v>
      </c>
      <c r="H14" t="s">
        <v>362</v>
      </c>
      <c r="I14" t="s">
        <v>363</v>
      </c>
      <c r="J14" t="s">
        <v>364</v>
      </c>
      <c r="K14" t="s">
        <v>365</v>
      </c>
      <c r="L14">
        <v>12.29</v>
      </c>
      <c r="M14">
        <v>12.11</v>
      </c>
      <c r="N14">
        <v>9.44</v>
      </c>
      <c r="O14">
        <v>8.42</v>
      </c>
    </row>
    <row r="15" spans="1:15" x14ac:dyDescent="0.2">
      <c r="A15" t="s">
        <v>200</v>
      </c>
      <c r="B15">
        <v>305</v>
      </c>
      <c r="C15">
        <v>295</v>
      </c>
      <c r="D15" t="s">
        <v>366</v>
      </c>
      <c r="E15" t="s">
        <v>367</v>
      </c>
      <c r="F15" t="s">
        <v>368</v>
      </c>
      <c r="G15" t="s">
        <v>369</v>
      </c>
      <c r="H15" t="s">
        <v>370</v>
      </c>
      <c r="I15" t="s">
        <v>371</v>
      </c>
      <c r="J15" t="s">
        <v>372</v>
      </c>
      <c r="K15" t="s">
        <v>373</v>
      </c>
      <c r="L15">
        <v>1025</v>
      </c>
      <c r="M15">
        <v>1343</v>
      </c>
      <c r="N15">
        <v>1045</v>
      </c>
      <c r="O15">
        <v>1014</v>
      </c>
    </row>
    <row r="16" spans="1:15" x14ac:dyDescent="0.2">
      <c r="A16" t="s">
        <v>374</v>
      </c>
      <c r="B16">
        <v>247</v>
      </c>
      <c r="C16">
        <v>231</v>
      </c>
      <c r="D16" t="s">
        <v>375</v>
      </c>
      <c r="E16" t="s">
        <v>376</v>
      </c>
      <c r="F16" t="s">
        <v>377</v>
      </c>
      <c r="G16" t="s">
        <v>378</v>
      </c>
      <c r="H16" t="s">
        <v>379</v>
      </c>
      <c r="I16" t="s">
        <v>380</v>
      </c>
      <c r="J16" t="s">
        <v>381</v>
      </c>
      <c r="K16" t="s">
        <v>382</v>
      </c>
      <c r="L16">
        <v>1347</v>
      </c>
      <c r="M16">
        <v>1560</v>
      </c>
      <c r="N16">
        <v>1237</v>
      </c>
      <c r="O16">
        <v>1099</v>
      </c>
    </row>
    <row r="17" spans="1:15" x14ac:dyDescent="0.2">
      <c r="A17" t="s">
        <v>383</v>
      </c>
      <c r="B17">
        <v>280</v>
      </c>
      <c r="C17">
        <v>282</v>
      </c>
      <c r="D17" t="s">
        <v>384</v>
      </c>
      <c r="E17" t="s">
        <v>385</v>
      </c>
      <c r="F17" t="s">
        <v>386</v>
      </c>
      <c r="G17" t="s">
        <v>387</v>
      </c>
      <c r="H17" t="s">
        <v>388</v>
      </c>
      <c r="I17" t="s">
        <v>389</v>
      </c>
      <c r="J17" t="s">
        <v>390</v>
      </c>
      <c r="K17" t="s">
        <v>373</v>
      </c>
      <c r="L17">
        <v>1071</v>
      </c>
      <c r="M17">
        <v>1235</v>
      </c>
      <c r="N17">
        <v>1313</v>
      </c>
      <c r="O17">
        <v>1433</v>
      </c>
    </row>
    <row r="18" spans="1:15" x14ac:dyDescent="0.2">
      <c r="A18" t="s">
        <v>391</v>
      </c>
      <c r="B18">
        <v>15.4</v>
      </c>
      <c r="C18">
        <v>17.28</v>
      </c>
      <c r="D18" t="s">
        <v>392</v>
      </c>
      <c r="E18" t="s">
        <v>393</v>
      </c>
      <c r="F18" t="s">
        <v>394</v>
      </c>
      <c r="G18" t="s">
        <v>395</v>
      </c>
      <c r="H18" t="s">
        <v>396</v>
      </c>
      <c r="I18" t="s">
        <v>397</v>
      </c>
      <c r="J18" t="s">
        <v>398</v>
      </c>
      <c r="K18" t="s">
        <v>399</v>
      </c>
      <c r="L18">
        <v>33.79</v>
      </c>
      <c r="M18">
        <v>28.24</v>
      </c>
      <c r="N18">
        <v>20.23</v>
      </c>
      <c r="O18">
        <v>18.04</v>
      </c>
    </row>
    <row r="19" spans="1:15" x14ac:dyDescent="0.2">
      <c r="A19" t="s">
        <v>400</v>
      </c>
      <c r="B19">
        <v>28.04</v>
      </c>
      <c r="C19">
        <v>33.119999999999997</v>
      </c>
      <c r="D19" t="s">
        <v>401</v>
      </c>
      <c r="E19" t="s">
        <v>402</v>
      </c>
      <c r="F19" t="s">
        <v>403</v>
      </c>
      <c r="G19" t="s">
        <v>404</v>
      </c>
      <c r="H19" t="s">
        <v>405</v>
      </c>
      <c r="I19" t="s">
        <v>406</v>
      </c>
      <c r="J19" t="s">
        <v>407</v>
      </c>
      <c r="K19" t="s">
        <v>408</v>
      </c>
      <c r="L19">
        <v>48.48</v>
      </c>
      <c r="M19">
        <v>36.520000000000003</v>
      </c>
      <c r="N19">
        <v>25.93</v>
      </c>
      <c r="O19">
        <v>22.32</v>
      </c>
    </row>
    <row r="20" spans="1:15" x14ac:dyDescent="0.2">
      <c r="A20" t="s">
        <v>409</v>
      </c>
      <c r="B20">
        <v>141.06</v>
      </c>
      <c r="C20">
        <v>412.24</v>
      </c>
      <c r="D20" t="s">
        <v>410</v>
      </c>
      <c r="E20" t="s">
        <v>410</v>
      </c>
      <c r="F20" t="s">
        <v>410</v>
      </c>
      <c r="G20" t="s">
        <v>410</v>
      </c>
      <c r="H20" t="s">
        <v>410</v>
      </c>
      <c r="I20" t="s">
        <v>410</v>
      </c>
      <c r="J20" t="s">
        <v>410</v>
      </c>
      <c r="K20" t="s">
        <v>410</v>
      </c>
      <c r="L20">
        <v>196.91</v>
      </c>
      <c r="M20">
        <v>126.81</v>
      </c>
      <c r="N20">
        <v>77.31</v>
      </c>
      <c r="O20">
        <v>55.58</v>
      </c>
    </row>
    <row r="22" spans="1:15" x14ac:dyDescent="0.2">
      <c r="A22" t="s">
        <v>415</v>
      </c>
      <c r="B22" s="133" t="s">
        <v>414</v>
      </c>
    </row>
  </sheetData>
  <hyperlinks>
    <hyperlink ref="B22" r:id="rId1" xr:uid="{00000000-0004-0000-0500-000000000000}"/>
  </hyperlinks>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tabColor rgb="FF0070C0"/>
  </sheetPr>
  <dimension ref="A1:AD88"/>
  <sheetViews>
    <sheetView topLeftCell="P25" zoomScaleNormal="100" workbookViewId="0">
      <pane xSplit="15555" topLeftCell="Y1"/>
      <selection activeCell="AC36" sqref="AC36"/>
      <selection pane="topRight" activeCell="AB41" sqref="AB41"/>
    </sheetView>
  </sheetViews>
  <sheetFormatPr defaultColWidth="11.42578125" defaultRowHeight="12.75" x14ac:dyDescent="0.2"/>
  <cols>
    <col min="1" max="1" width="24.42578125" bestFit="1" customWidth="1"/>
    <col min="2" max="2" width="11.28515625" customWidth="1"/>
    <col min="3" max="3" width="20" bestFit="1" customWidth="1"/>
    <col min="4" max="9" width="11.140625" style="4" customWidth="1"/>
    <col min="10" max="11" width="8.85546875" style="4" bestFit="1" customWidth="1"/>
    <col min="12" max="12" width="9.42578125" style="4" bestFit="1" customWidth="1"/>
    <col min="13" max="13" width="9.140625" style="4" bestFit="1" customWidth="1"/>
    <col min="14" max="16" width="9.28515625" style="4" bestFit="1" customWidth="1"/>
    <col min="17" max="20" width="9.42578125" style="4" bestFit="1" customWidth="1"/>
    <col min="21" max="21" width="10" style="4" bestFit="1" customWidth="1"/>
    <col min="22" max="22" width="9.85546875" style="4" bestFit="1" customWidth="1"/>
    <col min="23" max="23" width="10" style="4" bestFit="1" customWidth="1"/>
    <col min="24" max="25" width="9.85546875" style="4" bestFit="1" customWidth="1"/>
    <col min="26" max="26" width="10.140625" style="4" bestFit="1" customWidth="1"/>
    <col min="27" max="28" width="10" style="4" bestFit="1" customWidth="1"/>
    <col min="29" max="29" width="10.42578125" style="4" bestFit="1" customWidth="1"/>
  </cols>
  <sheetData>
    <row r="1" spans="1:30" ht="20.25" x14ac:dyDescent="0.3">
      <c r="A1" s="370" t="s">
        <v>105</v>
      </c>
      <c r="B1" s="370"/>
      <c r="C1" s="370"/>
      <c r="D1" s="370"/>
      <c r="E1" s="370"/>
      <c r="F1" s="370"/>
      <c r="G1" s="370"/>
      <c r="H1" s="370"/>
      <c r="I1" s="370"/>
      <c r="J1" s="370"/>
      <c r="K1" s="370"/>
      <c r="L1" s="370"/>
    </row>
    <row r="2" spans="1:30" x14ac:dyDescent="0.2">
      <c r="A2" s="58"/>
      <c r="B2" s="58"/>
      <c r="C2" s="58"/>
      <c r="D2" s="58"/>
      <c r="E2" s="58"/>
      <c r="F2" s="58"/>
      <c r="G2" s="58"/>
      <c r="H2" s="58"/>
      <c r="I2" s="58"/>
      <c r="J2" s="58"/>
      <c r="K2" s="58"/>
      <c r="L2" s="58"/>
    </row>
    <row r="3" spans="1:30" x14ac:dyDescent="0.2">
      <c r="A3" s="58" t="s">
        <v>9</v>
      </c>
      <c r="B3" s="58"/>
      <c r="C3" s="58"/>
      <c r="D3" s="58"/>
      <c r="E3" s="58" t="s">
        <v>1</v>
      </c>
      <c r="F3" s="58"/>
      <c r="G3" s="58"/>
      <c r="H3" s="58"/>
      <c r="I3" s="58"/>
      <c r="J3" s="58"/>
      <c r="K3" s="58"/>
      <c r="L3" s="58"/>
    </row>
    <row r="4" spans="1:30" x14ac:dyDescent="0.2">
      <c r="A4" s="58"/>
      <c r="B4" s="58"/>
      <c r="C4" s="58"/>
      <c r="D4" s="58"/>
      <c r="E4" s="58"/>
      <c r="F4" s="58"/>
      <c r="G4" s="58"/>
      <c r="H4" s="58"/>
      <c r="I4" s="58"/>
      <c r="J4" s="58"/>
      <c r="K4" s="58"/>
      <c r="L4" s="58"/>
    </row>
    <row r="5" spans="1:30" x14ac:dyDescent="0.2">
      <c r="A5" s="58"/>
      <c r="B5" s="58"/>
      <c r="C5" s="58"/>
      <c r="D5" s="58"/>
      <c r="E5" s="58"/>
      <c r="F5" s="58"/>
      <c r="G5" s="58"/>
      <c r="H5" s="58"/>
      <c r="I5" s="58"/>
      <c r="J5" s="58"/>
      <c r="K5" s="58"/>
      <c r="L5" s="58"/>
    </row>
    <row r="6" spans="1:30" x14ac:dyDescent="0.2">
      <c r="A6" s="58"/>
      <c r="B6" s="58"/>
      <c r="C6" s="58"/>
      <c r="D6" s="58"/>
      <c r="E6" s="58"/>
      <c r="F6" s="58"/>
      <c r="G6" s="58"/>
      <c r="H6" s="58"/>
      <c r="I6" s="58"/>
      <c r="J6" s="58"/>
      <c r="K6" s="58"/>
      <c r="L6" s="58"/>
    </row>
    <row r="7" spans="1:30" x14ac:dyDescent="0.2">
      <c r="A7" s="58"/>
      <c r="B7" s="58"/>
      <c r="C7" s="58"/>
      <c r="D7" s="58"/>
      <c r="E7" s="58"/>
      <c r="F7" s="58"/>
      <c r="G7" s="58"/>
      <c r="H7" s="58"/>
      <c r="I7" s="58"/>
      <c r="J7" s="58"/>
      <c r="K7" s="58"/>
      <c r="L7" s="58"/>
    </row>
    <row r="8" spans="1:30" x14ac:dyDescent="0.2">
      <c r="A8" s="58"/>
      <c r="B8" s="58"/>
      <c r="C8" s="58"/>
      <c r="D8" s="58"/>
      <c r="E8" s="58"/>
      <c r="F8" s="58"/>
      <c r="G8" s="58"/>
      <c r="H8" s="58"/>
      <c r="I8" s="58"/>
      <c r="J8" s="58"/>
      <c r="K8" s="58"/>
      <c r="L8" s="58"/>
    </row>
    <row r="9" spans="1:30" x14ac:dyDescent="0.2">
      <c r="A9" s="58"/>
      <c r="B9" s="58"/>
      <c r="C9" s="58"/>
      <c r="D9" s="58"/>
      <c r="E9" s="58"/>
      <c r="F9" s="58"/>
      <c r="G9" s="58"/>
      <c r="H9" s="58"/>
      <c r="I9" s="58"/>
      <c r="J9" s="58"/>
      <c r="K9" s="58"/>
      <c r="L9" s="58"/>
    </row>
    <row r="10" spans="1:30" x14ac:dyDescent="0.2">
      <c r="A10" s="58"/>
      <c r="B10" s="58"/>
      <c r="C10" s="58"/>
      <c r="D10" s="58"/>
      <c r="E10" s="58"/>
      <c r="F10" s="58"/>
      <c r="G10" s="58"/>
      <c r="H10" s="58"/>
      <c r="I10" s="58"/>
      <c r="J10" s="58"/>
      <c r="K10" s="58"/>
      <c r="L10" s="58"/>
    </row>
    <row r="11" spans="1:30" x14ac:dyDescent="0.2">
      <c r="A11" s="58"/>
      <c r="B11" s="58"/>
      <c r="C11" s="58"/>
      <c r="D11" s="58"/>
      <c r="E11" s="58"/>
      <c r="F11" s="58"/>
      <c r="G11" s="58"/>
      <c r="H11" s="58"/>
      <c r="I11" s="58"/>
      <c r="J11" s="58"/>
      <c r="K11" s="58"/>
      <c r="L11" s="58"/>
    </row>
    <row r="12" spans="1:30" x14ac:dyDescent="0.2">
      <c r="A12" s="58"/>
      <c r="B12" s="58"/>
      <c r="C12" s="58"/>
      <c r="D12" s="58"/>
      <c r="E12" s="58"/>
      <c r="F12" s="58"/>
      <c r="G12" s="58"/>
      <c r="H12" s="58"/>
      <c r="I12" s="58"/>
      <c r="J12" s="58"/>
      <c r="K12" s="58"/>
      <c r="L12" s="58"/>
      <c r="Z12" s="1"/>
    </row>
    <row r="13" spans="1:30" x14ac:dyDescent="0.2">
      <c r="A13" s="58"/>
      <c r="B13" s="58"/>
      <c r="C13" s="58"/>
      <c r="D13" s="58"/>
      <c r="E13" s="58"/>
      <c r="F13" s="58"/>
      <c r="G13" s="58"/>
      <c r="H13" s="58"/>
      <c r="I13" s="58"/>
      <c r="J13" s="58"/>
      <c r="K13" s="58"/>
      <c r="L13" s="58"/>
    </row>
    <row r="14" spans="1:30" x14ac:dyDescent="0.2">
      <c r="A14" s="58"/>
      <c r="B14" s="58"/>
      <c r="C14" s="58"/>
      <c r="D14" s="58"/>
      <c r="E14" s="58"/>
      <c r="F14" s="58"/>
      <c r="G14" s="58"/>
      <c r="H14" s="58"/>
      <c r="I14" s="58"/>
      <c r="J14" s="58"/>
      <c r="K14" s="58"/>
      <c r="L14" s="58"/>
    </row>
    <row r="15" spans="1:30" x14ac:dyDescent="0.2">
      <c r="A15" s="58"/>
      <c r="B15" s="58"/>
      <c r="C15" s="58"/>
      <c r="D15" s="58"/>
      <c r="E15" s="58"/>
      <c r="F15" s="58"/>
      <c r="G15" s="58"/>
      <c r="H15" s="58"/>
      <c r="I15" s="58"/>
      <c r="J15" s="58"/>
      <c r="K15" s="58"/>
      <c r="L15" s="58"/>
      <c r="AD15" s="88"/>
    </row>
    <row r="16" spans="1:30" x14ac:dyDescent="0.2">
      <c r="A16" s="58" t="s">
        <v>19</v>
      </c>
      <c r="B16" s="58"/>
      <c r="C16" s="58"/>
      <c r="D16" s="58"/>
      <c r="E16" s="58" t="s">
        <v>39</v>
      </c>
      <c r="F16" s="58"/>
      <c r="G16" s="58"/>
      <c r="H16" s="58"/>
      <c r="I16" s="58"/>
      <c r="J16" s="58"/>
      <c r="K16" s="58"/>
      <c r="L16" s="58"/>
      <c r="AD16" s="88"/>
    </row>
    <row r="17" spans="4:30" x14ac:dyDescent="0.2">
      <c r="AD17" s="88"/>
    </row>
    <row r="18" spans="4:30" x14ac:dyDescent="0.2">
      <c r="AD18" s="88"/>
    </row>
    <row r="19" spans="4:30" x14ac:dyDescent="0.2">
      <c r="AD19" s="88"/>
    </row>
    <row r="20" spans="4:30" x14ac:dyDescent="0.2">
      <c r="AD20" s="88"/>
    </row>
    <row r="21" spans="4:30" x14ac:dyDescent="0.2">
      <c r="AD21" s="88"/>
    </row>
    <row r="22" spans="4:30" x14ac:dyDescent="0.2">
      <c r="AD22" s="88"/>
    </row>
    <row r="23" spans="4:30" x14ac:dyDescent="0.2">
      <c r="AD23" s="88"/>
    </row>
    <row r="24" spans="4:30" x14ac:dyDescent="0.2">
      <c r="AD24" s="88"/>
    </row>
    <row r="25" spans="4:30" x14ac:dyDescent="0.2">
      <c r="AD25" s="88"/>
    </row>
    <row r="26" spans="4:30" x14ac:dyDescent="0.2">
      <c r="K26" s="138"/>
      <c r="AD26" s="88"/>
    </row>
    <row r="27" spans="4:30" x14ac:dyDescent="0.2">
      <c r="K27" s="138"/>
      <c r="AD27" s="88"/>
    </row>
    <row r="31" spans="4:30" x14ac:dyDescent="0.2">
      <c r="D31" s="148">
        <v>1E-3</v>
      </c>
      <c r="E31" s="149">
        <f>1/((1+$B$59+$D31)^(E35-2021))</f>
        <v>0.92250922509225108</v>
      </c>
      <c r="F31" s="149">
        <f t="shared" ref="F31:AC31" si="0">1/((1+$B$59+$D31)^(F35-2021))</f>
        <v>0.85102327038030556</v>
      </c>
      <c r="G31" s="149">
        <f t="shared" si="0"/>
        <v>0.78507681769400894</v>
      </c>
      <c r="H31" s="149">
        <f t="shared" si="0"/>
        <v>0.72424060672879054</v>
      </c>
      <c r="I31" s="149">
        <f t="shared" si="0"/>
        <v>0.66811864089371831</v>
      </c>
      <c r="J31" s="149">
        <f t="shared" si="0"/>
        <v>0.61634560968055208</v>
      </c>
      <c r="K31" s="149">
        <f t="shared" si="0"/>
        <v>0.56858451077541716</v>
      </c>
      <c r="L31" s="149">
        <f t="shared" si="0"/>
        <v>0.52452445643488677</v>
      </c>
      <c r="M31" s="149">
        <f t="shared" si="0"/>
        <v>0.48387864984768159</v>
      </c>
      <c r="N31" s="149">
        <f t="shared" si="0"/>
        <v>0.44638251830966935</v>
      </c>
      <c r="O31" s="149">
        <f t="shared" si="0"/>
        <v>0.41179199106058068</v>
      </c>
      <c r="P31" s="149">
        <f t="shared" si="0"/>
        <v>0.37988191057249149</v>
      </c>
      <c r="Q31" s="149">
        <f t="shared" si="0"/>
        <v>0.35044456694879283</v>
      </c>
      <c r="R31" s="149">
        <f t="shared" si="0"/>
        <v>0.32328834589372041</v>
      </c>
      <c r="S31" s="149">
        <f t="shared" si="0"/>
        <v>0.29823648145177167</v>
      </c>
      <c r="T31" s="149">
        <f t="shared" si="0"/>
        <v>0.27512590539831339</v>
      </c>
      <c r="U31" s="149">
        <f t="shared" si="0"/>
        <v>0.25380618579180203</v>
      </c>
      <c r="V31" s="149">
        <f t="shared" si="0"/>
        <v>0.2341385477784152</v>
      </c>
      <c r="W31" s="149">
        <f t="shared" si="0"/>
        <v>0.21599497027529083</v>
      </c>
      <c r="X31" s="149">
        <f t="shared" si="0"/>
        <v>0.19925735265248232</v>
      </c>
      <c r="Y31" s="149">
        <f t="shared" si="0"/>
        <v>0.18381674598937486</v>
      </c>
      <c r="Z31" s="149">
        <f t="shared" si="0"/>
        <v>0.16957264390163737</v>
      </c>
      <c r="AA31" s="149">
        <f t="shared" si="0"/>
        <v>0.1564323283225437</v>
      </c>
      <c r="AB31" s="149">
        <f t="shared" si="0"/>
        <v>0.14431026598020638</v>
      </c>
      <c r="AC31" s="149">
        <f t="shared" si="0"/>
        <v>0.13312755164225684</v>
      </c>
    </row>
    <row r="32" spans="4:30" x14ac:dyDescent="0.2">
      <c r="D32" s="150">
        <v>5.0000000000000001E-3</v>
      </c>
      <c r="E32" s="149">
        <f>1/((1+$B$59+$D32)^(E35-2021))</f>
        <v>0.91911764705882371</v>
      </c>
      <c r="F32" s="149">
        <f t="shared" ref="F32:AC32" si="1">1/((1+$B$59+$D32)^(F35-2021))</f>
        <v>0.84477724913494834</v>
      </c>
      <c r="G32" s="149">
        <f t="shared" si="1"/>
        <v>0.77644967751373939</v>
      </c>
      <c r="H32" s="149">
        <f t="shared" si="1"/>
        <v>0.71364860065601055</v>
      </c>
      <c r="I32" s="149">
        <f t="shared" si="1"/>
        <v>0.65592702266177449</v>
      </c>
      <c r="J32" s="149">
        <f t="shared" si="1"/>
        <v>0.60287410171118994</v>
      </c>
      <c r="K32" s="149">
        <f t="shared" si="1"/>
        <v>0.55411222583749076</v>
      </c>
      <c r="L32" s="149">
        <f t="shared" si="1"/>
        <v>0.509294325218282</v>
      </c>
      <c r="M32" s="149">
        <f t="shared" si="1"/>
        <v>0.46810140185503862</v>
      </c>
      <c r="N32" s="149">
        <f t="shared" si="1"/>
        <v>0.43024025905793994</v>
      </c>
      <c r="O32" s="149">
        <f t="shared" si="1"/>
        <v>0.39544141457531257</v>
      </c>
      <c r="P32" s="149">
        <f t="shared" si="1"/>
        <v>0.36345718251407405</v>
      </c>
      <c r="Q32" s="149">
        <f t="shared" si="1"/>
        <v>0.33405991039896515</v>
      </c>
      <c r="R32" s="149">
        <f t="shared" si="1"/>
        <v>0.30704035882257835</v>
      </c>
      <c r="S32" s="149">
        <f t="shared" si="1"/>
        <v>0.28220621215310515</v>
      </c>
      <c r="T32" s="149">
        <f t="shared" si="1"/>
        <v>0.25938070969954519</v>
      </c>
      <c r="U32" s="149">
        <f t="shared" si="1"/>
        <v>0.23840138759149374</v>
      </c>
      <c r="V32" s="149">
        <f t="shared" si="1"/>
        <v>0.21911892241865238</v>
      </c>
      <c r="W32" s="149">
        <f t="shared" si="1"/>
        <v>0.2013960683994967</v>
      </c>
      <c r="X32" s="149">
        <f t="shared" si="1"/>
        <v>0.18510668051424331</v>
      </c>
      <c r="Y32" s="149">
        <f t="shared" si="1"/>
        <v>0.17013481664912072</v>
      </c>
      <c r="Z32" s="149">
        <f t="shared" si="1"/>
        <v>0.15637391236132422</v>
      </c>
      <c r="AA32" s="149">
        <f t="shared" si="1"/>
        <v>0.143726022390923</v>
      </c>
      <c r="AB32" s="149">
        <f t="shared" si="1"/>
        <v>0.13210112352106895</v>
      </c>
      <c r="AC32" s="149">
        <f t="shared" si="1"/>
        <v>0.1214164738245119</v>
      </c>
    </row>
    <row r="33" spans="1:30" x14ac:dyDescent="0.2">
      <c r="D33" s="98" t="s">
        <v>196</v>
      </c>
      <c r="E33" s="149">
        <f>1/((1+$B$59)^(E35-2021))</f>
        <v>0.92336103416435833</v>
      </c>
      <c r="F33" s="149">
        <f t="shared" ref="F33:AC33" si="2">1/((1+$B$59)^(F35-2021))</f>
        <v>0.85259559941307328</v>
      </c>
      <c r="G33" s="149">
        <f t="shared" si="2"/>
        <v>0.78725355439803635</v>
      </c>
      <c r="H33" s="149">
        <f t="shared" si="2"/>
        <v>0.72691925613853769</v>
      </c>
      <c r="I33" s="149">
        <f t="shared" si="2"/>
        <v>0.67120891610206623</v>
      </c>
      <c r="J33" s="149">
        <f t="shared" si="2"/>
        <v>0.61976815891234194</v>
      </c>
      <c r="K33" s="149">
        <f t="shared" si="2"/>
        <v>0.57226976815544039</v>
      </c>
      <c r="L33" s="149">
        <f t="shared" si="2"/>
        <v>0.52841160494500505</v>
      </c>
      <c r="M33" s="149">
        <f t="shared" si="2"/>
        <v>0.48791468600646815</v>
      </c>
      <c r="N33" s="149">
        <f t="shared" si="2"/>
        <v>0.45052140905491062</v>
      </c>
      <c r="O33" s="149">
        <f t="shared" si="2"/>
        <v>0.4159939141781262</v>
      </c>
      <c r="P33" s="149">
        <f t="shared" si="2"/>
        <v>0.38411257080159389</v>
      </c>
      <c r="Q33" s="149">
        <f t="shared" si="2"/>
        <v>0.35467458061089008</v>
      </c>
      <c r="R33" s="149">
        <f t="shared" si="2"/>
        <v>0.32749268754468147</v>
      </c>
      <c r="S33" s="149">
        <f t="shared" si="2"/>
        <v>0.30239398665252215</v>
      </c>
      <c r="T33" s="149">
        <f t="shared" si="2"/>
        <v>0.27921882424055605</v>
      </c>
      <c r="U33" s="149">
        <f t="shared" si="2"/>
        <v>0.25781978230891606</v>
      </c>
      <c r="V33" s="149">
        <f t="shared" si="2"/>
        <v>0.23806074082079043</v>
      </c>
      <c r="W33" s="149">
        <f t="shared" si="2"/>
        <v>0.21981601183821831</v>
      </c>
      <c r="X33" s="149">
        <f t="shared" si="2"/>
        <v>0.2029695400168221</v>
      </c>
      <c r="Y33" s="149">
        <f t="shared" si="2"/>
        <v>0.18741416437379693</v>
      </c>
      <c r="Z33" s="149">
        <f t="shared" si="2"/>
        <v>0.1730509366332382</v>
      </c>
      <c r="AA33" s="149">
        <f t="shared" si="2"/>
        <v>0.15978849181277768</v>
      </c>
      <c r="AB33" s="149">
        <f t="shared" si="2"/>
        <v>0.14754246704780949</v>
      </c>
      <c r="AC33" s="149">
        <f t="shared" si="2"/>
        <v>0.13623496495642612</v>
      </c>
    </row>
    <row r="35" spans="1:30" x14ac:dyDescent="0.2">
      <c r="B35" s="29" t="s">
        <v>170</v>
      </c>
      <c r="C35" s="29" t="s">
        <v>187</v>
      </c>
      <c r="D35" s="12">
        <v>2021</v>
      </c>
      <c r="E35" s="12">
        <f>D35+1</f>
        <v>2022</v>
      </c>
      <c r="F35" s="12">
        <f t="shared" ref="F35:AC35" si="3">E35+1</f>
        <v>2023</v>
      </c>
      <c r="G35" s="12">
        <f t="shared" si="3"/>
        <v>2024</v>
      </c>
      <c r="H35" s="12">
        <f t="shared" si="3"/>
        <v>2025</v>
      </c>
      <c r="I35" s="12">
        <f t="shared" si="3"/>
        <v>2026</v>
      </c>
      <c r="J35" s="12">
        <f t="shared" si="3"/>
        <v>2027</v>
      </c>
      <c r="K35" s="12">
        <f t="shared" si="3"/>
        <v>2028</v>
      </c>
      <c r="L35" s="12">
        <f t="shared" si="3"/>
        <v>2029</v>
      </c>
      <c r="M35" s="12">
        <f t="shared" si="3"/>
        <v>2030</v>
      </c>
      <c r="N35" s="12">
        <f t="shared" si="3"/>
        <v>2031</v>
      </c>
      <c r="O35" s="12">
        <f t="shared" si="3"/>
        <v>2032</v>
      </c>
      <c r="P35" s="12">
        <f t="shared" si="3"/>
        <v>2033</v>
      </c>
      <c r="Q35" s="12">
        <f t="shared" si="3"/>
        <v>2034</v>
      </c>
      <c r="R35" s="12">
        <f t="shared" si="3"/>
        <v>2035</v>
      </c>
      <c r="S35" s="12">
        <f t="shared" si="3"/>
        <v>2036</v>
      </c>
      <c r="T35" s="12">
        <f t="shared" si="3"/>
        <v>2037</v>
      </c>
      <c r="U35" s="12">
        <f t="shared" si="3"/>
        <v>2038</v>
      </c>
      <c r="V35" s="12">
        <f t="shared" si="3"/>
        <v>2039</v>
      </c>
      <c r="W35" s="12">
        <f t="shared" si="3"/>
        <v>2040</v>
      </c>
      <c r="X35" s="12">
        <f t="shared" si="3"/>
        <v>2041</v>
      </c>
      <c r="Y35" s="12">
        <f t="shared" si="3"/>
        <v>2042</v>
      </c>
      <c r="Z35" s="12">
        <f t="shared" si="3"/>
        <v>2043</v>
      </c>
      <c r="AA35" s="12">
        <f t="shared" si="3"/>
        <v>2044</v>
      </c>
      <c r="AB35" s="12">
        <f t="shared" si="3"/>
        <v>2045</v>
      </c>
      <c r="AC35" s="12">
        <f t="shared" si="3"/>
        <v>2046</v>
      </c>
    </row>
    <row r="36" spans="1:30" s="15" customFormat="1" x14ac:dyDescent="0.2">
      <c r="A36" s="26" t="s">
        <v>10</v>
      </c>
      <c r="B36" s="47">
        <f>OP!O34</f>
        <v>0.23038039804132948</v>
      </c>
      <c r="C36" s="47">
        <f>OP!O35</f>
        <v>0.34520984102363883</v>
      </c>
      <c r="D36" s="139">
        <v>0.35</v>
      </c>
      <c r="E36" s="139">
        <v>3.4000000000000002E-2</v>
      </c>
      <c r="F36" s="139">
        <v>9.5000000000000001E-2</v>
      </c>
      <c r="G36" s="139">
        <v>9.5000000000000001E-2</v>
      </c>
      <c r="H36" s="139">
        <v>9.5000000000000001E-2</v>
      </c>
      <c r="I36" s="139">
        <v>9.5000000000000001E-2</v>
      </c>
      <c r="J36" s="139">
        <v>9.5000000000000001E-2</v>
      </c>
      <c r="K36" s="47">
        <v>0.08</v>
      </c>
      <c r="L36" s="47">
        <v>0.06</v>
      </c>
      <c r="M36" s="47">
        <v>0.05</v>
      </c>
      <c r="N36" s="47">
        <v>0.04</v>
      </c>
      <c r="O36" s="47">
        <v>3.5000000000000003E-2</v>
      </c>
      <c r="P36" s="47">
        <v>3.5000000000000003E-2</v>
      </c>
      <c r="Q36" s="47">
        <v>3.5000000000000003E-2</v>
      </c>
      <c r="R36" s="47">
        <v>3.5000000000000003E-2</v>
      </c>
      <c r="S36" s="47">
        <v>3.5000000000000003E-2</v>
      </c>
      <c r="T36" s="47">
        <v>3.5000000000000003E-2</v>
      </c>
      <c r="U36" s="47">
        <v>3.5000000000000003E-2</v>
      </c>
      <c r="V36" s="47">
        <v>3.5000000000000003E-2</v>
      </c>
      <c r="W36" s="47">
        <v>3.5000000000000003E-2</v>
      </c>
      <c r="X36" s="47">
        <v>3.5000000000000003E-2</v>
      </c>
      <c r="Y36" s="47">
        <v>3.5000000000000003E-2</v>
      </c>
      <c r="Z36" s="47">
        <v>3.5000000000000003E-2</v>
      </c>
      <c r="AA36" s="47">
        <v>3.5000000000000003E-2</v>
      </c>
      <c r="AB36" s="47">
        <v>3.5000000000000003E-2</v>
      </c>
      <c r="AC36" s="47">
        <v>3.5000000000000003E-2</v>
      </c>
    </row>
    <row r="37" spans="1:30" s="7" customFormat="1" x14ac:dyDescent="0.2">
      <c r="A37" s="13" t="s">
        <v>9</v>
      </c>
      <c r="B37" s="65">
        <f>OP!C34</f>
        <v>3936.623</v>
      </c>
      <c r="C37" s="65">
        <f>OP!C35</f>
        <v>5295.5839999999998</v>
      </c>
      <c r="D37" s="1">
        <f>OP!C34*(1+D36)</f>
        <v>5314.4410500000004</v>
      </c>
      <c r="E37" s="1">
        <f t="shared" ref="E37:AC37" si="4">D37*(1+E36)</f>
        <v>5495.1320457000002</v>
      </c>
      <c r="F37" s="1">
        <f t="shared" si="4"/>
        <v>6017.1695900414998</v>
      </c>
      <c r="G37" s="1">
        <f t="shared" si="4"/>
        <v>6588.8007010954425</v>
      </c>
      <c r="H37" s="1">
        <f t="shared" si="4"/>
        <v>7214.7367676995091</v>
      </c>
      <c r="I37" s="1">
        <f t="shared" si="4"/>
        <v>7900.1367606309623</v>
      </c>
      <c r="J37" s="1">
        <f t="shared" si="4"/>
        <v>8650.649752890904</v>
      </c>
      <c r="K37" s="1">
        <f t="shared" si="4"/>
        <v>9342.7017331221778</v>
      </c>
      <c r="L37" s="1">
        <f t="shared" si="4"/>
        <v>9903.263837109509</v>
      </c>
      <c r="M37" s="1">
        <f t="shared" si="4"/>
        <v>10398.427028964985</v>
      </c>
      <c r="N37" s="1">
        <f t="shared" si="4"/>
        <v>10814.364110123584</v>
      </c>
      <c r="O37" s="1">
        <f t="shared" si="4"/>
        <v>11192.866853977908</v>
      </c>
      <c r="P37" s="1">
        <f t="shared" si="4"/>
        <v>11584.617193867134</v>
      </c>
      <c r="Q37" s="1">
        <f t="shared" si="4"/>
        <v>11990.078795652484</v>
      </c>
      <c r="R37" s="1">
        <f t="shared" si="4"/>
        <v>12409.73155350032</v>
      </c>
      <c r="S37" s="1">
        <f t="shared" si="4"/>
        <v>12844.07215787283</v>
      </c>
      <c r="T37" s="1">
        <f t="shared" si="4"/>
        <v>13293.614683398378</v>
      </c>
      <c r="U37" s="1">
        <f t="shared" si="4"/>
        <v>13758.89119731732</v>
      </c>
      <c r="V37" s="1">
        <f t="shared" si="4"/>
        <v>14240.452389223425</v>
      </c>
      <c r="W37" s="1">
        <f t="shared" si="4"/>
        <v>14738.868222846244</v>
      </c>
      <c r="X37" s="1">
        <f t="shared" si="4"/>
        <v>15254.728610645861</v>
      </c>
      <c r="Y37" s="1">
        <f t="shared" si="4"/>
        <v>15788.644112018465</v>
      </c>
      <c r="Z37" s="1">
        <f t="shared" si="4"/>
        <v>16341.246655939109</v>
      </c>
      <c r="AA37" s="1">
        <f t="shared" si="4"/>
        <v>16913.190288896974</v>
      </c>
      <c r="AB37" s="1">
        <f t="shared" si="4"/>
        <v>17505.151949008367</v>
      </c>
      <c r="AC37" s="1">
        <f t="shared" si="4"/>
        <v>18117.832267223657</v>
      </c>
    </row>
    <row r="38" spans="1:30" s="15" customFormat="1" x14ac:dyDescent="0.2">
      <c r="A38" s="26" t="s">
        <v>1</v>
      </c>
      <c r="B38" s="80">
        <f>+OP!D34</f>
        <v>0.1179</v>
      </c>
      <c r="C38" s="80">
        <f>+OP!D35</f>
        <v>0.1573</v>
      </c>
      <c r="D38" s="139">
        <f>108166.4/365513.2</f>
        <v>0.29593021537936248</v>
      </c>
      <c r="E38" s="139">
        <f>108162.8/377959.8</f>
        <v>0.28617540807249875</v>
      </c>
      <c r="F38" s="139">
        <v>0.27</v>
      </c>
      <c r="G38" s="139">
        <v>0.27500000000000002</v>
      </c>
      <c r="H38" s="139">
        <v>0.26</v>
      </c>
      <c r="I38" s="139">
        <v>0.255</v>
      </c>
      <c r="J38" s="139">
        <v>0.25</v>
      </c>
      <c r="K38" s="47">
        <v>0.25</v>
      </c>
      <c r="L38" s="47">
        <v>0.25</v>
      </c>
      <c r="M38" s="47">
        <v>0.25</v>
      </c>
      <c r="N38" s="47">
        <v>0.25</v>
      </c>
      <c r="O38" s="47">
        <v>0.25</v>
      </c>
      <c r="P38" s="47">
        <v>0.25</v>
      </c>
      <c r="Q38" s="47">
        <v>0.25</v>
      </c>
      <c r="R38" s="47">
        <v>0.25</v>
      </c>
      <c r="S38" s="47">
        <v>0.25</v>
      </c>
      <c r="T38" s="47">
        <v>0.25</v>
      </c>
      <c r="U38" s="47">
        <v>0.25</v>
      </c>
      <c r="V38" s="47">
        <v>0.25</v>
      </c>
      <c r="W38" s="47">
        <v>0.25</v>
      </c>
      <c r="X38" s="47">
        <v>0.25</v>
      </c>
      <c r="Y38" s="47">
        <v>0.25</v>
      </c>
      <c r="Z38" s="47">
        <v>0.25</v>
      </c>
      <c r="AA38" s="47">
        <v>0.25</v>
      </c>
      <c r="AB38" s="47">
        <v>0.25</v>
      </c>
      <c r="AC38" s="47">
        <v>0.25</v>
      </c>
    </row>
    <row r="39" spans="1:30" x14ac:dyDescent="0.2">
      <c r="A39" s="11" t="s">
        <v>3</v>
      </c>
      <c r="B39" s="65">
        <v>63930</v>
      </c>
      <c r="C39" s="65">
        <v>66288</v>
      </c>
      <c r="D39" s="1">
        <f t="shared" ref="D39:AC39" si="5">D37*D38</f>
        <v>1572.7036845474254</v>
      </c>
      <c r="E39" s="1">
        <f t="shared" si="5"/>
        <v>1572.5716555904623</v>
      </c>
      <c r="F39" s="1">
        <f t="shared" si="5"/>
        <v>1624.6357893112051</v>
      </c>
      <c r="G39" s="1">
        <f t="shared" si="5"/>
        <v>1811.9201928012469</v>
      </c>
      <c r="H39" s="1">
        <f t="shared" si="5"/>
        <v>1875.8315596018724</v>
      </c>
      <c r="I39" s="1">
        <f t="shared" si="5"/>
        <v>2014.5348739608953</v>
      </c>
      <c r="J39" s="1">
        <f t="shared" si="5"/>
        <v>2162.662438222726</v>
      </c>
      <c r="K39" s="1">
        <f t="shared" si="5"/>
        <v>2335.6754332805444</v>
      </c>
      <c r="L39" s="1">
        <f t="shared" si="5"/>
        <v>2475.8159592773773</v>
      </c>
      <c r="M39" s="1">
        <f t="shared" si="5"/>
        <v>2599.6067572412462</v>
      </c>
      <c r="N39" s="1">
        <f t="shared" si="5"/>
        <v>2703.5910275308961</v>
      </c>
      <c r="O39" s="1">
        <f t="shared" si="5"/>
        <v>2798.2167134944771</v>
      </c>
      <c r="P39" s="1">
        <f t="shared" si="5"/>
        <v>2896.1542984667835</v>
      </c>
      <c r="Q39" s="1">
        <f t="shared" si="5"/>
        <v>2997.5196989131209</v>
      </c>
      <c r="R39" s="1">
        <f t="shared" si="5"/>
        <v>3102.43288837508</v>
      </c>
      <c r="S39" s="1">
        <f t="shared" si="5"/>
        <v>3211.0180394682075</v>
      </c>
      <c r="T39" s="1">
        <f t="shared" si="5"/>
        <v>3323.4036708495946</v>
      </c>
      <c r="U39" s="1">
        <f t="shared" si="5"/>
        <v>3439.72279932933</v>
      </c>
      <c r="V39" s="1">
        <f t="shared" si="5"/>
        <v>3560.1130973058562</v>
      </c>
      <c r="W39" s="1">
        <f t="shared" si="5"/>
        <v>3684.717055711561</v>
      </c>
      <c r="X39" s="1">
        <f t="shared" si="5"/>
        <v>3813.6821526614654</v>
      </c>
      <c r="Y39" s="1">
        <f t="shared" si="5"/>
        <v>3947.1610280046161</v>
      </c>
      <c r="Z39" s="1">
        <f t="shared" si="5"/>
        <v>4085.3116639847772</v>
      </c>
      <c r="AA39" s="1">
        <f t="shared" si="5"/>
        <v>4228.2975722242436</v>
      </c>
      <c r="AB39" s="1">
        <f t="shared" si="5"/>
        <v>4376.2879872520916</v>
      </c>
      <c r="AC39" s="1">
        <f t="shared" si="5"/>
        <v>4529.4580668059143</v>
      </c>
    </row>
    <row r="40" spans="1:30" x14ac:dyDescent="0.2">
      <c r="A40" s="11" t="s">
        <v>21</v>
      </c>
      <c r="B40" s="65">
        <f>OP!H34</f>
        <v>27.966999999999999</v>
      </c>
      <c r="C40" s="65">
        <f>OP!H35</f>
        <v>28.286999999999999</v>
      </c>
      <c r="D40" s="1">
        <v>11000</v>
      </c>
      <c r="E40" s="1">
        <f>D40*(1+E36*$H$59)</f>
        <v>11374</v>
      </c>
      <c r="F40" s="1">
        <f>E40*(1+F36*$H$59)</f>
        <v>12454.529999999999</v>
      </c>
      <c r="G40" s="1">
        <f>F40*(1+G36*$H$59)</f>
        <v>13637.710349999998</v>
      </c>
      <c r="H40" s="1">
        <f>G40*(1+H36*$H$59)</f>
        <v>14933.292833249998</v>
      </c>
      <c r="I40" s="1">
        <f t="shared" ref="I40:AC40" si="6">H40*(1+I36*$I$59)</f>
        <v>16351.955652408747</v>
      </c>
      <c r="J40" s="1">
        <f t="shared" si="6"/>
        <v>17905.391439387578</v>
      </c>
      <c r="K40" s="1">
        <f t="shared" si="6"/>
        <v>19337.822754538585</v>
      </c>
      <c r="L40" s="1">
        <f t="shared" si="6"/>
        <v>20498.092119810903</v>
      </c>
      <c r="M40" s="1">
        <f t="shared" si="6"/>
        <v>21522.996725801448</v>
      </c>
      <c r="N40" s="1">
        <f t="shared" si="6"/>
        <v>22383.916594833507</v>
      </c>
      <c r="O40" s="1">
        <f t="shared" si="6"/>
        <v>23167.353675652677</v>
      </c>
      <c r="P40" s="1">
        <f t="shared" si="6"/>
        <v>23978.211054300518</v>
      </c>
      <c r="Q40" s="1">
        <f t="shared" si="6"/>
        <v>24817.448441201035</v>
      </c>
      <c r="R40" s="1">
        <f t="shared" si="6"/>
        <v>25686.059136643071</v>
      </c>
      <c r="S40" s="1">
        <f t="shared" si="6"/>
        <v>26585.071206425575</v>
      </c>
      <c r="T40" s="1">
        <f t="shared" si="6"/>
        <v>27515.548698650469</v>
      </c>
      <c r="U40" s="1">
        <f t="shared" si="6"/>
        <v>28478.592903103232</v>
      </c>
      <c r="V40" s="1">
        <f t="shared" si="6"/>
        <v>29475.343654711844</v>
      </c>
      <c r="W40" s="1">
        <f t="shared" si="6"/>
        <v>30506.980682626756</v>
      </c>
      <c r="X40" s="1">
        <f t="shared" si="6"/>
        <v>31574.725006518689</v>
      </c>
      <c r="Y40" s="1">
        <f t="shared" si="6"/>
        <v>32679.840381746839</v>
      </c>
      <c r="Z40" s="1">
        <f t="shared" si="6"/>
        <v>33823.634795107973</v>
      </c>
      <c r="AA40" s="1">
        <f t="shared" si="6"/>
        <v>35007.462012936747</v>
      </c>
      <c r="AB40" s="1">
        <f t="shared" si="6"/>
        <v>36232.723183389528</v>
      </c>
      <c r="AC40" s="1">
        <f t="shared" si="6"/>
        <v>37500.868494808157</v>
      </c>
      <c r="AD40" s="1"/>
    </row>
    <row r="41" spans="1:30" s="7" customFormat="1" x14ac:dyDescent="0.2">
      <c r="A41" s="13" t="s">
        <v>22</v>
      </c>
      <c r="B41" s="65">
        <f>+B39+B40</f>
        <v>63957.966999999997</v>
      </c>
      <c r="C41" s="65">
        <f>+C39+C40</f>
        <v>66316.286999999997</v>
      </c>
      <c r="D41" s="1">
        <f>D39+D40</f>
        <v>12572.703684547425</v>
      </c>
      <c r="E41" s="1">
        <f t="shared" ref="E41:AC41" si="7">E39+E40</f>
        <v>12946.571655590462</v>
      </c>
      <c r="F41" s="1">
        <f t="shared" si="7"/>
        <v>14079.165789311204</v>
      </c>
      <c r="G41" s="1">
        <f t="shared" si="7"/>
        <v>15449.630542801244</v>
      </c>
      <c r="H41" s="1">
        <f t="shared" si="7"/>
        <v>16809.124392851871</v>
      </c>
      <c r="I41" s="1">
        <f t="shared" si="7"/>
        <v>18366.490526369642</v>
      </c>
      <c r="J41" s="1">
        <f t="shared" si="7"/>
        <v>20068.053877610306</v>
      </c>
      <c r="K41" s="1">
        <f t="shared" si="7"/>
        <v>21673.498187819128</v>
      </c>
      <c r="L41" s="1">
        <f t="shared" si="7"/>
        <v>22973.90807908828</v>
      </c>
      <c r="M41" s="1">
        <f t="shared" si="7"/>
        <v>24122.603483042694</v>
      </c>
      <c r="N41" s="1">
        <f t="shared" si="7"/>
        <v>25087.507622364403</v>
      </c>
      <c r="O41" s="1">
        <f t="shared" si="7"/>
        <v>25965.570389147153</v>
      </c>
      <c r="P41" s="1">
        <f t="shared" si="7"/>
        <v>26874.365352767301</v>
      </c>
      <c r="Q41" s="1">
        <f t="shared" si="7"/>
        <v>27814.968140114157</v>
      </c>
      <c r="R41" s="1">
        <f t="shared" si="7"/>
        <v>28788.492025018149</v>
      </c>
      <c r="S41" s="1">
        <f t="shared" si="7"/>
        <v>29796.089245893781</v>
      </c>
      <c r="T41" s="1">
        <f t="shared" si="7"/>
        <v>30838.952369500064</v>
      </c>
      <c r="U41" s="1">
        <f t="shared" si="7"/>
        <v>31918.315702432563</v>
      </c>
      <c r="V41" s="1">
        <f t="shared" si="7"/>
        <v>33035.456752017701</v>
      </c>
      <c r="W41" s="1">
        <f t="shared" si="7"/>
        <v>34191.69773833832</v>
      </c>
      <c r="X41" s="1">
        <f t="shared" si="7"/>
        <v>35388.407159180155</v>
      </c>
      <c r="Y41" s="1">
        <f t="shared" si="7"/>
        <v>36627.001409751458</v>
      </c>
      <c r="Z41" s="1">
        <f t="shared" si="7"/>
        <v>37908.946459092753</v>
      </c>
      <c r="AA41" s="1">
        <f t="shared" si="7"/>
        <v>39235.759585160988</v>
      </c>
      <c r="AB41" s="1">
        <f t="shared" si="7"/>
        <v>40609.011170641621</v>
      </c>
      <c r="AC41" s="1">
        <f t="shared" si="7"/>
        <v>42030.326561614071</v>
      </c>
    </row>
    <row r="42" spans="1:30" s="15" customFormat="1" x14ac:dyDescent="0.2">
      <c r="A42" s="27" t="s">
        <v>171</v>
      </c>
      <c r="B42" s="28">
        <v>-1385</v>
      </c>
      <c r="C42" s="28">
        <v>-890</v>
      </c>
      <c r="D42" s="28">
        <f t="shared" ref="D42:AC42" si="8">(C48)*$H$60</f>
        <v>-1124.3600000000001</v>
      </c>
      <c r="E42" s="28">
        <f t="shared" si="8"/>
        <v>-1113.1164000000001</v>
      </c>
      <c r="F42" s="28">
        <f t="shared" si="8"/>
        <v>-1113.1164000000001</v>
      </c>
      <c r="G42" s="28">
        <f t="shared" si="8"/>
        <v>-1113.1164000000001</v>
      </c>
      <c r="H42" s="28">
        <f t="shared" si="8"/>
        <v>-1113.1164000000001</v>
      </c>
      <c r="I42" s="28">
        <f t="shared" si="8"/>
        <v>-1113.1164000000001</v>
      </c>
      <c r="J42" s="28">
        <f t="shared" si="8"/>
        <v>-1113.1164000000001</v>
      </c>
      <c r="K42" s="28">
        <f t="shared" si="8"/>
        <v>-1113.1164000000001</v>
      </c>
      <c r="L42" s="28">
        <f t="shared" si="8"/>
        <v>-1113.1164000000001</v>
      </c>
      <c r="M42" s="28">
        <f t="shared" si="8"/>
        <v>-1113.1164000000001</v>
      </c>
      <c r="N42" s="28">
        <f t="shared" si="8"/>
        <v>-1113.1164000000001</v>
      </c>
      <c r="O42" s="28">
        <f t="shared" si="8"/>
        <v>-1113.1164000000001</v>
      </c>
      <c r="P42" s="28">
        <f t="shared" si="8"/>
        <v>-1113.1164000000001</v>
      </c>
      <c r="Q42" s="28">
        <f t="shared" si="8"/>
        <v>-1113.1164000000001</v>
      </c>
      <c r="R42" s="28">
        <f t="shared" si="8"/>
        <v>-1113.1164000000001</v>
      </c>
      <c r="S42" s="28">
        <f t="shared" si="8"/>
        <v>-1113.1164000000001</v>
      </c>
      <c r="T42" s="28">
        <f t="shared" si="8"/>
        <v>-1113.1164000000001</v>
      </c>
      <c r="U42" s="28">
        <f t="shared" si="8"/>
        <v>-1113.1164000000001</v>
      </c>
      <c r="V42" s="28">
        <f t="shared" si="8"/>
        <v>-1113.1164000000001</v>
      </c>
      <c r="W42" s="28">
        <f t="shared" si="8"/>
        <v>-1113.1164000000001</v>
      </c>
      <c r="X42" s="28">
        <f t="shared" si="8"/>
        <v>-1113.1164000000001</v>
      </c>
      <c r="Y42" s="28">
        <f t="shared" si="8"/>
        <v>-1113.1164000000001</v>
      </c>
      <c r="Z42" s="28">
        <f t="shared" si="8"/>
        <v>-1113.1164000000001</v>
      </c>
      <c r="AA42" s="28">
        <f t="shared" si="8"/>
        <v>-1113.1164000000001</v>
      </c>
      <c r="AB42" s="28">
        <f t="shared" si="8"/>
        <v>-1113.1164000000001</v>
      </c>
      <c r="AC42" s="28">
        <f t="shared" si="8"/>
        <v>-1113.1164000000001</v>
      </c>
    </row>
    <row r="43" spans="1:30" x14ac:dyDescent="0.2">
      <c r="A43" s="13" t="s">
        <v>23</v>
      </c>
      <c r="B43" s="65">
        <f>-422-2817</f>
        <v>-3239</v>
      </c>
      <c r="C43" s="65">
        <f>87-3634</f>
        <v>-3547</v>
      </c>
      <c r="D43" s="1">
        <f>-C43*(1+D36)</f>
        <v>4788.4500000000007</v>
      </c>
      <c r="E43" s="1">
        <f>D43*(1+E36*0.5)</f>
        <v>4869.85365</v>
      </c>
      <c r="F43" s="1">
        <f t="shared" ref="F43:AC43" si="9">E43*(1+F36*0.5)</f>
        <v>5101.1716983750002</v>
      </c>
      <c r="G43" s="1">
        <f t="shared" si="9"/>
        <v>5343.4773540478136</v>
      </c>
      <c r="H43" s="1">
        <f t="shared" si="9"/>
        <v>5597.2925283650857</v>
      </c>
      <c r="I43" s="1">
        <f t="shared" si="9"/>
        <v>5863.1639234624281</v>
      </c>
      <c r="J43" s="1">
        <f t="shared" si="9"/>
        <v>6141.664209826894</v>
      </c>
      <c r="K43" s="1">
        <f t="shared" si="9"/>
        <v>6387.3307782199699</v>
      </c>
      <c r="L43" s="1">
        <f t="shared" si="9"/>
        <v>6578.9507015665695</v>
      </c>
      <c r="M43" s="1">
        <f t="shared" si="9"/>
        <v>6743.4244691057329</v>
      </c>
      <c r="N43" s="1">
        <f t="shared" si="9"/>
        <v>6878.2929584878475</v>
      </c>
      <c r="O43" s="1">
        <f t="shared" si="9"/>
        <v>6998.6630852613853</v>
      </c>
      <c r="P43" s="1">
        <f t="shared" si="9"/>
        <v>7121.1396892534603</v>
      </c>
      <c r="Q43" s="1">
        <f t="shared" si="9"/>
        <v>7245.7596338153962</v>
      </c>
      <c r="R43" s="1">
        <f t="shared" si="9"/>
        <v>7372.5604274071666</v>
      </c>
      <c r="S43" s="1">
        <f t="shared" si="9"/>
        <v>7501.5802348867928</v>
      </c>
      <c r="T43" s="1">
        <f t="shared" si="9"/>
        <v>7632.8578889973123</v>
      </c>
      <c r="U43" s="1">
        <f t="shared" si="9"/>
        <v>7766.4329020547657</v>
      </c>
      <c r="V43" s="1">
        <f t="shared" si="9"/>
        <v>7902.3454778407249</v>
      </c>
      <c r="W43" s="1">
        <f t="shared" si="9"/>
        <v>8040.6365237029386</v>
      </c>
      <c r="X43" s="1">
        <f t="shared" si="9"/>
        <v>8181.3476628677408</v>
      </c>
      <c r="Y43" s="1">
        <f t="shared" si="9"/>
        <v>8324.5212469679263</v>
      </c>
      <c r="Z43" s="1">
        <f t="shared" si="9"/>
        <v>8470.200368789865</v>
      </c>
      <c r="AA43" s="1">
        <f t="shared" si="9"/>
        <v>8618.4288752436878</v>
      </c>
      <c r="AB43" s="1">
        <f t="shared" si="9"/>
        <v>8769.2513805604522</v>
      </c>
      <c r="AC43" s="1">
        <f t="shared" si="9"/>
        <v>8922.7132797202612</v>
      </c>
    </row>
    <row r="44" spans="1:30" x14ac:dyDescent="0.2">
      <c r="A44" s="13" t="s">
        <v>18</v>
      </c>
      <c r="B44" s="65">
        <f>B39-B42-B43</f>
        <v>68554</v>
      </c>
      <c r="C44" s="65">
        <f>C39-C42-C43</f>
        <v>70725</v>
      </c>
      <c r="D44" s="1">
        <f>D39-D42-D43</f>
        <v>-2091.3863154525752</v>
      </c>
      <c r="E44" s="1">
        <f t="shared" ref="E44:AC44" si="10">E39-E42-E43</f>
        <v>-2184.1655944095373</v>
      </c>
      <c r="F44" s="1">
        <f t="shared" si="10"/>
        <v>-2363.419509063795</v>
      </c>
      <c r="G44" s="1">
        <f t="shared" si="10"/>
        <v>-2418.4407612465666</v>
      </c>
      <c r="H44" s="1">
        <f t="shared" si="10"/>
        <v>-2608.3445687632129</v>
      </c>
      <c r="I44" s="1">
        <f t="shared" si="10"/>
        <v>-2735.5126495015329</v>
      </c>
      <c r="J44" s="1">
        <f t="shared" si="10"/>
        <v>-2865.8853716041676</v>
      </c>
      <c r="K44" s="1">
        <f t="shared" si="10"/>
        <v>-2938.5389449394252</v>
      </c>
      <c r="L44" s="1">
        <f t="shared" si="10"/>
        <v>-2990.0183422891923</v>
      </c>
      <c r="M44" s="1">
        <f t="shared" si="10"/>
        <v>-3030.7013118644863</v>
      </c>
      <c r="N44" s="1">
        <f t="shared" si="10"/>
        <v>-3061.5855309569515</v>
      </c>
      <c r="O44" s="1">
        <f t="shared" si="10"/>
        <v>-3087.3299717669079</v>
      </c>
      <c r="P44" s="1">
        <f t="shared" si="10"/>
        <v>-3111.8689907866765</v>
      </c>
      <c r="Q44" s="1">
        <f t="shared" si="10"/>
        <v>-3135.1235349022754</v>
      </c>
      <c r="R44" s="1">
        <f t="shared" si="10"/>
        <v>-3157.0111390320862</v>
      </c>
      <c r="S44" s="1">
        <f t="shared" si="10"/>
        <v>-3177.4457954185855</v>
      </c>
      <c r="T44" s="1">
        <f t="shared" si="10"/>
        <v>-3196.3378181477174</v>
      </c>
      <c r="U44" s="1">
        <f t="shared" si="10"/>
        <v>-3213.5937027254358</v>
      </c>
      <c r="V44" s="1">
        <f t="shared" si="10"/>
        <v>-3229.1159805348689</v>
      </c>
      <c r="W44" s="1">
        <f t="shared" si="10"/>
        <v>-3242.8030679913772</v>
      </c>
      <c r="X44" s="1">
        <f t="shared" si="10"/>
        <v>-3254.5491102062751</v>
      </c>
      <c r="Y44" s="1">
        <f t="shared" si="10"/>
        <v>-3264.2438189633103</v>
      </c>
      <c r="Z44" s="1">
        <f t="shared" si="10"/>
        <v>-3271.7723048050875</v>
      </c>
      <c r="AA44" s="1">
        <f t="shared" si="10"/>
        <v>-3277.0149030194443</v>
      </c>
      <c r="AB44" s="1">
        <f t="shared" si="10"/>
        <v>-3279.8469933083607</v>
      </c>
      <c r="AC44" s="1">
        <f t="shared" si="10"/>
        <v>-3280.138812914347</v>
      </c>
    </row>
    <row r="45" spans="1:30" x14ac:dyDescent="0.2">
      <c r="A45" s="13" t="s">
        <v>11</v>
      </c>
      <c r="B45" s="65">
        <v>10481</v>
      </c>
      <c r="C45" s="65">
        <v>9680</v>
      </c>
      <c r="D45" s="1">
        <f>$H$61*D44</f>
        <v>-439.19112624504078</v>
      </c>
      <c r="E45" s="1">
        <f>$H$61*E44</f>
        <v>-458.67477482600282</v>
      </c>
      <c r="F45" s="1">
        <f>$H$61*F44</f>
        <v>-496.31809690339691</v>
      </c>
      <c r="G45" s="1">
        <f t="shared" ref="G45:AC45" si="11">$I$61*G44</f>
        <v>-556.24137508671038</v>
      </c>
      <c r="H45" s="1">
        <f t="shared" si="11"/>
        <v>-599.91925081553904</v>
      </c>
      <c r="I45" s="1">
        <f t="shared" si="11"/>
        <v>-629.16790938535257</v>
      </c>
      <c r="J45" s="1">
        <f t="shared" si="11"/>
        <v>-659.15363546895856</v>
      </c>
      <c r="K45" s="1">
        <f t="shared" si="11"/>
        <v>-675.86395733606787</v>
      </c>
      <c r="L45" s="1">
        <f t="shared" si="11"/>
        <v>-687.70421872651423</v>
      </c>
      <c r="M45" s="1">
        <f t="shared" si="11"/>
        <v>-697.06130172883184</v>
      </c>
      <c r="N45" s="1">
        <f t="shared" si="11"/>
        <v>-704.16467212009888</v>
      </c>
      <c r="O45" s="1">
        <f t="shared" si="11"/>
        <v>-710.08589350638886</v>
      </c>
      <c r="P45" s="1">
        <f t="shared" si="11"/>
        <v>-715.72986788093567</v>
      </c>
      <c r="Q45" s="1">
        <f t="shared" si="11"/>
        <v>-721.07841302752342</v>
      </c>
      <c r="R45" s="1">
        <f t="shared" si="11"/>
        <v>-726.11256197737987</v>
      </c>
      <c r="S45" s="1">
        <f t="shared" si="11"/>
        <v>-730.8125329462747</v>
      </c>
      <c r="T45" s="1">
        <f t="shared" si="11"/>
        <v>-735.15769817397506</v>
      </c>
      <c r="U45" s="1">
        <f t="shared" si="11"/>
        <v>-739.1265516268503</v>
      </c>
      <c r="V45" s="1">
        <f t="shared" si="11"/>
        <v>-742.69667552301985</v>
      </c>
      <c r="W45" s="1">
        <f t="shared" si="11"/>
        <v>-745.84470563801676</v>
      </c>
      <c r="X45" s="1">
        <f t="shared" si="11"/>
        <v>-748.54629534744333</v>
      </c>
      <c r="Y45" s="1">
        <f t="shared" si="11"/>
        <v>-750.77607836156142</v>
      </c>
      <c r="Z45" s="1">
        <f t="shared" si="11"/>
        <v>-752.50763010517016</v>
      </c>
      <c r="AA45" s="1">
        <f t="shared" si="11"/>
        <v>-753.71342769447222</v>
      </c>
      <c r="AB45" s="1">
        <f t="shared" si="11"/>
        <v>-754.36480846092297</v>
      </c>
      <c r="AC45" s="1">
        <f t="shared" si="11"/>
        <v>-754.43192697029986</v>
      </c>
    </row>
    <row r="46" spans="1:30" x14ac:dyDescent="0.2">
      <c r="A46" s="13" t="s">
        <v>39</v>
      </c>
      <c r="B46" s="65">
        <f t="shared" ref="B46:AC46" si="12">B44-B45</f>
        <v>58073</v>
      </c>
      <c r="C46" s="65">
        <f t="shared" si="12"/>
        <v>61045</v>
      </c>
      <c r="D46" s="17">
        <f>D44-D45</f>
        <v>-1652.1951892075344</v>
      </c>
      <c r="E46" s="17">
        <f t="shared" si="12"/>
        <v>-1725.4908195835346</v>
      </c>
      <c r="F46" s="17">
        <f t="shared" si="12"/>
        <v>-1867.101412160398</v>
      </c>
      <c r="G46" s="17">
        <f t="shared" si="12"/>
        <v>-1862.1993861598562</v>
      </c>
      <c r="H46" s="17">
        <f t="shared" si="12"/>
        <v>-2008.4253179476739</v>
      </c>
      <c r="I46" s="17">
        <f t="shared" si="12"/>
        <v>-2106.3447401161802</v>
      </c>
      <c r="J46" s="17">
        <f t="shared" si="12"/>
        <v>-2206.7317361352088</v>
      </c>
      <c r="K46" s="17">
        <f t="shared" si="12"/>
        <v>-2262.6749876033573</v>
      </c>
      <c r="L46" s="17">
        <f t="shared" si="12"/>
        <v>-2302.3141235626781</v>
      </c>
      <c r="M46" s="17">
        <f t="shared" si="12"/>
        <v>-2333.6400101356544</v>
      </c>
      <c r="N46" s="17">
        <f t="shared" si="12"/>
        <v>-2357.4208588368529</v>
      </c>
      <c r="O46" s="17">
        <f t="shared" si="12"/>
        <v>-2377.244078260519</v>
      </c>
      <c r="P46" s="17">
        <f t="shared" si="12"/>
        <v>-2396.1391229057408</v>
      </c>
      <c r="Q46" s="17">
        <f t="shared" si="12"/>
        <v>-2414.0451218747521</v>
      </c>
      <c r="R46" s="17">
        <f t="shared" si="12"/>
        <v>-2430.8985770547065</v>
      </c>
      <c r="S46" s="17">
        <f t="shared" si="12"/>
        <v>-2446.6332624723109</v>
      </c>
      <c r="T46" s="17">
        <f t="shared" si="12"/>
        <v>-2461.1801199737424</v>
      </c>
      <c r="U46" s="17">
        <f t="shared" si="12"/>
        <v>-2474.4671510985854</v>
      </c>
      <c r="V46" s="17">
        <f t="shared" si="12"/>
        <v>-2486.4193050118492</v>
      </c>
      <c r="W46" s="17">
        <f t="shared" si="12"/>
        <v>-2496.9583623533604</v>
      </c>
      <c r="X46" s="17">
        <f t="shared" si="12"/>
        <v>-2506.0028148588317</v>
      </c>
      <c r="Y46" s="17">
        <f t="shared" si="12"/>
        <v>-2513.467740601749</v>
      </c>
      <c r="Z46" s="17">
        <f t="shared" si="12"/>
        <v>-2519.2646746999171</v>
      </c>
      <c r="AA46" s="17">
        <f t="shared" si="12"/>
        <v>-2523.3014753249722</v>
      </c>
      <c r="AB46" s="17">
        <f t="shared" si="12"/>
        <v>-2525.4821848474376</v>
      </c>
      <c r="AC46" s="17">
        <f t="shared" si="12"/>
        <v>-2525.7068859440469</v>
      </c>
    </row>
    <row r="47" spans="1:30" x14ac:dyDescent="0.2">
      <c r="A47" s="109" t="s">
        <v>175</v>
      </c>
      <c r="B47" s="65">
        <f>OP!I34</f>
        <v>146.29999999999998</v>
      </c>
      <c r="C47" s="65">
        <f>OP!I35</f>
        <v>849.7</v>
      </c>
      <c r="D47" s="1">
        <v>10000</v>
      </c>
      <c r="E47" s="1">
        <f t="shared" ref="E47:AC47" si="13">D47*(1+E36*$H$62)</f>
        <v>10408</v>
      </c>
      <c r="F47" s="1">
        <f t="shared" si="13"/>
        <v>11594.511999999999</v>
      </c>
      <c r="G47" s="1">
        <f t="shared" si="13"/>
        <v>12916.286367999997</v>
      </c>
      <c r="H47" s="1">
        <f t="shared" si="13"/>
        <v>14388.743013951995</v>
      </c>
      <c r="I47" s="1">
        <f t="shared" si="13"/>
        <v>16029.059717542521</v>
      </c>
      <c r="J47" s="1">
        <f t="shared" si="13"/>
        <v>17856.372525342365</v>
      </c>
      <c r="K47" s="1">
        <f t="shared" si="13"/>
        <v>19570.584287775233</v>
      </c>
      <c r="L47" s="1">
        <f t="shared" si="13"/>
        <v>20979.66635649505</v>
      </c>
      <c r="M47" s="1">
        <f t="shared" si="13"/>
        <v>22238.446337884754</v>
      </c>
      <c r="N47" s="1">
        <f t="shared" si="13"/>
        <v>23305.891762103223</v>
      </c>
      <c r="O47" s="1">
        <f t="shared" si="13"/>
        <v>24284.73921611156</v>
      </c>
      <c r="P47" s="1">
        <f t="shared" si="13"/>
        <v>25304.698263188246</v>
      </c>
      <c r="Q47" s="1">
        <f t="shared" si="13"/>
        <v>26367.495590242153</v>
      </c>
      <c r="R47" s="1">
        <f t="shared" si="13"/>
        <v>27474.930405032326</v>
      </c>
      <c r="S47" s="1">
        <f t="shared" si="13"/>
        <v>28628.877482043685</v>
      </c>
      <c r="T47" s="1">
        <f t="shared" si="13"/>
        <v>29831.290336289519</v>
      </c>
      <c r="U47" s="1">
        <f t="shared" si="13"/>
        <v>31084.204530413681</v>
      </c>
      <c r="V47" s="1">
        <f t="shared" si="13"/>
        <v>32389.741120691058</v>
      </c>
      <c r="W47" s="1">
        <f t="shared" si="13"/>
        <v>33750.110247760087</v>
      </c>
      <c r="X47" s="1">
        <f t="shared" si="13"/>
        <v>35167.614878166009</v>
      </c>
      <c r="Y47" s="1">
        <f t="shared" si="13"/>
        <v>36644.654703048982</v>
      </c>
      <c r="Z47" s="1">
        <f t="shared" si="13"/>
        <v>38183.73020057704</v>
      </c>
      <c r="AA47" s="1">
        <f t="shared" si="13"/>
        <v>39787.44686900128</v>
      </c>
      <c r="AB47" s="1">
        <f t="shared" si="13"/>
        <v>41458.519637499332</v>
      </c>
      <c r="AC47" s="1">
        <f t="shared" si="13"/>
        <v>43199.777462274309</v>
      </c>
    </row>
    <row r="48" spans="1:30" s="15" customFormat="1" x14ac:dyDescent="0.2">
      <c r="A48" s="27" t="s">
        <v>194</v>
      </c>
      <c r="B48" s="28">
        <v>108047</v>
      </c>
      <c r="C48" s="28">
        <v>112436</v>
      </c>
      <c r="D48" s="28">
        <f>C48*0.99</f>
        <v>111311.64</v>
      </c>
      <c r="E48" s="28">
        <f>D48</f>
        <v>111311.64</v>
      </c>
      <c r="F48" s="28">
        <f t="shared" ref="F48:AC48" si="14">E48</f>
        <v>111311.64</v>
      </c>
      <c r="G48" s="28">
        <f t="shared" si="14"/>
        <v>111311.64</v>
      </c>
      <c r="H48" s="28">
        <f t="shared" si="14"/>
        <v>111311.64</v>
      </c>
      <c r="I48" s="28">
        <f t="shared" si="14"/>
        <v>111311.64</v>
      </c>
      <c r="J48" s="28">
        <f t="shared" si="14"/>
        <v>111311.64</v>
      </c>
      <c r="K48" s="28">
        <f t="shared" si="14"/>
        <v>111311.64</v>
      </c>
      <c r="L48" s="28">
        <f t="shared" si="14"/>
        <v>111311.64</v>
      </c>
      <c r="M48" s="28">
        <f t="shared" si="14"/>
        <v>111311.64</v>
      </c>
      <c r="N48" s="28">
        <f t="shared" si="14"/>
        <v>111311.64</v>
      </c>
      <c r="O48" s="28">
        <f t="shared" si="14"/>
        <v>111311.64</v>
      </c>
      <c r="P48" s="28">
        <f t="shared" si="14"/>
        <v>111311.64</v>
      </c>
      <c r="Q48" s="28">
        <f t="shared" si="14"/>
        <v>111311.64</v>
      </c>
      <c r="R48" s="28">
        <f t="shared" si="14"/>
        <v>111311.64</v>
      </c>
      <c r="S48" s="28">
        <f t="shared" si="14"/>
        <v>111311.64</v>
      </c>
      <c r="T48" s="28">
        <f t="shared" si="14"/>
        <v>111311.64</v>
      </c>
      <c r="U48" s="28">
        <f t="shared" si="14"/>
        <v>111311.64</v>
      </c>
      <c r="V48" s="28">
        <f t="shared" si="14"/>
        <v>111311.64</v>
      </c>
      <c r="W48" s="28">
        <f t="shared" si="14"/>
        <v>111311.64</v>
      </c>
      <c r="X48" s="28">
        <f t="shared" si="14"/>
        <v>111311.64</v>
      </c>
      <c r="Y48" s="28">
        <f t="shared" si="14"/>
        <v>111311.64</v>
      </c>
      <c r="Z48" s="28">
        <f t="shared" si="14"/>
        <v>111311.64</v>
      </c>
      <c r="AA48" s="28">
        <f t="shared" si="14"/>
        <v>111311.64</v>
      </c>
      <c r="AB48" s="28">
        <f t="shared" si="14"/>
        <v>111311.64</v>
      </c>
      <c r="AC48" s="28">
        <f t="shared" si="14"/>
        <v>111311.64</v>
      </c>
    </row>
    <row r="49" spans="1:29" s="15" customFormat="1" x14ac:dyDescent="0.2">
      <c r="A49" s="13" t="s">
        <v>173</v>
      </c>
      <c r="B49" s="112">
        <f>B48/B41</f>
        <v>1.6893438779878667</v>
      </c>
      <c r="C49" s="112">
        <f t="shared" ref="C49:E49" si="15">C48/C41</f>
        <v>1.6954507721459136</v>
      </c>
      <c r="D49" s="113">
        <f t="shared" si="15"/>
        <v>8.8534370007310681</v>
      </c>
      <c r="E49" s="113">
        <f t="shared" si="15"/>
        <v>8.5977695841921591</v>
      </c>
      <c r="F49" s="2"/>
      <c r="G49" s="2"/>
      <c r="H49" s="2"/>
      <c r="I49" s="2"/>
      <c r="J49" s="2"/>
      <c r="K49" s="2"/>
      <c r="L49" s="2"/>
      <c r="M49" s="2"/>
      <c r="N49" s="2"/>
      <c r="O49" s="2"/>
      <c r="P49" s="2"/>
      <c r="Q49" s="2"/>
      <c r="R49" s="2"/>
      <c r="S49" s="2"/>
      <c r="T49" s="2"/>
      <c r="U49" s="2"/>
      <c r="V49" s="2"/>
      <c r="W49" s="2"/>
      <c r="X49" s="2"/>
      <c r="Y49" s="2"/>
      <c r="Z49" s="2"/>
      <c r="AA49" s="2"/>
      <c r="AB49" s="2"/>
      <c r="AC49" s="2"/>
    </row>
    <row r="50" spans="1:29" x14ac:dyDescent="0.2">
      <c r="A50" s="13" t="s">
        <v>12</v>
      </c>
      <c r="B50" s="66">
        <f>OP!F34</f>
        <v>356.62220000000002</v>
      </c>
      <c r="C50" s="66">
        <f>OP!F35</f>
        <v>263.37520000000001</v>
      </c>
      <c r="D50" s="1">
        <f t="shared" ref="D50:AC50" si="16">D41-D42-D43-D45-D47+D48-C48</f>
        <v>-1776.5551892075309</v>
      </c>
      <c r="E50" s="1">
        <f t="shared" si="16"/>
        <v>-759.49081958353054</v>
      </c>
      <c r="F50" s="1">
        <f t="shared" si="16"/>
        <v>-1007.0834121603984</v>
      </c>
      <c r="G50" s="1">
        <f t="shared" si="16"/>
        <v>-1140.7754041598528</v>
      </c>
      <c r="H50" s="1">
        <f t="shared" si="16"/>
        <v>-1463.8754986496788</v>
      </c>
      <c r="I50" s="1">
        <f t="shared" si="16"/>
        <v>-1783.448805249951</v>
      </c>
      <c r="J50" s="1">
        <f t="shared" si="16"/>
        <v>-2157.7128220899904</v>
      </c>
      <c r="K50" s="1">
        <f t="shared" si="16"/>
        <v>-2495.4365208400122</v>
      </c>
      <c r="L50" s="1">
        <f t="shared" si="16"/>
        <v>-2783.8883602468268</v>
      </c>
      <c r="M50" s="1">
        <f t="shared" si="16"/>
        <v>-3049.0896222189622</v>
      </c>
      <c r="N50" s="1">
        <f t="shared" si="16"/>
        <v>-3279.3960261065658</v>
      </c>
      <c r="O50" s="1">
        <f t="shared" si="16"/>
        <v>-3494.6296187194093</v>
      </c>
      <c r="P50" s="1">
        <f t="shared" si="16"/>
        <v>-3722.626331793479</v>
      </c>
      <c r="Q50" s="1">
        <f t="shared" si="16"/>
        <v>-3964.0922709158767</v>
      </c>
      <c r="R50" s="1">
        <f t="shared" si="16"/>
        <v>-4219.7698454439669</v>
      </c>
      <c r="S50" s="1">
        <f t="shared" si="16"/>
        <v>-4490.439538090417</v>
      </c>
      <c r="T50" s="1">
        <f t="shared" si="16"/>
        <v>-4776.9217576127994</v>
      </c>
      <c r="U50" s="1">
        <f t="shared" si="16"/>
        <v>-5080.0787784090353</v>
      </c>
      <c r="V50" s="1">
        <f t="shared" si="16"/>
        <v>-5400.8167709910631</v>
      </c>
      <c r="W50" s="1">
        <f t="shared" si="16"/>
        <v>-5740.0879274866893</v>
      </c>
      <c r="X50" s="1">
        <f t="shared" si="16"/>
        <v>-6098.8926865061512</v>
      </c>
      <c r="Y50" s="1">
        <f t="shared" si="16"/>
        <v>-6478.282061903883</v>
      </c>
      <c r="Z50" s="1">
        <f t="shared" si="16"/>
        <v>-6879.3600801689754</v>
      </c>
      <c r="AA50" s="1">
        <f t="shared" si="16"/>
        <v>-7303.2863313895068</v>
      </c>
      <c r="AB50" s="1">
        <f t="shared" si="16"/>
        <v>-7751.2786389572429</v>
      </c>
      <c r="AC50" s="1">
        <f t="shared" si="16"/>
        <v>-8224.6158534101996</v>
      </c>
    </row>
    <row r="51" spans="1:29" x14ac:dyDescent="0.2">
      <c r="A51" s="13" t="s">
        <v>13</v>
      </c>
      <c r="B51" s="66">
        <v>0</v>
      </c>
      <c r="C51" s="66">
        <v>0</v>
      </c>
      <c r="D51" s="1">
        <f t="shared" ref="D51:AC51" si="17">C51*(1+$B$59)+D50</f>
        <v>-1776.5551892075309</v>
      </c>
      <c r="E51" s="1">
        <f t="shared" si="17"/>
        <v>-2683.5000894952864</v>
      </c>
      <c r="F51" s="1">
        <f t="shared" si="17"/>
        <v>-3913.3140090837933</v>
      </c>
      <c r="G51" s="1">
        <f t="shared" si="17"/>
        <v>-5378.8944759976011</v>
      </c>
      <c r="H51" s="1">
        <f t="shared" si="17"/>
        <v>-7289.2182161550809</v>
      </c>
      <c r="I51" s="1">
        <f t="shared" si="17"/>
        <v>-9677.6721333459027</v>
      </c>
      <c r="J51" s="1">
        <f t="shared" si="17"/>
        <v>-12638.631742503603</v>
      </c>
      <c r="K51" s="1">
        <f t="shared" si="17"/>
        <v>-16183.074697971413</v>
      </c>
      <c r="L51" s="1">
        <f t="shared" si="17"/>
        <v>-20310.158258149866</v>
      </c>
      <c r="M51" s="1">
        <f t="shared" si="17"/>
        <v>-25044.991015795265</v>
      </c>
      <c r="N51" s="1">
        <f t="shared" si="17"/>
        <v>-30403.121296212837</v>
      </c>
      <c r="O51" s="1">
        <f t="shared" si="17"/>
        <v>-36421.20998251791</v>
      </c>
      <c r="P51" s="1">
        <f t="shared" si="17"/>
        <v>-43166.796742860373</v>
      </c>
      <c r="Q51" s="1">
        <f t="shared" si="17"/>
        <v>-50713.733143433659</v>
      </c>
      <c r="R51" s="1">
        <f t="shared" si="17"/>
        <v>-59142.742839782615</v>
      </c>
      <c r="S51" s="1">
        <f t="shared" si="17"/>
        <v>-68542.030033574993</v>
      </c>
      <c r="T51" s="1">
        <f t="shared" si="17"/>
        <v>-79007.940283974516</v>
      </c>
      <c r="U51" s="1">
        <f t="shared" si="17"/>
        <v>-90645.678105953441</v>
      </c>
      <c r="V51" s="1">
        <f t="shared" si="17"/>
        <v>-103570.08615973864</v>
      </c>
      <c r="W51" s="1">
        <f t="shared" si="17"/>
        <v>-117906.49123848364</v>
      </c>
      <c r="X51" s="1">
        <f t="shared" si="17"/>
        <v>-133791.62269778393</v>
      </c>
      <c r="Y51" s="1">
        <f t="shared" si="17"/>
        <v>-151374.60944360387</v>
      </c>
      <c r="Z51" s="1">
        <f t="shared" si="17"/>
        <v>-170818.06210759195</v>
      </c>
      <c r="AA51" s="1">
        <f t="shared" si="17"/>
        <v>-192299.24759391157</v>
      </c>
      <c r="AB51" s="1">
        <f t="shared" si="17"/>
        <v>-216011.36378316346</v>
      </c>
      <c r="AC51" s="1">
        <f t="shared" si="17"/>
        <v>-242164.92283057619</v>
      </c>
    </row>
    <row r="52" spans="1:29" x14ac:dyDescent="0.2">
      <c r="A52" s="13"/>
      <c r="B52" s="55"/>
      <c r="C52" s="55"/>
      <c r="K52" s="1"/>
      <c r="L52" s="1"/>
      <c r="M52" s="1"/>
      <c r="N52" s="1"/>
      <c r="O52" s="1"/>
      <c r="P52" s="1"/>
      <c r="Q52" s="1"/>
      <c r="R52" s="1"/>
      <c r="S52" s="1"/>
      <c r="T52" s="1"/>
      <c r="U52" s="1"/>
      <c r="V52" s="1"/>
      <c r="W52" s="1"/>
      <c r="X52" s="1"/>
      <c r="Y52" s="1"/>
      <c r="Z52" s="1"/>
      <c r="AA52" s="1"/>
      <c r="AB52" s="1">
        <f>AB51-AB48</f>
        <v>-327323.00378316344</v>
      </c>
      <c r="AC52" s="1">
        <f>AC50/(B59-AC36)</f>
        <v>-171346.16361271249</v>
      </c>
    </row>
    <row r="53" spans="1:29" x14ac:dyDescent="0.2">
      <c r="A53" s="67" t="s">
        <v>127</v>
      </c>
      <c r="B53" s="68"/>
      <c r="C53" s="75">
        <f>1000000*C46/OP!$C$8</f>
        <v>1603.9148712559117</v>
      </c>
      <c r="D53" s="75">
        <f>1000000*D46/OP!$C$8</f>
        <v>-43.410278224055034</v>
      </c>
      <c r="E53" s="75">
        <f>1000000*E46/OP!$C$8</f>
        <v>-45.336069878705587</v>
      </c>
      <c r="F53" s="75">
        <f>1000000*F46/OP!$C$8</f>
        <v>-49.056789599590068</v>
      </c>
      <c r="G53" s="1"/>
      <c r="H53"/>
      <c r="I53"/>
      <c r="J53"/>
      <c r="K53" s="1"/>
      <c r="L53" s="1"/>
      <c r="M53" s="1"/>
      <c r="N53" s="1"/>
      <c r="O53" s="1"/>
      <c r="P53" s="1"/>
      <c r="Q53" s="1"/>
      <c r="R53" s="1"/>
      <c r="S53" s="1"/>
      <c r="T53" s="1"/>
      <c r="U53" s="1"/>
      <c r="V53" s="1"/>
      <c r="W53" s="1"/>
      <c r="X53" s="1"/>
      <c r="Y53" s="1"/>
      <c r="Z53" s="1"/>
      <c r="AA53" s="1"/>
      <c r="AB53" s="1"/>
      <c r="AC53" s="1"/>
    </row>
    <row r="54" spans="1:29" x14ac:dyDescent="0.2">
      <c r="A54" s="13" t="s">
        <v>146</v>
      </c>
      <c r="B54" s="1"/>
      <c r="C54" s="84">
        <v>3.3</v>
      </c>
      <c r="D54" s="84">
        <v>5.6</v>
      </c>
      <c r="E54" s="84">
        <v>5.6</v>
      </c>
      <c r="F54" s="70"/>
      <c r="G54" s="1"/>
      <c r="H54"/>
      <c r="I54"/>
      <c r="J54"/>
      <c r="K54" s="1"/>
      <c r="L54" s="1"/>
      <c r="M54" s="1"/>
      <c r="N54" s="1"/>
      <c r="O54" s="1"/>
      <c r="P54" s="1"/>
      <c r="Q54" s="1"/>
      <c r="R54" s="1"/>
      <c r="S54" s="1"/>
      <c r="T54" s="1"/>
      <c r="U54" s="1"/>
      <c r="V54" s="1"/>
      <c r="W54" s="1"/>
      <c r="X54" s="1"/>
      <c r="Y54" s="1"/>
      <c r="Z54" s="1"/>
      <c r="AA54" s="1"/>
      <c r="AB54" s="1"/>
      <c r="AC54" s="1"/>
    </row>
    <row r="55" spans="1:29" x14ac:dyDescent="0.2">
      <c r="A55" s="69" t="s">
        <v>128</v>
      </c>
      <c r="B55" s="17"/>
      <c r="C55" s="17"/>
      <c r="D55" s="56">
        <f>$B$61/D46</f>
        <v>41.1187352370954</v>
      </c>
      <c r="E55" s="56">
        <f>$B$61/E46</f>
        <v>39.372088088781872</v>
      </c>
      <c r="F55" s="70">
        <f>$B$61/F46</f>
        <v>36.38590603732623</v>
      </c>
      <c r="G55" s="1"/>
      <c r="H55"/>
      <c r="I55"/>
      <c r="J55"/>
      <c r="K55" s="1"/>
      <c r="L55" s="1"/>
      <c r="M55" s="1"/>
      <c r="N55" s="1"/>
      <c r="O55" s="1"/>
      <c r="P55" s="1"/>
      <c r="Q55" s="1"/>
      <c r="R55" s="1"/>
      <c r="S55" s="1"/>
      <c r="T55" s="1"/>
      <c r="U55" s="1"/>
      <c r="V55" s="1"/>
      <c r="W55" s="1"/>
      <c r="X55" s="1"/>
      <c r="Y55" s="1"/>
      <c r="Z55" s="1"/>
      <c r="AA55" s="1"/>
      <c r="AB55" s="1"/>
      <c r="AC55" s="1"/>
    </row>
    <row r="56" spans="1:29" x14ac:dyDescent="0.2">
      <c r="A56" s="71" t="s">
        <v>129</v>
      </c>
      <c r="B56" s="72"/>
      <c r="C56" s="72"/>
      <c r="D56" s="73">
        <f>($B$61+D48-D51)/D41</f>
        <v>3.5912735857820781</v>
      </c>
      <c r="E56" s="73">
        <f>($B$61+E48-E51)/E41</f>
        <v>3.5576185549152077</v>
      </c>
      <c r="F56" s="74">
        <f>($B$61+F48-F51)/F41</f>
        <v>3.3587769454322158</v>
      </c>
      <c r="G56" s="1"/>
      <c r="H56"/>
      <c r="I56"/>
      <c r="J56"/>
      <c r="K56" s="1"/>
      <c r="L56" s="6"/>
      <c r="M56" s="1"/>
      <c r="N56" s="1"/>
      <c r="O56" s="1"/>
      <c r="P56" s="1"/>
      <c r="Q56" s="1"/>
      <c r="R56" s="1"/>
      <c r="S56" s="1"/>
      <c r="T56" s="1"/>
      <c r="U56" s="1"/>
      <c r="V56" s="1"/>
      <c r="W56" s="1"/>
      <c r="X56" s="1"/>
      <c r="Y56" s="1"/>
      <c r="Z56" s="1"/>
      <c r="AA56" s="1"/>
      <c r="AB56"/>
      <c r="AC56"/>
    </row>
    <row r="57" spans="1:29" x14ac:dyDescent="0.2">
      <c r="A57" s="13"/>
      <c r="B57" s="1"/>
      <c r="C57" s="1"/>
      <c r="D57" s="56"/>
      <c r="E57" s="56"/>
      <c r="F57" s="56"/>
      <c r="G57" s="1"/>
      <c r="H57" s="1"/>
      <c r="I57" s="1"/>
      <c r="J57" s="1"/>
      <c r="K57" s="1"/>
      <c r="L57" s="1"/>
      <c r="M57" s="1"/>
      <c r="N57" s="1"/>
      <c r="O57" s="1"/>
      <c r="P57" s="1"/>
      <c r="Q57" s="1"/>
      <c r="R57" s="1"/>
      <c r="S57" s="1"/>
      <c r="T57" s="1"/>
      <c r="U57" s="1"/>
      <c r="V57" s="1"/>
      <c r="W57" s="1"/>
      <c r="X57" s="1"/>
      <c r="Y57" s="1"/>
      <c r="Z57" s="1"/>
      <c r="AA57" s="1"/>
      <c r="AB57"/>
      <c r="AC57"/>
    </row>
    <row r="58" spans="1:29" x14ac:dyDescent="0.2">
      <c r="A58" s="7"/>
      <c r="B58" s="17"/>
      <c r="C58" s="31" t="s">
        <v>52</v>
      </c>
      <c r="D58" s="31" t="s">
        <v>145</v>
      </c>
      <c r="E58" s="31" t="s">
        <v>106</v>
      </c>
      <c r="F58"/>
      <c r="G58"/>
      <c r="H58" s="31" t="s">
        <v>137</v>
      </c>
      <c r="I58" s="31" t="s">
        <v>138</v>
      </c>
      <c r="J58" s="1"/>
      <c r="K58" s="1"/>
      <c r="L58" s="1"/>
      <c r="M58" s="1"/>
      <c r="N58" s="1"/>
      <c r="O58" s="1"/>
      <c r="P58" s="1"/>
      <c r="Q58" s="1"/>
      <c r="R58" s="1"/>
      <c r="S58" s="1"/>
      <c r="T58" s="1"/>
      <c r="U58" s="1"/>
      <c r="V58" s="1"/>
      <c r="W58" s="1"/>
      <c r="X58" s="1"/>
      <c r="Y58" s="1"/>
      <c r="Z58" s="1"/>
      <c r="AA58" s="1"/>
      <c r="AB58" s="1"/>
      <c r="AC58" s="1"/>
    </row>
    <row r="59" spans="1:29" x14ac:dyDescent="0.2">
      <c r="A59" s="33" t="s">
        <v>101</v>
      </c>
      <c r="B59" s="29">
        <f>SUM(C59:E59)</f>
        <v>8.3000000000000004E-2</v>
      </c>
      <c r="C59" s="30">
        <v>3.0700000000000002E-2</v>
      </c>
      <c r="D59" s="30">
        <v>5.2299999999999999E-2</v>
      </c>
      <c r="E59" s="29">
        <v>0</v>
      </c>
      <c r="F59"/>
      <c r="G59" s="11" t="s">
        <v>136</v>
      </c>
      <c r="H59" s="5">
        <v>1</v>
      </c>
      <c r="I59" s="5">
        <v>1</v>
      </c>
      <c r="J59" s="1"/>
    </row>
    <row r="60" spans="1:29" x14ac:dyDescent="0.2">
      <c r="A60" s="33"/>
      <c r="C60" s="30"/>
      <c r="D60" s="30"/>
      <c r="E60" s="98"/>
      <c r="F60"/>
      <c r="G60" t="s">
        <v>157</v>
      </c>
      <c r="H60" s="371">
        <v>-0.01</v>
      </c>
      <c r="I60" s="371"/>
    </row>
    <row r="61" spans="1:29" x14ac:dyDescent="0.2">
      <c r="A61" s="32" t="s">
        <v>15</v>
      </c>
      <c r="B61" s="4">
        <f>C62+C63</f>
        <v>-67936.176545027352</v>
      </c>
      <c r="C61" s="158" t="s">
        <v>196</v>
      </c>
      <c r="D61" s="151">
        <f>D31</f>
        <v>1E-3</v>
      </c>
      <c r="E61" s="152">
        <f>D32</f>
        <v>5.0000000000000001E-3</v>
      </c>
      <c r="F61"/>
      <c r="G61" t="s">
        <v>158</v>
      </c>
      <c r="H61" s="3">
        <v>0.21</v>
      </c>
      <c r="I61" s="3">
        <v>0.23</v>
      </c>
      <c r="AA61" s="3"/>
      <c r="AB61" s="3"/>
      <c r="AC61" s="3"/>
    </row>
    <row r="62" spans="1:29" x14ac:dyDescent="0.2">
      <c r="A62" s="32" t="s">
        <v>63</v>
      </c>
      <c r="B62" s="3">
        <f>C62/B61</f>
        <v>0.65639310626019343</v>
      </c>
      <c r="C62" s="149">
        <f>AB52/(1+B59)^25</f>
        <v>-44592.837949831403</v>
      </c>
      <c r="D62" s="153">
        <f>SUMPRODUCT(E50:AB50,E31:AB31)</f>
        <v>-29740.758869870737</v>
      </c>
      <c r="E62" s="154">
        <f>SUMPRODUCT(E50:AB50,E32:AB32)</f>
        <v>-28380.839558463369</v>
      </c>
      <c r="F62"/>
      <c r="G62" s="85" t="s">
        <v>159</v>
      </c>
      <c r="H62" s="372">
        <v>1.2</v>
      </c>
      <c r="I62" s="372"/>
    </row>
    <row r="63" spans="1:29" x14ac:dyDescent="0.2">
      <c r="A63" s="32" t="s">
        <v>51</v>
      </c>
      <c r="B63" s="3">
        <f>1-B62</f>
        <v>0.34360689373980657</v>
      </c>
      <c r="C63" s="149">
        <f>AC52/(1+B59)^25</f>
        <v>-23343.338595195943</v>
      </c>
      <c r="D63" s="155">
        <f>(AC50/($B$59+D31-$AC$36))*AC31</f>
        <v>-22345.366770665114</v>
      </c>
      <c r="E63" s="156">
        <f>(AC50/($B$59+D32-$AC$36))*AC32</f>
        <v>-18841.582178910285</v>
      </c>
      <c r="F63"/>
      <c r="G63" t="s">
        <v>160</v>
      </c>
      <c r="H63" s="369">
        <f>SUM(40:40)</f>
        <v>628485.82579785387</v>
      </c>
      <c r="I63" s="369"/>
    </row>
    <row r="64" spans="1:29" x14ac:dyDescent="0.2">
      <c r="A64" s="33" t="s">
        <v>14</v>
      </c>
      <c r="B64" s="34">
        <f>1000000*B61/OP!C8</f>
        <v>-1784.9757368635667</v>
      </c>
      <c r="C64" s="4"/>
      <c r="D64" s="34">
        <f>1000000*SUM(D62:D63)/OP!C8</f>
        <v>-1368.5266852479203</v>
      </c>
      <c r="E64" s="157">
        <f>1000000*SUM(E62:E63)/OP!C8</f>
        <v>-1240.7362516388243</v>
      </c>
      <c r="F64"/>
      <c r="G64" t="s">
        <v>161</v>
      </c>
      <c r="H64" s="369">
        <f>SUM(47:47)</f>
        <v>673841.39331143443</v>
      </c>
      <c r="I64" s="369"/>
    </row>
    <row r="65" spans="1:29" x14ac:dyDescent="0.2">
      <c r="B65" s="35">
        <f>B64/OP!C7-1</f>
        <v>-6.3811333299073496</v>
      </c>
      <c r="C65" s="2"/>
      <c r="D65" s="10">
        <f>D64/B64-1</f>
        <v>-0.23330796212804616</v>
      </c>
      <c r="E65" s="97">
        <f>E64/B64-1</f>
        <v>-0.3049002145995785</v>
      </c>
      <c r="F65"/>
      <c r="G65" s="88" t="s">
        <v>162</v>
      </c>
      <c r="H65" s="369">
        <f>SUM(47:47)+(OP!E12*OP!E7)</f>
        <v>673934.08831143437</v>
      </c>
      <c r="I65" s="369"/>
    </row>
    <row r="66" spans="1:29" x14ac:dyDescent="0.2">
      <c r="B66" s="4"/>
      <c r="C66" s="4"/>
      <c r="G66" s="2"/>
      <c r="I66" s="6"/>
    </row>
    <row r="67" spans="1:29" x14ac:dyDescent="0.2">
      <c r="A67" t="s">
        <v>197</v>
      </c>
      <c r="B67" s="159">
        <f>B62*D68+B63*D69</f>
        <v>21.490693065418291</v>
      </c>
      <c r="C67" s="88"/>
      <c r="E67" s="160">
        <v>1</v>
      </c>
      <c r="F67" s="160">
        <v>2</v>
      </c>
      <c r="G67" s="160">
        <v>3</v>
      </c>
      <c r="H67" s="4">
        <v>4</v>
      </c>
      <c r="I67" s="160">
        <v>5</v>
      </c>
      <c r="J67" s="160">
        <v>6</v>
      </c>
      <c r="K67" s="160">
        <v>7</v>
      </c>
      <c r="L67" s="4">
        <v>8</v>
      </c>
      <c r="M67" s="160">
        <v>9</v>
      </c>
      <c r="N67" s="160">
        <v>10</v>
      </c>
      <c r="O67" s="160">
        <v>11</v>
      </c>
      <c r="P67" s="4">
        <v>12</v>
      </c>
      <c r="Q67" s="160">
        <v>13</v>
      </c>
      <c r="R67" s="160">
        <v>14</v>
      </c>
      <c r="S67" s="160">
        <v>15</v>
      </c>
      <c r="T67" s="4">
        <v>16</v>
      </c>
      <c r="U67" s="160">
        <v>17</v>
      </c>
      <c r="V67" s="160">
        <v>18</v>
      </c>
      <c r="W67" s="160">
        <v>19</v>
      </c>
      <c r="X67" s="4">
        <v>20</v>
      </c>
      <c r="Y67" s="160">
        <v>21</v>
      </c>
      <c r="Z67" s="160">
        <v>22</v>
      </c>
      <c r="AA67" s="160">
        <v>23</v>
      </c>
      <c r="AB67" s="4">
        <v>24</v>
      </c>
      <c r="AC67" s="160">
        <v>25</v>
      </c>
    </row>
    <row r="68" spans="1:29" x14ac:dyDescent="0.2">
      <c r="A68" s="148">
        <v>1E-3</v>
      </c>
      <c r="B68" s="161">
        <f>-$B$67*A68</f>
        <v>-2.1490693065418291E-2</v>
      </c>
      <c r="C68" s="88"/>
      <c r="D68" s="149">
        <f>SUM(E68:AB68)/SUMPRODUCT(E50:AB50,E33:AB33)</f>
        <v>12.823217755727194</v>
      </c>
      <c r="E68" s="162">
        <f>E67*E50*E33</f>
        <v>-701.2842286089849</v>
      </c>
      <c r="F68" s="162">
        <f t="shared" ref="F68:AC68" si="18">F67*F50*F33</f>
        <v>-1717.2697708997161</v>
      </c>
      <c r="G68" s="162">
        <f t="shared" si="18"/>
        <v>-2694.2384750841015</v>
      </c>
      <c r="H68" s="162">
        <f t="shared" si="18"/>
        <v>-4256.477154231422</v>
      </c>
      <c r="I68" s="162">
        <f t="shared" si="18"/>
        <v>-5985.3336974767226</v>
      </c>
      <c r="J68" s="162">
        <f t="shared" si="18"/>
        <v>-8023.6902192496018</v>
      </c>
      <c r="K68" s="162">
        <f t="shared" si="18"/>
        <v>-9996.4401545941291</v>
      </c>
      <c r="L68" s="162">
        <f t="shared" si="18"/>
        <v>-11768.311331405954</v>
      </c>
      <c r="M68" s="162">
        <f t="shared" si="18"/>
        <v>-13389.26045067491</v>
      </c>
      <c r="N68" s="162">
        <f t="shared" si="18"/>
        <v>-14774.381185306045</v>
      </c>
      <c r="O68" s="162">
        <f t="shared" si="18"/>
        <v>-15991.191190632899</v>
      </c>
      <c r="P68" s="162">
        <f t="shared" si="18"/>
        <v>-17158.890845266804</v>
      </c>
      <c r="Q68" s="162">
        <f t="shared" si="18"/>
        <v>-18277.515927969471</v>
      </c>
      <c r="R68" s="162">
        <f t="shared" si="18"/>
        <v>-19347.212745062297</v>
      </c>
      <c r="S68" s="162">
        <f t="shared" si="18"/>
        <v>-20368.22870617907</v>
      </c>
      <c r="T68" s="162">
        <f t="shared" si="18"/>
        <v>-21340.903626396423</v>
      </c>
      <c r="U68" s="162">
        <f t="shared" si="18"/>
        <v>-22265.661680946549</v>
      </c>
      <c r="V68" s="162">
        <f t="shared" si="18"/>
        <v>-23143.003947710669</v>
      </c>
      <c r="W68" s="162">
        <f t="shared" si="18"/>
        <v>-23973.501480595733</v>
      </c>
      <c r="X68" s="162">
        <f t="shared" si="18"/>
        <v>-24757.788863842277</v>
      </c>
      <c r="Y68" s="162">
        <f t="shared" si="18"/>
        <v>-25496.558203398963</v>
      </c>
      <c r="Z68" s="162">
        <f t="shared" si="18"/>
        <v>-26190.553516832097</v>
      </c>
      <c r="AA68" s="162">
        <f t="shared" si="18"/>
        <v>-26840.565487900876</v>
      </c>
      <c r="AB68" s="162">
        <f t="shared" si="18"/>
        <v>-27447.426556001727</v>
      </c>
      <c r="AC68" s="162">
        <f t="shared" si="18"/>
        <v>-28012.006314235132</v>
      </c>
    </row>
    <row r="69" spans="1:29" ht="15" x14ac:dyDescent="0.25">
      <c r="A69" s="148">
        <v>5.0000000000000001E-3</v>
      </c>
      <c r="B69" s="161">
        <f>-$B$67*A69</f>
        <v>-0.10745346532709146</v>
      </c>
      <c r="C69" s="88"/>
      <c r="D69" s="163">
        <f>(1+B59)/B59+AC67</f>
        <v>38.048192771084338</v>
      </c>
      <c r="E69" s="3"/>
      <c r="F69" s="35"/>
      <c r="H69" s="6"/>
    </row>
    <row r="70" spans="1:29" x14ac:dyDescent="0.2">
      <c r="D70" s="105"/>
      <c r="E70" s="10"/>
      <c r="F70" s="9"/>
      <c r="H70" s="6"/>
    </row>
    <row r="71" spans="1:29" x14ac:dyDescent="0.2">
      <c r="C71" s="88"/>
      <c r="D71" s="106"/>
      <c r="E71" s="106"/>
      <c r="F71" s="106"/>
    </row>
    <row r="72" spans="1:29" x14ac:dyDescent="0.2">
      <c r="C72" s="88"/>
      <c r="D72" s="35"/>
      <c r="E72" s="3"/>
      <c r="F72" s="3"/>
    </row>
    <row r="73" spans="1:29" x14ac:dyDescent="0.2">
      <c r="C73" s="88"/>
      <c r="D73" s="3"/>
      <c r="E73" s="35"/>
      <c r="F73" s="3"/>
    </row>
    <row r="74" spans="1:29" x14ac:dyDescent="0.2">
      <c r="C74" s="88"/>
      <c r="D74" s="3"/>
      <c r="E74" s="3"/>
      <c r="F74" s="3"/>
      <c r="J74" s="9"/>
    </row>
    <row r="75" spans="1:29" x14ac:dyDescent="0.2">
      <c r="C75" s="88"/>
      <c r="D75" s="3"/>
      <c r="E75" s="3"/>
      <c r="F75" s="3"/>
    </row>
    <row r="76" spans="1:29" x14ac:dyDescent="0.2">
      <c r="C76" s="88"/>
      <c r="D76" s="3"/>
      <c r="E76" s="3"/>
      <c r="F76" s="3"/>
    </row>
    <row r="77" spans="1:29" x14ac:dyDescent="0.2">
      <c r="C77" s="88"/>
      <c r="D77" s="3"/>
      <c r="E77" s="3"/>
      <c r="F77" s="3"/>
    </row>
    <row r="78" spans="1:29" x14ac:dyDescent="0.2">
      <c r="C78" s="88"/>
      <c r="D78" s="3"/>
      <c r="E78" s="3"/>
      <c r="F78" s="35"/>
    </row>
    <row r="79" spans="1:29" x14ac:dyDescent="0.2">
      <c r="F79" s="8"/>
    </row>
    <row r="81" spans="4:9" x14ac:dyDescent="0.2">
      <c r="G81" s="10"/>
    </row>
    <row r="82" spans="4:9" x14ac:dyDescent="0.2">
      <c r="D82" s="3"/>
      <c r="E82" s="3"/>
      <c r="F82" s="3"/>
      <c r="G82" s="9"/>
    </row>
    <row r="83" spans="4:9" x14ac:dyDescent="0.2">
      <c r="D83" s="3"/>
      <c r="E83" s="3"/>
      <c r="F83" s="3"/>
      <c r="G83" s="9"/>
    </row>
    <row r="84" spans="4:9" x14ac:dyDescent="0.2">
      <c r="D84" s="3"/>
      <c r="E84" s="3"/>
      <c r="F84" s="3"/>
      <c r="H84" s="9"/>
    </row>
    <row r="85" spans="4:9" x14ac:dyDescent="0.2">
      <c r="I85" s="10"/>
    </row>
    <row r="86" spans="4:9" x14ac:dyDescent="0.2">
      <c r="D86" s="3"/>
      <c r="E86" s="3"/>
      <c r="F86" s="3"/>
    </row>
    <row r="87" spans="4:9" x14ac:dyDescent="0.2">
      <c r="D87" s="3"/>
      <c r="E87" s="3"/>
      <c r="F87" s="3"/>
    </row>
    <row r="88" spans="4:9" x14ac:dyDescent="0.2">
      <c r="D88" s="3"/>
      <c r="E88" s="3"/>
      <c r="F88" s="3"/>
    </row>
  </sheetData>
  <mergeCells count="6">
    <mergeCell ref="H65:I65"/>
    <mergeCell ref="H64:I64"/>
    <mergeCell ref="A1:L1"/>
    <mergeCell ref="H60:I60"/>
    <mergeCell ref="H62:I62"/>
    <mergeCell ref="H63:I63"/>
  </mergeCells>
  <phoneticPr fontId="0" type="noConversion"/>
  <hyperlinks>
    <hyperlink ref="A61" r:id="rId1" xr:uid="{00000000-0004-0000-0600-000000000000}"/>
  </hyperlinks>
  <pageMargins left="0.75" right="0.75" top="1" bottom="1" header="0" footer="0"/>
  <pageSetup orientation="portrait" r:id="rId2"/>
  <headerFooter alignWithMargins="0"/>
  <drawing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5EC45A-5F60-446D-BA3B-9CDFC20875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F95F15-C902-4F29-BCC3-173A7BFB5290}">
  <ds:schemaRefs>
    <ds:schemaRef ds:uri="http://purl.org/dc/dcmitype/"/>
    <ds:schemaRef ds:uri="http://purl.org/dc/elements/1.1/"/>
    <ds:schemaRef ds:uri="http://schemas.microsoft.com/office/2006/metadata/properties"/>
    <ds:schemaRef ds:uri="http://purl.org/dc/terms/"/>
    <ds:schemaRef ds:uri="6ba73c8a-1af7-4183-b158-1cd1291da2b6"/>
    <ds:schemaRef ds:uri="http://schemas.microsoft.com/office/2006/documentManagement/types"/>
    <ds:schemaRef ds:uri="8c89d0e4-a8d9-42ba-a773-c59a56f7723e"/>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23028311-5B3E-4A97-859E-B99526C68F7D}">
  <ds:schemaRefs>
    <ds:schemaRef ds:uri="http://schemas.microsoft.com/DataMashup"/>
  </ds:schemaRefs>
</ds:datastoreItem>
</file>

<file path=customXml/itemProps4.xml><?xml version="1.0" encoding="utf-8"?>
<ds:datastoreItem xmlns:ds="http://schemas.openxmlformats.org/officeDocument/2006/customXml" ds:itemID="{97FB3ED4-AE09-4A5F-AFD9-51C7AB84015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OP</vt:lpstr>
      <vt:lpstr>COVID-19 impact</vt:lpstr>
      <vt:lpstr>Peers</vt:lpstr>
      <vt:lpstr>Acuerdo</vt:lpstr>
      <vt:lpstr>ESG</vt:lpstr>
      <vt:lpstr>Ratios</vt:lpstr>
      <vt:lpstr>DCF</vt:lpstr>
      <vt:lpstr>OP!Print_Area</vt:lpstr>
    </vt:vector>
  </TitlesOfParts>
  <Company>HIL CONSULTORES, 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 E. HERNANDEZ P.</dc:creator>
  <cp:lastModifiedBy>Raul Vasconcelos da Silva</cp:lastModifiedBy>
  <cp:lastPrinted>2019-08-19T22:45:59Z</cp:lastPrinted>
  <dcterms:created xsi:type="dcterms:W3CDTF">2000-04-19T14:51:26Z</dcterms:created>
  <dcterms:modified xsi:type="dcterms:W3CDTF">2025-06-16T12:29:03Z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