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codeName="ThisWorkbook"/>
  <mc:AlternateContent xmlns:mc="http://schemas.openxmlformats.org/markup-compatibility/2006">
    <mc:Choice Requires="x15">
      <x15ac:absPath xmlns:x15ac="http://schemas.microsoft.com/office/spreadsheetml/2010/11/ac" url="https://phdisegutl.sharepoint.com/sites/LIS-GENERAL-SecuritiesResearch/Shared Documents/Securities Research/One Pagers/24-25/Team 7 (José Honório)/"/>
    </mc:Choice>
  </mc:AlternateContent>
  <xr:revisionPtr revIDLastSave="2" documentId="13_ncr:1_{883A82E4-2CEF-FF4B-81D9-C162014AA938}" xr6:coauthVersionLast="47" xr6:coauthVersionMax="47" xr10:uidLastSave="{84992E6D-7085-D04C-95F4-CBF8178063D0}"/>
  <bookViews>
    <workbookView xWindow="0" yWindow="540" windowWidth="28800" windowHeight="16340" tabRatio="644" xr2:uid="{00000000-000D-0000-FFFF-FFFF00000000}"/>
  </bookViews>
  <sheets>
    <sheet name="OP" sheetId="1" r:id="rId1"/>
    <sheet name="COVID-19 impact" sheetId="12" state="hidden" r:id="rId2"/>
    <sheet name="Acuerdo" sheetId="11" state="hidden" r:id="rId3"/>
    <sheet name="DCF" sheetId="4" state="hidden" r:id="rId4"/>
  </sheets>
  <externalReferences>
    <externalReference r:id="rId5"/>
  </externalReferences>
  <definedNames>
    <definedName name="_xlnm.Print_Area" localSheetId="0">OP!$A$1:$M$51</definedName>
    <definedName name="Benchmark">[1]ControlsH!$B$3</definedName>
    <definedName name="BestConsOv">#REF!</definedName>
    <definedName name="Broker_Name">OFFSET(#REF!,0,0,[1]ControlsH!$E$5, 1)</definedName>
    <definedName name="calCODE">[1]ControlsH!$C$4</definedName>
    <definedName name="Chart_Benchmark_100_Size">OFFSET(#REF!, 0, 0, [1]ControlsH!$E$3, 1)</definedName>
    <definedName name="Chart_Date_Size">OFFSET(#REF!, 0, 0, [1]ControlsH!$E$3, 1)</definedName>
    <definedName name="Chart_Date_VAL1_Size">OFFSET(#REF!, 0, 0, [1]ControlsH!$I$3, 1)</definedName>
    <definedName name="Chart_Date_VAL2_Size">OFFSET(#REF!, 0, 0, [1]ControlsH!$I$5, 1)</definedName>
    <definedName name="Chart_Peer_100_Size">OFFSET(#REF!, 0, 0, [1]ControlsH!$E$3, 1)</definedName>
    <definedName name="Chart_Price_100_Size">OFFSET(#REF!, 0, 0, [1]ControlsH!$E$3, 1)</definedName>
    <definedName name="Chart_Price_Size">OFFSET(#REF!, 0, 0, [1]ControlsH!$E$3, 1)</definedName>
    <definedName name="Chart_VAL1_FY1_Size">OFFSET(#REF!, 0, 0, [1]ControlsH!$F$3, 1)</definedName>
    <definedName name="Chart_VAL1_FY2_Size">OFFSET(#REF!, 0, 0, [1]ControlsH!$G$3, 1)</definedName>
    <definedName name="Chart_VAL1_FY3_Size">OFFSET(#REF!, 0, 0, [1]ControlsH!$H$3, 1)</definedName>
    <definedName name="Chart_VAL2_FY1_Size">OFFSET(#REF!, 0, 0, [1]ControlsH!$F$5, 1)</definedName>
    <definedName name="Chart_VAL2_FY2_Size">OFFSET(#REF!, 0, 0, [1]ControlsH!$G$5, 1)</definedName>
    <definedName name="Chart_VAL2_FY3_Size">OFFSET(#REF!, 0, 0, [1]ControlsH!$H$5, 1)</definedName>
    <definedName name="Chart_Volume_Size">OFFSET(#REF!, 0, 0, [1]ControlsH!$E$3, 1)</definedName>
    <definedName name="compNAME">[1]ControlsH!$B$6</definedName>
    <definedName name="CURRENCY">[1]ControlsH!$B$9</definedName>
    <definedName name="currPRICE">[1]Overview!$E$19</definedName>
    <definedName name="custBenchmark">[1]Overview!$C$9</definedName>
    <definedName name="custED">#REF!</definedName>
    <definedName name="custSD">#REF!</definedName>
    <definedName name="dayCODE">[1]ControlsH!$C$5</definedName>
    <definedName name="ED">[1]ControlsH!$B$5</definedName>
    <definedName name="ESTBrokersItem">#REF!</definedName>
    <definedName name="ESTBrokersPeriod">#REF!</definedName>
    <definedName name="ESTDetailBroker">#REF!</definedName>
    <definedName name="ESTDetailBroker2">#REF!</definedName>
    <definedName name="ESTDetailPeriod">#REF!</definedName>
    <definedName name="EstDetPerO">#REF!</definedName>
    <definedName name="EstDetPerT">#REF!</definedName>
    <definedName name="FinancialsPeriod">#REF!</definedName>
    <definedName name="fundTICKER">[1]ControlsH!$B$15</definedName>
    <definedName name="GraphValRatio1">#REF!</definedName>
    <definedName name="GraphValRatio2">#REF!</definedName>
    <definedName name="Index1">#REF!</definedName>
    <definedName name="Lang">[1]Overview!$D$11</definedName>
    <definedName name="newCrncy">[1]ControlsH!$B$21:$B$199</definedName>
    <definedName name="newEstBrokerPeriod">#REF!</definedName>
    <definedName name="newEstBrokersItem">#REF!</definedName>
    <definedName name="newEstDetailBroker">#REF!</definedName>
    <definedName name="newEstDetailBroker2">#REF!</definedName>
    <definedName name="newEstDetailPeriod">#REF!</definedName>
    <definedName name="newFinancialsPeriod">#REF!</definedName>
    <definedName name="newOverviewCon">#REF!</definedName>
    <definedName name="newOverviewYear">#REF!</definedName>
    <definedName name="newOwners">#REF!</definedName>
    <definedName name="newPeersRatio">#REF!</definedName>
    <definedName name="newPeriod">#REF!</definedName>
    <definedName name="newValRatio1">#REF!</definedName>
    <definedName name="newValRatio2">#REF!</definedName>
    <definedName name="OverviewValRatioPeriod">[1]Overview!$D$30</definedName>
    <definedName name="PeerDate1">[1]Peers!$S$11</definedName>
    <definedName name="peerHist1">#REF!</definedName>
    <definedName name="PeerIndex">[1]ControlsH!$F$35:$F$36</definedName>
    <definedName name="Peers">OFFSET([1]Peers!$C$18,0,0,MAX(COUNTA([1]Peers!$C$18:$C$47),1),1)</definedName>
    <definedName name="peersWEIGHT">[1]ControlsH!$B$13</definedName>
    <definedName name="PERIODICITY">[1]ControlsH!$C$3</definedName>
    <definedName name="salesGEOG">OFFSET([1]Overview!$W$16, 0, 0,#REF!, 1)</definedName>
    <definedName name="salesPROD">OFFSET([1]Overview!$Q$16, 0, 0,#REF!, 1)</definedName>
    <definedName name="SD">[1]ControlsH!$B$4</definedName>
    <definedName name="shBroker1">#REF!</definedName>
    <definedName name="shBrokerRange">#REF!</definedName>
    <definedName name="shOverviewYear">#REF!</definedName>
    <definedName name="shPeer1">#REF!</definedName>
    <definedName name="shPeerRange">#REF!</definedName>
    <definedName name="shPeersDate1">#REF!</definedName>
    <definedName name="startingDate">#REF!</definedName>
    <definedName name="Target_Price">OFFSET(#REF!,0,0,[1]ControlsH!$E$5, 1)</definedName>
    <definedName name="TICKER">[1]Overview!$D$8</definedName>
    <definedName name="Top20OwnerType">[1]Owners!$E$24</definedName>
    <definedName name="ViewConsolidatedOrParent">[1]Overview!$O$13</definedName>
    <definedName name="ViewYear">[1]Overview!$U$13</definedName>
    <definedName name="YTDdt">[1]ControlsH!$G$34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J13" i="1" l="1"/>
  <c r="J14" i="1"/>
  <c r="C9" i="1"/>
  <c r="L11" i="1"/>
  <c r="J18" i="1"/>
  <c r="J11" i="1"/>
  <c r="F8" i="1"/>
  <c r="F9" i="1"/>
  <c r="F10" i="1"/>
  <c r="F11" i="1"/>
  <c r="F12" i="1"/>
  <c r="F15" i="1"/>
  <c r="F16" i="1"/>
  <c r="F17" i="1"/>
  <c r="F18" i="1"/>
  <c r="F19" i="1"/>
  <c r="C12" i="1"/>
  <c r="C39" i="1" l="1"/>
  <c r="L41" i="1" l="1"/>
  <c r="K41" i="1"/>
  <c r="K42" i="1" s="1"/>
  <c r="C42" i="1"/>
  <c r="C41" i="1"/>
  <c r="N37" i="1"/>
  <c r="D38" i="1"/>
  <c r="C38" i="1"/>
  <c r="J17" i="1" l="1"/>
  <c r="J16" i="1" l="1"/>
  <c r="J24" i="1" l="1"/>
  <c r="H24" i="1" l="1"/>
  <c r="L21" i="1"/>
  <c r="L23" i="1" l="1"/>
  <c r="O36" i="1" l="1"/>
  <c r="N36" i="1"/>
  <c r="D37" i="1"/>
  <c r="D41" i="1" l="1"/>
  <c r="D39" i="1"/>
  <c r="O37" i="1"/>
  <c r="D42" i="1"/>
  <c r="L40" i="1"/>
  <c r="K40" i="1"/>
  <c r="B59" i="4" l="1"/>
  <c r="E61" i="4"/>
  <c r="D61" i="4"/>
  <c r="B43" i="4" l="1"/>
  <c r="C43" i="4"/>
  <c r="D42" i="4"/>
  <c r="E38" i="4" l="1"/>
  <c r="D38" i="4"/>
  <c r="C50" i="4" l="1"/>
  <c r="B50" i="4"/>
  <c r="C47" i="4"/>
  <c r="C40" i="4" l="1"/>
  <c r="B40" i="4"/>
  <c r="C38" i="4"/>
  <c r="B38" i="4"/>
  <c r="C37" i="4"/>
  <c r="B37" i="4"/>
  <c r="R35" i="1" l="1"/>
  <c r="Q35" i="1"/>
  <c r="O35" i="1"/>
  <c r="N35" i="1"/>
  <c r="C36" i="4" s="1"/>
  <c r="D43" i="4" l="1"/>
  <c r="E43" i="4" s="1"/>
  <c r="F43" i="4" s="1"/>
  <c r="G43" i="4" s="1"/>
  <c r="H43" i="4" s="1"/>
  <c r="I43" i="4" s="1"/>
  <c r="J43" i="4" s="1"/>
  <c r="K43" i="4" s="1"/>
  <c r="L43" i="4" s="1"/>
  <c r="M43" i="4" s="1"/>
  <c r="N43" i="4" s="1"/>
  <c r="O43" i="4" s="1"/>
  <c r="P43" i="4" s="1"/>
  <c r="Q43" i="4" s="1"/>
  <c r="R43" i="4" s="1"/>
  <c r="S43" i="4" s="1"/>
  <c r="T43" i="4" s="1"/>
  <c r="U43" i="4" s="1"/>
  <c r="V43" i="4" s="1"/>
  <c r="W43" i="4" s="1"/>
  <c r="X43" i="4" s="1"/>
  <c r="Y43" i="4" s="1"/>
  <c r="Z43" i="4" s="1"/>
  <c r="AA43" i="4" s="1"/>
  <c r="AB43" i="4" s="1"/>
  <c r="AC43" i="4" s="1"/>
  <c r="P35" i="1" l="1"/>
  <c r="L42" i="1" l="1"/>
  <c r="B47" i="4"/>
  <c r="S35" i="1"/>
  <c r="F13" i="1"/>
  <c r="D48" i="4" l="1"/>
  <c r="E42" i="4" s="1"/>
  <c r="E48" i="4" l="1"/>
  <c r="F42" i="4" s="1"/>
  <c r="O27" i="1"/>
  <c r="D40" i="1" s="1"/>
  <c r="O29" i="1"/>
  <c r="O30" i="1"/>
  <c r="O31" i="1"/>
  <c r="O32" i="1"/>
  <c r="O33" i="1"/>
  <c r="O34" i="1"/>
  <c r="F48" i="4" l="1"/>
  <c r="G42" i="4" s="1"/>
  <c r="G48" i="4" l="1"/>
  <c r="H42" i="4" s="1"/>
  <c r="H48" i="4" l="1"/>
  <c r="I42" i="4" s="1"/>
  <c r="B44" i="4"/>
  <c r="C44" i="4"/>
  <c r="I48" i="4" l="1"/>
  <c r="J42" i="4" s="1"/>
  <c r="E47" i="4"/>
  <c r="H10" i="1"/>
  <c r="H8" i="1" l="1"/>
  <c r="H9" i="1"/>
  <c r="J48" i="4"/>
  <c r="K42" i="4" s="1"/>
  <c r="E13" i="1"/>
  <c r="K48" i="4" l="1"/>
  <c r="L42" i="4" s="1"/>
  <c r="F47" i="4"/>
  <c r="N29" i="1"/>
  <c r="N32" i="1"/>
  <c r="N33" i="1"/>
  <c r="L48" i="4" l="1"/>
  <c r="M42" i="4" s="1"/>
  <c r="G47" i="4"/>
  <c r="M48" i="4" l="1"/>
  <c r="N42" i="4" s="1"/>
  <c r="H12" i="1"/>
  <c r="H11" i="1"/>
  <c r="H16" i="1" l="1"/>
  <c r="H17" i="1"/>
  <c r="H19" i="1"/>
  <c r="H18" i="1"/>
  <c r="N48" i="4"/>
  <c r="O42" i="4" s="1"/>
  <c r="O48" i="4" l="1"/>
  <c r="P42" i="4" s="1"/>
  <c r="B41" i="4"/>
  <c r="P48" i="4" l="1"/>
  <c r="Q42" i="4" s="1"/>
  <c r="E40" i="4"/>
  <c r="F40" i="4" s="1"/>
  <c r="G40" i="4" s="1"/>
  <c r="H40" i="4" s="1"/>
  <c r="I40" i="4" s="1"/>
  <c r="J40" i="4" s="1"/>
  <c r="K40" i="4" s="1"/>
  <c r="L40" i="4" s="1"/>
  <c r="M40" i="4" s="1"/>
  <c r="N40" i="4" s="1"/>
  <c r="O40" i="4" s="1"/>
  <c r="P40" i="4" s="1"/>
  <c r="Q40" i="4" s="1"/>
  <c r="R40" i="4" s="1"/>
  <c r="S40" i="4" s="1"/>
  <c r="T40" i="4" s="1"/>
  <c r="U40" i="4" s="1"/>
  <c r="V40" i="4" s="1"/>
  <c r="W40" i="4" s="1"/>
  <c r="X40" i="4" s="1"/>
  <c r="Y40" i="4" s="1"/>
  <c r="Z40" i="4" s="1"/>
  <c r="AA40" i="4" s="1"/>
  <c r="AB40" i="4" s="1"/>
  <c r="AC40" i="4" s="1"/>
  <c r="C41" i="4"/>
  <c r="Q48" i="4" l="1"/>
  <c r="R42" i="4" s="1"/>
  <c r="B27" i="1"/>
  <c r="R48" i="4" l="1"/>
  <c r="S42" i="4" s="1"/>
  <c r="S48" i="4" l="1"/>
  <c r="T42" i="4" s="1"/>
  <c r="T48" i="4" l="1"/>
  <c r="U42" i="4" s="1"/>
  <c r="C49" i="4"/>
  <c r="U48" i="4" l="1"/>
  <c r="V42" i="4" s="1"/>
  <c r="V48" i="4" l="1"/>
  <c r="W42" i="4" s="1"/>
  <c r="N13" i="1"/>
  <c r="W48" i="4" l="1"/>
  <c r="X42" i="4" s="1"/>
  <c r="B49" i="4"/>
  <c r="X48" i="4" l="1"/>
  <c r="Y42" i="4" s="1"/>
  <c r="H47" i="4"/>
  <c r="N27" i="1"/>
  <c r="C40" i="1" s="1"/>
  <c r="E35" i="4"/>
  <c r="F35" i="4" s="1"/>
  <c r="G35" i="4" s="1"/>
  <c r="H35" i="4" s="1"/>
  <c r="I35" i="4" s="1"/>
  <c r="J35" i="4" s="1"/>
  <c r="K35" i="4" s="1"/>
  <c r="L35" i="4" s="1"/>
  <c r="M35" i="4" s="1"/>
  <c r="N35" i="4" s="1"/>
  <c r="O35" i="4" s="1"/>
  <c r="P35" i="4" s="1"/>
  <c r="Q35" i="4" s="1"/>
  <c r="R35" i="4" s="1"/>
  <c r="S35" i="4" s="1"/>
  <c r="T35" i="4" s="1"/>
  <c r="U35" i="4" s="1"/>
  <c r="V35" i="4" s="1"/>
  <c r="W35" i="4" s="1"/>
  <c r="X35" i="4" s="1"/>
  <c r="Y35" i="4" s="1"/>
  <c r="Z35" i="4" s="1"/>
  <c r="AA35" i="4" s="1"/>
  <c r="AB35" i="4" s="1"/>
  <c r="AC35" i="4" s="1"/>
  <c r="B46" i="4"/>
  <c r="C46" i="4"/>
  <c r="C53" i="4" s="1"/>
  <c r="D37" i="4"/>
  <c r="F6" i="1"/>
  <c r="E9" i="1"/>
  <c r="J15" i="1"/>
  <c r="L12" i="1"/>
  <c r="L26" i="1"/>
  <c r="B28" i="1"/>
  <c r="B29" i="1" s="1"/>
  <c r="B30" i="1" s="1"/>
  <c r="B31" i="1" s="1"/>
  <c r="B32" i="1" s="1"/>
  <c r="B33" i="1" s="1"/>
  <c r="B34" i="1" s="1"/>
  <c r="B35" i="1" s="1"/>
  <c r="B36" i="1" s="1"/>
  <c r="B37" i="1" s="1"/>
  <c r="P28" i="1"/>
  <c r="S28" i="1"/>
  <c r="N28" i="1"/>
  <c r="O28" i="1"/>
  <c r="Q28" i="1"/>
  <c r="R28" i="1"/>
  <c r="P29" i="1"/>
  <c r="Q29" i="1"/>
  <c r="R29" i="1"/>
  <c r="S29" i="1"/>
  <c r="N30" i="1"/>
  <c r="P30" i="1"/>
  <c r="Q30" i="1"/>
  <c r="R30" i="1"/>
  <c r="S30" i="1"/>
  <c r="S31" i="1"/>
  <c r="N31" i="1"/>
  <c r="P31" i="1"/>
  <c r="Q31" i="1"/>
  <c r="R31" i="1"/>
  <c r="Q32" i="1"/>
  <c r="R32" i="1"/>
  <c r="S32" i="1"/>
  <c r="Q33" i="1"/>
  <c r="R33" i="1"/>
  <c r="P34" i="1"/>
  <c r="N34" i="1"/>
  <c r="B36" i="4" s="1"/>
  <c r="Q34" i="1"/>
  <c r="R34" i="1"/>
  <c r="P32" i="1"/>
  <c r="P33" i="1"/>
  <c r="S34" i="1"/>
  <c r="S33" i="1"/>
  <c r="L18" i="1" l="1"/>
  <c r="L13" i="1"/>
  <c r="H15" i="1"/>
  <c r="Y33" i="4"/>
  <c r="Q33" i="4"/>
  <c r="I33" i="4"/>
  <c r="Z32" i="4"/>
  <c r="R32" i="4"/>
  <c r="J32" i="4"/>
  <c r="AA31" i="4"/>
  <c r="S31" i="4"/>
  <c r="K31" i="4"/>
  <c r="X33" i="4"/>
  <c r="P33" i="4"/>
  <c r="H33" i="4"/>
  <c r="Y32" i="4"/>
  <c r="Q32" i="4"/>
  <c r="I32" i="4"/>
  <c r="Z31" i="4"/>
  <c r="R31" i="4"/>
  <c r="J31" i="4"/>
  <c r="Z33" i="4"/>
  <c r="AB31" i="4"/>
  <c r="W33" i="4"/>
  <c r="O33" i="4"/>
  <c r="G33" i="4"/>
  <c r="X32" i="4"/>
  <c r="P32" i="4"/>
  <c r="H32" i="4"/>
  <c r="Y31" i="4"/>
  <c r="Q31" i="4"/>
  <c r="I31" i="4"/>
  <c r="D69" i="4"/>
  <c r="V33" i="4"/>
  <c r="N33" i="4"/>
  <c r="F33" i="4"/>
  <c r="W32" i="4"/>
  <c r="O32" i="4"/>
  <c r="G32" i="4"/>
  <c r="X31" i="4"/>
  <c r="P31" i="4"/>
  <c r="H31" i="4"/>
  <c r="AC33" i="4"/>
  <c r="U33" i="4"/>
  <c r="M33" i="4"/>
  <c r="E33" i="4"/>
  <c r="V32" i="4"/>
  <c r="N32" i="4"/>
  <c r="F32" i="4"/>
  <c r="W31" i="4"/>
  <c r="O31" i="4"/>
  <c r="G31" i="4"/>
  <c r="R33" i="4"/>
  <c r="AB33" i="4"/>
  <c r="T33" i="4"/>
  <c r="L33" i="4"/>
  <c r="AC32" i="4"/>
  <c r="U32" i="4"/>
  <c r="M32" i="4"/>
  <c r="E32" i="4"/>
  <c r="V31" i="4"/>
  <c r="N31" i="4"/>
  <c r="F31" i="4"/>
  <c r="AA32" i="4"/>
  <c r="K32" i="4"/>
  <c r="L31" i="4"/>
  <c r="AA33" i="4"/>
  <c r="S33" i="4"/>
  <c r="K33" i="4"/>
  <c r="AB32" i="4"/>
  <c r="T32" i="4"/>
  <c r="L32" i="4"/>
  <c r="AC31" i="4"/>
  <c r="U31" i="4"/>
  <c r="M31" i="4"/>
  <c r="E31" i="4"/>
  <c r="J33" i="4"/>
  <c r="S32" i="4"/>
  <c r="T31" i="4"/>
  <c r="Y48" i="4"/>
  <c r="Z42" i="4" s="1"/>
  <c r="L19" i="1"/>
  <c r="I47" i="4"/>
  <c r="J47" i="4" s="1"/>
  <c r="K47" i="4" s="1"/>
  <c r="L47" i="4" s="1"/>
  <c r="M47" i="4" s="1"/>
  <c r="N47" i="4" s="1"/>
  <c r="O47" i="4" s="1"/>
  <c r="P47" i="4" s="1"/>
  <c r="Q47" i="4" s="1"/>
  <c r="R47" i="4" s="1"/>
  <c r="S47" i="4" s="1"/>
  <c r="T47" i="4" s="1"/>
  <c r="U47" i="4" s="1"/>
  <c r="V47" i="4" s="1"/>
  <c r="W47" i="4" s="1"/>
  <c r="X47" i="4" s="1"/>
  <c r="Y47" i="4" s="1"/>
  <c r="Z47" i="4" s="1"/>
  <c r="AA47" i="4" s="1"/>
  <c r="AB47" i="4" s="1"/>
  <c r="AC47" i="4" s="1"/>
  <c r="D39" i="4"/>
  <c r="D44" i="4" s="1"/>
  <c r="E37" i="4"/>
  <c r="L16" i="1"/>
  <c r="L14" i="1" l="1"/>
  <c r="Z48" i="4"/>
  <c r="AA42" i="4" s="1"/>
  <c r="H64" i="4"/>
  <c r="H65" i="4"/>
  <c r="D45" i="4"/>
  <c r="D41" i="4"/>
  <c r="F37" i="4"/>
  <c r="E39" i="4"/>
  <c r="E44" i="4" s="1"/>
  <c r="L15" i="1"/>
  <c r="AA48" i="4" l="1"/>
  <c r="AB42" i="4" s="1"/>
  <c r="D50" i="4"/>
  <c r="D49" i="4"/>
  <c r="D46" i="4"/>
  <c r="D53" i="4" s="1"/>
  <c r="G37" i="4"/>
  <c r="F39" i="4"/>
  <c r="F44" i="4" s="1"/>
  <c r="E41" i="4"/>
  <c r="AB48" i="4" l="1"/>
  <c r="AC42" i="4" s="1"/>
  <c r="E49" i="4"/>
  <c r="E45" i="4"/>
  <c r="E46" i="4" s="1"/>
  <c r="E53" i="4" s="1"/>
  <c r="G39" i="4"/>
  <c r="G44" i="4" s="1"/>
  <c r="H37" i="4"/>
  <c r="F41" i="4"/>
  <c r="H63" i="4"/>
  <c r="AC48" i="4" l="1"/>
  <c r="E50" i="4"/>
  <c r="F45" i="4"/>
  <c r="F46" i="4" s="1"/>
  <c r="F53" i="4" s="1"/>
  <c r="G41" i="4"/>
  <c r="I37" i="4"/>
  <c r="H39" i="4"/>
  <c r="H44" i="4" s="1"/>
  <c r="E68" i="4" l="1"/>
  <c r="F50" i="4"/>
  <c r="F68" i="4" s="1"/>
  <c r="G45" i="4"/>
  <c r="G46" i="4" s="1"/>
  <c r="H45" i="4"/>
  <c r="I39" i="4"/>
  <c r="I44" i="4" s="1"/>
  <c r="H41" i="4"/>
  <c r="J37" i="4"/>
  <c r="H50" i="4" l="1"/>
  <c r="H68" i="4" s="1"/>
  <c r="G50" i="4"/>
  <c r="G68" i="4" s="1"/>
  <c r="H46" i="4"/>
  <c r="I45" i="4"/>
  <c r="I41" i="4"/>
  <c r="K37" i="4"/>
  <c r="J39" i="4"/>
  <c r="J44" i="4" s="1"/>
  <c r="I50" i="4" l="1"/>
  <c r="I68" i="4" s="1"/>
  <c r="I46" i="4"/>
  <c r="J41" i="4"/>
  <c r="K39" i="4"/>
  <c r="K44" i="4" s="1"/>
  <c r="L37" i="4"/>
  <c r="J45" i="4" l="1"/>
  <c r="J46" i="4" s="1"/>
  <c r="K41" i="4"/>
  <c r="M37" i="4"/>
  <c r="L39" i="4"/>
  <c r="L44" i="4" s="1"/>
  <c r="J50" i="4" l="1"/>
  <c r="K45" i="4"/>
  <c r="K46" i="4" s="1"/>
  <c r="N37" i="4"/>
  <c r="L41" i="4"/>
  <c r="M39" i="4"/>
  <c r="M44" i="4" s="1"/>
  <c r="J68" i="4" l="1"/>
  <c r="K50" i="4"/>
  <c r="K68" i="4" s="1"/>
  <c r="L45" i="4"/>
  <c r="L46" i="4" s="1"/>
  <c r="O37" i="4"/>
  <c r="N39" i="4"/>
  <c r="N44" i="4" s="1"/>
  <c r="M41" i="4"/>
  <c r="L50" i="4" l="1"/>
  <c r="L68" i="4" s="1"/>
  <c r="M45" i="4"/>
  <c r="M46" i="4" s="1"/>
  <c r="O39" i="4"/>
  <c r="O44" i="4" s="1"/>
  <c r="P37" i="4"/>
  <c r="N41" i="4"/>
  <c r="M50" i="4" l="1"/>
  <c r="M68" i="4" s="1"/>
  <c r="N45" i="4"/>
  <c r="N46" i="4" s="1"/>
  <c r="O41" i="4"/>
  <c r="Q37" i="4"/>
  <c r="P39" i="4"/>
  <c r="P44" i="4" s="1"/>
  <c r="N50" i="4" l="1"/>
  <c r="N68" i="4" s="1"/>
  <c r="O45" i="4"/>
  <c r="O46" i="4" s="1"/>
  <c r="P41" i="4"/>
  <c r="Q39" i="4"/>
  <c r="Q44" i="4" s="1"/>
  <c r="R37" i="4"/>
  <c r="O50" i="4" l="1"/>
  <c r="O68" i="4" s="1"/>
  <c r="P45" i="4"/>
  <c r="P46" i="4" s="1"/>
  <c r="Q41" i="4"/>
  <c r="Q45" i="4"/>
  <c r="S37" i="4"/>
  <c r="R39" i="4"/>
  <c r="R44" i="4" s="1"/>
  <c r="Q50" i="4" l="1"/>
  <c r="Q68" i="4" s="1"/>
  <c r="P50" i="4"/>
  <c r="P68" i="4" s="1"/>
  <c r="R41" i="4"/>
  <c r="Q46" i="4"/>
  <c r="S39" i="4"/>
  <c r="S44" i="4" s="1"/>
  <c r="T37" i="4"/>
  <c r="R45" i="4" l="1"/>
  <c r="R46" i="4" s="1"/>
  <c r="S41" i="4"/>
  <c r="S45" i="4"/>
  <c r="U37" i="4"/>
  <c r="T39" i="4"/>
  <c r="T44" i="4" s="1"/>
  <c r="S50" i="4" l="1"/>
  <c r="S68" i="4" s="1"/>
  <c r="R50" i="4"/>
  <c r="R68" i="4" s="1"/>
  <c r="T45" i="4"/>
  <c r="T41" i="4"/>
  <c r="V37" i="4"/>
  <c r="U39" i="4"/>
  <c r="U44" i="4" s="1"/>
  <c r="S46" i="4"/>
  <c r="T50" i="4" l="1"/>
  <c r="T68" i="4" s="1"/>
  <c r="T46" i="4"/>
  <c r="U41" i="4"/>
  <c r="U45" i="4"/>
  <c r="W37" i="4"/>
  <c r="V39" i="4"/>
  <c r="V44" i="4" s="1"/>
  <c r="U50" i="4" l="1"/>
  <c r="U68" i="4" s="1"/>
  <c r="X37" i="4"/>
  <c r="W39" i="4"/>
  <c r="W44" i="4" s="1"/>
  <c r="U46" i="4"/>
  <c r="V41" i="4"/>
  <c r="V45" i="4" l="1"/>
  <c r="V46" i="4" s="1"/>
  <c r="W45" i="4"/>
  <c r="W41" i="4"/>
  <c r="X39" i="4"/>
  <c r="X44" i="4" s="1"/>
  <c r="Y37" i="4"/>
  <c r="W50" i="4" l="1"/>
  <c r="W68" i="4" s="1"/>
  <c r="V50" i="4"/>
  <c r="V68" i="4" s="1"/>
  <c r="W46" i="4"/>
  <c r="X41" i="4"/>
  <c r="X45" i="4"/>
  <c r="Y39" i="4"/>
  <c r="Y44" i="4" s="1"/>
  <c r="Z37" i="4"/>
  <c r="X50" i="4" l="1"/>
  <c r="X68" i="4" s="1"/>
  <c r="Y41" i="4"/>
  <c r="AA37" i="4"/>
  <c r="X46" i="4"/>
  <c r="Z39" i="4"/>
  <c r="Z44" i="4" s="1"/>
  <c r="Y45" i="4" l="1"/>
  <c r="Y46" i="4" s="1"/>
  <c r="Z41" i="4"/>
  <c r="Z45" i="4"/>
  <c r="AA39" i="4"/>
  <c r="AA44" i="4" s="1"/>
  <c r="AB37" i="4"/>
  <c r="Z50" i="4" l="1"/>
  <c r="Z68" i="4" s="1"/>
  <c r="Y50" i="4"/>
  <c r="Y68" i="4" s="1"/>
  <c r="AA41" i="4"/>
  <c r="AB39" i="4"/>
  <c r="AB44" i="4" s="1"/>
  <c r="AC37" i="4"/>
  <c r="Z46" i="4"/>
  <c r="AA45" i="4" l="1"/>
  <c r="AA46" i="4" s="1"/>
  <c r="AB45" i="4"/>
  <c r="AB41" i="4"/>
  <c r="AC39" i="4"/>
  <c r="AC44" i="4" s="1"/>
  <c r="AB50" i="4" l="1"/>
  <c r="AA50" i="4"/>
  <c r="AA68" i="4" s="1"/>
  <c r="AB46" i="4"/>
  <c r="AC45" i="4"/>
  <c r="AC41" i="4"/>
  <c r="AB68" i="4" l="1"/>
  <c r="D68" i="4" s="1"/>
  <c r="E62" i="4"/>
  <c r="D62" i="4"/>
  <c r="AC50" i="4"/>
  <c r="AC46" i="4"/>
  <c r="AC68" i="4" l="1"/>
  <c r="D63" i="4"/>
  <c r="E63" i="4"/>
  <c r="E64" i="4" s="1"/>
  <c r="D64" i="4"/>
  <c r="AC52" i="4"/>
  <c r="C63" i="4" s="1"/>
  <c r="D51" i="4" l="1"/>
  <c r="E51" i="4" s="1"/>
  <c r="F51" i="4" s="1"/>
  <c r="G51" i="4" s="1"/>
  <c r="H51" i="4" s="1"/>
  <c r="I51" i="4" s="1"/>
  <c r="J51" i="4" s="1"/>
  <c r="K51" i="4" s="1"/>
  <c r="L51" i="4" s="1"/>
  <c r="M51" i="4" s="1"/>
  <c r="N51" i="4" s="1"/>
  <c r="O51" i="4" s="1"/>
  <c r="P51" i="4" s="1"/>
  <c r="Q51" i="4" s="1"/>
  <c r="R51" i="4" s="1"/>
  <c r="S51" i="4" s="1"/>
  <c r="T51" i="4" s="1"/>
  <c r="U51" i="4" s="1"/>
  <c r="V51" i="4" s="1"/>
  <c r="W51" i="4" s="1"/>
  <c r="X51" i="4" s="1"/>
  <c r="Y51" i="4" s="1"/>
  <c r="Z51" i="4" s="1"/>
  <c r="AA51" i="4" s="1"/>
  <c r="AB51" i="4" s="1"/>
  <c r="AC51" i="4" l="1"/>
  <c r="AB52" i="4"/>
  <c r="C62" i="4" s="1"/>
  <c r="B61" i="4" l="1"/>
  <c r="B62" i="4" s="1"/>
  <c r="B63" i="4" l="1"/>
  <c r="B67" i="4" s="1"/>
  <c r="F56" i="4"/>
  <c r="D55" i="4"/>
  <c r="F55" i="4"/>
  <c r="B64" i="4"/>
  <c r="D56" i="4"/>
  <c r="E56" i="4"/>
  <c r="E55" i="4"/>
  <c r="B65" i="4" l="1"/>
  <c r="D65" i="4"/>
  <c r="E65" i="4"/>
  <c r="B69" i="4"/>
  <c r="B68"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bloomberg-alunos</author>
    <author>林伊婧</author>
    <author>Lalo Rodriguez</author>
  </authors>
  <commentList>
    <comment ref="B2" authorId="0" shapeId="0" xr:uid="{00000000-0006-0000-0000-000001000000}">
      <text>
        <r>
          <rPr>
            <b/>
            <sz val="9"/>
            <color indexed="81"/>
            <rFont val="Tahoma"/>
            <family val="2"/>
          </rPr>
          <t>(date of last modification)</t>
        </r>
      </text>
    </comment>
    <comment ref="D2" authorId="0" shapeId="0" xr:uid="{00000000-0006-0000-0000-000002000000}">
      <text>
        <r>
          <rPr>
            <b/>
            <sz val="9"/>
            <color indexed="81"/>
            <rFont val="Tahoma"/>
            <family val="2"/>
          </rPr>
          <t>Date of last report/release</t>
        </r>
      </text>
    </comment>
    <comment ref="K2" authorId="0" shapeId="0" xr:uid="{00000000-0006-0000-0000-000003000000}">
      <text>
        <r>
          <rPr>
            <b/>
            <sz val="9"/>
            <color indexed="81"/>
            <rFont val="Tahoma"/>
            <family val="2"/>
          </rPr>
          <t>Stock market</t>
        </r>
      </text>
    </comment>
    <comment ref="B7" authorId="1" shapeId="0" xr:uid="{00000000-0006-0000-0000-000004000000}">
      <text>
        <r>
          <rPr>
            <b/>
            <sz val="10"/>
            <color rgb="FF000000"/>
            <rFont val="Tahoma"/>
            <family val="2"/>
          </rPr>
          <t>Last price</t>
        </r>
        <r>
          <rPr>
            <sz val="10"/>
            <color rgb="FF000000"/>
            <rFont val="Tahoma"/>
            <family val="2"/>
          </rPr>
          <t xml:space="preserve">
</t>
        </r>
      </text>
    </comment>
    <comment ref="D7" authorId="1" shapeId="0" xr:uid="{00000000-0006-0000-0000-000005000000}">
      <text>
        <r>
          <rPr>
            <b/>
            <sz val="10"/>
            <color rgb="FF000000"/>
            <rFont val="Tahoma"/>
            <family val="2"/>
          </rPr>
          <t>Total Assets</t>
        </r>
        <r>
          <rPr>
            <sz val="10"/>
            <color rgb="FF000000"/>
            <rFont val="Tahoma"/>
            <family val="2"/>
          </rPr>
          <t xml:space="preserve">
</t>
        </r>
      </text>
    </comment>
    <comment ref="I7" authorId="0" shapeId="0" xr:uid="{00000000-0006-0000-0000-000006000000}">
      <text>
        <r>
          <rPr>
            <b/>
            <sz val="9"/>
            <color indexed="81"/>
            <rFont val="Tahoma"/>
            <family val="2"/>
          </rPr>
          <t>End of financial year</t>
        </r>
      </text>
    </comment>
    <comment ref="D8" authorId="1" shapeId="0" xr:uid="{00000000-0006-0000-0000-000007000000}">
      <text>
        <r>
          <rPr>
            <b/>
            <sz val="10"/>
            <color rgb="FF000000"/>
            <rFont val="Tahoma"/>
            <family val="2"/>
          </rPr>
          <t>Total liabilities</t>
        </r>
        <r>
          <rPr>
            <sz val="10"/>
            <color rgb="FF000000"/>
            <rFont val="Tahoma"/>
            <family val="2"/>
          </rPr>
          <t xml:space="preserve">
</t>
        </r>
      </text>
    </comment>
    <comment ref="B10" authorId="1" shapeId="0" xr:uid="{00000000-0006-0000-0000-000008000000}">
      <text>
        <r>
          <rPr>
            <b/>
            <sz val="10"/>
            <color rgb="FF000000"/>
            <rFont val="Tahoma"/>
            <family val="2"/>
          </rPr>
          <t>Debt</t>
        </r>
        <r>
          <rPr>
            <sz val="10"/>
            <color rgb="FF000000"/>
            <rFont val="Tahoma"/>
            <family val="2"/>
          </rPr>
          <t xml:space="preserve">
</t>
        </r>
      </text>
    </comment>
    <comment ref="D10" authorId="1" shapeId="0" xr:uid="{00000000-0006-0000-0000-000009000000}">
      <text>
        <r>
          <rPr>
            <b/>
            <sz val="10"/>
            <color rgb="FF000000"/>
            <rFont val="Tahoma"/>
            <family val="2"/>
          </rPr>
          <t>EBITDA/Net financial cost</t>
        </r>
        <r>
          <rPr>
            <sz val="10"/>
            <color rgb="FF000000"/>
            <rFont val="Tahoma"/>
            <family val="2"/>
          </rPr>
          <t xml:space="preserve">
</t>
        </r>
      </text>
    </comment>
    <comment ref="D11" authorId="1" shapeId="0" xr:uid="{00000000-0006-0000-0000-00000A000000}">
      <text>
        <r>
          <rPr>
            <b/>
            <sz val="10"/>
            <color rgb="FF000000"/>
            <rFont val="Tahoma"/>
            <family val="2"/>
          </rPr>
          <t>Debt/EBITDA</t>
        </r>
        <r>
          <rPr>
            <sz val="10"/>
            <color rgb="FF000000"/>
            <rFont val="Tahoma"/>
            <family val="2"/>
          </rPr>
          <t xml:space="preserve">
</t>
        </r>
      </text>
    </comment>
    <comment ref="D12" authorId="1" shapeId="0" xr:uid="{00000000-0006-0000-0000-00000B000000}">
      <text>
        <r>
          <rPr>
            <b/>
            <sz val="10"/>
            <color rgb="FF000000"/>
            <rFont val="Tahoma"/>
            <family val="2"/>
          </rPr>
          <t>Other assets</t>
        </r>
        <r>
          <rPr>
            <sz val="10"/>
            <color rgb="FF000000"/>
            <rFont val="Tahoma"/>
            <family val="2"/>
          </rPr>
          <t xml:space="preserve">
</t>
        </r>
      </text>
    </comment>
    <comment ref="B13" authorId="1" shapeId="0" xr:uid="{00000000-0006-0000-0000-00000C000000}">
      <text>
        <r>
          <rPr>
            <sz val="10"/>
            <color rgb="FF000000"/>
            <rFont val="Arial"/>
            <family val="2"/>
          </rPr>
          <t>'Holdings (nac/int'l)</t>
        </r>
      </text>
    </comment>
    <comment ref="D13" authorId="1" shapeId="0" xr:uid="{00000000-0006-0000-0000-00000D000000}">
      <text>
        <r>
          <rPr>
            <b/>
            <sz val="10"/>
            <color rgb="FF000000"/>
            <rFont val="Tahoma"/>
            <family val="2"/>
          </rPr>
          <t>Debt/asset</t>
        </r>
      </text>
    </comment>
    <comment ref="B14" authorId="1" shapeId="0" xr:uid="{00000000-0006-0000-0000-00000E000000}">
      <text>
        <r>
          <rPr>
            <sz val="10"/>
            <color rgb="FF000000"/>
            <rFont val="Arial"/>
            <family val="2"/>
          </rPr>
          <t>t liq. (Holdings/Vol.)</t>
        </r>
      </text>
    </comment>
    <comment ref="D14" authorId="1" shapeId="0" xr:uid="{00000000-0006-0000-0000-00000F000000}">
      <text>
        <r>
          <rPr>
            <b/>
            <sz val="10"/>
            <color rgb="FF000000"/>
            <rFont val="Tahoma"/>
            <family val="2"/>
          </rPr>
          <t>Operating margin</t>
        </r>
      </text>
    </comment>
    <comment ref="D15" authorId="1" shapeId="0" xr:uid="{00000000-0006-0000-0000-000010000000}">
      <text>
        <r>
          <rPr>
            <b/>
            <sz val="10"/>
            <color rgb="FF000000"/>
            <rFont val="Tahoma"/>
            <family val="2"/>
          </rPr>
          <t>Net income margin</t>
        </r>
        <r>
          <rPr>
            <sz val="10"/>
            <color rgb="FF000000"/>
            <rFont val="Tahoma"/>
            <family val="2"/>
          </rPr>
          <t xml:space="preserve">
</t>
        </r>
      </text>
    </comment>
    <comment ref="D16" authorId="1" shapeId="0" xr:uid="{00000000-0006-0000-0000-000011000000}">
      <text>
        <r>
          <rPr>
            <b/>
            <sz val="10"/>
            <color rgb="FF000000"/>
            <rFont val="Tahoma"/>
            <family val="2"/>
          </rPr>
          <t>EBITDA/Revenue</t>
        </r>
        <r>
          <rPr>
            <sz val="10"/>
            <color rgb="FF000000"/>
            <rFont val="Tahoma"/>
            <family val="2"/>
          </rPr>
          <t xml:space="preserve">
</t>
        </r>
      </text>
    </comment>
    <comment ref="C17" authorId="2" shapeId="0" xr:uid="{00000000-0006-0000-0000-000012000000}">
      <text>
        <r>
          <rPr>
            <b/>
            <sz val="9"/>
            <color rgb="FF000000"/>
            <rFont val="Tahoma"/>
            <family val="2"/>
          </rPr>
          <t>Write a brief conclusion for each section of ESG, justifying why you chose this traffic light</t>
        </r>
      </text>
    </comment>
    <comment ref="D17" authorId="1" shapeId="0" xr:uid="{00000000-0006-0000-0000-000013000000}">
      <text>
        <r>
          <rPr>
            <b/>
            <sz val="10"/>
            <color rgb="FF000000"/>
            <rFont val="Tahoma"/>
            <family val="2"/>
          </rPr>
          <t>林伊婧</t>
        </r>
        <r>
          <rPr>
            <b/>
            <sz val="10"/>
            <color rgb="FF000000"/>
            <rFont val="Tahoma"/>
            <family val="2"/>
          </rPr>
          <t>:</t>
        </r>
        <r>
          <rPr>
            <sz val="10"/>
            <color rgb="FF000000"/>
            <rFont val="Tahoma"/>
            <family val="2"/>
          </rPr>
          <t xml:space="preserve">
</t>
        </r>
      </text>
    </comment>
    <comment ref="I24" authorId="1" shapeId="0" xr:uid="{00000000-0006-0000-0000-000014000000}">
      <text>
        <r>
          <rPr>
            <b/>
            <sz val="10"/>
            <color rgb="FF000000"/>
            <rFont val="Tahoma"/>
            <family val="2"/>
          </rPr>
          <t>Discount rate</t>
        </r>
        <r>
          <rPr>
            <sz val="10"/>
            <color rgb="FF000000"/>
            <rFont val="Tahoma"/>
            <family val="2"/>
          </rPr>
          <t xml:space="preserve">
</t>
        </r>
      </text>
    </comment>
    <comment ref="B51" authorId="0" shapeId="0" xr:uid="{00000000-0006-0000-0000-000015000000}">
      <text>
        <r>
          <rPr>
            <b/>
            <sz val="9"/>
            <color indexed="81"/>
            <rFont val="Tahoma"/>
            <family val="2"/>
          </rPr>
          <t>average of last 3 years</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Fernanda Salas</author>
    <author>sistemas</author>
  </authors>
  <commentList>
    <comment ref="D36" authorId="0" shapeId="0" xr:uid="{00000000-0006-0000-0400-000001000000}">
      <text>
        <r>
          <rPr>
            <sz val="9"/>
            <color indexed="81"/>
            <rFont val="Tahoma"/>
            <family val="2"/>
          </rPr>
          <t>Real al 3Q 2021</t>
        </r>
      </text>
    </comment>
    <comment ref="D38" authorId="0" shapeId="0" xr:uid="{00000000-0006-0000-0400-000002000000}">
      <text>
        <r>
          <rPr>
            <sz val="9"/>
            <color indexed="81"/>
            <rFont val="Tahoma"/>
            <family val="2"/>
          </rPr>
          <t>Tienen 30.2% al 3Q 2021</t>
        </r>
      </text>
    </comment>
    <comment ref="D42" authorId="0" shapeId="0" xr:uid="{00000000-0006-0000-0400-000003000000}">
      <text>
        <r>
          <rPr>
            <sz val="9"/>
            <color indexed="81"/>
            <rFont val="Tahoma"/>
            <family val="2"/>
          </rPr>
          <t xml:space="preserve">siempre han traído productos financieros… </t>
        </r>
      </text>
    </comment>
    <comment ref="D43" authorId="1" shapeId="0" xr:uid="{00000000-0006-0000-0400-000004000000}">
      <text>
        <r>
          <rPr>
            <b/>
            <sz val="9"/>
            <color indexed="81"/>
            <rFont val="Tahoma"/>
            <family val="2"/>
          </rPr>
          <t>sistemas:</t>
        </r>
        <r>
          <rPr>
            <sz val="9"/>
            <color indexed="81"/>
            <rFont val="Tahoma"/>
            <family val="2"/>
          </rPr>
          <t xml:space="preserve">
Agregamos a otros gastos el pago por la retención de impuestos de las acciones que otorga a los empleados</t>
        </r>
      </text>
    </comment>
  </commentList>
</comments>
</file>

<file path=xl/sharedStrings.xml><?xml version="1.0" encoding="utf-8"?>
<sst xmlns="http://schemas.openxmlformats.org/spreadsheetml/2006/main" count="183" uniqueCount="170">
  <si>
    <t>Ingresos</t>
  </si>
  <si>
    <t>Margen Operativo</t>
  </si>
  <si>
    <t>Insiders Own:</t>
  </si>
  <si>
    <t>EBIT</t>
  </si>
  <si>
    <t>+Dep&amp;Amort</t>
  </si>
  <si>
    <t>=EBIDTA</t>
  </si>
  <si>
    <t>Deuda/Activo</t>
  </si>
  <si>
    <t>Precio/Valor en libros</t>
  </si>
  <si>
    <t>AAG</t>
  </si>
  <si>
    <t>Ventas</t>
  </si>
  <si>
    <t>Crecimiento</t>
  </si>
  <si>
    <t>ISR &amp; PTU</t>
  </si>
  <si>
    <t>FNP</t>
  </si>
  <si>
    <t>F(t)</t>
  </si>
  <si>
    <t>VPN/Acción</t>
  </si>
  <si>
    <t>VPN*@i%</t>
  </si>
  <si>
    <t>Calificación (S&amp;P)</t>
  </si>
  <si>
    <t>Utilidad antes de Impuestos</t>
  </si>
  <si>
    <t>Inversiones</t>
  </si>
  <si>
    <t>CVAR</t>
  </si>
  <si>
    <t>Dep&amp;Amort</t>
  </si>
  <si>
    <t>EBIDTA</t>
  </si>
  <si>
    <t>Otros Gastos</t>
  </si>
  <si>
    <t>Precio/Utilidad(p)</t>
  </si>
  <si>
    <t>Precio/FNP (p)</t>
  </si>
  <si>
    <t>Float:</t>
  </si>
  <si>
    <t>Último Año</t>
  </si>
  <si>
    <t>Outstanding Shares</t>
  </si>
  <si>
    <t>Market Cap.</t>
  </si>
  <si>
    <t>Cash Flow</t>
  </si>
  <si>
    <t>Investing Activities</t>
  </si>
  <si>
    <r>
      <t>D</t>
    </r>
    <r>
      <rPr>
        <b/>
        <sz val="10"/>
        <rFont val="Arial"/>
        <family val="2"/>
      </rPr>
      <t xml:space="preserve"> Cash and Equivalents</t>
    </r>
  </si>
  <si>
    <r>
      <t>Inv/</t>
    </r>
    <r>
      <rPr>
        <sz val="10"/>
        <rFont val="Symbol"/>
        <family val="1"/>
        <charset val="2"/>
      </rPr>
      <t>D</t>
    </r>
    <r>
      <rPr>
        <sz val="10"/>
        <rFont val="Arial"/>
        <family val="2"/>
      </rPr>
      <t xml:space="preserve"> Vts</t>
    </r>
  </si>
  <si>
    <t>Año</t>
  </si>
  <si>
    <t>Último Precio</t>
  </si>
  <si>
    <t>+Deuda Total</t>
  </si>
  <si>
    <t>Cash/Precio</t>
  </si>
  <si>
    <t>Margen neto (p)</t>
  </si>
  <si>
    <t>Ebidta/Ingresos(p)</t>
  </si>
  <si>
    <t>Utilidad Neta (p)</t>
  </si>
  <si>
    <t>Utilidad Neta</t>
  </si>
  <si>
    <t>UPA</t>
  </si>
  <si>
    <t>Riesgos</t>
  </si>
  <si>
    <t>Oportunidades</t>
  </si>
  <si>
    <t>Tesis de inversión</t>
  </si>
  <si>
    <t>FNP(p)/Activos</t>
  </si>
  <si>
    <t>=Enterprise Value</t>
  </si>
  <si>
    <t>-Cash</t>
  </si>
  <si>
    <t>EV/Activos</t>
  </si>
  <si>
    <t>"Otros activos"/Activo</t>
  </si>
  <si>
    <t>EV/Ebidta (p)</t>
  </si>
  <si>
    <t>TDY(p)/Precio</t>
  </si>
  <si>
    <t xml:space="preserve">   Perpetuidad</t>
  </si>
  <si>
    <t>"TELP"</t>
  </si>
  <si>
    <t>Margen de Operación (p)</t>
  </si>
  <si>
    <t>ROA</t>
  </si>
  <si>
    <t>Ebidta(p)</t>
  </si>
  <si>
    <t>CIF/Deuda Neta Promedio</t>
  </si>
  <si>
    <t>Supuestos de valuación</t>
  </si>
  <si>
    <t>DCF Value</t>
  </si>
  <si>
    <t>Ebidta/CIF</t>
  </si>
  <si>
    <t>Div. Yield:</t>
  </si>
  <si>
    <t>Profit</t>
  </si>
  <si>
    <t>Deuda/Ebidta</t>
  </si>
  <si>
    <t xml:space="preserve">   DCF 25Y</t>
  </si>
  <si>
    <t>KSF</t>
  </si>
  <si>
    <t>Acción</t>
  </si>
  <si>
    <t>Div.+Recompra</t>
  </si>
  <si>
    <t>Tasa de descuento:</t>
  </si>
  <si>
    <t>(p) = Promedio de últimos 3 años</t>
  </si>
  <si>
    <t>Discounted Cash Flow</t>
  </si>
  <si>
    <r>
      <rPr>
        <b/>
        <sz val="10"/>
        <color indexed="9"/>
        <rFont val="Symbol"/>
        <family val="1"/>
        <charset val="2"/>
      </rPr>
      <t>D</t>
    </r>
    <r>
      <rPr>
        <b/>
        <sz val="10"/>
        <color indexed="9"/>
        <rFont val="Arial"/>
        <family val="2"/>
      </rPr>
      <t xml:space="preserve"> Analista</t>
    </r>
  </si>
  <si>
    <t>Múltiplos</t>
  </si>
  <si>
    <t>Año termina:</t>
  </si>
  <si>
    <t>Capex</t>
  </si>
  <si>
    <t>Adquisiones</t>
  </si>
  <si>
    <t>Dividends</t>
  </si>
  <si>
    <t>Stock Repurchases</t>
  </si>
  <si>
    <t>FNP (p)</t>
  </si>
  <si>
    <t>FX</t>
  </si>
  <si>
    <t>NOTES:</t>
  </si>
  <si>
    <t>t inversiones; t adq. neto dep.</t>
  </si>
  <si>
    <t>E</t>
  </si>
  <si>
    <t>S</t>
  </si>
  <si>
    <t>G</t>
  </si>
  <si>
    <t>Semáforo ESG</t>
  </si>
  <si>
    <t>ROIC</t>
  </si>
  <si>
    <t>ESG</t>
  </si>
  <si>
    <t>Riesgos claros</t>
  </si>
  <si>
    <t>EPS</t>
  </si>
  <si>
    <t>E$/UN</t>
  </si>
  <si>
    <t>EEV/EBIDA</t>
  </si>
  <si>
    <t>% Short</t>
  </si>
  <si>
    <t>t liq. (Pos prom./Vol.)</t>
  </si>
  <si>
    <t>PO / Precio Stand By</t>
  </si>
  <si>
    <t xml:space="preserve">Factor D&amp;A </t>
  </si>
  <si>
    <t>CP</t>
  </si>
  <si>
    <t>LP</t>
  </si>
  <si>
    <t>CHECKLIST</t>
  </si>
  <si>
    <t>Peer Analysis</t>
  </si>
  <si>
    <t>Consenso</t>
  </si>
  <si>
    <t>PO/Stand By</t>
  </si>
  <si>
    <t>Activo:</t>
  </si>
  <si>
    <t>Pasivo:</t>
  </si>
  <si>
    <t>CER</t>
  </si>
  <si>
    <t>Consenso EPS</t>
  </si>
  <si>
    <t>Acuerdo</t>
  </si>
  <si>
    <t>Depreciación</t>
  </si>
  <si>
    <t>Capex + Adq</t>
  </si>
  <si>
    <t>Invertir</t>
  </si>
  <si>
    <t>NO invertir</t>
  </si>
  <si>
    <t>Mantener sin elevar posición</t>
  </si>
  <si>
    <t>Mantener (y seguir comprando)</t>
  </si>
  <si>
    <t>Liquidar</t>
  </si>
  <si>
    <t>PENDIENTE</t>
  </si>
  <si>
    <t>Tenencia % (nac/int'l)</t>
  </si>
  <si>
    <t>Factor CIF</t>
  </si>
  <si>
    <t>Factor ISR</t>
  </si>
  <si>
    <t>Factor inv</t>
  </si>
  <si>
    <t>Suma D&amp;A</t>
  </si>
  <si>
    <t>Suma Inv.</t>
  </si>
  <si>
    <t>Inv.+Goodwill</t>
  </si>
  <si>
    <t>Liquidez y Solvencia</t>
  </si>
  <si>
    <t>VER DCF</t>
  </si>
  <si>
    <t>SIC: Sí</t>
  </si>
  <si>
    <t>Tax (p) últ. 5a</t>
  </si>
  <si>
    <t>2019 (Real)</t>
  </si>
  <si>
    <t>CIF</t>
  </si>
  <si>
    <t>CAGR</t>
  </si>
  <si>
    <t>Deuda/EBITDA</t>
  </si>
  <si>
    <t>Millones de USD</t>
  </si>
  <si>
    <t>Inversiones y Capex</t>
  </si>
  <si>
    <r>
      <t xml:space="preserve">%Vts; %Op.Mg.; </t>
    </r>
    <r>
      <rPr>
        <b/>
        <sz val="10"/>
        <rFont val="Symbol"/>
        <family val="1"/>
        <charset val="2"/>
      </rPr>
      <t>D</t>
    </r>
  </si>
  <si>
    <r>
      <t xml:space="preserve">%Vts; </t>
    </r>
    <r>
      <rPr>
        <b/>
        <sz val="10"/>
        <rFont val="Symbol"/>
        <family val="1"/>
        <charset val="2"/>
      </rPr>
      <t>D</t>
    </r>
  </si>
  <si>
    <t>Pros y Cons</t>
  </si>
  <si>
    <t>https://www.apple.com/newsroom/2020/03/apples-covid-19-response/</t>
  </si>
  <si>
    <t>https://glg.it/articles/how-might-the-wuhan-coronavirus-impact-apples-supply-chain/</t>
  </si>
  <si>
    <t>https://www.cnbc.com/2020/02/18/the-significance-of-apples-coronavirus-warning.html</t>
  </si>
  <si>
    <t>March 13</t>
  </si>
  <si>
    <t>January 29</t>
  </si>
  <si>
    <t>Ferbuary 18</t>
  </si>
  <si>
    <t>Otros:</t>
  </si>
  <si>
    <t>https://www.macrumors.com/guide/covid-19-coronavirus/</t>
  </si>
  <si>
    <t>2020 (Real)</t>
  </si>
  <si>
    <t>Analista: Research</t>
  </si>
  <si>
    <t>Deuda + Lease Liabilities</t>
  </si>
  <si>
    <t xml:space="preserve"> </t>
  </si>
  <si>
    <t>Normal</t>
  </si>
  <si>
    <t>Duración</t>
  </si>
  <si>
    <r>
      <t xml:space="preserve">b </t>
    </r>
    <r>
      <rPr>
        <sz val="10"/>
        <rFont val="Arial"/>
        <family val="2"/>
      </rPr>
      <t>(Bloomberg; Yahoo)</t>
    </r>
  </si>
  <si>
    <t>Cash Flow from Operations (BWC)</t>
  </si>
  <si>
    <t>Working Capital</t>
  </si>
  <si>
    <t>Endeudamiento Neto</t>
  </si>
  <si>
    <t>Otros Financiemientos</t>
  </si>
  <si>
    <t>Rentabilidad (2022)</t>
  </si>
  <si>
    <t>4.0%; 4.4%; 5%</t>
  </si>
  <si>
    <t>Bonos 1;5;40a (USD)</t>
  </si>
  <si>
    <r>
      <t xml:space="preserve">DESCRIPTION: </t>
    </r>
    <r>
      <rPr>
        <sz val="9.5"/>
        <rFont val="Arial"/>
        <family val="2"/>
      </rPr>
      <t xml:space="preserve">(write relevant information about the company, 1-2 lines is enough. If you find segments and key products relevant for this part, you can also write it here)
</t>
    </r>
  </si>
  <si>
    <r>
      <t>CEO &amp; BOARD: Name</t>
    </r>
    <r>
      <rPr>
        <sz val="9.5"/>
        <rFont val="Arial"/>
        <family val="2"/>
      </rPr>
      <t xml:space="preserve"> (Chairman or not; age; board member since; current board presence; previous jobs)</t>
    </r>
    <r>
      <rPr>
        <b/>
        <sz val="9.5"/>
        <rFont val="Arial"/>
        <family val="2"/>
      </rPr>
      <t xml:space="preserve">; note: </t>
    </r>
    <r>
      <rPr>
        <sz val="9.5"/>
        <rFont val="Arial"/>
        <family val="2"/>
      </rPr>
      <t xml:space="preserve">*Independent members, </t>
    </r>
    <r>
      <rPr>
        <sz val="9.5"/>
        <color rgb="FF00B050"/>
        <rFont val="Arial"/>
        <family val="2"/>
      </rPr>
      <t xml:space="preserve"> green</t>
    </r>
    <r>
      <rPr>
        <sz val="9.5"/>
        <rFont val="Arial"/>
        <family val="2"/>
      </rPr>
      <t>: new members</t>
    </r>
  </si>
  <si>
    <t>(risks)</t>
  </si>
  <si>
    <t>(opportunities)</t>
  </si>
  <si>
    <t>（write a text explaining pros and cons of the company)</t>
  </si>
  <si>
    <t>(write the peers' names here)</t>
  </si>
  <si>
    <t>(historical stock price of the company and its peers; source: Bloomberg)</t>
  </si>
  <si>
    <t>2024 Est.</t>
  </si>
  <si>
    <t>(date of last modification)</t>
  </si>
  <si>
    <t>Report (quarter): (date)</t>
  </si>
  <si>
    <t>Name of the Company  (Ticker)</t>
  </si>
  <si>
    <t>(stock market)</t>
  </si>
  <si>
    <r>
      <rPr>
        <b/>
        <sz val="10"/>
        <rFont val="Arial"/>
        <family val="2"/>
      </rPr>
      <t xml:space="preserve">Hold Position </t>
    </r>
    <r>
      <rPr>
        <sz val="10"/>
        <rFont val="Arial"/>
        <family val="2"/>
      </rPr>
      <t>- Prada S.p.A. stands out as a globally recognized luxury brand with a strong reputation for quality, innovation, and sustainability. The company’s leadership in the high-end fashion market is supported by its iconic brand identity, premium pricing power, and strategic initiatives like the Re-Nylon project that aligns with growing consumer demand for environmentally conscious products. Prada’s gross margin of 72.7% demonstrates its ability to maintain profitability, even in a competitive luxury market. Additionally, its focus on sustainability and digital transformation positions the company to attract younger, ESG-conscious consumers, ensuring long-term brand relevance. However, while Prada has opportunities to grow in emerging markets and among ultra-high-net-worth individuals, its heavy reliance on China for 32.4% of its revenue exposes it to risks from geopolitical tensions, regulatory changes, and economic slowdowns.
Despite Prada’s strong brand equity and profitability, the company faces challenges that warrant a cautious investment approach. Rising production and operational costs, driven by European labor expenses and sustainability investments, could pressure profit margins. Additionally, Prada trails competitors like Louis Vuitton and Hermès in digital engagement and revenue growth, with a CAGR of 8.5% (2021–2023) compared to higher rates among peers. Governance concerns, including shareholder engagement and financial disclosures, also weigh on investor sentiment. While Prada trades at an attractive EV/EBITDA multiple of 14.2x compared to peers like Hermès (21.0x) and Louis Vuitton (17.6x), these valuation discounts reflect the risks it faces. For investors, Prada represents a "Hold" position—an asset worth maintaining due to its strong fundamentals but not yet compelling enough to warrant additional investment until key risks are addressed.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</si>
</sst>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 #,##0.00_-;_-* &quot;-&quot;??_-;_-@_-"/>
    <numFmt numFmtId="164" formatCode="&quot;$&quot;#,##0;[Red]\-&quot;$&quot;#,##0"/>
    <numFmt numFmtId="165" formatCode="&quot;$&quot;#,##0.00;[Red]\-&quot;$&quot;#,##0.00"/>
    <numFmt numFmtId="166" formatCode="_-&quot;$&quot;* #,##0.00_-;\-&quot;$&quot;* #,##0.00_-;_-&quot;$&quot;* &quot;-&quot;??_-;_-@_-"/>
    <numFmt numFmtId="167" formatCode="&quot;$&quot;#,##0.00"/>
    <numFmt numFmtId="168" formatCode="&quot;$&quot;#,##0.0"/>
    <numFmt numFmtId="169" formatCode="&quot;$&quot;#,##0"/>
    <numFmt numFmtId="170" formatCode="0.0%"/>
    <numFmt numFmtId="171" formatCode="0.0"/>
    <numFmt numFmtId="172" formatCode="#,##0.0"/>
    <numFmt numFmtId="173" formatCode="_-* #,##0.00\ &quot;€&quot;_-;\-* #,##0.00\ &quot;€&quot;_-;_-* &quot;-&quot;??\ &quot;€&quot;_-;_-@_-"/>
  </numFmts>
  <fonts count="46"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2"/>
      <name val="Arial"/>
      <family val="2"/>
    </font>
    <font>
      <u/>
      <sz val="10"/>
      <color indexed="12"/>
      <name val="Arial"/>
      <family val="2"/>
    </font>
    <font>
      <sz val="10"/>
      <name val="Arial"/>
      <family val="2"/>
    </font>
    <font>
      <b/>
      <sz val="10"/>
      <name val="Arial"/>
      <family val="2"/>
    </font>
    <font>
      <b/>
      <sz val="10"/>
      <name val="Symbol"/>
      <family val="1"/>
      <charset val="2"/>
    </font>
    <font>
      <sz val="7.9"/>
      <name val="Arial"/>
      <family val="2"/>
    </font>
    <font>
      <b/>
      <sz val="9"/>
      <color indexed="8"/>
      <name val="Arial"/>
      <family val="2"/>
    </font>
    <font>
      <sz val="10"/>
      <name val="Symbol"/>
      <family val="1"/>
      <charset val="2"/>
    </font>
    <font>
      <b/>
      <sz val="16"/>
      <color indexed="9"/>
      <name val="Arial"/>
      <family val="2"/>
    </font>
    <font>
      <b/>
      <sz val="10"/>
      <color indexed="9"/>
      <name val="Arial"/>
      <family val="2"/>
    </font>
    <font>
      <b/>
      <sz val="9.3000000000000007"/>
      <name val="Arial"/>
      <family val="2"/>
    </font>
    <font>
      <sz val="8"/>
      <name val="Arial"/>
      <family val="2"/>
    </font>
    <font>
      <b/>
      <sz val="10"/>
      <color indexed="9"/>
      <name val="Symbol"/>
      <family val="1"/>
      <charset val="2"/>
    </font>
    <font>
      <b/>
      <sz val="9.5"/>
      <name val="Arial"/>
      <family val="2"/>
    </font>
    <font>
      <sz val="9.5"/>
      <name val="Arial"/>
      <family val="2"/>
    </font>
    <font>
      <sz val="10"/>
      <name val="Arial"/>
      <family val="2"/>
    </font>
    <font>
      <sz val="12"/>
      <name val="Arial"/>
      <family val="2"/>
    </font>
    <font>
      <sz val="9"/>
      <color indexed="81"/>
      <name val="Tahoma"/>
      <family val="2"/>
    </font>
    <font>
      <sz val="11"/>
      <color theme="1"/>
      <name val="Calibri"/>
      <family val="2"/>
      <scheme val="minor"/>
    </font>
    <font>
      <sz val="10"/>
      <color rgb="FFFF0000"/>
      <name val="Arial"/>
      <family val="2"/>
    </font>
    <font>
      <sz val="10"/>
      <color theme="0"/>
      <name val="Arial"/>
      <family val="2"/>
    </font>
    <font>
      <sz val="10"/>
      <color rgb="FF00B0F0"/>
      <name val="Arial"/>
      <family val="2"/>
    </font>
    <font>
      <b/>
      <sz val="10"/>
      <color theme="0"/>
      <name val="Arial"/>
      <family val="2"/>
    </font>
    <font>
      <b/>
      <sz val="10"/>
      <color rgb="FF002060"/>
      <name val="Arial"/>
      <family val="2"/>
    </font>
    <font>
      <b/>
      <sz val="11"/>
      <color theme="0"/>
      <name val="Arial"/>
      <family val="2"/>
    </font>
    <font>
      <b/>
      <sz val="16"/>
      <color theme="0"/>
      <name val="Arial"/>
      <family val="2"/>
    </font>
    <font>
      <sz val="7.9"/>
      <color theme="0"/>
      <name val="Arial"/>
      <family val="2"/>
    </font>
    <font>
      <b/>
      <sz val="9"/>
      <color indexed="81"/>
      <name val="Tahoma"/>
      <family val="2"/>
    </font>
    <font>
      <sz val="10"/>
      <color rgb="FF0070C0"/>
      <name val="Arial"/>
      <family val="2"/>
    </font>
    <font>
      <sz val="10"/>
      <color rgb="FF00B050"/>
      <name val="Arial"/>
      <family val="2"/>
    </font>
    <font>
      <u/>
      <sz val="10"/>
      <color theme="0"/>
      <name val="Arial"/>
      <family val="2"/>
    </font>
    <font>
      <b/>
      <sz val="10"/>
      <color rgb="FFFF0000"/>
      <name val="Arial"/>
      <family val="2"/>
    </font>
    <font>
      <b/>
      <sz val="10"/>
      <color rgb="FF0070C0"/>
      <name val="Arial"/>
      <family val="2"/>
    </font>
    <font>
      <b/>
      <sz val="7.2"/>
      <color theme="0"/>
      <name val="Arial"/>
      <family val="2"/>
    </font>
    <font>
      <sz val="10"/>
      <color rgb="FF000000"/>
      <name val="Arial"/>
      <family val="2"/>
    </font>
    <font>
      <sz val="9.5"/>
      <color rgb="FF00B050"/>
      <name val="Arial"/>
      <family val="2"/>
    </font>
    <font>
      <b/>
      <sz val="10"/>
      <color rgb="FF000000"/>
      <name val="Tahoma"/>
      <family val="2"/>
    </font>
    <font>
      <sz val="10"/>
      <color rgb="FF000000"/>
      <name val="Tahoma"/>
      <family val="2"/>
    </font>
    <font>
      <b/>
      <sz val="9"/>
      <color rgb="FF000000"/>
      <name val="Tahoma"/>
      <family val="2"/>
    </font>
  </fonts>
  <fills count="9">
    <fill>
      <patternFill patternType="none"/>
    </fill>
    <fill>
      <patternFill patternType="gray125"/>
    </fill>
    <fill>
      <patternFill patternType="solid">
        <fgColor rgb="FF4F81BD"/>
        <bgColor indexed="64"/>
      </patternFill>
    </fill>
    <fill>
      <patternFill patternType="solid">
        <fgColor theme="3"/>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rgb="FFFFC000"/>
        <bgColor indexed="64"/>
      </patternFill>
    </fill>
    <fill>
      <patternFill patternType="solid">
        <fgColor theme="1"/>
        <bgColor indexed="64"/>
      </patternFill>
    </fill>
    <fill>
      <patternFill patternType="solid">
        <fgColor theme="0" tint="-0.34998626667073579"/>
        <bgColor indexed="64"/>
      </patternFill>
    </fill>
  </fills>
  <borders count="51">
    <border>
      <left/>
      <right/>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style="thin">
        <color theme="0" tint="-0.499984740745262"/>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3"/>
      </left>
      <right style="thin">
        <color theme="0" tint="-0.249977111117893"/>
      </right>
      <top style="medium">
        <color theme="3"/>
      </top>
      <bottom style="thin">
        <color theme="0" tint="-0.249977111117893"/>
      </bottom>
      <diagonal/>
    </border>
    <border>
      <left style="thin">
        <color theme="0" tint="-0.249977111117893"/>
      </left>
      <right style="thin">
        <color theme="0" tint="-0.249977111117893"/>
      </right>
      <top style="medium">
        <color theme="3"/>
      </top>
      <bottom style="thin">
        <color theme="0" tint="-0.249977111117893"/>
      </bottom>
      <diagonal/>
    </border>
    <border>
      <left style="thin">
        <color theme="0" tint="-0.249977111117893"/>
      </left>
      <right style="medium">
        <color theme="3"/>
      </right>
      <top style="medium">
        <color theme="3"/>
      </top>
      <bottom style="thin">
        <color theme="0" tint="-0.249977111117893"/>
      </bottom>
      <diagonal/>
    </border>
    <border>
      <left style="medium">
        <color theme="3"/>
      </left>
      <right style="thin">
        <color theme="0" tint="-0.249977111117893"/>
      </right>
      <top style="thin">
        <color theme="0" tint="-0.249977111117893"/>
      </top>
      <bottom style="thin">
        <color theme="0" tint="-0.249977111117893"/>
      </bottom>
      <diagonal/>
    </border>
    <border>
      <left style="thin">
        <color theme="0" tint="-0.249977111117893"/>
      </left>
      <right style="medium">
        <color theme="3"/>
      </right>
      <top style="thin">
        <color theme="0" tint="-0.249977111117893"/>
      </top>
      <bottom style="thin">
        <color theme="0" tint="-0.249977111117893"/>
      </bottom>
      <diagonal/>
    </border>
    <border>
      <left style="thin">
        <color theme="3"/>
      </left>
      <right/>
      <top style="thin">
        <color theme="3"/>
      </top>
      <bottom/>
      <diagonal/>
    </border>
    <border>
      <left/>
      <right/>
      <top style="thin">
        <color theme="3"/>
      </top>
      <bottom/>
      <diagonal/>
    </border>
    <border>
      <left style="thin">
        <color theme="3"/>
      </left>
      <right/>
      <top/>
      <bottom/>
      <diagonal/>
    </border>
    <border>
      <left/>
      <right style="thin">
        <color theme="3"/>
      </right>
      <top/>
      <bottom/>
      <diagonal/>
    </border>
    <border>
      <left style="thin">
        <color theme="3"/>
      </left>
      <right/>
      <top/>
      <bottom style="thin">
        <color theme="3"/>
      </bottom>
      <diagonal/>
    </border>
    <border>
      <left/>
      <right/>
      <top/>
      <bottom style="thin">
        <color theme="3"/>
      </bottom>
      <diagonal/>
    </border>
    <border>
      <left/>
      <right style="thin">
        <color theme="3"/>
      </right>
      <top/>
      <bottom style="thin">
        <color theme="3"/>
      </bottom>
      <diagonal/>
    </border>
    <border>
      <left style="medium">
        <color theme="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medium">
        <color theme="3"/>
      </left>
      <right style="thin">
        <color theme="0" tint="-0.14999847407452621"/>
      </right>
      <top style="thin">
        <color theme="0" tint="-0.14999847407452621"/>
      </top>
      <bottom style="medium">
        <color theme="3"/>
      </bottom>
      <diagonal/>
    </border>
    <border>
      <left style="thin">
        <color theme="0" tint="-0.14999847407452621"/>
      </left>
      <right style="thin">
        <color theme="0" tint="-0.14999847407452621"/>
      </right>
      <top style="thin">
        <color theme="0" tint="-0.14999847407452621"/>
      </top>
      <bottom style="medium">
        <color theme="3"/>
      </bottom>
      <diagonal/>
    </border>
    <border>
      <left style="thin">
        <color theme="0" tint="-0.14999847407452621"/>
      </left>
      <right style="thin">
        <color theme="0" tint="-0.14999847407452621"/>
      </right>
      <top style="medium">
        <color theme="3"/>
      </top>
      <bottom style="thin">
        <color theme="0" tint="-0.14999847407452621"/>
      </bottom>
      <diagonal/>
    </border>
    <border>
      <left style="thin">
        <color theme="0" tint="-0.249977111117893"/>
      </left>
      <right/>
      <top style="thin">
        <color theme="0" tint="-0.249977111117893"/>
      </top>
      <bottom style="thin">
        <color theme="0" tint="-0.249977111117893"/>
      </bottom>
      <diagonal/>
    </border>
    <border>
      <left style="thin">
        <color theme="0" tint="-0.249977111117893"/>
      </left>
      <right/>
      <top style="medium">
        <color theme="3"/>
      </top>
      <bottom style="thin">
        <color theme="0" tint="-0.249977111117893"/>
      </bottom>
      <diagonal/>
    </border>
    <border>
      <left/>
      <right/>
      <top style="medium">
        <color theme="3"/>
      </top>
      <bottom style="thin">
        <color theme="0" tint="-0.249977111117893"/>
      </bottom>
      <diagonal/>
    </border>
    <border>
      <left/>
      <right style="thin">
        <color theme="0" tint="-0.249977111117893"/>
      </right>
      <top style="medium">
        <color theme="3"/>
      </top>
      <bottom style="thin">
        <color theme="0" tint="-0.249977111117893"/>
      </bottom>
      <diagonal/>
    </border>
    <border>
      <left style="medium">
        <color theme="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medium">
        <color theme="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style="medium">
        <color theme="3"/>
      </bottom>
      <diagonal/>
    </border>
    <border>
      <left style="thin">
        <color theme="0" tint="-0.249977111117893"/>
      </left>
      <right style="medium">
        <color theme="3"/>
      </right>
      <top style="thin">
        <color theme="0" tint="-0.249977111117893"/>
      </top>
      <bottom style="medium">
        <color theme="3"/>
      </bottom>
      <diagonal/>
    </border>
    <border>
      <left style="medium">
        <color theme="3"/>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499984740745262"/>
      </left>
      <right/>
      <top/>
      <bottom/>
      <diagonal/>
    </border>
    <border>
      <left style="thin">
        <color theme="0" tint="-0.249977111117893"/>
      </left>
      <right/>
      <top style="thin">
        <color theme="0" tint="-0.249977111117893"/>
      </top>
      <bottom/>
      <diagonal/>
    </border>
    <border>
      <left/>
      <right/>
      <top/>
      <bottom style="thin">
        <color indexed="64"/>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style="thin">
        <color theme="0" tint="-0.249977111117893"/>
      </left>
      <right style="thin">
        <color theme="0" tint="-0.249977111117893"/>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31">
    <xf numFmtId="0" fontId="0" fillId="0" borderId="0"/>
    <xf numFmtId="0" fontId="15" fillId="2" borderId="1" applyNumberFormat="0" applyProtection="0">
      <alignment horizontal="left" vertical="center" readingOrder="1"/>
    </xf>
    <xf numFmtId="0" fontId="16" fillId="2" borderId="2">
      <alignment horizontal="left"/>
    </xf>
    <xf numFmtId="0" fontId="8" fillId="0" borderId="0" applyNumberFormat="0" applyFill="0" applyBorder="0" applyAlignment="0" applyProtection="0">
      <alignment vertical="top"/>
      <protection locked="0"/>
    </xf>
    <xf numFmtId="166" fontId="22" fillId="0" borderId="0" applyFont="0" applyFill="0" applyBorder="0" applyAlignment="0" applyProtection="0"/>
    <xf numFmtId="166" fontId="9" fillId="0" borderId="0" applyFont="0" applyFill="0" applyBorder="0" applyAlignment="0" applyProtection="0"/>
    <xf numFmtId="0" fontId="25" fillId="0" borderId="0"/>
    <xf numFmtId="0" fontId="9" fillId="0" borderId="0"/>
    <xf numFmtId="9" fontId="6" fillId="0" borderId="0" applyFont="0" applyFill="0" applyBorder="0" applyAlignment="0" applyProtection="0"/>
    <xf numFmtId="9" fontId="22" fillId="0" borderId="0" applyFont="0" applyFill="0" applyBorder="0" applyAlignment="0" applyProtection="0"/>
    <xf numFmtId="9" fontId="9" fillId="0" borderId="0" applyFont="0" applyFill="0" applyBorder="0" applyAlignment="0" applyProtection="0"/>
    <xf numFmtId="9" fontId="25" fillId="0" borderId="0" applyFont="0" applyFill="0" applyBorder="0" applyAlignment="0" applyProtection="0"/>
    <xf numFmtId="0" fontId="5" fillId="0" borderId="0"/>
    <xf numFmtId="0" fontId="6" fillId="0" borderId="0"/>
    <xf numFmtId="166" fontId="6" fillId="0" borderId="0" applyFont="0" applyFill="0" applyBorder="0" applyAlignment="0" applyProtection="0"/>
    <xf numFmtId="166" fontId="6" fillId="0" borderId="0" applyFont="0" applyFill="0" applyBorder="0" applyAlignment="0" applyProtection="0"/>
    <xf numFmtId="0" fontId="4"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4" fillId="0" borderId="0" applyFont="0" applyFill="0" applyBorder="0" applyAlignment="0" applyProtection="0"/>
    <xf numFmtId="0" fontId="4" fillId="0" borderId="0"/>
    <xf numFmtId="43" fontId="6" fillId="0" borderId="0" applyFont="0" applyFill="0" applyBorder="0" applyAlignment="0" applyProtection="0"/>
    <xf numFmtId="173" fontId="6" fillId="0" borderId="0" applyFont="0" applyFill="0" applyBorder="0" applyAlignment="0" applyProtection="0"/>
    <xf numFmtId="0" fontId="3" fillId="0" borderId="0"/>
    <xf numFmtId="0" fontId="3"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0" fontId="1" fillId="0" borderId="0"/>
  </cellStyleXfs>
  <cellXfs count="243">
    <xf numFmtId="0" fontId="0" fillId="0" borderId="0" xfId="0"/>
    <xf numFmtId="169" fontId="0" fillId="0" borderId="0" xfId="0" applyNumberFormat="1" applyAlignment="1">
      <alignment horizontal="center"/>
    </xf>
    <xf numFmtId="167" fontId="0" fillId="0" borderId="0" xfId="0" applyNumberFormat="1" applyAlignment="1">
      <alignment horizontal="center"/>
    </xf>
    <xf numFmtId="9" fontId="0" fillId="0" borderId="0" xfId="8" applyFont="1" applyAlignment="1">
      <alignment horizontal="center"/>
    </xf>
    <xf numFmtId="0" fontId="0" fillId="0" borderId="0" xfId="0" applyAlignment="1">
      <alignment horizontal="center"/>
    </xf>
    <xf numFmtId="2" fontId="0" fillId="0" borderId="0" xfId="0" applyNumberFormat="1" applyAlignment="1">
      <alignment horizontal="center"/>
    </xf>
    <xf numFmtId="170" fontId="0" fillId="0" borderId="0" xfId="8" applyNumberFormat="1" applyFont="1" applyAlignment="1">
      <alignment horizontal="center"/>
    </xf>
    <xf numFmtId="169" fontId="0" fillId="0" borderId="0" xfId="0" applyNumberFormat="1"/>
    <xf numFmtId="9" fontId="0" fillId="0" borderId="0" xfId="0" applyNumberFormat="1" applyAlignment="1">
      <alignment horizontal="center"/>
    </xf>
    <xf numFmtId="10" fontId="0" fillId="0" borderId="0" xfId="0" applyNumberFormat="1" applyAlignment="1">
      <alignment horizontal="center"/>
    </xf>
    <xf numFmtId="170" fontId="0" fillId="0" borderId="0" xfId="0" applyNumberFormat="1" applyAlignment="1">
      <alignment horizontal="center"/>
    </xf>
    <xf numFmtId="0" fontId="9" fillId="0" borderId="0" xfId="0" applyFont="1"/>
    <xf numFmtId="0" fontId="10" fillId="0" borderId="0" xfId="0" applyFont="1" applyAlignment="1">
      <alignment horizontal="center"/>
    </xf>
    <xf numFmtId="169" fontId="9" fillId="0" borderId="0" xfId="0" applyNumberFormat="1" applyFont="1"/>
    <xf numFmtId="170" fontId="0" fillId="0" borderId="0" xfId="8" applyNumberFormat="1" applyFont="1"/>
    <xf numFmtId="3" fontId="0" fillId="0" borderId="0" xfId="0" applyNumberFormat="1"/>
    <xf numFmtId="0" fontId="26" fillId="0" borderId="0" xfId="0" applyFont="1"/>
    <xf numFmtId="0" fontId="12" fillId="0" borderId="0" xfId="0" applyFont="1" applyAlignment="1">
      <alignment vertical="top" wrapText="1"/>
    </xf>
    <xf numFmtId="0" fontId="27" fillId="0" borderId="0" xfId="0" applyFont="1"/>
    <xf numFmtId="0" fontId="28" fillId="0" borderId="0" xfId="0" applyFont="1"/>
    <xf numFmtId="169" fontId="9" fillId="0" borderId="0" xfId="0" applyNumberFormat="1" applyFont="1" applyAlignment="1">
      <alignment horizontal="center"/>
    </xf>
    <xf numFmtId="0" fontId="18" fillId="0" borderId="0" xfId="0" applyFont="1"/>
    <xf numFmtId="0" fontId="27" fillId="3" borderId="0" xfId="0" applyFont="1" applyFill="1"/>
    <xf numFmtId="169" fontId="27" fillId="3" borderId="0" xfId="0" applyNumberFormat="1" applyFont="1" applyFill="1"/>
    <xf numFmtId="169" fontId="27" fillId="3" borderId="0" xfId="0" applyNumberFormat="1" applyFont="1" applyFill="1" applyAlignment="1">
      <alignment horizontal="center"/>
    </xf>
    <xf numFmtId="170" fontId="10" fillId="0" borderId="0" xfId="0" applyNumberFormat="1" applyFont="1" applyAlignment="1">
      <alignment horizontal="center"/>
    </xf>
    <xf numFmtId="10" fontId="10" fillId="0" borderId="0" xfId="0" applyNumberFormat="1" applyFont="1" applyAlignment="1">
      <alignment horizontal="center"/>
    </xf>
    <xf numFmtId="169" fontId="29" fillId="3" borderId="0" xfId="0" applyNumberFormat="1" applyFont="1" applyFill="1" applyAlignment="1">
      <alignment horizontal="center"/>
    </xf>
    <xf numFmtId="169" fontId="9" fillId="0" borderId="0" xfId="3" applyNumberFormat="1" applyFont="1" applyAlignment="1" applyProtection="1">
      <alignment horizontal="left"/>
    </xf>
    <xf numFmtId="169" fontId="10" fillId="0" borderId="0" xfId="0" applyNumberFormat="1" applyFont="1" applyAlignment="1">
      <alignment horizontal="left"/>
    </xf>
    <xf numFmtId="167" fontId="10" fillId="0" borderId="0" xfId="0" applyNumberFormat="1" applyFont="1" applyAlignment="1">
      <alignment horizontal="center"/>
    </xf>
    <xf numFmtId="9" fontId="10" fillId="0" borderId="0" xfId="8" applyFont="1" applyAlignment="1">
      <alignment horizontal="center"/>
    </xf>
    <xf numFmtId="170" fontId="27" fillId="3" borderId="0" xfId="0" applyNumberFormat="1" applyFont="1" applyFill="1" applyAlignment="1">
      <alignment horizontal="center"/>
    </xf>
    <xf numFmtId="0" fontId="30" fillId="0" borderId="0" xfId="0" applyFont="1"/>
    <xf numFmtId="170" fontId="9" fillId="0" borderId="0" xfId="8" applyNumberFormat="1" applyFont="1" applyAlignment="1">
      <alignment horizontal="center"/>
    </xf>
    <xf numFmtId="172" fontId="0" fillId="0" borderId="0" xfId="0" applyNumberFormat="1" applyAlignment="1">
      <alignment horizontal="center"/>
    </xf>
    <xf numFmtId="167" fontId="9" fillId="0" borderId="0" xfId="0" applyNumberFormat="1" applyFont="1"/>
    <xf numFmtId="0" fontId="10" fillId="0" borderId="0" xfId="0" applyFont="1" applyAlignment="1">
      <alignment horizontal="left"/>
    </xf>
    <xf numFmtId="0" fontId="14" fillId="0" borderId="4" xfId="0" applyFont="1" applyBorder="1"/>
    <xf numFmtId="0" fontId="29" fillId="3" borderId="4" xfId="0" applyFont="1" applyFill="1" applyBorder="1"/>
    <xf numFmtId="0" fontId="11" fillId="0" borderId="4" xfId="0" applyFont="1" applyBorder="1"/>
    <xf numFmtId="0" fontId="29" fillId="3" borderId="4" xfId="0" applyFont="1" applyFill="1" applyBorder="1" applyAlignment="1">
      <alignment horizontal="center"/>
    </xf>
    <xf numFmtId="0" fontId="10" fillId="0" borderId="4" xfId="0" applyFont="1" applyBorder="1" applyAlignment="1">
      <alignment horizontal="center"/>
    </xf>
    <xf numFmtId="0" fontId="10" fillId="0" borderId="8" xfId="0" applyFont="1" applyBorder="1" applyAlignment="1">
      <alignment horizontal="center"/>
    </xf>
    <xf numFmtId="0" fontId="31" fillId="3" borderId="9" xfId="0" applyFont="1" applyFill="1" applyBorder="1" applyAlignment="1">
      <alignment horizontal="center"/>
    </xf>
    <xf numFmtId="0" fontId="29" fillId="3" borderId="8" xfId="0" applyFont="1" applyFill="1" applyBorder="1" applyAlignment="1">
      <alignment horizontal="center"/>
    </xf>
    <xf numFmtId="0" fontId="10" fillId="0" borderId="9" xfId="0" applyFont="1" applyBorder="1" applyAlignment="1">
      <alignment horizontal="center"/>
    </xf>
    <xf numFmtId="0" fontId="0" fillId="0" borderId="8" xfId="0" applyBorder="1" applyAlignment="1">
      <alignment horizontal="center"/>
    </xf>
    <xf numFmtId="169" fontId="0" fillId="5" borderId="0" xfId="0" applyNumberFormat="1" applyFill="1" applyAlignment="1">
      <alignment horizontal="center"/>
    </xf>
    <xf numFmtId="169" fontId="9" fillId="5" borderId="0" xfId="0" applyNumberFormat="1" applyFont="1" applyFill="1" applyAlignment="1">
      <alignment horizontal="center"/>
    </xf>
    <xf numFmtId="169" fontId="9" fillId="0" borderId="10" xfId="0" applyNumberFormat="1" applyFont="1" applyBorder="1"/>
    <xf numFmtId="169" fontId="9" fillId="0" borderId="11" xfId="0" applyNumberFormat="1" applyFont="1" applyBorder="1" applyAlignment="1">
      <alignment horizontal="center"/>
    </xf>
    <xf numFmtId="169" fontId="9" fillId="0" borderId="12" xfId="0" applyNumberFormat="1" applyFont="1" applyBorder="1"/>
    <xf numFmtId="172" fontId="0" fillId="0" borderId="13" xfId="0" applyNumberFormat="1" applyBorder="1" applyAlignment="1">
      <alignment horizontal="center"/>
    </xf>
    <xf numFmtId="169" fontId="9" fillId="0" borderId="14" xfId="0" applyNumberFormat="1" applyFont="1" applyBorder="1"/>
    <xf numFmtId="169" fontId="0" fillId="0" borderId="15" xfId="0" applyNumberFormat="1" applyBorder="1" applyAlignment="1">
      <alignment horizontal="center"/>
    </xf>
    <xf numFmtId="172" fontId="0" fillId="0" borderId="15" xfId="0" applyNumberFormat="1" applyBorder="1" applyAlignment="1">
      <alignment horizontal="center"/>
    </xf>
    <xf numFmtId="172" fontId="0" fillId="0" borderId="16" xfId="0" applyNumberFormat="1" applyBorder="1" applyAlignment="1">
      <alignment horizontal="center"/>
    </xf>
    <xf numFmtId="167" fontId="0" fillId="0" borderId="11" xfId="0" applyNumberFormat="1" applyBorder="1" applyAlignment="1">
      <alignment horizontal="center"/>
    </xf>
    <xf numFmtId="0" fontId="31" fillId="3" borderId="17" xfId="0" applyFont="1" applyFill="1" applyBorder="1"/>
    <xf numFmtId="0" fontId="31" fillId="3" borderId="18" xfId="0" applyFont="1" applyFill="1" applyBorder="1"/>
    <xf numFmtId="0" fontId="31" fillId="3" borderId="19" xfId="0" applyFont="1" applyFill="1" applyBorder="1" applyAlignment="1">
      <alignment horizontal="center"/>
    </xf>
    <xf numFmtId="168" fontId="23" fillId="6" borderId="4" xfId="0" applyNumberFormat="1" applyFont="1" applyFill="1" applyBorder="1" applyAlignment="1">
      <alignment horizontal="center" vertical="center"/>
    </xf>
    <xf numFmtId="170" fontId="27" fillId="3" borderId="0" xfId="8" applyNumberFormat="1" applyFont="1" applyFill="1" applyAlignment="1">
      <alignment horizontal="center"/>
    </xf>
    <xf numFmtId="0" fontId="9" fillId="0" borderId="4" xfId="0" applyFont="1" applyBorder="1" applyAlignment="1">
      <alignment horizontal="left" vertical="center"/>
    </xf>
    <xf numFmtId="170" fontId="10" fillId="0" borderId="4" xfId="8" applyNumberFormat="1" applyFont="1" applyBorder="1" applyAlignment="1">
      <alignment horizontal="center" vertical="center"/>
    </xf>
    <xf numFmtId="0" fontId="0" fillId="0" borderId="4" xfId="0" applyBorder="1" applyAlignment="1">
      <alignment vertical="center"/>
    </xf>
    <xf numFmtId="167" fontId="27" fillId="3" borderId="0" xfId="0" applyNumberFormat="1" applyFont="1" applyFill="1" applyAlignment="1">
      <alignment horizontal="center"/>
    </xf>
    <xf numFmtId="170" fontId="10" fillId="0" borderId="3" xfId="10" applyNumberFormat="1" applyFont="1" applyFill="1" applyBorder="1" applyAlignment="1">
      <alignment horizontal="center"/>
    </xf>
    <xf numFmtId="0" fontId="9" fillId="0" borderId="0" xfId="0" applyFont="1" applyAlignment="1">
      <alignment horizontal="left"/>
    </xf>
    <xf numFmtId="0" fontId="6" fillId="0" borderId="6" xfId="0" applyFont="1" applyBorder="1" applyAlignment="1">
      <alignment horizontal="center" vertical="center"/>
    </xf>
    <xf numFmtId="0" fontId="6" fillId="0" borderId="22" xfId="0" applyFont="1" applyBorder="1" applyAlignment="1">
      <alignment horizontal="center" vertical="center"/>
    </xf>
    <xf numFmtId="169" fontId="6" fillId="0" borderId="4" xfId="0" applyNumberFormat="1" applyFont="1" applyBorder="1" applyAlignment="1">
      <alignment horizontal="center"/>
    </xf>
    <xf numFmtId="170" fontId="6" fillId="0" borderId="4" xfId="8" applyNumberFormat="1" applyFont="1" applyBorder="1" applyAlignment="1">
      <alignment horizontal="center"/>
    </xf>
    <xf numFmtId="14" fontId="6" fillId="0" borderId="6" xfId="0" applyNumberFormat="1" applyFont="1" applyBorder="1" applyAlignment="1">
      <alignment horizontal="center" vertical="center"/>
    </xf>
    <xf numFmtId="0" fontId="6" fillId="0" borderId="0" xfId="0" applyFont="1"/>
    <xf numFmtId="0" fontId="6" fillId="0" borderId="4" xfId="0" applyFont="1" applyBorder="1"/>
    <xf numFmtId="9" fontId="6" fillId="0" borderId="4" xfId="8" applyFont="1" applyBorder="1" applyAlignment="1">
      <alignment horizontal="center"/>
    </xf>
    <xf numFmtId="167" fontId="6" fillId="0" borderId="4" xfId="0" applyNumberFormat="1" applyFont="1" applyBorder="1" applyAlignment="1">
      <alignment horizontal="center"/>
    </xf>
    <xf numFmtId="169" fontId="6" fillId="0" borderId="4" xfId="8" applyNumberFormat="1" applyFont="1" applyFill="1" applyBorder="1" applyAlignment="1">
      <alignment horizontal="center"/>
    </xf>
    <xf numFmtId="0" fontId="6" fillId="0" borderId="8" xfId="0" applyFont="1" applyBorder="1"/>
    <xf numFmtId="0" fontId="6" fillId="0" borderId="4" xfId="0" applyFont="1" applyBorder="1" applyAlignment="1">
      <alignment horizontal="left"/>
    </xf>
    <xf numFmtId="0" fontId="6" fillId="0" borderId="8" xfId="0" quotePrefix="1" applyFont="1" applyBorder="1"/>
    <xf numFmtId="0" fontId="6" fillId="0" borderId="4" xfId="0" quotePrefix="1" applyFont="1" applyBorder="1"/>
    <xf numFmtId="169" fontId="6" fillId="0" borderId="4" xfId="8" applyNumberFormat="1" applyFont="1" applyBorder="1" applyAlignment="1">
      <alignment horizontal="center"/>
    </xf>
    <xf numFmtId="170" fontId="6" fillId="0" borderId="0" xfId="0" applyNumberFormat="1" applyFont="1" applyAlignment="1">
      <alignment horizontal="center"/>
    </xf>
    <xf numFmtId="0" fontId="6" fillId="0" borderId="0" xfId="0" applyFont="1" applyAlignment="1">
      <alignment horizontal="center"/>
    </xf>
    <xf numFmtId="170" fontId="6" fillId="0" borderId="4" xfId="8" applyNumberFormat="1" applyFont="1" applyFill="1" applyBorder="1" applyAlignment="1">
      <alignment horizontal="center"/>
    </xf>
    <xf numFmtId="167" fontId="27" fillId="0" borderId="0" xfId="0" applyNumberFormat="1" applyFont="1"/>
    <xf numFmtId="3" fontId="27" fillId="0" borderId="0" xfId="0" applyNumberFormat="1" applyFont="1"/>
    <xf numFmtId="0" fontId="33" fillId="0" borderId="0" xfId="0" applyFont="1" applyAlignment="1">
      <alignment vertical="top" wrapText="1"/>
    </xf>
    <xf numFmtId="170" fontId="27" fillId="0" borderId="0" xfId="8" applyNumberFormat="1" applyFont="1" applyFill="1"/>
    <xf numFmtId="9" fontId="27" fillId="0" borderId="0" xfId="8" applyFont="1" applyFill="1"/>
    <xf numFmtId="0" fontId="6" fillId="0" borderId="7" xfId="0" applyFont="1" applyBorder="1" applyAlignment="1">
      <alignment horizontal="center" vertical="center"/>
    </xf>
    <xf numFmtId="0" fontId="6" fillId="0" borderId="4" xfId="0" applyFont="1" applyBorder="1" applyAlignment="1">
      <alignment horizontal="left" indent="1"/>
    </xf>
    <xf numFmtId="0" fontId="6" fillId="0" borderId="8" xfId="0" applyFont="1" applyBorder="1" applyAlignment="1">
      <alignment horizontal="center"/>
    </xf>
    <xf numFmtId="10" fontId="6" fillId="0" borderId="0" xfId="0" applyNumberFormat="1" applyFont="1" applyAlignment="1">
      <alignment horizontal="center"/>
    </xf>
    <xf numFmtId="168" fontId="0" fillId="0" borderId="0" xfId="0" applyNumberFormat="1" applyAlignment="1">
      <alignment horizontal="center"/>
    </xf>
    <xf numFmtId="4" fontId="6" fillId="0" borderId="4" xfId="0" applyNumberFormat="1" applyFont="1" applyBorder="1" applyAlignment="1">
      <alignment horizontal="center"/>
    </xf>
    <xf numFmtId="14" fontId="6" fillId="0" borderId="4" xfId="0" applyNumberFormat="1" applyFont="1" applyBorder="1" applyAlignment="1">
      <alignment horizontal="center"/>
    </xf>
    <xf numFmtId="171" fontId="6" fillId="0" borderId="4" xfId="8" applyNumberFormat="1" applyFont="1" applyBorder="1" applyAlignment="1">
      <alignment horizontal="center"/>
    </xf>
    <xf numFmtId="170" fontId="6" fillId="0" borderId="9" xfId="8" applyNumberFormat="1" applyFont="1" applyFill="1" applyBorder="1" applyAlignment="1">
      <alignment horizontal="center"/>
    </xf>
    <xf numFmtId="9" fontId="6" fillId="0" borderId="9" xfId="0" applyNumberFormat="1" applyFont="1" applyBorder="1" applyAlignment="1">
      <alignment horizontal="center"/>
    </xf>
    <xf numFmtId="9" fontId="6" fillId="0" borderId="9" xfId="8" applyFont="1" applyBorder="1" applyAlignment="1">
      <alignment horizontal="center"/>
    </xf>
    <xf numFmtId="169" fontId="6" fillId="0" borderId="0" xfId="0" applyNumberFormat="1" applyFont="1"/>
    <xf numFmtId="0" fontId="37" fillId="0" borderId="0" xfId="3" applyFont="1" applyFill="1" applyAlignment="1" applyProtection="1"/>
    <xf numFmtId="169" fontId="27" fillId="0" borderId="0" xfId="0" applyNumberFormat="1" applyFont="1"/>
    <xf numFmtId="0" fontId="0" fillId="0" borderId="41" xfId="0" applyBorder="1" applyAlignment="1">
      <alignment horizontal="left"/>
    </xf>
    <xf numFmtId="2" fontId="6" fillId="0" borderId="4" xfId="8" applyNumberFormat="1" applyFont="1" applyBorder="1" applyAlignment="1">
      <alignment horizontal="center"/>
    </xf>
    <xf numFmtId="2" fontId="9" fillId="5" borderId="0" xfId="0" applyNumberFormat="1" applyFont="1" applyFill="1" applyAlignment="1">
      <alignment horizontal="center"/>
    </xf>
    <xf numFmtId="2" fontId="9" fillId="0" borderId="0" xfId="0" applyNumberFormat="1" applyFont="1" applyAlignment="1">
      <alignment horizontal="center"/>
    </xf>
    <xf numFmtId="170" fontId="6" fillId="0" borderId="9" xfId="8" quotePrefix="1" applyNumberFormat="1" applyFont="1" applyFill="1" applyBorder="1" applyAlignment="1">
      <alignment horizontal="center"/>
    </xf>
    <xf numFmtId="0" fontId="6" fillId="0" borderId="23" xfId="0" applyFont="1" applyBorder="1" applyAlignment="1">
      <alignment horizontal="left" vertical="center"/>
    </xf>
    <xf numFmtId="0" fontId="6" fillId="0" borderId="19" xfId="0" applyFont="1" applyBorder="1" applyAlignment="1">
      <alignment horizontal="left" vertical="center"/>
    </xf>
    <xf numFmtId="9" fontId="27" fillId="0" borderId="0" xfId="8" applyFont="1"/>
    <xf numFmtId="9" fontId="33" fillId="0" borderId="0" xfId="8" applyFont="1" applyAlignment="1">
      <alignment vertical="top" wrapText="1"/>
    </xf>
    <xf numFmtId="167" fontId="36" fillId="0" borderId="4" xfId="0" applyNumberFormat="1" applyFont="1" applyBorder="1" applyAlignment="1">
      <alignment horizontal="center"/>
    </xf>
    <xf numFmtId="2" fontId="36" fillId="0" borderId="4" xfId="8" applyNumberFormat="1" applyFont="1" applyBorder="1" applyAlignment="1">
      <alignment horizontal="center"/>
    </xf>
    <xf numFmtId="170" fontId="35" fillId="0" borderId="4" xfId="8" applyNumberFormat="1" applyFont="1" applyBorder="1" applyAlignment="1">
      <alignment horizontal="center"/>
    </xf>
    <xf numFmtId="170" fontId="35" fillId="0" borderId="4" xfId="8" applyNumberFormat="1" applyFont="1" applyFill="1" applyBorder="1" applyAlignment="1">
      <alignment horizontal="center"/>
    </xf>
    <xf numFmtId="0" fontId="6" fillId="0" borderId="19" xfId="0" applyFont="1" applyBorder="1" applyAlignment="1">
      <alignment vertical="center"/>
    </xf>
    <xf numFmtId="170" fontId="36" fillId="0" borderId="4" xfId="8" applyNumberFormat="1" applyFont="1" applyBorder="1" applyAlignment="1">
      <alignment horizontal="center"/>
    </xf>
    <xf numFmtId="169" fontId="36" fillId="0" borderId="4" xfId="0" applyNumberFormat="1" applyFont="1" applyBorder="1" applyAlignment="1">
      <alignment horizontal="center"/>
    </xf>
    <xf numFmtId="0" fontId="35" fillId="0" borderId="9" xfId="0" applyFont="1" applyBorder="1" applyAlignment="1">
      <alignment horizontal="center"/>
    </xf>
    <xf numFmtId="2" fontId="35" fillId="0" borderId="9" xfId="8" applyNumberFormat="1" applyFont="1" applyBorder="1" applyAlignment="1">
      <alignment horizontal="center"/>
    </xf>
    <xf numFmtId="171" fontId="35" fillId="0" borderId="9" xfId="8" applyNumberFormat="1" applyFont="1" applyBorder="1" applyAlignment="1">
      <alignment horizontal="center"/>
    </xf>
    <xf numFmtId="171" fontId="35" fillId="0" borderId="9" xfId="0" applyNumberFormat="1" applyFont="1" applyBorder="1" applyAlignment="1">
      <alignment horizontal="center"/>
    </xf>
    <xf numFmtId="171" fontId="36" fillId="0" borderId="9" xfId="0" applyNumberFormat="1" applyFont="1" applyBorder="1" applyAlignment="1">
      <alignment horizontal="center"/>
    </xf>
    <xf numFmtId="169" fontId="26" fillId="0" borderId="4" xfId="0" applyNumberFormat="1" applyFont="1" applyBorder="1" applyAlignment="1">
      <alignment horizontal="center"/>
    </xf>
    <xf numFmtId="170" fontId="26" fillId="0" borderId="4" xfId="8" applyNumberFormat="1" applyFont="1" applyFill="1" applyBorder="1" applyAlignment="1">
      <alignment horizontal="center"/>
    </xf>
    <xf numFmtId="169" fontId="35" fillId="0" borderId="4" xfId="0" applyNumberFormat="1" applyFont="1" applyBorder="1" applyAlignment="1">
      <alignment horizontal="center"/>
    </xf>
    <xf numFmtId="170" fontId="36" fillId="0" borderId="9" xfId="8" applyNumberFormat="1" applyFont="1" applyBorder="1" applyAlignment="1">
      <alignment horizontal="center"/>
    </xf>
    <xf numFmtId="9" fontId="35" fillId="0" borderId="4" xfId="8" applyFont="1" applyBorder="1" applyAlignment="1">
      <alignment horizontal="center"/>
    </xf>
    <xf numFmtId="9" fontId="35" fillId="0" borderId="4" xfId="8" applyFont="1" applyFill="1" applyBorder="1" applyAlignment="1">
      <alignment horizontal="center"/>
    </xf>
    <xf numFmtId="170" fontId="38" fillId="0" borderId="4" xfId="8" applyNumberFormat="1" applyFont="1" applyBorder="1" applyAlignment="1">
      <alignment horizontal="center"/>
    </xf>
    <xf numFmtId="0" fontId="39" fillId="0" borderId="41" xfId="0" applyFont="1" applyBorder="1" applyAlignment="1">
      <alignment horizontal="left"/>
    </xf>
    <xf numFmtId="170" fontId="26" fillId="0" borderId="4" xfId="8" applyNumberFormat="1" applyFont="1" applyBorder="1" applyAlignment="1">
      <alignment horizontal="center"/>
    </xf>
    <xf numFmtId="170" fontId="35" fillId="0" borderId="9" xfId="10" applyNumberFormat="1" applyFont="1" applyBorder="1" applyAlignment="1">
      <alignment horizontal="center"/>
    </xf>
    <xf numFmtId="0" fontId="8" fillId="0" borderId="0" xfId="3" applyAlignment="1" applyProtection="1"/>
    <xf numFmtId="0" fontId="39" fillId="0" borderId="1" xfId="0" applyFont="1" applyBorder="1"/>
    <xf numFmtId="0" fontId="0" fillId="0" borderId="1" xfId="0" applyBorder="1"/>
    <xf numFmtId="0" fontId="8" fillId="0" borderId="1" xfId="3" applyBorder="1" applyAlignment="1" applyProtection="1"/>
    <xf numFmtId="0" fontId="0" fillId="0" borderId="41" xfId="0" applyBorder="1"/>
    <xf numFmtId="0" fontId="26" fillId="0" borderId="0" xfId="0" applyFont="1" applyAlignment="1">
      <alignment horizontal="center"/>
    </xf>
    <xf numFmtId="170" fontId="29" fillId="4" borderId="0" xfId="0" applyNumberFormat="1" applyFont="1" applyFill="1" applyAlignment="1">
      <alignment horizontal="center"/>
    </xf>
    <xf numFmtId="0" fontId="6" fillId="0" borderId="4" xfId="0" applyFont="1" applyBorder="1" applyAlignment="1">
      <alignment horizontal="center"/>
    </xf>
    <xf numFmtId="167" fontId="6" fillId="0" borderId="45" xfId="0" applyNumberFormat="1" applyFont="1" applyBorder="1"/>
    <xf numFmtId="10" fontId="0" fillId="0" borderId="0" xfId="0" applyNumberFormat="1"/>
    <xf numFmtId="4" fontId="0" fillId="0" borderId="0" xfId="0" applyNumberFormat="1" applyAlignment="1">
      <alignment horizontal="center"/>
    </xf>
    <xf numFmtId="10" fontId="6" fillId="0" borderId="0" xfId="0" applyNumberFormat="1" applyFont="1"/>
    <xf numFmtId="10" fontId="0" fillId="0" borderId="47" xfId="0" applyNumberFormat="1" applyBorder="1" applyAlignment="1">
      <alignment horizontal="center"/>
    </xf>
    <xf numFmtId="10" fontId="0" fillId="0" borderId="48" xfId="0" applyNumberFormat="1" applyBorder="1" applyAlignment="1">
      <alignment horizontal="center"/>
    </xf>
    <xf numFmtId="164" fontId="0" fillId="0" borderId="0" xfId="0" applyNumberFormat="1" applyAlignment="1">
      <alignment horizontal="center"/>
    </xf>
    <xf numFmtId="164" fontId="6" fillId="0" borderId="49" xfId="0" applyNumberFormat="1" applyFont="1" applyBorder="1" applyAlignment="1">
      <alignment horizontal="center"/>
    </xf>
    <xf numFmtId="164" fontId="0" fillId="0" borderId="41" xfId="0" applyNumberFormat="1" applyBorder="1" applyAlignment="1">
      <alignment horizontal="center"/>
    </xf>
    <xf numFmtId="164" fontId="6" fillId="0" borderId="50" xfId="0" applyNumberFormat="1" applyFont="1" applyBorder="1" applyAlignment="1">
      <alignment horizontal="center"/>
    </xf>
    <xf numFmtId="165" fontId="10" fillId="0" borderId="0" xfId="0" applyNumberFormat="1" applyFont="1" applyAlignment="1">
      <alignment horizontal="center"/>
    </xf>
    <xf numFmtId="0" fontId="6" fillId="0" borderId="46" xfId="0" applyFont="1" applyBorder="1" applyAlignment="1">
      <alignment horizontal="center"/>
    </xf>
    <xf numFmtId="4" fontId="0" fillId="0" borderId="0" xfId="0" applyNumberFormat="1"/>
    <xf numFmtId="0" fontId="0" fillId="0" borderId="0" xfId="8" applyNumberFormat="1" applyFont="1" applyAlignment="1">
      <alignment horizontal="center"/>
    </xf>
    <xf numFmtId="170" fontId="0" fillId="0" borderId="0" xfId="0" applyNumberFormat="1"/>
    <xf numFmtId="3" fontId="0" fillId="0" borderId="0" xfId="8" applyNumberFormat="1" applyFont="1" applyAlignment="1">
      <alignment horizontal="center"/>
    </xf>
    <xf numFmtId="2" fontId="3" fillId="0" borderId="0" xfId="25" applyNumberFormat="1" applyAlignment="1">
      <alignment horizontal="center"/>
    </xf>
    <xf numFmtId="0" fontId="10" fillId="8" borderId="8" xfId="0" applyFont="1" applyFill="1" applyBorder="1" applyAlignment="1">
      <alignment horizontal="center"/>
    </xf>
    <xf numFmtId="169" fontId="6" fillId="8" borderId="4" xfId="0" applyNumberFormat="1" applyFont="1" applyFill="1" applyBorder="1" applyAlignment="1">
      <alignment horizontal="center"/>
    </xf>
    <xf numFmtId="169" fontId="35" fillId="8" borderId="4" xfId="0" applyNumberFormat="1" applyFont="1" applyFill="1" applyBorder="1" applyAlignment="1">
      <alignment horizontal="center"/>
    </xf>
    <xf numFmtId="9" fontId="35" fillId="8" borderId="4" xfId="8" applyFont="1" applyFill="1" applyBorder="1" applyAlignment="1">
      <alignment horizontal="center"/>
    </xf>
    <xf numFmtId="169" fontId="6" fillId="0" borderId="9" xfId="0" applyNumberFormat="1" applyFont="1" applyBorder="1" applyAlignment="1">
      <alignment horizontal="center"/>
    </xf>
    <xf numFmtId="3" fontId="6" fillId="0" borderId="9" xfId="0" applyNumberFormat="1" applyFont="1" applyBorder="1" applyAlignment="1">
      <alignment horizontal="center"/>
    </xf>
    <xf numFmtId="169" fontId="10" fillId="0" borderId="4" xfId="0" applyNumberFormat="1" applyFont="1" applyBorder="1" applyAlignment="1">
      <alignment horizontal="center"/>
    </xf>
    <xf numFmtId="169" fontId="10" fillId="0" borderId="9" xfId="0" applyNumberFormat="1" applyFont="1" applyBorder="1" applyAlignment="1">
      <alignment horizontal="center"/>
    </xf>
    <xf numFmtId="0" fontId="0" fillId="0" borderId="4" xfId="0" applyBorder="1"/>
    <xf numFmtId="9" fontId="6" fillId="0" borderId="4" xfId="19" applyBorder="1" applyAlignment="1">
      <alignment horizontal="center"/>
    </xf>
    <xf numFmtId="170" fontId="6" fillId="0" borderId="9" xfId="19" applyNumberFormat="1" applyBorder="1" applyAlignment="1">
      <alignment horizontal="center"/>
    </xf>
    <xf numFmtId="171" fontId="0" fillId="0" borderId="4" xfId="0" applyNumberFormat="1" applyBorder="1" applyAlignment="1">
      <alignment horizontal="center"/>
    </xf>
    <xf numFmtId="171" fontId="0" fillId="0" borderId="9" xfId="0" applyNumberFormat="1" applyBorder="1" applyAlignment="1">
      <alignment horizontal="center"/>
    </xf>
    <xf numFmtId="10" fontId="6" fillId="0" borderId="23" xfId="0" applyNumberFormat="1" applyFont="1" applyBorder="1" applyAlignment="1">
      <alignment horizontal="center" vertical="center"/>
    </xf>
    <xf numFmtId="170" fontId="6" fillId="8" borderId="4" xfId="8" applyNumberFormat="1" applyFont="1" applyFill="1" applyBorder="1" applyAlignment="1">
      <alignment horizontal="center"/>
    </xf>
    <xf numFmtId="3" fontId="6" fillId="0" borderId="3" xfId="0" applyNumberFormat="1" applyFont="1" applyBorder="1" applyAlignment="1">
      <alignment horizontal="center"/>
    </xf>
    <xf numFmtId="9" fontId="6" fillId="0" borderId="4" xfId="8" applyFont="1" applyFill="1" applyBorder="1" applyAlignment="1">
      <alignment horizontal="center"/>
    </xf>
    <xf numFmtId="10" fontId="6" fillId="0" borderId="4" xfId="0" applyNumberFormat="1" applyFont="1" applyBorder="1" applyAlignment="1">
      <alignment horizontal="center"/>
    </xf>
    <xf numFmtId="0" fontId="9" fillId="0" borderId="20" xfId="0" applyFont="1" applyBorder="1" applyAlignment="1">
      <alignment horizontal="center" vertical="center" wrapText="1"/>
    </xf>
    <xf numFmtId="0" fontId="9" fillId="0" borderId="21" xfId="0" applyFont="1" applyBorder="1" applyAlignment="1">
      <alignment horizontal="center" vertical="center" wrapText="1"/>
    </xf>
    <xf numFmtId="14" fontId="6" fillId="0" borderId="5" xfId="0" applyNumberFormat="1" applyFont="1" applyBorder="1" applyAlignment="1">
      <alignment horizontal="center" vertical="center" wrapText="1"/>
    </xf>
    <xf numFmtId="0" fontId="6" fillId="0" borderId="1" xfId="0" applyFont="1" applyBorder="1" applyAlignment="1">
      <alignment horizontal="left" vertical="top" wrapText="1"/>
    </xf>
    <xf numFmtId="0" fontId="0" fillId="0" borderId="1" xfId="0" applyBorder="1" applyAlignment="1">
      <alignment horizontal="left" vertical="top"/>
    </xf>
    <xf numFmtId="0" fontId="10" fillId="0" borderId="40" xfId="0" applyFont="1" applyBorder="1" applyAlignment="1">
      <alignment horizontal="left" vertical="center" wrapText="1"/>
    </xf>
    <xf numFmtId="0" fontId="10" fillId="0" borderId="28" xfId="0" applyFont="1" applyBorder="1" applyAlignment="1">
      <alignment horizontal="left" vertical="center"/>
    </xf>
    <xf numFmtId="0" fontId="10" fillId="0" borderId="29" xfId="0" applyFont="1" applyBorder="1" applyAlignment="1">
      <alignment horizontal="left" vertical="center"/>
    </xf>
    <xf numFmtId="0" fontId="10" fillId="0" borderId="42" xfId="0" applyFont="1" applyBorder="1" applyAlignment="1">
      <alignment horizontal="left" vertical="center"/>
    </xf>
    <xf numFmtId="0" fontId="10" fillId="0" borderId="0" xfId="0" applyFont="1" applyAlignment="1">
      <alignment horizontal="left" vertical="center"/>
    </xf>
    <xf numFmtId="0" fontId="10" fillId="0" borderId="43" xfId="0" applyFont="1" applyBorder="1" applyAlignment="1">
      <alignment horizontal="left" vertical="center"/>
    </xf>
    <xf numFmtId="0" fontId="10" fillId="0" borderId="44" xfId="0" applyFont="1" applyBorder="1" applyAlignment="1">
      <alignment horizontal="left" vertical="center"/>
    </xf>
    <xf numFmtId="0" fontId="10" fillId="0" borderId="31" xfId="0" applyFont="1" applyBorder="1" applyAlignment="1">
      <alignment horizontal="left" vertical="center"/>
    </xf>
    <xf numFmtId="0" fontId="10" fillId="0" borderId="32" xfId="0" applyFont="1" applyBorder="1" applyAlignment="1">
      <alignment horizontal="left" vertical="center"/>
    </xf>
    <xf numFmtId="0" fontId="40" fillId="7" borderId="35" xfId="0" applyFont="1" applyFill="1" applyBorder="1" applyAlignment="1">
      <alignment horizontal="center" vertical="center" wrapText="1"/>
    </xf>
    <xf numFmtId="0" fontId="13" fillId="7" borderId="35" xfId="0" applyFont="1" applyFill="1" applyBorder="1" applyAlignment="1">
      <alignment horizontal="center" vertical="center" wrapText="1"/>
    </xf>
    <xf numFmtId="0" fontId="13" fillId="7" borderId="36" xfId="0" applyFont="1" applyFill="1" applyBorder="1" applyAlignment="1">
      <alignment horizontal="center" vertical="center" wrapText="1"/>
    </xf>
    <xf numFmtId="0" fontId="29" fillId="3" borderId="17" xfId="0" applyFont="1" applyFill="1" applyBorder="1" applyAlignment="1">
      <alignment horizontal="left"/>
    </xf>
    <xf numFmtId="0" fontId="29" fillId="3" borderId="18" xfId="0" applyFont="1" applyFill="1" applyBorder="1" applyAlignment="1">
      <alignment horizontal="left"/>
    </xf>
    <xf numFmtId="0" fontId="29" fillId="3" borderId="19" xfId="0" applyFont="1" applyFill="1" applyBorder="1" applyAlignment="1">
      <alignment horizontal="left"/>
    </xf>
    <xf numFmtId="0" fontId="29" fillId="3" borderId="37" xfId="0" applyFont="1" applyFill="1" applyBorder="1" applyAlignment="1">
      <alignment horizontal="left"/>
    </xf>
    <xf numFmtId="0" fontId="29" fillId="3" borderId="38" xfId="0" applyFont="1" applyFill="1" applyBorder="1" applyAlignment="1">
      <alignment horizontal="left"/>
    </xf>
    <xf numFmtId="0" fontId="13" fillId="0" borderId="4" xfId="0" applyFont="1" applyBorder="1" applyAlignment="1">
      <alignment horizontal="center" vertical="center" wrapText="1"/>
    </xf>
    <xf numFmtId="0" fontId="13" fillId="0" borderId="9" xfId="0" applyFont="1" applyBorder="1" applyAlignment="1">
      <alignment horizontal="center" vertical="center" wrapText="1"/>
    </xf>
    <xf numFmtId="168" fontId="7" fillId="0" borderId="9" xfId="0" applyNumberFormat="1" applyFont="1" applyBorder="1" applyAlignment="1">
      <alignment horizontal="center" vertical="center"/>
    </xf>
    <xf numFmtId="0" fontId="6" fillId="0" borderId="8" xfId="0" applyFont="1" applyBorder="1" applyAlignment="1">
      <alignment horizontal="left" vertical="center" wrapText="1"/>
    </xf>
    <xf numFmtId="0" fontId="9" fillId="0" borderId="4" xfId="0" applyFont="1" applyBorder="1" applyAlignment="1">
      <alignment horizontal="left" vertical="center" wrapText="1"/>
    </xf>
    <xf numFmtId="0" fontId="29" fillId="3" borderId="4" xfId="0" applyFont="1" applyFill="1" applyBorder="1" applyAlignment="1">
      <alignment horizontal="center"/>
    </xf>
    <xf numFmtId="0" fontId="29" fillId="3" borderId="9" xfId="0" applyFont="1" applyFill="1" applyBorder="1" applyAlignment="1">
      <alignment horizontal="center"/>
    </xf>
    <xf numFmtId="0" fontId="29" fillId="3" borderId="8" xfId="0" applyFont="1" applyFill="1" applyBorder="1" applyAlignment="1">
      <alignment horizontal="left"/>
    </xf>
    <xf numFmtId="0" fontId="29" fillId="3" borderId="4" xfId="0" applyFont="1" applyFill="1" applyBorder="1" applyAlignment="1">
      <alignment horizontal="left"/>
    </xf>
    <xf numFmtId="0" fontId="6" fillId="0" borderId="27" xfId="0" applyFont="1" applyBorder="1" applyAlignment="1">
      <alignment horizontal="left" vertical="center" wrapText="1"/>
    </xf>
    <xf numFmtId="0" fontId="9" fillId="0" borderId="28" xfId="0" applyFont="1" applyBorder="1" applyAlignment="1">
      <alignment horizontal="left" vertical="center" wrapText="1"/>
    </xf>
    <xf numFmtId="0" fontId="9" fillId="0" borderId="29" xfId="0" applyFont="1" applyBorder="1" applyAlignment="1">
      <alignment horizontal="left" vertical="center" wrapText="1"/>
    </xf>
    <xf numFmtId="0" fontId="9" fillId="0" borderId="30" xfId="0" applyFont="1" applyBorder="1" applyAlignment="1">
      <alignment horizontal="left" vertical="center" wrapText="1"/>
    </xf>
    <xf numFmtId="0" fontId="9" fillId="0" borderId="31" xfId="0" applyFont="1" applyBorder="1" applyAlignment="1">
      <alignment horizontal="left" vertical="center" wrapText="1"/>
    </xf>
    <xf numFmtId="0" fontId="9" fillId="0" borderId="32" xfId="0" applyFont="1" applyBorder="1" applyAlignment="1">
      <alignment horizontal="left" vertical="center" wrapText="1"/>
    </xf>
    <xf numFmtId="0" fontId="6" fillId="6" borderId="33" xfId="0" applyFont="1" applyFill="1" applyBorder="1" applyAlignment="1">
      <alignment horizontal="center" vertical="center" wrapText="1"/>
    </xf>
    <xf numFmtId="0" fontId="9" fillId="6" borderId="34" xfId="0" applyFont="1" applyFill="1" applyBorder="1" applyAlignment="1">
      <alignment horizontal="center" vertical="center" wrapText="1"/>
    </xf>
    <xf numFmtId="0" fontId="10" fillId="0" borderId="39" xfId="0" applyFont="1" applyBorder="1" applyAlignment="1">
      <alignment horizontal="center"/>
    </xf>
    <xf numFmtId="0" fontId="10" fillId="0" borderId="0" xfId="0" applyFont="1" applyAlignment="1">
      <alignment horizontal="center"/>
    </xf>
    <xf numFmtId="0" fontId="31" fillId="3" borderId="4" xfId="0" applyFont="1" applyFill="1" applyBorder="1" applyAlignment="1">
      <alignment horizontal="center"/>
    </xf>
    <xf numFmtId="0" fontId="7" fillId="0" borderId="24" xfId="0"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0" fontId="20" fillId="0" borderId="4" xfId="0" applyFont="1" applyBorder="1" applyAlignment="1">
      <alignment horizontal="left" vertical="center" wrapText="1"/>
    </xf>
    <xf numFmtId="0" fontId="20" fillId="0" borderId="9" xfId="0" applyFont="1" applyBorder="1" applyAlignment="1">
      <alignment horizontal="left" vertical="center" wrapText="1"/>
    </xf>
    <xf numFmtId="0" fontId="17" fillId="0" borderId="8" xfId="0" applyFont="1" applyBorder="1" applyAlignment="1">
      <alignment horizontal="center" wrapText="1"/>
    </xf>
    <xf numFmtId="0" fontId="17" fillId="0" borderId="4" xfId="0" applyFont="1" applyBorder="1" applyAlignment="1">
      <alignment horizontal="center" wrapText="1"/>
    </xf>
    <xf numFmtId="9" fontId="7" fillId="0" borderId="9" xfId="8" applyFont="1" applyBorder="1" applyAlignment="1">
      <alignment horizontal="center" vertical="center"/>
    </xf>
    <xf numFmtId="0" fontId="17" fillId="0" borderId="8" xfId="0" applyFont="1" applyBorder="1" applyAlignment="1">
      <alignment horizontal="center" vertical="center" wrapText="1"/>
    </xf>
    <xf numFmtId="0" fontId="17" fillId="0" borderId="4" xfId="0" applyFont="1" applyBorder="1" applyAlignment="1">
      <alignment horizontal="center" vertical="center" wrapText="1"/>
    </xf>
    <xf numFmtId="0" fontId="21" fillId="0" borderId="4" xfId="0" applyFont="1" applyBorder="1" applyAlignment="1">
      <alignment horizontal="left" vertical="center" wrapText="1"/>
    </xf>
    <xf numFmtId="0" fontId="21" fillId="0" borderId="9" xfId="0" applyFont="1" applyBorder="1" applyAlignment="1">
      <alignment horizontal="left" vertical="center" wrapText="1"/>
    </xf>
    <xf numFmtId="0" fontId="29" fillId="3" borderId="8" xfId="0" applyFont="1" applyFill="1" applyBorder="1" applyAlignment="1">
      <alignment horizontal="center"/>
    </xf>
    <xf numFmtId="0" fontId="6" fillId="0" borderId="17" xfId="0" applyFont="1" applyBorder="1" applyAlignment="1">
      <alignment horizontal="left" vertical="center" wrapText="1"/>
    </xf>
    <xf numFmtId="0" fontId="9" fillId="0" borderId="18" xfId="0" applyFont="1" applyBorder="1" applyAlignment="1">
      <alignment horizontal="left" vertical="center" wrapText="1"/>
    </xf>
    <xf numFmtId="0" fontId="9" fillId="0" borderId="19" xfId="0" applyFont="1" applyBorder="1" applyAlignment="1">
      <alignment horizontal="left" vertical="center" wrapText="1"/>
    </xf>
    <xf numFmtId="169" fontId="0" fillId="0" borderId="0" xfId="0" applyNumberFormat="1" applyAlignment="1">
      <alignment horizontal="center"/>
    </xf>
    <xf numFmtId="0" fontId="32" fillId="3" borderId="0" xfId="0" applyFont="1" applyFill="1" applyAlignment="1">
      <alignment horizontal="center"/>
    </xf>
    <xf numFmtId="170" fontId="0" fillId="0" borderId="0" xfId="0" applyNumberFormat="1" applyAlignment="1">
      <alignment horizontal="center"/>
    </xf>
    <xf numFmtId="0" fontId="0" fillId="0" borderId="0" xfId="0" applyAlignment="1">
      <alignment horizontal="center"/>
    </xf>
  </cellXfs>
  <cellStyles count="31">
    <cellStyle name="blp_title_header_row_left" xfId="1" xr:uid="{00000000-0005-0000-0000-000000000000}"/>
    <cellStyle name="fa_column_header_bottom_left 2" xfId="2" xr:uid="{00000000-0005-0000-0000-000001000000}"/>
    <cellStyle name="Hiperlink" xfId="3" builtinId="8"/>
    <cellStyle name="Millares 2" xfId="22" xr:uid="{00000000-0005-0000-0000-00000A000000}"/>
    <cellStyle name="Moneda 2" xfId="4" xr:uid="{00000000-0005-0000-0000-00000B000000}"/>
    <cellStyle name="Moneda 2 2" xfId="5" xr:uid="{00000000-0005-0000-0000-00000C000000}"/>
    <cellStyle name="Moneda 2 2 2" xfId="15" xr:uid="{00000000-0005-0000-0000-00000D000000}"/>
    <cellStyle name="Moneda 2 3" xfId="14" xr:uid="{00000000-0005-0000-0000-00000E000000}"/>
    <cellStyle name="Moneda 3" xfId="23" xr:uid="{00000000-0005-0000-0000-00000F000000}"/>
    <cellStyle name="Normal" xfId="0" builtinId="0"/>
    <cellStyle name="Normal 2" xfId="6" xr:uid="{00000000-0005-0000-0000-000011000000}"/>
    <cellStyle name="Normal 2 2" xfId="7" xr:uid="{00000000-0005-0000-0000-000012000000}"/>
    <cellStyle name="Normal 2 2 2" xfId="17" xr:uid="{00000000-0005-0000-0000-000013000000}"/>
    <cellStyle name="Normal 2 3" xfId="12" xr:uid="{00000000-0005-0000-0000-000014000000}"/>
    <cellStyle name="Normal 2 3 2" xfId="21" xr:uid="{00000000-0005-0000-0000-000015000000}"/>
    <cellStyle name="Normal 2 4" xfId="16" xr:uid="{00000000-0005-0000-0000-000016000000}"/>
    <cellStyle name="Normal 2 4 2" xfId="24" xr:uid="{00000000-0005-0000-0000-000017000000}"/>
    <cellStyle name="Normal 3" xfId="30" xr:uid="{00000000-0005-0000-0000-000018000000}"/>
    <cellStyle name="Normal 3 2" xfId="13" xr:uid="{00000000-0005-0000-0000-000019000000}"/>
    <cellStyle name="Normal 3 3" xfId="25" xr:uid="{00000000-0005-0000-0000-00001A000000}"/>
    <cellStyle name="Normal 3 3 2" xfId="26" xr:uid="{00000000-0005-0000-0000-00001B000000}"/>
    <cellStyle name="Normal 5" xfId="27" xr:uid="{00000000-0005-0000-0000-00001C000000}"/>
    <cellStyle name="Porcentagem" xfId="8" builtinId="5"/>
    <cellStyle name="Porcentaje 2" xfId="9" xr:uid="{00000000-0005-0000-0000-00001E000000}"/>
    <cellStyle name="Porcentaje 2 2" xfId="10" xr:uid="{00000000-0005-0000-0000-00001F000000}"/>
    <cellStyle name="Porcentaje 2 2 2" xfId="19" xr:uid="{00000000-0005-0000-0000-000020000000}"/>
    <cellStyle name="Porcentaje 2 3" xfId="18" xr:uid="{00000000-0005-0000-0000-000021000000}"/>
    <cellStyle name="Porcentaje 3" xfId="11" xr:uid="{00000000-0005-0000-0000-000022000000}"/>
    <cellStyle name="Porcentaje 3 2" xfId="20" xr:uid="{00000000-0005-0000-0000-000023000000}"/>
    <cellStyle name="Porcentaje 4 2" xfId="29" xr:uid="{00000000-0005-0000-0000-000024000000}"/>
    <cellStyle name="Porcentaje 5" xfId="28" xr:uid="{00000000-0005-0000-0000-000025000000}"/>
  </cellStyles>
  <dxfs count="0"/>
  <tableStyles count="0" defaultTableStyle="TableStyleMedium9" defaultPivotStyle="PivotStyleLight16"/>
  <colors>
    <mruColors>
      <color rgb="FFFF3399"/>
      <color rgb="FFE838D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none"/>
          </c:marker>
          <c:dPt>
            <c:idx val="2"/>
            <c:bubble3D val="0"/>
            <c:spPr>
              <a:ln w="28575" cap="rnd">
                <a:solidFill>
                  <a:schemeClr val="accent1"/>
                </a:solidFill>
                <a:prstDash val="sysDot"/>
                <a:round/>
              </a:ln>
              <a:effectLst/>
            </c:spPr>
            <c:extLst>
              <c:ext xmlns:c16="http://schemas.microsoft.com/office/drawing/2014/chart" uri="{C3380CC4-5D6E-409C-BE32-E72D297353CC}">
                <c16:uniqueId val="{00000001-29D6-40DE-82A1-0FA536C64509}"/>
              </c:ext>
            </c:extLst>
          </c:dPt>
          <c:dPt>
            <c:idx val="3"/>
            <c:bubble3D val="0"/>
            <c:spPr>
              <a:ln w="28575" cap="rnd">
                <a:solidFill>
                  <a:schemeClr val="accent1"/>
                </a:solidFill>
                <a:prstDash val="sysDot"/>
                <a:round/>
              </a:ln>
              <a:effectLst/>
            </c:spPr>
            <c:extLst>
              <c:ext xmlns:c16="http://schemas.microsoft.com/office/drawing/2014/chart" uri="{C3380CC4-5D6E-409C-BE32-E72D297353CC}">
                <c16:uniqueId val="{00000003-29D6-40DE-82A1-0FA536C64509}"/>
              </c:ext>
            </c:extLst>
          </c:dPt>
          <c:dPt>
            <c:idx val="4"/>
            <c:bubble3D val="0"/>
            <c:spPr>
              <a:ln w="28575" cap="rnd">
                <a:solidFill>
                  <a:schemeClr val="accent1"/>
                </a:solidFill>
                <a:prstDash val="sysDot"/>
                <a:round/>
              </a:ln>
              <a:effectLst/>
            </c:spPr>
            <c:extLst>
              <c:ext xmlns:c16="http://schemas.microsoft.com/office/drawing/2014/chart" uri="{C3380CC4-5D6E-409C-BE32-E72D297353CC}">
                <c16:uniqueId val="{00000005-29D6-40DE-82A1-0FA536C64509}"/>
              </c:ext>
            </c:extLst>
          </c:dPt>
          <c:cat>
            <c:strRef>
              <c:f>DCF!$B$35:$F$35</c:f>
              <c:strCache>
                <c:ptCount val="5"/>
                <c:pt idx="0">
                  <c:v>2019 (Real)</c:v>
                </c:pt>
                <c:pt idx="1">
                  <c:v>2020 (Real)</c:v>
                </c:pt>
                <c:pt idx="2">
                  <c:v>2021</c:v>
                </c:pt>
                <c:pt idx="3">
                  <c:v>2022</c:v>
                </c:pt>
                <c:pt idx="4">
                  <c:v>2023</c:v>
                </c:pt>
              </c:strCache>
            </c:strRef>
          </c:cat>
          <c:val>
            <c:numRef>
              <c:f>DCF!$B$37:$F$37</c:f>
              <c:numCache>
                <c:formatCode>"$"#,##0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6-29D6-40DE-82A1-0FA536C64509}"/>
            </c:ext>
          </c:extLst>
        </c:ser>
        <c:dLbls>
          <c:showLegendKey val="0"/>
          <c:showVal val="0"/>
          <c:showCatName val="0"/>
          <c:showSerName val="0"/>
          <c:showPercent val="0"/>
          <c:showBubbleSize val="0"/>
        </c:dLbls>
        <c:smooth val="0"/>
        <c:axId val="468295536"/>
        <c:axId val="469723232"/>
      </c:lineChart>
      <c:catAx>
        <c:axId val="468295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n-PT"/>
          </a:p>
        </c:txPr>
        <c:crossAx val="469723232"/>
        <c:crosses val="autoZero"/>
        <c:auto val="0"/>
        <c:lblAlgn val="ctr"/>
        <c:lblOffset val="100"/>
        <c:noMultiLvlLbl val="0"/>
      </c:catAx>
      <c:valAx>
        <c:axId val="469723232"/>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PT"/>
          </a:p>
        </c:txPr>
        <c:crossAx val="468295536"/>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P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none"/>
          </c:marker>
          <c:dPt>
            <c:idx val="2"/>
            <c:bubble3D val="0"/>
            <c:spPr>
              <a:ln w="28575" cap="rnd">
                <a:solidFill>
                  <a:schemeClr val="accent1"/>
                </a:solidFill>
                <a:prstDash val="sysDot"/>
                <a:round/>
              </a:ln>
              <a:effectLst/>
            </c:spPr>
            <c:extLst>
              <c:ext xmlns:c16="http://schemas.microsoft.com/office/drawing/2014/chart" uri="{C3380CC4-5D6E-409C-BE32-E72D297353CC}">
                <c16:uniqueId val="{00000001-0852-4BF1-A341-E431ACE2ED99}"/>
              </c:ext>
            </c:extLst>
          </c:dPt>
          <c:dPt>
            <c:idx val="3"/>
            <c:bubble3D val="0"/>
            <c:spPr>
              <a:ln w="28575" cap="rnd">
                <a:solidFill>
                  <a:schemeClr val="accent1"/>
                </a:solidFill>
                <a:prstDash val="sysDot"/>
                <a:round/>
              </a:ln>
              <a:effectLst/>
            </c:spPr>
            <c:extLst>
              <c:ext xmlns:c16="http://schemas.microsoft.com/office/drawing/2014/chart" uri="{C3380CC4-5D6E-409C-BE32-E72D297353CC}">
                <c16:uniqueId val="{00000003-0852-4BF1-A341-E431ACE2ED99}"/>
              </c:ext>
            </c:extLst>
          </c:dPt>
          <c:dPt>
            <c:idx val="4"/>
            <c:bubble3D val="0"/>
            <c:spPr>
              <a:ln w="28575" cap="rnd">
                <a:solidFill>
                  <a:schemeClr val="accent1"/>
                </a:solidFill>
                <a:prstDash val="sysDot"/>
                <a:round/>
              </a:ln>
              <a:effectLst/>
            </c:spPr>
            <c:extLst>
              <c:ext xmlns:c16="http://schemas.microsoft.com/office/drawing/2014/chart" uri="{C3380CC4-5D6E-409C-BE32-E72D297353CC}">
                <c16:uniqueId val="{00000005-0852-4BF1-A341-E431ACE2ED99}"/>
              </c:ext>
            </c:extLst>
          </c:dPt>
          <c:cat>
            <c:strRef>
              <c:f>DCF!$B$35:$F$35</c:f>
              <c:strCache>
                <c:ptCount val="5"/>
                <c:pt idx="0">
                  <c:v>2019 (Real)</c:v>
                </c:pt>
                <c:pt idx="1">
                  <c:v>2020 (Real)</c:v>
                </c:pt>
                <c:pt idx="2">
                  <c:v>2021</c:v>
                </c:pt>
                <c:pt idx="3">
                  <c:v>2022</c:v>
                </c:pt>
                <c:pt idx="4">
                  <c:v>2023</c:v>
                </c:pt>
              </c:strCache>
            </c:strRef>
          </c:cat>
          <c:val>
            <c:numRef>
              <c:f>DCF!$B$38:$F$38</c:f>
              <c:numCache>
                <c:formatCode>0.0%</c:formatCode>
                <c:ptCount val="5"/>
                <c:pt idx="0">
                  <c:v>0</c:v>
                </c:pt>
                <c:pt idx="1">
                  <c:v>0</c:v>
                </c:pt>
                <c:pt idx="2">
                  <c:v>0.29593021537936248</c:v>
                </c:pt>
                <c:pt idx="3">
                  <c:v>0.28617540807249875</c:v>
                </c:pt>
                <c:pt idx="4">
                  <c:v>0.27</c:v>
                </c:pt>
              </c:numCache>
            </c:numRef>
          </c:val>
          <c:smooth val="0"/>
          <c:extLst>
            <c:ext xmlns:c16="http://schemas.microsoft.com/office/drawing/2014/chart" uri="{C3380CC4-5D6E-409C-BE32-E72D297353CC}">
              <c16:uniqueId val="{00000006-0852-4BF1-A341-E431ACE2ED99}"/>
            </c:ext>
          </c:extLst>
        </c:ser>
        <c:dLbls>
          <c:showLegendKey val="0"/>
          <c:showVal val="0"/>
          <c:showCatName val="0"/>
          <c:showSerName val="0"/>
          <c:showPercent val="0"/>
          <c:showBubbleSize val="0"/>
        </c:dLbls>
        <c:smooth val="0"/>
        <c:axId val="469725472"/>
        <c:axId val="469726032"/>
      </c:lineChart>
      <c:catAx>
        <c:axId val="469725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n-PT"/>
          </a:p>
        </c:txPr>
        <c:crossAx val="469726032"/>
        <c:crosses val="autoZero"/>
        <c:auto val="1"/>
        <c:lblAlgn val="ctr"/>
        <c:lblOffset val="100"/>
        <c:noMultiLvlLbl val="0"/>
      </c:catAx>
      <c:valAx>
        <c:axId val="469726032"/>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PT"/>
          </a:p>
        </c:txPr>
        <c:crossAx val="469725472"/>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P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692336380204484"/>
          <c:y val="3.5969349607330517E-2"/>
          <c:w val="0.84839388374040381"/>
          <c:h val="0.77604277854266257"/>
        </c:manualLayout>
      </c:layout>
      <c:lineChart>
        <c:grouping val="standard"/>
        <c:varyColors val="0"/>
        <c:ser>
          <c:idx val="0"/>
          <c:order val="0"/>
          <c:spPr>
            <a:ln w="28575" cap="rnd">
              <a:solidFill>
                <a:schemeClr val="accent1"/>
              </a:solidFill>
              <a:round/>
            </a:ln>
            <a:effectLst/>
          </c:spPr>
          <c:marker>
            <c:symbol val="none"/>
          </c:marker>
          <c:dPt>
            <c:idx val="2"/>
            <c:bubble3D val="0"/>
            <c:spPr>
              <a:ln w="28575" cap="rnd">
                <a:solidFill>
                  <a:schemeClr val="accent1"/>
                </a:solidFill>
                <a:prstDash val="sysDot"/>
                <a:round/>
              </a:ln>
              <a:effectLst/>
            </c:spPr>
            <c:extLst>
              <c:ext xmlns:c16="http://schemas.microsoft.com/office/drawing/2014/chart" uri="{C3380CC4-5D6E-409C-BE32-E72D297353CC}">
                <c16:uniqueId val="{00000001-890B-4B55-856C-0152686CCD41}"/>
              </c:ext>
            </c:extLst>
          </c:dPt>
          <c:dPt>
            <c:idx val="3"/>
            <c:bubble3D val="0"/>
            <c:spPr>
              <a:ln w="28575" cap="rnd">
                <a:solidFill>
                  <a:schemeClr val="accent1"/>
                </a:solidFill>
                <a:prstDash val="sysDot"/>
                <a:round/>
              </a:ln>
              <a:effectLst/>
            </c:spPr>
            <c:extLst>
              <c:ext xmlns:c16="http://schemas.microsoft.com/office/drawing/2014/chart" uri="{C3380CC4-5D6E-409C-BE32-E72D297353CC}">
                <c16:uniqueId val="{00000003-890B-4B55-856C-0152686CCD41}"/>
              </c:ext>
            </c:extLst>
          </c:dPt>
          <c:dPt>
            <c:idx val="4"/>
            <c:bubble3D val="0"/>
            <c:spPr>
              <a:ln w="28575" cap="rnd">
                <a:solidFill>
                  <a:schemeClr val="accent1"/>
                </a:solidFill>
                <a:prstDash val="sysDot"/>
                <a:round/>
              </a:ln>
              <a:effectLst/>
            </c:spPr>
            <c:extLst>
              <c:ext xmlns:c16="http://schemas.microsoft.com/office/drawing/2014/chart" uri="{C3380CC4-5D6E-409C-BE32-E72D297353CC}">
                <c16:uniqueId val="{00000005-890B-4B55-856C-0152686CCD41}"/>
              </c:ext>
            </c:extLst>
          </c:dPt>
          <c:cat>
            <c:strRef>
              <c:f>DCF!$B$35:$F$35</c:f>
              <c:strCache>
                <c:ptCount val="5"/>
                <c:pt idx="0">
                  <c:v>2019 (Real)</c:v>
                </c:pt>
                <c:pt idx="1">
                  <c:v>2020 (Real)</c:v>
                </c:pt>
                <c:pt idx="2">
                  <c:v>2021</c:v>
                </c:pt>
                <c:pt idx="3">
                  <c:v>2022</c:v>
                </c:pt>
                <c:pt idx="4">
                  <c:v>2023</c:v>
                </c:pt>
              </c:strCache>
            </c:strRef>
          </c:cat>
          <c:val>
            <c:numRef>
              <c:f>DCF!$B$47:$F$47</c:f>
              <c:numCache>
                <c:formatCode>"$"#,##0</c:formatCode>
                <c:ptCount val="5"/>
                <c:pt idx="0">
                  <c:v>0</c:v>
                </c:pt>
                <c:pt idx="1">
                  <c:v>0</c:v>
                </c:pt>
                <c:pt idx="2">
                  <c:v>10000</c:v>
                </c:pt>
                <c:pt idx="3">
                  <c:v>10408</c:v>
                </c:pt>
                <c:pt idx="4">
                  <c:v>11594.511999999999</c:v>
                </c:pt>
              </c:numCache>
            </c:numRef>
          </c:val>
          <c:smooth val="0"/>
          <c:extLst>
            <c:ext xmlns:c16="http://schemas.microsoft.com/office/drawing/2014/chart" uri="{C3380CC4-5D6E-409C-BE32-E72D297353CC}">
              <c16:uniqueId val="{00000006-890B-4B55-856C-0152686CCD41}"/>
            </c:ext>
          </c:extLst>
        </c:ser>
        <c:dLbls>
          <c:showLegendKey val="0"/>
          <c:showVal val="0"/>
          <c:showCatName val="0"/>
          <c:showSerName val="0"/>
          <c:showPercent val="0"/>
          <c:showBubbleSize val="0"/>
        </c:dLbls>
        <c:smooth val="0"/>
        <c:axId val="469728272"/>
        <c:axId val="469728832"/>
      </c:lineChart>
      <c:catAx>
        <c:axId val="469728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n-PT"/>
          </a:p>
        </c:txPr>
        <c:crossAx val="469728832"/>
        <c:crosses val="autoZero"/>
        <c:auto val="0"/>
        <c:lblAlgn val="ctr"/>
        <c:lblOffset val="100"/>
        <c:noMultiLvlLbl val="0"/>
      </c:catAx>
      <c:valAx>
        <c:axId val="469728832"/>
        <c:scaling>
          <c:orientation val="minMax"/>
          <c:max val="25000"/>
          <c:min val="0"/>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PT"/>
          </a:p>
        </c:txPr>
        <c:crossAx val="469728272"/>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P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none"/>
          </c:marker>
          <c:dPt>
            <c:idx val="2"/>
            <c:bubble3D val="0"/>
            <c:spPr>
              <a:ln w="28575" cap="rnd">
                <a:solidFill>
                  <a:schemeClr val="accent1"/>
                </a:solidFill>
                <a:prstDash val="sysDot"/>
                <a:round/>
              </a:ln>
              <a:effectLst/>
            </c:spPr>
            <c:extLst>
              <c:ext xmlns:c16="http://schemas.microsoft.com/office/drawing/2014/chart" uri="{C3380CC4-5D6E-409C-BE32-E72D297353CC}">
                <c16:uniqueId val="{00000001-2BBB-4662-B16E-6E91A3BCDBBD}"/>
              </c:ext>
            </c:extLst>
          </c:dPt>
          <c:dPt>
            <c:idx val="3"/>
            <c:bubble3D val="0"/>
            <c:spPr>
              <a:ln w="28575" cap="rnd">
                <a:solidFill>
                  <a:schemeClr val="accent1"/>
                </a:solidFill>
                <a:prstDash val="sysDot"/>
                <a:round/>
              </a:ln>
              <a:effectLst/>
            </c:spPr>
            <c:extLst>
              <c:ext xmlns:c16="http://schemas.microsoft.com/office/drawing/2014/chart" uri="{C3380CC4-5D6E-409C-BE32-E72D297353CC}">
                <c16:uniqueId val="{00000003-2BBB-4662-B16E-6E91A3BCDBBD}"/>
              </c:ext>
            </c:extLst>
          </c:dPt>
          <c:dPt>
            <c:idx val="4"/>
            <c:bubble3D val="0"/>
            <c:spPr>
              <a:ln w="28575" cap="rnd">
                <a:solidFill>
                  <a:schemeClr val="accent1"/>
                </a:solidFill>
                <a:prstDash val="sysDot"/>
                <a:round/>
              </a:ln>
              <a:effectLst/>
            </c:spPr>
            <c:extLst>
              <c:ext xmlns:c16="http://schemas.microsoft.com/office/drawing/2014/chart" uri="{C3380CC4-5D6E-409C-BE32-E72D297353CC}">
                <c16:uniqueId val="{00000005-2BBB-4662-B16E-6E91A3BCDBBD}"/>
              </c:ext>
            </c:extLst>
          </c:dPt>
          <c:cat>
            <c:strRef>
              <c:f>DCF!$B$35:$F$35</c:f>
              <c:strCache>
                <c:ptCount val="5"/>
                <c:pt idx="0">
                  <c:v>2019 (Real)</c:v>
                </c:pt>
                <c:pt idx="1">
                  <c:v>2020 (Real)</c:v>
                </c:pt>
                <c:pt idx="2">
                  <c:v>2021</c:v>
                </c:pt>
                <c:pt idx="3">
                  <c:v>2022</c:v>
                </c:pt>
                <c:pt idx="4">
                  <c:v>2023</c:v>
                </c:pt>
              </c:strCache>
            </c:strRef>
          </c:cat>
          <c:val>
            <c:numRef>
              <c:f>DCF!$B$46:$F$46</c:f>
              <c:numCache>
                <c:formatCode>"$"#,##0</c:formatCode>
                <c:ptCount val="5"/>
                <c:pt idx="0">
                  <c:v>58073</c:v>
                </c:pt>
                <c:pt idx="1">
                  <c:v>61045</c:v>
                </c:pt>
                <c:pt idx="2">
                  <c:v>-2894.6311000000005</c:v>
                </c:pt>
                <c:pt idx="3">
                  <c:v>-2967.8224275000002</c:v>
                </c:pt>
                <c:pt idx="4">
                  <c:v>-3150.5636857162503</c:v>
                </c:pt>
              </c:numCache>
            </c:numRef>
          </c:val>
          <c:smooth val="0"/>
          <c:extLst>
            <c:ext xmlns:c16="http://schemas.microsoft.com/office/drawing/2014/chart" uri="{C3380CC4-5D6E-409C-BE32-E72D297353CC}">
              <c16:uniqueId val="{00000006-2BBB-4662-B16E-6E91A3BCDBBD}"/>
            </c:ext>
          </c:extLst>
        </c:ser>
        <c:dLbls>
          <c:showLegendKey val="0"/>
          <c:showVal val="0"/>
          <c:showCatName val="0"/>
          <c:showSerName val="0"/>
          <c:showPercent val="0"/>
          <c:showBubbleSize val="0"/>
        </c:dLbls>
        <c:smooth val="0"/>
        <c:axId val="471143824"/>
        <c:axId val="471144384"/>
      </c:lineChart>
      <c:catAx>
        <c:axId val="47114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n-PT"/>
          </a:p>
        </c:txPr>
        <c:crossAx val="471144384"/>
        <c:crosses val="autoZero"/>
        <c:auto val="1"/>
        <c:lblAlgn val="ctr"/>
        <c:lblOffset val="100"/>
        <c:noMultiLvlLbl val="0"/>
      </c:catAx>
      <c:valAx>
        <c:axId val="471144384"/>
        <c:scaling>
          <c:orientation val="minMax"/>
          <c:min val="-200"/>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PT"/>
          </a:p>
        </c:txPr>
        <c:crossAx val="47114382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PT"/>
    </a:p>
  </c:txPr>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14</xdr:col>
      <xdr:colOff>0</xdr:colOff>
      <xdr:row>3</xdr:row>
      <xdr:rowOff>0</xdr:rowOff>
    </xdr:from>
    <xdr:to>
      <xdr:col>14</xdr:col>
      <xdr:colOff>304800</xdr:colOff>
      <xdr:row>3</xdr:row>
      <xdr:rowOff>304800</xdr:rowOff>
    </xdr:to>
    <xdr:sp macro="" textlink="">
      <xdr:nvSpPr>
        <xdr:cNvPr id="2096" name="AutoShape 48" descr="Resultado de imagen para heidelbergcement">
          <a:extLst>
            <a:ext uri="{FF2B5EF4-FFF2-40B4-BE49-F238E27FC236}">
              <a16:creationId xmlns:a16="http://schemas.microsoft.com/office/drawing/2014/main" id="{EBAF9DAF-18D3-4875-8FFF-AEB741FF11AC}"/>
            </a:ext>
          </a:extLst>
        </xdr:cNvPr>
        <xdr:cNvSpPr>
          <a:spLocks noChangeAspect="1" noChangeArrowheads="1"/>
        </xdr:cNvSpPr>
      </xdr:nvSpPr>
      <xdr:spPr bwMode="auto">
        <a:xfrm>
          <a:off x="15001875" y="80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0</xdr:colOff>
      <xdr:row>3</xdr:row>
      <xdr:rowOff>0</xdr:rowOff>
    </xdr:from>
    <xdr:to>
      <xdr:col>14</xdr:col>
      <xdr:colOff>304800</xdr:colOff>
      <xdr:row>3</xdr:row>
      <xdr:rowOff>304800</xdr:rowOff>
    </xdr:to>
    <xdr:sp macro="" textlink="">
      <xdr:nvSpPr>
        <xdr:cNvPr id="2097" name="AutoShape 49" descr="Resultado de imagen para heidelbergcement">
          <a:extLst>
            <a:ext uri="{FF2B5EF4-FFF2-40B4-BE49-F238E27FC236}">
              <a16:creationId xmlns:a16="http://schemas.microsoft.com/office/drawing/2014/main" id="{1AED6D21-AC79-48CB-9928-5DBD43CA26F1}"/>
            </a:ext>
          </a:extLst>
        </xdr:cNvPr>
        <xdr:cNvSpPr>
          <a:spLocks noChangeAspect="1" noChangeArrowheads="1"/>
        </xdr:cNvSpPr>
      </xdr:nvSpPr>
      <xdr:spPr bwMode="auto">
        <a:xfrm>
          <a:off x="15001875" y="80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xdr:row>
      <xdr:rowOff>38100</xdr:rowOff>
    </xdr:from>
    <xdr:to>
      <xdr:col>5</xdr:col>
      <xdr:colOff>695325</xdr:colOff>
      <xdr:row>21</xdr:row>
      <xdr:rowOff>161924</xdr:rowOff>
    </xdr:to>
    <xdr:pic>
      <xdr:nvPicPr>
        <xdr:cNvPr id="2" name="Imagen 1">
          <a:extLst>
            <a:ext uri="{FF2B5EF4-FFF2-40B4-BE49-F238E27FC236}">
              <a16:creationId xmlns:a16="http://schemas.microsoft.com/office/drawing/2014/main" id="{F2F9330C-25CE-45E1-BA4E-66296A4EDD68}"/>
            </a:ext>
          </a:extLst>
        </xdr:cNvPr>
        <xdr:cNvPicPr>
          <a:picLocks noChangeAspect="1"/>
        </xdr:cNvPicPr>
      </xdr:nvPicPr>
      <xdr:blipFill rotWithShape="1">
        <a:blip xmlns:r="http://schemas.openxmlformats.org/officeDocument/2006/relationships" r:embed="rId1"/>
        <a:srcRect l="24381" t="20576" r="25833" b="16526"/>
        <a:stretch/>
      </xdr:blipFill>
      <xdr:spPr>
        <a:xfrm>
          <a:off x="0" y="361950"/>
          <a:ext cx="4505325" cy="3200399"/>
        </a:xfrm>
        <a:prstGeom prst="rect">
          <a:avLst/>
        </a:prstGeom>
      </xdr:spPr>
    </xdr:pic>
    <xdr:clientData/>
  </xdr:twoCellAnchor>
  <xdr:twoCellAnchor editAs="oneCell">
    <xdr:from>
      <xdr:col>5</xdr:col>
      <xdr:colOff>742951</xdr:colOff>
      <xdr:row>2</xdr:row>
      <xdr:rowOff>19050</xdr:rowOff>
    </xdr:from>
    <xdr:to>
      <xdr:col>12</xdr:col>
      <xdr:colOff>590550</xdr:colOff>
      <xdr:row>26</xdr:row>
      <xdr:rowOff>17452</xdr:rowOff>
    </xdr:to>
    <xdr:pic>
      <xdr:nvPicPr>
        <xdr:cNvPr id="3" name="Imagen 2">
          <a:extLst>
            <a:ext uri="{FF2B5EF4-FFF2-40B4-BE49-F238E27FC236}">
              <a16:creationId xmlns:a16="http://schemas.microsoft.com/office/drawing/2014/main" id="{6C3DB5B5-D2AB-4357-9042-072F61CBB8BC}"/>
            </a:ext>
          </a:extLst>
        </xdr:cNvPr>
        <xdr:cNvPicPr>
          <a:picLocks noChangeAspect="1"/>
        </xdr:cNvPicPr>
      </xdr:nvPicPr>
      <xdr:blipFill rotWithShape="1">
        <a:blip xmlns:r="http://schemas.openxmlformats.org/officeDocument/2006/relationships" r:embed="rId2"/>
        <a:srcRect l="35436" t="14585" r="5186" b="6238"/>
        <a:stretch/>
      </xdr:blipFill>
      <xdr:spPr>
        <a:xfrm>
          <a:off x="4552951" y="342900"/>
          <a:ext cx="5181599" cy="3884602"/>
        </a:xfrm>
        <a:prstGeom prst="rect">
          <a:avLst/>
        </a:prstGeom>
      </xdr:spPr>
    </xdr:pic>
    <xdr:clientData/>
  </xdr:twoCellAnchor>
  <xdr:twoCellAnchor editAs="oneCell">
    <xdr:from>
      <xdr:col>12</xdr:col>
      <xdr:colOff>733424</xdr:colOff>
      <xdr:row>1</xdr:row>
      <xdr:rowOff>152399</xdr:rowOff>
    </xdr:from>
    <xdr:to>
      <xdr:col>19</xdr:col>
      <xdr:colOff>200025</xdr:colOff>
      <xdr:row>25</xdr:row>
      <xdr:rowOff>104774</xdr:rowOff>
    </xdr:to>
    <xdr:pic>
      <xdr:nvPicPr>
        <xdr:cNvPr id="4" name="Imagen 3">
          <a:extLst>
            <a:ext uri="{FF2B5EF4-FFF2-40B4-BE49-F238E27FC236}">
              <a16:creationId xmlns:a16="http://schemas.microsoft.com/office/drawing/2014/main" id="{2F698728-CF09-4265-A947-5121BAAFCF06}"/>
            </a:ext>
          </a:extLst>
        </xdr:cNvPr>
        <xdr:cNvPicPr>
          <a:picLocks noChangeAspect="1"/>
        </xdr:cNvPicPr>
      </xdr:nvPicPr>
      <xdr:blipFill rotWithShape="1">
        <a:blip xmlns:r="http://schemas.openxmlformats.org/officeDocument/2006/relationships" r:embed="rId3"/>
        <a:srcRect l="17645" t="21877" r="37108" b="5196"/>
        <a:stretch/>
      </xdr:blipFill>
      <xdr:spPr>
        <a:xfrm>
          <a:off x="9877424" y="314324"/>
          <a:ext cx="4800601" cy="38385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xdr:row>
      <xdr:rowOff>161925</xdr:rowOff>
    </xdr:from>
    <xdr:to>
      <xdr:col>3</xdr:col>
      <xdr:colOff>438150</xdr:colOff>
      <xdr:row>14</xdr:row>
      <xdr:rowOff>95250</xdr:rowOff>
    </xdr:to>
    <xdr:graphicFrame macro="">
      <xdr:nvGraphicFramePr>
        <xdr:cNvPr id="69183" name="Gráfico 1">
          <a:extLst>
            <a:ext uri="{FF2B5EF4-FFF2-40B4-BE49-F238E27FC236}">
              <a16:creationId xmlns:a16="http://schemas.microsoft.com/office/drawing/2014/main" id="{77D8D2A6-31C8-436A-8BAC-BCB6DD15AE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523875</xdr:colOff>
      <xdr:row>3</xdr:row>
      <xdr:rowOff>19050</xdr:rowOff>
    </xdr:from>
    <xdr:to>
      <xdr:col>9</xdr:col>
      <xdr:colOff>0</xdr:colOff>
      <xdr:row>14</xdr:row>
      <xdr:rowOff>85725</xdr:rowOff>
    </xdr:to>
    <xdr:graphicFrame macro="">
      <xdr:nvGraphicFramePr>
        <xdr:cNvPr id="69184" name="Gráfico 2">
          <a:extLst>
            <a:ext uri="{FF2B5EF4-FFF2-40B4-BE49-F238E27FC236}">
              <a16:creationId xmlns:a16="http://schemas.microsoft.com/office/drawing/2014/main" id="{9B781514-F142-49A5-BB8C-98E772FF46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19050</xdr:colOff>
      <xdr:row>16</xdr:row>
      <xdr:rowOff>28575</xdr:rowOff>
    </xdr:from>
    <xdr:to>
      <xdr:col>3</xdr:col>
      <xdr:colOff>457200</xdr:colOff>
      <xdr:row>27</xdr:row>
      <xdr:rowOff>123825</xdr:rowOff>
    </xdr:to>
    <xdr:graphicFrame macro="">
      <xdr:nvGraphicFramePr>
        <xdr:cNvPr id="69185" name="Gráfico 4">
          <a:extLst>
            <a:ext uri="{FF2B5EF4-FFF2-40B4-BE49-F238E27FC236}">
              <a16:creationId xmlns:a16="http://schemas.microsoft.com/office/drawing/2014/main" id="{F1BF886D-8D8C-489D-980F-D5383E1E77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542925</xdr:colOff>
      <xdr:row>16</xdr:row>
      <xdr:rowOff>38100</xdr:rowOff>
    </xdr:from>
    <xdr:to>
      <xdr:col>9</xdr:col>
      <xdr:colOff>19050</xdr:colOff>
      <xdr:row>27</xdr:row>
      <xdr:rowOff>104775</xdr:rowOff>
    </xdr:to>
    <xdr:graphicFrame macro="">
      <xdr:nvGraphicFramePr>
        <xdr:cNvPr id="69186" name="Gráfico 5">
          <a:extLst>
            <a:ext uri="{FF2B5EF4-FFF2-40B4-BE49-F238E27FC236}">
              <a16:creationId xmlns:a16="http://schemas.microsoft.com/office/drawing/2014/main" id="{AB6311A8-5D3E-4293-82B3-E0C5B246C8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sistemas/AppData/Local/Temp/Bloomberg/data/XIDA.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rketCapH"/>
      <sheetName val="PricesH"/>
      <sheetName val="ControlsH"/>
      <sheetName val="DataH"/>
      <sheetName val="Overview"/>
      <sheetName val="Peers"/>
      <sheetName val="Owners"/>
      <sheetName val="Help"/>
      <sheetName val="Indices"/>
      <sheetName val="Financials"/>
      <sheetName val="Ratings"/>
      <sheetName val="EST Brokers"/>
      <sheetName val="EST Detail"/>
      <sheetName val="VAL Graphs"/>
    </sheetNames>
    <sheetDataSet>
      <sheetData sheetId="0" refreshError="1"/>
      <sheetData sheetId="1" refreshError="1"/>
      <sheetData sheetId="2" refreshError="1">
        <row r="3">
          <cell r="B3" t="str">
            <v>SPX</v>
          </cell>
          <cell r="C3" t="e">
            <v>#REF!</v>
          </cell>
          <cell r="E3">
            <v>1</v>
          </cell>
          <cell r="F3">
            <v>1</v>
          </cell>
          <cell r="G3">
            <v>1</v>
          </cell>
          <cell r="H3">
            <v>1</v>
          </cell>
          <cell r="I3">
            <v>1</v>
          </cell>
        </row>
        <row r="4">
          <cell r="B4" t="e">
            <v>#REF!</v>
          </cell>
          <cell r="C4" t="e">
            <v>#REF!</v>
          </cell>
        </row>
        <row r="5">
          <cell r="B5" t="e">
            <v>#REF!</v>
          </cell>
          <cell r="C5" t="e">
            <v>#REF!</v>
          </cell>
          <cell r="E5">
            <v>1</v>
          </cell>
          <cell r="F5">
            <v>1</v>
          </cell>
          <cell r="G5">
            <v>1</v>
          </cell>
          <cell r="H5">
            <v>1</v>
          </cell>
          <cell r="I5">
            <v>1</v>
          </cell>
        </row>
        <row r="6">
          <cell r="B6" t="str">
            <v>APPLE INC</v>
          </cell>
        </row>
        <row r="9">
          <cell r="B9" t="str">
            <v>USD</v>
          </cell>
        </row>
        <row r="13">
          <cell r="B13" t="str">
            <v>Equal Weight</v>
          </cell>
        </row>
        <row r="15">
          <cell r="B15" t="str">
            <v>AAPL US</v>
          </cell>
        </row>
        <row r="21">
          <cell r="B21" t="str">
            <v>Local</v>
          </cell>
        </row>
        <row r="22">
          <cell r="B22" t="str">
            <v>Euro</v>
          </cell>
        </row>
        <row r="23">
          <cell r="B23" t="str">
            <v>U.S. Dollar</v>
          </cell>
        </row>
        <row r="24">
          <cell r="B24" t="str">
            <v>British Pounds</v>
          </cell>
        </row>
        <row r="25">
          <cell r="B25" t="str">
            <v>Canadian Dollar</v>
          </cell>
        </row>
        <row r="26">
          <cell r="B26" t="str">
            <v>Japanese Yen</v>
          </cell>
        </row>
        <row r="27">
          <cell r="B27" t="str">
            <v>Afghanistan Afghani</v>
          </cell>
        </row>
        <row r="28">
          <cell r="B28" t="str">
            <v>Albanian Lek</v>
          </cell>
        </row>
        <row r="29">
          <cell r="B29" t="str">
            <v>Algerian Dinar</v>
          </cell>
        </row>
        <row r="30">
          <cell r="B30" t="str">
            <v>Angolan New Kwanza</v>
          </cell>
        </row>
        <row r="31">
          <cell r="B31" t="str">
            <v>Argentine Peso</v>
          </cell>
        </row>
        <row r="32">
          <cell r="B32" t="str">
            <v>Armenia Dram</v>
          </cell>
        </row>
        <row r="33">
          <cell r="B33" t="str">
            <v>Aruban Guilder</v>
          </cell>
        </row>
        <row r="34">
          <cell r="B34" t="str">
            <v>Australian Dollar</v>
          </cell>
          <cell r="G34" t="str">
            <v>2020-12-31</v>
          </cell>
        </row>
        <row r="35">
          <cell r="B35" t="str">
            <v>Austrian Schilling *</v>
          </cell>
          <cell r="F35" t="str">
            <v>Equal Weight</v>
          </cell>
        </row>
        <row r="36">
          <cell r="B36" t="str">
            <v>Azerbaijan Manat</v>
          </cell>
          <cell r="F36" t="str">
            <v>Market Cap Weight</v>
          </cell>
        </row>
        <row r="37">
          <cell r="B37" t="str">
            <v>Bahamas Dollar</v>
          </cell>
        </row>
        <row r="38">
          <cell r="B38" t="str">
            <v>Bahraini Dinar</v>
          </cell>
        </row>
        <row r="39">
          <cell r="B39" t="str">
            <v>Bangladesh Taka</v>
          </cell>
        </row>
        <row r="40">
          <cell r="B40" t="str">
            <v>Barbados Dollar</v>
          </cell>
        </row>
        <row r="41">
          <cell r="B41" t="str">
            <v>Belarus Rouble</v>
          </cell>
        </row>
        <row r="42">
          <cell r="B42" t="str">
            <v>Belgian Franc *</v>
          </cell>
        </row>
        <row r="43">
          <cell r="B43" t="str">
            <v>Belize Dollar</v>
          </cell>
        </row>
        <row r="44">
          <cell r="B44" t="str">
            <v>Bermuda Dollar</v>
          </cell>
        </row>
        <row r="45">
          <cell r="B45" t="str">
            <v>British Pence</v>
          </cell>
        </row>
        <row r="46">
          <cell r="B46" t="str">
            <v>Bhutan Ngultrum</v>
          </cell>
        </row>
        <row r="47">
          <cell r="B47" t="str">
            <v>Bolivian Boliviano</v>
          </cell>
        </row>
        <row r="48">
          <cell r="B48" t="str">
            <v>Botswana Pula</v>
          </cell>
        </row>
        <row r="49">
          <cell r="B49" t="str">
            <v>Brazilian Real</v>
          </cell>
        </row>
        <row r="50">
          <cell r="B50" t="str">
            <v>Brunei Dollar</v>
          </cell>
        </row>
        <row r="51">
          <cell r="B51" t="str">
            <v>Bulgarian Lev</v>
          </cell>
        </row>
        <row r="52">
          <cell r="B52" t="str">
            <v>Burundi Franc</v>
          </cell>
        </row>
        <row r="53">
          <cell r="B53" t="str">
            <v>C.F.A Franc</v>
          </cell>
        </row>
        <row r="54">
          <cell r="B54" t="str">
            <v>C.F.P Franc</v>
          </cell>
        </row>
        <row r="55">
          <cell r="B55" t="str">
            <v>Cambodian Riel</v>
          </cell>
        </row>
        <row r="56">
          <cell r="B56" t="str">
            <v>Cape Verde Is. Escudo</v>
          </cell>
        </row>
        <row r="57">
          <cell r="B57" t="str">
            <v>Cayman Islands Dollar</v>
          </cell>
        </row>
        <row r="58">
          <cell r="B58" t="str">
            <v>Chilean Peso</v>
          </cell>
        </row>
        <row r="59">
          <cell r="B59" t="str">
            <v>Chile U.F.</v>
          </cell>
        </row>
        <row r="60">
          <cell r="B60" t="str">
            <v>China Renminbi</v>
          </cell>
        </row>
        <row r="61">
          <cell r="B61" t="str">
            <v>Colombian Peso</v>
          </cell>
        </row>
        <row r="62">
          <cell r="B62" t="str">
            <v>Comoros Franc</v>
          </cell>
        </row>
        <row r="63">
          <cell r="B63" t="str">
            <v>Costa Rica Colon</v>
          </cell>
        </row>
        <row r="64">
          <cell r="B64" t="str">
            <v>Croation Kuna</v>
          </cell>
        </row>
        <row r="65">
          <cell r="B65" t="str">
            <v>Cuban Peso</v>
          </cell>
        </row>
        <row r="66">
          <cell r="B66" t="str">
            <v>Cyprus Pound</v>
          </cell>
        </row>
        <row r="67">
          <cell r="B67" t="str">
            <v>Czechoslovakia Koruna</v>
          </cell>
        </row>
        <row r="68">
          <cell r="B68" t="str">
            <v>Danish Krone</v>
          </cell>
        </row>
        <row r="69">
          <cell r="B69" t="str">
            <v>Djibouti Franc</v>
          </cell>
        </row>
        <row r="70">
          <cell r="B70" t="str">
            <v>Dominican Republic Peso</v>
          </cell>
        </row>
        <row r="71">
          <cell r="B71" t="str">
            <v>East Caribbean Dollar</v>
          </cell>
        </row>
        <row r="72">
          <cell r="B72" t="str">
            <v>East German Ostmark</v>
          </cell>
        </row>
        <row r="73">
          <cell r="B73" t="str">
            <v>Ecuador Sucre</v>
          </cell>
        </row>
        <row r="74">
          <cell r="B74" t="str">
            <v>Egyptian Pound</v>
          </cell>
        </row>
        <row r="75">
          <cell r="B75" t="str">
            <v>El Salvador Colon</v>
          </cell>
        </row>
        <row r="76">
          <cell r="B76" t="str">
            <v>Estonian Kroon</v>
          </cell>
        </row>
        <row r="77">
          <cell r="B77" t="str">
            <v>Ethiopian Birr</v>
          </cell>
        </row>
        <row r="78">
          <cell r="B78" t="str">
            <v>Falkland Island Pound</v>
          </cell>
        </row>
        <row r="79">
          <cell r="B79" t="str">
            <v>Fiji Dollar</v>
          </cell>
        </row>
        <row r="80">
          <cell r="B80" t="str">
            <v>Finnish Markka *</v>
          </cell>
        </row>
        <row r="81">
          <cell r="B81" t="str">
            <v>French Franc *</v>
          </cell>
        </row>
        <row r="82">
          <cell r="B82" t="str">
            <v>Gambia Dalasi</v>
          </cell>
        </row>
        <row r="83">
          <cell r="B83" t="str">
            <v>Georgian Coupon</v>
          </cell>
        </row>
        <row r="84">
          <cell r="B84" t="str">
            <v>German Deutschemark *</v>
          </cell>
        </row>
        <row r="85">
          <cell r="B85" t="str">
            <v>Ghana Cedi</v>
          </cell>
        </row>
        <row r="86">
          <cell r="B86" t="str">
            <v>Gibraltar Pound</v>
          </cell>
        </row>
        <row r="87">
          <cell r="B87" t="str">
            <v>Greek Drachma *</v>
          </cell>
        </row>
        <row r="88">
          <cell r="B88" t="str">
            <v>Guatemala Quentzal</v>
          </cell>
        </row>
        <row r="89">
          <cell r="B89" t="str">
            <v>Guinea Franc</v>
          </cell>
        </row>
        <row r="90">
          <cell r="B90" t="str">
            <v>Guinea-Bissau Peso</v>
          </cell>
        </row>
        <row r="91">
          <cell r="B91" t="str">
            <v>Guyana Dollar</v>
          </cell>
        </row>
        <row r="92">
          <cell r="B92" t="str">
            <v>Haiti Gourde</v>
          </cell>
        </row>
        <row r="93">
          <cell r="B93" t="str">
            <v>Honduras Lempira</v>
          </cell>
        </row>
        <row r="94">
          <cell r="B94" t="str">
            <v>Hong Kong Dollar</v>
          </cell>
        </row>
        <row r="95">
          <cell r="B95" t="str">
            <v>Hungarian Forint</v>
          </cell>
        </row>
        <row r="96">
          <cell r="B96" t="str">
            <v>Icelandic Krona</v>
          </cell>
        </row>
        <row r="97">
          <cell r="B97" t="str">
            <v>Indian Rupee</v>
          </cell>
        </row>
        <row r="98">
          <cell r="B98" t="str">
            <v>Indonesian Rupiah</v>
          </cell>
        </row>
        <row r="99">
          <cell r="B99" t="str">
            <v>Iran Rial</v>
          </cell>
        </row>
        <row r="100">
          <cell r="B100" t="str">
            <v>Iraqi Dinar</v>
          </cell>
        </row>
        <row r="101">
          <cell r="B101" t="str">
            <v>Irish Punt</v>
          </cell>
        </row>
        <row r="102">
          <cell r="B102" t="str">
            <v>Israeli Shekel</v>
          </cell>
        </row>
        <row r="103">
          <cell r="B103" t="str">
            <v>Italian Lire *</v>
          </cell>
        </row>
        <row r="104">
          <cell r="B104" t="str">
            <v>Jamaican Dollar</v>
          </cell>
        </row>
        <row r="105">
          <cell r="B105" t="str">
            <v>Jordanian Diner</v>
          </cell>
        </row>
        <row r="106">
          <cell r="B106" t="str">
            <v>Kazakhstan Tenge</v>
          </cell>
        </row>
        <row r="107">
          <cell r="B107" t="str">
            <v>Kenya Shilling</v>
          </cell>
        </row>
        <row r="108">
          <cell r="B108" t="str">
            <v>Kuwait Dinar</v>
          </cell>
        </row>
        <row r="109">
          <cell r="B109" t="str">
            <v>Kyrgystan Som</v>
          </cell>
        </row>
        <row r="110">
          <cell r="B110" t="str">
            <v>Laos New Kip</v>
          </cell>
        </row>
        <row r="111">
          <cell r="B111" t="str">
            <v>Latvian Lats</v>
          </cell>
        </row>
        <row r="112">
          <cell r="B112" t="str">
            <v>Lebanese Pound</v>
          </cell>
        </row>
        <row r="113">
          <cell r="B113" t="str">
            <v>Legacy National Currency</v>
          </cell>
        </row>
        <row r="114">
          <cell r="B114" t="str">
            <v>Lesotho Loit</v>
          </cell>
        </row>
        <row r="115">
          <cell r="B115" t="str">
            <v>Liberian Dollar</v>
          </cell>
        </row>
        <row r="116">
          <cell r="B116" t="str">
            <v>Libyan Dinar</v>
          </cell>
        </row>
        <row r="117">
          <cell r="B117" t="str">
            <v>Lithuanian Litas</v>
          </cell>
        </row>
        <row r="118">
          <cell r="B118" t="str">
            <v>Luxembourg Franc *</v>
          </cell>
        </row>
        <row r="119">
          <cell r="B119" t="str">
            <v>Macau Pataca</v>
          </cell>
        </row>
        <row r="120">
          <cell r="B120" t="str">
            <v>Macedonian Denar</v>
          </cell>
        </row>
        <row r="121">
          <cell r="B121" t="str">
            <v>Malagasy Franc</v>
          </cell>
        </row>
        <row r="122">
          <cell r="B122" t="str">
            <v>Malawi Kwacha</v>
          </cell>
        </row>
        <row r="123">
          <cell r="B123" t="str">
            <v>Malaysian Ringgit</v>
          </cell>
        </row>
        <row r="124">
          <cell r="B124" t="str">
            <v>Madive Island Rufiyaa</v>
          </cell>
        </row>
        <row r="125">
          <cell r="B125" t="str">
            <v>Maltese Lirea</v>
          </cell>
        </row>
        <row r="126">
          <cell r="B126" t="str">
            <v>Mauritania Ouguiya</v>
          </cell>
        </row>
        <row r="127">
          <cell r="B127" t="str">
            <v>Mauritan Rupee</v>
          </cell>
        </row>
        <row r="128">
          <cell r="B128" t="str">
            <v>Mexican Peso</v>
          </cell>
        </row>
        <row r="129">
          <cell r="B129" t="str">
            <v>Moldovan Leu</v>
          </cell>
        </row>
        <row r="130">
          <cell r="B130" t="str">
            <v>Mongolian Tugrik</v>
          </cell>
        </row>
        <row r="131">
          <cell r="B131" t="str">
            <v>Moroccan Dirham</v>
          </cell>
        </row>
        <row r="132">
          <cell r="B132" t="str">
            <v>Mozambique Metical</v>
          </cell>
        </row>
        <row r="133">
          <cell r="B133" t="str">
            <v>Myanmar (Burma) Kyat</v>
          </cell>
        </row>
        <row r="134">
          <cell r="B134" t="str">
            <v>Namibian Dollar</v>
          </cell>
        </row>
        <row r="135">
          <cell r="B135" t="str">
            <v>Nepalese Rupee</v>
          </cell>
        </row>
        <row r="136">
          <cell r="B136" t="str">
            <v>Netherlands Antilles Guilder</v>
          </cell>
        </row>
        <row r="137">
          <cell r="B137" t="str">
            <v>Netherlands Guilder *</v>
          </cell>
        </row>
        <row r="138">
          <cell r="B138" t="str">
            <v>New Zealand Dollar</v>
          </cell>
        </row>
        <row r="139">
          <cell r="B139" t="str">
            <v>Nicaragua Cordoba Oro</v>
          </cell>
        </row>
        <row r="140">
          <cell r="B140" t="str">
            <v>Nigerian Naira</v>
          </cell>
        </row>
        <row r="141">
          <cell r="B141" t="str">
            <v>North Korean Won</v>
          </cell>
        </row>
        <row r="142">
          <cell r="B142" t="str">
            <v>Norwegian Krone</v>
          </cell>
        </row>
        <row r="143">
          <cell r="B143" t="str">
            <v>Oman Rial</v>
          </cell>
        </row>
        <row r="144">
          <cell r="B144" t="str">
            <v>Pakistan Rupee</v>
          </cell>
        </row>
        <row r="145">
          <cell r="B145" t="str">
            <v>Panama Balboa</v>
          </cell>
        </row>
        <row r="146">
          <cell r="B146" t="str">
            <v>Papua and New Guinea Kina</v>
          </cell>
        </row>
        <row r="147">
          <cell r="B147" t="str">
            <v>Paraguay Guarani</v>
          </cell>
        </row>
        <row r="148">
          <cell r="B148" t="str">
            <v>Peruvian New Sol</v>
          </cell>
        </row>
        <row r="149">
          <cell r="B149" t="str">
            <v>Philippines Peso</v>
          </cell>
        </row>
        <row r="150">
          <cell r="B150" t="str">
            <v>Polish Zloty</v>
          </cell>
        </row>
        <row r="151">
          <cell r="B151" t="str">
            <v>Portuguese Escudo *</v>
          </cell>
        </row>
        <row r="152">
          <cell r="B152" t="str">
            <v>Qatari Rial</v>
          </cell>
        </row>
        <row r="153">
          <cell r="B153" t="str">
            <v>Romanian Leu</v>
          </cell>
        </row>
        <row r="154">
          <cell r="B154" t="str">
            <v>Russian Rouble</v>
          </cell>
        </row>
        <row r="155">
          <cell r="B155" t="str">
            <v>Rwanda Franc</v>
          </cell>
        </row>
        <row r="156">
          <cell r="B156" t="str">
            <v>Sao Tome &amp; Principe Dobra</v>
          </cell>
        </row>
        <row r="157">
          <cell r="B157" t="str">
            <v>Saudi Arabian Riyal</v>
          </cell>
        </row>
        <row r="158">
          <cell r="B158" t="str">
            <v>Seychelles Rupee</v>
          </cell>
        </row>
        <row r="159">
          <cell r="B159" t="str">
            <v>Sierra Leone Leone</v>
          </cell>
        </row>
        <row r="160">
          <cell r="B160" t="str">
            <v>Singapore Dollar</v>
          </cell>
        </row>
        <row r="161">
          <cell r="B161" t="str">
            <v>Slovakia Koruna</v>
          </cell>
        </row>
        <row r="162">
          <cell r="B162" t="str">
            <v>Slovenian Tolar</v>
          </cell>
        </row>
        <row r="163">
          <cell r="B163" t="str">
            <v>Solomon Island Dollar</v>
          </cell>
        </row>
        <row r="164">
          <cell r="B164" t="str">
            <v>Somali Shilling</v>
          </cell>
        </row>
        <row r="165">
          <cell r="B165" t="str">
            <v>South African Ran</v>
          </cell>
        </row>
        <row r="166">
          <cell r="B166" t="str">
            <v>South Korean Won</v>
          </cell>
        </row>
        <row r="167">
          <cell r="B167" t="str">
            <v>Spanish Peseta *</v>
          </cell>
        </row>
        <row r="168">
          <cell r="B168" t="str">
            <v>Sri Lanka Rupee</v>
          </cell>
        </row>
        <row r="169">
          <cell r="B169" t="str">
            <v>St. Helena Pound</v>
          </cell>
        </row>
        <row r="170">
          <cell r="B170" t="str">
            <v>Sudanese Pound</v>
          </cell>
        </row>
        <row r="171">
          <cell r="B171" t="str">
            <v>Surinam Guilder</v>
          </cell>
        </row>
        <row r="172">
          <cell r="B172" t="str">
            <v>Swaziland Lilangeni</v>
          </cell>
        </row>
        <row r="173">
          <cell r="B173" t="str">
            <v>Swedish Krona</v>
          </cell>
        </row>
        <row r="174">
          <cell r="B174" t="str">
            <v>Swiss Franc</v>
          </cell>
        </row>
        <row r="175">
          <cell r="B175" t="str">
            <v>Syrian Pound</v>
          </cell>
        </row>
        <row r="176">
          <cell r="B176" t="str">
            <v>Taiwan Dollar</v>
          </cell>
        </row>
        <row r="177">
          <cell r="B177" t="str">
            <v>Tajikistan Rouble</v>
          </cell>
        </row>
        <row r="178">
          <cell r="B178" t="str">
            <v>Tanzania Shilling</v>
          </cell>
        </row>
        <row r="179">
          <cell r="B179" t="str">
            <v>Thailand Baht</v>
          </cell>
        </row>
        <row r="180">
          <cell r="B180" t="str">
            <v>Tonga Pa'anga</v>
          </cell>
        </row>
        <row r="181">
          <cell r="B181" t="str">
            <v>Trinidad and Tobago Dollar</v>
          </cell>
        </row>
        <row r="182">
          <cell r="B182" t="str">
            <v>Tunisian Dinar</v>
          </cell>
        </row>
        <row r="183">
          <cell r="B183" t="str">
            <v>Old Turkish Lira</v>
          </cell>
        </row>
        <row r="184">
          <cell r="B184" t="str">
            <v>New Turkish Lira</v>
          </cell>
        </row>
        <row r="185">
          <cell r="B185" t="str">
            <v>Turkmenistan Manet</v>
          </cell>
        </row>
        <row r="186">
          <cell r="B186" t="str">
            <v>UAE Dirham</v>
          </cell>
        </row>
        <row r="187">
          <cell r="B187" t="str">
            <v>Uganda Shilling</v>
          </cell>
        </row>
        <row r="188">
          <cell r="B188" t="str">
            <v>Ukraine Karbovanets</v>
          </cell>
        </row>
        <row r="189">
          <cell r="B189" t="str">
            <v>Uruguay Peso</v>
          </cell>
        </row>
        <row r="190">
          <cell r="B190" t="str">
            <v>Uzbekistan Sum</v>
          </cell>
        </row>
        <row r="191">
          <cell r="B191" t="str">
            <v>Vanuatu Vatu</v>
          </cell>
        </row>
        <row r="192">
          <cell r="B192" t="str">
            <v>Venezualan Bolivar</v>
          </cell>
        </row>
        <row r="193">
          <cell r="B193" t="str">
            <v>Vietnam Dong</v>
          </cell>
        </row>
        <row r="194">
          <cell r="B194" t="str">
            <v>Western Somoa Tala</v>
          </cell>
        </row>
        <row r="195">
          <cell r="B195" t="str">
            <v>Yemeni Rial</v>
          </cell>
        </row>
        <row r="196">
          <cell r="B196" t="str">
            <v>Yugoslav New Dinar</v>
          </cell>
        </row>
        <row r="197">
          <cell r="B197" t="str">
            <v>Zaire Zaire</v>
          </cell>
        </row>
        <row r="198">
          <cell r="B198" t="str">
            <v>Zambian Kwacha</v>
          </cell>
        </row>
        <row r="199">
          <cell r="B199" t="str">
            <v>Zimbabwe Dollar</v>
          </cell>
        </row>
      </sheetData>
      <sheetData sheetId="3" refreshError="1"/>
      <sheetData sheetId="4" refreshError="1">
        <row r="8">
          <cell r="D8" t="str">
            <v>AAPL US</v>
          </cell>
        </row>
        <row r="11">
          <cell r="D11" t="str">
            <v>English</v>
          </cell>
        </row>
        <row r="13">
          <cell r="O13" t="str">
            <v>Consolidated</v>
          </cell>
          <cell r="U13" t="str">
            <v>-1FY</v>
          </cell>
        </row>
        <row r="16">
          <cell r="Q16">
            <v>213883</v>
          </cell>
          <cell r="W16">
            <v>116914</v>
          </cell>
        </row>
        <row r="19">
          <cell r="E19">
            <v>125.6242980957031</v>
          </cell>
        </row>
        <row r="30">
          <cell r="D30" t="str">
            <v>Fiscal Year</v>
          </cell>
        </row>
      </sheetData>
      <sheetData sheetId="5" refreshError="1">
        <row r="11">
          <cell r="S11">
            <v>2017</v>
          </cell>
        </row>
        <row r="18">
          <cell r="C18" t="str">
            <v>005930 KS</v>
          </cell>
        </row>
        <row r="19">
          <cell r="C19" t="str">
            <v>2498 TT</v>
          </cell>
        </row>
      </sheetData>
      <sheetData sheetId="6" refreshError="1">
        <row r="24">
          <cell r="E24" t="str">
            <v>TOP 20 ALL</v>
          </cell>
        </row>
      </sheetData>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macrumors.com/guide/covid-19-coronavirus/" TargetMode="External"/><Relationship Id="rId2" Type="http://schemas.openxmlformats.org/officeDocument/2006/relationships/hyperlink" Target="https://glg.it/articles/how-might-the-wuhan-coronavirus-impact-apples-supply-chain/" TargetMode="External"/><Relationship Id="rId1" Type="http://schemas.openxmlformats.org/officeDocument/2006/relationships/hyperlink" Target="https://www.apple.com/newsroom/2020/03/apples-covid-19-response/" TargetMode="External"/><Relationship Id="rId5" Type="http://schemas.openxmlformats.org/officeDocument/2006/relationships/drawing" Target="../drawings/drawing2.xml"/><Relationship Id="rId4" Type="http://schemas.openxmlformats.org/officeDocument/2006/relationships/hyperlink" Target="https://www.cnbc.com/2020/02/18/the-significance-of-apples-coronavirus-warning.html"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mailto:VPN*@i%25"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tabColor rgb="FF002060"/>
    <pageSetUpPr fitToPage="1"/>
  </sheetPr>
  <dimension ref="A1:BT58"/>
  <sheetViews>
    <sheetView showGridLines="0" tabSelected="1" zoomScale="110" zoomScaleNormal="80" workbookViewId="0">
      <selection activeCell="B21" sqref="B21:G22"/>
    </sheetView>
  </sheetViews>
  <sheetFormatPr baseColWidth="10" defaultColWidth="11.5" defaultRowHeight="13" x14ac:dyDescent="0.15"/>
  <cols>
    <col min="1" max="1" width="0.6640625" customWidth="1"/>
    <col min="2" max="2" width="19.1640625" customWidth="1"/>
    <col min="3" max="3" width="29.6640625" customWidth="1"/>
    <col min="4" max="4" width="23.33203125" customWidth="1"/>
    <col min="5" max="5" width="15.6640625" customWidth="1"/>
    <col min="6" max="6" width="13.6640625" customWidth="1"/>
    <col min="7" max="7" width="14.5" customWidth="1"/>
    <col min="8" max="8" width="20.5" customWidth="1"/>
    <col min="9" max="9" width="17.6640625" customWidth="1"/>
    <col min="10" max="10" width="24.5" customWidth="1"/>
    <col min="11" max="11" width="20.1640625" customWidth="1"/>
    <col min="12" max="12" width="16.33203125" bestFit="1" customWidth="1"/>
    <col min="13" max="13" width="1" customWidth="1"/>
    <col min="14" max="14" width="7.6640625" style="18" customWidth="1"/>
    <col min="15" max="15" width="15.5" style="114" bestFit="1" customWidth="1"/>
    <col min="16" max="16" width="11.5" style="18"/>
    <col min="21" max="30" width="11.5" style="11" customWidth="1"/>
  </cols>
  <sheetData>
    <row r="1" spans="2:17" ht="3.75" customHeight="1" thickBot="1" x14ac:dyDescent="0.2"/>
    <row r="2" spans="2:17" ht="31.5" customHeight="1" x14ac:dyDescent="0.15">
      <c r="B2" s="183" t="s">
        <v>165</v>
      </c>
      <c r="C2" s="74" t="s">
        <v>144</v>
      </c>
      <c r="D2" s="71" t="s">
        <v>166</v>
      </c>
      <c r="E2" s="223" t="s">
        <v>167</v>
      </c>
      <c r="F2" s="224"/>
      <c r="G2" s="224"/>
      <c r="H2" s="224"/>
      <c r="I2" s="224"/>
      <c r="J2" s="225"/>
      <c r="K2" s="70" t="s">
        <v>168</v>
      </c>
      <c r="L2" s="93" t="s">
        <v>124</v>
      </c>
    </row>
    <row r="3" spans="2:17" ht="33.75" customHeight="1" x14ac:dyDescent="0.15">
      <c r="B3" s="231"/>
      <c r="C3" s="232"/>
      <c r="D3" s="226" t="s">
        <v>157</v>
      </c>
      <c r="E3" s="233"/>
      <c r="F3" s="233"/>
      <c r="G3" s="233"/>
      <c r="H3" s="233"/>
      <c r="I3" s="233"/>
      <c r="J3" s="233"/>
      <c r="K3" s="233"/>
      <c r="L3" s="234"/>
      <c r="O3" s="18"/>
    </row>
    <row r="4" spans="2:17" ht="71" customHeight="1" x14ac:dyDescent="0.15">
      <c r="B4" s="231"/>
      <c r="C4" s="232"/>
      <c r="D4" s="226" t="s">
        <v>158</v>
      </c>
      <c r="E4" s="226"/>
      <c r="F4" s="226"/>
      <c r="G4" s="226"/>
      <c r="H4" s="226"/>
      <c r="I4" s="226"/>
      <c r="J4" s="226"/>
      <c r="K4" s="226"/>
      <c r="L4" s="227"/>
    </row>
    <row r="5" spans="2:17" ht="15.75" customHeight="1" x14ac:dyDescent="0.15">
      <c r="B5" s="228" t="s">
        <v>130</v>
      </c>
      <c r="C5" s="229"/>
      <c r="D5" s="226"/>
      <c r="E5" s="226"/>
      <c r="F5" s="226"/>
      <c r="G5" s="226"/>
      <c r="H5" s="226"/>
      <c r="I5" s="226"/>
      <c r="J5" s="226"/>
      <c r="K5" s="226"/>
      <c r="L5" s="227"/>
      <c r="N5" s="105"/>
    </row>
    <row r="6" spans="2:17" x14ac:dyDescent="0.15">
      <c r="B6" s="235" t="s">
        <v>66</v>
      </c>
      <c r="C6" s="208"/>
      <c r="D6" s="208" t="s">
        <v>122</v>
      </c>
      <c r="E6" s="208"/>
      <c r="F6" s="208" t="e">
        <f>#REF!</f>
        <v>#REF!</v>
      </c>
      <c r="G6" s="208"/>
      <c r="H6" s="208"/>
      <c r="I6" s="208" t="s">
        <v>154</v>
      </c>
      <c r="J6" s="208"/>
      <c r="K6" s="208" t="s">
        <v>72</v>
      </c>
      <c r="L6" s="209"/>
    </row>
    <row r="7" spans="2:17" x14ac:dyDescent="0.15">
      <c r="B7" s="80" t="s">
        <v>34</v>
      </c>
      <c r="C7" s="78"/>
      <c r="D7" s="81" t="s">
        <v>102</v>
      </c>
      <c r="E7" s="72"/>
      <c r="F7" s="220"/>
      <c r="G7" s="221"/>
      <c r="H7" s="68" t="s">
        <v>132</v>
      </c>
      <c r="I7" s="76" t="s">
        <v>73</v>
      </c>
      <c r="J7" s="99"/>
      <c r="K7" s="76" t="s">
        <v>25</v>
      </c>
      <c r="L7" s="102"/>
      <c r="Q7" s="75"/>
    </row>
    <row r="8" spans="2:17" ht="12.75" customHeight="1" x14ac:dyDescent="0.15">
      <c r="B8" s="80" t="s">
        <v>27</v>
      </c>
      <c r="C8" s="178"/>
      <c r="D8" s="76" t="s">
        <v>103</v>
      </c>
      <c r="E8" s="72"/>
      <c r="F8" s="112" t="e">
        <f>#REF!</f>
        <v>#REF!</v>
      </c>
      <c r="G8" s="113"/>
      <c r="H8" s="87" t="e">
        <f>+#REF!</f>
        <v>#REF!</v>
      </c>
      <c r="I8" s="76"/>
      <c r="J8" s="75"/>
      <c r="K8" s="76" t="s">
        <v>2</v>
      </c>
      <c r="L8" s="103"/>
      <c r="M8" s="11"/>
      <c r="O8" s="92"/>
      <c r="Q8" s="75"/>
    </row>
    <row r="9" spans="2:17" ht="12.75" customHeight="1" x14ac:dyDescent="0.15">
      <c r="B9" s="80" t="s">
        <v>28</v>
      </c>
      <c r="C9" s="72">
        <f>C7*C8/1000000</f>
        <v>0</v>
      </c>
      <c r="D9" s="76" t="s">
        <v>36</v>
      </c>
      <c r="E9" s="116" t="e">
        <f>1000000*#REF!/C8</f>
        <v>#REF!</v>
      </c>
      <c r="F9" s="112" t="e">
        <f>#REF!</f>
        <v>#REF!</v>
      </c>
      <c r="G9" s="113"/>
      <c r="H9" s="87" t="e">
        <f>+#REF!</f>
        <v>#REF!</v>
      </c>
      <c r="I9" s="76" t="s">
        <v>3</v>
      </c>
      <c r="J9" s="72"/>
      <c r="K9" s="38" t="s">
        <v>149</v>
      </c>
      <c r="L9" s="123"/>
      <c r="O9" s="92"/>
      <c r="Q9" s="75"/>
    </row>
    <row r="10" spans="2:17" ht="12.75" customHeight="1" x14ac:dyDescent="0.15">
      <c r="B10" s="82" t="s">
        <v>35</v>
      </c>
      <c r="D10" s="76" t="s">
        <v>60</v>
      </c>
      <c r="E10" s="100"/>
      <c r="F10" s="112" t="e">
        <f>#REF!</f>
        <v>#REF!</v>
      </c>
      <c r="G10" s="113"/>
      <c r="H10" s="87" t="e">
        <f>+#REF!</f>
        <v>#REF!</v>
      </c>
      <c r="I10" s="83" t="s">
        <v>4</v>
      </c>
      <c r="J10" s="72"/>
      <c r="K10" s="76" t="s">
        <v>16</v>
      </c>
      <c r="L10" s="101"/>
      <c r="O10" s="92"/>
      <c r="Q10" s="75"/>
    </row>
    <row r="11" spans="2:17" ht="12.75" customHeight="1" x14ac:dyDescent="0.15">
      <c r="B11" s="82" t="s">
        <v>47</v>
      </c>
      <c r="C11" s="72"/>
      <c r="D11" s="76" t="s">
        <v>63</v>
      </c>
      <c r="E11" s="117"/>
      <c r="F11" s="112" t="e">
        <f>#REF!</f>
        <v>#REF!</v>
      </c>
      <c r="G11" s="113"/>
      <c r="H11" s="87" t="e">
        <f>+#REF!</f>
        <v>#REF!</v>
      </c>
      <c r="I11" s="83" t="s">
        <v>5</v>
      </c>
      <c r="J11" s="72">
        <f>J9+J10</f>
        <v>0</v>
      </c>
      <c r="K11" s="76" t="s">
        <v>7</v>
      </c>
      <c r="L11" s="124" t="e">
        <f>((C7*C8)/1000000)/(E7-E8)</f>
        <v>#DIV/0!</v>
      </c>
      <c r="Q11" s="75"/>
    </row>
    <row r="12" spans="2:17" ht="12.75" customHeight="1" x14ac:dyDescent="0.15">
      <c r="B12" s="82" t="s">
        <v>46</v>
      </c>
      <c r="C12" s="72" t="e">
        <f>C9+C11-#REF!</f>
        <v>#REF!</v>
      </c>
      <c r="D12" s="76" t="s">
        <v>49</v>
      </c>
      <c r="E12" s="77"/>
      <c r="F12" s="112" t="e">
        <f>#REF!</f>
        <v>#REF!</v>
      </c>
      <c r="G12" s="113"/>
      <c r="H12" s="87" t="e">
        <f>+#REF!</f>
        <v>#REF!</v>
      </c>
      <c r="I12" s="76" t="s">
        <v>40</v>
      </c>
      <c r="J12" s="84"/>
      <c r="K12" s="76" t="s">
        <v>45</v>
      </c>
      <c r="L12" s="131" t="e">
        <f>J18/E7</f>
        <v>#DIV/0!</v>
      </c>
      <c r="Q12" s="75"/>
    </row>
    <row r="13" spans="2:17" ht="12.75" customHeight="1" x14ac:dyDescent="0.15">
      <c r="B13" s="82" t="s">
        <v>115</v>
      </c>
      <c r="C13" s="179"/>
      <c r="D13" s="76" t="s">
        <v>6</v>
      </c>
      <c r="E13" s="73" t="e">
        <f>C11/E7</f>
        <v>#DIV/0!</v>
      </c>
      <c r="F13" s="208" t="e">
        <f>#REF!</f>
        <v>#REF!</v>
      </c>
      <c r="G13" s="208"/>
      <c r="H13" s="208"/>
      <c r="I13" s="76" t="s">
        <v>41</v>
      </c>
      <c r="J13" s="78" t="e">
        <f>1000000*J12/C8</f>
        <v>#DIV/0!</v>
      </c>
      <c r="K13" s="76" t="s">
        <v>23</v>
      </c>
      <c r="L13" s="125" t="e">
        <f>C9/J17</f>
        <v>#REF!</v>
      </c>
      <c r="N13" s="18" t="e">
        <f>C11/J11</f>
        <v>#DIV/0!</v>
      </c>
      <c r="Q13" s="75"/>
    </row>
    <row r="14" spans="2:17" ht="12.75" customHeight="1" x14ac:dyDescent="0.15">
      <c r="B14" s="80" t="s">
        <v>93</v>
      </c>
      <c r="C14" s="98"/>
      <c r="D14" s="76" t="s">
        <v>54</v>
      </c>
      <c r="E14" s="119"/>
      <c r="G14" s="113"/>
      <c r="H14" s="68" t="s">
        <v>133</v>
      </c>
      <c r="I14" s="76" t="s">
        <v>55</v>
      </c>
      <c r="J14" s="121" t="e">
        <f>J12/E7</f>
        <v>#DIV/0!</v>
      </c>
      <c r="K14" s="76" t="s">
        <v>48</v>
      </c>
      <c r="L14" s="126" t="e">
        <f>C12/E7</f>
        <v>#REF!</v>
      </c>
      <c r="Q14" s="75"/>
    </row>
    <row r="15" spans="2:17" ht="12.75" customHeight="1" x14ac:dyDescent="0.15">
      <c r="B15" s="80" t="s">
        <v>92</v>
      </c>
      <c r="C15" s="180"/>
      <c r="D15" s="76" t="s">
        <v>37</v>
      </c>
      <c r="E15" s="118"/>
      <c r="F15" s="112" t="e">
        <f>#REF!</f>
        <v>#REF!</v>
      </c>
      <c r="G15" s="113"/>
      <c r="H15" s="176" t="e">
        <f>+#REF!</f>
        <v>#REF!</v>
      </c>
      <c r="I15" s="76" t="s">
        <v>86</v>
      </c>
      <c r="J15" s="121" t="e">
        <f>J12/(E7-(E8-C11))</f>
        <v>#DIV/0!</v>
      </c>
      <c r="K15" s="76" t="s">
        <v>50</v>
      </c>
      <c r="L15" s="127" t="e">
        <f>C12/J16</f>
        <v>#REF!</v>
      </c>
      <c r="Q15" s="75"/>
    </row>
    <row r="16" spans="2:17" ht="12.75" customHeight="1" x14ac:dyDescent="0.15">
      <c r="B16" s="235" t="s">
        <v>85</v>
      </c>
      <c r="C16" s="208"/>
      <c r="D16" s="76" t="s">
        <v>38</v>
      </c>
      <c r="E16" s="73"/>
      <c r="F16" s="112" t="e">
        <f>#REF!</f>
        <v>#REF!</v>
      </c>
      <c r="G16" s="113"/>
      <c r="H16" s="176" t="e">
        <f>+#REF!</f>
        <v>#REF!</v>
      </c>
      <c r="I16" s="76" t="s">
        <v>56</v>
      </c>
      <c r="J16" s="79" t="e">
        <f>AVERAGE(#REF!)</f>
        <v>#REF!</v>
      </c>
      <c r="K16" s="76" t="s">
        <v>24</v>
      </c>
      <c r="L16" s="125" t="e">
        <f>C9/J18</f>
        <v>#DIV/0!</v>
      </c>
      <c r="N16" s="88"/>
      <c r="Q16" s="75"/>
    </row>
    <row r="17" spans="1:72" ht="12.75" customHeight="1" x14ac:dyDescent="0.15">
      <c r="B17" s="43" t="s">
        <v>82</v>
      </c>
      <c r="C17" s="145"/>
      <c r="D17" s="76" t="s">
        <v>57</v>
      </c>
      <c r="E17" s="73"/>
      <c r="F17" s="112" t="e">
        <f>#REF!</f>
        <v>#REF!</v>
      </c>
      <c r="G17" s="113"/>
      <c r="H17" s="176" t="e">
        <f>+#REF!</f>
        <v>#REF!</v>
      </c>
      <c r="I17" s="76" t="s">
        <v>39</v>
      </c>
      <c r="J17" s="72" t="e">
        <f>AVERAGE(#REF!)</f>
        <v>#REF!</v>
      </c>
      <c r="K17" s="76" t="s">
        <v>156</v>
      </c>
      <c r="L17" s="111" t="s">
        <v>155</v>
      </c>
      <c r="N17" s="18">
        <v>12</v>
      </c>
      <c r="Q17" s="75"/>
    </row>
    <row r="18" spans="1:72" ht="12.75" customHeight="1" x14ac:dyDescent="0.15">
      <c r="B18" s="43" t="s">
        <v>83</v>
      </c>
      <c r="C18" s="72"/>
      <c r="D18" s="76"/>
      <c r="E18" s="119"/>
      <c r="F18" s="112" t="e">
        <f>#REF!</f>
        <v>#REF!</v>
      </c>
      <c r="G18" s="120"/>
      <c r="H18" s="176" t="e">
        <f>+#REF!</f>
        <v>#REF!</v>
      </c>
      <c r="I18" s="76" t="s">
        <v>78</v>
      </c>
      <c r="J18" s="72">
        <f>SUM(F35:F37)/3</f>
        <v>0</v>
      </c>
      <c r="K18" s="76" t="s">
        <v>51</v>
      </c>
      <c r="L18" s="137" t="e">
        <f>SUM(E35:E37)/(3*C9)</f>
        <v>#DIV/0!</v>
      </c>
      <c r="Q18" s="75"/>
    </row>
    <row r="19" spans="1:72" ht="12.75" customHeight="1" x14ac:dyDescent="0.15">
      <c r="B19" s="43" t="s">
        <v>84</v>
      </c>
      <c r="C19" s="72"/>
      <c r="D19" s="146" t="s">
        <v>146</v>
      </c>
      <c r="E19" s="3"/>
      <c r="F19" s="112" t="e">
        <f>#REF!</f>
        <v>#REF!</v>
      </c>
      <c r="G19" s="120"/>
      <c r="H19" s="176" t="e">
        <f>+#REF!</f>
        <v>#REF!</v>
      </c>
      <c r="I19" s="76" t="s">
        <v>125</v>
      </c>
      <c r="J19" s="77">
        <v>0.16</v>
      </c>
      <c r="K19" s="76" t="s">
        <v>61</v>
      </c>
      <c r="L19" s="137" t="e">
        <f>K33/C9</f>
        <v>#DIV/0!</v>
      </c>
      <c r="Q19" s="75"/>
      <c r="R19" s="18"/>
    </row>
    <row r="20" spans="1:72" ht="14" x14ac:dyDescent="0.15">
      <c r="B20" s="59" t="s">
        <v>44</v>
      </c>
      <c r="C20" s="60"/>
      <c r="D20" s="60"/>
      <c r="E20" s="60"/>
      <c r="F20" s="60"/>
      <c r="G20" s="60"/>
      <c r="H20" s="61" t="s">
        <v>106</v>
      </c>
      <c r="I20" s="222" t="s">
        <v>58</v>
      </c>
      <c r="J20" s="222"/>
      <c r="K20" s="222"/>
      <c r="L20" s="44" t="s">
        <v>59</v>
      </c>
      <c r="M20" s="17"/>
      <c r="N20" s="89"/>
      <c r="O20" s="115"/>
      <c r="P20" s="90"/>
      <c r="Q20" s="17"/>
      <c r="R20" s="17"/>
    </row>
    <row r="21" spans="1:72" ht="35.25" customHeight="1" x14ac:dyDescent="0.15">
      <c r="A21" s="75"/>
      <c r="B21" s="212" t="s">
        <v>169</v>
      </c>
      <c r="C21" s="213"/>
      <c r="D21" s="213"/>
      <c r="E21" s="213"/>
      <c r="F21" s="213"/>
      <c r="G21" s="214"/>
      <c r="H21" s="218" t="s">
        <v>111</v>
      </c>
      <c r="I21" s="186" t="s">
        <v>123</v>
      </c>
      <c r="J21" s="187"/>
      <c r="K21" s="188"/>
      <c r="L21" s="205" t="e">
        <f>#REF!</f>
        <v>#REF!</v>
      </c>
      <c r="M21" s="17"/>
      <c r="N21" s="90"/>
      <c r="O21" s="115"/>
      <c r="P21" s="90"/>
      <c r="Q21" s="17"/>
      <c r="R21" s="17"/>
    </row>
    <row r="22" spans="1:72" ht="35.25" customHeight="1" x14ac:dyDescent="0.15">
      <c r="B22" s="215"/>
      <c r="C22" s="216"/>
      <c r="D22" s="216"/>
      <c r="E22" s="216"/>
      <c r="F22" s="216"/>
      <c r="G22" s="217"/>
      <c r="H22" s="219"/>
      <c r="I22" s="189"/>
      <c r="J22" s="190"/>
      <c r="K22" s="191"/>
      <c r="L22" s="205"/>
      <c r="M22" s="17"/>
      <c r="N22" s="90"/>
      <c r="O22" s="115"/>
      <c r="P22" s="90"/>
      <c r="Q22" s="17"/>
      <c r="R22" s="17"/>
    </row>
    <row r="23" spans="1:72" x14ac:dyDescent="0.15">
      <c r="B23" s="198" t="s">
        <v>65</v>
      </c>
      <c r="C23" s="199"/>
      <c r="D23" s="199"/>
      <c r="E23" s="199"/>
      <c r="F23" s="199"/>
      <c r="G23" s="200"/>
      <c r="H23" s="39" t="s">
        <v>94</v>
      </c>
      <c r="I23" s="192"/>
      <c r="J23" s="193"/>
      <c r="K23" s="194"/>
      <c r="L23" s="230" t="e">
        <f>#REF!</f>
        <v>#REF!</v>
      </c>
      <c r="M23" s="17"/>
      <c r="N23" s="90"/>
      <c r="O23" s="115"/>
      <c r="P23" s="90"/>
      <c r="Q23" s="17"/>
      <c r="R23" s="17"/>
    </row>
    <row r="24" spans="1:72" ht="24.75" customHeight="1" x14ac:dyDescent="0.15">
      <c r="B24" s="236"/>
      <c r="C24" s="237"/>
      <c r="D24" s="237"/>
      <c r="E24" s="237"/>
      <c r="F24" s="237"/>
      <c r="G24" s="238"/>
      <c r="H24" s="62" t="e">
        <f>#REF!</f>
        <v>#REF!</v>
      </c>
      <c r="I24" s="64" t="s">
        <v>68</v>
      </c>
      <c r="J24" s="65" t="e">
        <f>#REF!</f>
        <v>#REF!</v>
      </c>
      <c r="K24" s="66"/>
      <c r="L24" s="230"/>
      <c r="M24" s="17"/>
      <c r="N24" s="90"/>
      <c r="O24" s="115"/>
      <c r="P24" s="90"/>
      <c r="Q24" s="17"/>
      <c r="R24" s="17"/>
    </row>
    <row r="25" spans="1:72" x14ac:dyDescent="0.15">
      <c r="B25" s="45" t="s">
        <v>33</v>
      </c>
      <c r="C25" s="41" t="s">
        <v>0</v>
      </c>
      <c r="D25" s="41" t="s">
        <v>1</v>
      </c>
      <c r="E25" s="41" t="s">
        <v>67</v>
      </c>
      <c r="F25" s="41" t="s">
        <v>12</v>
      </c>
      <c r="G25" s="41" t="s">
        <v>6</v>
      </c>
      <c r="H25" s="41" t="s">
        <v>107</v>
      </c>
      <c r="I25" s="41" t="s">
        <v>108</v>
      </c>
      <c r="J25" s="208" t="s">
        <v>29</v>
      </c>
      <c r="K25" s="208"/>
      <c r="L25" s="209"/>
      <c r="Q25" s="16"/>
      <c r="R25" s="16"/>
      <c r="S25" s="19"/>
      <c r="T25" s="19"/>
    </row>
    <row r="26" spans="1:72" x14ac:dyDescent="0.15">
      <c r="B26" s="43">
        <v>2012</v>
      </c>
      <c r="C26" s="72"/>
      <c r="D26" s="73"/>
      <c r="E26" s="72"/>
      <c r="F26" s="72"/>
      <c r="G26" s="77"/>
      <c r="H26" s="72"/>
      <c r="I26" s="72"/>
      <c r="J26" s="76"/>
      <c r="K26" s="42">
        <v>2022</v>
      </c>
      <c r="L26" s="46">
        <f>K26-1</f>
        <v>2021</v>
      </c>
      <c r="Q26" s="18"/>
      <c r="R26" s="18"/>
      <c r="S26" s="18"/>
      <c r="T26" s="19"/>
      <c r="W26" s="36"/>
    </row>
    <row r="27" spans="1:72" x14ac:dyDescent="0.15">
      <c r="B27" s="43">
        <f t="shared" ref="B27:B34" si="0">B26+1</f>
        <v>2013</v>
      </c>
      <c r="C27" s="122"/>
      <c r="D27" s="121"/>
      <c r="E27" s="72"/>
      <c r="F27" s="72"/>
      <c r="G27" s="77"/>
      <c r="H27" s="72"/>
      <c r="I27" s="72"/>
      <c r="J27" s="76" t="s">
        <v>62</v>
      </c>
      <c r="K27" s="72"/>
      <c r="L27" s="167"/>
      <c r="N27" s="91" t="e">
        <f t="shared" ref="N27:N34" si="1">C27/C26-1</f>
        <v>#DIV/0!</v>
      </c>
      <c r="O27" s="114" t="e">
        <f t="shared" ref="O27:Q34" si="2">D27/D26-1</f>
        <v>#DIV/0!</v>
      </c>
      <c r="Q27" s="18"/>
      <c r="R27" s="18"/>
      <c r="S27" s="18"/>
      <c r="T27" s="19"/>
    </row>
    <row r="28" spans="1:72" x14ac:dyDescent="0.15">
      <c r="B28" s="43">
        <f t="shared" si="0"/>
        <v>2014</v>
      </c>
      <c r="C28" s="72"/>
      <c r="D28" s="136"/>
      <c r="E28" s="72"/>
      <c r="F28" s="72"/>
      <c r="G28" s="77"/>
      <c r="H28" s="72"/>
      <c r="I28" s="72"/>
      <c r="J28" s="76" t="s">
        <v>150</v>
      </c>
      <c r="K28" s="72"/>
      <c r="L28" s="167"/>
      <c r="N28" s="91" t="e">
        <f t="shared" si="1"/>
        <v>#DIV/0!</v>
      </c>
      <c r="O28" s="114" t="e">
        <f t="shared" si="2"/>
        <v>#DIV/0!</v>
      </c>
      <c r="P28" s="18" t="e">
        <f t="shared" si="2"/>
        <v>#DIV/0!</v>
      </c>
      <c r="Q28" s="18" t="e">
        <f t="shared" si="2"/>
        <v>#DIV/0!</v>
      </c>
      <c r="R28" s="18" t="e">
        <f t="shared" ref="R28:R34" si="3">H28/H27-1</f>
        <v>#DIV/0!</v>
      </c>
      <c r="S28" s="18" t="e">
        <f t="shared" ref="S28:S34" si="4">I28/I27-1</f>
        <v>#DIV/0!</v>
      </c>
      <c r="T28" s="18"/>
      <c r="BT28">
        <v>4303</v>
      </c>
    </row>
    <row r="29" spans="1:72" x14ac:dyDescent="0.15">
      <c r="B29" s="43">
        <f t="shared" si="0"/>
        <v>2015</v>
      </c>
      <c r="C29" s="72"/>
      <c r="D29" s="73"/>
      <c r="E29" s="72"/>
      <c r="F29" s="72"/>
      <c r="G29" s="77"/>
      <c r="H29" s="72"/>
      <c r="I29" s="84"/>
      <c r="J29" t="s">
        <v>151</v>
      </c>
      <c r="K29" s="72"/>
      <c r="L29" s="167"/>
      <c r="M29" s="14"/>
      <c r="N29" s="91" t="e">
        <f t="shared" si="1"/>
        <v>#DIV/0!</v>
      </c>
      <c r="O29" s="114" t="e">
        <f t="shared" si="2"/>
        <v>#DIV/0!</v>
      </c>
      <c r="P29" s="18" t="e">
        <f t="shared" si="2"/>
        <v>#DIV/0!</v>
      </c>
      <c r="Q29" s="18" t="e">
        <f t="shared" si="2"/>
        <v>#DIV/0!</v>
      </c>
      <c r="R29" s="18" t="e">
        <f t="shared" si="3"/>
        <v>#DIV/0!</v>
      </c>
      <c r="S29" s="18" t="e">
        <f t="shared" si="4"/>
        <v>#DIV/0!</v>
      </c>
      <c r="T29" s="18"/>
      <c r="BT29">
        <v>3066</v>
      </c>
    </row>
    <row r="30" spans="1:72" x14ac:dyDescent="0.15">
      <c r="B30" s="43">
        <f t="shared" si="0"/>
        <v>2016</v>
      </c>
      <c r="C30" s="122"/>
      <c r="D30" s="121"/>
      <c r="E30" s="72"/>
      <c r="F30" s="72"/>
      <c r="G30" s="77"/>
      <c r="H30" s="72"/>
      <c r="I30" s="84"/>
      <c r="J30" s="76" t="s">
        <v>30</v>
      </c>
      <c r="K30" s="72"/>
      <c r="L30" s="167"/>
      <c r="N30" s="91" t="e">
        <f t="shared" si="1"/>
        <v>#DIV/0!</v>
      </c>
      <c r="O30" s="114" t="e">
        <f t="shared" si="2"/>
        <v>#DIV/0!</v>
      </c>
      <c r="P30" s="18" t="e">
        <f t="shared" ref="P30:Q34" si="5">E30/E29-1</f>
        <v>#DIV/0!</v>
      </c>
      <c r="Q30" s="18" t="e">
        <f t="shared" si="5"/>
        <v>#DIV/0!</v>
      </c>
      <c r="R30" s="18" t="e">
        <f t="shared" si="3"/>
        <v>#DIV/0!</v>
      </c>
      <c r="S30" s="18" t="e">
        <f t="shared" si="4"/>
        <v>#DIV/0!</v>
      </c>
      <c r="T30" s="18"/>
      <c r="BT30">
        <v>3283</v>
      </c>
    </row>
    <row r="31" spans="1:72" x14ac:dyDescent="0.15">
      <c r="B31" s="43">
        <f t="shared" si="0"/>
        <v>2017</v>
      </c>
      <c r="C31" s="128"/>
      <c r="D31" s="136"/>
      <c r="E31" s="72"/>
      <c r="F31" s="72"/>
      <c r="G31" s="77"/>
      <c r="H31" s="72"/>
      <c r="I31" s="84"/>
      <c r="J31" s="94" t="s">
        <v>74</v>
      </c>
      <c r="K31" s="72"/>
      <c r="L31" s="168"/>
      <c r="N31" s="91" t="e">
        <f t="shared" si="1"/>
        <v>#DIV/0!</v>
      </c>
      <c r="O31" s="114" t="e">
        <f t="shared" si="2"/>
        <v>#DIV/0!</v>
      </c>
      <c r="P31" s="18" t="e">
        <f t="shared" si="5"/>
        <v>#DIV/0!</v>
      </c>
      <c r="Q31" s="18" t="e">
        <f t="shared" si="5"/>
        <v>#DIV/0!</v>
      </c>
      <c r="R31" s="18" t="e">
        <f t="shared" si="3"/>
        <v>#DIV/0!</v>
      </c>
      <c r="S31" s="18" t="e">
        <f t="shared" si="4"/>
        <v>#DIV/0!</v>
      </c>
      <c r="T31" s="18"/>
    </row>
    <row r="32" spans="1:72" x14ac:dyDescent="0.15">
      <c r="B32" s="43">
        <f t="shared" si="0"/>
        <v>2018</v>
      </c>
      <c r="C32" s="72"/>
      <c r="D32" s="73"/>
      <c r="E32" s="72"/>
      <c r="F32" s="72"/>
      <c r="G32" s="132"/>
      <c r="H32" s="72"/>
      <c r="I32" s="84"/>
      <c r="J32" s="94" t="s">
        <v>75</v>
      </c>
      <c r="K32" s="72"/>
      <c r="L32" s="167"/>
      <c r="M32" s="15"/>
      <c r="N32" s="91" t="e">
        <f t="shared" si="1"/>
        <v>#DIV/0!</v>
      </c>
      <c r="O32" s="114" t="e">
        <f t="shared" si="2"/>
        <v>#DIV/0!</v>
      </c>
      <c r="P32" s="18" t="e">
        <f t="shared" si="5"/>
        <v>#DIV/0!</v>
      </c>
      <c r="Q32" s="18" t="e">
        <f t="shared" si="5"/>
        <v>#DIV/0!</v>
      </c>
      <c r="R32" s="18" t="e">
        <f t="shared" si="3"/>
        <v>#DIV/0!</v>
      </c>
      <c r="S32" s="18" t="e">
        <f t="shared" si="4"/>
        <v>#DIV/0!</v>
      </c>
      <c r="T32" s="18"/>
    </row>
    <row r="33" spans="2:72" x14ac:dyDescent="0.15">
      <c r="B33" s="43">
        <f t="shared" si="0"/>
        <v>2019</v>
      </c>
      <c r="C33" s="122"/>
      <c r="D33" s="73"/>
      <c r="E33" s="130"/>
      <c r="F33" s="72"/>
      <c r="G33" s="132"/>
      <c r="H33" s="72"/>
      <c r="I33" s="84"/>
      <c r="J33" s="81" t="s">
        <v>76</v>
      </c>
      <c r="K33" s="72"/>
      <c r="L33" s="167"/>
      <c r="N33" s="91" t="e">
        <f t="shared" si="1"/>
        <v>#DIV/0!</v>
      </c>
      <c r="O33" s="114" t="e">
        <f t="shared" si="2"/>
        <v>#DIV/0!</v>
      </c>
      <c r="P33" s="18" t="e">
        <f t="shared" si="5"/>
        <v>#DIV/0!</v>
      </c>
      <c r="Q33" s="18" t="e">
        <f t="shared" si="5"/>
        <v>#DIV/0!</v>
      </c>
      <c r="R33" s="18" t="e">
        <f t="shared" si="3"/>
        <v>#DIV/0!</v>
      </c>
      <c r="S33" s="18" t="e">
        <f t="shared" si="4"/>
        <v>#DIV/0!</v>
      </c>
      <c r="T33" s="18"/>
    </row>
    <row r="34" spans="2:72" x14ac:dyDescent="0.15">
      <c r="B34" s="43">
        <f t="shared" si="0"/>
        <v>2020</v>
      </c>
      <c r="C34" s="128"/>
      <c r="D34" s="129"/>
      <c r="E34" s="130"/>
      <c r="F34" s="72"/>
      <c r="G34" s="133"/>
      <c r="H34" s="72"/>
      <c r="I34" s="72"/>
      <c r="J34" s="81" t="s">
        <v>77</v>
      </c>
      <c r="K34" s="72"/>
      <c r="L34" s="167"/>
      <c r="N34" s="91" t="e">
        <f t="shared" si="1"/>
        <v>#DIV/0!</v>
      </c>
      <c r="O34" s="114" t="e">
        <f t="shared" si="2"/>
        <v>#DIV/0!</v>
      </c>
      <c r="P34" s="18" t="e">
        <f t="shared" si="5"/>
        <v>#DIV/0!</v>
      </c>
      <c r="Q34" s="18" t="e">
        <f t="shared" si="5"/>
        <v>#DIV/0!</v>
      </c>
      <c r="R34" s="18" t="e">
        <f t="shared" si="3"/>
        <v>#DIV/0!</v>
      </c>
      <c r="S34" s="18" t="e">
        <f t="shared" si="4"/>
        <v>#DIV/0!</v>
      </c>
      <c r="T34" s="18"/>
      <c r="W34" s="36"/>
      <c r="BT34" s="7"/>
    </row>
    <row r="35" spans="2:72" x14ac:dyDescent="0.15">
      <c r="B35" s="43">
        <f t="shared" ref="B35:B37" si="6">B34+1</f>
        <v>2021</v>
      </c>
      <c r="C35" s="122"/>
      <c r="D35" s="129"/>
      <c r="E35" s="130"/>
      <c r="F35" s="72"/>
      <c r="G35" s="133"/>
      <c r="H35" s="72"/>
      <c r="I35" s="72"/>
      <c r="J35" s="81" t="s">
        <v>152</v>
      </c>
      <c r="K35" s="72"/>
      <c r="L35" s="167"/>
      <c r="N35" s="91" t="e">
        <f t="shared" ref="N35:N37" si="7">C35/C34-1</f>
        <v>#DIV/0!</v>
      </c>
      <c r="O35" s="114" t="e">
        <f t="shared" ref="O35:O37" si="8">D35/D34-1</f>
        <v>#DIV/0!</v>
      </c>
      <c r="P35" s="18" t="e">
        <f t="shared" ref="P35" si="9">E35/E34-1</f>
        <v>#DIV/0!</v>
      </c>
      <c r="Q35" s="18" t="e">
        <f t="shared" ref="Q35" si="10">F35/F34-1</f>
        <v>#DIV/0!</v>
      </c>
      <c r="R35" s="18" t="e">
        <f t="shared" ref="R35" si="11">H35/H34-1</f>
        <v>#DIV/0!</v>
      </c>
      <c r="S35" s="18" t="e">
        <f t="shared" ref="S35" si="12">I35/I34-1</f>
        <v>#DIV/0!</v>
      </c>
      <c r="T35" s="18"/>
      <c r="W35" s="36"/>
      <c r="BT35" s="7"/>
    </row>
    <row r="36" spans="2:72" x14ac:dyDescent="0.15">
      <c r="B36" s="43">
        <f t="shared" si="6"/>
        <v>2022</v>
      </c>
      <c r="C36" s="122"/>
      <c r="D36" s="121"/>
      <c r="E36" s="130"/>
      <c r="F36" s="72"/>
      <c r="G36" s="133"/>
      <c r="H36" s="72"/>
      <c r="I36" s="72"/>
      <c r="J36" s="81" t="s">
        <v>153</v>
      </c>
      <c r="K36" s="72"/>
      <c r="L36" s="167"/>
      <c r="N36" s="91" t="e">
        <f t="shared" si="7"/>
        <v>#DIV/0!</v>
      </c>
      <c r="O36" s="114" t="e">
        <f t="shared" si="8"/>
        <v>#DIV/0!</v>
      </c>
      <c r="Q36" s="18"/>
      <c r="R36" s="18"/>
      <c r="S36" s="18"/>
      <c r="T36" s="18"/>
      <c r="W36" s="36"/>
      <c r="BT36" s="7"/>
    </row>
    <row r="37" spans="2:72" x14ac:dyDescent="0.15">
      <c r="B37" s="43">
        <f t="shared" si="6"/>
        <v>2023</v>
      </c>
      <c r="C37" s="122"/>
      <c r="D37" s="121" t="e">
        <f>119500/C37</f>
        <v>#DIV/0!</v>
      </c>
      <c r="E37" s="130"/>
      <c r="F37" s="72"/>
      <c r="G37" s="133"/>
      <c r="H37" s="72"/>
      <c r="I37" s="72"/>
      <c r="J37" s="81"/>
      <c r="K37" s="72"/>
      <c r="L37" s="167"/>
      <c r="N37" s="91" t="e">
        <f t="shared" si="7"/>
        <v>#DIV/0!</v>
      </c>
      <c r="O37" s="114" t="e">
        <f t="shared" si="8"/>
        <v>#DIV/0!</v>
      </c>
      <c r="Q37" s="18"/>
      <c r="R37" s="18"/>
      <c r="S37" s="18"/>
      <c r="T37" s="18"/>
      <c r="W37" s="36"/>
      <c r="BT37" s="7"/>
    </row>
    <row r="38" spans="2:72" x14ac:dyDescent="0.15">
      <c r="B38" s="163" t="s">
        <v>164</v>
      </c>
      <c r="C38" s="164" t="e">
        <f>#REF!</f>
        <v>#REF!</v>
      </c>
      <c r="D38" s="177" t="e">
        <f>#REF!</f>
        <v>#REF!</v>
      </c>
      <c r="E38" s="165"/>
      <c r="F38" s="164"/>
      <c r="G38" s="166"/>
      <c r="H38" s="164"/>
      <c r="I38" s="164"/>
      <c r="J38" s="81"/>
      <c r="K38" s="72"/>
      <c r="L38" s="167"/>
      <c r="N38" s="91"/>
      <c r="Q38" s="18"/>
      <c r="R38" s="18"/>
      <c r="S38" s="18"/>
      <c r="T38" s="18"/>
      <c r="W38" s="36"/>
      <c r="BT38" s="7"/>
    </row>
    <row r="39" spans="2:72" x14ac:dyDescent="0.15">
      <c r="B39" s="95" t="s">
        <v>128</v>
      </c>
      <c r="C39" s="121" t="e">
        <f>(C37/C32)^(1/5)-1</f>
        <v>#DIV/0!</v>
      </c>
      <c r="D39" s="73" t="e">
        <f>(D37/D26)^(1/11)-1</f>
        <v>#DIV/0!</v>
      </c>
      <c r="E39" s="134"/>
      <c r="F39" s="73"/>
      <c r="G39" s="73"/>
      <c r="H39" s="73"/>
      <c r="I39" s="72"/>
      <c r="J39" s="76" t="s">
        <v>79</v>
      </c>
      <c r="K39" s="72">
        <v>0</v>
      </c>
      <c r="L39" s="167">
        <v>0</v>
      </c>
      <c r="N39" s="92"/>
      <c r="Q39" s="18"/>
      <c r="R39" s="18"/>
      <c r="S39" s="18"/>
      <c r="T39" s="18"/>
      <c r="W39" s="34"/>
    </row>
    <row r="40" spans="2:72" x14ac:dyDescent="0.15">
      <c r="B40" s="47" t="s">
        <v>8</v>
      </c>
      <c r="C40" s="121" t="e">
        <f>AVERAGE(N27:N37)</f>
        <v>#DIV/0!</v>
      </c>
      <c r="D40" s="73" t="e">
        <f>AVERAGE(O27:O37)</f>
        <v>#DIV/0!</v>
      </c>
      <c r="F40" s="73"/>
      <c r="G40" s="73"/>
      <c r="H40" s="108"/>
      <c r="I40" s="73"/>
      <c r="J40" s="40" t="s">
        <v>31</v>
      </c>
      <c r="K40" s="169">
        <f>K28+K29+K30+K33+K34+K35+K36+K39</f>
        <v>0</v>
      </c>
      <c r="L40" s="170">
        <f>L28+L29+L30+L33+L34+L35+L36+L39</f>
        <v>0</v>
      </c>
      <c r="N40" s="92"/>
      <c r="Q40" s="18"/>
      <c r="R40" s="18"/>
      <c r="S40" s="19"/>
      <c r="T40" s="19"/>
    </row>
    <row r="41" spans="2:72" x14ac:dyDescent="0.15">
      <c r="B41" s="47" t="s">
        <v>19</v>
      </c>
      <c r="C41" s="73" t="e">
        <f>STDEV(C26:C37)/AVERAGE(C26:C37)</f>
        <v>#DIV/0!</v>
      </c>
      <c r="D41" s="73" t="e">
        <f>STDEV(D26:D37)/AVERAGE(D26:D37)</f>
        <v>#DIV/0!</v>
      </c>
      <c r="E41" s="73"/>
      <c r="F41" s="73"/>
      <c r="G41" s="73"/>
      <c r="H41" s="73"/>
      <c r="I41" s="73"/>
      <c r="J41" s="171" t="s">
        <v>32</v>
      </c>
      <c r="K41" s="172" t="e">
        <f>SUM(I33:I37)/(C37-C32)</f>
        <v>#DIV/0!</v>
      </c>
      <c r="L41" s="173" t="e">
        <f>(SUM(I33:I37)-SUM(H33:H37))/(C37-C32)</f>
        <v>#DIV/0!</v>
      </c>
      <c r="M41" s="7"/>
      <c r="N41" s="106"/>
      <c r="Q41" s="18"/>
      <c r="R41" s="18"/>
      <c r="S41" s="19"/>
      <c r="T41" s="19"/>
    </row>
    <row r="42" spans="2:72" x14ac:dyDescent="0.15">
      <c r="B42" s="47" t="s">
        <v>26</v>
      </c>
      <c r="C42" s="73" t="e">
        <f>C37/C36-1</f>
        <v>#DIV/0!</v>
      </c>
      <c r="D42" s="73" t="e">
        <f>D37/D36-1</f>
        <v>#DIV/0!</v>
      </c>
      <c r="E42" s="73"/>
      <c r="F42" s="73"/>
      <c r="G42" s="73"/>
      <c r="H42" s="73"/>
      <c r="I42" s="73"/>
      <c r="J42" s="76" t="s">
        <v>81</v>
      </c>
      <c r="K42" s="174" t="e">
        <f>K41/E14</f>
        <v>#DIV/0!</v>
      </c>
      <c r="L42" s="175" t="e">
        <f>L41/E14</f>
        <v>#DIV/0!</v>
      </c>
      <c r="Q42" s="18"/>
      <c r="R42" s="18"/>
      <c r="S42" s="19"/>
      <c r="T42" s="19"/>
    </row>
    <row r="43" spans="2:72" x14ac:dyDescent="0.15">
      <c r="B43" s="198" t="s">
        <v>134</v>
      </c>
      <c r="C43" s="199"/>
      <c r="D43" s="199"/>
      <c r="E43" s="199"/>
      <c r="F43" s="199"/>
      <c r="G43" s="199"/>
      <c r="H43" s="200"/>
      <c r="I43" s="203" t="s">
        <v>163</v>
      </c>
      <c r="J43" s="203"/>
      <c r="K43" s="203"/>
      <c r="L43" s="204"/>
      <c r="M43" s="17"/>
      <c r="N43" s="90"/>
    </row>
    <row r="44" spans="2:72" ht="84.5" customHeight="1" x14ac:dyDescent="0.15">
      <c r="B44" s="206" t="s">
        <v>161</v>
      </c>
      <c r="C44" s="207"/>
      <c r="D44" s="207"/>
      <c r="E44" s="207"/>
      <c r="F44" s="207"/>
      <c r="G44" s="207"/>
      <c r="H44" s="207"/>
      <c r="I44" s="203"/>
      <c r="J44" s="203"/>
      <c r="K44" s="203"/>
      <c r="L44" s="204"/>
      <c r="M44" s="17"/>
      <c r="N44" s="90"/>
    </row>
    <row r="45" spans="2:72" x14ac:dyDescent="0.15">
      <c r="B45" s="198" t="s">
        <v>42</v>
      </c>
      <c r="C45" s="199"/>
      <c r="D45" s="199"/>
      <c r="E45" s="199"/>
      <c r="F45" s="199"/>
      <c r="G45" s="199"/>
      <c r="H45" s="200"/>
      <c r="I45" s="203"/>
      <c r="J45" s="203"/>
      <c r="K45" s="203"/>
      <c r="L45" s="204"/>
      <c r="M45" s="17"/>
      <c r="N45" s="90"/>
    </row>
    <row r="46" spans="2:72" ht="29" customHeight="1" x14ac:dyDescent="0.15">
      <c r="B46" s="206" t="s">
        <v>159</v>
      </c>
      <c r="C46" s="207"/>
      <c r="D46" s="207"/>
      <c r="E46" s="207"/>
      <c r="F46" s="207"/>
      <c r="G46" s="207"/>
      <c r="H46" s="207"/>
      <c r="I46" s="203"/>
      <c r="J46" s="203"/>
      <c r="K46" s="203"/>
      <c r="L46" s="204"/>
      <c r="M46" s="17"/>
      <c r="N46" s="90"/>
    </row>
    <row r="47" spans="2:72" x14ac:dyDescent="0.15">
      <c r="B47" s="210" t="s">
        <v>43</v>
      </c>
      <c r="C47" s="211"/>
      <c r="D47" s="211"/>
      <c r="E47" s="211"/>
      <c r="F47" s="211"/>
      <c r="G47" s="211"/>
      <c r="H47" s="211"/>
      <c r="I47" s="203"/>
      <c r="J47" s="203"/>
      <c r="K47" s="203"/>
      <c r="L47" s="204"/>
      <c r="M47" s="17"/>
      <c r="N47" s="90"/>
    </row>
    <row r="48" spans="2:72" ht="20.25" customHeight="1" x14ac:dyDescent="0.15">
      <c r="B48" s="206" t="s">
        <v>160</v>
      </c>
      <c r="C48" s="207"/>
      <c r="D48" s="207"/>
      <c r="E48" s="207"/>
      <c r="F48" s="207"/>
      <c r="G48" s="207"/>
      <c r="H48" s="207"/>
      <c r="I48" s="203"/>
      <c r="J48" s="203"/>
      <c r="K48" s="203"/>
      <c r="L48" s="204"/>
      <c r="M48" s="17"/>
      <c r="N48" s="90"/>
    </row>
    <row r="49" spans="2:18" x14ac:dyDescent="0.15">
      <c r="B49" s="201" t="s">
        <v>98</v>
      </c>
      <c r="C49" s="202"/>
      <c r="D49" s="202"/>
      <c r="E49" s="202"/>
      <c r="F49" s="202"/>
      <c r="G49" s="202"/>
      <c r="H49" s="202"/>
      <c r="I49" s="203"/>
      <c r="J49" s="203"/>
      <c r="K49" s="203"/>
      <c r="L49" s="204"/>
    </row>
    <row r="50" spans="2:18" ht="13.5" customHeight="1" thickBot="1" x14ac:dyDescent="0.2">
      <c r="B50" s="181" t="s">
        <v>10</v>
      </c>
      <c r="C50" s="182" t="s">
        <v>88</v>
      </c>
      <c r="D50" s="182" t="s">
        <v>87</v>
      </c>
      <c r="E50" s="182" t="s">
        <v>99</v>
      </c>
      <c r="F50" s="182" t="s">
        <v>100</v>
      </c>
      <c r="G50" s="182" t="s">
        <v>65</v>
      </c>
      <c r="H50" s="182" t="s">
        <v>101</v>
      </c>
      <c r="I50" s="195" t="s">
        <v>162</v>
      </c>
      <c r="J50" s="196"/>
      <c r="K50" s="196"/>
      <c r="L50" s="197"/>
    </row>
    <row r="51" spans="2:18" x14ac:dyDescent="0.15">
      <c r="B51" s="21" t="s">
        <v>69</v>
      </c>
      <c r="M51" s="17"/>
      <c r="N51" s="90"/>
      <c r="O51" s="115"/>
      <c r="P51" s="90"/>
      <c r="Q51" s="17"/>
      <c r="R51" s="17"/>
    </row>
    <row r="52" spans="2:18" s="11" customFormat="1" x14ac:dyDescent="0.15">
      <c r="B52" s="33" t="s">
        <v>80</v>
      </c>
      <c r="M52" s="17"/>
      <c r="N52" s="90"/>
      <c r="O52" s="115"/>
      <c r="P52" s="90"/>
      <c r="Q52" s="17"/>
      <c r="R52" s="17"/>
    </row>
    <row r="53" spans="2:18" x14ac:dyDescent="0.15">
      <c r="B53" s="75"/>
      <c r="C53" s="142"/>
      <c r="D53" s="142"/>
      <c r="E53" s="142"/>
      <c r="F53" s="142"/>
      <c r="G53" s="142"/>
      <c r="H53" s="142"/>
      <c r="I53" s="142"/>
      <c r="J53" s="142"/>
      <c r="K53" s="142"/>
      <c r="L53" s="142"/>
      <c r="M53" s="142"/>
    </row>
    <row r="54" spans="2:18" x14ac:dyDescent="0.15">
      <c r="B54" s="184"/>
      <c r="C54" s="185"/>
      <c r="D54" s="185"/>
      <c r="E54" s="185"/>
      <c r="F54" s="185"/>
      <c r="G54" s="185"/>
      <c r="H54" s="185"/>
      <c r="I54" s="185"/>
      <c r="J54" s="185"/>
      <c r="K54" s="185"/>
      <c r="L54" s="185"/>
      <c r="M54" s="140"/>
    </row>
    <row r="55" spans="2:18" x14ac:dyDescent="0.15">
      <c r="B55" s="135"/>
      <c r="C55" s="107"/>
      <c r="D55" s="107"/>
      <c r="E55" s="107"/>
      <c r="F55" s="107"/>
      <c r="G55" s="107"/>
      <c r="H55" s="107"/>
      <c r="I55" s="107"/>
      <c r="J55" s="107"/>
      <c r="K55" s="107"/>
      <c r="L55" s="107"/>
      <c r="M55" s="107"/>
    </row>
    <row r="56" spans="2:18" x14ac:dyDescent="0.15">
      <c r="B56" s="139"/>
      <c r="C56" s="140"/>
      <c r="D56" s="140"/>
      <c r="E56" s="140"/>
      <c r="F56" s="140"/>
      <c r="G56" s="140"/>
      <c r="H56" s="140"/>
      <c r="I56" s="140"/>
      <c r="J56" s="140"/>
      <c r="K56" s="140"/>
      <c r="L56" s="140"/>
      <c r="M56" s="140"/>
    </row>
    <row r="57" spans="2:18" x14ac:dyDescent="0.15">
      <c r="B57" s="141"/>
      <c r="C57" s="140"/>
      <c r="D57" s="140"/>
      <c r="E57" s="140"/>
      <c r="F57" s="140"/>
      <c r="G57" s="140"/>
      <c r="H57" s="140"/>
      <c r="I57" s="140"/>
      <c r="J57" s="140"/>
      <c r="K57" s="140"/>
      <c r="L57" s="140"/>
      <c r="M57" s="140"/>
    </row>
    <row r="58" spans="2:18" x14ac:dyDescent="0.15">
      <c r="B58" s="141"/>
      <c r="C58" s="140"/>
      <c r="D58" s="140"/>
      <c r="E58" s="140"/>
      <c r="F58" s="140"/>
      <c r="G58" s="140"/>
      <c r="H58" s="140"/>
      <c r="I58" s="140"/>
      <c r="J58" s="140"/>
      <c r="K58" s="140"/>
      <c r="L58" s="140"/>
      <c r="M58" s="140"/>
    </row>
  </sheetData>
  <mergeCells count="32">
    <mergeCell ref="I20:K20"/>
    <mergeCell ref="B44:H44"/>
    <mergeCell ref="B43:H43"/>
    <mergeCell ref="E2:J2"/>
    <mergeCell ref="B23:G23"/>
    <mergeCell ref="D4:L5"/>
    <mergeCell ref="B5:C5"/>
    <mergeCell ref="L23:L24"/>
    <mergeCell ref="B3:C4"/>
    <mergeCell ref="D3:L3"/>
    <mergeCell ref="K6:L6"/>
    <mergeCell ref="B6:C6"/>
    <mergeCell ref="B24:G24"/>
    <mergeCell ref="B16:C16"/>
    <mergeCell ref="I6:J6"/>
    <mergeCell ref="D6:E6"/>
    <mergeCell ref="F6:H6"/>
    <mergeCell ref="B21:G22"/>
    <mergeCell ref="H21:H22"/>
    <mergeCell ref="F7:G7"/>
    <mergeCell ref="F13:H13"/>
    <mergeCell ref="B54:L54"/>
    <mergeCell ref="I21:K23"/>
    <mergeCell ref="I50:L50"/>
    <mergeCell ref="B45:H45"/>
    <mergeCell ref="B49:H49"/>
    <mergeCell ref="I43:L49"/>
    <mergeCell ref="L21:L22"/>
    <mergeCell ref="B48:H48"/>
    <mergeCell ref="J25:L25"/>
    <mergeCell ref="B46:H46"/>
    <mergeCell ref="B47:H47"/>
  </mergeCells>
  <phoneticPr fontId="0" type="noConversion"/>
  <printOptions horizontalCentered="1" verticalCentered="1"/>
  <pageMargins left="0" right="0" top="0.19685039370078741" bottom="0.19685039370078741" header="0" footer="0"/>
  <pageSetup paperSize="134" scale="65" orientation="landscape" r:id="rId1"/>
  <headerFooter alignWithMargins="0"/>
  <ignoredErrors>
    <ignoredError sqref="P28:P30 N28" evalError="1"/>
  </ignoredErrors>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Acuerdo!$A$1:$A$6</xm:f>
          </x14:formula1>
          <xm:sqref>H21:H22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tint="-0.14999847407452621"/>
  </sheetPr>
  <dimension ref="A1:N24"/>
  <sheetViews>
    <sheetView showGridLines="0" workbookViewId="0">
      <selection activeCell="A24" sqref="A24"/>
    </sheetView>
  </sheetViews>
  <sheetFormatPr baseColWidth="10" defaultColWidth="11.5" defaultRowHeight="13" x14ac:dyDescent="0.15"/>
  <sheetData>
    <row r="1" spans="1:14" x14ac:dyDescent="0.15">
      <c r="A1" s="138" t="s">
        <v>135</v>
      </c>
      <c r="G1" s="138" t="s">
        <v>136</v>
      </c>
      <c r="N1" s="138" t="s">
        <v>137</v>
      </c>
    </row>
    <row r="2" spans="1:14" x14ac:dyDescent="0.15">
      <c r="A2" s="75" t="s">
        <v>138</v>
      </c>
      <c r="G2" s="75" t="s">
        <v>139</v>
      </c>
      <c r="N2" s="75" t="s">
        <v>140</v>
      </c>
    </row>
    <row r="23" spans="1:1" x14ac:dyDescent="0.15">
      <c r="A23" s="75" t="s">
        <v>141</v>
      </c>
    </row>
    <row r="24" spans="1:1" x14ac:dyDescent="0.15">
      <c r="A24" s="138" t="s">
        <v>142</v>
      </c>
    </row>
  </sheetData>
  <hyperlinks>
    <hyperlink ref="A1" r:id="rId1" xr:uid="{00000000-0004-0000-0100-000000000000}"/>
    <hyperlink ref="G1" r:id="rId2" xr:uid="{00000000-0004-0000-0100-000001000000}"/>
    <hyperlink ref="A24" r:id="rId3" xr:uid="{00000000-0004-0000-0100-000002000000}"/>
    <hyperlink ref="N1" r:id="rId4" xr:uid="{00000000-0004-0000-0100-000003000000}"/>
  </hyperlinks>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6"/>
  <sheetViews>
    <sheetView workbookViewId="0">
      <selection activeCell="C6" sqref="C6"/>
    </sheetView>
  </sheetViews>
  <sheetFormatPr baseColWidth="10" defaultColWidth="11.5" defaultRowHeight="13" x14ac:dyDescent="0.15"/>
  <cols>
    <col min="1" max="1" width="27.1640625" bestFit="1" customWidth="1"/>
  </cols>
  <sheetData>
    <row r="1" spans="1:1" x14ac:dyDescent="0.15">
      <c r="A1" t="s">
        <v>109</v>
      </c>
    </row>
    <row r="2" spans="1:1" x14ac:dyDescent="0.15">
      <c r="A2" t="s">
        <v>110</v>
      </c>
    </row>
    <row r="3" spans="1:1" x14ac:dyDescent="0.15">
      <c r="A3" t="s">
        <v>111</v>
      </c>
    </row>
    <row r="4" spans="1:1" x14ac:dyDescent="0.15">
      <c r="A4" t="s">
        <v>112</v>
      </c>
    </row>
    <row r="5" spans="1:1" x14ac:dyDescent="0.15">
      <c r="A5" t="s">
        <v>113</v>
      </c>
    </row>
    <row r="6" spans="1:1" x14ac:dyDescent="0.15">
      <c r="A6" s="11" t="s">
        <v>114</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4">
    <tabColor rgb="FF0070C0"/>
  </sheetPr>
  <dimension ref="A1:AD88"/>
  <sheetViews>
    <sheetView topLeftCell="P25" zoomScaleNormal="100" workbookViewId="0">
      <pane xSplit="15560" topLeftCell="Y1"/>
      <selection activeCell="AC36" sqref="AC36"/>
      <selection pane="topRight" activeCell="AB41" sqref="AB41"/>
    </sheetView>
  </sheetViews>
  <sheetFormatPr baseColWidth="10" defaultColWidth="11.5" defaultRowHeight="13" x14ac:dyDescent="0.15"/>
  <cols>
    <col min="1" max="1" width="24.5" bestFit="1" customWidth="1"/>
    <col min="2" max="2" width="11.33203125" customWidth="1"/>
    <col min="3" max="3" width="20" bestFit="1" customWidth="1"/>
    <col min="4" max="9" width="11.1640625" style="4" customWidth="1"/>
    <col min="10" max="11" width="8.83203125" style="4" bestFit="1" customWidth="1"/>
    <col min="12" max="12" width="9.5" style="4" bestFit="1" customWidth="1"/>
    <col min="13" max="13" width="9.1640625" style="4" bestFit="1" customWidth="1"/>
    <col min="14" max="16" width="9.33203125" style="4" bestFit="1" customWidth="1"/>
    <col min="17" max="20" width="9.5" style="4" bestFit="1" customWidth="1"/>
    <col min="21" max="21" width="10" style="4" bestFit="1" customWidth="1"/>
    <col min="22" max="22" width="9.83203125" style="4" bestFit="1" customWidth="1"/>
    <col min="23" max="23" width="10" style="4" bestFit="1" customWidth="1"/>
    <col min="24" max="25" width="9.83203125" style="4" bestFit="1" customWidth="1"/>
    <col min="26" max="26" width="10.1640625" style="4" bestFit="1" customWidth="1"/>
    <col min="27" max="28" width="10" style="4" bestFit="1" customWidth="1"/>
    <col min="29" max="29" width="10.5" style="4" bestFit="1" customWidth="1"/>
  </cols>
  <sheetData>
    <row r="1" spans="1:30" ht="20" x14ac:dyDescent="0.2">
      <c r="A1" s="240" t="s">
        <v>70</v>
      </c>
      <c r="B1" s="240"/>
      <c r="C1" s="240"/>
      <c r="D1" s="240"/>
      <c r="E1" s="240"/>
      <c r="F1" s="240"/>
      <c r="G1" s="240"/>
      <c r="H1" s="240"/>
      <c r="I1" s="240"/>
      <c r="J1" s="240"/>
      <c r="K1" s="240"/>
      <c r="L1" s="240"/>
    </row>
    <row r="2" spans="1:30" x14ac:dyDescent="0.15">
      <c r="A2" s="37"/>
      <c r="B2" s="37"/>
      <c r="C2" s="37"/>
      <c r="D2" s="37"/>
      <c r="E2" s="37"/>
      <c r="F2" s="37"/>
      <c r="G2" s="37"/>
      <c r="H2" s="37"/>
      <c r="I2" s="37"/>
      <c r="J2" s="37"/>
      <c r="K2" s="37"/>
      <c r="L2" s="37"/>
    </row>
    <row r="3" spans="1:30" x14ac:dyDescent="0.15">
      <c r="A3" s="37" t="s">
        <v>9</v>
      </c>
      <c r="B3" s="37"/>
      <c r="C3" s="37"/>
      <c r="D3" s="37"/>
      <c r="E3" s="37" t="s">
        <v>1</v>
      </c>
      <c r="F3" s="37"/>
      <c r="G3" s="37"/>
      <c r="H3" s="37"/>
      <c r="I3" s="37"/>
      <c r="J3" s="37"/>
      <c r="K3" s="37"/>
      <c r="L3" s="37"/>
    </row>
    <row r="4" spans="1:30" x14ac:dyDescent="0.15">
      <c r="A4" s="37"/>
      <c r="B4" s="37"/>
      <c r="C4" s="37"/>
      <c r="D4" s="37"/>
      <c r="E4" s="37"/>
      <c r="F4" s="37"/>
      <c r="G4" s="37"/>
      <c r="H4" s="37"/>
      <c r="I4" s="37"/>
      <c r="J4" s="37"/>
      <c r="K4" s="37"/>
      <c r="L4" s="37"/>
    </row>
    <row r="5" spans="1:30" x14ac:dyDescent="0.15">
      <c r="A5" s="37"/>
      <c r="B5" s="37"/>
      <c r="C5" s="37"/>
      <c r="D5" s="37"/>
      <c r="E5" s="37"/>
      <c r="F5" s="37"/>
      <c r="G5" s="37"/>
      <c r="H5" s="37"/>
      <c r="I5" s="37"/>
      <c r="J5" s="37"/>
      <c r="K5" s="37"/>
      <c r="L5" s="37"/>
    </row>
    <row r="6" spans="1:30" x14ac:dyDescent="0.15">
      <c r="A6" s="37"/>
      <c r="B6" s="37"/>
      <c r="C6" s="37"/>
      <c r="D6" s="37"/>
      <c r="E6" s="37"/>
      <c r="F6" s="37"/>
      <c r="G6" s="37"/>
      <c r="H6" s="37"/>
      <c r="I6" s="37"/>
      <c r="J6" s="37"/>
      <c r="K6" s="37"/>
      <c r="L6" s="37"/>
    </row>
    <row r="7" spans="1:30" x14ac:dyDescent="0.15">
      <c r="A7" s="37"/>
      <c r="B7" s="37"/>
      <c r="C7" s="37"/>
      <c r="D7" s="37"/>
      <c r="E7" s="37"/>
      <c r="F7" s="37"/>
      <c r="G7" s="37"/>
      <c r="H7" s="37"/>
      <c r="I7" s="37"/>
      <c r="J7" s="37"/>
      <c r="K7" s="37"/>
      <c r="L7" s="37"/>
    </row>
    <row r="8" spans="1:30" x14ac:dyDescent="0.15">
      <c r="A8" s="37"/>
      <c r="B8" s="37"/>
      <c r="C8" s="37"/>
      <c r="D8" s="37"/>
      <c r="E8" s="37"/>
      <c r="F8" s="37"/>
      <c r="G8" s="37"/>
      <c r="H8" s="37"/>
      <c r="I8" s="37"/>
      <c r="J8" s="37"/>
      <c r="K8" s="37"/>
      <c r="L8" s="37"/>
    </row>
    <row r="9" spans="1:30" x14ac:dyDescent="0.15">
      <c r="A9" s="37"/>
      <c r="B9" s="37"/>
      <c r="C9" s="37"/>
      <c r="D9" s="37"/>
      <c r="E9" s="37"/>
      <c r="F9" s="37"/>
      <c r="G9" s="37"/>
      <c r="H9" s="37"/>
      <c r="I9" s="37"/>
      <c r="J9" s="37"/>
      <c r="K9" s="37"/>
      <c r="L9" s="37"/>
    </row>
    <row r="10" spans="1:30" x14ac:dyDescent="0.15">
      <c r="A10" s="37"/>
      <c r="B10" s="37"/>
      <c r="C10" s="37"/>
      <c r="D10" s="37"/>
      <c r="E10" s="37"/>
      <c r="F10" s="37"/>
      <c r="G10" s="37"/>
      <c r="H10" s="37"/>
      <c r="I10" s="37"/>
      <c r="J10" s="37"/>
      <c r="K10" s="37"/>
      <c r="L10" s="37"/>
    </row>
    <row r="11" spans="1:30" x14ac:dyDescent="0.15">
      <c r="A11" s="37"/>
      <c r="B11" s="37"/>
      <c r="C11" s="37"/>
      <c r="D11" s="37"/>
      <c r="E11" s="37"/>
      <c r="F11" s="37"/>
      <c r="G11" s="37"/>
      <c r="H11" s="37"/>
      <c r="I11" s="37"/>
      <c r="J11" s="37"/>
      <c r="K11" s="37"/>
      <c r="L11" s="37"/>
    </row>
    <row r="12" spans="1:30" x14ac:dyDescent="0.15">
      <c r="A12" s="37"/>
      <c r="B12" s="37"/>
      <c r="C12" s="37"/>
      <c r="D12" s="37"/>
      <c r="E12" s="37"/>
      <c r="F12" s="37"/>
      <c r="G12" s="37"/>
      <c r="H12" s="37"/>
      <c r="I12" s="37"/>
      <c r="J12" s="37"/>
      <c r="K12" s="37"/>
      <c r="L12" s="37"/>
      <c r="Z12" s="1"/>
    </row>
    <row r="13" spans="1:30" x14ac:dyDescent="0.15">
      <c r="A13" s="37"/>
      <c r="B13" s="37"/>
      <c r="C13" s="37"/>
      <c r="D13" s="37"/>
      <c r="E13" s="37"/>
      <c r="F13" s="37"/>
      <c r="G13" s="37"/>
      <c r="H13" s="37"/>
      <c r="I13" s="37"/>
      <c r="J13" s="37"/>
      <c r="K13" s="37"/>
      <c r="L13" s="37"/>
    </row>
    <row r="14" spans="1:30" x14ac:dyDescent="0.15">
      <c r="A14" s="37"/>
      <c r="B14" s="37"/>
      <c r="C14" s="37"/>
      <c r="D14" s="37"/>
      <c r="E14" s="37"/>
      <c r="F14" s="37"/>
      <c r="G14" s="37"/>
      <c r="H14" s="37"/>
      <c r="I14" s="37"/>
      <c r="J14" s="37"/>
      <c r="K14" s="37"/>
      <c r="L14" s="37"/>
    </row>
    <row r="15" spans="1:30" x14ac:dyDescent="0.15">
      <c r="A15" s="37"/>
      <c r="B15" s="37"/>
      <c r="C15" s="37"/>
      <c r="D15" s="37"/>
      <c r="E15" s="37"/>
      <c r="F15" s="37"/>
      <c r="G15" s="37"/>
      <c r="H15" s="37"/>
      <c r="I15" s="37"/>
      <c r="J15" s="37"/>
      <c r="K15" s="37"/>
      <c r="L15" s="37"/>
      <c r="AD15" s="75"/>
    </row>
    <row r="16" spans="1:30" x14ac:dyDescent="0.15">
      <c r="A16" s="37" t="s">
        <v>18</v>
      </c>
      <c r="B16" s="37"/>
      <c r="C16" s="37"/>
      <c r="D16" s="37"/>
      <c r="E16" s="37" t="s">
        <v>40</v>
      </c>
      <c r="F16" s="37"/>
      <c r="G16" s="37"/>
      <c r="H16" s="37"/>
      <c r="I16" s="37"/>
      <c r="J16" s="37"/>
      <c r="K16" s="37"/>
      <c r="L16" s="37"/>
      <c r="AD16" s="75"/>
    </row>
    <row r="17" spans="4:30" x14ac:dyDescent="0.15">
      <c r="AD17" s="75"/>
    </row>
    <row r="18" spans="4:30" x14ac:dyDescent="0.15">
      <c r="AD18" s="75"/>
    </row>
    <row r="19" spans="4:30" x14ac:dyDescent="0.15">
      <c r="AD19" s="75"/>
    </row>
    <row r="20" spans="4:30" x14ac:dyDescent="0.15">
      <c r="AD20" s="75"/>
    </row>
    <row r="21" spans="4:30" x14ac:dyDescent="0.15">
      <c r="AD21" s="75"/>
    </row>
    <row r="22" spans="4:30" x14ac:dyDescent="0.15">
      <c r="AD22" s="75"/>
    </row>
    <row r="23" spans="4:30" x14ac:dyDescent="0.15">
      <c r="AD23" s="75"/>
    </row>
    <row r="24" spans="4:30" x14ac:dyDescent="0.15">
      <c r="AD24" s="75"/>
    </row>
    <row r="25" spans="4:30" x14ac:dyDescent="0.15">
      <c r="AD25" s="75"/>
    </row>
    <row r="26" spans="4:30" x14ac:dyDescent="0.15">
      <c r="K26" s="143"/>
      <c r="AD26" s="75"/>
    </row>
    <row r="27" spans="4:30" x14ac:dyDescent="0.15">
      <c r="K27" s="143"/>
      <c r="AD27" s="75"/>
    </row>
    <row r="31" spans="4:30" x14ac:dyDescent="0.15">
      <c r="D31" s="147">
        <v>1E-3</v>
      </c>
      <c r="E31" s="148">
        <f>1/((1+$B$59+$D31)^(E35-2021))</f>
        <v>0.92250922509225108</v>
      </c>
      <c r="F31" s="148">
        <f t="shared" ref="F31:AC31" si="0">1/((1+$B$59+$D31)^(F35-2021))</f>
        <v>0.85102327038030556</v>
      </c>
      <c r="G31" s="148">
        <f t="shared" si="0"/>
        <v>0.78507681769400894</v>
      </c>
      <c r="H31" s="148">
        <f t="shared" si="0"/>
        <v>0.72424060672879054</v>
      </c>
      <c r="I31" s="148">
        <f t="shared" si="0"/>
        <v>0.66811864089371831</v>
      </c>
      <c r="J31" s="148">
        <f t="shared" si="0"/>
        <v>0.61634560968055208</v>
      </c>
      <c r="K31" s="148">
        <f t="shared" si="0"/>
        <v>0.56858451077541716</v>
      </c>
      <c r="L31" s="148">
        <f t="shared" si="0"/>
        <v>0.52452445643488677</v>
      </c>
      <c r="M31" s="148">
        <f t="shared" si="0"/>
        <v>0.48387864984768159</v>
      </c>
      <c r="N31" s="148">
        <f t="shared" si="0"/>
        <v>0.44638251830966935</v>
      </c>
      <c r="O31" s="148">
        <f t="shared" si="0"/>
        <v>0.41179199106058068</v>
      </c>
      <c r="P31" s="148">
        <f t="shared" si="0"/>
        <v>0.37988191057249149</v>
      </c>
      <c r="Q31" s="148">
        <f t="shared" si="0"/>
        <v>0.35044456694879283</v>
      </c>
      <c r="R31" s="148">
        <f t="shared" si="0"/>
        <v>0.32328834589372041</v>
      </c>
      <c r="S31" s="148">
        <f t="shared" si="0"/>
        <v>0.29823648145177167</v>
      </c>
      <c r="T31" s="148">
        <f t="shared" si="0"/>
        <v>0.27512590539831339</v>
      </c>
      <c r="U31" s="148">
        <f t="shared" si="0"/>
        <v>0.25380618579180203</v>
      </c>
      <c r="V31" s="148">
        <f t="shared" si="0"/>
        <v>0.2341385477784152</v>
      </c>
      <c r="W31" s="148">
        <f t="shared" si="0"/>
        <v>0.21599497027529083</v>
      </c>
      <c r="X31" s="148">
        <f t="shared" si="0"/>
        <v>0.19925735265248232</v>
      </c>
      <c r="Y31" s="148">
        <f t="shared" si="0"/>
        <v>0.18381674598937486</v>
      </c>
      <c r="Z31" s="148">
        <f t="shared" si="0"/>
        <v>0.16957264390163737</v>
      </c>
      <c r="AA31" s="148">
        <f t="shared" si="0"/>
        <v>0.1564323283225437</v>
      </c>
      <c r="AB31" s="148">
        <f t="shared" si="0"/>
        <v>0.14431026598020638</v>
      </c>
      <c r="AC31" s="148">
        <f t="shared" si="0"/>
        <v>0.13312755164225684</v>
      </c>
    </row>
    <row r="32" spans="4:30" x14ac:dyDescent="0.15">
      <c r="D32" s="149">
        <v>5.0000000000000001E-3</v>
      </c>
      <c r="E32" s="148">
        <f>1/((1+$B$59+$D32)^(E35-2021))</f>
        <v>0.91911764705882371</v>
      </c>
      <c r="F32" s="148">
        <f t="shared" ref="F32:AC32" si="1">1/((1+$B$59+$D32)^(F35-2021))</f>
        <v>0.84477724913494834</v>
      </c>
      <c r="G32" s="148">
        <f t="shared" si="1"/>
        <v>0.77644967751373939</v>
      </c>
      <c r="H32" s="148">
        <f t="shared" si="1"/>
        <v>0.71364860065601055</v>
      </c>
      <c r="I32" s="148">
        <f t="shared" si="1"/>
        <v>0.65592702266177449</v>
      </c>
      <c r="J32" s="148">
        <f t="shared" si="1"/>
        <v>0.60287410171118994</v>
      </c>
      <c r="K32" s="148">
        <f t="shared" si="1"/>
        <v>0.55411222583749076</v>
      </c>
      <c r="L32" s="148">
        <f t="shared" si="1"/>
        <v>0.509294325218282</v>
      </c>
      <c r="M32" s="148">
        <f t="shared" si="1"/>
        <v>0.46810140185503862</v>
      </c>
      <c r="N32" s="148">
        <f t="shared" si="1"/>
        <v>0.43024025905793994</v>
      </c>
      <c r="O32" s="148">
        <f t="shared" si="1"/>
        <v>0.39544141457531257</v>
      </c>
      <c r="P32" s="148">
        <f t="shared" si="1"/>
        <v>0.36345718251407405</v>
      </c>
      <c r="Q32" s="148">
        <f t="shared" si="1"/>
        <v>0.33405991039896515</v>
      </c>
      <c r="R32" s="148">
        <f t="shared" si="1"/>
        <v>0.30704035882257835</v>
      </c>
      <c r="S32" s="148">
        <f t="shared" si="1"/>
        <v>0.28220621215310515</v>
      </c>
      <c r="T32" s="148">
        <f t="shared" si="1"/>
        <v>0.25938070969954519</v>
      </c>
      <c r="U32" s="148">
        <f t="shared" si="1"/>
        <v>0.23840138759149374</v>
      </c>
      <c r="V32" s="148">
        <f t="shared" si="1"/>
        <v>0.21911892241865238</v>
      </c>
      <c r="W32" s="148">
        <f t="shared" si="1"/>
        <v>0.2013960683994967</v>
      </c>
      <c r="X32" s="148">
        <f t="shared" si="1"/>
        <v>0.18510668051424331</v>
      </c>
      <c r="Y32" s="148">
        <f t="shared" si="1"/>
        <v>0.17013481664912072</v>
      </c>
      <c r="Z32" s="148">
        <f t="shared" si="1"/>
        <v>0.15637391236132422</v>
      </c>
      <c r="AA32" s="148">
        <f t="shared" si="1"/>
        <v>0.143726022390923</v>
      </c>
      <c r="AB32" s="148">
        <f t="shared" si="1"/>
        <v>0.13210112352106895</v>
      </c>
      <c r="AC32" s="148">
        <f t="shared" si="1"/>
        <v>0.1214164738245119</v>
      </c>
    </row>
    <row r="33" spans="1:30" x14ac:dyDescent="0.15">
      <c r="D33" s="86" t="s">
        <v>147</v>
      </c>
      <c r="E33" s="148">
        <f>1/((1+$B$59)^(E35-2021))</f>
        <v>0.92336103416435833</v>
      </c>
      <c r="F33" s="148">
        <f t="shared" ref="F33:AC33" si="2">1/((1+$B$59)^(F35-2021))</f>
        <v>0.85259559941307328</v>
      </c>
      <c r="G33" s="148">
        <f t="shared" si="2"/>
        <v>0.78725355439803635</v>
      </c>
      <c r="H33" s="148">
        <f t="shared" si="2"/>
        <v>0.72691925613853769</v>
      </c>
      <c r="I33" s="148">
        <f t="shared" si="2"/>
        <v>0.67120891610206623</v>
      </c>
      <c r="J33" s="148">
        <f t="shared" si="2"/>
        <v>0.61976815891234194</v>
      </c>
      <c r="K33" s="148">
        <f t="shared" si="2"/>
        <v>0.57226976815544039</v>
      </c>
      <c r="L33" s="148">
        <f t="shared" si="2"/>
        <v>0.52841160494500505</v>
      </c>
      <c r="M33" s="148">
        <f t="shared" si="2"/>
        <v>0.48791468600646815</v>
      </c>
      <c r="N33" s="148">
        <f t="shared" si="2"/>
        <v>0.45052140905491062</v>
      </c>
      <c r="O33" s="148">
        <f t="shared" si="2"/>
        <v>0.4159939141781262</v>
      </c>
      <c r="P33" s="148">
        <f t="shared" si="2"/>
        <v>0.38411257080159389</v>
      </c>
      <c r="Q33" s="148">
        <f t="shared" si="2"/>
        <v>0.35467458061089008</v>
      </c>
      <c r="R33" s="148">
        <f t="shared" si="2"/>
        <v>0.32749268754468147</v>
      </c>
      <c r="S33" s="148">
        <f t="shared" si="2"/>
        <v>0.30239398665252215</v>
      </c>
      <c r="T33" s="148">
        <f t="shared" si="2"/>
        <v>0.27921882424055605</v>
      </c>
      <c r="U33" s="148">
        <f t="shared" si="2"/>
        <v>0.25781978230891606</v>
      </c>
      <c r="V33" s="148">
        <f t="shared" si="2"/>
        <v>0.23806074082079043</v>
      </c>
      <c r="W33" s="148">
        <f t="shared" si="2"/>
        <v>0.21981601183821831</v>
      </c>
      <c r="X33" s="148">
        <f t="shared" si="2"/>
        <v>0.2029695400168221</v>
      </c>
      <c r="Y33" s="148">
        <f t="shared" si="2"/>
        <v>0.18741416437379693</v>
      </c>
      <c r="Z33" s="148">
        <f t="shared" si="2"/>
        <v>0.1730509366332382</v>
      </c>
      <c r="AA33" s="148">
        <f t="shared" si="2"/>
        <v>0.15978849181277768</v>
      </c>
      <c r="AB33" s="148">
        <f t="shared" si="2"/>
        <v>0.14754246704780949</v>
      </c>
      <c r="AC33" s="148">
        <f t="shared" si="2"/>
        <v>0.13623496495642612</v>
      </c>
    </row>
    <row r="35" spans="1:30" x14ac:dyDescent="0.15">
      <c r="B35" s="25" t="s">
        <v>126</v>
      </c>
      <c r="C35" s="25" t="s">
        <v>143</v>
      </c>
      <c r="D35" s="12">
        <v>2021</v>
      </c>
      <c r="E35" s="12">
        <f>D35+1</f>
        <v>2022</v>
      </c>
      <c r="F35" s="12">
        <f t="shared" ref="F35:AC35" si="3">E35+1</f>
        <v>2023</v>
      </c>
      <c r="G35" s="12">
        <f t="shared" si="3"/>
        <v>2024</v>
      </c>
      <c r="H35" s="12">
        <f t="shared" si="3"/>
        <v>2025</v>
      </c>
      <c r="I35" s="12">
        <f t="shared" si="3"/>
        <v>2026</v>
      </c>
      <c r="J35" s="12">
        <f t="shared" si="3"/>
        <v>2027</v>
      </c>
      <c r="K35" s="12">
        <f t="shared" si="3"/>
        <v>2028</v>
      </c>
      <c r="L35" s="12">
        <f t="shared" si="3"/>
        <v>2029</v>
      </c>
      <c r="M35" s="12">
        <f t="shared" si="3"/>
        <v>2030</v>
      </c>
      <c r="N35" s="12">
        <f t="shared" si="3"/>
        <v>2031</v>
      </c>
      <c r="O35" s="12">
        <f t="shared" si="3"/>
        <v>2032</v>
      </c>
      <c r="P35" s="12">
        <f t="shared" si="3"/>
        <v>2033</v>
      </c>
      <c r="Q35" s="12">
        <f t="shared" si="3"/>
        <v>2034</v>
      </c>
      <c r="R35" s="12">
        <f t="shared" si="3"/>
        <v>2035</v>
      </c>
      <c r="S35" s="12">
        <f t="shared" si="3"/>
        <v>2036</v>
      </c>
      <c r="T35" s="12">
        <f t="shared" si="3"/>
        <v>2037</v>
      </c>
      <c r="U35" s="12">
        <f t="shared" si="3"/>
        <v>2038</v>
      </c>
      <c r="V35" s="12">
        <f t="shared" si="3"/>
        <v>2039</v>
      </c>
      <c r="W35" s="12">
        <f t="shared" si="3"/>
        <v>2040</v>
      </c>
      <c r="X35" s="12">
        <f t="shared" si="3"/>
        <v>2041</v>
      </c>
      <c r="Y35" s="12">
        <f t="shared" si="3"/>
        <v>2042</v>
      </c>
      <c r="Z35" s="12">
        <f t="shared" si="3"/>
        <v>2043</v>
      </c>
      <c r="AA35" s="12">
        <f t="shared" si="3"/>
        <v>2044</v>
      </c>
      <c r="AB35" s="12">
        <f t="shared" si="3"/>
        <v>2045</v>
      </c>
      <c r="AC35" s="12">
        <f t="shared" si="3"/>
        <v>2046</v>
      </c>
    </row>
    <row r="36" spans="1:30" s="18" customFormat="1" x14ac:dyDescent="0.15">
      <c r="A36" s="22" t="s">
        <v>10</v>
      </c>
      <c r="B36" s="32" t="e">
        <f>OP!N34</f>
        <v>#DIV/0!</v>
      </c>
      <c r="C36" s="32" t="e">
        <f>OP!N35</f>
        <v>#DIV/0!</v>
      </c>
      <c r="D36" s="144">
        <v>0.35</v>
      </c>
      <c r="E36" s="144">
        <v>3.4000000000000002E-2</v>
      </c>
      <c r="F36" s="144">
        <v>9.5000000000000001E-2</v>
      </c>
      <c r="G36" s="144">
        <v>9.5000000000000001E-2</v>
      </c>
      <c r="H36" s="144">
        <v>9.5000000000000001E-2</v>
      </c>
      <c r="I36" s="144">
        <v>9.5000000000000001E-2</v>
      </c>
      <c r="J36" s="144">
        <v>9.5000000000000001E-2</v>
      </c>
      <c r="K36" s="32">
        <v>0.08</v>
      </c>
      <c r="L36" s="32">
        <v>0.06</v>
      </c>
      <c r="M36" s="32">
        <v>0.05</v>
      </c>
      <c r="N36" s="32">
        <v>0.04</v>
      </c>
      <c r="O36" s="32">
        <v>3.5000000000000003E-2</v>
      </c>
      <c r="P36" s="32">
        <v>3.5000000000000003E-2</v>
      </c>
      <c r="Q36" s="32">
        <v>3.5000000000000003E-2</v>
      </c>
      <c r="R36" s="32">
        <v>3.5000000000000003E-2</v>
      </c>
      <c r="S36" s="32">
        <v>3.5000000000000003E-2</v>
      </c>
      <c r="T36" s="32">
        <v>3.5000000000000003E-2</v>
      </c>
      <c r="U36" s="32">
        <v>3.5000000000000003E-2</v>
      </c>
      <c r="V36" s="32">
        <v>3.5000000000000003E-2</v>
      </c>
      <c r="W36" s="32">
        <v>3.5000000000000003E-2</v>
      </c>
      <c r="X36" s="32">
        <v>3.5000000000000003E-2</v>
      </c>
      <c r="Y36" s="32">
        <v>3.5000000000000003E-2</v>
      </c>
      <c r="Z36" s="32">
        <v>3.5000000000000003E-2</v>
      </c>
      <c r="AA36" s="32">
        <v>3.5000000000000003E-2</v>
      </c>
      <c r="AB36" s="32">
        <v>3.5000000000000003E-2</v>
      </c>
      <c r="AC36" s="32">
        <v>3.5000000000000003E-2</v>
      </c>
    </row>
    <row r="37" spans="1:30" s="7" customFormat="1" x14ac:dyDescent="0.15">
      <c r="A37" s="13" t="s">
        <v>9</v>
      </c>
      <c r="B37" s="48">
        <f>OP!C34</f>
        <v>0</v>
      </c>
      <c r="C37" s="48">
        <f>OP!C35</f>
        <v>0</v>
      </c>
      <c r="D37" s="1">
        <f>OP!C34*(1+D36)</f>
        <v>0</v>
      </c>
      <c r="E37" s="1">
        <f t="shared" ref="E37:AC37" si="4">D37*(1+E36)</f>
        <v>0</v>
      </c>
      <c r="F37" s="1">
        <f t="shared" si="4"/>
        <v>0</v>
      </c>
      <c r="G37" s="1">
        <f t="shared" si="4"/>
        <v>0</v>
      </c>
      <c r="H37" s="1">
        <f t="shared" si="4"/>
        <v>0</v>
      </c>
      <c r="I37" s="1">
        <f t="shared" si="4"/>
        <v>0</v>
      </c>
      <c r="J37" s="1">
        <f t="shared" si="4"/>
        <v>0</v>
      </c>
      <c r="K37" s="1">
        <f t="shared" si="4"/>
        <v>0</v>
      </c>
      <c r="L37" s="1">
        <f t="shared" si="4"/>
        <v>0</v>
      </c>
      <c r="M37" s="1">
        <f t="shared" si="4"/>
        <v>0</v>
      </c>
      <c r="N37" s="1">
        <f t="shared" si="4"/>
        <v>0</v>
      </c>
      <c r="O37" s="1">
        <f t="shared" si="4"/>
        <v>0</v>
      </c>
      <c r="P37" s="1">
        <f t="shared" si="4"/>
        <v>0</v>
      </c>
      <c r="Q37" s="1">
        <f t="shared" si="4"/>
        <v>0</v>
      </c>
      <c r="R37" s="1">
        <f t="shared" si="4"/>
        <v>0</v>
      </c>
      <c r="S37" s="1">
        <f t="shared" si="4"/>
        <v>0</v>
      </c>
      <c r="T37" s="1">
        <f t="shared" si="4"/>
        <v>0</v>
      </c>
      <c r="U37" s="1">
        <f t="shared" si="4"/>
        <v>0</v>
      </c>
      <c r="V37" s="1">
        <f t="shared" si="4"/>
        <v>0</v>
      </c>
      <c r="W37" s="1">
        <f t="shared" si="4"/>
        <v>0</v>
      </c>
      <c r="X37" s="1">
        <f t="shared" si="4"/>
        <v>0</v>
      </c>
      <c r="Y37" s="1">
        <f t="shared" si="4"/>
        <v>0</v>
      </c>
      <c r="Z37" s="1">
        <f t="shared" si="4"/>
        <v>0</v>
      </c>
      <c r="AA37" s="1">
        <f t="shared" si="4"/>
        <v>0</v>
      </c>
      <c r="AB37" s="1">
        <f t="shared" si="4"/>
        <v>0</v>
      </c>
      <c r="AC37" s="1">
        <f t="shared" si="4"/>
        <v>0</v>
      </c>
    </row>
    <row r="38" spans="1:30" s="18" customFormat="1" x14ac:dyDescent="0.15">
      <c r="A38" s="22" t="s">
        <v>1</v>
      </c>
      <c r="B38" s="63">
        <f>+OP!D34</f>
        <v>0</v>
      </c>
      <c r="C38" s="63">
        <f>+OP!D35</f>
        <v>0</v>
      </c>
      <c r="D38" s="144">
        <f>108166.4/365513.2</f>
        <v>0.29593021537936248</v>
      </c>
      <c r="E38" s="144">
        <f>108162.8/377959.8</f>
        <v>0.28617540807249875</v>
      </c>
      <c r="F38" s="144">
        <v>0.27</v>
      </c>
      <c r="G38" s="144">
        <v>0.27500000000000002</v>
      </c>
      <c r="H38" s="144">
        <v>0.26</v>
      </c>
      <c r="I38" s="144">
        <v>0.255</v>
      </c>
      <c r="J38" s="144">
        <v>0.25</v>
      </c>
      <c r="K38" s="32">
        <v>0.25</v>
      </c>
      <c r="L38" s="32">
        <v>0.25</v>
      </c>
      <c r="M38" s="32">
        <v>0.25</v>
      </c>
      <c r="N38" s="32">
        <v>0.25</v>
      </c>
      <c r="O38" s="32">
        <v>0.25</v>
      </c>
      <c r="P38" s="32">
        <v>0.25</v>
      </c>
      <c r="Q38" s="32">
        <v>0.25</v>
      </c>
      <c r="R38" s="32">
        <v>0.25</v>
      </c>
      <c r="S38" s="32">
        <v>0.25</v>
      </c>
      <c r="T38" s="32">
        <v>0.25</v>
      </c>
      <c r="U38" s="32">
        <v>0.25</v>
      </c>
      <c r="V38" s="32">
        <v>0.25</v>
      </c>
      <c r="W38" s="32">
        <v>0.25</v>
      </c>
      <c r="X38" s="32">
        <v>0.25</v>
      </c>
      <c r="Y38" s="32">
        <v>0.25</v>
      </c>
      <c r="Z38" s="32">
        <v>0.25</v>
      </c>
      <c r="AA38" s="32">
        <v>0.25</v>
      </c>
      <c r="AB38" s="32">
        <v>0.25</v>
      </c>
      <c r="AC38" s="32">
        <v>0.25</v>
      </c>
    </row>
    <row r="39" spans="1:30" x14ac:dyDescent="0.15">
      <c r="A39" s="11" t="s">
        <v>3</v>
      </c>
      <c r="B39" s="48">
        <v>63930</v>
      </c>
      <c r="C39" s="48">
        <v>66288</v>
      </c>
      <c r="D39" s="1">
        <f t="shared" ref="D39:AC39" si="5">D37*D38</f>
        <v>0</v>
      </c>
      <c r="E39" s="1">
        <f t="shared" si="5"/>
        <v>0</v>
      </c>
      <c r="F39" s="1">
        <f t="shared" si="5"/>
        <v>0</v>
      </c>
      <c r="G39" s="1">
        <f t="shared" si="5"/>
        <v>0</v>
      </c>
      <c r="H39" s="1">
        <f t="shared" si="5"/>
        <v>0</v>
      </c>
      <c r="I39" s="1">
        <f t="shared" si="5"/>
        <v>0</v>
      </c>
      <c r="J39" s="1">
        <f t="shared" si="5"/>
        <v>0</v>
      </c>
      <c r="K39" s="1">
        <f t="shared" si="5"/>
        <v>0</v>
      </c>
      <c r="L39" s="1">
        <f t="shared" si="5"/>
        <v>0</v>
      </c>
      <c r="M39" s="1">
        <f t="shared" si="5"/>
        <v>0</v>
      </c>
      <c r="N39" s="1">
        <f t="shared" si="5"/>
        <v>0</v>
      </c>
      <c r="O39" s="1">
        <f t="shared" si="5"/>
        <v>0</v>
      </c>
      <c r="P39" s="1">
        <f t="shared" si="5"/>
        <v>0</v>
      </c>
      <c r="Q39" s="1">
        <f t="shared" si="5"/>
        <v>0</v>
      </c>
      <c r="R39" s="1">
        <f t="shared" si="5"/>
        <v>0</v>
      </c>
      <c r="S39" s="1">
        <f t="shared" si="5"/>
        <v>0</v>
      </c>
      <c r="T39" s="1">
        <f t="shared" si="5"/>
        <v>0</v>
      </c>
      <c r="U39" s="1">
        <f t="shared" si="5"/>
        <v>0</v>
      </c>
      <c r="V39" s="1">
        <f t="shared" si="5"/>
        <v>0</v>
      </c>
      <c r="W39" s="1">
        <f t="shared" si="5"/>
        <v>0</v>
      </c>
      <c r="X39" s="1">
        <f t="shared" si="5"/>
        <v>0</v>
      </c>
      <c r="Y39" s="1">
        <f t="shared" si="5"/>
        <v>0</v>
      </c>
      <c r="Z39" s="1">
        <f t="shared" si="5"/>
        <v>0</v>
      </c>
      <c r="AA39" s="1">
        <f t="shared" si="5"/>
        <v>0</v>
      </c>
      <c r="AB39" s="1">
        <f t="shared" si="5"/>
        <v>0</v>
      </c>
      <c r="AC39" s="1">
        <f t="shared" si="5"/>
        <v>0</v>
      </c>
    </row>
    <row r="40" spans="1:30" x14ac:dyDescent="0.15">
      <c r="A40" s="11" t="s">
        <v>20</v>
      </c>
      <c r="B40" s="48">
        <f>OP!H34</f>
        <v>0</v>
      </c>
      <c r="C40" s="48">
        <f>OP!H35</f>
        <v>0</v>
      </c>
      <c r="D40" s="1">
        <v>11000</v>
      </c>
      <c r="E40" s="1">
        <f>D40*(1+E36*$H$59)</f>
        <v>11374</v>
      </c>
      <c r="F40" s="1">
        <f>E40*(1+F36*$H$59)</f>
        <v>12454.529999999999</v>
      </c>
      <c r="G40" s="1">
        <f>F40*(1+G36*$H$59)</f>
        <v>13637.710349999998</v>
      </c>
      <c r="H40" s="1">
        <f>G40*(1+H36*$H$59)</f>
        <v>14933.292833249998</v>
      </c>
      <c r="I40" s="1">
        <f t="shared" ref="I40:AC40" si="6">H40*(1+I36*$I$59)</f>
        <v>16351.955652408747</v>
      </c>
      <c r="J40" s="1">
        <f t="shared" si="6"/>
        <v>17905.391439387578</v>
      </c>
      <c r="K40" s="1">
        <f t="shared" si="6"/>
        <v>19337.822754538585</v>
      </c>
      <c r="L40" s="1">
        <f t="shared" si="6"/>
        <v>20498.092119810903</v>
      </c>
      <c r="M40" s="1">
        <f t="shared" si="6"/>
        <v>21522.996725801448</v>
      </c>
      <c r="N40" s="1">
        <f t="shared" si="6"/>
        <v>22383.916594833507</v>
      </c>
      <c r="O40" s="1">
        <f t="shared" si="6"/>
        <v>23167.353675652677</v>
      </c>
      <c r="P40" s="1">
        <f t="shared" si="6"/>
        <v>23978.211054300518</v>
      </c>
      <c r="Q40" s="1">
        <f t="shared" si="6"/>
        <v>24817.448441201035</v>
      </c>
      <c r="R40" s="1">
        <f t="shared" si="6"/>
        <v>25686.059136643071</v>
      </c>
      <c r="S40" s="1">
        <f t="shared" si="6"/>
        <v>26585.071206425575</v>
      </c>
      <c r="T40" s="1">
        <f t="shared" si="6"/>
        <v>27515.548698650469</v>
      </c>
      <c r="U40" s="1">
        <f t="shared" si="6"/>
        <v>28478.592903103232</v>
      </c>
      <c r="V40" s="1">
        <f t="shared" si="6"/>
        <v>29475.343654711844</v>
      </c>
      <c r="W40" s="1">
        <f t="shared" si="6"/>
        <v>30506.980682626756</v>
      </c>
      <c r="X40" s="1">
        <f t="shared" si="6"/>
        <v>31574.725006518689</v>
      </c>
      <c r="Y40" s="1">
        <f t="shared" si="6"/>
        <v>32679.840381746839</v>
      </c>
      <c r="Z40" s="1">
        <f t="shared" si="6"/>
        <v>33823.634795107973</v>
      </c>
      <c r="AA40" s="1">
        <f t="shared" si="6"/>
        <v>35007.462012936747</v>
      </c>
      <c r="AB40" s="1">
        <f t="shared" si="6"/>
        <v>36232.723183389528</v>
      </c>
      <c r="AC40" s="1">
        <f t="shared" si="6"/>
        <v>37500.868494808157</v>
      </c>
      <c r="AD40" s="1"/>
    </row>
    <row r="41" spans="1:30" s="7" customFormat="1" x14ac:dyDescent="0.15">
      <c r="A41" s="13" t="s">
        <v>21</v>
      </c>
      <c r="B41" s="48">
        <f>+B39+B40</f>
        <v>63930</v>
      </c>
      <c r="C41" s="48">
        <f>+C39+C40</f>
        <v>66288</v>
      </c>
      <c r="D41" s="1">
        <f>D39+D40</f>
        <v>11000</v>
      </c>
      <c r="E41" s="1">
        <f t="shared" ref="E41:AC41" si="7">E39+E40</f>
        <v>11374</v>
      </c>
      <c r="F41" s="1">
        <f t="shared" si="7"/>
        <v>12454.529999999999</v>
      </c>
      <c r="G41" s="1">
        <f t="shared" si="7"/>
        <v>13637.710349999998</v>
      </c>
      <c r="H41" s="1">
        <f t="shared" si="7"/>
        <v>14933.292833249998</v>
      </c>
      <c r="I41" s="1">
        <f t="shared" si="7"/>
        <v>16351.955652408747</v>
      </c>
      <c r="J41" s="1">
        <f t="shared" si="7"/>
        <v>17905.391439387578</v>
      </c>
      <c r="K41" s="1">
        <f t="shared" si="7"/>
        <v>19337.822754538585</v>
      </c>
      <c r="L41" s="1">
        <f t="shared" si="7"/>
        <v>20498.092119810903</v>
      </c>
      <c r="M41" s="1">
        <f t="shared" si="7"/>
        <v>21522.996725801448</v>
      </c>
      <c r="N41" s="1">
        <f t="shared" si="7"/>
        <v>22383.916594833507</v>
      </c>
      <c r="O41" s="1">
        <f t="shared" si="7"/>
        <v>23167.353675652677</v>
      </c>
      <c r="P41" s="1">
        <f t="shared" si="7"/>
        <v>23978.211054300518</v>
      </c>
      <c r="Q41" s="1">
        <f t="shared" si="7"/>
        <v>24817.448441201035</v>
      </c>
      <c r="R41" s="1">
        <f t="shared" si="7"/>
        <v>25686.059136643071</v>
      </c>
      <c r="S41" s="1">
        <f t="shared" si="7"/>
        <v>26585.071206425575</v>
      </c>
      <c r="T41" s="1">
        <f t="shared" si="7"/>
        <v>27515.548698650469</v>
      </c>
      <c r="U41" s="1">
        <f t="shared" si="7"/>
        <v>28478.592903103232</v>
      </c>
      <c r="V41" s="1">
        <f t="shared" si="7"/>
        <v>29475.343654711844</v>
      </c>
      <c r="W41" s="1">
        <f t="shared" si="7"/>
        <v>30506.980682626756</v>
      </c>
      <c r="X41" s="1">
        <f t="shared" si="7"/>
        <v>31574.725006518689</v>
      </c>
      <c r="Y41" s="1">
        <f t="shared" si="7"/>
        <v>32679.840381746839</v>
      </c>
      <c r="Z41" s="1">
        <f t="shared" si="7"/>
        <v>33823.634795107973</v>
      </c>
      <c r="AA41" s="1">
        <f t="shared" si="7"/>
        <v>35007.462012936747</v>
      </c>
      <c r="AB41" s="1">
        <f t="shared" si="7"/>
        <v>36232.723183389528</v>
      </c>
      <c r="AC41" s="1">
        <f t="shared" si="7"/>
        <v>37500.868494808157</v>
      </c>
    </row>
    <row r="42" spans="1:30" s="18" customFormat="1" x14ac:dyDescent="0.15">
      <c r="A42" s="23" t="s">
        <v>127</v>
      </c>
      <c r="B42" s="24">
        <v>-1385</v>
      </c>
      <c r="C42" s="24">
        <v>-890</v>
      </c>
      <c r="D42" s="24">
        <f t="shared" ref="D42:AC42" si="8">(C48)*$H$60</f>
        <v>-1124.3600000000001</v>
      </c>
      <c r="E42" s="24">
        <f t="shared" si="8"/>
        <v>-1113.1164000000001</v>
      </c>
      <c r="F42" s="24">
        <f t="shared" si="8"/>
        <v>-1113.1164000000001</v>
      </c>
      <c r="G42" s="24">
        <f t="shared" si="8"/>
        <v>-1113.1164000000001</v>
      </c>
      <c r="H42" s="24">
        <f t="shared" si="8"/>
        <v>-1113.1164000000001</v>
      </c>
      <c r="I42" s="24">
        <f t="shared" si="8"/>
        <v>-1113.1164000000001</v>
      </c>
      <c r="J42" s="24">
        <f t="shared" si="8"/>
        <v>-1113.1164000000001</v>
      </c>
      <c r="K42" s="24">
        <f t="shared" si="8"/>
        <v>-1113.1164000000001</v>
      </c>
      <c r="L42" s="24">
        <f t="shared" si="8"/>
        <v>-1113.1164000000001</v>
      </c>
      <c r="M42" s="24">
        <f t="shared" si="8"/>
        <v>-1113.1164000000001</v>
      </c>
      <c r="N42" s="24">
        <f t="shared" si="8"/>
        <v>-1113.1164000000001</v>
      </c>
      <c r="O42" s="24">
        <f t="shared" si="8"/>
        <v>-1113.1164000000001</v>
      </c>
      <c r="P42" s="24">
        <f t="shared" si="8"/>
        <v>-1113.1164000000001</v>
      </c>
      <c r="Q42" s="24">
        <f t="shared" si="8"/>
        <v>-1113.1164000000001</v>
      </c>
      <c r="R42" s="24">
        <f t="shared" si="8"/>
        <v>-1113.1164000000001</v>
      </c>
      <c r="S42" s="24">
        <f t="shared" si="8"/>
        <v>-1113.1164000000001</v>
      </c>
      <c r="T42" s="24">
        <f t="shared" si="8"/>
        <v>-1113.1164000000001</v>
      </c>
      <c r="U42" s="24">
        <f t="shared" si="8"/>
        <v>-1113.1164000000001</v>
      </c>
      <c r="V42" s="24">
        <f t="shared" si="8"/>
        <v>-1113.1164000000001</v>
      </c>
      <c r="W42" s="24">
        <f t="shared" si="8"/>
        <v>-1113.1164000000001</v>
      </c>
      <c r="X42" s="24">
        <f t="shared" si="8"/>
        <v>-1113.1164000000001</v>
      </c>
      <c r="Y42" s="24">
        <f t="shared" si="8"/>
        <v>-1113.1164000000001</v>
      </c>
      <c r="Z42" s="24">
        <f t="shared" si="8"/>
        <v>-1113.1164000000001</v>
      </c>
      <c r="AA42" s="24">
        <f t="shared" si="8"/>
        <v>-1113.1164000000001</v>
      </c>
      <c r="AB42" s="24">
        <f t="shared" si="8"/>
        <v>-1113.1164000000001</v>
      </c>
      <c r="AC42" s="24">
        <f t="shared" si="8"/>
        <v>-1113.1164000000001</v>
      </c>
    </row>
    <row r="43" spans="1:30" x14ac:dyDescent="0.15">
      <c r="A43" s="13" t="s">
        <v>22</v>
      </c>
      <c r="B43" s="48">
        <f>-422-2817</f>
        <v>-3239</v>
      </c>
      <c r="C43" s="48">
        <f>87-3634</f>
        <v>-3547</v>
      </c>
      <c r="D43" s="1">
        <f>-C43*(1+D36)</f>
        <v>4788.4500000000007</v>
      </c>
      <c r="E43" s="1">
        <f>D43*(1+E36*0.5)</f>
        <v>4869.85365</v>
      </c>
      <c r="F43" s="1">
        <f t="shared" ref="F43:AC43" si="9">E43*(1+F36*0.5)</f>
        <v>5101.1716983750002</v>
      </c>
      <c r="G43" s="1">
        <f t="shared" si="9"/>
        <v>5343.4773540478136</v>
      </c>
      <c r="H43" s="1">
        <f t="shared" si="9"/>
        <v>5597.2925283650857</v>
      </c>
      <c r="I43" s="1">
        <f t="shared" si="9"/>
        <v>5863.1639234624281</v>
      </c>
      <c r="J43" s="1">
        <f t="shared" si="9"/>
        <v>6141.664209826894</v>
      </c>
      <c r="K43" s="1">
        <f t="shared" si="9"/>
        <v>6387.3307782199699</v>
      </c>
      <c r="L43" s="1">
        <f t="shared" si="9"/>
        <v>6578.9507015665695</v>
      </c>
      <c r="M43" s="1">
        <f t="shared" si="9"/>
        <v>6743.4244691057329</v>
      </c>
      <c r="N43" s="1">
        <f t="shared" si="9"/>
        <v>6878.2929584878475</v>
      </c>
      <c r="O43" s="1">
        <f t="shared" si="9"/>
        <v>6998.6630852613853</v>
      </c>
      <c r="P43" s="1">
        <f t="shared" si="9"/>
        <v>7121.1396892534603</v>
      </c>
      <c r="Q43" s="1">
        <f t="shared" si="9"/>
        <v>7245.7596338153962</v>
      </c>
      <c r="R43" s="1">
        <f t="shared" si="9"/>
        <v>7372.5604274071666</v>
      </c>
      <c r="S43" s="1">
        <f t="shared" si="9"/>
        <v>7501.5802348867928</v>
      </c>
      <c r="T43" s="1">
        <f t="shared" si="9"/>
        <v>7632.8578889973123</v>
      </c>
      <c r="U43" s="1">
        <f t="shared" si="9"/>
        <v>7766.4329020547657</v>
      </c>
      <c r="V43" s="1">
        <f t="shared" si="9"/>
        <v>7902.3454778407249</v>
      </c>
      <c r="W43" s="1">
        <f t="shared" si="9"/>
        <v>8040.6365237029386</v>
      </c>
      <c r="X43" s="1">
        <f t="shared" si="9"/>
        <v>8181.3476628677408</v>
      </c>
      <c r="Y43" s="1">
        <f t="shared" si="9"/>
        <v>8324.5212469679263</v>
      </c>
      <c r="Z43" s="1">
        <f t="shared" si="9"/>
        <v>8470.200368789865</v>
      </c>
      <c r="AA43" s="1">
        <f t="shared" si="9"/>
        <v>8618.4288752436878</v>
      </c>
      <c r="AB43" s="1">
        <f t="shared" si="9"/>
        <v>8769.2513805604522</v>
      </c>
      <c r="AC43" s="1">
        <f t="shared" si="9"/>
        <v>8922.7132797202612</v>
      </c>
    </row>
    <row r="44" spans="1:30" x14ac:dyDescent="0.15">
      <c r="A44" s="13" t="s">
        <v>17</v>
      </c>
      <c r="B44" s="48">
        <f>B39-B42-B43</f>
        <v>68554</v>
      </c>
      <c r="C44" s="48">
        <f>C39-C42-C43</f>
        <v>70725</v>
      </c>
      <c r="D44" s="1">
        <f>D39-D42-D43</f>
        <v>-3664.0900000000006</v>
      </c>
      <c r="E44" s="1">
        <f t="shared" ref="E44:AC44" si="10">E39-E42-E43</f>
        <v>-3756.7372500000001</v>
      </c>
      <c r="F44" s="1">
        <f t="shared" si="10"/>
        <v>-3988.0552983750003</v>
      </c>
      <c r="G44" s="1">
        <f t="shared" si="10"/>
        <v>-4230.3609540478137</v>
      </c>
      <c r="H44" s="1">
        <f t="shared" si="10"/>
        <v>-4484.1761283650858</v>
      </c>
      <c r="I44" s="1">
        <f t="shared" si="10"/>
        <v>-4750.0475234624282</v>
      </c>
      <c r="J44" s="1">
        <f t="shared" si="10"/>
        <v>-5028.5478098268941</v>
      </c>
      <c r="K44" s="1">
        <f t="shared" si="10"/>
        <v>-5274.2143782199701</v>
      </c>
      <c r="L44" s="1">
        <f t="shared" si="10"/>
        <v>-5465.8343015665696</v>
      </c>
      <c r="M44" s="1">
        <f t="shared" si="10"/>
        <v>-5630.308069105733</v>
      </c>
      <c r="N44" s="1">
        <f t="shared" si="10"/>
        <v>-5765.1765584878476</v>
      </c>
      <c r="O44" s="1">
        <f t="shared" si="10"/>
        <v>-5885.5466852613854</v>
      </c>
      <c r="P44" s="1">
        <f t="shared" si="10"/>
        <v>-6008.0232892534605</v>
      </c>
      <c r="Q44" s="1">
        <f t="shared" si="10"/>
        <v>-6132.6432338153963</v>
      </c>
      <c r="R44" s="1">
        <f t="shared" si="10"/>
        <v>-6259.4440274071667</v>
      </c>
      <c r="S44" s="1">
        <f t="shared" si="10"/>
        <v>-6388.4638348867929</v>
      </c>
      <c r="T44" s="1">
        <f t="shared" si="10"/>
        <v>-6519.7414889973124</v>
      </c>
      <c r="U44" s="1">
        <f t="shared" si="10"/>
        <v>-6653.3165020547658</v>
      </c>
      <c r="V44" s="1">
        <f t="shared" si="10"/>
        <v>-6789.229077840725</v>
      </c>
      <c r="W44" s="1">
        <f t="shared" si="10"/>
        <v>-6927.5201237029387</v>
      </c>
      <c r="X44" s="1">
        <f t="shared" si="10"/>
        <v>-7068.231262867741</v>
      </c>
      <c r="Y44" s="1">
        <f t="shared" si="10"/>
        <v>-7211.4048469679265</v>
      </c>
      <c r="Z44" s="1">
        <f t="shared" si="10"/>
        <v>-7357.0839687898651</v>
      </c>
      <c r="AA44" s="1">
        <f t="shared" si="10"/>
        <v>-7505.3124752436879</v>
      </c>
      <c r="AB44" s="1">
        <f t="shared" si="10"/>
        <v>-7656.1349805604523</v>
      </c>
      <c r="AC44" s="1">
        <f t="shared" si="10"/>
        <v>-7809.5968797202613</v>
      </c>
    </row>
    <row r="45" spans="1:30" x14ac:dyDescent="0.15">
      <c r="A45" s="13" t="s">
        <v>11</v>
      </c>
      <c r="B45" s="48">
        <v>10481</v>
      </c>
      <c r="C45" s="48">
        <v>9680</v>
      </c>
      <c r="D45" s="1">
        <f>$H$61*D44</f>
        <v>-769.45890000000009</v>
      </c>
      <c r="E45" s="1">
        <f>$H$61*E44</f>
        <v>-788.91482250000001</v>
      </c>
      <c r="F45" s="1">
        <f>$H$61*F44</f>
        <v>-837.49161265875</v>
      </c>
      <c r="G45" s="1">
        <f t="shared" ref="G45:AC45" si="11">$I$61*G44</f>
        <v>-972.98301943099716</v>
      </c>
      <c r="H45" s="1">
        <f t="shared" si="11"/>
        <v>-1031.3605095239698</v>
      </c>
      <c r="I45" s="1">
        <f t="shared" si="11"/>
        <v>-1092.5109303963586</v>
      </c>
      <c r="J45" s="1">
        <f t="shared" si="11"/>
        <v>-1156.5659962601858</v>
      </c>
      <c r="K45" s="1">
        <f t="shared" si="11"/>
        <v>-1213.0693069905931</v>
      </c>
      <c r="L45" s="1">
        <f t="shared" si="11"/>
        <v>-1257.1418893603111</v>
      </c>
      <c r="M45" s="1">
        <f t="shared" si="11"/>
        <v>-1294.9708558943187</v>
      </c>
      <c r="N45" s="1">
        <f t="shared" si="11"/>
        <v>-1325.9906084522049</v>
      </c>
      <c r="O45" s="1">
        <f t="shared" si="11"/>
        <v>-1353.6757376101186</v>
      </c>
      <c r="P45" s="1">
        <f t="shared" si="11"/>
        <v>-1381.845356528296</v>
      </c>
      <c r="Q45" s="1">
        <f t="shared" si="11"/>
        <v>-1410.5079437775412</v>
      </c>
      <c r="R45" s="1">
        <f t="shared" si="11"/>
        <v>-1439.6721263036484</v>
      </c>
      <c r="S45" s="1">
        <f t="shared" si="11"/>
        <v>-1469.3466820239623</v>
      </c>
      <c r="T45" s="1">
        <f t="shared" si="11"/>
        <v>-1499.540542469382</v>
      </c>
      <c r="U45" s="1">
        <f t="shared" si="11"/>
        <v>-1530.2627954725963</v>
      </c>
      <c r="V45" s="1">
        <f t="shared" si="11"/>
        <v>-1561.5226879033669</v>
      </c>
      <c r="W45" s="1">
        <f t="shared" si="11"/>
        <v>-1593.3296284516759</v>
      </c>
      <c r="X45" s="1">
        <f t="shared" si="11"/>
        <v>-1625.6931904595806</v>
      </c>
      <c r="Y45" s="1">
        <f t="shared" si="11"/>
        <v>-1658.6231148026231</v>
      </c>
      <c r="Z45" s="1">
        <f t="shared" si="11"/>
        <v>-1692.1293128216691</v>
      </c>
      <c r="AA45" s="1">
        <f t="shared" si="11"/>
        <v>-1726.2218693060483</v>
      </c>
      <c r="AB45" s="1">
        <f t="shared" si="11"/>
        <v>-1760.9110455289042</v>
      </c>
      <c r="AC45" s="1">
        <f t="shared" si="11"/>
        <v>-1796.2072823356602</v>
      </c>
    </row>
    <row r="46" spans="1:30" x14ac:dyDescent="0.15">
      <c r="A46" s="13" t="s">
        <v>40</v>
      </c>
      <c r="B46" s="48">
        <f t="shared" ref="B46:AC46" si="12">B44-B45</f>
        <v>58073</v>
      </c>
      <c r="C46" s="48">
        <f t="shared" si="12"/>
        <v>61045</v>
      </c>
      <c r="D46" s="20">
        <f>D44-D45</f>
        <v>-2894.6311000000005</v>
      </c>
      <c r="E46" s="20">
        <f t="shared" si="12"/>
        <v>-2967.8224275000002</v>
      </c>
      <c r="F46" s="20">
        <f t="shared" si="12"/>
        <v>-3150.5636857162503</v>
      </c>
      <c r="G46" s="20">
        <f t="shared" si="12"/>
        <v>-3257.3779346168167</v>
      </c>
      <c r="H46" s="20">
        <f t="shared" si="12"/>
        <v>-3452.8156188411158</v>
      </c>
      <c r="I46" s="20">
        <f t="shared" si="12"/>
        <v>-3657.5365930660696</v>
      </c>
      <c r="J46" s="20">
        <f t="shared" si="12"/>
        <v>-3871.9818135667083</v>
      </c>
      <c r="K46" s="20">
        <f t="shared" si="12"/>
        <v>-4061.1450712293772</v>
      </c>
      <c r="L46" s="20">
        <f t="shared" si="12"/>
        <v>-4208.6924122062583</v>
      </c>
      <c r="M46" s="20">
        <f t="shared" si="12"/>
        <v>-4335.3372132114146</v>
      </c>
      <c r="N46" s="20">
        <f t="shared" si="12"/>
        <v>-4439.1859500356422</v>
      </c>
      <c r="O46" s="20">
        <f t="shared" si="12"/>
        <v>-4531.8709476512668</v>
      </c>
      <c r="P46" s="20">
        <f t="shared" si="12"/>
        <v>-4626.1779327251643</v>
      </c>
      <c r="Q46" s="20">
        <f t="shared" si="12"/>
        <v>-4722.1352900378552</v>
      </c>
      <c r="R46" s="20">
        <f t="shared" si="12"/>
        <v>-4819.7719011035188</v>
      </c>
      <c r="S46" s="20">
        <f t="shared" si="12"/>
        <v>-4919.1171528628311</v>
      </c>
      <c r="T46" s="20">
        <f t="shared" si="12"/>
        <v>-5020.2009465279307</v>
      </c>
      <c r="U46" s="20">
        <f t="shared" si="12"/>
        <v>-5123.05370658217</v>
      </c>
      <c r="V46" s="20">
        <f t="shared" si="12"/>
        <v>-5227.7063899373579</v>
      </c>
      <c r="W46" s="20">
        <f t="shared" si="12"/>
        <v>-5334.1904952512632</v>
      </c>
      <c r="X46" s="20">
        <f t="shared" si="12"/>
        <v>-5442.5380724081606</v>
      </c>
      <c r="Y46" s="20">
        <f t="shared" si="12"/>
        <v>-5552.7817321653038</v>
      </c>
      <c r="Z46" s="20">
        <f t="shared" si="12"/>
        <v>-5664.9546559681958</v>
      </c>
      <c r="AA46" s="20">
        <f t="shared" si="12"/>
        <v>-5779.0906059376393</v>
      </c>
      <c r="AB46" s="20">
        <f t="shared" si="12"/>
        <v>-5895.2239350315485</v>
      </c>
      <c r="AC46" s="20">
        <f t="shared" si="12"/>
        <v>-6013.3895973846011</v>
      </c>
    </row>
    <row r="47" spans="1:30" x14ac:dyDescent="0.15">
      <c r="A47" s="104" t="s">
        <v>131</v>
      </c>
      <c r="B47" s="48">
        <f>OP!I34</f>
        <v>0</v>
      </c>
      <c r="C47" s="48">
        <f>OP!I35</f>
        <v>0</v>
      </c>
      <c r="D47" s="1">
        <v>10000</v>
      </c>
      <c r="E47" s="1">
        <f t="shared" ref="E47:AC47" si="13">D47*(1+E36*$H$62)</f>
        <v>10408</v>
      </c>
      <c r="F47" s="1">
        <f t="shared" si="13"/>
        <v>11594.511999999999</v>
      </c>
      <c r="G47" s="1">
        <f t="shared" si="13"/>
        <v>12916.286367999997</v>
      </c>
      <c r="H47" s="1">
        <f t="shared" si="13"/>
        <v>14388.743013951995</v>
      </c>
      <c r="I47" s="1">
        <f t="shared" si="13"/>
        <v>16029.059717542521</v>
      </c>
      <c r="J47" s="1">
        <f t="shared" si="13"/>
        <v>17856.372525342365</v>
      </c>
      <c r="K47" s="1">
        <f t="shared" si="13"/>
        <v>19570.584287775233</v>
      </c>
      <c r="L47" s="1">
        <f t="shared" si="13"/>
        <v>20979.66635649505</v>
      </c>
      <c r="M47" s="1">
        <f t="shared" si="13"/>
        <v>22238.446337884754</v>
      </c>
      <c r="N47" s="1">
        <f t="shared" si="13"/>
        <v>23305.891762103223</v>
      </c>
      <c r="O47" s="1">
        <f t="shared" si="13"/>
        <v>24284.73921611156</v>
      </c>
      <c r="P47" s="1">
        <f t="shared" si="13"/>
        <v>25304.698263188246</v>
      </c>
      <c r="Q47" s="1">
        <f t="shared" si="13"/>
        <v>26367.495590242153</v>
      </c>
      <c r="R47" s="1">
        <f t="shared" si="13"/>
        <v>27474.930405032326</v>
      </c>
      <c r="S47" s="1">
        <f t="shared" si="13"/>
        <v>28628.877482043685</v>
      </c>
      <c r="T47" s="1">
        <f t="shared" si="13"/>
        <v>29831.290336289519</v>
      </c>
      <c r="U47" s="1">
        <f t="shared" si="13"/>
        <v>31084.204530413681</v>
      </c>
      <c r="V47" s="1">
        <f t="shared" si="13"/>
        <v>32389.741120691058</v>
      </c>
      <c r="W47" s="1">
        <f t="shared" si="13"/>
        <v>33750.110247760087</v>
      </c>
      <c r="X47" s="1">
        <f t="shared" si="13"/>
        <v>35167.614878166009</v>
      </c>
      <c r="Y47" s="1">
        <f t="shared" si="13"/>
        <v>36644.654703048982</v>
      </c>
      <c r="Z47" s="1">
        <f t="shared" si="13"/>
        <v>38183.73020057704</v>
      </c>
      <c r="AA47" s="1">
        <f t="shared" si="13"/>
        <v>39787.44686900128</v>
      </c>
      <c r="AB47" s="1">
        <f t="shared" si="13"/>
        <v>41458.519637499332</v>
      </c>
      <c r="AC47" s="1">
        <f t="shared" si="13"/>
        <v>43199.777462274309</v>
      </c>
    </row>
    <row r="48" spans="1:30" s="18" customFormat="1" x14ac:dyDescent="0.15">
      <c r="A48" s="23" t="s">
        <v>145</v>
      </c>
      <c r="B48" s="24">
        <v>108047</v>
      </c>
      <c r="C48" s="24">
        <v>112436</v>
      </c>
      <c r="D48" s="24">
        <f>C48*0.99</f>
        <v>111311.64</v>
      </c>
      <c r="E48" s="24">
        <f>D48</f>
        <v>111311.64</v>
      </c>
      <c r="F48" s="24">
        <f t="shared" ref="F48:AC48" si="14">E48</f>
        <v>111311.64</v>
      </c>
      <c r="G48" s="24">
        <f t="shared" si="14"/>
        <v>111311.64</v>
      </c>
      <c r="H48" s="24">
        <f t="shared" si="14"/>
        <v>111311.64</v>
      </c>
      <c r="I48" s="24">
        <f t="shared" si="14"/>
        <v>111311.64</v>
      </c>
      <c r="J48" s="24">
        <f t="shared" si="14"/>
        <v>111311.64</v>
      </c>
      <c r="K48" s="24">
        <f t="shared" si="14"/>
        <v>111311.64</v>
      </c>
      <c r="L48" s="24">
        <f t="shared" si="14"/>
        <v>111311.64</v>
      </c>
      <c r="M48" s="24">
        <f t="shared" si="14"/>
        <v>111311.64</v>
      </c>
      <c r="N48" s="24">
        <f t="shared" si="14"/>
        <v>111311.64</v>
      </c>
      <c r="O48" s="24">
        <f t="shared" si="14"/>
        <v>111311.64</v>
      </c>
      <c r="P48" s="24">
        <f t="shared" si="14"/>
        <v>111311.64</v>
      </c>
      <c r="Q48" s="24">
        <f t="shared" si="14"/>
        <v>111311.64</v>
      </c>
      <c r="R48" s="24">
        <f t="shared" si="14"/>
        <v>111311.64</v>
      </c>
      <c r="S48" s="24">
        <f t="shared" si="14"/>
        <v>111311.64</v>
      </c>
      <c r="T48" s="24">
        <f t="shared" si="14"/>
        <v>111311.64</v>
      </c>
      <c r="U48" s="24">
        <f t="shared" si="14"/>
        <v>111311.64</v>
      </c>
      <c r="V48" s="24">
        <f t="shared" si="14"/>
        <v>111311.64</v>
      </c>
      <c r="W48" s="24">
        <f t="shared" si="14"/>
        <v>111311.64</v>
      </c>
      <c r="X48" s="24">
        <f t="shared" si="14"/>
        <v>111311.64</v>
      </c>
      <c r="Y48" s="24">
        <f t="shared" si="14"/>
        <v>111311.64</v>
      </c>
      <c r="Z48" s="24">
        <f t="shared" si="14"/>
        <v>111311.64</v>
      </c>
      <c r="AA48" s="24">
        <f t="shared" si="14"/>
        <v>111311.64</v>
      </c>
      <c r="AB48" s="24">
        <f t="shared" si="14"/>
        <v>111311.64</v>
      </c>
      <c r="AC48" s="24">
        <f t="shared" si="14"/>
        <v>111311.64</v>
      </c>
    </row>
    <row r="49" spans="1:29" s="18" customFormat="1" x14ac:dyDescent="0.15">
      <c r="A49" s="13" t="s">
        <v>129</v>
      </c>
      <c r="B49" s="109">
        <f>B48/B41</f>
        <v>1.6900829031753479</v>
      </c>
      <c r="C49" s="109">
        <f t="shared" ref="C49:E49" si="15">C48/C41</f>
        <v>1.6961742698527638</v>
      </c>
      <c r="D49" s="110">
        <f t="shared" si="15"/>
        <v>10.11924</v>
      </c>
      <c r="E49" s="110">
        <f t="shared" si="15"/>
        <v>9.786499032882011</v>
      </c>
      <c r="F49" s="2"/>
      <c r="G49" s="2"/>
      <c r="H49" s="2"/>
      <c r="I49" s="2"/>
      <c r="J49" s="2"/>
      <c r="K49" s="2"/>
      <c r="L49" s="2"/>
      <c r="M49" s="2"/>
      <c r="N49" s="2"/>
      <c r="O49" s="2"/>
      <c r="P49" s="2"/>
      <c r="Q49" s="2"/>
      <c r="R49" s="2"/>
      <c r="S49" s="2"/>
      <c r="T49" s="2"/>
      <c r="U49" s="2"/>
      <c r="V49" s="2"/>
      <c r="W49" s="2"/>
      <c r="X49" s="2"/>
      <c r="Y49" s="2"/>
      <c r="Z49" s="2"/>
      <c r="AA49" s="2"/>
      <c r="AB49" s="2"/>
      <c r="AC49" s="2"/>
    </row>
    <row r="50" spans="1:29" x14ac:dyDescent="0.15">
      <c r="A50" s="13" t="s">
        <v>12</v>
      </c>
      <c r="B50" s="49">
        <f>OP!F34</f>
        <v>0</v>
      </c>
      <c r="C50" s="49">
        <f>OP!F35</f>
        <v>0</v>
      </c>
      <c r="D50" s="1">
        <f t="shared" ref="D50:AC50" si="16">D41-D42-D43-D45-D47+D48-C48</f>
        <v>-3018.9910999999993</v>
      </c>
      <c r="E50" s="1">
        <f t="shared" si="16"/>
        <v>-2001.8224274999957</v>
      </c>
      <c r="F50" s="1">
        <f t="shared" si="16"/>
        <v>-2290.5456857162499</v>
      </c>
      <c r="G50" s="1">
        <f t="shared" si="16"/>
        <v>-2535.9539526168228</v>
      </c>
      <c r="H50" s="1">
        <f t="shared" si="16"/>
        <v>-2908.2657995431073</v>
      </c>
      <c r="I50" s="1">
        <f t="shared" si="16"/>
        <v>-3334.6406581998453</v>
      </c>
      <c r="J50" s="1">
        <f t="shared" si="16"/>
        <v>-3822.9628995215025</v>
      </c>
      <c r="K50" s="1">
        <f t="shared" si="16"/>
        <v>-4293.9066044660285</v>
      </c>
      <c r="L50" s="1">
        <f t="shared" si="16"/>
        <v>-4690.2666488904069</v>
      </c>
      <c r="M50" s="1">
        <f t="shared" si="16"/>
        <v>-5050.7868252947228</v>
      </c>
      <c r="N50" s="1">
        <f t="shared" si="16"/>
        <v>-5361.1611173053534</v>
      </c>
      <c r="O50" s="1">
        <f t="shared" si="16"/>
        <v>-5649.2564881101571</v>
      </c>
      <c r="P50" s="1">
        <f t="shared" si="16"/>
        <v>-5952.665141612888</v>
      </c>
      <c r="Q50" s="1">
        <f t="shared" si="16"/>
        <v>-6272.1824390789698</v>
      </c>
      <c r="R50" s="1">
        <f t="shared" si="16"/>
        <v>-6608.6431694927742</v>
      </c>
      <c r="S50" s="1">
        <f t="shared" si="16"/>
        <v>-6962.9234284809354</v>
      </c>
      <c r="T50" s="1">
        <f t="shared" si="16"/>
        <v>-7335.9425841669872</v>
      </c>
      <c r="U50" s="1">
        <f t="shared" si="16"/>
        <v>-7728.6653338926117</v>
      </c>
      <c r="V50" s="1">
        <f t="shared" si="16"/>
        <v>-8142.1038559165754</v>
      </c>
      <c r="W50" s="1">
        <f t="shared" si="16"/>
        <v>-8577.3200603845908</v>
      </c>
      <c r="X50" s="1">
        <f t="shared" si="16"/>
        <v>-9035.4279440554819</v>
      </c>
      <c r="Y50" s="1">
        <f t="shared" si="16"/>
        <v>-9517.5960534674377</v>
      </c>
      <c r="Z50" s="1">
        <f t="shared" si="16"/>
        <v>-10025.050061437258</v>
      </c>
      <c r="AA50" s="1">
        <f t="shared" si="16"/>
        <v>-10559.075462002176</v>
      </c>
      <c r="AB50" s="1">
        <f t="shared" si="16"/>
        <v>-11121.020389141355</v>
      </c>
      <c r="AC50" s="1">
        <f t="shared" si="16"/>
        <v>-11712.298564850746</v>
      </c>
    </row>
    <row r="51" spans="1:29" x14ac:dyDescent="0.15">
      <c r="A51" s="13" t="s">
        <v>13</v>
      </c>
      <c r="B51" s="49">
        <v>0</v>
      </c>
      <c r="C51" s="49">
        <v>0</v>
      </c>
      <c r="D51" s="1">
        <f t="shared" ref="D51:AC51" si="17">C51*(1+$B$59)+D50</f>
        <v>-3018.9910999999993</v>
      </c>
      <c r="E51" s="1">
        <f t="shared" si="17"/>
        <v>-5271.3897887999947</v>
      </c>
      <c r="F51" s="1">
        <f t="shared" si="17"/>
        <v>-7999.460826986644</v>
      </c>
      <c r="G51" s="1">
        <f t="shared" si="17"/>
        <v>-11199.370028243358</v>
      </c>
      <c r="H51" s="1">
        <f t="shared" si="17"/>
        <v>-15037.183540130663</v>
      </c>
      <c r="I51" s="1">
        <f t="shared" si="17"/>
        <v>-19619.910432161356</v>
      </c>
      <c r="J51" s="1">
        <f t="shared" si="17"/>
        <v>-25071.325897552251</v>
      </c>
      <c r="K51" s="1">
        <f t="shared" si="17"/>
        <v>-31446.152551515115</v>
      </c>
      <c r="L51" s="1">
        <f t="shared" si="17"/>
        <v>-38746.449862181275</v>
      </c>
      <c r="M51" s="1">
        <f t="shared" si="17"/>
        <v>-47013.192026037039</v>
      </c>
      <c r="N51" s="1">
        <f t="shared" si="17"/>
        <v>-56276.448081503462</v>
      </c>
      <c r="O51" s="1">
        <f t="shared" si="17"/>
        <v>-66596.649760378408</v>
      </c>
      <c r="P51" s="1">
        <f t="shared" si="17"/>
        <v>-78076.836832102708</v>
      </c>
      <c r="Q51" s="1">
        <f t="shared" si="17"/>
        <v>-90829.396728246196</v>
      </c>
      <c r="R51" s="1">
        <f t="shared" si="17"/>
        <v>-104976.8798261834</v>
      </c>
      <c r="S51" s="1">
        <f t="shared" si="17"/>
        <v>-120652.88428023756</v>
      </c>
      <c r="T51" s="1">
        <f t="shared" si="17"/>
        <v>-138003.01625966426</v>
      </c>
      <c r="U51" s="1">
        <f t="shared" si="17"/>
        <v>-157185.93194310903</v>
      </c>
      <c r="V51" s="1">
        <f t="shared" si="17"/>
        <v>-178374.46815030364</v>
      </c>
      <c r="W51" s="1">
        <f t="shared" si="17"/>
        <v>-201756.86906716344</v>
      </c>
      <c r="X51" s="1">
        <f t="shared" si="17"/>
        <v>-227538.1171437935</v>
      </c>
      <c r="Y51" s="1">
        <f t="shared" si="17"/>
        <v>-255941.37692019576</v>
      </c>
      <c r="Z51" s="1">
        <f t="shared" si="17"/>
        <v>-287209.56126600923</v>
      </c>
      <c r="AA51" s="1">
        <f t="shared" si="17"/>
        <v>-321607.03031309019</v>
      </c>
      <c r="AB51" s="1">
        <f t="shared" si="17"/>
        <v>-359421.43421821803</v>
      </c>
      <c r="AC51" s="1">
        <f t="shared" si="17"/>
        <v>-400965.71182318084</v>
      </c>
    </row>
    <row r="52" spans="1:29" x14ac:dyDescent="0.15">
      <c r="A52" s="13"/>
      <c r="B52" s="34"/>
      <c r="C52" s="34"/>
      <c r="K52" s="1"/>
      <c r="L52" s="1"/>
      <c r="M52" s="1"/>
      <c r="N52" s="1"/>
      <c r="O52" s="1"/>
      <c r="P52" s="1"/>
      <c r="Q52" s="1"/>
      <c r="R52" s="1"/>
      <c r="S52" s="1"/>
      <c r="T52" s="1"/>
      <c r="U52" s="1"/>
      <c r="V52" s="1"/>
      <c r="W52" s="1"/>
      <c r="X52" s="1"/>
      <c r="Y52" s="1"/>
      <c r="Z52" s="1"/>
      <c r="AA52" s="1"/>
      <c r="AB52" s="1">
        <f>AB51-AB48</f>
        <v>-470733.07421821804</v>
      </c>
      <c r="AC52" s="1">
        <f>AC50/(B59-AC36)</f>
        <v>-244006.2201010572</v>
      </c>
    </row>
    <row r="53" spans="1:29" x14ac:dyDescent="0.15">
      <c r="A53" s="50" t="s">
        <v>89</v>
      </c>
      <c r="B53" s="51"/>
      <c r="C53" s="58" t="e">
        <f>1000000*C46/OP!$C$8</f>
        <v>#DIV/0!</v>
      </c>
      <c r="D53" s="58" t="e">
        <f>1000000*D46/OP!$C$8</f>
        <v>#DIV/0!</v>
      </c>
      <c r="E53" s="58" t="e">
        <f>1000000*E46/OP!$C$8</f>
        <v>#DIV/0!</v>
      </c>
      <c r="F53" s="58" t="e">
        <f>1000000*F46/OP!$C$8</f>
        <v>#DIV/0!</v>
      </c>
      <c r="G53" s="1"/>
      <c r="H53"/>
      <c r="I53"/>
      <c r="J53"/>
      <c r="K53" s="1"/>
      <c r="L53" s="1"/>
      <c r="M53" s="1"/>
      <c r="N53" s="1"/>
      <c r="O53" s="1"/>
      <c r="P53" s="1"/>
      <c r="Q53" s="1"/>
      <c r="R53" s="1"/>
      <c r="S53" s="1"/>
      <c r="T53" s="1"/>
      <c r="U53" s="1"/>
      <c r="V53" s="1"/>
      <c r="W53" s="1"/>
      <c r="X53" s="1"/>
      <c r="Y53" s="1"/>
      <c r="Z53" s="1"/>
      <c r="AA53" s="1"/>
      <c r="AB53" s="1"/>
      <c r="AC53" s="1"/>
    </row>
    <row r="54" spans="1:29" x14ac:dyDescent="0.15">
      <c r="A54" s="13" t="s">
        <v>105</v>
      </c>
      <c r="B54" s="1"/>
      <c r="C54" s="67">
        <v>3.3</v>
      </c>
      <c r="D54" s="67">
        <v>5.6</v>
      </c>
      <c r="E54" s="67">
        <v>5.6</v>
      </c>
      <c r="F54" s="53"/>
      <c r="G54" s="1"/>
      <c r="H54"/>
      <c r="I54"/>
      <c r="J54"/>
      <c r="K54" s="1"/>
      <c r="L54" s="1"/>
      <c r="M54" s="1"/>
      <c r="N54" s="1"/>
      <c r="O54" s="1"/>
      <c r="P54" s="1"/>
      <c r="Q54" s="1"/>
      <c r="R54" s="1"/>
      <c r="S54" s="1"/>
      <c r="T54" s="1"/>
      <c r="U54" s="1"/>
      <c r="V54" s="1"/>
      <c r="W54" s="1"/>
      <c r="X54" s="1"/>
      <c r="Y54" s="1"/>
      <c r="Z54" s="1"/>
      <c r="AA54" s="1"/>
      <c r="AB54" s="1"/>
      <c r="AC54" s="1"/>
    </row>
    <row r="55" spans="1:29" x14ac:dyDescent="0.15">
      <c r="A55" s="52" t="s">
        <v>90</v>
      </c>
      <c r="B55" s="20"/>
      <c r="C55" s="20"/>
      <c r="D55" s="35">
        <f>$B$61/D46</f>
        <v>33.638995557868213</v>
      </c>
      <c r="E55" s="35">
        <f>$B$61/E46</f>
        <v>32.809403221806193</v>
      </c>
      <c r="F55" s="53">
        <f>$B$61/F46</f>
        <v>30.906368646355578</v>
      </c>
      <c r="G55" s="1"/>
      <c r="H55"/>
      <c r="I55"/>
      <c r="J55"/>
      <c r="K55" s="1"/>
      <c r="L55" s="1"/>
      <c r="M55" s="1"/>
      <c r="N55" s="1"/>
      <c r="O55" s="1"/>
      <c r="P55" s="1"/>
      <c r="Q55" s="1"/>
      <c r="R55" s="1"/>
      <c r="S55" s="1"/>
      <c r="T55" s="1"/>
      <c r="U55" s="1"/>
      <c r="V55" s="1"/>
      <c r="W55" s="1"/>
      <c r="X55" s="1"/>
      <c r="Y55" s="1"/>
      <c r="Z55" s="1"/>
      <c r="AA55" s="1"/>
      <c r="AB55" s="1"/>
      <c r="AC55" s="1"/>
    </row>
    <row r="56" spans="1:29" x14ac:dyDescent="0.15">
      <c r="A56" s="54" t="s">
        <v>91</v>
      </c>
      <c r="B56" s="55"/>
      <c r="C56" s="55"/>
      <c r="D56" s="56">
        <f>($B$61+D48-D51)/D41</f>
        <v>1.5416498532211647</v>
      </c>
      <c r="E56" s="56">
        <f>($B$61+E48-E51)/E41</f>
        <v>1.6889877856719542</v>
      </c>
      <c r="F56" s="57">
        <f>($B$61+F48-F51)/F41</f>
        <v>1.7614970707380735</v>
      </c>
      <c r="G56" s="1"/>
      <c r="H56"/>
      <c r="I56"/>
      <c r="J56"/>
      <c r="K56" s="1"/>
      <c r="L56" s="6"/>
      <c r="M56" s="1"/>
      <c r="N56" s="1"/>
      <c r="O56" s="1"/>
      <c r="P56" s="1"/>
      <c r="Q56" s="1"/>
      <c r="R56" s="1"/>
      <c r="S56" s="1"/>
      <c r="T56" s="1"/>
      <c r="U56" s="1"/>
      <c r="V56" s="1"/>
      <c r="W56" s="1"/>
      <c r="X56" s="1"/>
      <c r="Y56" s="1"/>
      <c r="Z56" s="1"/>
      <c r="AA56" s="1"/>
      <c r="AB56"/>
      <c r="AC56"/>
    </row>
    <row r="57" spans="1:29" x14ac:dyDescent="0.15">
      <c r="A57" s="13"/>
      <c r="B57" s="1"/>
      <c r="C57" s="1"/>
      <c r="D57" s="35"/>
      <c r="E57" s="35"/>
      <c r="F57" s="35"/>
      <c r="G57" s="1"/>
      <c r="H57" s="1"/>
      <c r="I57" s="1"/>
      <c r="J57" s="1"/>
      <c r="K57" s="1"/>
      <c r="L57" s="1"/>
      <c r="M57" s="1"/>
      <c r="N57" s="1"/>
      <c r="O57" s="1"/>
      <c r="P57" s="1"/>
      <c r="Q57" s="1"/>
      <c r="R57" s="1"/>
      <c r="S57" s="1"/>
      <c r="T57" s="1"/>
      <c r="U57" s="1"/>
      <c r="V57" s="1"/>
      <c r="W57" s="1"/>
      <c r="X57" s="1"/>
      <c r="Y57" s="1"/>
      <c r="Z57" s="1"/>
      <c r="AA57" s="1"/>
      <c r="AB57"/>
      <c r="AC57"/>
    </row>
    <row r="58" spans="1:29" x14ac:dyDescent="0.15">
      <c r="A58" s="7"/>
      <c r="B58" s="20"/>
      <c r="C58" s="27" t="s">
        <v>53</v>
      </c>
      <c r="D58" s="27" t="s">
        <v>104</v>
      </c>
      <c r="E58" s="27" t="s">
        <v>71</v>
      </c>
      <c r="F58"/>
      <c r="G58"/>
      <c r="H58" s="27" t="s">
        <v>96</v>
      </c>
      <c r="I58" s="27" t="s">
        <v>97</v>
      </c>
      <c r="J58" s="1"/>
      <c r="K58" s="1"/>
      <c r="L58" s="1"/>
      <c r="M58" s="1"/>
      <c r="N58" s="1"/>
      <c r="O58" s="1"/>
      <c r="P58" s="1"/>
      <c r="Q58" s="1"/>
      <c r="R58" s="1"/>
      <c r="S58" s="1"/>
      <c r="T58" s="1"/>
      <c r="U58" s="1"/>
      <c r="V58" s="1"/>
      <c r="W58" s="1"/>
      <c r="X58" s="1"/>
      <c r="Y58" s="1"/>
      <c r="Z58" s="1"/>
      <c r="AA58" s="1"/>
      <c r="AB58" s="1"/>
      <c r="AC58" s="1"/>
    </row>
    <row r="59" spans="1:29" x14ac:dyDescent="0.15">
      <c r="A59" s="29" t="s">
        <v>68</v>
      </c>
      <c r="B59" s="25">
        <f>SUM(C59:E59)</f>
        <v>8.3000000000000004E-2</v>
      </c>
      <c r="C59" s="26">
        <v>3.0700000000000002E-2</v>
      </c>
      <c r="D59" s="26">
        <v>5.2299999999999999E-2</v>
      </c>
      <c r="E59" s="25">
        <v>0</v>
      </c>
      <c r="F59"/>
      <c r="G59" s="11" t="s">
        <v>95</v>
      </c>
      <c r="H59" s="5">
        <v>1</v>
      </c>
      <c r="I59" s="5">
        <v>1</v>
      </c>
      <c r="J59" s="1"/>
    </row>
    <row r="60" spans="1:29" x14ac:dyDescent="0.15">
      <c r="A60" s="29"/>
      <c r="C60" s="26"/>
      <c r="D60" s="26"/>
      <c r="E60" s="86"/>
      <c r="F60"/>
      <c r="G60" t="s">
        <v>116</v>
      </c>
      <c r="H60" s="241">
        <v>-0.01</v>
      </c>
      <c r="I60" s="241"/>
    </row>
    <row r="61" spans="1:29" x14ac:dyDescent="0.15">
      <c r="A61" s="28" t="s">
        <v>15</v>
      </c>
      <c r="B61" s="4">
        <f>C62+C63</f>
        <v>-97372.482714567188</v>
      </c>
      <c r="C61" s="157" t="s">
        <v>147</v>
      </c>
      <c r="D61" s="150">
        <f>D31</f>
        <v>1E-3</v>
      </c>
      <c r="E61" s="151">
        <f>D32</f>
        <v>5.0000000000000001E-3</v>
      </c>
      <c r="F61"/>
      <c r="G61" t="s">
        <v>117</v>
      </c>
      <c r="H61" s="3">
        <v>0.21</v>
      </c>
      <c r="I61" s="3">
        <v>0.23</v>
      </c>
      <c r="AA61" s="3"/>
      <c r="AB61" s="3"/>
      <c r="AC61" s="3"/>
    </row>
    <row r="62" spans="1:29" x14ac:dyDescent="0.15">
      <c r="A62" s="28" t="s">
        <v>64</v>
      </c>
      <c r="B62" s="3">
        <f>C62/B61</f>
        <v>0.65860807984056469</v>
      </c>
      <c r="C62" s="148">
        <f>AB52/(1+B59)^25</f>
        <v>-64130.303869949668</v>
      </c>
      <c r="D62" s="152">
        <f>SUMPRODUCT(E50:AB50,E31:AB31)</f>
        <v>-49460.323454607067</v>
      </c>
      <c r="E62" s="153">
        <f>SUMPRODUCT(E50:AB50,E32:AB32)</f>
        <v>-47340.268097121196</v>
      </c>
      <c r="F62"/>
      <c r="G62" s="69" t="s">
        <v>118</v>
      </c>
      <c r="H62" s="242">
        <v>1.2</v>
      </c>
      <c r="I62" s="242"/>
    </row>
    <row r="63" spans="1:29" x14ac:dyDescent="0.15">
      <c r="A63" s="28" t="s">
        <v>52</v>
      </c>
      <c r="B63" s="3">
        <f>1-B62</f>
        <v>0.34139192015943531</v>
      </c>
      <c r="C63" s="148">
        <f>AC52/(1+B59)^25</f>
        <v>-33242.178844617527</v>
      </c>
      <c r="D63" s="154">
        <f>(AC50/($B$59+D31-$AC$36))*AC31</f>
        <v>-31821.012898810168</v>
      </c>
      <c r="E63" s="155">
        <f>(AC50/($B$59+D32-$AC$36))*AC32</f>
        <v>-26831.433813661675</v>
      </c>
      <c r="F63"/>
      <c r="G63" t="s">
        <v>119</v>
      </c>
      <c r="H63" s="239">
        <f>SUM(40:40)</f>
        <v>628429.57179785392</v>
      </c>
      <c r="I63" s="239"/>
    </row>
    <row r="64" spans="1:29" x14ac:dyDescent="0.15">
      <c r="A64" s="29" t="s">
        <v>14</v>
      </c>
      <c r="B64" s="30" t="e">
        <f>1000000*B61/OP!C8</f>
        <v>#DIV/0!</v>
      </c>
      <c r="C64" s="4"/>
      <c r="D64" s="30" t="e">
        <f>1000000*SUM(D62:D63)/OP!C8</f>
        <v>#DIV/0!</v>
      </c>
      <c r="E64" s="156" t="e">
        <f>1000000*SUM(E62:E63)/OP!C8</f>
        <v>#DIV/0!</v>
      </c>
      <c r="F64"/>
      <c r="G64" t="s">
        <v>120</v>
      </c>
      <c r="H64" s="239">
        <f>SUM(47:47)</f>
        <v>672845.39331143443</v>
      </c>
      <c r="I64" s="239"/>
    </row>
    <row r="65" spans="1:29" x14ac:dyDescent="0.15">
      <c r="B65" s="31" t="e">
        <f>B64/OP!C7-1</f>
        <v>#DIV/0!</v>
      </c>
      <c r="C65" s="2"/>
      <c r="D65" s="10" t="e">
        <f>D64/B64-1</f>
        <v>#DIV/0!</v>
      </c>
      <c r="E65" s="85" t="e">
        <f>E64/B64-1</f>
        <v>#DIV/0!</v>
      </c>
      <c r="F65"/>
      <c r="G65" s="75" t="s">
        <v>121</v>
      </c>
      <c r="H65" s="239">
        <f>SUM(47:47)+(OP!E12*OP!E7)</f>
        <v>672845.39331143443</v>
      </c>
      <c r="I65" s="239"/>
    </row>
    <row r="66" spans="1:29" x14ac:dyDescent="0.15">
      <c r="B66" s="4"/>
      <c r="C66" s="4"/>
      <c r="G66" s="2"/>
      <c r="I66" s="6"/>
    </row>
    <row r="67" spans="1:29" x14ac:dyDescent="0.15">
      <c r="A67" t="s">
        <v>148</v>
      </c>
      <c r="B67" s="158">
        <f>B62*D68+B63*D69</f>
        <v>20.902876924872448</v>
      </c>
      <c r="C67" s="75"/>
      <c r="E67" s="159">
        <v>1</v>
      </c>
      <c r="F67" s="159">
        <v>2</v>
      </c>
      <c r="G67" s="159">
        <v>3</v>
      </c>
      <c r="H67" s="4">
        <v>4</v>
      </c>
      <c r="I67" s="159">
        <v>5</v>
      </c>
      <c r="J67" s="159">
        <v>6</v>
      </c>
      <c r="K67" s="159">
        <v>7</v>
      </c>
      <c r="L67" s="4">
        <v>8</v>
      </c>
      <c r="M67" s="159">
        <v>9</v>
      </c>
      <c r="N67" s="159">
        <v>10</v>
      </c>
      <c r="O67" s="159">
        <v>11</v>
      </c>
      <c r="P67" s="4">
        <v>12</v>
      </c>
      <c r="Q67" s="159">
        <v>13</v>
      </c>
      <c r="R67" s="159">
        <v>14</v>
      </c>
      <c r="S67" s="159">
        <v>15</v>
      </c>
      <c r="T67" s="4">
        <v>16</v>
      </c>
      <c r="U67" s="159">
        <v>17</v>
      </c>
      <c r="V67" s="159">
        <v>18</v>
      </c>
      <c r="W67" s="159">
        <v>19</v>
      </c>
      <c r="X67" s="4">
        <v>20</v>
      </c>
      <c r="Y67" s="159">
        <v>21</v>
      </c>
      <c r="Z67" s="159">
        <v>22</v>
      </c>
      <c r="AA67" s="159">
        <v>23</v>
      </c>
      <c r="AB67" s="4">
        <v>24</v>
      </c>
      <c r="AC67" s="159">
        <v>25</v>
      </c>
    </row>
    <row r="68" spans="1:29" x14ac:dyDescent="0.15">
      <c r="A68" s="147">
        <v>1E-3</v>
      </c>
      <c r="B68" s="160">
        <f>-$B$67*A68</f>
        <v>-2.0902876924872447E-2</v>
      </c>
      <c r="C68" s="75"/>
      <c r="D68" s="148">
        <f>SUM(E68:AB68)/SUMPRODUCT(E50:AB50,E33:AB33)</f>
        <v>12.015539405576867</v>
      </c>
      <c r="E68" s="161">
        <f>E67*E50*E33</f>
        <v>-1848.4048268698023</v>
      </c>
      <c r="F68" s="161">
        <f t="shared" ref="F68:AC68" si="18">F67*F50*F33</f>
        <v>-3905.81834379255</v>
      </c>
      <c r="G68" s="161">
        <f t="shared" si="18"/>
        <v>-5989.3162889620298</v>
      </c>
      <c r="H68" s="161">
        <f t="shared" si="18"/>
        <v>-8456.2976466280998</v>
      </c>
      <c r="I68" s="161">
        <f t="shared" si="18"/>
        <v>-11191.202708900995</v>
      </c>
      <c r="J68" s="161">
        <f t="shared" si="18"/>
        <v>-14216.104066959781</v>
      </c>
      <c r="K68" s="161">
        <f t="shared" si="18"/>
        <v>-17200.910559132219</v>
      </c>
      <c r="L68" s="161">
        <f t="shared" si="18"/>
        <v>-19827.130620481683</v>
      </c>
      <c r="M68" s="161">
        <f t="shared" si="18"/>
        <v>-22179.177611543528</v>
      </c>
      <c r="N68" s="161">
        <f t="shared" si="18"/>
        <v>-24153.178607388068</v>
      </c>
      <c r="O68" s="161">
        <f t="shared" si="18"/>
        <v>-25850.619505536313</v>
      </c>
      <c r="P68" s="161">
        <f t="shared" si="18"/>
        <v>-27437.922127991525</v>
      </c>
      <c r="Q68" s="161">
        <f t="shared" si="18"/>
        <v>-28919.587789239202</v>
      </c>
      <c r="R68" s="161">
        <f t="shared" si="18"/>
        <v>-30299.952376413868</v>
      </c>
      <c r="S68" s="161">
        <f t="shared" si="18"/>
        <v>-31583.192614418967</v>
      </c>
      <c r="T68" s="161">
        <f t="shared" si="18"/>
        <v>-32773.332208757318</v>
      </c>
      <c r="U68" s="161">
        <f t="shared" si="18"/>
        <v>-33874.247836685208</v>
      </c>
      <c r="V68" s="161">
        <f t="shared" si="18"/>
        <v>-34889.674964027654</v>
      </c>
      <c r="W68" s="161">
        <f t="shared" si="18"/>
        <v>-35823.213470740047</v>
      </c>
      <c r="X68" s="161">
        <f t="shared" si="18"/>
        <v>-36678.333073201633</v>
      </c>
      <c r="Y68" s="161">
        <f t="shared" si="18"/>
        <v>-37458.378535366894</v>
      </c>
      <c r="Z68" s="161">
        <f t="shared" si="18"/>
        <v>-38166.574664390035</v>
      </c>
      <c r="AA68" s="161">
        <f t="shared" si="18"/>
        <v>-38806.031089244636</v>
      </c>
      <c r="AB68" s="161">
        <f t="shared" si="18"/>
        <v>-39379.746823269743</v>
      </c>
      <c r="AC68" s="161">
        <f t="shared" si="18"/>
        <v>-39890.614613541031</v>
      </c>
    </row>
    <row r="69" spans="1:29" ht="15" x14ac:dyDescent="0.2">
      <c r="A69" s="147">
        <v>5.0000000000000001E-3</v>
      </c>
      <c r="B69" s="160">
        <f>-$B$67*A69</f>
        <v>-0.10451438462436224</v>
      </c>
      <c r="C69" s="75"/>
      <c r="D69" s="162">
        <f>(1+B59)/B59+AC67</f>
        <v>38.048192771084338</v>
      </c>
      <c r="E69" s="3"/>
      <c r="F69" s="31"/>
      <c r="H69" s="6"/>
    </row>
    <row r="70" spans="1:29" x14ac:dyDescent="0.15">
      <c r="D70" s="96"/>
      <c r="E70" s="10"/>
      <c r="F70" s="9"/>
      <c r="H70" s="6"/>
    </row>
    <row r="71" spans="1:29" x14ac:dyDescent="0.15">
      <c r="C71" s="75"/>
      <c r="D71" s="97"/>
      <c r="E71" s="97"/>
      <c r="F71" s="97"/>
    </row>
    <row r="72" spans="1:29" x14ac:dyDescent="0.15">
      <c r="C72" s="75"/>
      <c r="D72" s="31"/>
      <c r="E72" s="3"/>
      <c r="F72" s="3"/>
    </row>
    <row r="73" spans="1:29" x14ac:dyDescent="0.15">
      <c r="C73" s="75"/>
      <c r="D73" s="3"/>
      <c r="E73" s="31"/>
      <c r="F73" s="3"/>
    </row>
    <row r="74" spans="1:29" x14ac:dyDescent="0.15">
      <c r="C74" s="75"/>
      <c r="D74" s="3"/>
      <c r="E74" s="3"/>
      <c r="F74" s="3"/>
      <c r="J74" s="9"/>
    </row>
    <row r="75" spans="1:29" x14ac:dyDescent="0.15">
      <c r="C75" s="75"/>
      <c r="D75" s="3"/>
      <c r="E75" s="3"/>
      <c r="F75" s="3"/>
    </row>
    <row r="76" spans="1:29" x14ac:dyDescent="0.15">
      <c r="C76" s="75"/>
      <c r="D76" s="3"/>
      <c r="E76" s="3"/>
      <c r="F76" s="3"/>
    </row>
    <row r="77" spans="1:29" x14ac:dyDescent="0.15">
      <c r="C77" s="75"/>
      <c r="D77" s="3"/>
      <c r="E77" s="3"/>
      <c r="F77" s="3"/>
    </row>
    <row r="78" spans="1:29" x14ac:dyDescent="0.15">
      <c r="C78" s="75"/>
      <c r="D78" s="3"/>
      <c r="E78" s="3"/>
      <c r="F78" s="31"/>
    </row>
    <row r="79" spans="1:29" x14ac:dyDescent="0.15">
      <c r="F79" s="8"/>
    </row>
    <row r="81" spans="4:9" x14ac:dyDescent="0.15">
      <c r="G81" s="10"/>
    </row>
    <row r="82" spans="4:9" x14ac:dyDescent="0.15">
      <c r="D82" s="3"/>
      <c r="E82" s="3"/>
      <c r="F82" s="3"/>
      <c r="G82" s="9"/>
    </row>
    <row r="83" spans="4:9" x14ac:dyDescent="0.15">
      <c r="D83" s="3"/>
      <c r="E83" s="3"/>
      <c r="F83" s="3"/>
      <c r="G83" s="9"/>
    </row>
    <row r="84" spans="4:9" x14ac:dyDescent="0.15">
      <c r="D84" s="3"/>
      <c r="E84" s="3"/>
      <c r="F84" s="3"/>
      <c r="H84" s="9"/>
    </row>
    <row r="85" spans="4:9" x14ac:dyDescent="0.15">
      <c r="I85" s="10"/>
    </row>
    <row r="86" spans="4:9" x14ac:dyDescent="0.15">
      <c r="D86" s="3"/>
      <c r="E86" s="3"/>
      <c r="F86" s="3"/>
    </row>
    <row r="87" spans="4:9" x14ac:dyDescent="0.15">
      <c r="D87" s="3"/>
      <c r="E87" s="3"/>
      <c r="F87" s="3"/>
    </row>
    <row r="88" spans="4:9" x14ac:dyDescent="0.15">
      <c r="D88" s="3"/>
      <c r="E88" s="3"/>
      <c r="F88" s="3"/>
    </row>
  </sheetData>
  <mergeCells count="6">
    <mergeCell ref="H65:I65"/>
    <mergeCell ref="H64:I64"/>
    <mergeCell ref="A1:L1"/>
    <mergeCell ref="H60:I60"/>
    <mergeCell ref="H62:I62"/>
    <mergeCell ref="H63:I63"/>
  </mergeCells>
  <phoneticPr fontId="0" type="noConversion"/>
  <hyperlinks>
    <hyperlink ref="A61" r:id="rId1" xr:uid="{00000000-0004-0000-0400-000000000000}"/>
  </hyperlinks>
  <pageMargins left="0.75" right="0.75" top="1" bottom="1" header="0" footer="0"/>
  <pageSetup orientation="portrait" r:id="rId2"/>
  <headerFooter alignWithMargins="0"/>
  <drawing r:id="rId3"/>
  <legacy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ba73c8a-1af7-4183-b158-1cd1291da2b6">
      <Terms xmlns="http://schemas.microsoft.com/office/infopath/2007/PartnerControls"/>
    </lcf76f155ced4ddcb4097134ff3c332f>
    <TaxCatchAll xmlns="8c89d0e4-a8d9-42ba-a773-c59a56f7723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162ABDA6886CF6498653E646AB2571ED" ma:contentTypeVersion="16" ma:contentTypeDescription="Crie um novo documento." ma:contentTypeScope="" ma:versionID="958d512e13cd83afa0ede2ee52842e7f">
  <xsd:schema xmlns:xsd="http://www.w3.org/2001/XMLSchema" xmlns:xs="http://www.w3.org/2001/XMLSchema" xmlns:p="http://schemas.microsoft.com/office/2006/metadata/properties" xmlns:ns2="6ba73c8a-1af7-4183-b158-1cd1291da2b6" xmlns:ns3="8c89d0e4-a8d9-42ba-a773-c59a56f7723e" targetNamespace="http://schemas.microsoft.com/office/2006/metadata/properties" ma:root="true" ma:fieldsID="6580d3d4ac653f23eb7e3d149ee83437" ns2:_="" ns3:_="">
    <xsd:import namespace="6ba73c8a-1af7-4183-b158-1cd1291da2b6"/>
    <xsd:import namespace="8c89d0e4-a8d9-42ba-a773-c59a56f7723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a73c8a-1af7-4183-b158-1cd1291da2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Marcações de imagem" ma:readOnly="false" ma:fieldId="{5cf76f15-5ced-4ddc-b409-7134ff3c332f}" ma:taxonomyMulti="true" ma:sspId="a48f9566-069b-479b-843d-4f6c74a4a3f0"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c89d0e4-a8d9-42ba-a773-c59a56f7723e" elementFormDefault="qualified">
    <xsd:import namespace="http://schemas.microsoft.com/office/2006/documentManagement/types"/>
    <xsd:import namespace="http://schemas.microsoft.com/office/infopath/2007/PartnerControls"/>
    <xsd:element name="SharedWithUsers" ma:index="14"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Detalhes de Compartilhado Com" ma:internalName="SharedWithDetails" ma:readOnly="true">
      <xsd:simpleType>
        <xsd:restriction base="dms:Note">
          <xsd:maxLength value="255"/>
        </xsd:restriction>
      </xsd:simpleType>
    </xsd:element>
    <xsd:element name="TaxCatchAll" ma:index="19" nillable="true" ma:displayName="Taxonomy Catch All Column" ma:hidden="true" ma:list="{b20a6b64-fbb8-4bf5-b941-ddf64427d44d}" ma:internalName="TaxCatchAll" ma:showField="CatchAllData" ma:web="8c89d0e4-a8d9-42ba-a773-c59a56f7723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4F95F15-C902-4F29-BCC3-173A7BFB5290}">
  <ds:schemaRefs>
    <ds:schemaRef ds:uri="8c89d0e4-a8d9-42ba-a773-c59a56f7723e"/>
    <ds:schemaRef ds:uri="http://schemas.openxmlformats.org/package/2006/metadata/core-properties"/>
    <ds:schemaRef ds:uri="http://purl.org/dc/terms/"/>
    <ds:schemaRef ds:uri="http://purl.org/dc/elements/1.1/"/>
    <ds:schemaRef ds:uri="6ba73c8a-1af7-4183-b158-1cd1291da2b6"/>
    <ds:schemaRef ds:uri="http://purl.org/dc/dcmitype/"/>
    <ds:schemaRef ds:uri="http://schemas.microsoft.com/office/2006/metadata/properties"/>
    <ds:schemaRef ds:uri="http://schemas.microsoft.com/office/2006/documentManagement/typ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97FB3ED4-AE09-4A5F-AFD9-51C7AB84015B}">
  <ds:schemaRefs>
    <ds:schemaRef ds:uri="http://schemas.microsoft.com/sharepoint/v3/contenttype/forms"/>
  </ds:schemaRefs>
</ds:datastoreItem>
</file>

<file path=customXml/itemProps3.xml><?xml version="1.0" encoding="utf-8"?>
<ds:datastoreItem xmlns:ds="http://schemas.openxmlformats.org/officeDocument/2006/customXml" ds:itemID="{6522ADD6-5841-45C1-98F6-ACE37889224E}"/>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Planilhas</vt:lpstr>
      </vt:variant>
      <vt:variant>
        <vt:i4>4</vt:i4>
      </vt:variant>
      <vt:variant>
        <vt:lpstr>Intervalos Nomeados</vt:lpstr>
      </vt:variant>
      <vt:variant>
        <vt:i4>1</vt:i4>
      </vt:variant>
    </vt:vector>
  </HeadingPairs>
  <TitlesOfParts>
    <vt:vector size="5" baseType="lpstr">
      <vt:lpstr>OP</vt:lpstr>
      <vt:lpstr>COVID-19 impact</vt:lpstr>
      <vt:lpstr>Acuerdo</vt:lpstr>
      <vt:lpstr>DCF</vt:lpstr>
      <vt:lpstr>OP!Area_de_impressao</vt:lpstr>
    </vt:vector>
  </TitlesOfParts>
  <Company>HIL CONSULTORES, S.C.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ABRAHAM E. HERNANDEZ P.</dc:creator>
  <cp:lastModifiedBy>JOSE NILTON PACHECO HONÓRIO</cp:lastModifiedBy>
  <cp:lastPrinted>2019-08-19T22:45:59Z</cp:lastPrinted>
  <dcterms:created xsi:type="dcterms:W3CDTF">2000-04-19T14:51:26Z</dcterms:created>
  <dcterms:modified xsi:type="dcterms:W3CDTF">2025-02-12T15:07:42Z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0x010100162ABDA6886CF6498653E646AB2571ED</vt:lpwstr>
  </property>
  <property fmtid="{D5CDD505-2E9C-101B-9397-08002B2CF9AE}" pid="3" name="MediaServiceImageTags">
    <vt:lpwstr/>
  </property>
</Properties>
</file>