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70.xml" ContentType="application/vnd.ms-office.chartcolorstyle+xml"/>
  <Override PartName="/xl/charts/style7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1 (Pedro Bordalo)/"/>
    </mc:Choice>
  </mc:AlternateContent>
  <xr:revisionPtr revIDLastSave="5058" documentId="13_ncr:1_{C3332AE4-D44D-4E03-B8A2-6A58E63E6864}" xr6:coauthVersionLast="47" xr6:coauthVersionMax="47" xr10:uidLastSave="{3DC5AA20-D4C4-4093-815D-469DA1D1018E}"/>
  <bookViews>
    <workbookView minimized="1" xWindow="760" yWindow="720" windowWidth="9780" windowHeight="10080" tabRatio="777" firstSheet="3"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Multiples" sheetId="11" r:id="rId10"/>
    <sheet name="Sensitivity" sheetId="27" r:id="rId11"/>
  </sheets>
  <externalReferences>
    <externalReference r:id="rId12"/>
  </externalReferences>
  <definedNames>
    <definedName name="_xlchart.v1.0" hidden="1">Sensitivity!$B$56:$B$10055</definedName>
    <definedName name="_xlchart.v5.0" hidden="1">Segments!$B$5</definedName>
    <definedName name="_xlchart.v5.1" hidden="1">Segments!$B$6:$B$10</definedName>
    <definedName name="_xlchart.v5.2" hidden="1">Segments!$D$5</definedName>
    <definedName name="_xlchart.v5.3"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9" hidden="1">{"'Sheet1'!$A$1:$H$145"}</definedName>
    <definedName name="HTML_Control" localSheetId="3"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6" i="8" l="1"/>
  <c r="AA14" i="8"/>
  <c r="AA13" i="8"/>
  <c r="AA12" i="8"/>
  <c r="AA11" i="8"/>
  <c r="AA10" i="8"/>
  <c r="AA7" i="8"/>
  <c r="AA9" i="8"/>
  <c r="G78" i="8"/>
  <c r="F78" i="8"/>
  <c r="E78" i="8"/>
  <c r="O117" i="9"/>
  <c r="F145" i="8"/>
  <c r="G145" i="8"/>
  <c r="F147" i="8"/>
  <c r="G147" i="8"/>
  <c r="F150" i="8"/>
  <c r="G150" i="8"/>
  <c r="F153" i="8"/>
  <c r="G153" i="8"/>
  <c r="F156" i="8"/>
  <c r="G156" i="8"/>
  <c r="F158" i="8"/>
  <c r="G158" i="8"/>
  <c r="F165" i="8"/>
  <c r="G165" i="8"/>
  <c r="F163" i="8"/>
  <c r="G163" i="8"/>
  <c r="F161" i="8"/>
  <c r="G161" i="8"/>
  <c r="E165" i="8"/>
  <c r="E163" i="8"/>
  <c r="E161" i="8"/>
  <c r="E158" i="8"/>
  <c r="E156" i="8"/>
  <c r="E153" i="8"/>
  <c r="E150" i="8"/>
  <c r="E147" i="8"/>
  <c r="E145" i="8"/>
  <c r="F143" i="8"/>
  <c r="G143" i="8"/>
  <c r="E143" i="8"/>
  <c r="F141" i="8"/>
  <c r="G141" i="8"/>
  <c r="E141" i="8"/>
  <c r="F138" i="8"/>
  <c r="G138" i="8"/>
  <c r="E138" i="8"/>
  <c r="F136" i="8"/>
  <c r="G136" i="8"/>
  <c r="E136" i="8"/>
  <c r="F134" i="8"/>
  <c r="F225" i="8" s="1"/>
  <c r="G134" i="8"/>
  <c r="G225" i="8" s="1"/>
  <c r="E134" i="8"/>
  <c r="E225" i="8" s="1"/>
  <c r="F132" i="8"/>
  <c r="G132" i="8"/>
  <c r="E132" i="8"/>
  <c r="F130" i="8"/>
  <c r="G130" i="8"/>
  <c r="F128" i="8"/>
  <c r="F188" i="8" s="1"/>
  <c r="F223" i="8" s="1"/>
  <c r="G128" i="8"/>
  <c r="G188" i="8" s="1"/>
  <c r="G223" i="8" s="1"/>
  <c r="E130" i="8"/>
  <c r="E128" i="8"/>
  <c r="E188" i="8" s="1"/>
  <c r="E223" i="8" s="1"/>
  <c r="F125" i="8"/>
  <c r="F186" i="8" s="1"/>
  <c r="G125" i="8"/>
  <c r="G186" i="8" s="1"/>
  <c r="E125" i="8"/>
  <c r="E221" i="8" s="1"/>
  <c r="F110" i="8"/>
  <c r="G110" i="8"/>
  <c r="F113" i="8"/>
  <c r="G113" i="8"/>
  <c r="F116" i="8"/>
  <c r="G116" i="8"/>
  <c r="F118" i="8"/>
  <c r="G118" i="8"/>
  <c r="E118" i="8"/>
  <c r="E116" i="8"/>
  <c r="E113" i="8"/>
  <c r="E110" i="8"/>
  <c r="F106" i="8"/>
  <c r="G106" i="8"/>
  <c r="E106" i="8"/>
  <c r="F105" i="8"/>
  <c r="G105" i="8"/>
  <c r="E105" i="8"/>
  <c r="F103" i="8"/>
  <c r="G103" i="8"/>
  <c r="E103" i="8"/>
  <c r="F101" i="8"/>
  <c r="G101" i="8"/>
  <c r="E101" i="8"/>
  <c r="F100" i="8"/>
  <c r="G100" i="8"/>
  <c r="E100" i="8"/>
  <c r="F88" i="8"/>
  <c r="G88" i="8"/>
  <c r="F90" i="8"/>
  <c r="G90" i="8"/>
  <c r="F93" i="8"/>
  <c r="G93" i="8"/>
  <c r="F96" i="8"/>
  <c r="G96" i="8"/>
  <c r="E96" i="8"/>
  <c r="E93" i="8"/>
  <c r="E90" i="8"/>
  <c r="E88" i="8"/>
  <c r="F81" i="8"/>
  <c r="F217" i="8" s="1"/>
  <c r="G81" i="8"/>
  <c r="G217" i="8" s="1"/>
  <c r="E81" i="8"/>
  <c r="E217" i="8" s="1"/>
  <c r="F76" i="8"/>
  <c r="F79" i="8" s="1"/>
  <c r="G76" i="8"/>
  <c r="E76" i="8"/>
  <c r="H71" i="8"/>
  <c r="F74" i="8"/>
  <c r="G74" i="8"/>
  <c r="E74" i="8"/>
  <c r="F71" i="8"/>
  <c r="G71" i="8"/>
  <c r="E71" i="8"/>
  <c r="F68" i="8"/>
  <c r="F69" i="8" s="1"/>
  <c r="G68" i="8"/>
  <c r="G69" i="8" s="1"/>
  <c r="E68" i="8"/>
  <c r="E69" i="8" s="1"/>
  <c r="F65" i="8"/>
  <c r="F66" i="8" s="1"/>
  <c r="G65" i="8"/>
  <c r="G66" i="8" s="1"/>
  <c r="E65" i="8"/>
  <c r="E66" i="8" s="1"/>
  <c r="F62" i="8"/>
  <c r="G62" i="8"/>
  <c r="G63" i="8" s="1"/>
  <c r="E62" i="8"/>
  <c r="F59" i="8"/>
  <c r="F176" i="8" s="1"/>
  <c r="G59" i="8"/>
  <c r="G176" i="8" s="1"/>
  <c r="E59" i="8"/>
  <c r="E176" i="8" s="1"/>
  <c r="F53" i="8"/>
  <c r="F54" i="8" s="1"/>
  <c r="G53" i="8"/>
  <c r="G54" i="8" s="1"/>
  <c r="E53" i="8"/>
  <c r="E54" i="8" s="1"/>
  <c r="F56" i="8"/>
  <c r="F57" i="8" s="1"/>
  <c r="G56" i="8"/>
  <c r="G57" i="8" s="1"/>
  <c r="E56" i="8"/>
  <c r="E57" i="8" s="1"/>
  <c r="F50" i="8"/>
  <c r="F123" i="8" s="1"/>
  <c r="G50" i="8"/>
  <c r="G123" i="8" s="1"/>
  <c r="G184" i="8" s="1"/>
  <c r="E50" i="8"/>
  <c r="E51" i="8" s="1"/>
  <c r="F47" i="8"/>
  <c r="G47" i="8"/>
  <c r="E47" i="8"/>
  <c r="F45" i="8"/>
  <c r="G45" i="8"/>
  <c r="E45" i="8"/>
  <c r="E42" i="8"/>
  <c r="F42" i="8"/>
  <c r="G42" i="8"/>
  <c r="F39" i="8"/>
  <c r="G39" i="8"/>
  <c r="E39" i="8"/>
  <c r="F36" i="8"/>
  <c r="G36" i="8"/>
  <c r="E36" i="8"/>
  <c r="F33" i="8"/>
  <c r="G33" i="8"/>
  <c r="E33" i="8"/>
  <c r="F30" i="8"/>
  <c r="F170" i="8" s="1"/>
  <c r="G30" i="8"/>
  <c r="E30" i="8"/>
  <c r="F24" i="8"/>
  <c r="G24" i="8"/>
  <c r="G25" i="8" s="1"/>
  <c r="E24" i="8"/>
  <c r="F21" i="8"/>
  <c r="G21" i="8"/>
  <c r="F18" i="8"/>
  <c r="F26" i="8" s="1"/>
  <c r="G18" i="8"/>
  <c r="E18" i="8"/>
  <c r="E21" i="8"/>
  <c r="B24" i="8"/>
  <c r="B21" i="8"/>
  <c r="B18" i="8"/>
  <c r="Q210" i="8" a="1"/>
  <c r="Q210" i="8" s="1"/>
  <c r="Q207" i="8" a="1"/>
  <c r="Q207" i="8" s="1"/>
  <c r="H62" i="8"/>
  <c r="I62" i="8"/>
  <c r="J62" i="8"/>
  <c r="K62" i="8"/>
  <c r="L62" i="8"/>
  <c r="M62" i="8"/>
  <c r="N62" i="8"/>
  <c r="O62" i="8"/>
  <c r="P62" i="8"/>
  <c r="Q62" i="8"/>
  <c r="I71" i="8"/>
  <c r="J71" i="8"/>
  <c r="K71" i="8"/>
  <c r="L71" i="8"/>
  <c r="M71" i="8"/>
  <c r="N71" i="8"/>
  <c r="O71" i="8"/>
  <c r="P71" i="8"/>
  <c r="Q71" i="8"/>
  <c r="E84" i="8"/>
  <c r="E121" i="8"/>
  <c r="E168" i="8"/>
  <c r="P196" i="8"/>
  <c r="H196" i="8" s="1"/>
  <c r="H195" i="8" s="1"/>
  <c r="I195" i="8" s="1"/>
  <c r="J195" i="8" s="1"/>
  <c r="K195" i="8" s="1"/>
  <c r="L195" i="8" s="1"/>
  <c r="M195" i="8" s="1"/>
  <c r="N195" i="8" s="1"/>
  <c r="O195" i="8" s="1"/>
  <c r="P195" i="8" s="1"/>
  <c r="Q195" i="8" s="1"/>
  <c r="E213" i="8"/>
  <c r="D30" i="8"/>
  <c r="F28" i="8"/>
  <c r="G28" i="8"/>
  <c r="F15" i="8"/>
  <c r="G15" i="8"/>
  <c r="H15" i="8" s="1"/>
  <c r="I15" i="8" s="1"/>
  <c r="J15" i="8" s="1"/>
  <c r="K15" i="8" s="1"/>
  <c r="L15" i="8" s="1"/>
  <c r="M15" i="8" s="1"/>
  <c r="N15" i="8" s="1"/>
  <c r="O15" i="8" s="1"/>
  <c r="P15" i="8" s="1"/>
  <c r="Q15" i="8" s="1"/>
  <c r="G22" i="8"/>
  <c r="F10" i="8"/>
  <c r="G20" i="6"/>
  <c r="E40" i="8" l="1"/>
  <c r="E34" i="8"/>
  <c r="E37" i="8"/>
  <c r="F22" i="8"/>
  <c r="F126" i="8"/>
  <c r="F221" i="8"/>
  <c r="E79" i="8"/>
  <c r="G79" i="8"/>
  <c r="G182" i="8" s="1"/>
  <c r="F227" i="8"/>
  <c r="E148" i="8"/>
  <c r="E151" i="8"/>
  <c r="E154" i="8"/>
  <c r="F190" i="8"/>
  <c r="G221" i="8"/>
  <c r="G148" i="8"/>
  <c r="H148" i="8" s="1"/>
  <c r="E111" i="8"/>
  <c r="E186" i="8"/>
  <c r="F154" i="8"/>
  <c r="F148" i="8"/>
  <c r="E123" i="8"/>
  <c r="E219" i="8" s="1"/>
  <c r="E215" i="8"/>
  <c r="F215" i="8"/>
  <c r="G215" i="8"/>
  <c r="G51" i="8"/>
  <c r="F51" i="8"/>
  <c r="E190" i="8"/>
  <c r="E227" i="8"/>
  <c r="G154" i="8"/>
  <c r="G37" i="8"/>
  <c r="G31" i="8"/>
  <c r="G171" i="8" s="1"/>
  <c r="F37" i="8"/>
  <c r="G190" i="8"/>
  <c r="F48" i="8"/>
  <c r="G227" i="8"/>
  <c r="G43" i="8"/>
  <c r="H66" i="8"/>
  <c r="I66" i="8" s="1"/>
  <c r="J66" i="8" s="1"/>
  <c r="E43" i="8"/>
  <c r="F151" i="8"/>
  <c r="H54" i="8"/>
  <c r="G34" i="8"/>
  <c r="F40" i="8"/>
  <c r="F34" i="8"/>
  <c r="F19" i="8"/>
  <c r="E26" i="8"/>
  <c r="E48" i="8"/>
  <c r="F31" i="8"/>
  <c r="F171" i="8" s="1"/>
  <c r="G126" i="8"/>
  <c r="G40" i="8"/>
  <c r="G121" i="8"/>
  <c r="G84" i="8"/>
  <c r="G213" i="8"/>
  <c r="G26" i="8"/>
  <c r="F25" i="8"/>
  <c r="E171" i="8"/>
  <c r="G168" i="8"/>
  <c r="H57" i="8"/>
  <c r="H56" i="8" s="1"/>
  <c r="G82" i="8"/>
  <c r="G97" i="8"/>
  <c r="G60" i="8"/>
  <c r="G177" i="8" s="1"/>
  <c r="G170" i="8"/>
  <c r="F43" i="8"/>
  <c r="G48" i="8"/>
  <c r="F184" i="8"/>
  <c r="F219" i="8"/>
  <c r="G19" i="8"/>
  <c r="H28" i="8"/>
  <c r="E91" i="8"/>
  <c r="E102" i="8"/>
  <c r="E170" i="8"/>
  <c r="F121" i="8"/>
  <c r="F84" i="8"/>
  <c r="F168" i="8"/>
  <c r="F213" i="8"/>
  <c r="F91" i="8"/>
  <c r="F102" i="8"/>
  <c r="F82" i="8"/>
  <c r="F97" i="8"/>
  <c r="G219" i="8"/>
  <c r="G151" i="8"/>
  <c r="G119" i="8"/>
  <c r="F114" i="8"/>
  <c r="E126" i="8"/>
  <c r="F119" i="8"/>
  <c r="F111" i="8"/>
  <c r="F94" i="8"/>
  <c r="E119" i="8"/>
  <c r="G114" i="8"/>
  <c r="E94" i="8"/>
  <c r="H69" i="8"/>
  <c r="E114" i="8"/>
  <c r="E97" i="8"/>
  <c r="E82" i="8"/>
  <c r="F60" i="8"/>
  <c r="F177" i="8" s="1"/>
  <c r="G91" i="8"/>
  <c r="E60" i="8"/>
  <c r="E177" i="8" s="1"/>
  <c r="G102" i="8"/>
  <c r="G111" i="8"/>
  <c r="G94" i="8"/>
  <c r="G18" i="6"/>
  <c r="F229" i="8" l="1"/>
  <c r="F159" i="8" s="1"/>
  <c r="G192" i="8"/>
  <c r="E229" i="8"/>
  <c r="E159" i="8" s="1"/>
  <c r="I148" i="8"/>
  <c r="J148" i="8" s="1"/>
  <c r="E184" i="8"/>
  <c r="G229" i="8"/>
  <c r="H156" i="8" s="1"/>
  <c r="I40" i="8"/>
  <c r="H111" i="8"/>
  <c r="I111" i="8" s="1"/>
  <c r="H126" i="8"/>
  <c r="I126" i="8" s="1"/>
  <c r="I54" i="8"/>
  <c r="J54" i="8" s="1"/>
  <c r="H79" i="8"/>
  <c r="G21" i="6" s="1"/>
  <c r="E182" i="8"/>
  <c r="H119" i="8"/>
  <c r="I119" i="8" s="1"/>
  <c r="H34" i="8"/>
  <c r="I34" i="8" s="1"/>
  <c r="F182" i="8"/>
  <c r="F192" i="8" s="1"/>
  <c r="H94" i="8"/>
  <c r="I94" i="8" s="1"/>
  <c r="H91" i="8"/>
  <c r="I91" i="8" s="1"/>
  <c r="I57" i="8"/>
  <c r="H97" i="8"/>
  <c r="I97" i="8" s="1"/>
  <c r="H102" i="8"/>
  <c r="I102" i="8" s="1"/>
  <c r="I69" i="8"/>
  <c r="J69" i="8" s="1"/>
  <c r="H121" i="8"/>
  <c r="H84" i="8"/>
  <c r="H168" i="8"/>
  <c r="I28" i="8"/>
  <c r="H213" i="8"/>
  <c r="I213" i="8" s="1"/>
  <c r="J213" i="8" s="1"/>
  <c r="K213" i="8" s="1"/>
  <c r="L213" i="8" s="1"/>
  <c r="M213" i="8" s="1"/>
  <c r="N213" i="8" s="1"/>
  <c r="O213" i="8" s="1"/>
  <c r="P213" i="8" s="1"/>
  <c r="Q213" i="8" s="1"/>
  <c r="K66" i="8"/>
  <c r="K12" i="6"/>
  <c r="N48" i="28"/>
  <c r="M48" i="28"/>
  <c r="L48" i="28"/>
  <c r="K48" i="28"/>
  <c r="J48" i="28"/>
  <c r="I48" i="28"/>
  <c r="H48" i="28"/>
  <c r="G48" i="28"/>
  <c r="O48" i="28"/>
  <c r="P48" i="28"/>
  <c r="J57" i="8" l="1"/>
  <c r="G159" i="8"/>
  <c r="H159" i="8" s="1"/>
  <c r="I159" i="8" s="1"/>
  <c r="E192" i="8"/>
  <c r="J40" i="8"/>
  <c r="K40" i="8" s="1"/>
  <c r="K54" i="8"/>
  <c r="I79" i="8"/>
  <c r="J34" i="8"/>
  <c r="K34" i="8" s="1"/>
  <c r="L34" i="8" s="1"/>
  <c r="J94" i="8"/>
  <c r="K94" i="8" s="1"/>
  <c r="J126" i="8"/>
  <c r="K126" i="8" s="1"/>
  <c r="K148" i="8"/>
  <c r="I121" i="8"/>
  <c r="I84" i="8"/>
  <c r="I168" i="8"/>
  <c r="J28" i="8"/>
  <c r="J119" i="8"/>
  <c r="K119" i="8" s="1"/>
  <c r="L119" i="8" s="1"/>
  <c r="J91" i="8"/>
  <c r="K69" i="8"/>
  <c r="L69" i="8" s="1"/>
  <c r="J102" i="8"/>
  <c r="K102" i="8" s="1"/>
  <c r="L66" i="8"/>
  <c r="M66" i="8" s="1"/>
  <c r="J97" i="8"/>
  <c r="J111" i="8"/>
  <c r="R4" i="28"/>
  <c r="C17" i="17" a="1"/>
  <c r="C17" i="17"/>
  <c r="O8" i="17"/>
  <c r="O9" i="17"/>
  <c r="O10" i="17"/>
  <c r="O11" i="17"/>
  <c r="O12" i="17"/>
  <c r="O13" i="17"/>
  <c r="O14" i="17"/>
  <c r="O15" i="17"/>
  <c r="O16" i="17"/>
  <c r="O7" i="17"/>
  <c r="N16" i="17"/>
  <c r="N15" i="17"/>
  <c r="N14" i="17"/>
  <c r="N13" i="17"/>
  <c r="N12" i="17"/>
  <c r="N11" i="17"/>
  <c r="N10" i="17"/>
  <c r="N9" i="17"/>
  <c r="N8" i="17"/>
  <c r="N7" i="17"/>
  <c r="M8" i="17"/>
  <c r="M9" i="17"/>
  <c r="M10" i="17"/>
  <c r="M11" i="17"/>
  <c r="M12" i="17"/>
  <c r="M13" i="17"/>
  <c r="M14" i="17"/>
  <c r="M15" i="17"/>
  <c r="M16" i="17"/>
  <c r="M7" i="17"/>
  <c r="L8" i="17"/>
  <c r="L9" i="17"/>
  <c r="L10" i="17"/>
  <c r="L11" i="17"/>
  <c r="L12" i="17"/>
  <c r="L13" i="17"/>
  <c r="L14" i="17"/>
  <c r="L15" i="17"/>
  <c r="L16" i="17"/>
  <c r="L7" i="17"/>
  <c r="K16" i="17"/>
  <c r="K15" i="17"/>
  <c r="K14" i="17"/>
  <c r="K13" i="17"/>
  <c r="K12" i="17"/>
  <c r="K11" i="17"/>
  <c r="K10" i="17"/>
  <c r="K9" i="17"/>
  <c r="K8" i="17"/>
  <c r="K7" i="17"/>
  <c r="J8" i="17"/>
  <c r="J9" i="17"/>
  <c r="J10" i="17"/>
  <c r="J11" i="17"/>
  <c r="J12" i="17"/>
  <c r="J13" i="17"/>
  <c r="J14" i="17"/>
  <c r="J15" i="17"/>
  <c r="J16" i="17"/>
  <c r="J7" i="17"/>
  <c r="E14" i="17"/>
  <c r="D14" i="17"/>
  <c r="J98" i="17"/>
  <c r="J100" i="17"/>
  <c r="J101" i="17"/>
  <c r="J102" i="17"/>
  <c r="J103" i="17"/>
  <c r="J104" i="17"/>
  <c r="J105" i="17"/>
  <c r="I12" i="17" s="1"/>
  <c r="J106" i="17"/>
  <c r="J108" i="17"/>
  <c r="J111" i="17"/>
  <c r="J112" i="17"/>
  <c r="J113" i="17"/>
  <c r="J114" i="17"/>
  <c r="J115" i="17"/>
  <c r="J116" i="17"/>
  <c r="J117" i="17"/>
  <c r="J118" i="17"/>
  <c r="J119" i="17"/>
  <c r="J120" i="17"/>
  <c r="J121" i="17"/>
  <c r="J122" i="17"/>
  <c r="J123" i="17"/>
  <c r="J126" i="17"/>
  <c r="J127" i="17"/>
  <c r="J128" i="17"/>
  <c r="J129" i="17"/>
  <c r="J130" i="17"/>
  <c r="J131" i="17"/>
  <c r="J132" i="17"/>
  <c r="J97" i="17"/>
  <c r="J96" i="17"/>
  <c r="J95" i="17"/>
  <c r="J94" i="17"/>
  <c r="J93" i="17"/>
  <c r="AB99" i="17"/>
  <c r="J99" i="17"/>
  <c r="D77" i="17"/>
  <c r="D76" i="17"/>
  <c r="D75" i="17"/>
  <c r="D72" i="17"/>
  <c r="O72" i="17" s="1"/>
  <c r="M99" i="17"/>
  <c r="N99" i="17"/>
  <c r="H99" i="17"/>
  <c r="I99" i="17"/>
  <c r="G99" i="17"/>
  <c r="Q76" i="9"/>
  <c r="Q50" i="9"/>
  <c r="G11" i="3"/>
  <c r="H11" i="3"/>
  <c r="H2" i="3"/>
  <c r="I11" i="3"/>
  <c r="I2" i="3"/>
  <c r="F11" i="3"/>
  <c r="M7" i="4"/>
  <c r="M8" i="4"/>
  <c r="M6" i="4"/>
  <c r="D7" i="4"/>
  <c r="J10" i="6" s="1"/>
  <c r="D8" i="4"/>
  <c r="J11" i="6" s="1"/>
  <c r="D6" i="4"/>
  <c r="J9" i="6" s="1"/>
  <c r="J12" i="6" s="1"/>
  <c r="D13" i="4"/>
  <c r="I13" i="4"/>
  <c r="L99" i="17"/>
  <c r="K99" i="17"/>
  <c r="F99" i="17"/>
  <c r="E99" i="17"/>
  <c r="D17" i="4"/>
  <c r="E6" i="3"/>
  <c r="Q102" i="9"/>
  <c r="P102" i="9"/>
  <c r="O102" i="9"/>
  <c r="N102" i="9"/>
  <c r="M102" i="9"/>
  <c r="L102" i="9"/>
  <c r="K102" i="9"/>
  <c r="J102" i="9"/>
  <c r="I102" i="9"/>
  <c r="H102" i="9"/>
  <c r="G102" i="9"/>
  <c r="P100" i="9"/>
  <c r="O100" i="9"/>
  <c r="N100" i="9"/>
  <c r="M100" i="9"/>
  <c r="L100" i="9"/>
  <c r="K100" i="9"/>
  <c r="J100" i="9"/>
  <c r="I100" i="9"/>
  <c r="H100" i="9"/>
  <c r="G100" i="9"/>
  <c r="Q99" i="9"/>
  <c r="P99" i="9"/>
  <c r="O99" i="9"/>
  <c r="N99" i="9"/>
  <c r="M99" i="9"/>
  <c r="L99" i="9"/>
  <c r="K99" i="9"/>
  <c r="J99" i="9"/>
  <c r="I99" i="9"/>
  <c r="H99" i="9"/>
  <c r="G99" i="9"/>
  <c r="E40" i="4"/>
  <c r="F40" i="4"/>
  <c r="I40" i="4"/>
  <c r="I10" i="17"/>
  <c r="I7" i="17"/>
  <c r="H25" i="19"/>
  <c r="Q43" i="9"/>
  <c r="Q47" i="9"/>
  <c r="Q46" i="9"/>
  <c r="Q14" i="9"/>
  <c r="G2" i="3"/>
  <c r="J2" i="3"/>
  <c r="D38" i="4"/>
  <c r="D37" i="4"/>
  <c r="D40" i="4"/>
  <c r="G90" i="9"/>
  <c r="H90" i="9"/>
  <c r="I90" i="9"/>
  <c r="J90" i="9"/>
  <c r="K90" i="9"/>
  <c r="L90" i="9"/>
  <c r="M90" i="9"/>
  <c r="N90" i="9"/>
  <c r="O90" i="9"/>
  <c r="P90" i="9"/>
  <c r="G47" i="9"/>
  <c r="G43" i="9"/>
  <c r="H43" i="9"/>
  <c r="I43" i="9"/>
  <c r="J43" i="9"/>
  <c r="N21" i="9"/>
  <c r="G14" i="9"/>
  <c r="H14" i="9"/>
  <c r="M59" i="9"/>
  <c r="N59" i="9"/>
  <c r="M43" i="9"/>
  <c r="N43" i="9"/>
  <c r="P91" i="9"/>
  <c r="O91" i="9"/>
  <c r="N91" i="9"/>
  <c r="I14" i="9"/>
  <c r="J14" i="9"/>
  <c r="K14" i="9"/>
  <c r="L14" i="9"/>
  <c r="M14" i="9"/>
  <c r="N14" i="9"/>
  <c r="O14" i="9"/>
  <c r="P14" i="9"/>
  <c r="O43" i="9"/>
  <c r="O47" i="9"/>
  <c r="P43" i="9"/>
  <c r="P47" i="9"/>
  <c r="O21" i="9"/>
  <c r="U15" i="19"/>
  <c r="U14" i="19"/>
  <c r="L9" i="27"/>
  <c r="K9" i="27"/>
  <c r="L8" i="27"/>
  <c r="K8" i="27"/>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L58" i="11"/>
  <c r="K58" i="11"/>
  <c r="J58" i="11"/>
  <c r="I58" i="11"/>
  <c r="H58" i="11"/>
  <c r="G58" i="11"/>
  <c r="F58" i="11"/>
  <c r="O53" i="11"/>
  <c r="P53" i="11"/>
  <c r="H53" i="11"/>
  <c r="I53" i="11"/>
  <c r="J53" i="11"/>
  <c r="K53" i="11"/>
  <c r="L53" i="11"/>
  <c r="M53" i="11"/>
  <c r="G53" i="11"/>
  <c r="P55" i="11"/>
  <c r="O55" i="11"/>
  <c r="N55" i="11"/>
  <c r="M55" i="11"/>
  <c r="L55" i="11"/>
  <c r="K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M19" i="11"/>
  <c r="I16" i="17"/>
  <c r="I15" i="17"/>
  <c r="I14" i="17"/>
  <c r="I13" i="17"/>
  <c r="I11" i="17"/>
  <c r="I9" i="17"/>
  <c r="I8" i="17"/>
  <c r="H16" i="17"/>
  <c r="H15" i="17"/>
  <c r="H14" i="17"/>
  <c r="H13" i="17"/>
  <c r="H12" i="17"/>
  <c r="H11" i="17"/>
  <c r="H10" i="17"/>
  <c r="H9" i="17"/>
  <c r="H8" i="17"/>
  <c r="H7" i="17"/>
  <c r="G16" i="17"/>
  <c r="G15" i="17"/>
  <c r="G14" i="17"/>
  <c r="G13" i="17"/>
  <c r="G12" i="17"/>
  <c r="G11" i="17"/>
  <c r="G10" i="17"/>
  <c r="G9" i="17"/>
  <c r="G8" i="17"/>
  <c r="G7" i="17"/>
  <c r="F16" i="17"/>
  <c r="F15" i="17"/>
  <c r="F14" i="17"/>
  <c r="F13" i="17"/>
  <c r="F12" i="17"/>
  <c r="F11" i="17"/>
  <c r="F10" i="17"/>
  <c r="F9" i="17"/>
  <c r="F8" i="17"/>
  <c r="F7" i="17"/>
  <c r="E16" i="17"/>
  <c r="E15" i="17"/>
  <c r="E13" i="17"/>
  <c r="E12" i="17"/>
  <c r="E11" i="17"/>
  <c r="E10" i="17"/>
  <c r="E9" i="17"/>
  <c r="E8" i="17"/>
  <c r="E7" i="17"/>
  <c r="D16" i="17"/>
  <c r="D15" i="17"/>
  <c r="D13" i="17"/>
  <c r="D12" i="17"/>
  <c r="D11" i="17"/>
  <c r="D10" i="17"/>
  <c r="D9" i="17"/>
  <c r="D8" i="17"/>
  <c r="D7" i="17"/>
  <c r="N73" i="17" a="1"/>
  <c r="N73" i="17" s="1"/>
  <c r="N74" i="17" s="1"/>
  <c r="N18" i="6" s="1"/>
  <c r="M73" i="17" a="1"/>
  <c r="M73" i="17" s="1"/>
  <c r="M74" i="17" s="1"/>
  <c r="N17" i="6" s="1"/>
  <c r="L73" i="17" a="1"/>
  <c r="L73" i="17" s="1"/>
  <c r="L74" i="17" s="1"/>
  <c r="N16" i="6" s="1"/>
  <c r="K73" i="17" a="1"/>
  <c r="K73" i="17" s="1"/>
  <c r="K74" i="17" s="1"/>
  <c r="N15" i="6" s="1"/>
  <c r="J73" i="17" a="1"/>
  <c r="J73" i="17" s="1"/>
  <c r="J74" i="17" s="1"/>
  <c r="N14" i="6" s="1"/>
  <c r="I73" i="17" a="1"/>
  <c r="I73" i="17" s="1"/>
  <c r="I74" i="17" s="1"/>
  <c r="N13" i="6" s="1"/>
  <c r="H73" i="17" a="1"/>
  <c r="H73" i="17" s="1"/>
  <c r="H74" i="17" s="1"/>
  <c r="N12" i="6" s="1"/>
  <c r="G73" i="17" a="1"/>
  <c r="G73" i="17" s="1"/>
  <c r="G74" i="17" s="1"/>
  <c r="N11" i="6" s="1"/>
  <c r="F73" i="17" a="1"/>
  <c r="F73" i="17" s="1"/>
  <c r="F74" i="17" s="1"/>
  <c r="N10" i="6" s="1"/>
  <c r="E73" i="17" a="1"/>
  <c r="E73" i="17" s="1"/>
  <c r="E74" i="17" s="1"/>
  <c r="N9" i="6" s="1"/>
  <c r="E69" i="3"/>
  <c r="E63" i="3"/>
  <c r="E57" i="3"/>
  <c r="E51" i="3"/>
  <c r="E44" i="3"/>
  <c r="Q121" i="9"/>
  <c r="P121" i="9"/>
  <c r="O121" i="9"/>
  <c r="N121" i="9"/>
  <c r="M121" i="9"/>
  <c r="L121" i="9"/>
  <c r="K121" i="9"/>
  <c r="J121" i="9"/>
  <c r="I121" i="9"/>
  <c r="H121" i="9"/>
  <c r="G121" i="9"/>
  <c r="Q120" i="9"/>
  <c r="P120" i="9"/>
  <c r="O120" i="9"/>
  <c r="N120" i="9"/>
  <c r="M120" i="9"/>
  <c r="L120" i="9"/>
  <c r="K120" i="9"/>
  <c r="J120" i="9"/>
  <c r="I120" i="9"/>
  <c r="H120" i="9"/>
  <c r="G120" i="9"/>
  <c r="Q119" i="9"/>
  <c r="P119" i="9"/>
  <c r="O119" i="9"/>
  <c r="N119" i="9"/>
  <c r="M119" i="9"/>
  <c r="L119" i="9"/>
  <c r="K119" i="9"/>
  <c r="J119" i="9"/>
  <c r="I119" i="9"/>
  <c r="H119" i="9"/>
  <c r="G119" i="9"/>
  <c r="Q115" i="9"/>
  <c r="P115" i="9"/>
  <c r="O115" i="9"/>
  <c r="N115" i="9"/>
  <c r="M115" i="9"/>
  <c r="L115" i="9"/>
  <c r="K115" i="9"/>
  <c r="J115" i="9"/>
  <c r="I115" i="9"/>
  <c r="H115" i="9"/>
  <c r="G115" i="9"/>
  <c r="Q114" i="9"/>
  <c r="P114" i="9"/>
  <c r="O114" i="9"/>
  <c r="N114" i="9"/>
  <c r="M114" i="9"/>
  <c r="L114" i="9"/>
  <c r="K114" i="9"/>
  <c r="J114" i="9"/>
  <c r="I114" i="9"/>
  <c r="H114" i="9"/>
  <c r="G114" i="9"/>
  <c r="M79" i="9"/>
  <c r="V73" i="19"/>
  <c r="V72" i="19"/>
  <c r="V71" i="19"/>
  <c r="V70" i="19"/>
  <c r="V69" i="19"/>
  <c r="V68" i="19"/>
  <c r="V67" i="19"/>
  <c r="V66" i="19"/>
  <c r="V65" i="19"/>
  <c r="V64" i="19"/>
  <c r="V63" i="19"/>
  <c r="V62" i="19"/>
  <c r="V61" i="19"/>
  <c r="P61" i="11"/>
  <c r="O61" i="11"/>
  <c r="N61" i="11"/>
  <c r="M61" i="11"/>
  <c r="L61" i="11"/>
  <c r="K61" i="11"/>
  <c r="J61" i="11"/>
  <c r="I61" i="11"/>
  <c r="H61" i="11"/>
  <c r="G61" i="11"/>
  <c r="F61" i="11"/>
  <c r="N66" i="17"/>
  <c r="M66" i="17"/>
  <c r="L66" i="17"/>
  <c r="K66" i="17"/>
  <c r="J66" i="17"/>
  <c r="I66" i="17"/>
  <c r="H66" i="17"/>
  <c r="G66" i="17"/>
  <c r="F66" i="17"/>
  <c r="E66" i="17"/>
  <c r="K16" i="27"/>
  <c r="K15" i="27"/>
  <c r="K14" i="27"/>
  <c r="K13" i="27"/>
  <c r="K12" i="27"/>
  <c r="N65" i="17"/>
  <c r="M65" i="17"/>
  <c r="L65" i="17"/>
  <c r="K65" i="17"/>
  <c r="J65" i="17"/>
  <c r="I65" i="17"/>
  <c r="H65" i="17"/>
  <c r="G65" i="17"/>
  <c r="F65" i="17"/>
  <c r="E65" i="17"/>
  <c r="J7" i="3"/>
  <c r="K7" i="3"/>
  <c r="L7" i="3"/>
  <c r="M7" i="3"/>
  <c r="N7" i="3"/>
  <c r="O7" i="3"/>
  <c r="P7" i="3"/>
  <c r="J8" i="3"/>
  <c r="K8" i="3"/>
  <c r="L8" i="3"/>
  <c r="M8" i="3"/>
  <c r="N8" i="3"/>
  <c r="O8" i="3"/>
  <c r="P8" i="3"/>
  <c r="J6" i="3"/>
  <c r="N62" i="17"/>
  <c r="M62" i="17"/>
  <c r="L62" i="17"/>
  <c r="K62" i="17"/>
  <c r="J62" i="17"/>
  <c r="I62" i="17"/>
  <c r="H62" i="17"/>
  <c r="G62" i="17"/>
  <c r="F62" i="17"/>
  <c r="E62" i="17"/>
  <c r="I105" i="9"/>
  <c r="J105" i="9"/>
  <c r="K105" i="9"/>
  <c r="L105" i="9"/>
  <c r="M105" i="9"/>
  <c r="N105" i="9"/>
  <c r="O105" i="9"/>
  <c r="P105" i="9"/>
  <c r="Q105" i="9"/>
  <c r="N64" i="17"/>
  <c r="M64" i="17"/>
  <c r="L64" i="17"/>
  <c r="K64" i="17"/>
  <c r="J64" i="17"/>
  <c r="I64" i="17"/>
  <c r="H64" i="17"/>
  <c r="G64" i="17"/>
  <c r="F64" i="17"/>
  <c r="E64" i="17"/>
  <c r="K6" i="3"/>
  <c r="J11" i="3"/>
  <c r="AN292" i="8"/>
  <c r="AN282" i="8"/>
  <c r="F63" i="17"/>
  <c r="G63" i="17"/>
  <c r="H63" i="17"/>
  <c r="I63" i="17"/>
  <c r="J63" i="17"/>
  <c r="K63" i="17"/>
  <c r="L63" i="17"/>
  <c r="M63" i="17"/>
  <c r="N63" i="17"/>
  <c r="E67" i="17"/>
  <c r="F67" i="17"/>
  <c r="G67" i="17"/>
  <c r="H67" i="17"/>
  <c r="I67" i="17"/>
  <c r="J67" i="17"/>
  <c r="K67" i="17"/>
  <c r="L67" i="17"/>
  <c r="M67" i="17"/>
  <c r="N67" i="17"/>
  <c r="E63" i="17"/>
  <c r="L6" i="3"/>
  <c r="K11" i="3"/>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R77" i="28" s="1"/>
  <c r="Q76" i="28"/>
  <c r="P76" i="28"/>
  <c r="O76" i="28"/>
  <c r="N76" i="28"/>
  <c r="M76" i="28"/>
  <c r="L76" i="28"/>
  <c r="K76" i="28"/>
  <c r="J76" i="28"/>
  <c r="I76" i="28"/>
  <c r="H76" i="28"/>
  <c r="G76" i="28"/>
  <c r="R76" i="28" s="1"/>
  <c r="H74" i="28"/>
  <c r="I74" i="28"/>
  <c r="J74" i="28"/>
  <c r="K74" i="28"/>
  <c r="L74" i="28"/>
  <c r="M74" i="28"/>
  <c r="N74" i="28"/>
  <c r="O74" i="28"/>
  <c r="P74" i="28"/>
  <c r="Q74" i="28"/>
  <c r="H24" i="17"/>
  <c r="N35" i="17"/>
  <c r="M35" i="17"/>
  <c r="L35" i="17"/>
  <c r="K35" i="17"/>
  <c r="I35" i="17"/>
  <c r="H35" i="17"/>
  <c r="G35" i="17"/>
  <c r="F35" i="17"/>
  <c r="E35" i="17"/>
  <c r="N34" i="17"/>
  <c r="M34" i="17"/>
  <c r="L34" i="17"/>
  <c r="K34" i="17"/>
  <c r="J34" i="17"/>
  <c r="I34" i="17"/>
  <c r="H34" i="17"/>
  <c r="G34" i="17"/>
  <c r="F34" i="17"/>
  <c r="E34" i="17"/>
  <c r="N33" i="17"/>
  <c r="M33" i="17"/>
  <c r="L33" i="17"/>
  <c r="K33" i="17"/>
  <c r="J33" i="17"/>
  <c r="I33" i="17"/>
  <c r="H33" i="17"/>
  <c r="G33" i="17"/>
  <c r="F33" i="17"/>
  <c r="E33" i="17"/>
  <c r="N32" i="17"/>
  <c r="M32" i="17"/>
  <c r="L32" i="17"/>
  <c r="K32" i="17"/>
  <c r="I32" i="17"/>
  <c r="H32" i="17"/>
  <c r="G32" i="17"/>
  <c r="F32" i="17"/>
  <c r="E32" i="17"/>
  <c r="N31" i="17"/>
  <c r="M31" i="17"/>
  <c r="L31" i="17"/>
  <c r="K31" i="17"/>
  <c r="I31" i="17"/>
  <c r="H31" i="17"/>
  <c r="G31" i="17"/>
  <c r="F31" i="17"/>
  <c r="E31" i="17"/>
  <c r="N30" i="17"/>
  <c r="M30" i="17"/>
  <c r="L30" i="17"/>
  <c r="K30" i="17"/>
  <c r="J30" i="17"/>
  <c r="I30" i="17"/>
  <c r="H30" i="17"/>
  <c r="G30" i="17"/>
  <c r="F30" i="17"/>
  <c r="E30" i="17"/>
  <c r="N40" i="17"/>
  <c r="M40" i="17"/>
  <c r="L40" i="17"/>
  <c r="K40" i="17"/>
  <c r="J40" i="17"/>
  <c r="I40" i="17"/>
  <c r="H40" i="17"/>
  <c r="G40" i="17"/>
  <c r="F40" i="17"/>
  <c r="E40" i="17"/>
  <c r="N39" i="17"/>
  <c r="M39" i="17"/>
  <c r="L39" i="17"/>
  <c r="K39" i="17"/>
  <c r="J39" i="17"/>
  <c r="I39" i="17"/>
  <c r="H39" i="17"/>
  <c r="G39" i="17"/>
  <c r="F39" i="17"/>
  <c r="E39" i="17"/>
  <c r="N47" i="17"/>
  <c r="M47" i="17"/>
  <c r="L47" i="17"/>
  <c r="K47" i="17"/>
  <c r="J47" i="17"/>
  <c r="I47" i="17"/>
  <c r="H47" i="17"/>
  <c r="G47" i="17"/>
  <c r="F47" i="17"/>
  <c r="E47" i="17"/>
  <c r="N46" i="17"/>
  <c r="M46" i="17"/>
  <c r="L46" i="17"/>
  <c r="K46" i="17"/>
  <c r="J46" i="17"/>
  <c r="I46" i="17"/>
  <c r="H46" i="17"/>
  <c r="G46" i="17"/>
  <c r="F46" i="17"/>
  <c r="E46" i="17"/>
  <c r="N45" i="17"/>
  <c r="M45" i="17"/>
  <c r="L45" i="17"/>
  <c r="K45" i="17"/>
  <c r="J45" i="17"/>
  <c r="I45" i="17"/>
  <c r="H45" i="17"/>
  <c r="G45" i="17"/>
  <c r="F45" i="17"/>
  <c r="E45" i="17"/>
  <c r="O77" i="17"/>
  <c r="O76" i="17"/>
  <c r="O75" i="17"/>
  <c r="O68" i="17"/>
  <c r="N61" i="17"/>
  <c r="M61" i="17"/>
  <c r="L61" i="17"/>
  <c r="K61" i="17"/>
  <c r="J61" i="17"/>
  <c r="I61" i="17"/>
  <c r="H61" i="17"/>
  <c r="G61" i="17"/>
  <c r="F61" i="17"/>
  <c r="E61" i="17"/>
  <c r="N60" i="17"/>
  <c r="M60" i="17"/>
  <c r="L60" i="17"/>
  <c r="K60" i="17"/>
  <c r="J60" i="17"/>
  <c r="I60" i="17"/>
  <c r="H60" i="17"/>
  <c r="G60" i="17"/>
  <c r="F60" i="17"/>
  <c r="E60" i="17"/>
  <c r="H60" i="28"/>
  <c r="I60" i="28"/>
  <c r="J60" i="28"/>
  <c r="K60" i="28"/>
  <c r="L60" i="28"/>
  <c r="M60" i="28"/>
  <c r="N60" i="28"/>
  <c r="O60" i="28"/>
  <c r="P60" i="28"/>
  <c r="Q60" i="28"/>
  <c r="H46" i="28"/>
  <c r="I46" i="28"/>
  <c r="J46" i="28"/>
  <c r="K46" i="28"/>
  <c r="L46" i="28"/>
  <c r="M46" i="28"/>
  <c r="N46" i="28"/>
  <c r="O46" i="28"/>
  <c r="P46" i="28"/>
  <c r="Q46" i="28"/>
  <c r="H18" i="28"/>
  <c r="I18" i="28"/>
  <c r="J18" i="28"/>
  <c r="K18" i="28"/>
  <c r="L18" i="28"/>
  <c r="M18" i="28"/>
  <c r="N18" i="28"/>
  <c r="O18" i="28"/>
  <c r="P18" i="28"/>
  <c r="Q18" i="28"/>
  <c r="H32" i="28"/>
  <c r="I32" i="28"/>
  <c r="J32" i="28"/>
  <c r="K32" i="28"/>
  <c r="L32" i="28"/>
  <c r="M32" i="28"/>
  <c r="N32" i="28"/>
  <c r="O32" i="28"/>
  <c r="P32" i="28"/>
  <c r="Q32" i="28"/>
  <c r="H4" i="28"/>
  <c r="M6" i="3"/>
  <c r="L11" i="3"/>
  <c r="I4" i="28"/>
  <c r="O25" i="19"/>
  <c r="P25" i="19"/>
  <c r="Q25" i="19"/>
  <c r="R25" i="19"/>
  <c r="O53" i="19"/>
  <c r="P53" i="19"/>
  <c r="Q53" i="19"/>
  <c r="R53" i="19"/>
  <c r="O45" i="19"/>
  <c r="P45" i="19"/>
  <c r="Q45" i="19"/>
  <c r="R45" i="19"/>
  <c r="O40" i="19"/>
  <c r="P40" i="19"/>
  <c r="Q40" i="19"/>
  <c r="R40" i="19"/>
  <c r="O35" i="19"/>
  <c r="P35" i="19"/>
  <c r="Q35" i="19"/>
  <c r="R35" i="19"/>
  <c r="O17" i="19"/>
  <c r="P17" i="19"/>
  <c r="Q17" i="19"/>
  <c r="R17" i="19"/>
  <c r="G17" i="19"/>
  <c r="H17" i="19"/>
  <c r="I17" i="19"/>
  <c r="D27" i="19"/>
  <c r="D28" i="19"/>
  <c r="D29" i="19"/>
  <c r="D30" i="19"/>
  <c r="D31" i="19"/>
  <c r="D32" i="19"/>
  <c r="D33" i="19"/>
  <c r="O79" i="17"/>
  <c r="O70" i="17"/>
  <c r="O49" i="17"/>
  <c r="O43" i="17"/>
  <c r="O37" i="17"/>
  <c r="O58" i="17"/>
  <c r="H26" i="17"/>
  <c r="H25" i="17"/>
  <c r="H23" i="17"/>
  <c r="U9" i="19" a="1"/>
  <c r="U9" i="19" s="1"/>
  <c r="G9" i="6" a="1"/>
  <c r="G9" i="6" s="1"/>
  <c r="G23" i="6" s="1"/>
  <c r="G19" i="6" s="1"/>
  <c r="D6" i="19" a="1"/>
  <c r="D6" i="19" s="1"/>
  <c r="N6" i="3"/>
  <c r="M11" i="3"/>
  <c r="J4" i="28"/>
  <c r="O47" i="11"/>
  <c r="P47" i="11"/>
  <c r="Q47" i="11"/>
  <c r="R47" i="11"/>
  <c r="G47" i="11"/>
  <c r="H47" i="11"/>
  <c r="I47" i="11"/>
  <c r="J47" i="11"/>
  <c r="K47" i="11"/>
  <c r="L47" i="11"/>
  <c r="M47" i="11"/>
  <c r="O38" i="11"/>
  <c r="P38" i="11"/>
  <c r="Q38" i="11"/>
  <c r="R38" i="11"/>
  <c r="G38" i="11"/>
  <c r="H38" i="11"/>
  <c r="I38" i="11"/>
  <c r="J38" i="11"/>
  <c r="K38" i="11"/>
  <c r="L38" i="11"/>
  <c r="M38" i="11"/>
  <c r="O31" i="11"/>
  <c r="P31" i="11"/>
  <c r="Q31" i="11"/>
  <c r="R31" i="11"/>
  <c r="G31" i="11"/>
  <c r="H31" i="11"/>
  <c r="I31" i="11"/>
  <c r="J31" i="11"/>
  <c r="K31" i="11"/>
  <c r="L31" i="11"/>
  <c r="M31" i="11"/>
  <c r="O25" i="11"/>
  <c r="P25" i="11"/>
  <c r="Q25" i="11"/>
  <c r="R25" i="11"/>
  <c r="G25" i="11"/>
  <c r="H25" i="11"/>
  <c r="I25" i="11"/>
  <c r="J25" i="11"/>
  <c r="K25" i="11"/>
  <c r="L25" i="11"/>
  <c r="M25" i="11"/>
  <c r="O13" i="11"/>
  <c r="P13" i="11"/>
  <c r="Q13" i="11"/>
  <c r="R13" i="11"/>
  <c r="G13" i="11"/>
  <c r="H13" i="11"/>
  <c r="I13" i="11"/>
  <c r="J13" i="11"/>
  <c r="K13" i="11"/>
  <c r="L13" i="11"/>
  <c r="M13" i="11"/>
  <c r="G4" i="11"/>
  <c r="H4" i="11"/>
  <c r="I4" i="11"/>
  <c r="J4" i="11"/>
  <c r="K4" i="11"/>
  <c r="L4" i="11"/>
  <c r="M4" i="11"/>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E52" i="17"/>
  <c r="N51" i="17"/>
  <c r="M51" i="17"/>
  <c r="L51" i="17"/>
  <c r="K51" i="17"/>
  <c r="J51" i="17"/>
  <c r="I51" i="17"/>
  <c r="H51" i="17"/>
  <c r="G51" i="17"/>
  <c r="F51" i="17"/>
  <c r="E51" i="17"/>
  <c r="N41" i="17"/>
  <c r="M41" i="17"/>
  <c r="L41" i="17"/>
  <c r="K41" i="17"/>
  <c r="J41" i="17"/>
  <c r="I41" i="17"/>
  <c r="H41" i="17"/>
  <c r="G41" i="17"/>
  <c r="F41" i="17"/>
  <c r="E41" i="17"/>
  <c r="A16" i="17"/>
  <c r="B16" i="17" s="1" a="1"/>
  <c r="B16" i="17" s="1"/>
  <c r="A15" i="17"/>
  <c r="B15" i="17" s="1" a="1"/>
  <c r="B15" i="17" s="1"/>
  <c r="A14" i="17"/>
  <c r="B14" i="17" s="1" a="1"/>
  <c r="B14" i="17" s="1"/>
  <c r="A13" i="17"/>
  <c r="B13" i="17" s="1" a="1"/>
  <c r="B13" i="17" s="1"/>
  <c r="B13" i="28" s="1"/>
  <c r="A12" i="17"/>
  <c r="B12" i="17" s="1" a="1"/>
  <c r="B12" i="17" s="1"/>
  <c r="A11" i="17"/>
  <c r="B11" i="17" s="1" a="1"/>
  <c r="B11" i="17" s="1"/>
  <c r="A10" i="17"/>
  <c r="B10" i="17" s="1" a="1"/>
  <c r="B10" i="17" s="1"/>
  <c r="H28" i="17" s="1"/>
  <c r="H79" i="17" s="1"/>
  <c r="A9" i="17"/>
  <c r="B9" i="17" s="1" a="1"/>
  <c r="B9" i="17" s="1"/>
  <c r="A8" i="17"/>
  <c r="B8" i="17" s="1" a="1"/>
  <c r="B8" i="17" s="1"/>
  <c r="A7" i="17"/>
  <c r="B7" i="17" s="1" a="1"/>
  <c r="B7" i="17" s="1"/>
  <c r="D91" i="17"/>
  <c r="D73" i="17" s="1" a="1"/>
  <c r="D73" i="17" s="1"/>
  <c r="Q53" i="11"/>
  <c r="R53" i="11"/>
  <c r="S203" i="8"/>
  <c r="R203" i="8"/>
  <c r="S202" i="8"/>
  <c r="R202" i="8"/>
  <c r="W9" i="8"/>
  <c r="W10" i="8"/>
  <c r="W11" i="8"/>
  <c r="W12" i="8"/>
  <c r="W13" i="8"/>
  <c r="W14" i="8"/>
  <c r="H111" i="9"/>
  <c r="I111" i="9"/>
  <c r="J111" i="9"/>
  <c r="K111" i="9"/>
  <c r="L111" i="9"/>
  <c r="M111" i="9"/>
  <c r="N111" i="9"/>
  <c r="O111" i="9"/>
  <c r="P111" i="9"/>
  <c r="Q111" i="9"/>
  <c r="N67" i="9"/>
  <c r="M67" i="9"/>
  <c r="I67" i="9"/>
  <c r="L67" i="9"/>
  <c r="K67" i="9"/>
  <c r="J67" i="9"/>
  <c r="H67" i="9"/>
  <c r="N76" i="9"/>
  <c r="M58" i="11"/>
  <c r="P58" i="11"/>
  <c r="H55" i="9"/>
  <c r="I55" i="9"/>
  <c r="N55" i="9"/>
  <c r="I50" i="9"/>
  <c r="M50" i="9"/>
  <c r="H32" i="9"/>
  <c r="G28" i="11"/>
  <c r="K32" i="9"/>
  <c r="J28" i="11"/>
  <c r="L32" i="9"/>
  <c r="K28" i="11"/>
  <c r="P55" i="9"/>
  <c r="P113" i="9"/>
  <c r="M55" i="9"/>
  <c r="I17" i="9"/>
  <c r="G8" i="9"/>
  <c r="F21" i="11"/>
  <c r="Q49" i="11"/>
  <c r="Q54" i="19" s="1"/>
  <c r="D106" i="17"/>
  <c r="D107" i="17"/>
  <c r="O6" i="3"/>
  <c r="N11" i="3"/>
  <c r="I113" i="9"/>
  <c r="M113" i="9"/>
  <c r="G32" i="9"/>
  <c r="Q55" i="9"/>
  <c r="Q100" i="9"/>
  <c r="G50" i="9"/>
  <c r="G53" i="9"/>
  <c r="G59" i="9"/>
  <c r="G12" i="9"/>
  <c r="L68" i="9"/>
  <c r="K4" i="28"/>
  <c r="P32" i="9"/>
  <c r="O28" i="11"/>
  <c r="O37" i="19" s="1"/>
  <c r="J17" i="9"/>
  <c r="M17" i="9"/>
  <c r="P68" i="9"/>
  <c r="N17" i="9"/>
  <c r="O32" i="9"/>
  <c r="L50" i="9"/>
  <c r="L53" i="9"/>
  <c r="L59" i="9"/>
  <c r="J55" i="9"/>
  <c r="G55" i="9"/>
  <c r="H68" i="9"/>
  <c r="G37" i="9"/>
  <c r="L37" i="9"/>
  <c r="O33" i="11"/>
  <c r="F35" i="11"/>
  <c r="AH9" i="8"/>
  <c r="P67" i="9"/>
  <c r="G17" i="9"/>
  <c r="K17" i="9"/>
  <c r="H37" i="9"/>
  <c r="N32" i="9"/>
  <c r="H50" i="9"/>
  <c r="Q32" i="9"/>
  <c r="P28" i="11"/>
  <c r="P37" i="19" s="1"/>
  <c r="M32" i="9"/>
  <c r="L28" i="11"/>
  <c r="I32" i="9"/>
  <c r="H28" i="11"/>
  <c r="F33" i="11"/>
  <c r="AI9" i="8"/>
  <c r="N50" i="9"/>
  <c r="J50" i="9"/>
  <c r="I68" i="9"/>
  <c r="M68" i="9"/>
  <c r="Q68" i="9"/>
  <c r="P76" i="9"/>
  <c r="O58" i="11"/>
  <c r="G67" i="9"/>
  <c r="J32" i="9"/>
  <c r="I28" i="11"/>
  <c r="O53" i="9"/>
  <c r="K37" i="9"/>
  <c r="K50" i="9"/>
  <c r="G35" i="11"/>
  <c r="O55" i="9"/>
  <c r="O113" i="9"/>
  <c r="K55" i="9"/>
  <c r="G68" i="9"/>
  <c r="K68" i="9"/>
  <c r="O68" i="9"/>
  <c r="O76" i="9"/>
  <c r="N58" i="11"/>
  <c r="H17" i="9"/>
  <c r="L17" i="9"/>
  <c r="M33" i="11"/>
  <c r="L35" i="11"/>
  <c r="H35" i="11"/>
  <c r="F34" i="11"/>
  <c r="J68" i="9"/>
  <c r="N68" i="9"/>
  <c r="G56" i="17"/>
  <c r="I26" i="17"/>
  <c r="I25" i="17"/>
  <c r="I24" i="17"/>
  <c r="I23" i="17"/>
  <c r="L56" i="17"/>
  <c r="I56" i="17"/>
  <c r="E56" i="17"/>
  <c r="M56" i="17"/>
  <c r="F56" i="17"/>
  <c r="N56" i="17"/>
  <c r="H56" i="17"/>
  <c r="J56" i="17"/>
  <c r="K56" i="17"/>
  <c r="Q39" i="9"/>
  <c r="N39" i="9"/>
  <c r="N47" i="9"/>
  <c r="M39" i="9"/>
  <c r="L39" i="9"/>
  <c r="K39" i="9"/>
  <c r="J39" i="9"/>
  <c r="I39" i="9"/>
  <c r="H39" i="9"/>
  <c r="G39" i="9"/>
  <c r="G46" i="9"/>
  <c r="O17" i="9"/>
  <c r="P17" i="9"/>
  <c r="G91" i="9"/>
  <c r="H91" i="9"/>
  <c r="I91" i="9"/>
  <c r="J91" i="9"/>
  <c r="K91" i="9"/>
  <c r="L91" i="9"/>
  <c r="M91" i="9"/>
  <c r="Q91" i="9"/>
  <c r="M53" i="9"/>
  <c r="I53" i="9"/>
  <c r="I59" i="9"/>
  <c r="I58" i="9"/>
  <c r="L58" i="9"/>
  <c r="M58" i="9"/>
  <c r="N58" i="9"/>
  <c r="P58" i="9"/>
  <c r="Q58" i="9"/>
  <c r="Q17" i="9"/>
  <c r="O4" i="11"/>
  <c r="P4" i="11"/>
  <c r="Q4" i="11"/>
  <c r="H64" i="9"/>
  <c r="I64" i="9"/>
  <c r="J64" i="9"/>
  <c r="K64" i="9"/>
  <c r="L64" i="9"/>
  <c r="M64" i="9"/>
  <c r="N64" i="9"/>
  <c r="O64" i="9"/>
  <c r="P64" i="9"/>
  <c r="Q64" i="9"/>
  <c r="H30" i="9"/>
  <c r="I30" i="9"/>
  <c r="J30" i="9"/>
  <c r="K30" i="9"/>
  <c r="L30" i="9"/>
  <c r="M30" i="9"/>
  <c r="N30" i="9"/>
  <c r="O30" i="9"/>
  <c r="P30" i="9"/>
  <c r="Q30" i="9"/>
  <c r="H4" i="9"/>
  <c r="L10" i="8"/>
  <c r="C13" i="8"/>
  <c r="F35" i="4"/>
  <c r="G35" i="4"/>
  <c r="H35" i="4"/>
  <c r="I35" i="4"/>
  <c r="J35" i="4"/>
  <c r="K35" i="4"/>
  <c r="L35" i="4"/>
  <c r="M35" i="4"/>
  <c r="N35" i="4"/>
  <c r="O35" i="4"/>
  <c r="P35" i="4"/>
  <c r="Q35" i="4"/>
  <c r="R35" i="4"/>
  <c r="S35" i="4"/>
  <c r="T35" i="4"/>
  <c r="B30" i="4"/>
  <c r="B29" i="4"/>
  <c r="I22" i="4"/>
  <c r="H22" i="4"/>
  <c r="G22" i="4"/>
  <c r="F22" i="4"/>
  <c r="E22" i="4"/>
  <c r="N21" i="4"/>
  <c r="M21" i="4"/>
  <c r="L21" i="4"/>
  <c r="K21" i="4"/>
  <c r="N20" i="4"/>
  <c r="M20" i="4"/>
  <c r="L20" i="4"/>
  <c r="K20" i="4"/>
  <c r="N19" i="4"/>
  <c r="M19" i="4"/>
  <c r="L19" i="4"/>
  <c r="K19" i="4"/>
  <c r="D19" i="4"/>
  <c r="E8" i="3"/>
  <c r="N18" i="4"/>
  <c r="M18" i="4"/>
  <c r="L18" i="4"/>
  <c r="K18" i="4"/>
  <c r="D18" i="4"/>
  <c r="E7" i="3"/>
  <c r="N17" i="4"/>
  <c r="M17" i="4"/>
  <c r="L17" i="4"/>
  <c r="K17" i="4"/>
  <c r="L15" i="4"/>
  <c r="M15" i="4"/>
  <c r="N15" i="4"/>
  <c r="F15" i="4"/>
  <c r="G15" i="4"/>
  <c r="H15" i="4"/>
  <c r="I15" i="4"/>
  <c r="H13" i="4"/>
  <c r="G13" i="4"/>
  <c r="F13" i="4"/>
  <c r="E13" i="4"/>
  <c r="N10" i="4"/>
  <c r="M10" i="4"/>
  <c r="L10" i="4"/>
  <c r="K10" i="4"/>
  <c r="N9" i="4"/>
  <c r="M9" i="4"/>
  <c r="L9" i="4"/>
  <c r="N8" i="4"/>
  <c r="L8" i="4"/>
  <c r="N7" i="4"/>
  <c r="L7" i="4"/>
  <c r="N6" i="4"/>
  <c r="L6" i="4"/>
  <c r="L4" i="4"/>
  <c r="M4" i="4"/>
  <c r="N4" i="4"/>
  <c r="F4" i="4"/>
  <c r="G4" i="3"/>
  <c r="D119" i="17"/>
  <c r="D93" i="17"/>
  <c r="K33" i="11"/>
  <c r="D130" i="17"/>
  <c r="L33" i="11"/>
  <c r="D113" i="17"/>
  <c r="N35" i="11"/>
  <c r="H33" i="11"/>
  <c r="L34" i="11"/>
  <c r="M34" i="11"/>
  <c r="J34" i="11"/>
  <c r="D128" i="17"/>
  <c r="D129" i="17"/>
  <c r="D104" i="17"/>
  <c r="N33" i="11"/>
  <c r="O34" i="11"/>
  <c r="K34" i="11"/>
  <c r="J33" i="11"/>
  <c r="D98" i="17"/>
  <c r="D111" i="17"/>
  <c r="D112" i="17"/>
  <c r="J35" i="11"/>
  <c r="D114" i="17"/>
  <c r="O35" i="11"/>
  <c r="I35" i="11"/>
  <c r="D94" i="17"/>
  <c r="M35" i="11"/>
  <c r="D126" i="17"/>
  <c r="D131" i="17"/>
  <c r="D115" i="17"/>
  <c r="N34" i="11"/>
  <c r="G33" i="11"/>
  <c r="I34" i="11"/>
  <c r="D97" i="17"/>
  <c r="G28" i="3" s="1" a="1"/>
  <c r="I33" i="11"/>
  <c r="G34" i="11"/>
  <c r="K35" i="11"/>
  <c r="H34" i="11"/>
  <c r="D118" i="17"/>
  <c r="D127" i="17"/>
  <c r="D132" i="17"/>
  <c r="P6" i="3"/>
  <c r="O11" i="3"/>
  <c r="D120" i="17"/>
  <c r="Q113" i="9"/>
  <c r="Q116" i="9"/>
  <c r="D116" i="17"/>
  <c r="J113" i="9"/>
  <c r="J116" i="9"/>
  <c r="K113" i="9"/>
  <c r="K116" i="9"/>
  <c r="H53" i="9"/>
  <c r="H59" i="9"/>
  <c r="H58" i="9"/>
  <c r="H113" i="9"/>
  <c r="H116" i="9"/>
  <c r="K53" i="9"/>
  <c r="K59" i="9"/>
  <c r="L113" i="9"/>
  <c r="L116" i="9"/>
  <c r="F28" i="11"/>
  <c r="F18" i="11"/>
  <c r="F44" i="11"/>
  <c r="N113" i="9"/>
  <c r="M28" i="11"/>
  <c r="N28" i="11"/>
  <c r="N37" i="19" s="1"/>
  <c r="H4" i="3"/>
  <c r="G113" i="9"/>
  <c r="G116" i="9"/>
  <c r="F45" i="11"/>
  <c r="P53" i="9"/>
  <c r="N37" i="9"/>
  <c r="J53" i="9"/>
  <c r="J59" i="9"/>
  <c r="J58" i="9"/>
  <c r="O58" i="9"/>
  <c r="K58" i="9"/>
  <c r="G24" i="17"/>
  <c r="G58" i="9"/>
  <c r="N53" i="9"/>
  <c r="Q37" i="9"/>
  <c r="L4" i="28"/>
  <c r="C9" i="27"/>
  <c r="E27" i="19"/>
  <c r="E26" i="19"/>
  <c r="E28" i="19"/>
  <c r="I37" i="9"/>
  <c r="M37" i="9"/>
  <c r="M116" i="9"/>
  <c r="I116" i="9"/>
  <c r="O67" i="9"/>
  <c r="D22" i="4"/>
  <c r="N22" i="4"/>
  <c r="H40" i="4"/>
  <c r="Q67" i="9"/>
  <c r="J37" i="9"/>
  <c r="G4" i="4"/>
  <c r="K13" i="4"/>
  <c r="L13" i="4"/>
  <c r="M13" i="4"/>
  <c r="N13" i="4"/>
  <c r="K22" i="4"/>
  <c r="L22" i="4"/>
  <c r="R4" i="11"/>
  <c r="H8" i="9"/>
  <c r="G21" i="11"/>
  <c r="J8" i="9"/>
  <c r="I21" i="11"/>
  <c r="L8" i="9"/>
  <c r="K21" i="11"/>
  <c r="M8" i="9"/>
  <c r="L21" i="11"/>
  <c r="N8" i="9"/>
  <c r="M21" i="11"/>
  <c r="K8" i="9"/>
  <c r="J21" i="11"/>
  <c r="I8" i="9"/>
  <c r="H21" i="11"/>
  <c r="O8" i="9"/>
  <c r="N21" i="11"/>
  <c r="N31" i="19" s="1"/>
  <c r="P8" i="9"/>
  <c r="O21" i="11"/>
  <c r="O31" i="19" s="1"/>
  <c r="Q8" i="9"/>
  <c r="P21" i="11"/>
  <c r="P31" i="19" s="1"/>
  <c r="I4" i="9"/>
  <c r="K40" i="4"/>
  <c r="J40" i="4"/>
  <c r="G40" i="4"/>
  <c r="M22" i="4"/>
  <c r="E11" i="3"/>
  <c r="D102" i="17"/>
  <c r="AD9" i="8"/>
  <c r="P34" i="11"/>
  <c r="P33" i="11"/>
  <c r="P35" i="11"/>
  <c r="AD7" i="8"/>
  <c r="I4" i="3"/>
  <c r="P11" i="3"/>
  <c r="F43" i="11"/>
  <c r="L45" i="11"/>
  <c r="N116" i="9"/>
  <c r="J4" i="3"/>
  <c r="G23" i="17"/>
  <c r="G26" i="17"/>
  <c r="G25" i="17"/>
  <c r="O116" i="9"/>
  <c r="M4" i="28"/>
  <c r="P116" i="9"/>
  <c r="AE9" i="8"/>
  <c r="Q12" i="9"/>
  <c r="P12" i="9"/>
  <c r="O12" i="9"/>
  <c r="I12" i="9"/>
  <c r="K12" i="9"/>
  <c r="N12" i="9"/>
  <c r="M12" i="9"/>
  <c r="L12" i="9"/>
  <c r="J12" i="9"/>
  <c r="H12" i="9"/>
  <c r="H4" i="4"/>
  <c r="J4" i="9"/>
  <c r="L40" i="4"/>
  <c r="D117" i="17"/>
  <c r="D99" i="17"/>
  <c r="K4" i="3"/>
  <c r="L4" i="3"/>
  <c r="M4" i="3"/>
  <c r="N4" i="3"/>
  <c r="O4" i="3"/>
  <c r="P4" i="3"/>
  <c r="Q4" i="3"/>
  <c r="Q9" i="3"/>
  <c r="Q10" i="3"/>
  <c r="Q8" i="3"/>
  <c r="Q7" i="3"/>
  <c r="Q6" i="3"/>
  <c r="Q11" i="3"/>
  <c r="P45" i="11"/>
  <c r="P44" i="11"/>
  <c r="P51" i="19" s="1"/>
  <c r="P43" i="11"/>
  <c r="P49" i="19" s="1"/>
  <c r="P18" i="11"/>
  <c r="P29" i="19" s="1"/>
  <c r="I18" i="11"/>
  <c r="I45" i="11"/>
  <c r="I44" i="11"/>
  <c r="I43" i="11"/>
  <c r="J43" i="11"/>
  <c r="J45" i="11"/>
  <c r="J44" i="11"/>
  <c r="J18" i="11"/>
  <c r="H44" i="11"/>
  <c r="H43" i="11"/>
  <c r="H45" i="11"/>
  <c r="H18" i="11"/>
  <c r="G18" i="11"/>
  <c r="G43" i="11"/>
  <c r="G44" i="11"/>
  <c r="G45" i="11"/>
  <c r="K44" i="11"/>
  <c r="K45" i="11"/>
  <c r="K18" i="11"/>
  <c r="K43" i="11"/>
  <c r="L18" i="11"/>
  <c r="L44" i="11"/>
  <c r="L43" i="11"/>
  <c r="M18" i="11"/>
  <c r="M44" i="11"/>
  <c r="M43" i="11"/>
  <c r="M45" i="11"/>
  <c r="N45" i="11"/>
  <c r="N44" i="11"/>
  <c r="N51" i="19" s="1"/>
  <c r="N18" i="11"/>
  <c r="N29" i="19" s="1"/>
  <c r="N43" i="11"/>
  <c r="N49" i="19" s="1"/>
  <c r="O45" i="11"/>
  <c r="O18" i="11"/>
  <c r="O29" i="19" s="1"/>
  <c r="O44" i="11"/>
  <c r="O51" i="19" s="1"/>
  <c r="O43" i="11"/>
  <c r="O49" i="19" s="1"/>
  <c r="N4" i="28"/>
  <c r="C11" i="27"/>
  <c r="C10" i="27"/>
  <c r="C7" i="27"/>
  <c r="C8" i="27"/>
  <c r="J16" i="9"/>
  <c r="I16" i="9"/>
  <c r="I21" i="9"/>
  <c r="Q16" i="9"/>
  <c r="L16" i="9"/>
  <c r="L21" i="9"/>
  <c r="N19" i="11"/>
  <c r="N30" i="19" s="1"/>
  <c r="M16" i="9"/>
  <c r="P16" i="9"/>
  <c r="P21" i="9"/>
  <c r="G16" i="9"/>
  <c r="G21" i="9"/>
  <c r="H16" i="9"/>
  <c r="K16" i="9"/>
  <c r="I4" i="4"/>
  <c r="K4" i="9"/>
  <c r="M40" i="4"/>
  <c r="F51" i="11"/>
  <c r="F50" i="11"/>
  <c r="K50" i="11"/>
  <c r="O51" i="11"/>
  <c r="O56" i="19" s="1"/>
  <c r="M51" i="11"/>
  <c r="I50" i="11"/>
  <c r="D100" i="17"/>
  <c r="M50" i="11"/>
  <c r="J50" i="11"/>
  <c r="L51" i="11"/>
  <c r="L50" i="11"/>
  <c r="P51" i="11"/>
  <c r="P56" i="19" s="1"/>
  <c r="N51" i="11"/>
  <c r="N56" i="19" s="1"/>
  <c r="D95" i="17"/>
  <c r="K51" i="11"/>
  <c r="O50" i="11"/>
  <c r="O55" i="19" s="1"/>
  <c r="I51" i="11"/>
  <c r="H50" i="11"/>
  <c r="H51" i="11"/>
  <c r="J51" i="11"/>
  <c r="N50" i="11"/>
  <c r="N55" i="19" s="1"/>
  <c r="G51" i="11"/>
  <c r="G50" i="11"/>
  <c r="P50" i="11"/>
  <c r="P55" i="19" s="1"/>
  <c r="J13" i="4"/>
  <c r="J19" i="4"/>
  <c r="H25" i="8" s="1"/>
  <c r="H24" i="8" s="1"/>
  <c r="I24" i="8" s="1"/>
  <c r="J24" i="8" s="1"/>
  <c r="K24" i="8" s="1"/>
  <c r="L24" i="8" s="1"/>
  <c r="M24" i="8" s="1"/>
  <c r="N24" i="8" s="1"/>
  <c r="O24" i="8" s="1"/>
  <c r="P24" i="8" s="1"/>
  <c r="Q24" i="8" s="1"/>
  <c r="J18" i="4"/>
  <c r="H22" i="8" s="1"/>
  <c r="H21" i="8" s="1"/>
  <c r="I21" i="8" s="1"/>
  <c r="J21" i="8" s="1"/>
  <c r="K21" i="8" s="1"/>
  <c r="L21" i="8" s="1"/>
  <c r="M21" i="8" s="1"/>
  <c r="N21" i="8" s="1"/>
  <c r="O21" i="8" s="1"/>
  <c r="P21" i="8" s="1"/>
  <c r="Q21" i="8" s="1"/>
  <c r="J17" i="4"/>
  <c r="H19" i="8" s="1"/>
  <c r="J6" i="4"/>
  <c r="J7" i="4"/>
  <c r="J8" i="4"/>
  <c r="K21" i="9"/>
  <c r="H21" i="9"/>
  <c r="J21" i="9"/>
  <c r="P19" i="11"/>
  <c r="P30" i="19" s="1"/>
  <c r="J19" i="11"/>
  <c r="K19" i="11"/>
  <c r="F19" i="11"/>
  <c r="H19" i="11"/>
  <c r="G19" i="11"/>
  <c r="I19" i="11"/>
  <c r="L19" i="11"/>
  <c r="O19" i="11"/>
  <c r="O30" i="19" s="1"/>
  <c r="O4" i="28"/>
  <c r="J22" i="4"/>
  <c r="J21" i="4"/>
  <c r="J20" i="4"/>
  <c r="J15" i="4"/>
  <c r="J4" i="4"/>
  <c r="J10" i="4"/>
  <c r="J9" i="4"/>
  <c r="L4" i="9"/>
  <c r="N40" i="4"/>
  <c r="F49" i="11"/>
  <c r="M49" i="11"/>
  <c r="D121" i="17"/>
  <c r="L49" i="11"/>
  <c r="H49" i="11"/>
  <c r="N49" i="11"/>
  <c r="N54" i="19" s="1"/>
  <c r="J49" i="11"/>
  <c r="O49" i="11"/>
  <c r="O54" i="19" s="1"/>
  <c r="G49" i="11"/>
  <c r="K49" i="11"/>
  <c r="D101" i="17"/>
  <c r="P49" i="11"/>
  <c r="P54" i="19" s="1"/>
  <c r="I49" i="11"/>
  <c r="O20" i="11"/>
  <c r="P117" i="9"/>
  <c r="P118" i="9"/>
  <c r="P40" i="4"/>
  <c r="P4" i="28"/>
  <c r="M4" i="9"/>
  <c r="O40" i="4"/>
  <c r="O56" i="11"/>
  <c r="O15" i="11"/>
  <c r="O26" i="19" s="1"/>
  <c r="O23" i="11"/>
  <c r="O33" i="19" s="1"/>
  <c r="O57" i="11"/>
  <c r="P66" i="9"/>
  <c r="Q4" i="28"/>
  <c r="R81" i="28"/>
  <c r="Q40" i="4"/>
  <c r="N4" i="9"/>
  <c r="D96" i="17"/>
  <c r="P74" i="9"/>
  <c r="O63" i="11"/>
  <c r="O42" i="19" s="1"/>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R40" i="4"/>
  <c r="R18" i="28"/>
  <c r="R32" i="28"/>
  <c r="R46" i="28"/>
  <c r="R60" i="28"/>
  <c r="R74" i="28"/>
  <c r="O4" i="9"/>
  <c r="T40" i="4"/>
  <c r="S40" i="4"/>
  <c r="B93" i="17"/>
  <c r="P4" i="9"/>
  <c r="H4" i="17"/>
  <c r="D4" i="17"/>
  <c r="B94" i="17"/>
  <c r="Q4" i="9"/>
  <c r="R6" i="9"/>
  <c r="R116" i="9"/>
  <c r="B97" i="17"/>
  <c r="R119" i="9"/>
  <c r="R121" i="9"/>
  <c r="R120" i="9"/>
  <c r="I4" i="17"/>
  <c r="E4" i="17"/>
  <c r="R88" i="9"/>
  <c r="R111" i="9"/>
  <c r="R14" i="9"/>
  <c r="R114" i="9"/>
  <c r="R115" i="9"/>
  <c r="R13" i="9"/>
  <c r="R113" i="9"/>
  <c r="R77" i="9"/>
  <c r="R78" i="9"/>
  <c r="R80" i="9"/>
  <c r="R81" i="9"/>
  <c r="R82" i="9"/>
  <c r="R83" i="9"/>
  <c r="R50" i="9"/>
  <c r="R51" i="9"/>
  <c r="R56" i="9"/>
  <c r="R52" i="9"/>
  <c r="R42" i="9"/>
  <c r="R49" i="9"/>
  <c r="R41" i="9"/>
  <c r="R40" i="9"/>
  <c r="R34" i="9"/>
  <c r="R33" i="9"/>
  <c r="R10" i="9"/>
  <c r="R18" i="9"/>
  <c r="R19" i="9"/>
  <c r="R20" i="9"/>
  <c r="R17" i="9"/>
  <c r="R12" i="9"/>
  <c r="R87" i="9"/>
  <c r="R4" i="9"/>
  <c r="R30" i="9"/>
  <c r="R64" i="9"/>
  <c r="R68" i="9"/>
  <c r="R93" i="9"/>
  <c r="R35" i="9"/>
  <c r="R37" i="9"/>
  <c r="R90" i="9"/>
  <c r="R44" i="9"/>
  <c r="R91" i="9"/>
  <c r="R36" i="9"/>
  <c r="R67" i="9"/>
  <c r="R26" i="9"/>
  <c r="R15" i="9"/>
  <c r="R86" i="9"/>
  <c r="R28" i="9"/>
  <c r="R7" i="9"/>
  <c r="R89" i="9"/>
  <c r="R55" i="9"/>
  <c r="R25" i="9"/>
  <c r="R57" i="9"/>
  <c r="R9" i="9"/>
  <c r="R11" i="9"/>
  <c r="R32" i="9"/>
  <c r="R23" i="9"/>
  <c r="R8" i="9"/>
  <c r="R38" i="9"/>
  <c r="R16" i="9"/>
  <c r="R39" i="9"/>
  <c r="R76" i="9"/>
  <c r="R92" i="9"/>
  <c r="R75" i="9"/>
  <c r="E16" i="27"/>
  <c r="F16" i="27"/>
  <c r="D16" i="27"/>
  <c r="R53" i="9"/>
  <c r="R54" i="9"/>
  <c r="O60" i="9"/>
  <c r="N42" i="11"/>
  <c r="N48" i="19" s="1"/>
  <c r="N60" i="9"/>
  <c r="P60" i="9"/>
  <c r="O42" i="11"/>
  <c r="O48" i="19" s="1"/>
  <c r="M60" i="9"/>
  <c r="Q60" i="9"/>
  <c r="P42" i="11"/>
  <c r="P48" i="19" s="1"/>
  <c r="R58" i="9"/>
  <c r="R59" i="9"/>
  <c r="G79" i="9"/>
  <c r="G84" i="9"/>
  <c r="H79" i="9"/>
  <c r="I79" i="9"/>
  <c r="J79" i="9"/>
  <c r="K79" i="9"/>
  <c r="L79" i="9"/>
  <c r="N79" i="9"/>
  <c r="O79" i="9"/>
  <c r="P79" i="9"/>
  <c r="Q79" i="9"/>
  <c r="R60" i="9"/>
  <c r="O61" i="9"/>
  <c r="Q61" i="9"/>
  <c r="AF9" i="8"/>
  <c r="AG9" i="8"/>
  <c r="P61" i="9"/>
  <c r="R79" i="9"/>
  <c r="Q84" i="9"/>
  <c r="P84" i="9"/>
  <c r="O84" i="9"/>
  <c r="N84" i="9"/>
  <c r="M84" i="9"/>
  <c r="L84" i="9"/>
  <c r="K84" i="9"/>
  <c r="J84" i="9"/>
  <c r="I84" i="9"/>
  <c r="H84" i="9"/>
  <c r="R94" i="9"/>
  <c r="R85" i="9"/>
  <c r="P40" i="11"/>
  <c r="P46" i="19" s="1"/>
  <c r="P41" i="11"/>
  <c r="P47" i="19" s="1"/>
  <c r="N40" i="11"/>
  <c r="N46" i="19" s="1"/>
  <c r="N41" i="11"/>
  <c r="N47" i="19" s="1"/>
  <c r="O41" i="11"/>
  <c r="O47" i="19" s="1"/>
  <c r="O40" i="11"/>
  <c r="O46" i="19" s="1"/>
  <c r="O16" i="11"/>
  <c r="O27" i="19" s="1"/>
  <c r="O17" i="11"/>
  <c r="O28" i="19" s="1"/>
  <c r="R84" i="9"/>
  <c r="D122" i="17"/>
  <c r="F6" i="27"/>
  <c r="H6" i="27"/>
  <c r="G6" i="27"/>
  <c r="D6" i="27"/>
  <c r="E6" i="27"/>
  <c r="C18" i="27"/>
  <c r="C19" i="27"/>
  <c r="C17" i="27"/>
  <c r="R49" i="11"/>
  <c r="R54" i="19" s="1"/>
  <c r="N24" i="9"/>
  <c r="M56" i="11"/>
  <c r="N66" i="9"/>
  <c r="M23" i="11"/>
  <c r="M57" i="11"/>
  <c r="N117" i="9"/>
  <c r="N118" i="9"/>
  <c r="M20" i="11"/>
  <c r="M63" i="11"/>
  <c r="N74" i="9"/>
  <c r="N57" i="11"/>
  <c r="N23" i="11"/>
  <c r="N33" i="19" s="1"/>
  <c r="N56" i="11"/>
  <c r="O24" i="9"/>
  <c r="N16" i="11"/>
  <c r="N27" i="19" s="1"/>
  <c r="N20" i="11"/>
  <c r="N15" i="11"/>
  <c r="N26" i="19" s="1"/>
  <c r="O66" i="9"/>
  <c r="O74" i="9"/>
  <c r="N63" i="11"/>
  <c r="N42" i="19" s="1"/>
  <c r="M15" i="11"/>
  <c r="M42" i="11"/>
  <c r="N61" i="9"/>
  <c r="M17" i="11"/>
  <c r="M40" i="11"/>
  <c r="M41" i="11"/>
  <c r="M16" i="11"/>
  <c r="R43" i="9"/>
  <c r="R46" i="9"/>
  <c r="R47" i="9"/>
  <c r="G61" i="9"/>
  <c r="R61" i="9"/>
  <c r="F40" i="11"/>
  <c r="F41" i="11"/>
  <c r="F42" i="11"/>
  <c r="R48" i="9"/>
  <c r="L43" i="9"/>
  <c r="K43" i="9"/>
  <c r="I117" i="9"/>
  <c r="I118" i="9"/>
  <c r="K20" i="11"/>
  <c r="L117" i="9"/>
  <c r="L118" i="9"/>
  <c r="H117" i="9"/>
  <c r="H118" i="9"/>
  <c r="J117" i="9"/>
  <c r="J118" i="9"/>
  <c r="G20" i="11"/>
  <c r="K24" i="9"/>
  <c r="K117" i="9"/>
  <c r="K118" i="9"/>
  <c r="J20" i="11"/>
  <c r="I20" i="11"/>
  <c r="I57" i="11"/>
  <c r="J24" i="9"/>
  <c r="J66" i="9"/>
  <c r="H57" i="11"/>
  <c r="I24" i="9"/>
  <c r="I66" i="9"/>
  <c r="K56" i="11"/>
  <c r="L24" i="9"/>
  <c r="L66" i="9"/>
  <c r="G57" i="11"/>
  <c r="G56" i="11"/>
  <c r="H24" i="9"/>
  <c r="F20" i="11"/>
  <c r="G24" i="9"/>
  <c r="F15" i="11"/>
  <c r="G66" i="9"/>
  <c r="G74" i="9"/>
  <c r="H20" i="11"/>
  <c r="F57" i="11"/>
  <c r="J56" i="11"/>
  <c r="K57" i="11"/>
  <c r="J57" i="11"/>
  <c r="H23" i="11"/>
  <c r="I23" i="11"/>
  <c r="F23" i="11"/>
  <c r="I56" i="11"/>
  <c r="H56" i="11"/>
  <c r="F63" i="11"/>
  <c r="H66" i="9"/>
  <c r="G23" i="11"/>
  <c r="H63" i="11"/>
  <c r="I74" i="9"/>
  <c r="K66" i="9"/>
  <c r="L74" i="9"/>
  <c r="K63" i="11"/>
  <c r="K23" i="11"/>
  <c r="I63" i="11"/>
  <c r="J74" i="9"/>
  <c r="F16" i="11"/>
  <c r="J23" i="11"/>
  <c r="G117" i="9"/>
  <c r="F56" i="11"/>
  <c r="H74" i="9"/>
  <c r="G63" i="11"/>
  <c r="K74" i="9"/>
  <c r="J63" i="11"/>
  <c r="G118" i="9"/>
  <c r="F17" i="11"/>
  <c r="M117" i="9"/>
  <c r="M118" i="9"/>
  <c r="L23" i="11"/>
  <c r="L56" i="11"/>
  <c r="M24" i="9"/>
  <c r="L57" i="11"/>
  <c r="M21" i="9"/>
  <c r="L20" i="11"/>
  <c r="M66" i="9"/>
  <c r="M74" i="9"/>
  <c r="L63" i="11"/>
  <c r="H61" i="9"/>
  <c r="G40" i="11"/>
  <c r="G41" i="11"/>
  <c r="G15" i="11"/>
  <c r="H47" i="9"/>
  <c r="H46" i="9"/>
  <c r="G42" i="11"/>
  <c r="G17" i="11"/>
  <c r="G16" i="11"/>
  <c r="H42" i="11"/>
  <c r="H15" i="11"/>
  <c r="I47" i="9"/>
  <c r="I46" i="9"/>
  <c r="I61" i="9"/>
  <c r="H40" i="11"/>
  <c r="H41" i="11"/>
  <c r="H16" i="11"/>
  <c r="H17" i="11"/>
  <c r="J42" i="11"/>
  <c r="J15" i="11"/>
  <c r="K47" i="9"/>
  <c r="K46" i="9"/>
  <c r="K61" i="9"/>
  <c r="J17" i="11"/>
  <c r="I15" i="11"/>
  <c r="I42" i="11"/>
  <c r="J47" i="9"/>
  <c r="J46" i="9"/>
  <c r="J61" i="9"/>
  <c r="I40" i="11"/>
  <c r="L61" i="9"/>
  <c r="K41" i="11"/>
  <c r="K15" i="11"/>
  <c r="L47" i="9"/>
  <c r="L46" i="9"/>
  <c r="K42" i="11"/>
  <c r="I17" i="11"/>
  <c r="J41" i="11"/>
  <c r="I16" i="11"/>
  <c r="I41" i="11"/>
  <c r="K16" i="11"/>
  <c r="J40" i="11"/>
  <c r="J16" i="11"/>
  <c r="K17" i="11"/>
  <c r="K40" i="11"/>
  <c r="L15" i="11"/>
  <c r="L42" i="11"/>
  <c r="M47" i="9"/>
  <c r="M46" i="9"/>
  <c r="M61" i="9"/>
  <c r="L16" i="11"/>
  <c r="L40" i="11"/>
  <c r="L41" i="11"/>
  <c r="L17" i="11"/>
  <c r="Q117" i="9"/>
  <c r="R117" i="9"/>
  <c r="D103" i="17"/>
  <c r="Q24" i="9"/>
  <c r="P15" i="11"/>
  <c r="P26" i="19" s="1"/>
  <c r="P56" i="11"/>
  <c r="R22" i="9"/>
  <c r="Q21" i="9"/>
  <c r="R21" i="9"/>
  <c r="P20" i="11"/>
  <c r="P23" i="11"/>
  <c r="P33" i="19" s="1"/>
  <c r="P57" i="11"/>
  <c r="Q118" i="9"/>
  <c r="Q66" i="9"/>
  <c r="R24" i="9"/>
  <c r="D105" i="17"/>
  <c r="R66" i="9"/>
  <c r="P16" i="11"/>
  <c r="P27" i="19" s="1"/>
  <c r="R118" i="9"/>
  <c r="P17" i="11"/>
  <c r="P28" i="19" s="1"/>
  <c r="Q74" i="9"/>
  <c r="P63" i="11"/>
  <c r="P42" i="19" s="1"/>
  <c r="R74" i="9"/>
  <c r="G81" i="17" a="1"/>
  <c r="E82" i="17" a="1"/>
  <c r="G83" i="17" a="1"/>
  <c r="L83" i="17" a="1"/>
  <c r="I82" i="17" a="1"/>
  <c r="L98" i="9" a="1"/>
  <c r="O98" i="9" a="1"/>
  <c r="I83" i="17" a="1"/>
  <c r="H83" i="17" a="1"/>
  <c r="Q98" i="9" a="1"/>
  <c r="G82" i="17" a="1"/>
  <c r="P98" i="9" a="1"/>
  <c r="F83" i="17" a="1"/>
  <c r="J81" i="17" a="1"/>
  <c r="J83" i="17" a="1"/>
  <c r="J98" i="9" a="1"/>
  <c r="N81" i="17" a="1"/>
  <c r="L82" i="17" a="1"/>
  <c r="L81" i="17" a="1"/>
  <c r="M83" i="17" a="1"/>
  <c r="M81" i="17" a="1"/>
  <c r="H81" i="17" a="1"/>
  <c r="E83" i="17" a="1"/>
  <c r="F81" i="17" a="1"/>
  <c r="N83" i="17" a="1"/>
  <c r="H98" i="9" a="1"/>
  <c r="K98" i="9" a="1"/>
  <c r="I81" i="17" a="1"/>
  <c r="I98" i="9" a="1"/>
  <c r="M82" i="17" a="1"/>
  <c r="G98" i="9" a="1"/>
  <c r="M98" i="9" a="1"/>
  <c r="E81" i="17" a="1"/>
  <c r="N98" i="9" a="1"/>
  <c r="N82" i="17" a="1"/>
  <c r="F82" i="17" a="1"/>
  <c r="K81" i="17" a="1"/>
  <c r="K83" i="17" a="1"/>
  <c r="H82" i="17" a="1"/>
  <c r="J82" i="17" a="1"/>
  <c r="K82" i="17" a="1"/>
  <c r="K57" i="8" l="1"/>
  <c r="H18" i="8"/>
  <c r="H114" i="8"/>
  <c r="I114" i="8" s="1"/>
  <c r="J114" i="8" s="1"/>
  <c r="K114" i="8" s="1"/>
  <c r="L114" i="8" s="1"/>
  <c r="M114" i="8" s="1"/>
  <c r="N114" i="8" s="1"/>
  <c r="O114" i="8" s="1"/>
  <c r="P114" i="8" s="1"/>
  <c r="Q114" i="8" s="1"/>
  <c r="J35" i="17"/>
  <c r="J31" i="17"/>
  <c r="J32" i="17"/>
  <c r="L40" i="8"/>
  <c r="M40" i="8" s="1"/>
  <c r="J79" i="8"/>
  <c r="L54" i="8"/>
  <c r="M54" i="8" s="1"/>
  <c r="D63" i="17"/>
  <c r="O63" i="17" s="1"/>
  <c r="L102" i="8"/>
  <c r="M102" i="8" s="1"/>
  <c r="N102" i="8" s="1"/>
  <c r="M69" i="8"/>
  <c r="N69" i="8" s="1"/>
  <c r="M119" i="8"/>
  <c r="N119" i="8" s="1"/>
  <c r="O119" i="8" s="1"/>
  <c r="M34" i="8"/>
  <c r="L94" i="8"/>
  <c r="J84" i="8"/>
  <c r="J121" i="8"/>
  <c r="J168" i="8"/>
  <c r="K28" i="8"/>
  <c r="L126" i="8"/>
  <c r="M126" i="8" s="1"/>
  <c r="L148" i="8"/>
  <c r="K111" i="8"/>
  <c r="K97" i="8"/>
  <c r="N66" i="8"/>
  <c r="H158" i="8"/>
  <c r="J159" i="8"/>
  <c r="K159" i="8" s="1"/>
  <c r="K91" i="8"/>
  <c r="F6" i="17"/>
  <c r="F17" i="17" s="1"/>
  <c r="F18" i="17" s="1"/>
  <c r="G6" i="17"/>
  <c r="G17" i="17" s="1"/>
  <c r="G18" i="17" s="1"/>
  <c r="P50" i="19"/>
  <c r="D30" i="17"/>
  <c r="O30" i="17" s="1"/>
  <c r="D35" i="17"/>
  <c r="O35" i="17" s="1"/>
  <c r="D84" i="17" a="1"/>
  <c r="D84" i="17" s="1"/>
  <c r="O84" i="17" s="1"/>
  <c r="D47" i="17"/>
  <c r="O47" i="17" s="1"/>
  <c r="K36" i="11"/>
  <c r="Q33" i="11"/>
  <c r="D67" i="17"/>
  <c r="O67" i="17" s="1"/>
  <c r="D32" i="17"/>
  <c r="O32" i="17" s="1"/>
  <c r="E6" i="17"/>
  <c r="E17" i="17" s="1"/>
  <c r="E18" i="17" s="1"/>
  <c r="V31" i="19"/>
  <c r="D74" i="17"/>
  <c r="O74" i="17" s="1"/>
  <c r="G28" i="3"/>
  <c r="I28" i="3" s="1"/>
  <c r="I37" i="3"/>
  <c r="I36" i="3"/>
  <c r="I35" i="3"/>
  <c r="I34" i="3"/>
  <c r="I33" i="3"/>
  <c r="I32" i="3"/>
  <c r="I30" i="3"/>
  <c r="I29" i="3"/>
  <c r="I38" i="3"/>
  <c r="F7" i="27"/>
  <c r="G10" i="27"/>
  <c r="F18" i="27"/>
  <c r="L14" i="27"/>
  <c r="D55" i="17"/>
  <c r="O55" i="17" s="1"/>
  <c r="I26" i="19"/>
  <c r="D54" i="17"/>
  <c r="O54" i="17" s="1"/>
  <c r="M36" i="11"/>
  <c r="D52" i="17"/>
  <c r="O52" i="17" s="1"/>
  <c r="O50" i="19"/>
  <c r="D62" i="17"/>
  <c r="O62" i="17" s="1"/>
  <c r="N50" i="19"/>
  <c r="A6" i="17"/>
  <c r="K6" i="17" s="1" a="1"/>
  <c r="K6" i="17" s="1"/>
  <c r="B28" i="3"/>
  <c r="I36" i="11"/>
  <c r="O36" i="11"/>
  <c r="O41" i="19" s="1"/>
  <c r="D53" i="17"/>
  <c r="O53" i="17" s="1"/>
  <c r="H36" i="11"/>
  <c r="D60" i="17"/>
  <c r="O60" i="17" s="1"/>
  <c r="N36" i="11"/>
  <c r="N41" i="19" s="1"/>
  <c r="E9" i="27"/>
  <c r="H7" i="27"/>
  <c r="F8" i="27"/>
  <c r="G11" i="27"/>
  <c r="F19" i="27"/>
  <c r="L15" i="27"/>
  <c r="G7" i="27"/>
  <c r="L12" i="27"/>
  <c r="H10" i="27"/>
  <c r="F17" i="27"/>
  <c r="F9" i="27"/>
  <c r="D19" i="27"/>
  <c r="D18" i="27"/>
  <c r="H9" i="27"/>
  <c r="D10" i="27"/>
  <c r="L13" i="27"/>
  <c r="B9" i="28"/>
  <c r="B23" i="28" s="1"/>
  <c r="G28" i="17"/>
  <c r="G79" i="17" s="1"/>
  <c r="F26" i="19"/>
  <c r="P36" i="11"/>
  <c r="P41" i="19" s="1"/>
  <c r="AC7" i="8"/>
  <c r="D40" i="17"/>
  <c r="O40" i="17" s="1"/>
  <c r="D6" i="17"/>
  <c r="D17" i="17" s="1"/>
  <c r="D18" i="17" s="1"/>
  <c r="B10" i="28"/>
  <c r="B80" i="28" s="1"/>
  <c r="D34" i="17"/>
  <c r="O34" i="17" s="1"/>
  <c r="I31" i="3"/>
  <c r="AC9" i="8"/>
  <c r="I6" i="17"/>
  <c r="I17" i="17" s="1"/>
  <c r="I18" i="17" s="1"/>
  <c r="D51" i="17"/>
  <c r="O51" i="17" s="1"/>
  <c r="I28" i="19"/>
  <c r="D31" i="17"/>
  <c r="O31" i="17" s="1"/>
  <c r="H49" i="17"/>
  <c r="I27" i="19"/>
  <c r="D64" i="17"/>
  <c r="O64" i="17" s="1"/>
  <c r="D65" i="17"/>
  <c r="O65" i="17" s="1"/>
  <c r="H70" i="17"/>
  <c r="J36" i="11"/>
  <c r="F36" i="11"/>
  <c r="L36" i="11"/>
  <c r="G36" i="11"/>
  <c r="D61" i="17"/>
  <c r="O61" i="17" s="1"/>
  <c r="H6" i="17"/>
  <c r="M13" i="6"/>
  <c r="B11" i="28"/>
  <c r="B81" i="28" s="1"/>
  <c r="I28" i="17"/>
  <c r="D33" i="17"/>
  <c r="O33" i="17" s="1"/>
  <c r="B7" i="28"/>
  <c r="B35" i="28" s="1"/>
  <c r="M9" i="6"/>
  <c r="E28" i="17"/>
  <c r="M17" i="6"/>
  <c r="M28" i="17"/>
  <c r="M37" i="17" s="1"/>
  <c r="M58" i="17" s="1"/>
  <c r="B15" i="28"/>
  <c r="M12" i="6"/>
  <c r="D46" i="17"/>
  <c r="O46" i="17" s="1"/>
  <c r="M11" i="6"/>
  <c r="D45" i="17"/>
  <c r="O45" i="17" s="1"/>
  <c r="D39" i="17"/>
  <c r="O39" i="17" s="1"/>
  <c r="D66" i="17"/>
  <c r="O66" i="17" s="1"/>
  <c r="D41" i="17"/>
  <c r="O41" i="17" s="1"/>
  <c r="M81" i="17"/>
  <c r="F83" i="17"/>
  <c r="H81" i="17"/>
  <c r="Q98" i="9"/>
  <c r="K82" i="17"/>
  <c r="E83" i="17"/>
  <c r="G82" i="17"/>
  <c r="N83" i="17"/>
  <c r="J83" i="17"/>
  <c r="N98" i="9"/>
  <c r="G81" i="17"/>
  <c r="N81" i="17"/>
  <c r="J82" i="17"/>
  <c r="K81" i="17"/>
  <c r="P98" i="9"/>
  <c r="L81" i="17"/>
  <c r="K83" i="17"/>
  <c r="O98" i="9"/>
  <c r="I81" i="17"/>
  <c r="I83" i="17"/>
  <c r="J98" i="9"/>
  <c r="L83" i="17"/>
  <c r="N82" i="17"/>
  <c r="I82" i="17"/>
  <c r="H98" i="9"/>
  <c r="I98" i="9"/>
  <c r="F81" i="17"/>
  <c r="G83" i="17"/>
  <c r="G98" i="9"/>
  <c r="E82" i="17"/>
  <c r="L82" i="17"/>
  <c r="F82" i="17"/>
  <c r="M98" i="9"/>
  <c r="L98" i="9"/>
  <c r="H82" i="17"/>
  <c r="M82" i="17"/>
  <c r="K98" i="9"/>
  <c r="J81" i="17"/>
  <c r="M83" i="17"/>
  <c r="H83" i="17"/>
  <c r="E81" i="17"/>
  <c r="B12" i="28"/>
  <c r="M14" i="6"/>
  <c r="J28" i="17"/>
  <c r="F28" i="17"/>
  <c r="M10" i="6"/>
  <c r="B8" i="28"/>
  <c r="O73" i="17"/>
  <c r="N28" i="17"/>
  <c r="B16" i="28"/>
  <c r="M18" i="6"/>
  <c r="M16" i="6"/>
  <c r="L28" i="17"/>
  <c r="B55" i="28"/>
  <c r="B69" i="28"/>
  <c r="B83" i="28"/>
  <c r="B41" i="28"/>
  <c r="B27" i="28"/>
  <c r="B14" i="28"/>
  <c r="N19" i="6"/>
  <c r="G13" i="6" s="1"/>
  <c r="G14" i="6" s="1"/>
  <c r="K28" i="17"/>
  <c r="M15" i="6"/>
  <c r="H8" i="27"/>
  <c r="E19" i="27"/>
  <c r="F11" i="27"/>
  <c r="E7" i="27"/>
  <c r="E10" i="27"/>
  <c r="E11" i="27"/>
  <c r="H11" i="27"/>
  <c r="D7" i="27"/>
  <c r="D8" i="27"/>
  <c r="D9" i="27"/>
  <c r="G9" i="27"/>
  <c r="G8" i="27"/>
  <c r="H37" i="17"/>
  <c r="H58" i="17" s="1"/>
  <c r="E17" i="27"/>
  <c r="E18" i="27"/>
  <c r="F10" i="27"/>
  <c r="H43" i="17"/>
  <c r="G10" i="6"/>
  <c r="D11" i="27"/>
  <c r="E8" i="27"/>
  <c r="D17" i="27"/>
  <c r="L57" i="8" l="1"/>
  <c r="I18" i="8"/>
  <c r="H26" i="8"/>
  <c r="H30" i="8" s="1"/>
  <c r="N40" i="8"/>
  <c r="O40" i="8" s="1"/>
  <c r="L111" i="8"/>
  <c r="M111" i="8" s="1"/>
  <c r="N111" i="8" s="1"/>
  <c r="O111" i="8" s="1"/>
  <c r="N54" i="8"/>
  <c r="O54" i="8" s="1"/>
  <c r="P54" i="8" s="1"/>
  <c r="K79" i="8"/>
  <c r="O69" i="8"/>
  <c r="P69" i="8" s="1"/>
  <c r="K84" i="8"/>
  <c r="K121" i="8"/>
  <c r="K168" i="8"/>
  <c r="L28" i="8"/>
  <c r="P119" i="8"/>
  <c r="Q119" i="8" s="1"/>
  <c r="N34" i="8"/>
  <c r="O34" i="8" s="1"/>
  <c r="M94" i="8"/>
  <c r="L91" i="8"/>
  <c r="M91" i="8" s="1"/>
  <c r="L97" i="8"/>
  <c r="M97" i="8" s="1"/>
  <c r="N126" i="8"/>
  <c r="O126" i="8" s="1"/>
  <c r="P126" i="8" s="1"/>
  <c r="O66" i="8"/>
  <c r="P66" i="8" s="1"/>
  <c r="Q66" i="8" s="1"/>
  <c r="M148" i="8"/>
  <c r="O102" i="8"/>
  <c r="P102" i="8" s="1"/>
  <c r="Q102" i="8" s="1"/>
  <c r="L159" i="8"/>
  <c r="M159" i="8" s="1"/>
  <c r="H227" i="8"/>
  <c r="H116" i="8"/>
  <c r="AB7" i="8"/>
  <c r="H26" i="19" s="1"/>
  <c r="O6" i="17" a="1"/>
  <c r="O6" i="17" s="1"/>
  <c r="F24" i="17" s="1"/>
  <c r="L24" i="17" s="1"/>
  <c r="G39" i="3"/>
  <c r="I39" i="3" s="1"/>
  <c r="I40" i="3" s="1"/>
  <c r="Q22" i="11"/>
  <c r="Q32" i="19" s="1"/>
  <c r="J6" i="17" a="1"/>
  <c r="J6" i="17" s="1"/>
  <c r="J17" i="17" s="1"/>
  <c r="J18" i="17" s="1"/>
  <c r="B37" i="28"/>
  <c r="B79" i="28"/>
  <c r="B65" i="28"/>
  <c r="F27" i="19"/>
  <c r="G49" i="17"/>
  <c r="G37" i="17"/>
  <c r="G58" i="17" s="1"/>
  <c r="X9" i="8"/>
  <c r="G28" i="19" s="1"/>
  <c r="G43" i="17"/>
  <c r="H27" i="19"/>
  <c r="D26" i="17"/>
  <c r="J26" i="17" s="1"/>
  <c r="D25" i="17"/>
  <c r="J25" i="17" s="1"/>
  <c r="D24" i="17"/>
  <c r="J24" i="17" s="1"/>
  <c r="K17" i="17"/>
  <c r="K18" i="17" s="1"/>
  <c r="M6" i="17" a="1"/>
  <c r="M6" i="17" s="1"/>
  <c r="E23" i="17" s="1"/>
  <c r="K23" i="17" s="1"/>
  <c r="D56" i="17"/>
  <c r="O56" i="17" s="1"/>
  <c r="C6" i="17" a="1"/>
  <c r="C6" i="17" s="1"/>
  <c r="Q23" i="17" a="1"/>
  <c r="Q23" i="17" s="1"/>
  <c r="B6" i="17" a="1"/>
  <c r="B6" i="17" s="1"/>
  <c r="N6" i="17" a="1"/>
  <c r="N6" i="17" s="1"/>
  <c r="L6" i="17" a="1"/>
  <c r="L6" i="17" s="1"/>
  <c r="L17" i="17" s="1"/>
  <c r="B66" i="28"/>
  <c r="B52" i="28"/>
  <c r="B63" i="28"/>
  <c r="G70" i="17"/>
  <c r="B21" i="28"/>
  <c r="B77" i="28"/>
  <c r="B51" i="28"/>
  <c r="B24" i="28"/>
  <c r="D23" i="17"/>
  <c r="J23" i="17" s="1"/>
  <c r="M43" i="17"/>
  <c r="F28" i="19"/>
  <c r="R35" i="11"/>
  <c r="AB9" i="8"/>
  <c r="H28" i="19" s="1"/>
  <c r="B53" i="28"/>
  <c r="B67" i="28"/>
  <c r="B25" i="28"/>
  <c r="B29" i="28"/>
  <c r="B85" i="28"/>
  <c r="B71" i="28"/>
  <c r="B57" i="28"/>
  <c r="M49" i="17"/>
  <c r="I70" i="17"/>
  <c r="I49" i="17"/>
  <c r="I43" i="17"/>
  <c r="I37" i="17"/>
  <c r="I58" i="17" s="1"/>
  <c r="I79" i="17"/>
  <c r="M70" i="17"/>
  <c r="B43" i="28"/>
  <c r="R22" i="11"/>
  <c r="R32" i="19" s="1"/>
  <c r="Q35" i="11"/>
  <c r="E37" i="17"/>
  <c r="E58" i="17" s="1"/>
  <c r="E49" i="17"/>
  <c r="E70" i="17"/>
  <c r="E79" i="17"/>
  <c r="E43" i="17"/>
  <c r="R34" i="11"/>
  <c r="H17" i="17"/>
  <c r="H18" i="17" s="1"/>
  <c r="M79" i="17"/>
  <c r="Q34" i="11"/>
  <c r="M10" i="11"/>
  <c r="N103" i="9"/>
  <c r="M7" i="11"/>
  <c r="M11" i="11"/>
  <c r="K79" i="17"/>
  <c r="K43" i="17"/>
  <c r="K49" i="17"/>
  <c r="K70" i="17"/>
  <c r="K37" i="17"/>
  <c r="K58" i="17" s="1"/>
  <c r="B44" i="28"/>
  <c r="B58" i="28"/>
  <c r="B86" i="28"/>
  <c r="B30" i="28"/>
  <c r="B72" i="28"/>
  <c r="L10" i="11"/>
  <c r="M103" i="9"/>
  <c r="L11" i="11"/>
  <c r="L7" i="11"/>
  <c r="B82" i="28"/>
  <c r="B40" i="28"/>
  <c r="B54" i="28"/>
  <c r="B68" i="28"/>
  <c r="B26" i="28"/>
  <c r="B28" i="28"/>
  <c r="B70" i="28"/>
  <c r="B56" i="28"/>
  <c r="B84" i="28"/>
  <c r="N7" i="11"/>
  <c r="N19" i="19" s="1"/>
  <c r="N10" i="11"/>
  <c r="N22" i="19" s="1"/>
  <c r="N11" i="11"/>
  <c r="N23" i="19" s="1"/>
  <c r="O103" i="9"/>
  <c r="B22" i="28"/>
  <c r="B64" i="28"/>
  <c r="B78" i="28"/>
  <c r="B36" i="28"/>
  <c r="F7" i="11"/>
  <c r="F11" i="11"/>
  <c r="F10" i="11"/>
  <c r="G103" i="9"/>
  <c r="O10" i="11"/>
  <c r="O22" i="19" s="1"/>
  <c r="O11" i="11"/>
  <c r="O23" i="19" s="1"/>
  <c r="O7" i="11"/>
  <c r="O19" i="19" s="1"/>
  <c r="P103" i="9"/>
  <c r="H7" i="11"/>
  <c r="H11" i="11"/>
  <c r="I103" i="9"/>
  <c r="H10" i="11"/>
  <c r="J49" i="17"/>
  <c r="J43" i="17"/>
  <c r="J37" i="17"/>
  <c r="J58" i="17" s="1"/>
  <c r="J70" i="17"/>
  <c r="J79" i="17"/>
  <c r="I10" i="11"/>
  <c r="I11" i="11"/>
  <c r="I7" i="11"/>
  <c r="J103" i="9"/>
  <c r="F49" i="17"/>
  <c r="F70" i="17"/>
  <c r="F43" i="17"/>
  <c r="F37" i="17"/>
  <c r="F58" i="17" s="1"/>
  <c r="F79" i="17"/>
  <c r="P10" i="11"/>
  <c r="P22" i="19" s="1"/>
  <c r="P11" i="11"/>
  <c r="P23" i="19" s="1"/>
  <c r="P7" i="11"/>
  <c r="P19" i="19" s="1"/>
  <c r="Q103" i="9"/>
  <c r="J10" i="11"/>
  <c r="J7" i="11"/>
  <c r="K103" i="9"/>
  <c r="J11" i="11"/>
  <c r="H103" i="9"/>
  <c r="G7" i="11"/>
  <c r="G10" i="11"/>
  <c r="G11" i="11"/>
  <c r="K7" i="11"/>
  <c r="K10" i="11"/>
  <c r="L103" i="9"/>
  <c r="K11" i="11"/>
  <c r="N49" i="17"/>
  <c r="N79" i="17"/>
  <c r="N43" i="17"/>
  <c r="N37" i="17"/>
  <c r="N58" i="17" s="1"/>
  <c r="N70" i="17"/>
  <c r="L70" i="17"/>
  <c r="L79" i="17"/>
  <c r="L43" i="17"/>
  <c r="L49" i="17"/>
  <c r="L37" i="17"/>
  <c r="L58" i="17" s="1"/>
  <c r="D83" i="17" a="1"/>
  <c r="M57" i="8" l="1"/>
  <c r="N57" i="8" s="1"/>
  <c r="H33" i="8"/>
  <c r="H36" i="8" s="1"/>
  <c r="H42" i="8"/>
  <c r="H105" i="8" s="1"/>
  <c r="I56" i="8" s="1"/>
  <c r="H31" i="8"/>
  <c r="H118" i="8"/>
  <c r="H63" i="8" s="1"/>
  <c r="H90" i="8"/>
  <c r="H101" i="8"/>
  <c r="H153" i="8" s="1"/>
  <c r="E29" i="19"/>
  <c r="J18" i="8"/>
  <c r="I136" i="8"/>
  <c r="I26" i="8"/>
  <c r="I30" i="8" s="1"/>
  <c r="L79" i="8"/>
  <c r="P40" i="8"/>
  <c r="Q40" i="8" s="1"/>
  <c r="Q54" i="8"/>
  <c r="N148" i="8"/>
  <c r="P111" i="8"/>
  <c r="Q111" i="8" s="1"/>
  <c r="N97" i="8"/>
  <c r="O97" i="8" s="1"/>
  <c r="N94" i="8"/>
  <c r="N159" i="8"/>
  <c r="O159" i="8" s="1"/>
  <c r="P159" i="8" s="1"/>
  <c r="N91" i="8"/>
  <c r="O91" i="8" s="1"/>
  <c r="Q69" i="8"/>
  <c r="P34" i="8"/>
  <c r="Q34" i="8" s="1"/>
  <c r="Q126" i="8"/>
  <c r="L84" i="8"/>
  <c r="L121" i="8"/>
  <c r="L168" i="8"/>
  <c r="M28" i="8"/>
  <c r="Z7" i="8"/>
  <c r="F23" i="17"/>
  <c r="L23" i="17" s="1"/>
  <c r="O23" i="17" s="1" a="1"/>
  <c r="O23" i="17" s="1"/>
  <c r="X7" i="8"/>
  <c r="G26" i="19" s="1"/>
  <c r="F25" i="17"/>
  <c r="L25" i="17" s="1"/>
  <c r="O25" i="17" s="1" a="1"/>
  <c r="O25" i="17" s="1"/>
  <c r="O17" i="17"/>
  <c r="O18" i="17" s="1"/>
  <c r="F26" i="17"/>
  <c r="L26" i="17" s="1"/>
  <c r="O26" i="17" s="1" a="1"/>
  <c r="O26" i="17" s="1"/>
  <c r="E25" i="17"/>
  <c r="K25" i="17" s="1"/>
  <c r="N25" i="17" s="1" a="1"/>
  <c r="N25" i="17" s="1"/>
  <c r="E26" i="17"/>
  <c r="K26" i="17" s="1"/>
  <c r="N26" i="17" s="1" a="1"/>
  <c r="N26" i="17" s="1"/>
  <c r="R33" i="11"/>
  <c r="R36" i="11" s="1"/>
  <c r="R41" i="19" s="1"/>
  <c r="Z9" i="8"/>
  <c r="G27" i="19"/>
  <c r="O24" i="17" a="1"/>
  <c r="O24" i="17" s="1"/>
  <c r="M23" i="17" a="1"/>
  <c r="M23" i="17" s="1"/>
  <c r="L18" i="17"/>
  <c r="Y9" i="8"/>
  <c r="N23" i="17" a="1"/>
  <c r="N23" i="17" s="1"/>
  <c r="M24" i="17" a="1"/>
  <c r="M24" i="17" s="1"/>
  <c r="D83" i="17"/>
  <c r="O83" i="17" s="1"/>
  <c r="M25" i="17" a="1"/>
  <c r="M25" i="17" s="1"/>
  <c r="B13" i="27"/>
  <c r="B4" i="27"/>
  <c r="J4" i="27"/>
  <c r="N17" i="17"/>
  <c r="N18" i="17" s="1"/>
  <c r="M26" i="17" a="1"/>
  <c r="M26" i="17" s="1"/>
  <c r="M17" i="17"/>
  <c r="M18" i="17" s="1"/>
  <c r="D28" i="17"/>
  <c r="B6" i="28"/>
  <c r="E24" i="17"/>
  <c r="K24" i="17" s="1"/>
  <c r="N24" i="17" s="1" a="1"/>
  <c r="N24" i="17" s="1"/>
  <c r="Y7" i="8"/>
  <c r="Q36" i="11"/>
  <c r="Q41" i="19" s="1"/>
  <c r="O8" i="11"/>
  <c r="O20" i="19" s="1"/>
  <c r="O6" i="11"/>
  <c r="O18" i="19" s="1"/>
  <c r="O9" i="11"/>
  <c r="O21" i="19" s="1"/>
  <c r="G8" i="11"/>
  <c r="G9" i="11"/>
  <c r="G6" i="11"/>
  <c r="L6" i="11"/>
  <c r="L8" i="11"/>
  <c r="L9" i="11"/>
  <c r="J6" i="11"/>
  <c r="J9" i="11"/>
  <c r="J8" i="11"/>
  <c r="H9" i="11"/>
  <c r="H8" i="11"/>
  <c r="H6" i="11"/>
  <c r="M9" i="11"/>
  <c r="M8" i="11"/>
  <c r="M6" i="11"/>
  <c r="N8" i="11"/>
  <c r="N20" i="19" s="1"/>
  <c r="N9" i="11"/>
  <c r="N21" i="19" s="1"/>
  <c r="N6" i="11"/>
  <c r="N18" i="19" s="1"/>
  <c r="I9" i="11"/>
  <c r="I6" i="11"/>
  <c r="I8" i="11"/>
  <c r="K8" i="11"/>
  <c r="K9" i="11"/>
  <c r="K6" i="11"/>
  <c r="P6" i="11"/>
  <c r="P18" i="19" s="1"/>
  <c r="P8" i="11"/>
  <c r="P20" i="19" s="1"/>
  <c r="P9" i="11"/>
  <c r="P21" i="19" s="1"/>
  <c r="F6" i="11"/>
  <c r="F9" i="11"/>
  <c r="F8" i="11"/>
  <c r="D81" i="17" a="1"/>
  <c r="D82" i="17" a="1"/>
  <c r="O57" i="8" l="1"/>
  <c r="I101" i="8"/>
  <c r="I153" i="8" s="1"/>
  <c r="I31" i="8"/>
  <c r="I173" i="8" s="1"/>
  <c r="I42" i="8"/>
  <c r="I33" i="8"/>
  <c r="I90" i="8"/>
  <c r="I118" i="8"/>
  <c r="E30" i="19"/>
  <c r="K18" i="8"/>
  <c r="J136" i="8"/>
  <c r="J26" i="8"/>
  <c r="J30" i="8" s="1"/>
  <c r="H37" i="8"/>
  <c r="Q21" i="11" s="1"/>
  <c r="Q31" i="19" s="1"/>
  <c r="H173" i="8"/>
  <c r="H74" i="8"/>
  <c r="H130" i="8"/>
  <c r="H39" i="8"/>
  <c r="H143" i="8"/>
  <c r="H45" i="8"/>
  <c r="H161" i="8"/>
  <c r="H96" i="8"/>
  <c r="H113" i="8"/>
  <c r="I105" i="8"/>
  <c r="J56" i="8" s="1"/>
  <c r="H110" i="8"/>
  <c r="H93" i="8"/>
  <c r="O118" i="9"/>
  <c r="P97" i="8"/>
  <c r="Q97" i="8" s="1"/>
  <c r="M79" i="8"/>
  <c r="M84" i="8"/>
  <c r="M168" i="8"/>
  <c r="M121" i="8"/>
  <c r="N28" i="8"/>
  <c r="Q159" i="8"/>
  <c r="O148" i="8"/>
  <c r="P91" i="8"/>
  <c r="O94" i="8"/>
  <c r="D81" i="17"/>
  <c r="O81" i="17" s="1"/>
  <c r="D82" i="17"/>
  <c r="O82" i="17" s="1"/>
  <c r="Z10" i="8"/>
  <c r="AC10" i="8"/>
  <c r="Q61" i="11"/>
  <c r="B62" i="28"/>
  <c r="B34" i="28"/>
  <c r="B48" i="28"/>
  <c r="B76" i="28"/>
  <c r="B20" i="28"/>
  <c r="D79" i="17"/>
  <c r="D37" i="17"/>
  <c r="D58" i="17" s="1"/>
  <c r="D70" i="17"/>
  <c r="D43" i="17"/>
  <c r="D49" i="17"/>
  <c r="P57" i="8" l="1"/>
  <c r="AH10" i="8"/>
  <c r="H128" i="8"/>
  <c r="H188" i="8" s="1"/>
  <c r="H223" i="8" s="1"/>
  <c r="AF10" i="8"/>
  <c r="I113" i="8"/>
  <c r="I96" i="8"/>
  <c r="I161" i="8"/>
  <c r="I45" i="8"/>
  <c r="I143" i="8"/>
  <c r="H125" i="8"/>
  <c r="I39" i="8"/>
  <c r="H47" i="8"/>
  <c r="I130" i="8"/>
  <c r="I74" i="8"/>
  <c r="H171" i="8"/>
  <c r="H170" i="8" s="1"/>
  <c r="H172" i="8"/>
  <c r="H174" i="8"/>
  <c r="J33" i="8"/>
  <c r="J36" i="8" s="1"/>
  <c r="E31" i="19"/>
  <c r="J42" i="8"/>
  <c r="J105" i="8" s="1"/>
  <c r="K56" i="8" s="1"/>
  <c r="J31" i="8"/>
  <c r="J118" i="8"/>
  <c r="J101" i="8"/>
  <c r="J153" i="8" s="1"/>
  <c r="J90" i="8"/>
  <c r="L18" i="8"/>
  <c r="K136" i="8"/>
  <c r="K26" i="8"/>
  <c r="K30" i="8" s="1"/>
  <c r="I36" i="8"/>
  <c r="I93" i="8"/>
  <c r="I110" i="8"/>
  <c r="I171" i="8"/>
  <c r="I172" i="8"/>
  <c r="I174" i="8"/>
  <c r="E63" i="8"/>
  <c r="F63" i="8"/>
  <c r="N17" i="11"/>
  <c r="N28" i="19" s="1"/>
  <c r="N79" i="8"/>
  <c r="O79" i="8" s="1"/>
  <c r="N121" i="8"/>
  <c r="N84" i="8"/>
  <c r="N168" i="8"/>
  <c r="O28" i="8"/>
  <c r="Q91" i="8"/>
  <c r="P148" i="8"/>
  <c r="P94" i="8"/>
  <c r="R204" i="8"/>
  <c r="Q57" i="8" l="1"/>
  <c r="AH11" i="8"/>
  <c r="I170" i="8"/>
  <c r="I37" i="8"/>
  <c r="R21" i="11" s="1"/>
  <c r="R31" i="19" s="1"/>
  <c r="I47" i="8"/>
  <c r="K101" i="8"/>
  <c r="K153" i="8" s="1"/>
  <c r="K33" i="8"/>
  <c r="K36" i="8" s="1"/>
  <c r="K118" i="8"/>
  <c r="K31" i="8"/>
  <c r="K173" i="8" s="1"/>
  <c r="K42" i="8"/>
  <c r="E32" i="19"/>
  <c r="K90" i="8"/>
  <c r="M18" i="8"/>
  <c r="L136" i="8"/>
  <c r="L26" i="8"/>
  <c r="L30" i="8" s="1"/>
  <c r="J37" i="8"/>
  <c r="J173" i="8"/>
  <c r="J113" i="8"/>
  <c r="J96" i="8"/>
  <c r="K96" i="8" s="1"/>
  <c r="J161" i="8"/>
  <c r="J45" i="8"/>
  <c r="J130" i="8"/>
  <c r="J74" i="8"/>
  <c r="K105" i="8"/>
  <c r="L56" i="8" s="1"/>
  <c r="J93" i="8"/>
  <c r="J110" i="8"/>
  <c r="H48" i="8"/>
  <c r="Q18" i="11" s="1"/>
  <c r="Q29" i="19" s="1"/>
  <c r="Q50" i="11"/>
  <c r="Q55" i="19" s="1"/>
  <c r="Q43" i="11"/>
  <c r="Q49" i="19" s="1"/>
  <c r="Q45" i="11"/>
  <c r="J39" i="8"/>
  <c r="I125" i="8"/>
  <c r="H221" i="8"/>
  <c r="H186" i="8"/>
  <c r="J143" i="8"/>
  <c r="I128" i="8"/>
  <c r="I188" i="8" s="1"/>
  <c r="I223" i="8" s="1"/>
  <c r="P79" i="8"/>
  <c r="Z13" i="8"/>
  <c r="Q94" i="8"/>
  <c r="Q148" i="8"/>
  <c r="O121" i="8"/>
  <c r="O84" i="8"/>
  <c r="O168" i="8"/>
  <c r="P28" i="8"/>
  <c r="Z11" i="8"/>
  <c r="Z12" i="8"/>
  <c r="K143" i="8" l="1"/>
  <c r="I186" i="8"/>
  <c r="I221" i="8"/>
  <c r="K39" i="8"/>
  <c r="J125" i="8"/>
  <c r="J47" i="8"/>
  <c r="J48" i="8" s="1"/>
  <c r="K74" i="8"/>
  <c r="K130" i="8"/>
  <c r="K45" i="8"/>
  <c r="K161" i="8"/>
  <c r="J128" i="8"/>
  <c r="J188" i="8" s="1"/>
  <c r="J223" i="8" s="1"/>
  <c r="K113" i="8"/>
  <c r="J171" i="8"/>
  <c r="J170" i="8" s="1"/>
  <c r="J172" i="8"/>
  <c r="J174" i="8"/>
  <c r="L101" i="8"/>
  <c r="L153" i="8" s="1"/>
  <c r="L90" i="8"/>
  <c r="L42" i="8"/>
  <c r="L105" i="8" s="1"/>
  <c r="M56" i="8" s="1"/>
  <c r="L31" i="8"/>
  <c r="E33" i="19"/>
  <c r="L33" i="8"/>
  <c r="L118" i="8"/>
  <c r="N18" i="8"/>
  <c r="M136" i="8"/>
  <c r="M26" i="8"/>
  <c r="M30" i="8" s="1"/>
  <c r="K37" i="8"/>
  <c r="K171" i="8"/>
  <c r="K174" i="8"/>
  <c r="K172" i="8"/>
  <c r="K93" i="8"/>
  <c r="K110" i="8"/>
  <c r="R50" i="11"/>
  <c r="R55" i="19" s="1"/>
  <c r="I48" i="8"/>
  <c r="R18" i="11" s="1"/>
  <c r="R29" i="19" s="1"/>
  <c r="R43" i="11"/>
  <c r="R49" i="19" s="1"/>
  <c r="Q79" i="8"/>
  <c r="P121" i="8"/>
  <c r="P84" i="8"/>
  <c r="P168" i="8"/>
  <c r="Q28" i="8"/>
  <c r="Z14" i="8"/>
  <c r="K47" i="8" l="1"/>
  <c r="K48" i="8" s="1"/>
  <c r="K170" i="8"/>
  <c r="K128" i="8"/>
  <c r="K188" i="8" s="1"/>
  <c r="K223" i="8" s="1"/>
  <c r="M90" i="8"/>
  <c r="M31" i="8"/>
  <c r="M173" i="8" s="1"/>
  <c r="M42" i="8"/>
  <c r="M101" i="8"/>
  <c r="M153" i="8" s="1"/>
  <c r="M118" i="8"/>
  <c r="M33" i="8"/>
  <c r="N136" i="8"/>
  <c r="O18" i="8"/>
  <c r="N26" i="8"/>
  <c r="N30" i="8" s="1"/>
  <c r="L36" i="8"/>
  <c r="L110" i="8"/>
  <c r="L93" i="8"/>
  <c r="L173" i="8"/>
  <c r="L96" i="8"/>
  <c r="M105" i="8"/>
  <c r="N56" i="8" s="1"/>
  <c r="L113" i="8"/>
  <c r="L161" i="8"/>
  <c r="L45" i="8"/>
  <c r="L130" i="8"/>
  <c r="L74" i="8"/>
  <c r="J221" i="8"/>
  <c r="J186" i="8"/>
  <c r="L39" i="8"/>
  <c r="K125" i="8"/>
  <c r="L143" i="8"/>
  <c r="Q121" i="8"/>
  <c r="Q84" i="8"/>
  <c r="Q168" i="8"/>
  <c r="M143" i="8" l="1"/>
  <c r="K186" i="8"/>
  <c r="K221" i="8"/>
  <c r="M39" i="8"/>
  <c r="L125" i="8"/>
  <c r="M74" i="8"/>
  <c r="M130" i="8"/>
  <c r="M45" i="8"/>
  <c r="M161" i="8"/>
  <c r="M113" i="8"/>
  <c r="L128" i="8"/>
  <c r="L188" i="8" s="1"/>
  <c r="L223" i="8" s="1"/>
  <c r="M96" i="8"/>
  <c r="L171" i="8"/>
  <c r="L170" i="8" s="1"/>
  <c r="L174" i="8"/>
  <c r="L172" i="8"/>
  <c r="L37" i="8"/>
  <c r="L47" i="8"/>
  <c r="L48" i="8" s="1"/>
  <c r="N90" i="8"/>
  <c r="N31" i="8"/>
  <c r="N173" i="8" s="1"/>
  <c r="N42" i="8"/>
  <c r="N105" i="8" s="1"/>
  <c r="O56" i="8" s="1"/>
  <c r="N101" i="8"/>
  <c r="N153" i="8" s="1"/>
  <c r="N118" i="8"/>
  <c r="N33" i="8"/>
  <c r="P18" i="8"/>
  <c r="O136" i="8"/>
  <c r="O26" i="8"/>
  <c r="O30" i="8" s="1"/>
  <c r="M36" i="8"/>
  <c r="M110" i="8"/>
  <c r="M93" i="8"/>
  <c r="M174" i="8"/>
  <c r="M172" i="8"/>
  <c r="M171" i="8"/>
  <c r="M128" i="8" l="1"/>
  <c r="M188" i="8" s="1"/>
  <c r="M223" i="8" s="1"/>
  <c r="M170" i="8"/>
  <c r="M37" i="8"/>
  <c r="M47" i="8"/>
  <c r="M48" i="8" s="1"/>
  <c r="O42" i="8"/>
  <c r="O31" i="8"/>
  <c r="O173" i="8" s="1"/>
  <c r="O118" i="8"/>
  <c r="O33" i="8"/>
  <c r="O36" i="8" s="1"/>
  <c r="O101" i="8"/>
  <c r="O153" i="8" s="1"/>
  <c r="O90" i="8"/>
  <c r="Q18" i="8"/>
  <c r="P136" i="8"/>
  <c r="P26" i="8"/>
  <c r="P30" i="8" s="1"/>
  <c r="N36" i="8"/>
  <c r="N110" i="8"/>
  <c r="N93" i="8"/>
  <c r="O105" i="8"/>
  <c r="P56" i="8" s="1"/>
  <c r="N174" i="8"/>
  <c r="N172" i="8"/>
  <c r="N171" i="8"/>
  <c r="N96" i="8"/>
  <c r="N113" i="8"/>
  <c r="N161" i="8"/>
  <c r="N45" i="8"/>
  <c r="N130" i="8"/>
  <c r="N74" i="8"/>
  <c r="L221" i="8"/>
  <c r="L186" i="8"/>
  <c r="N39" i="8"/>
  <c r="M125" i="8"/>
  <c r="N143" i="8"/>
  <c r="N170" i="8" l="1"/>
  <c r="O143" i="8"/>
  <c r="M186" i="8"/>
  <c r="M221" i="8"/>
  <c r="O39" i="8"/>
  <c r="N125" i="8"/>
  <c r="O74" i="8"/>
  <c r="O130" i="8"/>
  <c r="O45" i="8"/>
  <c r="O161" i="8"/>
  <c r="O113" i="8"/>
  <c r="O96" i="8"/>
  <c r="N128" i="8"/>
  <c r="N188" i="8" s="1"/>
  <c r="N223" i="8" s="1"/>
  <c r="N37" i="8"/>
  <c r="N47" i="8"/>
  <c r="N48" i="8" s="1"/>
  <c r="P42" i="8"/>
  <c r="P105" i="8" s="1"/>
  <c r="Q56" i="8" s="1"/>
  <c r="P31" i="8"/>
  <c r="P101" i="8"/>
  <c r="P153" i="8" s="1"/>
  <c r="P118" i="8"/>
  <c r="P33" i="8"/>
  <c r="P90" i="8"/>
  <c r="Q136" i="8"/>
  <c r="Q26" i="8"/>
  <c r="Q30" i="8" s="1"/>
  <c r="O37" i="8"/>
  <c r="O110" i="8"/>
  <c r="O93" i="8"/>
  <c r="O171" i="8"/>
  <c r="O174" i="8"/>
  <c r="O172" i="8"/>
  <c r="O47" i="8" l="1"/>
  <c r="O48" i="8" s="1"/>
  <c r="O128" i="8"/>
  <c r="O188" i="8" s="1"/>
  <c r="O223" i="8" s="1"/>
  <c r="O170" i="8"/>
  <c r="Q31" i="8"/>
  <c r="Q173" i="8" s="1"/>
  <c r="Q42" i="8"/>
  <c r="Q118" i="8"/>
  <c r="Q101" i="8"/>
  <c r="Q153" i="8" s="1"/>
  <c r="Q33" i="8"/>
  <c r="Q90" i="8"/>
  <c r="P36" i="8"/>
  <c r="P110" i="8"/>
  <c r="P93" i="8"/>
  <c r="P173" i="8"/>
  <c r="P96" i="8"/>
  <c r="Q96" i="8" s="1"/>
  <c r="Q105" i="8"/>
  <c r="P113" i="8"/>
  <c r="Q113" i="8" s="1"/>
  <c r="P161" i="8"/>
  <c r="Q161" i="8" s="1"/>
  <c r="P45" i="8"/>
  <c r="Q45" i="8" s="1"/>
  <c r="P130" i="8"/>
  <c r="Q130" i="8" s="1"/>
  <c r="P74" i="8"/>
  <c r="Q74" i="8" s="1"/>
  <c r="N186" i="8"/>
  <c r="N221" i="8"/>
  <c r="P39" i="8"/>
  <c r="O125" i="8"/>
  <c r="P143" i="8"/>
  <c r="Q143" i="8" s="1"/>
  <c r="G15" i="6"/>
  <c r="G16" i="6" s="1"/>
  <c r="O186" i="8" l="1"/>
  <c r="O221" i="8"/>
  <c r="Q39" i="8"/>
  <c r="Q125" i="8" s="1"/>
  <c r="P125" i="8"/>
  <c r="P171" i="8"/>
  <c r="P170" i="8" s="1"/>
  <c r="P174" i="8"/>
  <c r="P172" i="8"/>
  <c r="P128" i="8"/>
  <c r="P188" i="8" s="1"/>
  <c r="P223" i="8" s="1"/>
  <c r="P37" i="8"/>
  <c r="P47" i="8"/>
  <c r="P48" i="8" s="1"/>
  <c r="Q36" i="8"/>
  <c r="Q110" i="8"/>
  <c r="Q93" i="8"/>
  <c r="Q172" i="8"/>
  <c r="Q171" i="8"/>
  <c r="Q174" i="8"/>
  <c r="G11" i="6"/>
  <c r="Q170" i="8" l="1"/>
  <c r="Q128" i="8"/>
  <c r="Q188" i="8" s="1"/>
  <c r="Q223" i="8" s="1"/>
  <c r="Q37" i="8"/>
  <c r="Q47" i="8"/>
  <c r="Q48" i="8" s="1"/>
  <c r="P221" i="8"/>
  <c r="P186" i="8"/>
  <c r="Q186" i="8"/>
  <c r="Q221" i="8"/>
  <c r="G25" i="6"/>
  <c r="I9" i="8" s="1"/>
  <c r="F9" i="8" l="1"/>
  <c r="C12" i="8"/>
  <c r="L9" i="8"/>
  <c r="L198" i="8" l="1"/>
  <c r="L199" i="8" s="1"/>
  <c r="E99" i="8" l="1"/>
  <c r="E139" i="8"/>
  <c r="G99" i="8"/>
  <c r="F99" i="8"/>
  <c r="F139" i="8"/>
  <c r="G139" i="8"/>
  <c r="H53" i="8"/>
  <c r="H139" i="8" l="1"/>
  <c r="I139" i="8" s="1"/>
  <c r="H103" i="8"/>
  <c r="H50" i="8"/>
  <c r="H138" i="8" l="1"/>
  <c r="H123" i="8"/>
  <c r="H51" i="8"/>
  <c r="H59" i="8"/>
  <c r="J139" i="8"/>
  <c r="H134" i="8" l="1"/>
  <c r="H190" i="8" s="1"/>
  <c r="H225" i="8" s="1"/>
  <c r="H215" i="8"/>
  <c r="H76" i="8"/>
  <c r="H60" i="8"/>
  <c r="H78" i="8"/>
  <c r="H184" i="8"/>
  <c r="H219" i="8"/>
  <c r="K139" i="8"/>
  <c r="H100" i="8" l="1"/>
  <c r="I138" i="8" s="1"/>
  <c r="I134" i="8" s="1"/>
  <c r="I190" i="8" s="1"/>
  <c r="I225" i="8" s="1"/>
  <c r="H145" i="8"/>
  <c r="Q51" i="11"/>
  <c r="Q56" i="19" s="1"/>
  <c r="Q44" i="11"/>
  <c r="I29" i="19"/>
  <c r="I100" i="8"/>
  <c r="J53" i="8" s="1"/>
  <c r="J50" i="8" s="1"/>
  <c r="R51" i="11"/>
  <c r="R56" i="19" s="1"/>
  <c r="I30" i="19"/>
  <c r="F29" i="19"/>
  <c r="Q19" i="11"/>
  <c r="Q30" i="19" s="1"/>
  <c r="H179" i="8"/>
  <c r="Q20" i="11"/>
  <c r="H81" i="8"/>
  <c r="L139" i="8"/>
  <c r="M139" i="8" s="1"/>
  <c r="H99" i="8" l="1"/>
  <c r="I53" i="8"/>
  <c r="I50" i="8" s="1"/>
  <c r="I123" i="8" s="1"/>
  <c r="I145" i="8"/>
  <c r="R44" i="11"/>
  <c r="Q51" i="19"/>
  <c r="Q50" i="19"/>
  <c r="H82" i="8"/>
  <c r="Q23" i="11" s="1"/>
  <c r="Q33" i="19" s="1"/>
  <c r="H150" i="8"/>
  <c r="J138" i="8"/>
  <c r="J134" i="8" s="1"/>
  <c r="J190" i="8" s="1"/>
  <c r="J225" i="8" s="1"/>
  <c r="I103" i="8"/>
  <c r="I99" i="8" s="1"/>
  <c r="J51" i="8" s="1"/>
  <c r="N139" i="8"/>
  <c r="O139" i="8" s="1"/>
  <c r="J59" i="8"/>
  <c r="J123" i="8"/>
  <c r="H178" i="8"/>
  <c r="H180" i="8"/>
  <c r="H177" i="8"/>
  <c r="H176" i="8" s="1"/>
  <c r="H182" i="8" s="1"/>
  <c r="I59" i="8"/>
  <c r="I51" i="8"/>
  <c r="P147" i="8"/>
  <c r="N147" i="8"/>
  <c r="H147" i="8"/>
  <c r="K147" i="8"/>
  <c r="O147" i="8"/>
  <c r="I147" i="8"/>
  <c r="L147" i="8"/>
  <c r="J147" i="8"/>
  <c r="H217" i="8"/>
  <c r="H229" i="8" s="1"/>
  <c r="H132" i="8"/>
  <c r="Q63" i="11" s="1"/>
  <c r="Q42" i="19" s="1"/>
  <c r="M147" i="8"/>
  <c r="Q147" i="8"/>
  <c r="R50" i="19" l="1"/>
  <c r="R51" i="19"/>
  <c r="I31" i="19"/>
  <c r="J100" i="8"/>
  <c r="K138" i="8" s="1"/>
  <c r="K134" i="8" s="1"/>
  <c r="K100" i="8" s="1"/>
  <c r="J145" i="8"/>
  <c r="J103" i="8"/>
  <c r="H163" i="8"/>
  <c r="Q62" i="11" s="1"/>
  <c r="I215" i="8"/>
  <c r="I78" i="8"/>
  <c r="I76" i="8"/>
  <c r="I60" i="8"/>
  <c r="I219" i="8"/>
  <c r="I184" i="8"/>
  <c r="AB10" i="8"/>
  <c r="H29" i="19" s="1"/>
  <c r="H192" i="8"/>
  <c r="J219" i="8"/>
  <c r="J184" i="8"/>
  <c r="J215" i="8"/>
  <c r="J60" i="8"/>
  <c r="J76" i="8"/>
  <c r="J78" i="8"/>
  <c r="Q60" i="11"/>
  <c r="Q57" i="11"/>
  <c r="Q55" i="11"/>
  <c r="Q58" i="11"/>
  <c r="Q59" i="11"/>
  <c r="P139" i="8"/>
  <c r="Q139" i="8" s="1"/>
  <c r="I158" i="8"/>
  <c r="H230" i="8"/>
  <c r="Y10" i="8"/>
  <c r="I156" i="8"/>
  <c r="K53" i="8" l="1"/>
  <c r="K50" i="8" s="1"/>
  <c r="K123" i="8" s="1"/>
  <c r="J99" i="8"/>
  <c r="R61" i="11"/>
  <c r="H165" i="8"/>
  <c r="H88" i="8" s="1"/>
  <c r="J81" i="8"/>
  <c r="J82" i="8" s="1"/>
  <c r="I227" i="8"/>
  <c r="AC11" i="8" s="1"/>
  <c r="I116" i="8"/>
  <c r="H193" i="8"/>
  <c r="X10" i="8"/>
  <c r="G29" i="19" s="1"/>
  <c r="I32" i="19"/>
  <c r="K190" i="8"/>
  <c r="K225" i="8" s="1"/>
  <c r="K145" i="8"/>
  <c r="R19" i="11"/>
  <c r="R30" i="19" s="1"/>
  <c r="I179" i="8"/>
  <c r="F30" i="19"/>
  <c r="R20" i="11"/>
  <c r="I81" i="8"/>
  <c r="F31" i="19"/>
  <c r="J179" i="8"/>
  <c r="K103" i="8" l="1"/>
  <c r="K99" i="8" s="1"/>
  <c r="K59" i="8"/>
  <c r="K60" i="8" s="1"/>
  <c r="K51" i="8"/>
  <c r="Q56" i="11"/>
  <c r="J132" i="8"/>
  <c r="J217" i="8"/>
  <c r="Q64" i="11"/>
  <c r="Q43" i="19" s="1"/>
  <c r="J150" i="8"/>
  <c r="J178" i="8"/>
  <c r="J177" i="8"/>
  <c r="J176" i="8" s="1"/>
  <c r="J182" i="8" s="1"/>
  <c r="J180" i="8"/>
  <c r="I82" i="8"/>
  <c r="R23" i="11" s="1"/>
  <c r="R33" i="19" s="1"/>
  <c r="I217" i="8"/>
  <c r="I229" i="8" s="1"/>
  <c r="I150" i="8"/>
  <c r="I132" i="8"/>
  <c r="R63" i="11" s="1"/>
  <c r="R42" i="19" s="1"/>
  <c r="L53" i="8"/>
  <c r="L50" i="8" s="1"/>
  <c r="L138" i="8"/>
  <c r="L134" i="8" s="1"/>
  <c r="L100" i="8" s="1"/>
  <c r="I178" i="8"/>
  <c r="I180" i="8"/>
  <c r="I177" i="8"/>
  <c r="I176" i="8" s="1"/>
  <c r="I182" i="8" s="1"/>
  <c r="Q27" i="11"/>
  <c r="Q36" i="19" s="1"/>
  <c r="Q28" i="11"/>
  <c r="Q37" i="19" s="1"/>
  <c r="AI10" i="8"/>
  <c r="AE10" i="8"/>
  <c r="R15" i="11" s="1"/>
  <c r="R26" i="19" s="1"/>
  <c r="R45" i="11"/>
  <c r="R201" i="8"/>
  <c r="AD10" i="8"/>
  <c r="K184" i="8"/>
  <c r="K219" i="8"/>
  <c r="S204" i="8"/>
  <c r="AF11" i="8"/>
  <c r="I63" i="8"/>
  <c r="K78" i="8" l="1"/>
  <c r="K215" i="8"/>
  <c r="K76" i="8"/>
  <c r="M53" i="8"/>
  <c r="M50" i="8" s="1"/>
  <c r="M138" i="8"/>
  <c r="M134" i="8" s="1"/>
  <c r="K179" i="8"/>
  <c r="F32" i="19"/>
  <c r="I230" i="8"/>
  <c r="J156" i="8"/>
  <c r="Y11" i="8"/>
  <c r="J158" i="8"/>
  <c r="R42" i="11"/>
  <c r="R48" i="19" s="1"/>
  <c r="AG10" i="8"/>
  <c r="R17" i="11" s="1"/>
  <c r="R28" i="19" s="1"/>
  <c r="Q42" i="11"/>
  <c r="Q48" i="19" s="1"/>
  <c r="Q15" i="11"/>
  <c r="Q26" i="19" s="1"/>
  <c r="I33" i="19"/>
  <c r="L145" i="8"/>
  <c r="L190" i="8"/>
  <c r="L225" i="8" s="1"/>
  <c r="R29" i="11"/>
  <c r="R38" i="19" s="1"/>
  <c r="Q29" i="11"/>
  <c r="Q38" i="19" s="1"/>
  <c r="L51" i="8"/>
  <c r="L59" i="8"/>
  <c r="L123" i="8"/>
  <c r="AB11" i="8"/>
  <c r="H30" i="19" s="1"/>
  <c r="I192" i="8"/>
  <c r="L103" i="8"/>
  <c r="R55" i="11"/>
  <c r="R57" i="11"/>
  <c r="R58" i="11"/>
  <c r="R59" i="11"/>
  <c r="R60" i="11"/>
  <c r="AB12" i="8"/>
  <c r="H31" i="19" s="1"/>
  <c r="J192" i="8"/>
  <c r="I163" i="8"/>
  <c r="R62" i="11" s="1"/>
  <c r="K81" i="8" l="1"/>
  <c r="K82" i="8" s="1"/>
  <c r="M103" i="8"/>
  <c r="I165" i="8"/>
  <c r="I88" i="8" s="1"/>
  <c r="I193" i="8"/>
  <c r="T193" i="8"/>
  <c r="X11" i="8"/>
  <c r="G30" i="19" s="1"/>
  <c r="K180" i="8"/>
  <c r="K178" i="8"/>
  <c r="K177" i="8"/>
  <c r="K176" i="8" s="1"/>
  <c r="K182" i="8" s="1"/>
  <c r="J227" i="8"/>
  <c r="J163" i="8"/>
  <c r="J165" i="8" s="1"/>
  <c r="J116" i="8"/>
  <c r="M190" i="8"/>
  <c r="M225" i="8" s="1"/>
  <c r="M145" i="8"/>
  <c r="L99" i="8"/>
  <c r="M51" i="8" s="1"/>
  <c r="L184" i="8"/>
  <c r="L219" i="8"/>
  <c r="L215" i="8"/>
  <c r="L78" i="8"/>
  <c r="L60" i="8"/>
  <c r="L76" i="8"/>
  <c r="M100" i="8"/>
  <c r="J193" i="8"/>
  <c r="U193" i="8"/>
  <c r="X12" i="8"/>
  <c r="G31" i="19" s="1"/>
  <c r="U192" i="8"/>
  <c r="R40" i="11"/>
  <c r="R46" i="19" s="1"/>
  <c r="R41" i="11"/>
  <c r="R47" i="19" s="1"/>
  <c r="Q41" i="11"/>
  <c r="Q47" i="19" s="1"/>
  <c r="Q40" i="11"/>
  <c r="Q46" i="19" s="1"/>
  <c r="Q16" i="11"/>
  <c r="Q17" i="11"/>
  <c r="Q28" i="19" s="1"/>
  <c r="R16" i="11"/>
  <c r="R27" i="19" s="1"/>
  <c r="M123" i="8"/>
  <c r="M59" i="8"/>
  <c r="K132" i="8" l="1"/>
  <c r="K150" i="8"/>
  <c r="K217" i="8"/>
  <c r="R56" i="11"/>
  <c r="R64" i="11"/>
  <c r="R43" i="19" s="1"/>
  <c r="L81" i="8"/>
  <c r="L217" i="8" s="1"/>
  <c r="AB13" i="8"/>
  <c r="H32" i="19" s="1"/>
  <c r="K192" i="8"/>
  <c r="J63" i="8"/>
  <c r="AC12" i="8"/>
  <c r="J229" i="8"/>
  <c r="F33" i="19"/>
  <c r="L179" i="8"/>
  <c r="M78" i="8"/>
  <c r="M76" i="8"/>
  <c r="M215" i="8"/>
  <c r="M60" i="8"/>
  <c r="M179" i="8" s="1"/>
  <c r="M219" i="8"/>
  <c r="M184" i="8"/>
  <c r="N53" i="8"/>
  <c r="M99" i="8"/>
  <c r="N138" i="8"/>
  <c r="N134" i="8" s="1"/>
  <c r="R27" i="11"/>
  <c r="R36" i="19" s="1"/>
  <c r="AD11" i="8"/>
  <c r="R28" i="11"/>
  <c r="R37" i="19" s="1"/>
  <c r="AI11" i="8"/>
  <c r="S201" i="8"/>
  <c r="J88" i="8"/>
  <c r="AE11" i="8"/>
  <c r="AG11" i="8" s="1"/>
  <c r="L82" i="8" l="1"/>
  <c r="L132" i="8"/>
  <c r="L150" i="8"/>
  <c r="M81" i="8"/>
  <c r="M132" i="8" s="1"/>
  <c r="N190" i="8"/>
  <c r="N225" i="8" s="1"/>
  <c r="N145" i="8"/>
  <c r="AD12" i="8"/>
  <c r="N100" i="8"/>
  <c r="L178" i="8"/>
  <c r="L177" i="8"/>
  <c r="L176" i="8" s="1"/>
  <c r="L182" i="8" s="1"/>
  <c r="L180" i="8"/>
  <c r="J230" i="8"/>
  <c r="K156" i="8"/>
  <c r="K158" i="8"/>
  <c r="Y12" i="8"/>
  <c r="K193" i="8"/>
  <c r="V193" i="8"/>
  <c r="V192" i="8"/>
  <c r="X13" i="8"/>
  <c r="G32" i="19" s="1"/>
  <c r="N50" i="8"/>
  <c r="N103" i="8"/>
  <c r="M177" i="8"/>
  <c r="M176" i="8" s="1"/>
  <c r="M182" i="8" s="1"/>
  <c r="M192" i="8" s="1"/>
  <c r="M180" i="8"/>
  <c r="M178" i="8"/>
  <c r="M150" i="8" l="1"/>
  <c r="M82" i="8"/>
  <c r="M217" i="8"/>
  <c r="X192" i="8"/>
  <c r="X193" i="8"/>
  <c r="M193" i="8"/>
  <c r="K227" i="8"/>
  <c r="K163" i="8"/>
  <c r="K165" i="8" s="1"/>
  <c r="K88" i="8" s="1"/>
  <c r="K116" i="8"/>
  <c r="AB14" i="8"/>
  <c r="H33" i="19" s="1"/>
  <c r="L192" i="8"/>
  <c r="N123" i="8"/>
  <c r="N51" i="8"/>
  <c r="N59" i="8"/>
  <c r="N99" i="8"/>
  <c r="O53" i="8"/>
  <c r="O50" i="8" s="1"/>
  <c r="O138" i="8"/>
  <c r="O134" i="8" s="1"/>
  <c r="O103" i="8" l="1"/>
  <c r="O145" i="8"/>
  <c r="O190" i="8"/>
  <c r="O225" i="8" s="1"/>
  <c r="N184" i="8"/>
  <c r="N219" i="8"/>
  <c r="O51" i="8"/>
  <c r="O123" i="8"/>
  <c r="O59" i="8"/>
  <c r="K63" i="8"/>
  <c r="AD13" i="8"/>
  <c r="O100" i="8"/>
  <c r="AC13" i="8"/>
  <c r="K229" i="8"/>
  <c r="X14" i="8"/>
  <c r="G33" i="19" s="1"/>
  <c r="W192" i="8"/>
  <c r="L193" i="8"/>
  <c r="W193" i="8"/>
  <c r="N215" i="8"/>
  <c r="N60" i="8"/>
  <c r="N179" i="8" s="1"/>
  <c r="N76" i="8"/>
  <c r="N78" i="8"/>
  <c r="O60" i="8" l="1"/>
  <c r="O179" i="8" s="1"/>
  <c r="O215" i="8"/>
  <c r="O78" i="8"/>
  <c r="O76" i="8"/>
  <c r="N177" i="8"/>
  <c r="N176" i="8" s="1"/>
  <c r="N182" i="8" s="1"/>
  <c r="N192" i="8" s="1"/>
  <c r="N178" i="8"/>
  <c r="N180" i="8"/>
  <c r="O219" i="8"/>
  <c r="O184" i="8"/>
  <c r="Y13" i="8"/>
  <c r="L156" i="8"/>
  <c r="L158" i="8"/>
  <c r="K230" i="8"/>
  <c r="O99" i="8"/>
  <c r="P53" i="8"/>
  <c r="P138" i="8"/>
  <c r="P134" i="8" s="1"/>
  <c r="P100" i="8" s="1"/>
  <c r="N81" i="8"/>
  <c r="O81" i="8" l="1"/>
  <c r="O217" i="8" s="1"/>
  <c r="Q53" i="8"/>
  <c r="Q50" i="8" s="1"/>
  <c r="Q138" i="8"/>
  <c r="Q134" i="8" s="1"/>
  <c r="O150" i="8"/>
  <c r="Y193" i="8"/>
  <c r="N193" i="8"/>
  <c r="Y192" i="8"/>
  <c r="L227" i="8"/>
  <c r="L163" i="8"/>
  <c r="L165" i="8" s="1"/>
  <c r="L88" i="8" s="1"/>
  <c r="L116" i="8"/>
  <c r="N150" i="8"/>
  <c r="N217" i="8"/>
  <c r="N82" i="8"/>
  <c r="N132" i="8"/>
  <c r="P50" i="8"/>
  <c r="P103" i="8"/>
  <c r="P190" i="8"/>
  <c r="P225" i="8" s="1"/>
  <c r="P145" i="8"/>
  <c r="O177" i="8"/>
  <c r="O176" i="8" s="1"/>
  <c r="O182" i="8" s="1"/>
  <c r="O192" i="8" s="1"/>
  <c r="O180" i="8"/>
  <c r="O178" i="8"/>
  <c r="Q103" i="8" l="1"/>
  <c r="O82" i="8"/>
  <c r="O132" i="8"/>
  <c r="Q145" i="8"/>
  <c r="Q190" i="8"/>
  <c r="Q225" i="8" s="1"/>
  <c r="AD14" i="8"/>
  <c r="Q59" i="8"/>
  <c r="Q123" i="8"/>
  <c r="L63" i="8"/>
  <c r="AC14" i="8"/>
  <c r="L229" i="8"/>
  <c r="P51" i="8"/>
  <c r="P123" i="8"/>
  <c r="P59" i="8"/>
  <c r="Q100" i="8"/>
  <c r="AA193" i="8"/>
  <c r="O193" i="8"/>
  <c r="AA192" i="8"/>
  <c r="P99" i="8"/>
  <c r="Q51" i="8" s="1"/>
  <c r="Q99" i="8" l="1"/>
  <c r="P78" i="8"/>
  <c r="P215" i="8"/>
  <c r="P76" i="8"/>
  <c r="P60" i="8"/>
  <c r="P179" i="8" s="1"/>
  <c r="P184" i="8"/>
  <c r="P219" i="8"/>
  <c r="Q184" i="8"/>
  <c r="Q219" i="8"/>
  <c r="M158" i="8"/>
  <c r="M156" i="8"/>
  <c r="L230" i="8"/>
  <c r="Y14" i="8"/>
  <c r="Q78" i="8"/>
  <c r="Q76" i="8"/>
  <c r="Q60" i="8"/>
  <c r="Q179" i="8" s="1"/>
  <c r="Q215" i="8"/>
  <c r="Q81" i="8" l="1"/>
  <c r="Q217" i="8" s="1"/>
  <c r="P81" i="8"/>
  <c r="P82" i="8" s="1"/>
  <c r="Q178" i="8"/>
  <c r="Q180" i="8"/>
  <c r="Q177" i="8"/>
  <c r="Q176" i="8" s="1"/>
  <c r="Q182" i="8" s="1"/>
  <c r="Q192" i="8" s="1"/>
  <c r="P180" i="8"/>
  <c r="P177" i="8"/>
  <c r="P176" i="8" s="1"/>
  <c r="P182" i="8" s="1"/>
  <c r="P192" i="8" s="1"/>
  <c r="P178" i="8"/>
  <c r="M227" i="8"/>
  <c r="M229" i="8" s="1"/>
  <c r="M163" i="8"/>
  <c r="M165" i="8" s="1"/>
  <c r="M88" i="8" s="1"/>
  <c r="M116" i="8"/>
  <c r="P150" i="8" l="1"/>
  <c r="Q150" i="8"/>
  <c r="P132" i="8"/>
  <c r="P217" i="8"/>
  <c r="Q132" i="8"/>
  <c r="Q82" i="8"/>
  <c r="M63" i="8"/>
  <c r="N156" i="8"/>
  <c r="M230" i="8"/>
  <c r="N158" i="8"/>
  <c r="AC193" i="8"/>
  <c r="AC192" i="8"/>
  <c r="Q193" i="8"/>
  <c r="Q198" i="8"/>
  <c r="P193" i="8"/>
  <c r="AB193" i="8"/>
  <c r="AB192" i="8"/>
  <c r="N116" i="8" l="1"/>
  <c r="N63" i="8" s="1"/>
  <c r="S199" i="8"/>
  <c r="S200" i="8" s="1"/>
  <c r="Q199" i="8"/>
  <c r="Q200" i="8" s="1"/>
  <c r="Q205" i="8" s="1"/>
  <c r="Q208" i="8" s="1"/>
  <c r="R199" i="8"/>
  <c r="R200" i="8" s="1"/>
  <c r="N227" i="8"/>
  <c r="N229" i="8" s="1"/>
  <c r="N163" i="8"/>
  <c r="N165" i="8" s="1"/>
  <c r="N88" i="8" s="1"/>
  <c r="Q9" i="11" l="1"/>
  <c r="Q21" i="19" s="1"/>
  <c r="Q6" i="11"/>
  <c r="Q18" i="19" s="1"/>
  <c r="R205" i="8"/>
  <c r="Q8" i="11"/>
  <c r="Q20" i="19" s="1"/>
  <c r="Q211" i="8"/>
  <c r="U11" i="19" s="1"/>
  <c r="AO285" i="8"/>
  <c r="AO295" i="8"/>
  <c r="R8" i="11"/>
  <c r="R20" i="19" s="1"/>
  <c r="S205" i="8"/>
  <c r="R9" i="11"/>
  <c r="R21" i="19" s="1"/>
  <c r="R6" i="11"/>
  <c r="R18" i="19" s="1"/>
  <c r="O156" i="8"/>
  <c r="N230" i="8"/>
  <c r="O158" i="8"/>
  <c r="Q10" i="11" l="1"/>
  <c r="Q22" i="19" s="1"/>
  <c r="Q7" i="11"/>
  <c r="Q19" i="19" s="1"/>
  <c r="Q11" i="11"/>
  <c r="Q23" i="19" s="1"/>
  <c r="R10" i="11"/>
  <c r="R22" i="19" s="1"/>
  <c r="R11" i="11"/>
  <c r="R23" i="19" s="1"/>
  <c r="R7" i="11"/>
  <c r="R19" i="19" s="1"/>
  <c r="O227" i="8"/>
  <c r="O229" i="8" s="1"/>
  <c r="O163" i="8"/>
  <c r="O165" i="8" s="1"/>
  <c r="O88" i="8" s="1"/>
  <c r="O116" i="8"/>
  <c r="O63" i="8" l="1"/>
  <c r="P156" i="8"/>
  <c r="P158" i="8"/>
  <c r="O230" i="8"/>
  <c r="P227" i="8" l="1"/>
  <c r="P229" i="8" s="1"/>
  <c r="P163" i="8"/>
  <c r="P165" i="8" s="1"/>
  <c r="P88" i="8" s="1"/>
  <c r="P116" i="8"/>
  <c r="P63" i="8" l="1"/>
  <c r="Q156" i="8"/>
  <c r="Q158" i="8"/>
  <c r="P230" i="8"/>
  <c r="Q227" i="8" l="1"/>
  <c r="Q229" i="8" s="1"/>
  <c r="Q163" i="8"/>
  <c r="Q165" i="8" s="1"/>
  <c r="Q88" i="8" s="1"/>
  <c r="Q116" i="8"/>
  <c r="Q63" i="8" s="1"/>
  <c r="Q232" i="8" l="1"/>
  <c r="Q233" i="8" s="1"/>
  <c r="Q230" i="8"/>
  <c r="Q234" i="8" l="1"/>
  <c r="Q236" i="8" s="1"/>
  <c r="Q238" i="8" l="1"/>
  <c r="U10"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borda</author>
  </authors>
  <commentList>
    <comment ref="P18" authorId="0" shapeId="0" xr:uid="{CB4BEB67-AEC1-4305-8950-2B9BD75C1FCB}">
      <text>
        <r>
          <rPr>
            <b/>
            <sz val="9"/>
            <color indexed="81"/>
            <rFont val="Tahoma"/>
            <family val="2"/>
          </rPr>
          <t>borda:</t>
        </r>
        <r>
          <rPr>
            <sz val="9"/>
            <color indexed="81"/>
            <rFont val="Tahoma"/>
            <family val="2"/>
          </rPr>
          <t xml:space="preserve">
rised because of debt borrowing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F6" authorId="0" shapeId="0" xr:uid="{00000000-0006-0000-0100-000001000000}">
      <text>
        <r>
          <rPr>
            <b/>
            <sz val="9"/>
            <color indexed="81"/>
            <rFont val="Tahoma"/>
            <family val="2"/>
          </rPr>
          <t xml:space="preserve">Company didn't disclose the data due to changes in accounting standards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Manuel Afonso Azevedo Jáco</author>
  </authors>
  <commentList>
    <comment ref="E45" authorId="0" shapeId="0" xr:uid="{48D15D92-0E0A-4F2A-AF0A-95A016223219}">
      <text>
        <r>
          <rPr>
            <sz val="11"/>
            <color theme="1"/>
            <rFont val="Arial"/>
            <family val="2"/>
          </rPr>
          <t xml:space="preserve">Adobe benefits from large-scale operations and high fixed costs that deter smaller entrants.
</t>
        </r>
      </text>
    </comment>
    <comment ref="E46" authorId="0" shapeId="0" xr:uid="{944072D3-08B1-4231-8B25-D6F98B9D10DB}">
      <text>
        <r>
          <rPr>
            <sz val="11"/>
            <color theme="1"/>
            <rFont val="Arial"/>
            <family val="2"/>
          </rPr>
          <t>Adobe products have deep feature sets and are industry standards. For instance, Adobe Photoshop is the world’s most advanced digital imaging and design App, with powerful editing and effects tools to transform photos It became so popular and unique that it became a verb..</t>
        </r>
      </text>
    </comment>
    <comment ref="E47" authorId="0" shapeId="0" xr:uid="{45892EFC-1C17-4C7B-8FBD-A0EF205FD162}">
      <text>
        <r>
          <rPr>
            <sz val="11"/>
            <color theme="1"/>
            <rFont val="Arial"/>
            <family val="2"/>
          </rPr>
          <t xml:space="preserve">Significant capital is required to develop a competitive product, especially in generative AI, cloud services, and real-time analytics. While it's easier to launch a SaaS product today, competing at Adobe's scale is a major hurdle.
</t>
        </r>
      </text>
    </comment>
    <comment ref="E48" authorId="0" shapeId="0" xr:uid="{418F1E09-8ABA-44F9-A10E-C8B5C537CDF4}">
      <text>
        <r>
          <rPr>
            <sz val="11"/>
            <color theme="1"/>
            <rFont val="Arial"/>
            <family val="2"/>
          </rPr>
          <t>Most of Adobe's revenue comes from subscriptions, therefore Adobe doesn’t rely on traditional retailers or physical distribution channels.
It distributes software directly to users worldwide.
However there are startups that have grown without needing retail space, through virality, smart design, and social media, such as Canva .</t>
        </r>
      </text>
    </comment>
    <comment ref="E49" authorId="0" shapeId="0" xr:uid="{EA487512-A12A-4B61-8C99-24A3557A54B2}">
      <text>
        <r>
          <rPr>
            <sz val="11"/>
            <color theme="1"/>
            <rFont val="Arial"/>
            <family val="2"/>
          </rPr>
          <t xml:space="preserve">Regulations like GDPR and CCPA require sophisticated compliance systems — an area where Adobe has an advantage due to its resources.
</t>
        </r>
      </text>
    </comment>
    <comment ref="E50" authorId="0" shapeId="0" xr:uid="{1D0D4150-98B1-4E88-BC1E-30FE0FE7D0D4}">
      <text>
        <r>
          <rPr>
            <sz val="11"/>
            <color theme="1"/>
            <rFont val="Arial"/>
            <family val="2"/>
          </rPr>
          <t xml:space="preserve">Users invest time in learning Adobe tools, integrating them into workflows, and often store assets in proprietary formats. Transitioning to alternatives involves retraining(which takes time), migration, and potential feature gaps.
</t>
        </r>
      </text>
    </comment>
    <comment ref="E52" authorId="0" shapeId="0" xr:uid="{C2594D56-3C2D-4C6B-957D-49D7B2E679FD}">
      <text>
        <r>
          <rPr>
            <sz val="11"/>
            <color theme="1"/>
            <rFont val="Arial"/>
            <family val="2"/>
          </rPr>
          <t xml:space="preserve">Adobe maintains control over most of its product development. For infrastructure (cloud services, AI chips), there are alternatives (AWS, Azure, Google Cloud), which reduces reliance on any single provider.
</t>
        </r>
      </text>
    </comment>
    <comment ref="E53" authorId="0" shapeId="0" xr:uid="{0A62EC52-6A95-4392-A4C3-BD0ED8F4821B}">
      <text>
        <r>
          <rPr>
            <sz val="11"/>
            <color theme="1"/>
            <rFont val="Arial"/>
            <family val="2"/>
          </rPr>
          <t>In order to grow, Adobe needs to incorporate AI in their products which gives much power to companies like
NVIDIA.</t>
        </r>
      </text>
    </comment>
    <comment ref="E54" authorId="0" shapeId="0" xr:uid="{4A403B6D-68A9-4522-A3F4-B222086003AA}">
      <text>
        <r>
          <rPr>
            <sz val="11"/>
            <color theme="1"/>
            <rFont val="Arial"/>
            <family val="2"/>
          </rPr>
          <t xml:space="preserve">Adobe can switch cloud vendors or build internal solutions if needed. For example, some AI models can be moved between platforms.
</t>
        </r>
      </text>
    </comment>
    <comment ref="E55" authorId="0" shapeId="0" xr:uid="{AC1272F4-1D96-45BD-A553-6B24AAB2CD41}">
      <text>
        <r>
          <rPr>
            <sz val="11"/>
            <color theme="1"/>
            <rFont val="Arial"/>
            <family val="2"/>
          </rPr>
          <t xml:space="preserve">t's unlikely that infrastructure or hardware suppliers will enter Adobe’s creative or digital marketing markets — the core IP is software, design, and data, which they do not specialize in.
</t>
        </r>
      </text>
    </comment>
    <comment ref="E56" authorId="0" shapeId="0" xr:uid="{F87B5C12-FBEE-4329-AC57-3DF923814961}">
      <text>
        <r>
          <rPr>
            <sz val="11"/>
            <color theme="1"/>
            <rFont val="Arial"/>
            <family val="2"/>
          </rPr>
          <t xml:space="preserve">Suppliers benefit from working with Adobe, not to mention 
</t>
        </r>
      </text>
    </comment>
    <comment ref="E58" authorId="0" shapeId="0" xr:uid="{FA37E899-85F3-455E-B3A2-4FF5E6ED0CC8}">
      <text>
        <r>
          <rPr>
            <sz val="11"/>
            <color theme="1"/>
            <rFont val="Arial"/>
            <family val="2"/>
          </rPr>
          <t xml:space="preserve">Adobe serves millions of individual users, creatives, businesses, and enterprises. No single buyer has significant leverage over Adobe's revenue.
</t>
        </r>
      </text>
    </comment>
    <comment ref="E59" authorId="0" shapeId="0" xr:uid="{6098FB01-978D-4CBF-A77F-6E985B954FCD}">
      <text>
        <r>
          <rPr>
            <sz val="11"/>
            <color theme="1"/>
            <rFont val="Arial"/>
            <family val="2"/>
          </rPr>
          <t xml:space="preserve">Large enterprises negotiate custom Experience Cloud contracts, but they’re still a small portion of total customer volume, since the majority comes from subscriptions.
</t>
        </r>
      </text>
    </comment>
    <comment ref="E60" authorId="0" shapeId="0" xr:uid="{773C7014-A243-4D0D-9174-3CFC764FA429}">
      <text>
        <r>
          <rPr>
            <sz val="11"/>
            <color theme="1"/>
            <rFont val="Arial"/>
            <family val="2"/>
          </rPr>
          <t xml:space="preserve">Users invest time in learning Adobe tools, integrating them into workflows, and often store assets in proprietary formats. Transitioning to alternatives involves retraining(which takes time), migration, and potential feature gaps.
</t>
        </r>
      </text>
    </comment>
    <comment ref="E61" authorId="0" shapeId="0" xr:uid="{F1DA60FF-290B-4CB5-87F1-F973DF253350}">
      <text>
        <r>
          <rPr>
            <sz val="11"/>
            <color theme="1"/>
            <rFont val="Arial"/>
            <family val="2"/>
          </rPr>
          <t xml:space="preserve">SMBs and students can be price-sensitive and may choose freemium or lower-cost tools. However, professionals who want to make profit will still use products like Photoshop to do better projects.
</t>
        </r>
      </text>
    </comment>
    <comment ref="E62" authorId="0" shapeId="0" xr:uid="{EC177886-B90A-4304-8488-3CA4D7F8BDFD}">
      <text>
        <r>
          <rPr>
            <sz val="11"/>
            <color theme="1"/>
            <rFont val="Arial"/>
            <family val="2"/>
          </rPr>
          <t xml:space="preserve">Buyers are knowledgeable about alternatives (e.g., Canva, Figma, Affinity), especially in graphic design and document tools. However, Adobe’s comprehensive ecosystem is hard to match.
</t>
        </r>
      </text>
    </comment>
    <comment ref="E64" authorId="0" shapeId="0" xr:uid="{579B7B91-9EAB-4A0D-BFDF-08E7D6619EE0}">
      <text>
        <r>
          <rPr>
            <sz val="11"/>
            <color theme="1"/>
            <rFont val="Arial"/>
            <family val="2"/>
          </rPr>
          <t xml:space="preserve">Adobe faces competition in nearly every segment: Canva and Affinity in design; Figma (now under Adobe's acquisition attempt); DocuSign and HelloSign in e-signatures; Salesforce and Oracle in marketing and data platforms.
It participates in a rapidly evolving, highly competitive global environment, where competitors vary by industry and range from large multinational enterprises to smaller entities with specialized and focused product offerings. 
</t>
        </r>
      </text>
    </comment>
    <comment ref="E65" authorId="0" shapeId="0" xr:uid="{D44527BF-1AA2-4170-8406-6618D3A44994}">
      <text>
        <r>
          <rPr>
            <sz val="11"/>
            <color theme="1"/>
            <rFont val="Arial"/>
            <family val="2"/>
          </rPr>
          <t xml:space="preserve">This sector is projected to grow at a compound annual growth rate (CAGR) of 12%, reaching around $819.2 billion by 2030.​
</t>
        </r>
      </text>
    </comment>
    <comment ref="E66" authorId="0" shapeId="0" xr:uid="{53F008C5-1EDE-4323-B60E-ABEEDB86C4A8}">
      <text>
        <r>
          <rPr>
            <sz val="11"/>
            <color theme="1"/>
            <rFont val="Arial"/>
            <family val="2"/>
          </rPr>
          <t xml:space="preserve">Adobe products have deep feature sets and are industry standards. For instance, Adobe Photoshop is the world’s most advanced digital imaging and design App, with powerful editing and effects tools to transform photos It became so popular and unique that it became a verb..
</t>
        </r>
      </text>
    </comment>
    <comment ref="E67" authorId="0" shapeId="0" xr:uid="{A544BD38-6E35-476E-8AF7-5A79E08CA4F2}">
      <text>
        <r>
          <rPr>
            <sz val="11"/>
            <color theme="1"/>
            <rFont val="Arial"/>
            <family val="2"/>
          </rPr>
          <t xml:space="preserve">Exit barriers are low for many SaaS startups; however, Adobe faces pressure to retain market leadership and constant innovation to defend share.
</t>
        </r>
      </text>
    </comment>
    <comment ref="E68" authorId="0" shapeId="0" xr:uid="{BA215674-A286-431C-A00D-B01BB27C220E}">
      <text>
        <r>
          <rPr>
            <sz val="11"/>
            <color theme="1"/>
            <rFont val="Arial"/>
            <family val="2"/>
          </rPr>
          <t xml:space="preserve">High R&amp;D, marketing, and infrastructure costs mean Adobe must maintain a high subscriber base and innovate continuously to remain competitive.
</t>
        </r>
      </text>
    </comment>
    <comment ref="E70" authorId="0" shapeId="0" xr:uid="{37B08F6B-009A-4836-A705-61F03B971C72}">
      <text>
        <r>
          <rPr>
            <sz val="11"/>
            <color theme="1"/>
            <rFont val="Arial"/>
            <family val="2"/>
          </rPr>
          <t xml:space="preserve">Tools like Canva, DaVinci Resolve, Affinity Photo, and free PDF editors offer adequate features for casual users at much lower costs.
</t>
        </r>
      </text>
    </comment>
    <comment ref="E71" authorId="0" shapeId="0" xr:uid="{D53D0871-E1DF-4497-B6F0-FF758F58C1D1}">
      <text>
        <r>
          <rPr>
            <sz val="11"/>
            <color theme="1"/>
            <rFont val="Arial"/>
            <family val="2"/>
          </rPr>
          <t xml:space="preserve">Users invest time in learning Adobe tools, integrating them into workflows, and often store assets in proprietary formats. Transitioning to alternatives involves retraining(which takes time), migration, and potential feature gaps.
</t>
        </r>
      </text>
    </comment>
    <comment ref="E72" authorId="0" shapeId="0" xr:uid="{3A3F09D1-305C-4F3B-AAE4-37D37D54A74D}">
      <text>
        <r>
          <rPr>
            <sz val="11"/>
            <color theme="1"/>
            <rFont val="Arial"/>
            <family val="2"/>
          </rPr>
          <t xml:space="preserve">While tools like Canva, DaVinci Resolve, Affinity Photo, and free PDF editors offer adequate features for casual users at much lower costs, some products like Photoshop and Adobe Illustrator are the best choice for professionals and customers recognize that. 
</t>
        </r>
      </text>
    </comment>
    <comment ref="E73" authorId="0" shapeId="0" xr:uid="{343630A0-326D-455A-A54A-E34A7660965C}">
      <text>
        <r>
          <rPr>
            <sz val="11"/>
            <color theme="1"/>
            <rFont val="Arial"/>
            <family val="2"/>
          </rPr>
          <t xml:space="preserve">Adobe Photoshop and Adobe Illustrator are the best choice for professionals since there aren't products that can do the same thing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Utilizador</author>
  </authors>
  <commentList>
    <comment ref="I106" authorId="0" shapeId="0" xr:uid="{81BA6BD8-FDA4-4576-8572-656726E1783B}">
      <text>
        <r>
          <rPr>
            <b/>
            <sz val="9"/>
            <color indexed="81"/>
            <rFont val="Tahoma"/>
            <family val="2"/>
          </rPr>
          <t>Utilizador:</t>
        </r>
        <r>
          <rPr>
            <sz val="9"/>
            <color indexed="81"/>
            <rFont val="Tahoma"/>
            <family val="2"/>
          </rPr>
          <t xml:space="preserve">
TTM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Raul Vasconcelos</author>
    <author>Patrícia Franco</author>
    <author>Raul Vasconcelos da Silva</author>
    <author>tc={F181CA52-3FA2-4A33-A10A-F8557979E99E}</author>
    <author>tc={09FBD5D3-DB71-4C02-AAFC-390A71135619}</author>
    <author>tc={7108947B-CDC6-47AE-A0CF-2F2C9EE87BE4}</author>
    <author>tc={09510399-1EC3-4497-9B7B-3FADD1B15FC6}</author>
    <author>tc={2CC502B1-1A85-490F-BDEF-A43C1E9B03D3}</author>
    <author>tc={4C49758A-C167-43CC-A0E6-1EADC7107D50}</author>
  </authors>
  <commentList>
    <comment ref="B39" authorId="0" shapeId="0" xr:uid="{76CE299B-6E4A-422F-92C3-9A79DF0BFC8C}">
      <text>
        <r>
          <rPr>
            <b/>
            <sz val="9"/>
            <color indexed="81"/>
            <rFont val="Tahoma"/>
            <family val="2"/>
          </rPr>
          <t>Raul Vasconcelos:</t>
        </r>
        <r>
          <rPr>
            <sz val="9"/>
            <color indexed="81"/>
            <rFont val="Tahoma"/>
            <family val="2"/>
          </rPr>
          <t xml:space="preserve">
Forecast based on historical percentages or growth assumptions</t>
        </r>
      </text>
    </comment>
    <comment ref="H40" authorId="1" shapeId="0" xr:uid="{D467FAB3-FEF1-422B-9CF9-53CE375A4DD0}">
      <text>
        <r>
          <rPr>
            <b/>
            <sz val="9"/>
            <color indexed="81"/>
            <rFont val="Tahoma"/>
            <family val="2"/>
          </rPr>
          <t>Patrícia Franco:</t>
        </r>
        <r>
          <rPr>
            <sz val="9"/>
            <color indexed="81"/>
            <rFont val="Tahoma"/>
            <family val="2"/>
          </rPr>
          <t xml:space="preserve">
ver annual report+proxy
ver planeamento de alocações</t>
        </r>
      </text>
    </comment>
    <comment ref="B42" authorId="0" shapeId="0" xr:uid="{13984AFF-AA00-4A9F-80C4-A7D9360798A1}">
      <text>
        <r>
          <rPr>
            <b/>
            <sz val="9"/>
            <color indexed="81"/>
            <rFont val="Tahoma"/>
            <family val="2"/>
          </rPr>
          <t>Raul Vasconcelos:</t>
        </r>
        <r>
          <rPr>
            <sz val="9"/>
            <color indexed="81"/>
            <rFont val="Tahoma"/>
            <family val="2"/>
          </rPr>
          <t xml:space="preserve">
Forecast based on company policy, industry trends, or as a percentage of sales</t>
        </r>
      </text>
    </comment>
    <comment ref="E43" authorId="1" shapeId="0" xr:uid="{F7093FA4-4595-40D0-8276-A4E81FA47EC4}">
      <text>
        <r>
          <rPr>
            <b/>
            <sz val="9"/>
            <color indexed="81"/>
            <rFont val="Tahoma"/>
            <family val="2"/>
          </rPr>
          <t>Patrícia Franco:</t>
        </r>
        <r>
          <rPr>
            <sz val="9"/>
            <color indexed="81"/>
            <rFont val="Tahoma"/>
            <family val="2"/>
          </rPr>
          <t xml:space="preserve">
justificar de onde vem</t>
        </r>
      </text>
    </comment>
    <comment ref="H43" authorId="1" shapeId="0" xr:uid="{F1E85291-3DCD-43BB-A3DE-1653CEC7E062}">
      <text>
        <r>
          <rPr>
            <b/>
            <sz val="9"/>
            <color indexed="81"/>
            <rFont val="Tahoma"/>
            <family val="2"/>
          </rPr>
          <t>Patrícia Franco:</t>
        </r>
        <r>
          <rPr>
            <sz val="9"/>
            <color indexed="81"/>
            <rFont val="Tahoma"/>
            <family val="2"/>
          </rPr>
          <t xml:space="preserve">
atualizar</t>
        </r>
      </text>
    </comment>
    <comment ref="H60" authorId="1" shapeId="0" xr:uid="{E344FFF7-9437-4749-AF18-492205A72891}">
      <text>
        <r>
          <rPr>
            <b/>
            <sz val="9"/>
            <color indexed="81"/>
            <rFont val="Tahoma"/>
            <family val="2"/>
          </rPr>
          <t>Patrícia Franco:</t>
        </r>
        <r>
          <rPr>
            <sz val="9"/>
            <color indexed="81"/>
            <rFont val="Tahoma"/>
            <family val="2"/>
          </rPr>
          <t xml:space="preserve">
explicar nos prxs 3 anos
</t>
        </r>
      </text>
    </comment>
    <comment ref="B72" authorId="2" shapeId="0" xr:uid="{069DD8D2-4A8C-414D-97BC-86CDDFAD6145}">
      <text>
        <r>
          <rPr>
            <sz val="11"/>
            <color theme="1"/>
            <rFont val="Arial"/>
            <family val="2"/>
          </rPr>
          <t>Forecast as % of revenue for maximum simplicity. It is encouraged to build a more complex model using bond yields, exchange rates and exposure to each region (not always necessary)</t>
        </r>
      </text>
    </comment>
    <comment ref="B106" authorId="2" shapeId="0" xr:uid="{395AC7EB-42A2-4583-A073-620804C32DD4}">
      <text>
        <r>
          <rPr>
            <sz val="11"/>
            <color theme="1"/>
            <rFont val="Arial"/>
            <family val="2"/>
          </rPr>
          <t>Growth with R&amp;D or with part of the capex, should find what is the most reliable method for the company</t>
        </r>
      </text>
    </comment>
    <comment ref="B123" authorId="3" shapeId="0" xr:uid="{F181CA52-3FA2-4A33-A10A-F8557979E99E}">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5" authorId="2" shapeId="0" xr:uid="{DEA5A642-98DA-463E-89EA-51E02941EC7A}">
      <text>
        <r>
          <rPr>
            <sz val="11"/>
            <color theme="1"/>
            <rFont val="Arial"/>
            <family val="2"/>
          </rPr>
          <t xml:space="preserve">Usually part of SG&amp;A expenses, but sometimes can be part of R&amp;D expenses, i.e. tech/engineering companies </t>
        </r>
      </text>
    </comment>
    <comment ref="E134" authorId="1" shapeId="0" xr:uid="{3D713B15-0CF8-48A8-B093-FE3447ADA7CC}">
      <text>
        <r>
          <rPr>
            <b/>
            <sz val="9"/>
            <color indexed="81"/>
            <rFont val="Tahoma"/>
            <family val="2"/>
          </rPr>
          <t>Patrícia Franco:</t>
        </r>
        <r>
          <rPr>
            <sz val="9"/>
            <color indexed="81"/>
            <rFont val="Tahoma"/>
            <family val="2"/>
          </rPr>
          <t xml:space="preserve">
ver data center</t>
        </r>
      </text>
    </comment>
    <comment ref="B136" authorId="4" shapeId="0" xr:uid="{09FBD5D3-DB71-4C02-AAFC-390A71135619}">
      <text>
        <t xml:space="preserve">[Threaded comment]
Your version of Excel allows you to read this threaded comment; however, any edits to it will get removed if the file is opened in a newer version of Excel. Learn more: https://go.microsoft.com/fwlink/?linkid=870924
Comment:
    Forecasted based on net number of stores opening </t>
      </text>
    </comment>
    <comment ref="B141" authorId="2" shapeId="0" xr:uid="{570C0FA8-B104-4FF5-9917-22840CBC8656}">
      <text>
        <r>
          <rPr>
            <sz val="11"/>
            <color theme="1"/>
            <rFont val="Arial"/>
            <family val="2"/>
          </rPr>
          <t>Forecast separately based on what you find to be the best factor</t>
        </r>
      </text>
    </comment>
    <comment ref="B153" authorId="5" shapeId="0" xr:uid="{7108947B-CDC6-47AE-A0CF-2F2C9EE87BE4}">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6" authorId="6" shapeId="0" xr:uid="{09510399-1EC3-4497-9B7B-3FADD1B15FC6}">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58" authorId="7" shapeId="0" xr:uid="{2CC502B1-1A85-490F-BDEF-A43C1E9B03D3}">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5" authorId="8" shapeId="0" xr:uid="{4C49758A-C167-43CC-A0E6-1EADC7107D5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Raul Vasconcelos</author>
  </authors>
  <commentList>
    <comment ref="B7" authorId="0" shapeId="0" xr:uid="{00000000-0006-0000-0800-000001000000}">
      <text>
        <r>
          <rPr>
            <sz val="11"/>
            <color theme="1"/>
            <rFont val="Arial"/>
            <family val="2"/>
          </rPr>
          <t>Raul Vasconcelos da Silva:
Food, beverage and packaging</t>
        </r>
      </text>
    </comment>
    <comment ref="B50" authorId="1"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1"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Patrícia Franco</author>
  </authors>
  <commentList>
    <comment ref="G12" authorId="0" shapeId="0" xr:uid="{C1699E11-602E-4495-AF3D-0095F09BD62D}">
      <text>
        <r>
          <rPr>
            <b/>
            <sz val="9"/>
            <color indexed="81"/>
            <rFont val="Tahoma"/>
            <family val="2"/>
          </rPr>
          <t>Patrícia Franco:</t>
        </r>
        <r>
          <rPr>
            <sz val="9"/>
            <color indexed="81"/>
            <rFont val="Tahoma"/>
            <family val="2"/>
          </rPr>
          <t xml:space="preserve">
US 10Y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futureMetadata>
  <futureMetadata name="XLDAPR" count="1">
    <bk>
      <extLst>
        <ext uri="{bdbb8cdc-fa1e-496e-a857-3c3f30c029c3}">
          <xda:dynamicArrayProperties fDynamic="1" fCollapsed="0"/>
        </ext>
      </extLst>
    </bk>
  </futureMetadata>
  <cellMetadata count="1">
    <bk>
      <rc t="2" v="0"/>
    </bk>
  </cell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<sst xmlns="http://schemas.openxmlformats.org/spreadsheetml/2006/main" count="927" uniqueCount="596">
  <si>
    <t xml:space="preserve">             |   EQUITY RESEARCH </t>
  </si>
  <si>
    <t>Lisbon Investment Society Equity Research</t>
  </si>
  <si>
    <t>April 5, 2025</t>
  </si>
  <si>
    <t>Buy</t>
  </si>
  <si>
    <t>Adobe Inc. develops and sells software for creative design, document management, and digital marketing. Its core operations focus on subscription-based services through Creative Cloud (like Photoshop and Illustrator) and Experience Cloud for data-driven marketing. The company generates most of its revenue from digital media tools and operates globally, with a strong presence in the Americas, Europe, and  Asia.</t>
  </si>
  <si>
    <t>EXCHANGE:(TICKER)</t>
  </si>
  <si>
    <t>Investment Thesis</t>
  </si>
  <si>
    <t>Adobe Inc. is a market leader in creative and digital media software with a resilient subscription-based business model, strong free revenue generation, and growing digital solutions. The company's strategic integration of generative AI through Firefly, alongside continued expansion in Document and Experience Cloud, positions it to drive sustainable long-term growth. Despite short-term market volatility, Adobe’s innovation pipeline and pricing power support a favorable profile.</t>
  </si>
  <si>
    <t>Operating Metrics</t>
  </si>
  <si>
    <t>Valuation Multiples</t>
  </si>
  <si>
    <t>Pedro Bordalo</t>
  </si>
  <si>
    <t>EV / Sales</t>
  </si>
  <si>
    <t>Price / Sales</t>
  </si>
  <si>
    <t>EV / EBITDA</t>
  </si>
  <si>
    <t>Patrícia Franco</t>
  </si>
  <si>
    <t>EV / EBIT</t>
  </si>
  <si>
    <t>Price / Earnings</t>
  </si>
  <si>
    <t>Price / Book</t>
  </si>
  <si>
    <t>Alexandra Gonçalves</t>
  </si>
  <si>
    <t>Year</t>
  </si>
  <si>
    <t>Net Sales</t>
  </si>
  <si>
    <t>EBIT Margin</t>
  </si>
  <si>
    <t>FCFF</t>
  </si>
  <si>
    <t>Net Capex</t>
  </si>
  <si>
    <t>Profitability Ratios</t>
  </si>
  <si>
    <t>Return on Assets</t>
  </si>
  <si>
    <t>Manuel Jacó</t>
  </si>
  <si>
    <t>Return on Equity</t>
  </si>
  <si>
    <t>Return on Total Capital</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</si>
  <si>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</si>
  <si>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</si>
  <si>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</si>
  <si>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</si>
  <si>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</si>
  <si>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</si>
  <si>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</si>
  <si>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</si>
  <si>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</si>
  <si>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</si>
  <si>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</si>
  <si>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</si>
  <si>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</si>
  <si>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</si>
  <si>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</si>
  <si>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r>
      <t>Market Leadership</t>
    </r>
    <r>
      <rPr>
        <b/>
        <sz val="9"/>
        <color theme="1"/>
        <rFont val="Arial"/>
        <family val="2"/>
      </rPr>
      <t xml:space="preserve">: </t>
    </r>
    <r>
      <rPr>
        <sz val="9"/>
        <color theme="1"/>
        <rFont val="Arial"/>
        <family val="2"/>
      </rPr>
      <t xml:space="preserve">The company is a market leader Financial Health: Srong debt management  Subscription revenue: Sucessfully transitioned to subscription-based models. Strong profitability performance. </t>
    </r>
  </si>
  <si>
    <t xml:space="preserve">High prices: Software complexity: </t>
  </si>
  <si>
    <t>Quick Ratio</t>
  </si>
  <si>
    <t>Major Holders</t>
  </si>
  <si>
    <t>Current Ratio</t>
  </si>
  <si>
    <t>Vanguard Group</t>
  </si>
  <si>
    <t>Blackrock Inc.</t>
  </si>
  <si>
    <t>Opportunities</t>
  </si>
  <si>
    <t>Threats</t>
  </si>
  <si>
    <t>Cash Flow Ratios</t>
  </si>
  <si>
    <t xml:space="preserve">State Street Corp. </t>
  </si>
  <si>
    <t xml:space="preserve">Strenghtening mobile ecossystem: Importance of the digital world in real world applications is rising.  Leveraging AI: for example, to reduce complexity of the programs Emerging needs of digital content: more diverse income streams in the digital world. </t>
  </si>
  <si>
    <t xml:space="preserve">Intense competition: Cybersecurity risks: Fast technological changes in the industry: The software industry is one of the most fast paced industries. </t>
  </si>
  <si>
    <t>Cash Conversion Cycle</t>
  </si>
  <si>
    <t>Geode Capital</t>
  </si>
  <si>
    <t>Net Income / Op Cash Flow</t>
  </si>
  <si>
    <t xml:space="preserve">Morgan Stanley </t>
  </si>
  <si>
    <t>Chg in Cash / Op Cash Flow</t>
  </si>
  <si>
    <t>FMR</t>
  </si>
  <si>
    <t>NORGES BANK</t>
  </si>
  <si>
    <t>Revenue by Region</t>
  </si>
  <si>
    <t>Revenue by Segment</t>
  </si>
  <si>
    <t>Leverage Ratios</t>
  </si>
  <si>
    <t>Bank of New York Mellon C.</t>
  </si>
  <si>
    <t>Total Debt / Equity</t>
  </si>
  <si>
    <t>Primecap Management</t>
  </si>
  <si>
    <t>Total Debt / Capital</t>
  </si>
  <si>
    <t>UBS AM</t>
  </si>
  <si>
    <t>Total Liabilities / Total Assets</t>
  </si>
  <si>
    <t>Total Debt / EBITDA</t>
  </si>
  <si>
    <t>Board of Directors</t>
  </si>
  <si>
    <t>Total Debt / (EBITDA - Capex)</t>
  </si>
  <si>
    <r>
      <t>S.Narayen (</t>
    </r>
    <r>
      <rPr>
        <sz val="11"/>
        <color rgb="FF000000"/>
        <rFont val="Arial"/>
        <family val="2"/>
      </rPr>
      <t xml:space="preserve">CEO 2007, Chairman 2017)[Non-Ind] </t>
    </r>
    <r>
      <rPr>
        <b/>
        <sz val="11"/>
        <color rgb="FF000000"/>
        <rFont val="Arial"/>
        <family val="2"/>
      </rPr>
      <t xml:space="preserve">C.Amon </t>
    </r>
    <r>
      <rPr>
        <sz val="11"/>
        <color rgb="FF000000"/>
        <rFont val="Arial"/>
        <family val="2"/>
      </rPr>
      <t>(</t>
    </r>
    <r>
      <rPr>
        <b/>
        <sz val="11"/>
        <color rgb="FF000000"/>
        <rFont val="Arial"/>
        <family val="2"/>
      </rPr>
      <t xml:space="preserve"> </t>
    </r>
    <r>
      <rPr>
        <sz val="11"/>
        <color rgb="FF000000"/>
        <rFont val="Arial"/>
        <family val="2"/>
      </rPr>
      <t xml:space="preserve">[Indep.], Comp.) </t>
    </r>
    <r>
      <rPr>
        <b/>
        <sz val="11"/>
        <color rgb="FF000000"/>
        <rFont val="Arial"/>
        <family val="2"/>
      </rPr>
      <t xml:space="preserve">A.Banse </t>
    </r>
    <r>
      <rPr>
        <sz val="11"/>
        <color rgb="FF000000"/>
        <rFont val="Arial"/>
        <family val="2"/>
      </rPr>
      <t>(</t>
    </r>
    <r>
      <rPr>
        <b/>
        <sz val="11"/>
        <color rgb="FF000000"/>
        <rFont val="Arial"/>
        <family val="2"/>
      </rPr>
      <t xml:space="preserve"> </t>
    </r>
    <r>
      <rPr>
        <sz val="11"/>
        <color rgb="FF000000"/>
        <rFont val="Arial"/>
        <family val="2"/>
      </rPr>
      <t xml:space="preserve">Nom. &amp; Gov)[Indep.] </t>
    </r>
    <r>
      <rPr>
        <b/>
        <sz val="11"/>
        <color rgb="FF000000"/>
        <rFont val="Arial"/>
        <family val="2"/>
      </rPr>
      <t xml:space="preserve">B.Biggs </t>
    </r>
    <r>
      <rPr>
        <sz val="11"/>
        <color rgb="FF000000"/>
        <rFont val="Arial"/>
        <family val="2"/>
      </rPr>
      <t xml:space="preserve">Audit [Indep.] </t>
    </r>
    <r>
      <rPr>
        <b/>
        <sz val="11"/>
        <color rgb="FF000000"/>
        <rFont val="Arial"/>
        <family val="2"/>
      </rPr>
      <t xml:space="preserve">M.Boulden </t>
    </r>
    <r>
      <rPr>
        <sz val="11"/>
        <color rgb="FF000000"/>
        <rFont val="Arial"/>
        <family val="2"/>
      </rPr>
      <t xml:space="preserve">Comp.[Indep.] </t>
    </r>
    <r>
      <rPr>
        <b/>
        <sz val="11"/>
        <color rgb="FF000000"/>
        <rFont val="Arial"/>
        <family val="2"/>
      </rPr>
      <t xml:space="preserve">F.Calderoni </t>
    </r>
    <r>
      <rPr>
        <sz val="11"/>
        <color rgb="FF000000"/>
        <rFont val="Arial"/>
        <family val="2"/>
      </rPr>
      <t xml:space="preserve">[Indep.] Gov.Chair </t>
    </r>
    <r>
      <rPr>
        <b/>
        <sz val="11"/>
        <color rgb="FF000000"/>
        <rFont val="Arial"/>
        <family val="2"/>
      </rPr>
      <t xml:space="preserve">L.Desmond </t>
    </r>
    <r>
      <rPr>
        <sz val="11"/>
        <color rgb="FF000000"/>
        <rFont val="Arial"/>
        <family val="2"/>
      </rPr>
      <t xml:space="preserve">Comp., Chair Nom.,Gov.[Indep.] </t>
    </r>
    <r>
      <rPr>
        <b/>
        <sz val="11"/>
        <color rgb="FF000000"/>
        <rFont val="Arial"/>
        <family val="2"/>
      </rPr>
      <t xml:space="preserve">S.Neumann </t>
    </r>
    <r>
      <rPr>
        <sz val="11"/>
        <color rgb="FF000000"/>
        <rFont val="Arial"/>
        <family val="2"/>
      </rPr>
      <t xml:space="preserve">Audit [Indep.] </t>
    </r>
    <r>
      <rPr>
        <b/>
        <sz val="11"/>
        <color rgb="FF000000"/>
        <rFont val="Arial"/>
        <family val="2"/>
      </rPr>
      <t xml:space="preserve">K.Oberg </t>
    </r>
    <r>
      <rPr>
        <sz val="11"/>
        <color rgb="FF000000"/>
        <rFont val="Arial"/>
        <family val="2"/>
      </rPr>
      <t xml:space="preserve">Gov., Chair Audit </t>
    </r>
    <r>
      <rPr>
        <b/>
        <sz val="11"/>
        <color rgb="FF000000"/>
        <rFont val="Arial"/>
        <family val="2"/>
      </rPr>
      <t xml:space="preserve">D.Pandey </t>
    </r>
    <r>
      <rPr>
        <sz val="11"/>
        <color rgb="FF000000"/>
        <rFont val="Arial"/>
        <family val="2"/>
      </rPr>
      <t xml:space="preserve">Audit, Indep. </t>
    </r>
    <r>
      <rPr>
        <b/>
        <sz val="11"/>
        <color rgb="FF000000"/>
        <rFont val="Arial"/>
        <family val="2"/>
      </rPr>
      <t xml:space="preserve">D.Ricks </t>
    </r>
    <r>
      <rPr>
        <sz val="11"/>
        <color rgb="FF000000"/>
        <rFont val="Arial"/>
        <family val="2"/>
      </rPr>
      <t>Comp.[Indep]</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</si>
  <si>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</si>
  <si>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</si>
  <si>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</si>
  <si>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</si>
  <si>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</si>
  <si>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</si>
  <si>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</si>
  <si>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</si>
  <si>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</si>
  <si>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</si>
  <si>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</si>
  <si>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</si>
  <si>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</si>
  <si>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</si>
  <si>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</si>
  <si>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</si>
  <si>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</si>
  <si>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</si>
  <si>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</si>
  <si>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</si>
  <si>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</si>
  <si>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</si>
  <si>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</si>
  <si>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</si>
  <si>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Regions</t>
  </si>
  <si>
    <t>Weight</t>
  </si>
  <si>
    <t>North and South America</t>
  </si>
  <si>
    <t>APAC</t>
  </si>
  <si>
    <t>EMEA</t>
  </si>
  <si>
    <t>Total</t>
  </si>
  <si>
    <t>Digital Media</t>
  </si>
  <si>
    <t>Digital Experience</t>
  </si>
  <si>
    <t>Publishing &amp; Advertising</t>
  </si>
  <si>
    <t>Categories</t>
  </si>
  <si>
    <t>Description</t>
  </si>
  <si>
    <t>Graphs</t>
  </si>
  <si>
    <t>Content management</t>
  </si>
  <si>
    <t>Adobe offers enterprise-level content management through Adobe Experience Manager, which enables organizations to efficiently manage and deliver personalized digital content across web, mobile, and other platforms. It integrates seamlessly with Adobe’s creative and data platforms, helping brands deliver cohesive customer experiences.</t>
  </si>
  <si>
    <t>Creativity and Design</t>
  </si>
  <si>
    <t>Adobe’s Creativity and Design category, primarily delivered through Creative Cloud, includes industry-leading tools for graphic design, photography, video editing, illustration, 3D content, and generative AI. These applications empower individuals, teams, and enterprises to produce compelling digital content across platforms and formats.</t>
  </si>
  <si>
    <t>Data and analytics</t>
  </si>
  <si>
    <t>Adobe’s Data and Analytics solutions, offered through Adobe Experience Cloud, help businesses collect, analyze, and activate real-time customer data to deliver personalized digital experiences. These tools enable marketers and analysts to drive insights and optimize customer journeys at scale.</t>
  </si>
  <si>
    <t>Campaign management</t>
  </si>
  <si>
    <t>Adobe’s Campaign Management tools, led by Adobe Campaign, empower brands to design, orchestrate, and deliver personalized cross-channel marketing campaigns. These solutions enable marketers to automate messaging across email, mobile, web, and offline channels, optimizing engagement and customer lifecycle strategies.</t>
  </si>
  <si>
    <t>Document Productivity</t>
  </si>
  <si>
    <t>Adobe’s Document Productivity solutions, delivered through Adobe Document Cloud, streamline the creation, editing, sharing, and signing of digital documents. Powered by Adobe Acrobat and Adobe Sign, these tools help individuals and businesses accelerate workflows, reduce paperwork, and ensure secure, compliant document handling across devices.</t>
  </si>
  <si>
    <t>Workflow management</t>
  </si>
  <si>
    <t>This segment derives its revenue from software solutions that help enterprises streamline, coordinate, and automate work processes across teams. Adobe’s workflow management capabilities are primarily delivered through tools such as Adobe Workfront, enabling companies to plan projects, manage digital content workflows, and collaborate efficiently across marketing and creative departments.</t>
  </si>
  <si>
    <t>Products</t>
  </si>
  <si>
    <t>Creative Cloud</t>
  </si>
  <si>
    <t>Document Cloud</t>
  </si>
  <si>
    <t>Company's Strategy / Extra Notes</t>
  </si>
  <si>
    <t>Dividends</t>
  </si>
  <si>
    <t>Adobe does not anticipate paying any cash dividends in the foreseeable future.</t>
  </si>
  <si>
    <t>Expansion</t>
  </si>
  <si>
    <t>Adobe is expanding product accessibility in regions like Southeast Asia, Latin America, and Africa through localized pricing, web-based tools, and mobile-first solutions.</t>
  </si>
  <si>
    <t>AI Investment</t>
  </si>
  <si>
    <t>The company’s flagship generative AI tool, trained on licensed and public domain content. It powers features like:
Text-to-image generation
Generative fill (Photoshop)
Text-to-vector (Illustrator)
Video extension and editing tools (Premiere Pro)</t>
  </si>
  <si>
    <t>Média</t>
  </si>
  <si>
    <t>Industry Overview</t>
  </si>
  <si>
    <t>Sales Growth Forecast</t>
  </si>
  <si>
    <t>Sources</t>
  </si>
  <si>
    <t>https://elite.finviz.com/quote.ashx?t=ADBE&amp;p=m&amp;ty=ea</t>
  </si>
  <si>
    <t>Weighted Average</t>
  </si>
  <si>
    <t>Key Drivers</t>
  </si>
  <si>
    <t>Creative Cloud Dominance</t>
  </si>
  <si>
    <t>Adobe's Creative Cloud (Photoshop, Illustrator, Premiere Pro, etc.) continues to be its core revenue engine. Subscriptions provide a recurring revenue model with high margins.
The dominance in creative industries (design, video editing, digital media) gives Adobe a near-monopoly in many niches</t>
  </si>
  <si>
    <t>Digital Experience &amp; Marketing Cloud</t>
  </si>
  <si>
    <t>Adobe's enterprise tools for data-driven marketing, AI personalization, and customer analytics are gaining traction.
Competes with Salesforce and Oracle in this space.
More businesses are investing in customer experience platforms, which boosts Adobe’s position.</t>
  </si>
  <si>
    <t>Strong Brand &amp; Ecosystem Lock-in</t>
  </si>
  <si>
    <t>High brand loyalty + steep learning curves = low churn.
Many users are deeply embedded in the Adobe ecosystem, making switching expensive or impractical.</t>
  </si>
  <si>
    <t>Global Expansion &amp; Education Sector</t>
  </si>
  <si>
    <t>Growth in emerging markets and widespread adoption in schools/universities builds long-term user loyalty.</t>
  </si>
  <si>
    <t>Industry Trends</t>
  </si>
  <si>
    <t>Rise of the Creator Economy</t>
  </si>
  <si>
    <t>Millions of individuals now earn income as creators — from YouTubers and TikTokers to freelancers and educators which
increases the demand for Adobe Creative Cloud tools like Photoshop, Premiere Pro, Illustrator, and Adobe Express.</t>
  </si>
  <si>
    <t>Shift Toward Paperless, Digital Workflows</t>
  </si>
  <si>
    <t>Remote work, regulatory compliance, and ESG goals are pushing businesses to digitize forms, contracts, and approvals.
Supports growth of Adobe Document Cloud (Acrobat and Adobe Sign).</t>
  </si>
  <si>
    <t>Emerging Market Expansion</t>
  </si>
  <si>
    <t>Adobe is expanding product accessibility in regions like Southeast Asia, Latin America, and Africa through localized pricing, web-based tools, and mobile-first solutions.
Growth opportunity for Adobe Express and mobile Acrobat.</t>
  </si>
  <si>
    <t>Market Share</t>
  </si>
  <si>
    <t>Headquarters</t>
  </si>
  <si>
    <t>Revenues</t>
  </si>
  <si>
    <t>(in MM of USD)</t>
  </si>
  <si>
    <t>USA</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</si>
  <si>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</si>
  <si>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</si>
  <si>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</si>
  <si>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</si>
  <si>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</si>
  <si>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</si>
  <si>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</si>
  <si>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</si>
  <si>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</si>
  <si>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</si>
  <si>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</si>
  <si>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</si>
  <si>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</si>
  <si>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</si>
  <si>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</si>
  <si>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</si>
  <si>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</si>
  <si>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</si>
  <si>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</si>
  <si>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</si>
  <si>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</si>
  <si>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</si>
  <si>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</si>
  <si>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</si>
  <si>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</si>
  <si>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</si>
  <si>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</si>
  <si>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</si>
  <si>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</si>
  <si>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</si>
  <si>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</si>
  <si>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</si>
  <si>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</si>
  <si>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</si>
  <si>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</si>
  <si>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Market Cap</t>
  </si>
  <si>
    <t>Revenue Growth</t>
  </si>
  <si>
    <t>Profit Margin</t>
  </si>
  <si>
    <t>EV / Revenue</t>
  </si>
  <si>
    <t>Peers</t>
  </si>
  <si>
    <t>Ticker</t>
  </si>
  <si>
    <t>CRM</t>
  </si>
  <si>
    <t>INTU</t>
  </si>
  <si>
    <t>WDAY</t>
  </si>
  <si>
    <t>DDOG</t>
  </si>
  <si>
    <t>HUBS</t>
  </si>
  <si>
    <t>SAP</t>
  </si>
  <si>
    <t>NOW</t>
  </si>
  <si>
    <t>ADSK</t>
  </si>
  <si>
    <t>SNOW</t>
  </si>
  <si>
    <t>TEAM</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</si>
  <si>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</si>
  <si>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</si>
  <si>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</si>
  <si>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</si>
  <si>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</si>
  <si>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</si>
  <si>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</si>
  <si>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</si>
  <si>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</si>
  <si>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</si>
  <si>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</si>
  <si>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</si>
  <si>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</si>
  <si>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</si>
  <si>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</si>
  <si>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</si>
  <si>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</si>
  <si>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</si>
  <si>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</si>
  <si>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</si>
  <si>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</si>
  <si>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</si>
  <si>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</si>
  <si>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</si>
  <si>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</si>
  <si>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</si>
  <si>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</si>
  <si>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</si>
  <si>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</si>
  <si>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</si>
  <si>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</si>
  <si>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</si>
  <si>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</si>
  <si>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</si>
  <si>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</si>
  <si>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</si>
  <si>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</si>
  <si>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</si>
  <si>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</si>
  <si>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</si>
  <si>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</si>
  <si>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</si>
  <si>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</si>
  <si>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</si>
  <si>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</si>
  <si>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</si>
  <si>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</si>
  <si>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</si>
  <si>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</si>
  <si>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</si>
  <si>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</si>
  <si>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</si>
  <si>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</si>
  <si>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</si>
  <si>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</si>
  <si>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</si>
  <si>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</si>
  <si>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</si>
  <si>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</si>
  <si>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w</t>
  </si>
  <si>
    <t>SAP in EUR</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</si>
  <si>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</si>
  <si>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</si>
  <si>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</si>
  <si>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</si>
  <si>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</si>
  <si>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</si>
  <si>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</si>
  <si>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</si>
  <si>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</si>
  <si>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</si>
  <si>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</si>
  <si>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</si>
  <si>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</si>
  <si>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</si>
  <si>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</si>
  <si>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</si>
  <si>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</si>
  <si>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</si>
  <si>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</si>
  <si>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</si>
  <si>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</si>
  <si>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</si>
  <si>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</si>
  <si>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</si>
  <si>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</si>
  <si>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</si>
  <si>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</si>
  <si>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</si>
  <si>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</si>
  <si>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</si>
  <si>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</si>
  <si>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USD</t>
  </si>
  <si>
    <t xml:space="preserve">EUR </t>
  </si>
  <si>
    <t>end of period - 31/12</t>
  </si>
  <si>
    <t>Conversion Rate</t>
  </si>
  <si>
    <t>Environmental, Social and Governance Analysis</t>
  </si>
  <si>
    <t>Author:</t>
  </si>
  <si>
    <t>Highlights</t>
  </si>
  <si>
    <t>Recent News</t>
  </si>
  <si>
    <t>Overview</t>
  </si>
  <si>
    <t>.</t>
  </si>
  <si>
    <t>Last Update</t>
  </si>
  <si>
    <t>Latest year with data</t>
  </si>
  <si>
    <t>GICS Sector</t>
  </si>
  <si>
    <t>GICS Industry Group</t>
  </si>
  <si>
    <t>Software Development</t>
  </si>
  <si>
    <t>Final Review</t>
  </si>
  <si>
    <t>ESG Scores</t>
  </si>
  <si>
    <t>GHG Scope 1 and 2 Emissions:</t>
  </si>
  <si>
    <t>Water, Waste, Energy Management:</t>
  </si>
  <si>
    <t>B</t>
  </si>
  <si>
    <t>Industry ESG Overview:</t>
  </si>
  <si>
    <t>ENVIRONMENTAL</t>
  </si>
  <si>
    <t>Targets</t>
  </si>
  <si>
    <t>Improvements</t>
  </si>
  <si>
    <t>Comments</t>
  </si>
  <si>
    <t>GHG (or CO2) Scope 1 Emissions</t>
  </si>
  <si>
    <t>42% reduction in absolute Scope 1 and 2 GHG emissions by FY 2030 from a FY 2022 base year</t>
  </si>
  <si>
    <t>Significant reduction in overall emissions</t>
  </si>
  <si>
    <t>Mantaining emissions but increasing revenues</t>
  </si>
  <si>
    <t>Water Consumption</t>
  </si>
  <si>
    <t>25% reduction in global water usage per full time employee by 2025</t>
  </si>
  <si>
    <t xml:space="preserve">Water usage going up </t>
  </si>
  <si>
    <t>Energy Consumption</t>
  </si>
  <si>
    <t>80% of Adobe buildings, by square footage, are LEED or green building certified</t>
  </si>
  <si>
    <t>There isnt a relevant improvement</t>
  </si>
  <si>
    <t>Waste Management</t>
  </si>
  <si>
    <t>90% global waste diversion rate annually through a combination of waste reduction, composting, reusing and responsible recycling</t>
  </si>
  <si>
    <t>Other</t>
  </si>
  <si>
    <t>SOCIAL</t>
  </si>
  <si>
    <t>Important Sources:</t>
  </si>
  <si>
    <t>Annual Report</t>
  </si>
  <si>
    <t>https://www.sec.gov/ix?doc=/Archives/edgar/data/0000796343/000079634325000004/adbe-20241129.htm</t>
  </si>
  <si>
    <t>Employee Turnover %</t>
  </si>
  <si>
    <t>Not reported</t>
  </si>
  <si>
    <t>Improve turnover and satisfaction</t>
  </si>
  <si>
    <t>87% Employee satisfaction</t>
  </si>
  <si>
    <t>Sustainability Report</t>
  </si>
  <si>
    <t>https://www.adobe.com/corporate-responsibility/sustainability/corporate-policy.html</t>
  </si>
  <si>
    <t>Proxy Statement</t>
  </si>
  <si>
    <t>https://www.sec.gov/ix?doc=/Archives/edgar/data/0000796343/000079634325000048/adbe-20250227.htm</t>
  </si>
  <si>
    <t>Salaries &amp; Compensation</t>
  </si>
  <si>
    <t>Reputation</t>
  </si>
  <si>
    <t>The brand has a very strong reputation</t>
  </si>
  <si>
    <t>Discrimination Events</t>
  </si>
  <si>
    <t>Work Safety</t>
  </si>
  <si>
    <t>There are no recent accidents to be reported</t>
  </si>
  <si>
    <t>Damage to consumer health</t>
  </si>
  <si>
    <t>Adobe's product does not cause harm to consumers</t>
  </si>
  <si>
    <t>Pension Plan</t>
  </si>
  <si>
    <t>Retired savings plan for US employees</t>
  </si>
  <si>
    <t>Supply chain</t>
  </si>
  <si>
    <t>100% of suppliers comply with EICC and human right screenings</t>
  </si>
  <si>
    <t>Community involvement</t>
  </si>
  <si>
    <t>The company is involved with community projects investing around 100M every year</t>
  </si>
  <si>
    <t>Public Sector</t>
  </si>
  <si>
    <t>Litigation</t>
  </si>
  <si>
    <t>GOVERNANCE</t>
  </si>
  <si>
    <t>Diversity (Gender, Age, Industry, Region)</t>
  </si>
  <si>
    <t>35,3% of the global employee base was female and 29% of leadership roles are female; 11,6% of the U.S employee base are underrespresented minorities (such as Black/African American, Hispanic Latinx, Native American, Pacific Islander and/or two or more races); 58% of board of directors with gender or demographic diversity</t>
  </si>
  <si>
    <t>% Independence</t>
  </si>
  <si>
    <t>High independence rate of 91%</t>
  </si>
  <si>
    <t>Average time as independent directors</t>
  </si>
  <si>
    <t>Departures of C-level executives</t>
  </si>
  <si>
    <t>There have not been recent departures</t>
  </si>
  <si>
    <t>CEO/Chairman duality</t>
  </si>
  <si>
    <t>There is no separation</t>
  </si>
  <si>
    <t>Transparency when reporting</t>
  </si>
  <si>
    <t>The company provides detailed reports for ESG analysis</t>
  </si>
  <si>
    <t>Time taken to report</t>
  </si>
  <si>
    <t>Even though, the last CSR is from 2023</t>
  </si>
  <si>
    <t>CEO or Chairman in other boards?</t>
  </si>
  <si>
    <t>CEO not in other boards</t>
  </si>
  <si>
    <t>Audit / Consulting</t>
  </si>
  <si>
    <t>Audit done by KPMG</t>
  </si>
  <si>
    <t>ESG-compensation related</t>
  </si>
  <si>
    <t>Management compensation schemes</t>
  </si>
  <si>
    <t>ESG Inputs</t>
  </si>
  <si>
    <t>x</t>
  </si>
  <si>
    <t>Total GHG Scope 1 Emissions</t>
  </si>
  <si>
    <t>Total GHG Scope 2 (Location-Based) Emissions</t>
  </si>
  <si>
    <t>Total Energy Usage</t>
  </si>
  <si>
    <t>AUTODESK INC</t>
  </si>
  <si>
    <t>DATADOG INC</t>
  </si>
  <si>
    <t>HUBSPOT</t>
  </si>
  <si>
    <t>Total Water Consumption</t>
  </si>
  <si>
    <t>INTUIT INC.</t>
  </si>
  <si>
    <t>SALESFORCE, INC.</t>
  </si>
  <si>
    <t>-</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</si>
  <si>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</si>
  <si>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</si>
  <si>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</si>
  <si>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</si>
  <si>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</si>
  <si>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</si>
  <si>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</si>
  <si>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</si>
  <si>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</si>
  <si>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</si>
  <si>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</si>
  <si>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</si>
  <si>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</si>
  <si>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</si>
  <si>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</si>
  <si>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</si>
  <si>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</si>
  <si>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Nov 29th(2024)/ Dec1st(2023/ Dec2nd(2022)</t>
  </si>
  <si>
    <t>WACC</t>
  </si>
  <si>
    <t>Most Recent Quarter End Date</t>
  </si>
  <si>
    <t>Feb 28th, 2025</t>
  </si>
  <si>
    <t>TGR</t>
  </si>
  <si>
    <t>Valuation Date</t>
  </si>
  <si>
    <t>?</t>
  </si>
  <si>
    <t>Operating Assumptions</t>
  </si>
  <si>
    <t>Revenue by Segments</t>
  </si>
  <si>
    <t>% of total growth</t>
  </si>
  <si>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</si>
  <si>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</si>
  <si>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</si>
  <si>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</si>
  <si>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</si>
  <si>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</si>
  <si>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</si>
  <si>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</si>
  <si>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</si>
  <si>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</si>
  <si>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</si>
  <si>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</si>
  <si>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</si>
  <si>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</si>
  <si>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</si>
  <si>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</si>
  <si>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</si>
  <si>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</si>
  <si>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</si>
  <si>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Tax Expense (Benefit)</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</si>
  <si>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</si>
  <si>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</si>
  <si>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</si>
  <si>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</si>
  <si>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</si>
  <si>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</si>
  <si>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</si>
  <si>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</si>
  <si>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</si>
  <si>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</si>
  <si>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</si>
  <si>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</si>
  <si>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</si>
  <si>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</si>
  <si>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</si>
  <si>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</si>
  <si>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</si>
  <si>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</si>
  <si>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</si>
  <si>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</si>
  <si>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</si>
  <si>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</si>
  <si>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</si>
  <si>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</si>
  <si>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</si>
  <si>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</si>
  <si>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</si>
  <si>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</si>
  <si>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</si>
  <si>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</si>
  <si>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</si>
  <si>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</si>
  <si>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</si>
  <si>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</si>
  <si>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</si>
  <si>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</si>
  <si>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</si>
  <si>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</si>
  <si>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</si>
  <si>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</si>
  <si>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</si>
  <si>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</si>
  <si>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</si>
  <si>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</si>
  <si>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</si>
  <si>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</si>
  <si>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</si>
  <si>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</si>
  <si>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</si>
  <si>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</si>
  <si>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</si>
  <si>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</si>
  <si>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</si>
  <si>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</si>
  <si>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</si>
  <si>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</si>
  <si>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FCFE Valuation</t>
  </si>
  <si>
    <t>Debt Borrowing (Repayment)</t>
  </si>
  <si>
    <t>Present Value of FCFE</t>
  </si>
  <si>
    <t>justifica SGA, R&amp;D, net capex</t>
  </si>
  <si>
    <t xml:space="preserve">Creative growth was driven by broad-based adoption across our routes to market and product portfolio with particular strength in new offerings like Firefly Services, an increasing number of “One Adobe” deals and a growing base of web and mobile users. Document Cloud continued to see strong organic demand, continued optimizations in free-to-paid conversion journeys and AI Assistant being released in additional languages. It has driven strong performance across Digital Media in emerging markets. The results represent a good start to the fiscal year.  </t>
  </si>
  <si>
    <t>Sensitivity Analysis</t>
  </si>
  <si>
    <t>Stock Price (in USD)</t>
  </si>
  <si>
    <t>Notes</t>
  </si>
  <si>
    <t>Inputs</t>
  </si>
  <si>
    <t>in millions of USD</t>
  </si>
  <si>
    <t>EPS diluted</t>
  </si>
  <si>
    <t>11.82</t>
  </si>
  <si>
    <t>12.36</t>
  </si>
  <si>
    <t>Basic Weighted Average Shares</t>
  </si>
  <si>
    <t xml:space="preserve"> </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</si>
  <si>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</si>
  <si>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</si>
  <si>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</si>
  <si>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</si>
  <si>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</si>
  <si>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</si>
  <si>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</si>
  <si>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</si>
  <si>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</si>
  <si>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</si>
  <si>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</si>
  <si>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</si>
  <si>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</si>
  <si>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</si>
  <si>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</si>
  <si>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</si>
  <si>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</si>
  <si>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</si>
  <si>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</si>
  <si>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Inventories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</si>
  <si>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</si>
  <si>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</si>
  <si>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</si>
  <si>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</si>
  <si>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</si>
  <si>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</si>
  <si>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</si>
  <si>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</si>
  <si>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</si>
  <si>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</si>
  <si>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</si>
  <si>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</si>
  <si>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</si>
  <si>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</si>
  <si>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</si>
  <si>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</si>
  <si>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</si>
  <si>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</si>
  <si>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</si>
  <si>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</si>
  <si>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</si>
  <si>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</si>
  <si>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</si>
  <si>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Americas</t>
  </si>
  <si>
    <t>% of Equity</t>
  </si>
  <si>
    <t>Cost of Equity</t>
  </si>
  <si>
    <t>Risk-Free Rate</t>
  </si>
  <si>
    <t>Unlevered Beta</t>
  </si>
  <si>
    <t>Yahoo: 1,49 (5Y monthly)</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</si>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</sst>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00\ &quot;€&quot;_-;\-* #,##0.00\ &quot;€&quot;_-;_-* &quot;-&quot;??\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s>
  <fonts count="82">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b/>
      <sz val="9"/>
      <color theme="1"/>
      <name val="Arial"/>
      <family val="2"/>
    </font>
    <font>
      <sz val="9"/>
      <color rgb="FF000000"/>
      <name val="Helvetica"/>
      <family val="2"/>
    </font>
    <font>
      <sz val="11"/>
      <color theme="0" tint="-0.249977111117893"/>
      <name val="Arial"/>
      <family val="2"/>
    </font>
    <font>
      <sz val="11"/>
      <color rgb="FF000000"/>
      <name val="TimesNewRoman"/>
      <charset val="1"/>
    </font>
    <font>
      <b/>
      <i/>
      <sz val="12"/>
      <color theme="1"/>
      <name val="Arial"/>
      <family val="2"/>
    </font>
    <font>
      <i/>
      <sz val="12"/>
      <color theme="1" tint="0.499984740745262"/>
      <name val="Arial"/>
      <family val="2"/>
    </font>
    <font>
      <sz val="12"/>
      <color theme="8"/>
      <name val="Arial"/>
      <family val="2"/>
    </font>
    <font>
      <u/>
      <sz val="11"/>
      <color theme="1"/>
      <name val="Arial"/>
      <family val="2"/>
    </font>
    <font>
      <b/>
      <sz val="16"/>
      <color rgb="FF00B050"/>
      <name val="Arial"/>
      <family val="2"/>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9"/>
        <bgColor indexed="64"/>
      </patternFill>
    </fill>
  </fills>
  <borders count="76">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0"/>
      </top>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45" fillId="12" borderId="40">
      <alignment horizontal="right"/>
    </xf>
    <xf numFmtId="0" fontId="72" fillId="12" borderId="0"/>
  </cellStyleXfs>
  <cellXfs count="866">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43"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0" fontId="13" fillId="11" borderId="0" xfId="0" applyFont="1" applyFill="1" applyAlignment="1">
      <alignment horizontal="center"/>
    </xf>
    <xf numFmtId="0" fontId="9" fillId="0" borderId="0" xfId="3"/>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0" fontId="3" fillId="0" borderId="8" xfId="0" applyFont="1" applyBorder="1"/>
    <xf numFmtId="0" fontId="0" fillId="0" borderId="0" xfId="0" quotePrefix="1"/>
    <xf numFmtId="0" fontId="25" fillId="0" borderId="0" xfId="0" applyFont="1"/>
    <xf numFmtId="0" fontId="3" fillId="0" borderId="0" xfId="0" applyFont="1" applyAlignment="1">
      <alignment horizontal="center"/>
    </xf>
    <xf numFmtId="37" fontId="0" fillId="3" borderId="0" xfId="0" applyNumberFormat="1" applyFill="1" applyAlignment="1">
      <alignment horizontal="center" vertical="center"/>
    </xf>
    <xf numFmtId="37" fontId="28" fillId="3" borderId="0" xfId="0" applyNumberFormat="1" applyFont="1" applyFill="1" applyAlignment="1">
      <alignment horizontal="center" vertic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6" fontId="6" fillId="2" borderId="0" xfId="0" applyNumberFormat="1" applyFont="1" applyFill="1"/>
    <xf numFmtId="0" fontId="13" fillId="11" borderId="4" xfId="0" applyFont="1" applyFill="1" applyBorder="1"/>
    <xf numFmtId="37" fontId="0" fillId="3" borderId="17" xfId="0" applyNumberFormat="1" applyFill="1" applyBorder="1"/>
    <xf numFmtId="1" fontId="0" fillId="0" borderId="0" xfId="2" applyNumberFormat="1" applyFont="1" applyAlignment="1">
      <alignment horizontal="right"/>
    </xf>
    <xf numFmtId="170" fontId="0" fillId="0" borderId="0" xfId="2" applyNumberFormat="1" applyFont="1" applyFill="1"/>
    <xf numFmtId="170" fontId="0" fillId="0" borderId="0" xfId="2" applyNumberFormat="1" applyFont="1" applyBorder="1"/>
    <xf numFmtId="170" fontId="0" fillId="3" borderId="0" xfId="2" applyNumberFormat="1" applyFont="1" applyFill="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43"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37" fillId="0" borderId="26" xfId="0" applyNumberFormat="1" applyFont="1" applyBorder="1"/>
    <xf numFmtId="3" fontId="12" fillId="0" borderId="0" xfId="0" applyNumberFormat="1" applyFont="1"/>
    <xf numFmtId="3" fontId="35" fillId="5" borderId="0" xfId="0" applyNumberFormat="1" applyFont="1" applyFill="1"/>
    <xf numFmtId="2" fontId="12" fillId="0" borderId="0" xfId="0" applyNumberFormat="1" applyFont="1"/>
    <xf numFmtId="170" fontId="35" fillId="5" borderId="0" xfId="0" applyNumberFormat="1" applyFont="1" applyFill="1"/>
    <xf numFmtId="3" fontId="13" fillId="0" borderId="0" xfId="0" applyNumberFormat="1" applyFont="1"/>
    <xf numFmtId="3" fontId="12" fillId="0" borderId="26" xfId="0" applyNumberFormat="1" applyFont="1" applyBorder="1"/>
    <xf numFmtId="0" fontId="40" fillId="0" borderId="0" xfId="0" applyFont="1"/>
    <xf numFmtId="0" fontId="13" fillId="0" borderId="26" xfId="0" applyFont="1" applyBorder="1"/>
    <xf numFmtId="166" fontId="6" fillId="0" borderId="0" xfId="0" applyNumberFormat="1" applyFont="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0" xfId="0" applyFont="1" applyBorder="1"/>
    <xf numFmtId="0" fontId="13" fillId="0" borderId="31" xfId="0" applyFont="1" applyBorder="1"/>
    <xf numFmtId="172" fontId="13" fillId="0" borderId="31"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3" xfId="0" applyFont="1" applyBorder="1"/>
    <xf numFmtId="0" fontId="13" fillId="0" borderId="34" xfId="0" applyFont="1" applyBorder="1"/>
    <xf numFmtId="172" fontId="13" fillId="0" borderId="34" xfId="0" applyNumberFormat="1" applyFont="1" applyBorder="1"/>
    <xf numFmtId="172" fontId="13" fillId="0" borderId="35" xfId="0" applyNumberFormat="1" applyFont="1" applyBorder="1"/>
    <xf numFmtId="0" fontId="13" fillId="0" borderId="36" xfId="0" applyFont="1" applyBorder="1"/>
    <xf numFmtId="0" fontId="13" fillId="0" borderId="7" xfId="0" applyFont="1" applyBorder="1"/>
    <xf numFmtId="0" fontId="13" fillId="0" borderId="37" xfId="0" applyFont="1" applyBorder="1"/>
    <xf numFmtId="172" fontId="13" fillId="0" borderId="7" xfId="0" applyNumberFormat="1" applyFont="1" applyBorder="1"/>
    <xf numFmtId="172" fontId="13" fillId="0" borderId="38"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43"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4" xfId="0" applyFont="1" applyBorder="1"/>
    <xf numFmtId="10" fontId="3" fillId="0" borderId="44" xfId="2" applyNumberFormat="1" applyFont="1" applyBorder="1" applyAlignment="1">
      <alignment horizontal="center"/>
    </xf>
    <xf numFmtId="37" fontId="43" fillId="0" borderId="19" xfId="0" applyNumberFormat="1" applyFont="1" applyBorder="1" applyAlignment="1">
      <alignment horizontal="right"/>
    </xf>
    <xf numFmtId="0" fontId="0" fillId="0" borderId="44" xfId="0" applyBorder="1"/>
    <xf numFmtId="37" fontId="43" fillId="3" borderId="44"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37" fontId="48" fillId="3" borderId="0" xfId="0" applyNumberFormat="1" applyFont="1" applyFill="1" applyAlignment="1">
      <alignment horizontal="right"/>
    </xf>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0" fontId="49" fillId="0" borderId="0" xfId="2" applyNumberFormat="1" applyFont="1" applyFill="1"/>
    <xf numFmtId="170" fontId="49" fillId="0" borderId="0" xfId="1" applyNumberFormat="1" applyFont="1" applyFill="1"/>
    <xf numFmtId="170" fontId="49" fillId="0" borderId="17" xfId="1" applyNumberFormat="1" applyFont="1" applyFill="1" applyBorder="1"/>
    <xf numFmtId="170" fontId="49" fillId="4" borderId="0" xfId="1" applyNumberFormat="1" applyFont="1" applyFill="1"/>
    <xf numFmtId="170" fontId="49" fillId="0" borderId="26" xfId="2" applyNumberFormat="1" applyFont="1" applyFill="1" applyBorder="1"/>
    <xf numFmtId="170" fontId="49" fillId="0" borderId="17"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3" fontId="36" fillId="0" borderId="0" xfId="0" applyNumberFormat="1" applyFont="1"/>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2" fontId="51" fillId="0" borderId="0" xfId="1" applyNumberFormat="1" applyFont="1" applyFill="1"/>
    <xf numFmtId="172" fontId="39" fillId="0" borderId="0" xfId="1" applyNumberFormat="1" applyFont="1" applyFill="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 fontId="48" fillId="5" borderId="0" xfId="0" applyNumberFormat="1" applyFont="1" applyFill="1"/>
    <xf numFmtId="177" fontId="49" fillId="0" borderId="0" xfId="0" applyNumberFormat="1" applyFont="1"/>
    <xf numFmtId="177" fontId="49" fillId="0" borderId="17" xfId="0" applyNumberFormat="1" applyFont="1" applyBorder="1"/>
    <xf numFmtId="177" fontId="48" fillId="5" borderId="0" xfId="0" applyNumberFormat="1" applyFont="1" applyFill="1"/>
    <xf numFmtId="0" fontId="42" fillId="0" borderId="0" xfId="0" applyFont="1" applyAlignment="1">
      <alignment horizontal="left" indent="1"/>
    </xf>
    <xf numFmtId="170" fontId="50" fillId="0" borderId="17" xfId="2" applyNumberFormat="1" applyFont="1" applyFill="1" applyBorder="1"/>
    <xf numFmtId="172" fontId="51" fillId="0" borderId="0" xfId="1" applyNumberFormat="1" applyFont="1" applyFill="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0" fontId="25"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2" xfId="0" applyNumberFormat="1" applyFont="1" applyBorder="1"/>
    <xf numFmtId="172" fontId="13" fillId="0" borderId="45" xfId="0" applyNumberFormat="1" applyFont="1" applyBorder="1"/>
    <xf numFmtId="172" fontId="13" fillId="0" borderId="46"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13" fillId="0" borderId="22" xfId="0" applyNumberFormat="1" applyFont="1" applyBorder="1"/>
    <xf numFmtId="172" fontId="44" fillId="0" borderId="0" xfId="1" applyNumberFormat="1" applyFont="1" applyBorder="1"/>
    <xf numFmtId="172" fontId="44" fillId="0" borderId="22"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1" xfId="5" applyFont="1" applyFill="1" applyBorder="1" applyAlignment="1">
      <alignment horizontal="center" vertical="center" wrapText="1"/>
    </xf>
    <xf numFmtId="0" fontId="57" fillId="5" borderId="21" xfId="5" applyFont="1" applyFill="1" applyBorder="1"/>
    <xf numFmtId="0" fontId="57" fillId="5" borderId="51" xfId="5" applyFont="1" applyFill="1" applyBorder="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0" fontId="31" fillId="0" borderId="0" xfId="0" applyFont="1"/>
    <xf numFmtId="165" fontId="16" fillId="0" borderId="37" xfId="0" applyNumberFormat="1" applyFont="1" applyBorder="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0" xfId="5" applyFont="1" applyBorder="1"/>
    <xf numFmtId="0" fontId="5" fillId="0" borderId="50" xfId="5" applyFont="1" applyBorder="1"/>
    <xf numFmtId="0" fontId="4" fillId="5" borderId="49" xfId="5" applyFont="1" applyFill="1" applyBorder="1"/>
    <xf numFmtId="0" fontId="4" fillId="0" borderId="49"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4" fontId="10" fillId="0" borderId="0" xfId="5" applyNumberFormat="1" applyFont="1" applyAlignment="1">
      <alignment horizontal="center"/>
    </xf>
    <xf numFmtId="3" fontId="10" fillId="0" borderId="0" xfId="5" applyNumberFormat="1" applyFont="1"/>
    <xf numFmtId="2" fontId="10" fillId="0" borderId="0" xfId="5" applyNumberFormat="1" applyFont="1"/>
    <xf numFmtId="174" fontId="32"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2" xfId="8" applyNumberFormat="1" applyFont="1" applyFill="1" applyBorder="1" applyAlignment="1">
      <alignment horizontal="center"/>
    </xf>
    <xf numFmtId="37" fontId="32" fillId="3" borderId="23" xfId="8"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1"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51"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1" xfId="8" applyNumberFormat="1" applyFont="1" applyBorder="1" applyAlignment="1">
      <alignment horizontal="center" wrapText="1"/>
    </xf>
    <xf numFmtId="37" fontId="7" fillId="0" borderId="26" xfId="8" applyNumberFormat="1" applyFont="1" applyBorder="1" applyAlignment="1">
      <alignment horizontal="center" wrapText="1"/>
    </xf>
    <xf numFmtId="37" fontId="32" fillId="3" borderId="26" xfId="8" applyNumberFormat="1" applyFont="1" applyFill="1" applyBorder="1" applyAlignment="1">
      <alignment horizontal="center" wrapText="1"/>
    </xf>
    <xf numFmtId="39" fontId="32" fillId="3" borderId="51"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1" fontId="28" fillId="0" borderId="21" xfId="8" applyNumberFormat="1" applyFont="1" applyBorder="1" applyAlignment="1">
      <alignment horizontal="center" wrapText="1"/>
    </xf>
    <xf numFmtId="1" fontId="28" fillId="0" borderId="51"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1" xfId="5" applyFont="1" applyFill="1" applyBorder="1"/>
    <xf numFmtId="0" fontId="10" fillId="2" borderId="26" xfId="5" applyFont="1" applyFill="1" applyBorder="1"/>
    <xf numFmtId="0" fontId="10" fillId="5" borderId="21" xfId="5" applyFont="1" applyFill="1" applyBorder="1"/>
    <xf numFmtId="0" fontId="10" fillId="5" borderId="51" xfId="5" applyFont="1" applyFill="1" applyBorder="1"/>
    <xf numFmtId="0" fontId="10" fillId="5" borderId="26" xfId="5" applyFont="1" applyFill="1" applyBorder="1"/>
    <xf numFmtId="0" fontId="10" fillId="0" borderId="51" xfId="5" applyFont="1" applyBorder="1"/>
    <xf numFmtId="37" fontId="28" fillId="0" borderId="51" xfId="8" applyNumberFormat="1" applyFont="1" applyBorder="1" applyAlignment="1">
      <alignment horizontal="center"/>
    </xf>
    <xf numFmtId="0" fontId="36" fillId="0" borderId="0" xfId="0" applyFont="1" applyAlignment="1">
      <alignment horizontal="left" indent="1"/>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0" fontId="4" fillId="2" borderId="53" xfId="5" applyFont="1" applyFill="1" applyBorder="1" applyAlignment="1">
      <alignment horizontal="center"/>
    </xf>
    <xf numFmtId="0" fontId="4" fillId="5" borderId="55" xfId="5" applyFont="1" applyFill="1" applyBorder="1"/>
    <xf numFmtId="170" fontId="29" fillId="0" borderId="0" xfId="5" applyNumberFormat="1" applyFont="1" applyAlignment="1">
      <alignment horizontal="center" vertical="center"/>
    </xf>
    <xf numFmtId="170" fontId="29" fillId="0" borderId="53" xfId="5" applyNumberFormat="1" applyFont="1" applyBorder="1" applyAlignment="1">
      <alignment horizontal="center" vertical="center"/>
    </xf>
    <xf numFmtId="170" fontId="10" fillId="0" borderId="0" xfId="5" applyNumberFormat="1" applyFont="1" applyAlignment="1">
      <alignment horizontal="center" vertical="center"/>
    </xf>
    <xf numFmtId="170" fontId="10" fillId="0" borderId="53"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3"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3" xfId="5" applyNumberFormat="1" applyFont="1" applyFill="1" applyBorder="1" applyAlignment="1">
      <alignment horizontal="center" vertical="center"/>
    </xf>
    <xf numFmtId="0" fontId="4" fillId="2" borderId="56" xfId="5" applyFont="1" applyFill="1" applyBorder="1" applyAlignment="1">
      <alignment horizontal="center"/>
    </xf>
    <xf numFmtId="0" fontId="4" fillId="5" borderId="58" xfId="5" applyFont="1" applyFill="1" applyBorder="1"/>
    <xf numFmtId="170" fontId="29" fillId="4" borderId="56" xfId="5" applyNumberFormat="1" applyFont="1" applyFill="1" applyBorder="1" applyAlignment="1">
      <alignment horizontal="center" vertical="center"/>
    </xf>
    <xf numFmtId="170" fontId="29" fillId="4" borderId="53" xfId="5" applyNumberFormat="1" applyFont="1" applyFill="1" applyBorder="1" applyAlignment="1">
      <alignment horizontal="center" vertical="center"/>
    </xf>
    <xf numFmtId="170" fontId="10" fillId="0" borderId="56" xfId="5" applyNumberFormat="1" applyFont="1" applyBorder="1" applyAlignment="1">
      <alignment horizontal="center" vertical="center"/>
    </xf>
    <xf numFmtId="170" fontId="29" fillId="5" borderId="56" xfId="5" applyNumberFormat="1" applyFont="1" applyFill="1" applyBorder="1" applyAlignment="1">
      <alignment horizontal="center" vertical="center"/>
    </xf>
    <xf numFmtId="170" fontId="10" fillId="5" borderId="56" xfId="5" applyNumberFormat="1" applyFont="1" applyFill="1" applyBorder="1" applyAlignment="1">
      <alignment horizontal="center" vertical="center"/>
    </xf>
    <xf numFmtId="170" fontId="29" fillId="0" borderId="56" xfId="5" applyNumberFormat="1" applyFont="1" applyBorder="1" applyAlignment="1">
      <alignment horizontal="center" vertical="center"/>
    </xf>
    <xf numFmtId="170" fontId="10" fillId="0" borderId="56" xfId="2" applyNumberFormat="1" applyFont="1" applyBorder="1" applyAlignment="1">
      <alignment horizontal="center" vertical="center"/>
    </xf>
    <xf numFmtId="9" fontId="29" fillId="5" borderId="56" xfId="2" applyFont="1" applyFill="1" applyBorder="1" applyAlignment="1">
      <alignment horizontal="center" vertical="center"/>
    </xf>
    <xf numFmtId="9" fontId="29" fillId="5" borderId="53" xfId="2" applyFont="1" applyFill="1" applyBorder="1" applyAlignment="1">
      <alignment horizontal="center" vertical="center"/>
    </xf>
    <xf numFmtId="0" fontId="4" fillId="2" borderId="53" xfId="5" applyFont="1" applyFill="1" applyBorder="1"/>
    <xf numFmtId="2" fontId="10" fillId="0" borderId="56" xfId="5" applyNumberFormat="1" applyFont="1" applyBorder="1" applyAlignment="1">
      <alignment horizontal="center" vertical="center"/>
    </xf>
    <xf numFmtId="2" fontId="10" fillId="0" borderId="53" xfId="5" applyNumberFormat="1" applyFont="1" applyBorder="1" applyAlignment="1">
      <alignment horizontal="center" vertical="center"/>
    </xf>
    <xf numFmtId="2" fontId="29" fillId="5" borderId="56" xfId="2" applyNumberFormat="1" applyFont="1" applyFill="1" applyBorder="1" applyAlignment="1">
      <alignment horizontal="center" vertical="center"/>
    </xf>
    <xf numFmtId="2" fontId="29" fillId="5" borderId="53" xfId="2" applyNumberFormat="1" applyFont="1" applyFill="1" applyBorder="1" applyAlignment="1">
      <alignment horizontal="center" vertical="center"/>
    </xf>
    <xf numFmtId="2" fontId="10" fillId="5" borderId="53" xfId="5" applyNumberFormat="1" applyFont="1" applyFill="1" applyBorder="1" applyAlignment="1">
      <alignment horizontal="center" vertical="center"/>
    </xf>
    <xf numFmtId="0" fontId="4" fillId="2" borderId="56" xfId="5" applyFont="1" applyFill="1" applyBorder="1"/>
    <xf numFmtId="4" fontId="10" fillId="0" borderId="56" xfId="5" applyNumberFormat="1" applyFont="1" applyBorder="1" applyAlignment="1">
      <alignment horizontal="center" vertical="center"/>
    </xf>
    <xf numFmtId="2" fontId="10" fillId="0" borderId="53" xfId="2" applyNumberFormat="1" applyFont="1" applyBorder="1" applyAlignment="1">
      <alignment horizontal="center" vertic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59" xfId="5" applyFont="1" applyFill="1" applyBorder="1"/>
    <xf numFmtId="2" fontId="10" fillId="0" borderId="59"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56" xfId="5" applyNumberFormat="1" applyFont="1" applyBorder="1" applyAlignment="1">
      <alignment horizontal="center" vertical="center"/>
    </xf>
    <xf numFmtId="2" fontId="29" fillId="0" borderId="53" xfId="5" applyNumberFormat="1" applyFont="1" applyBorder="1" applyAlignment="1">
      <alignment horizontal="center" vertical="center"/>
    </xf>
    <xf numFmtId="4" fontId="29" fillId="0" borderId="56" xfId="5" applyNumberFormat="1" applyFont="1" applyBorder="1" applyAlignment="1">
      <alignment horizontal="center" vertical="center"/>
    </xf>
    <xf numFmtId="2" fontId="29" fillId="0" borderId="53"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0" xfId="5" applyFont="1" applyBorder="1" applyAlignment="1">
      <alignment vertical="center"/>
    </xf>
    <xf numFmtId="170" fontId="10" fillId="0" borderId="50" xfId="5" applyNumberFormat="1" applyFont="1" applyBorder="1" applyAlignment="1">
      <alignment horizontal="center" vertical="center"/>
    </xf>
    <xf numFmtId="170" fontId="10" fillId="0" borderId="54" xfId="5" applyNumberFormat="1" applyFont="1" applyBorder="1" applyAlignment="1">
      <alignment horizontal="center" vertical="center"/>
    </xf>
    <xf numFmtId="170" fontId="10" fillId="0" borderId="57" xfId="5" applyNumberFormat="1" applyFont="1" applyBorder="1" applyAlignment="1">
      <alignment horizontal="center" vertical="center"/>
    </xf>
    <xf numFmtId="170" fontId="10" fillId="0" borderId="57" xfId="2" applyNumberFormat="1" applyFont="1" applyBorder="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60" fillId="0" borderId="0" xfId="0" applyFont="1"/>
    <xf numFmtId="0" fontId="61" fillId="0" borderId="0" xfId="0" applyFont="1"/>
    <xf numFmtId="0" fontId="60" fillId="5" borderId="0" xfId="0" applyFont="1" applyFill="1"/>
    <xf numFmtId="0" fontId="62" fillId="0" borderId="0" xfId="0" applyFont="1" applyAlignment="1">
      <alignment horizontal="left" indent="2"/>
    </xf>
    <xf numFmtId="0" fontId="60" fillId="2" borderId="0" xfId="0" applyFont="1" applyFill="1"/>
    <xf numFmtId="0" fontId="61" fillId="2" borderId="0" xfId="0" applyFont="1" applyFill="1"/>
    <xf numFmtId="0" fontId="61" fillId="5" borderId="0" xfId="0" applyFont="1" applyFill="1"/>
    <xf numFmtId="0" fontId="63" fillId="0" borderId="0" xfId="0" applyFont="1"/>
    <xf numFmtId="0" fontId="64"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0"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48" xfId="0" applyNumberFormat="1" applyFont="1" applyBorder="1" applyAlignment="1">
      <alignment horizontal="right"/>
    </xf>
    <xf numFmtId="170" fontId="11" fillId="0" borderId="6" xfId="2" applyNumberFormat="1" applyFont="1" applyBorder="1" applyAlignment="1">
      <alignment horizontal="right"/>
    </xf>
    <xf numFmtId="3" fontId="11" fillId="0" borderId="48"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0"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1" xfId="0" applyFont="1" applyFill="1" applyBorder="1"/>
    <xf numFmtId="0" fontId="17" fillId="5" borderId="62"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2" fillId="5" borderId="28" xfId="2" applyNumberFormat="1" applyFont="1" applyFill="1" applyBorder="1"/>
    <xf numFmtId="170" fontId="12" fillId="5" borderId="29" xfId="2" applyNumberFormat="1" applyFont="1" applyFill="1" applyBorder="1"/>
    <xf numFmtId="170" fontId="13" fillId="5" borderId="28"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5" fillId="0" borderId="0" xfId="0" applyFont="1" applyAlignment="1">
      <alignment horizontal="left" vertical="top" indent="1"/>
    </xf>
    <xf numFmtId="0" fontId="8" fillId="0" borderId="0" xfId="5" applyFont="1"/>
    <xf numFmtId="171" fontId="11" fillId="0" borderId="47"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60"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49" fontId="59" fillId="0" borderId="0" xfId="0" applyNumberFormat="1" applyFont="1"/>
    <xf numFmtId="0" fontId="0" fillId="0" borderId="43" xfId="0" applyBorder="1"/>
    <xf numFmtId="0" fontId="0" fillId="0" borderId="39" xfId="0" applyBorder="1"/>
    <xf numFmtId="0" fontId="0" fillId="0" borderId="13" xfId="0" applyBorder="1"/>
    <xf numFmtId="0" fontId="0" fillId="0" borderId="15" xfId="0"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68"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2" xfId="5" applyFont="1" applyFill="1" applyBorder="1"/>
    <xf numFmtId="0" fontId="10" fillId="5" borderId="17" xfId="5" applyFont="1" applyFill="1" applyBorder="1"/>
    <xf numFmtId="37" fontId="32" fillId="3" borderId="41" xfId="8" applyNumberFormat="1" applyFont="1" applyFill="1" applyBorder="1" applyAlignment="1">
      <alignment horizontal="center" wrapText="1"/>
    </xf>
    <xf numFmtId="0" fontId="10" fillId="2" borderId="41" xfId="5" applyFont="1" applyFill="1" applyBorder="1"/>
    <xf numFmtId="0" fontId="10" fillId="5" borderId="41" xfId="5" applyFont="1" applyFill="1" applyBorder="1"/>
    <xf numFmtId="0" fontId="57" fillId="5" borderId="17" xfId="5" applyFont="1" applyFill="1" applyBorder="1"/>
    <xf numFmtId="37" fontId="32" fillId="3" borderId="69"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1" xfId="5" applyFont="1" applyFill="1" applyBorder="1" applyAlignment="1">
      <alignment horizontal="center" vertical="center" wrapText="1"/>
    </xf>
    <xf numFmtId="0" fontId="57" fillId="5" borderId="41" xfId="5" applyFont="1" applyFill="1" applyBorder="1"/>
    <xf numFmtId="37" fontId="32" fillId="3" borderId="70" xfId="8" applyNumberFormat="1" applyFont="1" applyFill="1" applyBorder="1" applyAlignment="1">
      <alignment horizontal="center"/>
    </xf>
    <xf numFmtId="37" fontId="32" fillId="3" borderId="41" xfId="8" applyNumberFormat="1" applyFont="1" applyFill="1" applyBorder="1" applyAlignment="1">
      <alignment horizontal="center"/>
    </xf>
    <xf numFmtId="39" fontId="32" fillId="3" borderId="41" xfId="8" applyNumberFormat="1" applyFont="1" applyFill="1" applyBorder="1" applyAlignment="1">
      <alignment horizontal="center" wrapText="1"/>
    </xf>
    <xf numFmtId="1" fontId="28" fillId="0" borderId="41" xfId="8" applyNumberFormat="1" applyFont="1" applyBorder="1" applyAlignment="1">
      <alignment horizontal="center" wrapText="1"/>
    </xf>
    <xf numFmtId="37" fontId="7" fillId="0" borderId="41" xfId="8" applyNumberFormat="1" applyFont="1" applyBorder="1" applyAlignment="1">
      <alignment horizontal="center"/>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19" fillId="8" borderId="0" xfId="5" applyFont="1" applyFill="1" applyAlignment="1">
      <alignment horizontal="center" vertical="center"/>
    </xf>
    <xf numFmtId="0" fontId="67" fillId="13" borderId="0" xfId="0" applyFont="1" applyFill="1"/>
    <xf numFmtId="0" fontId="68" fillId="13" borderId="0" xfId="0" applyFont="1" applyFill="1"/>
    <xf numFmtId="0" fontId="68"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69" fillId="0" borderId="0" xfId="0" applyFont="1"/>
    <xf numFmtId="0" fontId="70" fillId="0" borderId="9" xfId="0" applyFont="1" applyBorder="1"/>
    <xf numFmtId="0" fontId="0" fillId="0" borderId="71"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1"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9" fontId="3" fillId="7"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0" fontId="0" fillId="3" borderId="24" xfId="2" applyNumberFormat="1" applyFont="1" applyFill="1" applyBorder="1"/>
    <xf numFmtId="0" fontId="59" fillId="0" borderId="0" xfId="0" applyFont="1" applyAlignment="1">
      <alignment horizontal="left" indent="1"/>
    </xf>
    <xf numFmtId="3" fontId="0" fillId="0" borderId="4" xfId="2" applyNumberFormat="1" applyFont="1" applyFill="1" applyBorder="1"/>
    <xf numFmtId="3" fontId="0" fillId="0" borderId="0" xfId="2" applyNumberFormat="1" applyFont="1" applyFill="1"/>
    <xf numFmtId="1" fontId="0" fillId="4" borderId="0" xfId="2" applyNumberFormat="1" applyFont="1" applyFill="1"/>
    <xf numFmtId="0" fontId="0" fillId="0" borderId="0" xfId="0" applyAlignment="1">
      <alignment horizontal="center" vertical="center"/>
    </xf>
    <xf numFmtId="0" fontId="5" fillId="17" borderId="0" xfId="0" applyFont="1" applyFill="1" applyAlignment="1">
      <alignment horizontal="center" vertical="center"/>
    </xf>
    <xf numFmtId="0" fontId="18" fillId="0" borderId="9" xfId="0" applyFont="1" applyBorder="1" applyAlignment="1">
      <alignment vertical="center"/>
    </xf>
    <xf numFmtId="0" fontId="13" fillId="0" borderId="9" xfId="0" applyFont="1" applyBorder="1" applyAlignment="1">
      <alignment vertical="center"/>
    </xf>
    <xf numFmtId="10" fontId="13" fillId="0" borderId="9" xfId="0" applyNumberFormat="1" applyFont="1" applyBorder="1" applyAlignment="1">
      <alignment vertical="center"/>
    </xf>
    <xf numFmtId="10" fontId="13" fillId="16" borderId="9" xfId="0" applyNumberFormat="1" applyFont="1" applyFill="1" applyBorder="1" applyAlignment="1">
      <alignment vertical="center"/>
    </xf>
    <xf numFmtId="0" fontId="13" fillId="0" borderId="9" xfId="0" applyFont="1" applyBorder="1" applyAlignment="1">
      <alignment horizontal="center" vertical="center"/>
    </xf>
    <xf numFmtId="0" fontId="6" fillId="2" borderId="0" xfId="0" applyFont="1" applyFill="1" applyAlignment="1">
      <alignment vertical="center"/>
    </xf>
    <xf numFmtId="0" fontId="20" fillId="2" borderId="0" xfId="0" applyFont="1" applyFill="1" applyAlignment="1">
      <alignment vertical="center"/>
    </xf>
    <xf numFmtId="1" fontId="6" fillId="2" borderId="0" xfId="0" applyNumberFormat="1" applyFont="1" applyFill="1" applyAlignment="1">
      <alignment vertical="center"/>
    </xf>
    <xf numFmtId="1" fontId="6" fillId="2" borderId="0" xfId="0" applyNumberFormat="1" applyFont="1" applyFill="1" applyAlignment="1">
      <alignment horizontal="center" vertical="center"/>
    </xf>
    <xf numFmtId="1" fontId="21" fillId="2" borderId="0" xfId="0" applyNumberFormat="1" applyFont="1" applyFill="1" applyAlignment="1">
      <alignment vertical="center"/>
    </xf>
    <xf numFmtId="0" fontId="13" fillId="11" borderId="0" xfId="0" applyFont="1" applyFill="1" applyAlignment="1">
      <alignment vertical="center"/>
    </xf>
    <xf numFmtId="0" fontId="13" fillId="11" borderId="0" xfId="0" applyFont="1" applyFill="1" applyAlignment="1">
      <alignment horizontal="center" vertical="center"/>
    </xf>
    <xf numFmtId="0" fontId="9" fillId="0" borderId="0" xfId="3" applyAlignment="1">
      <alignment vertical="center"/>
    </xf>
    <xf numFmtId="170" fontId="0" fillId="0" borderId="0" xfId="2" applyNumberFormat="1" applyFont="1" applyAlignment="1">
      <alignment vertical="center"/>
    </xf>
    <xf numFmtId="3" fontId="66" fillId="3" borderId="0" xfId="2" applyNumberFormat="1" applyFont="1" applyFill="1" applyAlignment="1">
      <alignment vertical="center"/>
    </xf>
    <xf numFmtId="10" fontId="0" fillId="0" borderId="0" xfId="2" applyNumberFormat="1" applyFont="1" applyAlignment="1">
      <alignment horizontal="center" vertical="center"/>
    </xf>
    <xf numFmtId="170" fontId="9" fillId="0" borderId="0" xfId="3" applyNumberFormat="1" applyAlignment="1">
      <alignment vertical="center"/>
    </xf>
    <xf numFmtId="10" fontId="0" fillId="3" borderId="0" xfId="2" applyNumberFormat="1" applyFont="1" applyFill="1" applyAlignment="1">
      <alignment vertical="center"/>
    </xf>
    <xf numFmtId="3" fontId="0" fillId="3" borderId="0" xfId="2" applyNumberFormat="1" applyFont="1" applyFill="1" applyAlignment="1">
      <alignment vertical="center"/>
    </xf>
    <xf numFmtId="1" fontId="0" fillId="3" borderId="0" xfId="2" applyNumberFormat="1" applyFont="1" applyFill="1" applyAlignment="1">
      <alignment vertical="center"/>
    </xf>
    <xf numFmtId="10" fontId="3" fillId="0" borderId="0" xfId="2" applyNumberFormat="1" applyFont="1" applyFill="1" applyAlignment="1">
      <alignment vertical="center"/>
    </xf>
    <xf numFmtId="3" fontId="3" fillId="0" borderId="0" xfId="2" applyNumberFormat="1" applyFont="1" applyFill="1" applyAlignment="1">
      <alignment vertical="center"/>
    </xf>
    <xf numFmtId="170" fontId="3" fillId="0" borderId="0" xfId="2" applyNumberFormat="1" applyFont="1" applyAlignment="1">
      <alignment vertical="center"/>
    </xf>
    <xf numFmtId="0" fontId="22" fillId="5" borderId="0" xfId="0" applyFont="1" applyFill="1" applyAlignment="1">
      <alignment vertical="center"/>
    </xf>
    <xf numFmtId="0" fontId="13" fillId="5" borderId="0" xfId="0" applyFont="1" applyFill="1" applyAlignment="1">
      <alignment vertical="center"/>
    </xf>
    <xf numFmtId="10" fontId="3" fillId="0" borderId="0" xfId="2" applyNumberFormat="1" applyFont="1" applyAlignment="1">
      <alignment horizontal="center" vertical="center"/>
    </xf>
    <xf numFmtId="0" fontId="13" fillId="2" borderId="0" xfId="0" applyFont="1" applyFill="1" applyAlignment="1">
      <alignment vertical="center"/>
    </xf>
    <xf numFmtId="0" fontId="74" fillId="0" borderId="0" xfId="0" applyFont="1" applyAlignment="1">
      <alignment vertical="center" wrapText="1"/>
    </xf>
    <xf numFmtId="0" fontId="0" fillId="0" borderId="0" xfId="0" applyAlignment="1">
      <alignment vertical="center" wrapText="1"/>
    </xf>
    <xf numFmtId="37" fontId="0" fillId="0" borderId="0" xfId="0" applyNumberFormat="1" applyAlignment="1">
      <alignment vertical="center"/>
    </xf>
    <xf numFmtId="1" fontId="23" fillId="2" borderId="0" xfId="0" applyNumberFormat="1" applyFont="1" applyFill="1" applyAlignment="1">
      <alignment horizontal="center" vertical="center"/>
    </xf>
    <xf numFmtId="1" fontId="24" fillId="2" borderId="0" xfId="0" applyNumberFormat="1" applyFont="1" applyFill="1" applyAlignment="1">
      <alignment vertical="center"/>
    </xf>
    <xf numFmtId="0" fontId="3" fillId="0" borderId="8" xfId="0" applyFont="1" applyBorder="1" applyAlignment="1">
      <alignment vertical="center"/>
    </xf>
    <xf numFmtId="0" fontId="3" fillId="4" borderId="8" xfId="0" applyFont="1" applyFill="1" applyBorder="1" applyAlignment="1">
      <alignment vertical="center"/>
    </xf>
    <xf numFmtId="0" fontId="0" fillId="4" borderId="0" xfId="0" applyFill="1" applyAlignment="1">
      <alignment vertical="center"/>
    </xf>
    <xf numFmtId="0" fontId="0" fillId="0" borderId="8" xfId="0" applyBorder="1" applyAlignment="1">
      <alignment vertical="center"/>
    </xf>
    <xf numFmtId="0" fontId="0" fillId="4" borderId="8" xfId="0" quotePrefix="1" applyFill="1" applyBorder="1" applyAlignment="1">
      <alignment vertical="center"/>
    </xf>
    <xf numFmtId="0" fontId="0" fillId="0" borderId="0" xfId="0" quotePrefix="1" applyAlignment="1">
      <alignment vertical="center"/>
    </xf>
    <xf numFmtId="3" fontId="0" fillId="0" borderId="0" xfId="0" applyNumberFormat="1" applyAlignment="1">
      <alignment vertical="center"/>
    </xf>
    <xf numFmtId="0" fontId="25" fillId="0" borderId="0" xfId="0" applyFont="1" applyAlignment="1">
      <alignment vertical="center"/>
    </xf>
    <xf numFmtId="2" fontId="3" fillId="0" borderId="0" xfId="0" applyNumberFormat="1" applyFont="1" applyAlignment="1">
      <alignment horizontal="center" vertical="center"/>
    </xf>
    <xf numFmtId="0" fontId="0" fillId="0" borderId="0" xfId="0" applyAlignment="1">
      <alignment horizontal="left" vertical="center" indent="1"/>
    </xf>
    <xf numFmtId="0" fontId="0" fillId="3" borderId="0" xfId="0" applyFill="1" applyAlignment="1">
      <alignment horizontal="center" vertical="center"/>
    </xf>
    <xf numFmtId="0" fontId="3" fillId="0" borderId="0" xfId="0" applyFont="1" applyAlignment="1">
      <alignment horizontal="center" vertical="center"/>
    </xf>
    <xf numFmtId="0" fontId="74" fillId="0" borderId="0" xfId="0" applyFont="1" applyAlignment="1">
      <alignment vertical="center"/>
    </xf>
    <xf numFmtId="3" fontId="3" fillId="3" borderId="8" xfId="0" applyNumberFormat="1" applyFont="1" applyFill="1" applyBorder="1" applyAlignment="1">
      <alignment horizontal="right" vertical="center"/>
    </xf>
    <xf numFmtId="3" fontId="0" fillId="3" borderId="0" xfId="0" applyNumberFormat="1" applyFill="1" applyAlignment="1">
      <alignment horizontal="right" vertical="center"/>
    </xf>
    <xf numFmtId="3" fontId="0" fillId="3" borderId="8" xfId="0" applyNumberFormat="1" applyFill="1" applyBorder="1" applyAlignment="1">
      <alignment horizontal="right" vertical="center"/>
    </xf>
    <xf numFmtId="0" fontId="66" fillId="4" borderId="0" xfId="5" applyFont="1" applyFill="1" applyAlignment="1">
      <alignment horizontal="left" vertical="center" wrapText="1"/>
    </xf>
    <xf numFmtId="10" fontId="0" fillId="0" borderId="0" xfId="0" applyNumberFormat="1" applyAlignment="1">
      <alignment horizontal="right" vertical="center"/>
    </xf>
    <xf numFmtId="10" fontId="3" fillId="0" borderId="0" xfId="0" applyNumberFormat="1" applyFont="1" applyAlignment="1">
      <alignment horizontal="right" vertical="center"/>
    </xf>
    <xf numFmtId="10" fontId="3" fillId="0" borderId="8" xfId="0" applyNumberFormat="1" applyFont="1" applyBorder="1" applyAlignment="1">
      <alignment horizontal="right" vertical="center"/>
    </xf>
    <xf numFmtId="10" fontId="0" fillId="0" borderId="8" xfId="0" applyNumberFormat="1" applyBorder="1" applyAlignment="1">
      <alignment horizontal="right" vertical="center"/>
    </xf>
    <xf numFmtId="0" fontId="0" fillId="4" borderId="8" xfId="0" applyFill="1" applyBorder="1" applyAlignment="1">
      <alignment horizontal="center" vertical="center"/>
    </xf>
    <xf numFmtId="0" fontId="29" fillId="7" borderId="0" xfId="5" applyFont="1" applyFill="1"/>
    <xf numFmtId="0" fontId="10" fillId="4" borderId="0" xfId="5" applyFont="1" applyFill="1"/>
    <xf numFmtId="0" fontId="2" fillId="4" borderId="0" xfId="0" applyFont="1" applyFill="1"/>
    <xf numFmtId="0" fontId="4" fillId="2" borderId="0" xfId="5" applyFont="1" applyFill="1" applyAlignment="1">
      <alignment horizontal="center" vertical="center" wrapText="1"/>
    </xf>
    <xf numFmtId="37" fontId="32" fillId="3" borderId="74" xfId="8" applyNumberFormat="1" applyFont="1" applyFill="1" applyBorder="1" applyAlignment="1">
      <alignment horizontal="center"/>
    </xf>
    <xf numFmtId="37" fontId="32" fillId="3" borderId="40" xfId="8" applyNumberFormat="1" applyFont="1" applyFill="1" applyBorder="1" applyAlignment="1">
      <alignment horizontal="center"/>
    </xf>
    <xf numFmtId="0" fontId="10" fillId="0" borderId="73" xfId="5" applyFont="1" applyBorder="1"/>
    <xf numFmtId="0" fontId="10" fillId="5" borderId="74" xfId="5" applyFont="1" applyFill="1" applyBorder="1"/>
    <xf numFmtId="0" fontId="10" fillId="2" borderId="40" xfId="5" applyFont="1" applyFill="1" applyBorder="1"/>
    <xf numFmtId="0" fontId="32" fillId="5" borderId="75" xfId="5" applyFont="1" applyFill="1" applyBorder="1" applyAlignment="1">
      <alignment vertical="center"/>
    </xf>
    <xf numFmtId="1" fontId="0" fillId="0" borderId="0" xfId="0" applyNumberFormat="1" applyAlignment="1">
      <alignment horizontal="center"/>
    </xf>
    <xf numFmtId="1" fontId="10" fillId="4" borderId="0" xfId="5" applyNumberFormat="1" applyFont="1" applyFill="1" applyAlignment="1">
      <alignment horizontal="center"/>
    </xf>
    <xf numFmtId="10" fontId="10" fillId="4" borderId="0" xfId="5" applyNumberFormat="1" applyFont="1" applyFill="1" applyAlignment="1">
      <alignment horizontal="center"/>
    </xf>
    <xf numFmtId="174" fontId="10" fillId="4" borderId="0" xfId="5" applyNumberFormat="1" applyFont="1" applyFill="1" applyAlignment="1">
      <alignment horizontal="center"/>
    </xf>
    <xf numFmtId="14" fontId="9" fillId="0" borderId="11" xfId="3" applyNumberFormat="1" applyBorder="1"/>
    <xf numFmtId="0" fontId="76" fillId="0" borderId="0" xfId="0" applyFont="1" applyAlignment="1">
      <alignment vertical="center" wrapText="1"/>
    </xf>
    <xf numFmtId="0" fontId="58" fillId="0" borderId="0" xfId="5" applyFont="1" applyAlignment="1">
      <alignment horizontal="center" vertical="center"/>
    </xf>
    <xf numFmtId="0" fontId="14" fillId="18" borderId="0" xfId="5" applyFill="1" applyAlignment="1">
      <alignment horizontal="center" vertical="center"/>
    </xf>
    <xf numFmtId="1" fontId="32" fillId="0" borderId="0" xfId="0" applyNumberFormat="1" applyFont="1"/>
    <xf numFmtId="9" fontId="14" fillId="18" borderId="0" xfId="5" applyNumberFormat="1" applyFill="1" applyAlignment="1">
      <alignment horizontal="center" vertical="center"/>
    </xf>
    <xf numFmtId="0" fontId="58" fillId="9" borderId="0" xfId="5" applyFont="1" applyFill="1" applyAlignment="1">
      <alignment horizontal="center" vertical="center"/>
    </xf>
    <xf numFmtId="3" fontId="32" fillId="3" borderId="0" xfId="0" applyNumberFormat="1" applyFont="1" applyFill="1"/>
    <xf numFmtId="0" fontId="77" fillId="0" borderId="0" xfId="0" applyFont="1"/>
    <xf numFmtId="10" fontId="12" fillId="0" borderId="0" xfId="2" applyNumberFormat="1" applyFont="1" applyAlignment="1">
      <alignment horizontal="center"/>
    </xf>
    <xf numFmtId="0" fontId="78" fillId="0" borderId="0" xfId="0" applyFont="1"/>
    <xf numFmtId="10" fontId="78" fillId="0" borderId="0" xfId="0" applyNumberFormat="1" applyFont="1"/>
    <xf numFmtId="10" fontId="78" fillId="0" borderId="26" xfId="0" applyNumberFormat="1" applyFont="1" applyBorder="1"/>
    <xf numFmtId="10" fontId="35" fillId="5" borderId="0" xfId="0" applyNumberFormat="1" applyFont="1" applyFill="1"/>
    <xf numFmtId="172" fontId="12" fillId="0" borderId="0" xfId="1" applyNumberFormat="1" applyFont="1"/>
    <xf numFmtId="3" fontId="36" fillId="0" borderId="17" xfId="0" applyNumberFormat="1" applyFont="1" applyBorder="1"/>
    <xf numFmtId="10" fontId="79" fillId="5" borderId="0" xfId="0" applyNumberFormat="1" applyFont="1" applyFill="1"/>
    <xf numFmtId="172" fontId="51" fillId="0" borderId="0" xfId="1" applyNumberFormat="1" applyFont="1" applyAlignment="1">
      <alignment horizontal="right"/>
    </xf>
    <xf numFmtId="37" fontId="46" fillId="0" borderId="0" xfId="1" applyNumberFormat="1" applyFont="1"/>
    <xf numFmtId="172" fontId="37" fillId="0" borderId="8" xfId="1" applyNumberFormat="1" applyFont="1" applyBorder="1"/>
    <xf numFmtId="172" fontId="44" fillId="0" borderId="0" xfId="1" applyNumberFormat="1" applyFont="1"/>
    <xf numFmtId="172" fontId="44" fillId="0" borderId="22" xfId="1" applyNumberFormat="1" applyFont="1" applyBorder="1"/>
    <xf numFmtId="170" fontId="29" fillId="0" borderId="0" xfId="5" applyNumberFormat="1" applyFont="1" applyAlignment="1">
      <alignment horizontal="center"/>
    </xf>
    <xf numFmtId="0" fontId="76" fillId="0" borderId="0" xfId="0" applyFont="1" applyAlignment="1">
      <alignment horizontal="center" vertical="center" wrapText="1"/>
    </xf>
    <xf numFmtId="2" fontId="0" fillId="0" borderId="0" xfId="1" applyNumberFormat="1" applyFont="1" applyAlignment="1">
      <alignment horizontal="center"/>
    </xf>
    <xf numFmtId="2" fontId="80" fillId="0" borderId="0" xfId="1" applyNumberFormat="1" applyFont="1" applyAlignment="1">
      <alignment horizontal="center"/>
    </xf>
    <xf numFmtId="168" fontId="3" fillId="0" borderId="0" xfId="1" applyNumberFormat="1" applyFont="1" applyAlignment="1">
      <alignment horizontal="center"/>
    </xf>
    <xf numFmtId="2" fontId="3" fillId="0" borderId="0" xfId="1" applyNumberFormat="1" applyFont="1" applyAlignment="1">
      <alignment horizontal="center"/>
    </xf>
    <xf numFmtId="0" fontId="81" fillId="0" borderId="0" xfId="3" applyFont="1" applyBorder="1" applyAlignment="1"/>
    <xf numFmtId="0" fontId="0" fillId="0" borderId="0" xfId="0" applyAlignment="1">
      <alignment horizontal="center" vertical="top" wrapText="1"/>
    </xf>
    <xf numFmtId="10" fontId="0" fillId="0" borderId="0" xfId="1" applyNumberFormat="1" applyFont="1" applyBorder="1" applyAlignment="1">
      <alignment horizontal="right"/>
    </xf>
    <xf numFmtId="170" fontId="49" fillId="7" borderId="0" xfId="2" applyNumberFormat="1" applyFont="1" applyFill="1"/>
    <xf numFmtId="172" fontId="12" fillId="7" borderId="0" xfId="1" applyNumberFormat="1" applyFont="1" applyFill="1" applyBorder="1"/>
    <xf numFmtId="172" fontId="13" fillId="7" borderId="0" xfId="0" applyNumberFormat="1" applyFont="1" applyFill="1"/>
    <xf numFmtId="172" fontId="31" fillId="7" borderId="0" xfId="1" applyNumberFormat="1" applyFont="1" applyFill="1" applyBorder="1"/>
    <xf numFmtId="172" fontId="41" fillId="7" borderId="0" xfId="0" applyNumberFormat="1" applyFont="1" applyFill="1"/>
    <xf numFmtId="172" fontId="41" fillId="7" borderId="22" xfId="0" applyNumberFormat="1" applyFont="1" applyFill="1" applyBorder="1"/>
    <xf numFmtId="172" fontId="13" fillId="7" borderId="0" xfId="1" applyNumberFormat="1" applyFont="1" applyFill="1"/>
    <xf numFmtId="172" fontId="13" fillId="7" borderId="31" xfId="0" applyNumberFormat="1" applyFont="1" applyFill="1" applyBorder="1"/>
    <xf numFmtId="10" fontId="75" fillId="7" borderId="0" xfId="5" applyNumberFormat="1" applyFont="1" applyFill="1" applyAlignment="1">
      <alignment horizontal="center"/>
    </xf>
    <xf numFmtId="10" fontId="32" fillId="7" borderId="0" xfId="5" applyNumberFormat="1" applyFont="1" applyFill="1" applyAlignment="1">
      <alignment horizontal="center"/>
    </xf>
    <xf numFmtId="0" fontId="7" fillId="15" borderId="0" xfId="0" applyFont="1" applyFill="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66" fillId="0" borderId="64" xfId="0" applyFont="1" applyBorder="1" applyAlignment="1">
      <alignment horizontal="left" vertical="center" wrapText="1"/>
    </xf>
    <xf numFmtId="0" fontId="66" fillId="0" borderId="65" xfId="0" applyFont="1" applyBorder="1" applyAlignment="1">
      <alignment horizontal="left" vertical="center" wrapText="1"/>
    </xf>
    <xf numFmtId="0" fontId="66" fillId="0" borderId="0" xfId="0" applyFont="1" applyAlignment="1">
      <alignment horizontal="left" vertical="center" wrapText="1"/>
    </xf>
    <xf numFmtId="0" fontId="66" fillId="0" borderId="63" xfId="0" applyFont="1" applyBorder="1" applyAlignment="1">
      <alignment horizontal="left" vertical="center" wrapText="1"/>
    </xf>
    <xf numFmtId="0" fontId="33" fillId="0" borderId="66" xfId="0" applyFont="1" applyBorder="1" applyAlignment="1">
      <alignment horizontal="left" vertical="center" wrapText="1"/>
    </xf>
    <xf numFmtId="0" fontId="66" fillId="0" borderId="67" xfId="0" applyFont="1" applyBorder="1" applyAlignment="1">
      <alignment horizontal="left" vertical="center" wrapText="1"/>
    </xf>
    <xf numFmtId="0" fontId="2" fillId="0" borderId="0" xfId="0" applyFont="1" applyAlignment="1">
      <alignment horizontal="left" vertical="top" wrapText="1"/>
    </xf>
    <xf numFmtId="0" fontId="2" fillId="0" borderId="72" xfId="0" applyFont="1" applyBorder="1" applyAlignment="1">
      <alignment horizontal="center"/>
    </xf>
    <xf numFmtId="0" fontId="2" fillId="0" borderId="0" xfId="0" applyFont="1" applyAlignment="1">
      <alignment horizontal="center"/>
    </xf>
    <xf numFmtId="0" fontId="41" fillId="0" borderId="72" xfId="0" applyFont="1" applyBorder="1" applyAlignment="1">
      <alignment horizontal="center"/>
    </xf>
    <xf numFmtId="0" fontId="33" fillId="0" borderId="0" xfId="0" applyFont="1" applyAlignment="1">
      <alignment vertical="top" wrapText="1"/>
    </xf>
    <xf numFmtId="0" fontId="66" fillId="0" borderId="0" xfId="0" applyFont="1" applyAlignment="1">
      <alignment vertical="top"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vertical="center" wrapText="1"/>
    </xf>
    <xf numFmtId="0" fontId="6" fillId="2" borderId="0" xfId="0" applyFont="1" applyFill="1" applyAlignment="1">
      <alignment horizontal="center" vertical="center"/>
    </xf>
    <xf numFmtId="0" fontId="7" fillId="0" borderId="0" xfId="0" applyFont="1" applyAlignment="1">
      <alignment horizontal="left" vertical="center"/>
    </xf>
    <xf numFmtId="0" fontId="74" fillId="0" borderId="0" xfId="0" applyFont="1" applyAlignment="1">
      <alignment horizontal="left" vertical="center" wrapText="1"/>
    </xf>
    <xf numFmtId="0" fontId="66" fillId="0" borderId="0" xfId="0" applyFont="1" applyAlignment="1">
      <alignment horizontal="left" vertical="center"/>
    </xf>
    <xf numFmtId="0" fontId="4" fillId="2" borderId="0" xfId="5" applyFont="1" applyFill="1" applyAlignment="1">
      <alignment horizontal="center" wrapText="1"/>
    </xf>
    <xf numFmtId="0" fontId="4" fillId="2" borderId="0" xfId="5" applyFont="1" applyFill="1" applyAlignment="1">
      <alignment horizontal="center" vertical="center"/>
    </xf>
    <xf numFmtId="0" fontId="4" fillId="2" borderId="0" xfId="5" applyFont="1" applyFill="1" applyAlignment="1">
      <alignment horizontal="center"/>
    </xf>
    <xf numFmtId="0" fontId="4" fillId="2" borderId="53" xfId="5" applyFont="1" applyFill="1" applyBorder="1" applyAlignment="1">
      <alignment horizontal="center"/>
    </xf>
    <xf numFmtId="0" fontId="4" fillId="2" borderId="57" xfId="5" applyFont="1" applyFill="1" applyBorder="1" applyAlignment="1">
      <alignment horizontal="center"/>
    </xf>
    <xf numFmtId="0" fontId="4" fillId="2" borderId="54" xfId="5" applyFont="1" applyFill="1" applyBorder="1" applyAlignment="1">
      <alignment horizontal="center"/>
    </xf>
    <xf numFmtId="0" fontId="4" fillId="2" borderId="50" xfId="5" applyFont="1" applyFill="1" applyBorder="1" applyAlignment="1">
      <alignment horizontal="center"/>
    </xf>
    <xf numFmtId="0" fontId="0" fillId="0" borderId="11" xfId="0" applyBorder="1"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8" borderId="0" xfId="5" applyFill="1" applyAlignment="1">
      <alignment horizontal="center" vertical="center"/>
    </xf>
    <xf numFmtId="0" fontId="14" fillId="0" borderId="0" xfId="5" applyAlignment="1">
      <alignment horizontal="center" vertical="center" wrapText="1"/>
    </xf>
    <xf numFmtId="0" fontId="14" fillId="0" borderId="0" xfId="5" applyAlignment="1">
      <alignment horizontal="center" vertical="center"/>
    </xf>
    <xf numFmtId="0" fontId="14" fillId="6" borderId="0" xfId="5" applyFill="1" applyAlignment="1">
      <alignment horizontal="center" vertical="center"/>
    </xf>
    <xf numFmtId="0" fontId="14" fillId="7" borderId="0" xfId="5" applyFill="1" applyAlignment="1">
      <alignment horizontal="center" vertical="center"/>
    </xf>
    <xf numFmtId="0" fontId="14" fillId="0" borderId="12" xfId="5" applyBorder="1" applyAlignment="1">
      <alignment horizontal="center" vertical="center"/>
    </xf>
    <xf numFmtId="0" fontId="14" fillId="0" borderId="12" xfId="5" applyBorder="1" applyAlignment="1">
      <alignment horizontal="center" vertical="center" wrapText="1"/>
    </xf>
    <xf numFmtId="0" fontId="14" fillId="10" borderId="0" xfId="5" applyFill="1" applyAlignment="1">
      <alignment horizontal="center" vertical="center"/>
    </xf>
    <xf numFmtId="0" fontId="14" fillId="18" borderId="0" xfId="5" applyFill="1" applyAlignment="1">
      <alignment horizontal="center" vertical="center"/>
    </xf>
    <xf numFmtId="9" fontId="14" fillId="18" borderId="0" xfId="5" applyNumberFormat="1" applyFill="1" applyAlignment="1">
      <alignment horizontal="center" vertical="center"/>
    </xf>
    <xf numFmtId="0" fontId="14" fillId="9" borderId="0" xfId="5" applyFill="1" applyAlignment="1">
      <alignment horizontal="center" vertical="center"/>
    </xf>
    <xf numFmtId="0" fontId="0" fillId="0" borderId="0" xfId="0" applyAlignment="1">
      <alignment horizontal="left" vertical="center" wrapText="1"/>
    </xf>
    <xf numFmtId="14" fontId="35" fillId="5" borderId="0" xfId="0" applyNumberFormat="1" applyFont="1" applyFill="1" applyAlignment="1">
      <alignment horizontal="center"/>
    </xf>
    <xf numFmtId="0" fontId="3" fillId="0" borderId="0" xfId="0" applyFont="1" applyAlignment="1">
      <alignment horizontal="left" vertical="center"/>
    </xf>
  </cellXfs>
  <cellStyles count="13">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06/relationships/rdRichValue" Target="richData/rdrichvalue.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Inputs!$B$108</c:f>
              <c:strCache>
                <c:ptCount val="1"/>
                <c:pt idx="0">
                  <c:v>Fixed</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General</c:formatCode>
                <c:ptCount val="10"/>
              </c:numCache>
            </c:numRef>
          </c:val>
          <c:extLst>
            <c:ext xmlns:c16="http://schemas.microsoft.com/office/drawing/2014/chart" uri="{C3380CC4-5D6E-409C-BE32-E72D297353CC}">
              <c16:uniqueId val="{00000000-C818-4D7E-86F0-AA705E8DA356}"/>
            </c:ext>
          </c:extLst>
        </c:ser>
        <c:ser>
          <c:idx val="1"/>
          <c:order val="1"/>
          <c:tx>
            <c:strRef>
              <c:f>Inputs!$B$108</c:f>
              <c:strCache>
                <c:ptCount val="1"/>
                <c:pt idx="0">
                  <c:v>Fixed</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E274-4552-BBD9-9ABB46A9B31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E274-4552-BBD9-9ABB46A9B31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E274-4552-BBD9-9ABB46A9B313}"/>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E274-4552-BBD9-9ABB46A9B313}"/>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E274-4552-BBD9-9ABB46A9B313}"/>
              </c:ext>
            </c:extLst>
          </c:dPt>
          <c:cat>
            <c:strRef>
              <c:f>Segments!$B$6:$B$10</c:f>
              <c:strCache>
                <c:ptCount val="3"/>
                <c:pt idx="0">
                  <c:v>North and South America</c:v>
                </c:pt>
                <c:pt idx="1">
                  <c:v>APAC</c:v>
                </c:pt>
                <c:pt idx="2">
                  <c:v>EMEA</c:v>
                </c:pt>
              </c:strCache>
            </c:strRef>
          </c:cat>
          <c:val>
            <c:numRef>
              <c:f>Segments!$D$6:$D$10</c:f>
              <c:numCache>
                <c:formatCode>0.0%</c:formatCode>
                <c:ptCount val="5"/>
                <c:pt idx="0">
                  <c:v>0.59944199023482914</c:v>
                </c:pt>
                <c:pt idx="1">
                  <c:v>0.14229249011857709</c:v>
                </c:pt>
                <c:pt idx="2">
                  <c:v>0.25826551964659383</c:v>
                </c:pt>
              </c:numCache>
            </c:numRef>
          </c:val>
          <c:extLst>
            <c:ext xmlns:c16="http://schemas.microsoft.com/office/drawing/2014/chart" uri="{C3380CC4-5D6E-409C-BE32-E72D297353CC}">
              <c16:uniqueId val="{0000000A-E274-4552-BBD9-9ABB46A9B31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560-43D0-94A0-4BB843B7675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60-43D0-94A0-4BB843B7675F}"/>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560-43D0-94A0-4BB843B7675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0560-43D0-94A0-4BB843B7675F}"/>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0560-43D0-94A0-4BB843B7675F}"/>
              </c:ext>
            </c:extLst>
          </c:dPt>
          <c:cat>
            <c:strRef>
              <c:f>Segments!$B$17:$B$21</c:f>
              <c:strCache>
                <c:ptCount val="3"/>
                <c:pt idx="0">
                  <c:v>Digital Media</c:v>
                </c:pt>
                <c:pt idx="1">
                  <c:v>Digital Experience</c:v>
                </c:pt>
                <c:pt idx="2">
                  <c:v>Publishing &amp; Advertising</c:v>
                </c:pt>
              </c:strCache>
            </c:strRef>
          </c:cat>
          <c:val>
            <c:numRef>
              <c:f>Segments!$D$17:$D$21</c:f>
              <c:numCache>
                <c:formatCode>0.0%</c:formatCode>
                <c:ptCount val="5"/>
                <c:pt idx="0">
                  <c:v>0.73768890955591726</c:v>
                </c:pt>
                <c:pt idx="1">
                  <c:v>0.24952336665891653</c:v>
                </c:pt>
                <c:pt idx="2">
                  <c:v>1.278772378516624E-2</c:v>
                </c:pt>
              </c:numCache>
            </c:numRef>
          </c:val>
          <c:extLst>
            <c:ext xmlns:c16="http://schemas.microsoft.com/office/drawing/2014/chart" uri="{C3380CC4-5D6E-409C-BE32-E72D297353CC}">
              <c16:uniqueId val="{0000000A-0560-43D0-94A0-4BB843B7675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3"/>
                <c:pt idx="0">
                  <c:v>North and South America</c:v>
                </c:pt>
                <c:pt idx="1">
                  <c:v>APAC</c:v>
                </c:pt>
                <c:pt idx="2">
                  <c:v>EMEA</c:v>
                </c:pt>
              </c:strCache>
            </c:strRef>
          </c:cat>
          <c:val>
            <c:numRef>
              <c:f>Segments!$D$6:$D$10</c:f>
              <c:numCache>
                <c:formatCode>0.0%</c:formatCode>
                <c:ptCount val="5"/>
                <c:pt idx="0">
                  <c:v>0.59944199023482914</c:v>
                </c:pt>
                <c:pt idx="1">
                  <c:v>0.14229249011857709</c:v>
                </c:pt>
                <c:pt idx="2">
                  <c:v>0.25826551964659383</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3"/>
                <c:pt idx="0">
                  <c:v>Digital Media</c:v>
                </c:pt>
                <c:pt idx="1">
                  <c:v>Digital Experience</c:v>
                </c:pt>
                <c:pt idx="2">
                  <c:v>Publishing &amp; Advertising</c:v>
                </c:pt>
              </c:strCache>
            </c:strRef>
          </c:cat>
          <c:val>
            <c:numRef>
              <c:f>Segments!$D$17:$D$21</c:f>
              <c:numCache>
                <c:formatCode>0.0%</c:formatCode>
                <c:ptCount val="5"/>
                <c:pt idx="0">
                  <c:v>0.73768890955591726</c:v>
                </c:pt>
                <c:pt idx="1">
                  <c:v>0.24952336665891653</c:v>
                </c:pt>
                <c:pt idx="2">
                  <c:v>1.278772378516624E-2</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9666796316500162"/>
          <c:y val="0.26217221715570754"/>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1.8333333333333333</c:v>
                </c:pt>
                <c:pt idx="1">
                  <c:v>2.2000000000000002</c:v>
                </c:pt>
                <c:pt idx="2">
                  <c:v>2.2000000000000002</c:v>
                </c:pt>
                <c:pt idx="3">
                  <c:v>2.2000000000000002</c:v>
                </c:pt>
                <c:pt idx="4">
                  <c:v>2.25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pt-PT"/>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ADOBE INC. (XNAS:ADBE)</c:v>
                </c:pt>
                <c:pt idx="1">
                  <c:v>SALESFORCE, INC. (XNYS:CRM)</c:v>
                </c:pt>
                <c:pt idx="2">
                  <c:v>INTUIT INC. (XNAS:INTU)</c:v>
                </c:pt>
                <c:pt idx="3">
                  <c:v>WORKDAY, INC. (XNAS:WDAY)</c:v>
                </c:pt>
                <c:pt idx="4">
                  <c:v>DATADOG, INC. (XNAS:DDOG)</c:v>
                </c:pt>
                <c:pt idx="5">
                  <c:v>HUBSPOT, INC. (XNYS:HUBS)</c:v>
                </c:pt>
                <c:pt idx="6">
                  <c:v>Sap Se (XNYS:SAP)</c:v>
                </c:pt>
                <c:pt idx="7">
                  <c:v>SERVICENOW, INC. (XNYS:NOW)</c:v>
                </c:pt>
                <c:pt idx="8">
                  <c:v>AUTODESK, INC. (XNAS:ADSK)</c:v>
                </c:pt>
                <c:pt idx="9">
                  <c:v>SNOWFLAKE INC. (XNYS:SNOW)</c:v>
                </c:pt>
                <c:pt idx="10">
                  <c:v>ATLASSIAN CORPORATION (XNAS:TEAM)</c:v>
                </c:pt>
                <c:pt idx="11">
                  <c:v>Others</c:v>
                </c:pt>
              </c:strCache>
            </c:strRef>
          </c:cat>
          <c:val>
            <c:numRef>
              <c:f>Industry!$I$28:$I$39</c:f>
              <c:numCache>
                <c:formatCode>0.00%</c:formatCode>
                <c:ptCount val="12"/>
                <c:pt idx="0">
                  <c:v>5.3883603398638437E-2</c:v>
                </c:pt>
                <c:pt idx="1">
                  <c:v>9.4950902152587946E-2</c:v>
                </c:pt>
                <c:pt idx="2">
                  <c:v>4.0804207456257936E-2</c:v>
                </c:pt>
                <c:pt idx="3">
                  <c:v>2.1162562860027913E-2</c:v>
                </c:pt>
                <c:pt idx="4">
                  <c:v>6.7251146952776366E-3</c:v>
                </c:pt>
                <c:pt idx="5">
                  <c:v>6.5847993365088031E-3</c:v>
                </c:pt>
                <c:pt idx="6">
                  <c:v>8.9057757309553218E-2</c:v>
                </c:pt>
                <c:pt idx="7">
                  <c:v>2.7521855369943948E-2</c:v>
                </c:pt>
                <c:pt idx="8">
                  <c:v>1.5362026153780623E-2</c:v>
                </c:pt>
                <c:pt idx="9">
                  <c:v>9.0854194802819331E-3</c:v>
                </c:pt>
                <c:pt idx="10">
                  <c:v>1.0922047301309693E-2</c:v>
                </c:pt>
                <c:pt idx="11">
                  <c:v>0.62393970448583191</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ADOBE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72401</c:v>
                </c:pt>
                <c:pt idx="1">
                  <c:v>76717</c:v>
                </c:pt>
                <c:pt idx="2">
                  <c:v>72957</c:v>
                </c:pt>
                <c:pt idx="3">
                  <c:v>80465</c:v>
                </c:pt>
                <c:pt idx="4">
                  <c:v>71073</c:v>
                </c:pt>
                <c:pt idx="5">
                  <c:v>67945</c:v>
                </c:pt>
                <c:pt idx="6">
                  <c:v>61018</c:v>
                </c:pt>
                <c:pt idx="7">
                  <c:v>66131</c:v>
                </c:pt>
                <c:pt idx="8">
                  <c:v>63754</c:v>
                </c:pt>
                <c:pt idx="9">
                  <c:v>70311</c:v>
                </c:pt>
                <c:pt idx="10">
                  <c:v>70311</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SALESFORCE,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54000</c:v>
                </c:pt>
                <c:pt idx="1">
                  <c:v>76000</c:v>
                </c:pt>
                <c:pt idx="2">
                  <c:v>135000</c:v>
                </c:pt>
                <c:pt idx="3">
                  <c:v>138000</c:v>
                </c:pt>
                <c:pt idx="4">
                  <c:v>143000</c:v>
                </c:pt>
                <c:pt idx="5">
                  <c:v>163000</c:v>
                </c:pt>
                <c:pt idx="6">
                  <c:v>297000</c:v>
                </c:pt>
                <c:pt idx="7">
                  <c:v>293000</c:v>
                </c:pt>
                <c:pt idx="8">
                  <c:v>292000</c:v>
                </c:pt>
                <c:pt idx="9">
                  <c:v>284000</c:v>
                </c:pt>
                <c:pt idx="10">
                  <c:v>318000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INTUIT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WORKDAY,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18929</c:v>
                </c:pt>
                <c:pt idx="1">
                  <c:v>18929</c:v>
                </c:pt>
                <c:pt idx="2">
                  <c:v>18929</c:v>
                </c:pt>
                <c:pt idx="3">
                  <c:v>29212</c:v>
                </c:pt>
                <c:pt idx="4">
                  <c:v>35710</c:v>
                </c:pt>
                <c:pt idx="5">
                  <c:v>36370</c:v>
                </c:pt>
                <c:pt idx="6">
                  <c:v>38541</c:v>
                </c:pt>
                <c:pt idx="7">
                  <c:v>42055</c:v>
                </c:pt>
                <c:pt idx="8">
                  <c:v>47655</c:v>
                </c:pt>
                <c:pt idx="9">
                  <c:v>63587</c:v>
                </c:pt>
                <c:pt idx="10">
                  <c:v>70309</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pt idx="0">
                  <c:v>DATADOG,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ADOBE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0</c:formatCode>
                <c:ptCount val="11"/>
                <c:pt idx="0">
                  <c:v>35.063672391017171</c:v>
                </c:pt>
                <c:pt idx="1">
                  <c:v>35.063672391017171</c:v>
                </c:pt>
                <c:pt idx="2">
                  <c:v>35.063672391017171</c:v>
                </c:pt>
                <c:pt idx="3">
                  <c:v>73.712021136063413</c:v>
                </c:pt>
                <c:pt idx="4">
                  <c:v>66.350330250990751</c:v>
                </c:pt>
                <c:pt idx="5">
                  <c:v>69.329722589167773</c:v>
                </c:pt>
                <c:pt idx="6">
                  <c:v>68.729722589167764</c:v>
                </c:pt>
                <c:pt idx="7">
                  <c:v>53.885865257595775</c:v>
                </c:pt>
                <c:pt idx="8">
                  <c:v>69.929194187582567</c:v>
                </c:pt>
                <c:pt idx="9">
                  <c:v>84.236195508586519</c:v>
                </c:pt>
                <c:pt idx="10" formatCode="General">
                  <c:v>84</c:v>
                </c:pt>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WORKDAY,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DATADOG,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SALESFORCE,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pt idx="0">
                  <c:v>195</c:v>
                </c:pt>
                <c:pt idx="1">
                  <c:v>195</c:v>
                </c:pt>
                <c:pt idx="2">
                  <c:v>195</c:v>
                </c:pt>
                <c:pt idx="3">
                  <c:v>195</c:v>
                </c:pt>
                <c:pt idx="4">
                  <c:v>195</c:v>
                </c:pt>
                <c:pt idx="5">
                  <c:v>195</c:v>
                </c:pt>
                <c:pt idx="6">
                  <c:v>164</c:v>
                </c:pt>
                <c:pt idx="7">
                  <c:v>120</c:v>
                </c:pt>
                <c:pt idx="8">
                  <c:v>130</c:v>
                </c:pt>
                <c:pt idx="9">
                  <c:v>126</c:v>
                </c:pt>
                <c:pt idx="10">
                  <c:v>153</c:v>
                </c:pt>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INTUIT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ADOBE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pt idx="0">
                  <c:v>1225</c:v>
                </c:pt>
                <c:pt idx="1">
                  <c:v>1254</c:v>
                </c:pt>
                <c:pt idx="2">
                  <c:v>1111</c:v>
                </c:pt>
                <c:pt idx="3">
                  <c:v>1669</c:v>
                </c:pt>
                <c:pt idx="4">
                  <c:v>1802</c:v>
                </c:pt>
                <c:pt idx="5">
                  <c:v>1850</c:v>
                </c:pt>
                <c:pt idx="6">
                  <c:v>1581</c:v>
                </c:pt>
                <c:pt idx="7">
                  <c:v>1189</c:v>
                </c:pt>
                <c:pt idx="8">
                  <c:v>1992</c:v>
                </c:pt>
                <c:pt idx="9">
                  <c:v>1607</c:v>
                </c:pt>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WORKDAY,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DATADOG,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pt idx="0">
                  <c:v>HUBSPOT,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pt idx="0">
                  <c:v>Sap Se</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pt idx="0">
                  <c:v>SERVICENOW, INC.</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pt idx="0">
                  <c:v>AUTODESK, INC.</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pt idx="0">
                  <c:v>477</c:v>
                </c:pt>
                <c:pt idx="1">
                  <c:v>631</c:v>
                </c:pt>
                <c:pt idx="2">
                  <c:v>919</c:v>
                </c:pt>
                <c:pt idx="3">
                  <c:v>620</c:v>
                </c:pt>
                <c:pt idx="4">
                  <c:v>630</c:v>
                </c:pt>
                <c:pt idx="5">
                  <c:v>684</c:v>
                </c:pt>
                <c:pt idx="6">
                  <c:v>2060</c:v>
                </c:pt>
                <c:pt idx="7">
                  <c:v>526</c:v>
                </c:pt>
                <c:pt idx="8">
                  <c:v>1480</c:v>
                </c:pt>
                <c:pt idx="9">
                  <c:v>2080</c:v>
                </c:pt>
                <c:pt idx="10">
                  <c:v>625</c:v>
                </c:pt>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pt idx="0">
                  <c:v>SNOWFLAKE INC.</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pt idx="0">
                  <c:v>ATLASSIAN CORPORATION</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SALESFORCE,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INTUIT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ADOBE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pt idx="0">
                  <c:v>214736</c:v>
                </c:pt>
                <c:pt idx="1">
                  <c:v>211345</c:v>
                </c:pt>
                <c:pt idx="2">
                  <c:v>212931</c:v>
                </c:pt>
                <c:pt idx="3">
                  <c:v>236956</c:v>
                </c:pt>
                <c:pt idx="4">
                  <c:v>223248</c:v>
                </c:pt>
                <c:pt idx="5">
                  <c:v>221486</c:v>
                </c:pt>
                <c:pt idx="6">
                  <c:v>208187</c:v>
                </c:pt>
                <c:pt idx="7">
                  <c:v>240344</c:v>
                </c:pt>
                <c:pt idx="8">
                  <c:v>213082</c:v>
                </c:pt>
                <c:pt idx="9">
                  <c:v>230771</c:v>
                </c:pt>
                <c:pt idx="10">
                  <c:v>230771</c:v>
                </c:pt>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SALESFORCE,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pt idx="0">
                  <c:v>265000</c:v>
                </c:pt>
                <c:pt idx="1">
                  <c:v>140000</c:v>
                </c:pt>
                <c:pt idx="2">
                  <c:v>101000</c:v>
                </c:pt>
                <c:pt idx="3">
                  <c:v>371000</c:v>
                </c:pt>
                <c:pt idx="4">
                  <c:v>514000</c:v>
                </c:pt>
                <c:pt idx="5">
                  <c:v>628000</c:v>
                </c:pt>
                <c:pt idx="6">
                  <c:v>710000</c:v>
                </c:pt>
                <c:pt idx="7">
                  <c:v>777000</c:v>
                </c:pt>
                <c:pt idx="8">
                  <c:v>826000</c:v>
                </c:pt>
                <c:pt idx="9">
                  <c:v>869000</c:v>
                </c:pt>
                <c:pt idx="10">
                  <c:v>945000</c:v>
                </c:pt>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INTUIT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WORKDAY,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pt idx="0">
                  <c:v>46840</c:v>
                </c:pt>
                <c:pt idx="1">
                  <c:v>46840</c:v>
                </c:pt>
                <c:pt idx="2">
                  <c:v>46840</c:v>
                </c:pt>
                <c:pt idx="3">
                  <c:v>66138</c:v>
                </c:pt>
                <c:pt idx="4" formatCode="General">
                  <c:v>80471</c:v>
                </c:pt>
                <c:pt idx="5" formatCode="General">
                  <c:v>106084</c:v>
                </c:pt>
                <c:pt idx="6" formatCode="General">
                  <c:v>108245</c:v>
                </c:pt>
                <c:pt idx="7" formatCode="General">
                  <c:v>132423</c:v>
                </c:pt>
                <c:pt idx="8" formatCode="General">
                  <c:v>160889</c:v>
                </c:pt>
                <c:pt idx="9" formatCode="General">
                  <c:v>212489</c:v>
                </c:pt>
                <c:pt idx="10" formatCode="General">
                  <c:v>228188</c:v>
                </c:pt>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AUTODESK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pt idx="0">
                  <c:v>42000</c:v>
                </c:pt>
                <c:pt idx="1">
                  <c:v>37800</c:v>
                </c:pt>
                <c:pt idx="2">
                  <c:v>55600</c:v>
                </c:pt>
                <c:pt idx="3">
                  <c:v>71900</c:v>
                </c:pt>
                <c:pt idx="4">
                  <c:v>57500</c:v>
                </c:pt>
                <c:pt idx="5">
                  <c:v>57800</c:v>
                </c:pt>
                <c:pt idx="6">
                  <c:v>85600</c:v>
                </c:pt>
                <c:pt idx="7">
                  <c:v>118000</c:v>
                </c:pt>
                <c:pt idx="8">
                  <c:v>118000</c:v>
                </c:pt>
                <c:pt idx="9">
                  <c:v>141000</c:v>
                </c:pt>
                <c:pt idx="10">
                  <c:v>60500</c:v>
                </c:pt>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pt idx="0">
                  <c:v>DATADOG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pt idx="0">
                  <c:v>Sap Se</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4.png"/><Relationship Id="rId6" Type="http://schemas.openxmlformats.org/officeDocument/2006/relationships/image" Target="../media/image5.pn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111514</xdr:colOff>
      <xdr:row>57</xdr:row>
      <xdr:rowOff>135324</xdr:rowOff>
    </xdr:from>
    <xdr:to>
      <xdr:col>17</xdr:col>
      <xdr:colOff>854927</xdr:colOff>
      <xdr:row>77</xdr:row>
      <xdr:rowOff>92927</xdr:rowOff>
    </xdr:to>
    <xdr:pic>
      <xdr:nvPicPr>
        <xdr:cNvPr id="3" name="Imagem 2">
          <a:extLst>
            <a:ext uri="{FF2B5EF4-FFF2-40B4-BE49-F238E27FC236}">
              <a16:creationId xmlns:a16="http://schemas.microsoft.com/office/drawing/2014/main" id="{235DFEC4-C66C-2F1B-0A97-4B6A386C496F}"/>
            </a:ext>
          </a:extLst>
        </xdr:cNvPr>
        <xdr:cNvPicPr>
          <a:picLocks noChangeAspect="1"/>
        </xdr:cNvPicPr>
      </xdr:nvPicPr>
      <xdr:blipFill>
        <a:blip xmlns:r="http://schemas.openxmlformats.org/officeDocument/2006/relationships" r:embed="rId4"/>
        <a:stretch>
          <a:fillRect/>
        </a:stretch>
      </xdr:blipFill>
      <xdr:spPr>
        <a:xfrm>
          <a:off x="7341221" y="10264348"/>
          <a:ext cx="6820828" cy="3302969"/>
        </a:xfrm>
        <a:prstGeom prst="rect">
          <a:avLst/>
        </a:prstGeom>
      </xdr:spPr>
    </xdr:pic>
    <xdr:clientData/>
  </xdr:twoCellAnchor>
  <xdr:twoCellAnchor>
    <xdr:from>
      <xdr:col>3</xdr:col>
      <xdr:colOff>0</xdr:colOff>
      <xdr:row>45</xdr:row>
      <xdr:rowOff>38100</xdr:rowOff>
    </xdr:from>
    <xdr:to>
      <xdr:col>5</xdr:col>
      <xdr:colOff>847725</xdr:colOff>
      <xdr:row>56</xdr:row>
      <xdr:rowOff>123824</xdr:rowOff>
    </xdr:to>
    <xdr:graphicFrame macro="">
      <xdr:nvGraphicFramePr>
        <xdr:cNvPr id="4" name="Chart 1">
          <a:extLst>
            <a:ext uri="{FF2B5EF4-FFF2-40B4-BE49-F238E27FC236}">
              <a16:creationId xmlns:a16="http://schemas.microsoft.com/office/drawing/2014/main" id="{4604136E-EBD1-449D-BA37-7F47C5D9C2AA}"/>
            </a:ext>
            <a:ext uri="{147F2762-F138-4A5C-976F-8EAC2B608ADB}">
              <a16:predDERef xmlns:a16="http://schemas.microsoft.com/office/drawing/2014/main" pred="{235DFEC4-C66C-2F1B-0A97-4B6A386C4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45</xdr:row>
      <xdr:rowOff>57151</xdr:rowOff>
    </xdr:from>
    <xdr:to>
      <xdr:col>8</xdr:col>
      <xdr:colOff>888546</xdr:colOff>
      <xdr:row>56</xdr:row>
      <xdr:rowOff>133350</xdr:rowOff>
    </xdr:to>
    <xdr:graphicFrame macro="">
      <xdr:nvGraphicFramePr>
        <xdr:cNvPr id="6" name="Chart 2">
          <a:extLst>
            <a:ext uri="{FF2B5EF4-FFF2-40B4-BE49-F238E27FC236}">
              <a16:creationId xmlns:a16="http://schemas.microsoft.com/office/drawing/2014/main" id="{E06B8EF7-8254-48AD-B4B6-1DCEED0F2A19}"/>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869156</xdr:colOff>
      <xdr:row>82</xdr:row>
      <xdr:rowOff>119063</xdr:rowOff>
    </xdr:from>
    <xdr:to>
      <xdr:col>17</xdr:col>
      <xdr:colOff>914400</xdr:colOff>
      <xdr:row>85</xdr:row>
      <xdr:rowOff>69057</xdr:rowOff>
    </xdr:to>
    <xdr:pic>
      <xdr:nvPicPr>
        <xdr:cNvPr id="7" name="Imagem 6">
          <a:extLst>
            <a:ext uri="{FF2B5EF4-FFF2-40B4-BE49-F238E27FC236}">
              <a16:creationId xmlns:a16="http://schemas.microsoft.com/office/drawing/2014/main" id="{9C7A6D62-22EC-5870-1F41-2162F3875F34}"/>
            </a:ext>
          </a:extLst>
        </xdr:cNvPr>
        <xdr:cNvPicPr>
          <a:picLocks noChangeAspect="1"/>
        </xdr:cNvPicPr>
      </xdr:nvPicPr>
      <xdr:blipFill>
        <a:blip xmlns:r="http://schemas.openxmlformats.org/officeDocument/2006/relationships" r:embed="rId7"/>
        <a:stretch>
          <a:fillRect/>
        </a:stretch>
      </xdr:blipFill>
      <xdr:spPr>
        <a:xfrm>
          <a:off x="5845969" y="14978063"/>
          <a:ext cx="8343900"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33</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33</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285750</xdr:colOff>
      <xdr:row>2</xdr:row>
      <xdr:rowOff>133350</xdr:rowOff>
    </xdr:from>
    <xdr:to>
      <xdr:col>21</xdr:col>
      <xdr:colOff>942975</xdr:colOff>
      <xdr:row>33</xdr:row>
      <xdr:rowOff>57150</xdr:rowOff>
    </xdr:to>
    <mc:AlternateContent xmlns:mc="http://schemas.openxmlformats.org/markup-compatibility/2006">
      <mc:Choice xmlns="" xmlns:cx4="http://schemas.microsoft.com/office/drawing/2016/5/10/chartex"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14319250" y="565150"/>
              <a:ext cx="7369175" cy="7067550"/>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485775</xdr:colOff>
      <xdr:row>43</xdr:row>
      <xdr:rowOff>19050</xdr:rowOff>
    </xdr:from>
    <xdr:to>
      <xdr:col>11</xdr:col>
      <xdr:colOff>123825</xdr:colOff>
      <xdr:row>69</xdr:row>
      <xdr:rowOff>76200</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17</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17</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17</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17</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17</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17</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0</xdr:row>
      <xdr:rowOff>0</xdr:rowOff>
    </xdr:from>
    <xdr:to>
      <xdr:col>25</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1</xdr:col>
      <xdr:colOff>149578</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0" y="0"/>
          <a:ext cx="304800" cy="30762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17</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17</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17</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17</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17</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17</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17</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17</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17</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17</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17</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17</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17</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17</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17</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17</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17</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17</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17</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17</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17</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17</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5</xdr:row>
      <xdr:rowOff>35720</xdr:rowOff>
    </xdr:from>
    <xdr:to>
      <xdr:col>21</xdr:col>
      <xdr:colOff>909104</xdr:colOff>
      <xdr:row>14</xdr:row>
      <xdr:rowOff>51435</xdr:rowOff>
    </xdr:to>
    <xdr:pic>
      <xdr:nvPicPr>
        <xdr:cNvPr id="6" name="Picture 2">
          <a:extLst>
            <a:ext uri="{FF2B5EF4-FFF2-40B4-BE49-F238E27FC236}">
              <a16:creationId xmlns:a16="http://schemas.microsoft.com/office/drawing/2014/main" id="{9AE576CB-EF23-3290-CF2F-3B9D85C13E4D}"/>
            </a:ext>
          </a:extLst>
        </xdr:cNvPr>
        <xdr:cNvPicPr>
          <a:picLocks noChangeAspect="1"/>
        </xdr:cNvPicPr>
      </xdr:nvPicPr>
      <xdr:blipFill>
        <a:blip xmlns:r="http://schemas.openxmlformats.org/officeDocument/2006/relationships" r:embed="rId6"/>
        <a:stretch>
          <a:fillRect/>
        </a:stretch>
      </xdr:blipFill>
      <xdr:spPr>
        <a:xfrm>
          <a:off x="13073063" y="1000126"/>
          <a:ext cx="7675664" cy="16311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LIS-GENERAL-SecuritiesResearch/Shared%20Documents/Securities%20Research/One%20Pagers/24-25/Team%2011%20(Miguel%20Gomes)/The%20Walt%20Disney%20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s"/>
      <sheetName val="DCF Assumptions"/>
      <sheetName val="Inputs"/>
      <sheetName val="WACC"/>
      <sheetName val="DCF"/>
    </sheetNames>
    <sheetDataSet>
      <sheetData sheetId="0">
        <row r="14">
          <cell r="B14" t="str">
            <v>Entertainment</v>
          </cell>
        </row>
      </sheetData>
      <sheetData sheetId="1">
        <row r="6">
          <cell r="H6">
            <v>0.11</v>
          </cell>
        </row>
      </sheetData>
      <sheetData sheetId="2">
        <row r="2">
          <cell r="B2" t="str">
            <v>Inputs</v>
          </cell>
        </row>
        <row r="3">
          <cell r="B3" t="str">
            <v>in millions of USD</v>
          </cell>
        </row>
        <row r="4">
          <cell r="B4" t="str">
            <v>Income Statement</v>
          </cell>
          <cell r="N4">
            <v>2021</v>
          </cell>
        </row>
        <row r="6">
          <cell r="B6" t="str">
            <v>Revenue (Sales)</v>
          </cell>
          <cell r="N6">
            <v>67418</v>
          </cell>
        </row>
        <row r="7">
          <cell r="B7" t="str">
            <v>COGS (Cost of Goods Sold)</v>
          </cell>
          <cell r="N7">
            <v>45131</v>
          </cell>
        </row>
        <row r="8">
          <cell r="B8" t="str">
            <v>Gross Profit</v>
          </cell>
          <cell r="N8">
            <v>22287</v>
          </cell>
        </row>
        <row r="9">
          <cell r="B9" t="str">
            <v>SG&amp;A (Selling, General &amp; Administrative)</v>
          </cell>
          <cell r="N9">
            <v>13517</v>
          </cell>
        </row>
        <row r="10">
          <cell r="B10" t="str">
            <v>R&amp;D (Research &amp; Development)</v>
          </cell>
          <cell r="N10" t="str">
            <v>0</v>
          </cell>
        </row>
        <row r="11">
          <cell r="B11" t="str">
            <v>Other Operating (Income) Expenses</v>
          </cell>
          <cell r="N11">
            <v>654</v>
          </cell>
        </row>
        <row r="12">
          <cell r="B12" t="str">
            <v>EBITDA</v>
          </cell>
          <cell r="N12">
            <v>8116</v>
          </cell>
        </row>
        <row r="13">
          <cell r="B13" t="str">
            <v>D&amp;A (Depreciation &amp; Amortization)</v>
          </cell>
          <cell r="N13">
            <v>5111</v>
          </cell>
        </row>
        <row r="14">
          <cell r="B14" t="str">
            <v>Depreciation Expense</v>
          </cell>
          <cell r="N14">
            <v>3068</v>
          </cell>
        </row>
        <row r="15">
          <cell r="B15" t="str">
            <v>Amortization Expense</v>
          </cell>
          <cell r="N15">
            <v>2043</v>
          </cell>
        </row>
        <row r="16">
          <cell r="B16" t="str">
            <v>Operating Income (EBIT)</v>
          </cell>
          <cell r="N16">
            <v>3005</v>
          </cell>
        </row>
        <row r="17">
          <cell r="B17" t="str">
            <v>Net Interest Expense (Income)</v>
          </cell>
          <cell r="N17">
            <v>1406</v>
          </cell>
        </row>
        <row r="18">
          <cell r="B18" t="str">
            <v>Interest Expense</v>
          </cell>
          <cell r="N18">
            <v>1546</v>
          </cell>
        </row>
        <row r="19">
          <cell r="B19" t="str">
            <v>Interest Income</v>
          </cell>
          <cell r="N19">
            <v>140</v>
          </cell>
        </row>
        <row r="20">
          <cell r="B20" t="str">
            <v>FX (Gain) Loss</v>
          </cell>
          <cell r="N20" t="str">
            <v>0</v>
          </cell>
        </row>
        <row r="21">
          <cell r="B21" t="str">
            <v>Other Non-Operating (Income) Expenses</v>
          </cell>
          <cell r="N21">
            <v>-962</v>
          </cell>
        </row>
        <row r="22">
          <cell r="B22" t="str">
            <v>Pre-Tax Income (EBT)</v>
          </cell>
          <cell r="N22">
            <v>2561</v>
          </cell>
        </row>
        <row r="23">
          <cell r="B23" t="str">
            <v>Tax Expense (Benefit)</v>
          </cell>
          <cell r="N23">
            <v>25</v>
          </cell>
        </row>
        <row r="24">
          <cell r="B24" t="str">
            <v>Net Income</v>
          </cell>
          <cell r="N24">
            <v>2536</v>
          </cell>
        </row>
        <row r="25">
          <cell r="B25" t="str">
            <v>EPS basic</v>
          </cell>
          <cell r="N25">
            <v>1.1000000000000001</v>
          </cell>
        </row>
        <row r="26">
          <cell r="B26" t="str">
            <v>EPS diluted</v>
          </cell>
          <cell r="N26">
            <v>-64.760000000000005</v>
          </cell>
        </row>
        <row r="27">
          <cell r="B27" t="str">
            <v>Basic Weighted Average Shares</v>
          </cell>
          <cell r="N27">
            <v>1816</v>
          </cell>
        </row>
        <row r="28">
          <cell r="B28" t="str">
            <v>Diluted Weighted Average Shares</v>
          </cell>
          <cell r="N28">
            <v>1828</v>
          </cell>
        </row>
        <row r="30">
          <cell r="B30" t="str">
            <v>Balance Sheet</v>
          </cell>
          <cell r="N30">
            <v>2021</v>
          </cell>
        </row>
        <row r="32">
          <cell r="B32" t="str">
            <v>Cash &amp; Cash Equivalents &amp; ST Investments</v>
          </cell>
          <cell r="N32">
            <v>15959</v>
          </cell>
        </row>
        <row r="33">
          <cell r="B33" t="str">
            <v>Cash &amp; Cash Equivalents</v>
          </cell>
          <cell r="N33">
            <v>15959</v>
          </cell>
        </row>
        <row r="34">
          <cell r="B34" t="str">
            <v>Short-Term Investments</v>
          </cell>
          <cell r="N34">
            <v>0</v>
          </cell>
        </row>
        <row r="35">
          <cell r="B35" t="str">
            <v>Accounts Receivable</v>
          </cell>
          <cell r="N35">
            <v>11177</v>
          </cell>
        </row>
        <row r="36">
          <cell r="B36" t="str">
            <v>Inventory</v>
          </cell>
          <cell r="N36">
            <v>1331</v>
          </cell>
        </row>
        <row r="37">
          <cell r="B37" t="str">
            <v>Prepaid expenses and Other Current Assets</v>
          </cell>
          <cell r="N37">
            <v>5190</v>
          </cell>
        </row>
        <row r="38">
          <cell r="B38" t="str">
            <v>Current Assets</v>
          </cell>
          <cell r="N38">
            <v>33657</v>
          </cell>
        </row>
        <row r="39">
          <cell r="B39" t="str">
            <v>Net PP&amp;E (Property, Plant and Equipment)</v>
          </cell>
          <cell r="N39">
            <v>32624</v>
          </cell>
        </row>
        <row r="40">
          <cell r="B40" t="str">
            <v>Gross PP&amp;E (Property, Plant and Equipment)</v>
          </cell>
          <cell r="N40">
            <v>70544</v>
          </cell>
        </row>
        <row r="41">
          <cell r="B41" t="str">
            <v>Accumulated Depreciation</v>
          </cell>
          <cell r="N41">
            <v>37920</v>
          </cell>
        </row>
        <row r="42">
          <cell r="B42" t="str">
            <v>Right-of-Use Assets</v>
          </cell>
          <cell r="N42">
            <v>3895</v>
          </cell>
        </row>
        <row r="43">
          <cell r="B43" t="str">
            <v>Intangibles</v>
          </cell>
          <cell r="N43">
            <v>95186</v>
          </cell>
        </row>
        <row r="44">
          <cell r="B44" t="str">
            <v>Goodwill</v>
          </cell>
          <cell r="N44" t="str">
            <v>0</v>
          </cell>
        </row>
        <row r="45">
          <cell r="B45" t="str">
            <v>Intangibles excl. Goodwill</v>
          </cell>
          <cell r="N45">
            <v>95186</v>
          </cell>
        </row>
        <row r="46">
          <cell r="B46" t="str">
            <v>Other Non-Current Assets</v>
          </cell>
          <cell r="N46">
            <v>38247</v>
          </cell>
        </row>
        <row r="47">
          <cell r="B47" t="str">
            <v>Non-Current Assets</v>
          </cell>
          <cell r="N47">
            <v>169952</v>
          </cell>
        </row>
        <row r="48">
          <cell r="B48" t="str">
            <v>Total Assets</v>
          </cell>
          <cell r="N48">
            <v>203609</v>
          </cell>
        </row>
        <row r="49">
          <cell r="B49" t="str">
            <v>Accounts Payable</v>
          </cell>
          <cell r="N49">
            <v>16357</v>
          </cell>
        </row>
        <row r="50">
          <cell r="B50" t="str">
            <v>Short-Term Debt</v>
          </cell>
          <cell r="N50">
            <v>6503</v>
          </cell>
        </row>
        <row r="51">
          <cell r="B51" t="str">
            <v>Short-Term Borrowings</v>
          </cell>
          <cell r="N51">
            <v>0</v>
          </cell>
        </row>
        <row r="52">
          <cell r="B52" t="str">
            <v>Current Portion LT Debt</v>
          </cell>
          <cell r="N52">
            <v>5866</v>
          </cell>
        </row>
        <row r="53">
          <cell r="B53" t="str">
            <v>Current Portion of Lease Liabilities</v>
          </cell>
          <cell r="N53">
            <v>637</v>
          </cell>
        </row>
        <row r="54">
          <cell r="B54" t="str">
            <v>Accrued Expenses and Other Current Liabilities</v>
          </cell>
          <cell r="N54">
            <v>8217</v>
          </cell>
        </row>
        <row r="55">
          <cell r="B55" t="str">
            <v>Current Liabilities</v>
          </cell>
          <cell r="N55">
            <v>31077</v>
          </cell>
        </row>
        <row r="56">
          <cell r="B56" t="str">
            <v>Long-Term Debt</v>
          </cell>
          <cell r="N56">
            <v>51523</v>
          </cell>
        </row>
        <row r="57">
          <cell r="B57" t="str">
            <v>Long-Term Borrowings</v>
          </cell>
          <cell r="N57">
            <v>48540</v>
          </cell>
        </row>
        <row r="58">
          <cell r="B58" t="str">
            <v>Long-Term Operating Lease Liabilities</v>
          </cell>
          <cell r="N58">
            <v>2983</v>
          </cell>
        </row>
        <row r="59">
          <cell r="B59" t="str">
            <v>Other Non-Current Liabilities</v>
          </cell>
          <cell r="N59">
            <v>18785</v>
          </cell>
        </row>
        <row r="60">
          <cell r="B60" t="str">
            <v>Non-Current Liabilities</v>
          </cell>
          <cell r="N60">
            <v>70308</v>
          </cell>
        </row>
        <row r="61">
          <cell r="B61" t="str">
            <v>Total Liabilities</v>
          </cell>
          <cell r="N61">
            <v>101385</v>
          </cell>
        </row>
        <row r="62">
          <cell r="B62" t="str">
            <v>Shareholder's Equity</v>
          </cell>
          <cell r="N62">
            <v>102224</v>
          </cell>
        </row>
        <row r="63">
          <cell r="B63" t="str">
            <v>Non-Controlling Interest</v>
          </cell>
          <cell r="N63">
            <v>13671</v>
          </cell>
        </row>
        <row r="65">
          <cell r="B65" t="str">
            <v>Cash Flow</v>
          </cell>
          <cell r="N65">
            <v>2021</v>
          </cell>
        </row>
        <row r="67">
          <cell r="B67" t="str">
            <v>Net Income</v>
          </cell>
          <cell r="N67">
            <v>2536</v>
          </cell>
        </row>
        <row r="68">
          <cell r="B68" t="str">
            <v>D&amp;A (Depreciation and Amortization)</v>
          </cell>
          <cell r="N68">
            <v>5111</v>
          </cell>
        </row>
        <row r="69">
          <cell r="B69" t="str">
            <v>Changes in Net Working Capital</v>
          </cell>
          <cell r="N69">
            <v>2476</v>
          </cell>
        </row>
        <row r="70">
          <cell r="B70" t="str">
            <v>(Increase) Decrease in Accounts Receivable</v>
          </cell>
          <cell r="N70">
            <v>-357</v>
          </cell>
        </row>
        <row r="71">
          <cell r="B71" t="str">
            <v>(Increase) Decrease in Inventories</v>
          </cell>
          <cell r="N71">
            <v>252</v>
          </cell>
        </row>
        <row r="72">
          <cell r="B72" t="str">
            <v>(Increase) Decrease in Other Current Assets</v>
          </cell>
          <cell r="N72">
            <v>171</v>
          </cell>
        </row>
        <row r="73">
          <cell r="B73" t="str">
            <v>Increase (Decrease) in Accounts Payable</v>
          </cell>
          <cell r="N73" t="str">
            <v>0</v>
          </cell>
        </row>
        <row r="74">
          <cell r="B74" t="str">
            <v>Increase (Decrease) in Other Current Liabilities</v>
          </cell>
          <cell r="N74">
            <v>2410</v>
          </cell>
        </row>
        <row r="75">
          <cell r="B75" t="str">
            <v>Stock Based Compensation</v>
          </cell>
          <cell r="N75">
            <v>600</v>
          </cell>
        </row>
        <row r="76">
          <cell r="B76" t="str">
            <v>Other Operating Adjustments</v>
          </cell>
          <cell r="N76">
            <v>-5156</v>
          </cell>
        </row>
        <row r="77">
          <cell r="B77" t="str">
            <v>Operating Cash Flow</v>
          </cell>
          <cell r="N77">
            <v>5567</v>
          </cell>
        </row>
        <row r="78">
          <cell r="B78" t="str">
            <v>Net Capex</v>
          </cell>
          <cell r="N78">
            <v>-3578</v>
          </cell>
        </row>
        <row r="79">
          <cell r="B79" t="str">
            <v>Acquisition of Fixed &amp; Intangibles</v>
          </cell>
          <cell r="N79">
            <v>-3578</v>
          </cell>
        </row>
        <row r="80">
          <cell r="B80" t="str">
            <v>Disposal of Fixed &amp; Intangibles</v>
          </cell>
          <cell r="N80">
            <v>0</v>
          </cell>
        </row>
        <row r="81">
          <cell r="B81" t="str">
            <v>Net Cash from Investments &amp; Acquisitions</v>
          </cell>
          <cell r="N81">
            <v>0</v>
          </cell>
        </row>
        <row r="82">
          <cell r="B82" t="str">
            <v>Acquisitions</v>
          </cell>
          <cell r="N82" t="str">
            <v>0</v>
          </cell>
        </row>
        <row r="83">
          <cell r="B83" t="str">
            <v>Divestitures</v>
          </cell>
          <cell r="N83">
            <v>0</v>
          </cell>
        </row>
        <row r="84">
          <cell r="B84" t="str">
            <v>Increase in LT Investment</v>
          </cell>
          <cell r="N84" t="str">
            <v>0</v>
          </cell>
        </row>
        <row r="85">
          <cell r="B85" t="str">
            <v>Decrease in LT Investment</v>
          </cell>
          <cell r="N85">
            <v>0</v>
          </cell>
        </row>
        <row r="86">
          <cell r="B86" t="str">
            <v>Other Investing Inflows (Outflows)</v>
          </cell>
          <cell r="N86">
            <v>415</v>
          </cell>
        </row>
        <row r="87">
          <cell r="B87" t="str">
            <v>Investing Cash Flow</v>
          </cell>
          <cell r="N87">
            <v>-3163</v>
          </cell>
        </row>
        <row r="88">
          <cell r="B88" t="str">
            <v>Debt Borrowing</v>
          </cell>
          <cell r="N88">
            <v>58313</v>
          </cell>
        </row>
        <row r="89">
          <cell r="B89" t="str">
            <v>Debt Repayment</v>
          </cell>
          <cell r="N89">
            <v>-3763</v>
          </cell>
        </row>
        <row r="90">
          <cell r="B90" t="str">
            <v>Lease Payments</v>
          </cell>
          <cell r="N90" t="str">
            <v>0</v>
          </cell>
        </row>
        <row r="91">
          <cell r="B91" t="str">
            <v>Dividends</v>
          </cell>
          <cell r="N91">
            <v>0</v>
          </cell>
        </row>
        <row r="92">
          <cell r="B92" t="str">
            <v>Increase (Repurchase) of Shares</v>
          </cell>
          <cell r="N92">
            <v>37.200000000000003</v>
          </cell>
        </row>
        <row r="93">
          <cell r="B93" t="str">
            <v>Other Financing Inflows (Outflows)</v>
          </cell>
          <cell r="N93">
            <v>-54587.199999999997</v>
          </cell>
        </row>
        <row r="94">
          <cell r="B94" t="str">
            <v>Financing Cash Flow</v>
          </cell>
        </row>
        <row r="95">
          <cell r="B95" t="str">
            <v>Effect of Foreign Exchange</v>
          </cell>
          <cell r="N95">
            <v>30</v>
          </cell>
        </row>
        <row r="96">
          <cell r="B96" t="str">
            <v>Net Changes in Cash</v>
          </cell>
          <cell r="N96">
            <v>-1951</v>
          </cell>
        </row>
        <row r="97">
          <cell r="B97" t="str">
            <v>in millions of USD</v>
          </cell>
        </row>
        <row r="98">
          <cell r="B98" t="str">
            <v>Capital Structure</v>
          </cell>
          <cell r="N98">
            <v>44561</v>
          </cell>
        </row>
        <row r="100">
          <cell r="B100" t="str">
            <v>Market Capitalization</v>
          </cell>
          <cell r="N100">
            <v>63496.44000000001</v>
          </cell>
        </row>
        <row r="101">
          <cell r="B101" t="str">
            <v>Cash &amp; Cash Equivalents</v>
          </cell>
          <cell r="N101">
            <v>15959</v>
          </cell>
        </row>
        <row r="102">
          <cell r="B102" t="str">
            <v>Total Debt</v>
          </cell>
          <cell r="N102">
            <v>58026</v>
          </cell>
        </row>
        <row r="103">
          <cell r="B103" t="str">
            <v>Preferred Stock</v>
          </cell>
        </row>
        <row r="104">
          <cell r="B104" t="str">
            <v>Non-Controlling Interest</v>
          </cell>
          <cell r="N104">
            <v>13671</v>
          </cell>
        </row>
        <row r="105">
          <cell r="B105" t="str">
            <v>Enterprise Value</v>
          </cell>
          <cell r="N105">
            <v>119234.44</v>
          </cell>
        </row>
        <row r="107">
          <cell r="B107" t="str">
            <v>Debt Schedule</v>
          </cell>
          <cell r="N107">
            <v>2031</v>
          </cell>
        </row>
        <row r="109">
          <cell r="B109" t="str">
            <v>Cash</v>
          </cell>
          <cell r="N109">
            <v>-9746.5400000000009</v>
          </cell>
        </row>
        <row r="110">
          <cell r="B110" t="str">
            <v>Fixed</v>
          </cell>
          <cell r="N110">
            <v>2502.63</v>
          </cell>
        </row>
        <row r="111">
          <cell r="B111" t="str">
            <v>Floating</v>
          </cell>
          <cell r="N111">
            <v>0</v>
          </cell>
        </row>
        <row r="113">
          <cell r="B113" t="str">
            <v>Additional</v>
          </cell>
          <cell r="N113">
            <v>2021</v>
          </cell>
        </row>
        <row r="115">
          <cell r="B115" t="str">
            <v>Total Debt</v>
          </cell>
          <cell r="N115">
            <v>58026</v>
          </cell>
        </row>
        <row r="116">
          <cell r="B116" t="str">
            <v>Total Borrowings</v>
          </cell>
          <cell r="N116">
            <v>48540</v>
          </cell>
        </row>
        <row r="117">
          <cell r="B117" t="str">
            <v>Total Leases</v>
          </cell>
          <cell r="N117">
            <v>3620</v>
          </cell>
        </row>
        <row r="118">
          <cell r="B118" t="str">
            <v>Net Debt</v>
          </cell>
          <cell r="N118">
            <v>42067</v>
          </cell>
        </row>
        <row r="119">
          <cell r="B119" t="str">
            <v>Effective Tax Rate</v>
          </cell>
          <cell r="N119">
            <v>9.7618117922686452E-3</v>
          </cell>
        </row>
        <row r="120">
          <cell r="B120" t="str">
            <v>NOPAT</v>
          </cell>
          <cell r="N120">
            <v>2975.6657555642328</v>
          </cell>
        </row>
        <row r="121">
          <cell r="B121" t="str">
            <v>DSO</v>
          </cell>
          <cell r="N121">
            <v>60.512103592512389</v>
          </cell>
        </row>
        <row r="122">
          <cell r="B122" t="str">
            <v>DIH</v>
          </cell>
          <cell r="N122">
            <v>10.764552081717666</v>
          </cell>
        </row>
        <row r="123">
          <cell r="B123" t="str">
            <v>DPO</v>
          </cell>
          <cell r="N123">
            <v>88.556542763060307</v>
          </cell>
        </row>
      </sheetData>
      <sheetData sheetId="3">
        <row r="11">
          <cell r="G11">
            <v>0.1187560443607806</v>
          </cell>
        </row>
      </sheetData>
      <sheetData sheetId="4">
        <row r="13">
          <cell r="C13">
            <v>0.03</v>
          </cell>
        </row>
      </sheetData>
    </sheetDataSet>
  </externalBook>
</externalLink>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7">
  <a r="1">
    <v t="i">0</v>
  </a>
  <a r="1">
    <v>242.39</v>
  </a>
  <a r="1">
    <v>293.32</v>
  </a>
  <a r="1">
    <v>697.43</v>
  </a>
  <a r="1">
    <v>157.51</v>
  </a>
  <a r="1">
    <v>1054.3399999999999</v>
  </a>
  <a r="1">
    <v>143.63</v>
  </a>
  <a r="1">
    <v>622.79</v>
  </a>
  <a r="1">
    <v>251.84</v>
  </a>
  <a r="1">
    <v>567.05999999999995</v>
  </a>
  <a r="1">
    <v>329.81</v>
  </a>
  <a r="1">
    <v>500.12</v>
  </a>
  <a r="1">
    <v>72.7</v>
  </a>
  <a r="1">
    <v>226.24</v>
  </a>
  <a r="1">
    <v>93.94</v>
  </a>
  <a r="1">
    <v>444.68</v>
  </a>
  <a r="1">
    <v>330.66</v>
  </a>
  <a r="1">
    <v>441</v>
  </a>
  <a r="1">
    <v>238.55</v>
  </a>
  <a r="1">
    <v>13.8538</v>
  </a>
  <a r="1">
    <v>45.739199999999997</v>
  </a>
  <a r="1">
    <v>9.7988</v>
  </a>
  <a r="1">
    <v>28.099</v>
  </a>
  <a r="1">
    <v>34.972000000000001</v>
  </a>
  <a r="1">
    <v>5.7805999999999997</v>
  </a>
  <a r="1">
    <v>27.844200000000001</v>
  </a>
  <a r="1">
    <v>7.5321999999999996</v>
  </a>
</arrayData>
</file>

<file path=xl/richData/rdrichvalue.xml><?xml version="1.0" encoding="utf-8"?>
<rvData xmlns="http://schemas.microsoft.com/office/spreadsheetml/2017/richdata" count="63">
  <rv s="0">
    <v>http://en.wikipedia.org/wiki/Public_domain</v>
    <v>Public domain</v>
  </rv>
  <rv s="0">
    <v>http://es.wikipedia.org/wiki/Adobe_(empresa)</v>
    <v>Wikipedia</v>
  </rv>
  <rv s="1">
    <v>0</v>
    <v>1</v>
  </rv>
  <rv s="2">
    <v>7</v>
    <v>https://www.bing.com/th?id=AMMS_503c684ccc667ad525fe1d703881df2c&amp;qlt=95</v>
    <v>2</v>
    <v>0</v>
    <v>https://www.bing.com/images/search?form=xlimg&amp;q=adobe+systems</v>
    <v>Image of ADOBE INC.</v>
  </rv>
  <rv s="0">
    <v>https://www.bing.com/financeapi/forcetrigger?t=a1mv7w&amp;q=XNAS%3aADBE&amp;form=skydnc</v>
    <v>Learn more on Bing</v>
  </rv>
  <rv s="3">
    <v>en-US</v>
    <v>a1mv7w</v>
    <v>268435456</v>
    <v>1</v>
    <v>Powered by Refinitiv</v>
    <v>0</v>
    <v>1</v>
    <v>ADOBE INC. (XNAS:ADBE)</v>
    <v>4</v>
    <v>5</v>
    <v>Finance</v>
    <v>6</v>
    <v>557.8999</v>
    <v>330.04</v>
    <v>1.4977</v>
    <v>-1.56</v>
    <v>2.7329999999999998E-4</v>
    <v>-4.2449999999999996E-3</v>
    <v>0.1</v>
    <v>USD</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30709</v>
    <v>Nasdaq Stock Market</v>
    <v>XNAS</v>
    <v>XNAS</v>
    <v>345 Park Avenue, SAN JOSE, CA, 95110-2704 US</v>
    <v>370.31</v>
    <v>3</v>
    <v>Software &amp; IT Services</v>
    <v>Stock</v>
    <v>45919.999259756252</v>
    <v>4</v>
    <v>362.54</v>
    <v>155214800000</v>
    <v>ADOBE INC.</v>
    <v>ADOBE INC.</v>
    <v>368.94</v>
    <v>22.900099999999998</v>
    <v>367.46</v>
    <v>365.9</v>
    <v>366</v>
    <v>424200000</v>
    <v>ADBE</v>
    <v>ADOBE INC. (XNAS:ADBE)</v>
    <v>7693030</v>
    <v>4754124</v>
    <v>1997</v>
  </rv>
  <rv s="4">
    <v>5</v>
  </rv>
  <rv s="0">
    <v>https://www.bing.com/financeapi/forcetrigger?t=a1qc1h&amp;q=XNYS%3aCRM&amp;form=skydnc</v>
    <v>Learn more on Bing</v>
  </rv>
  <rv s="5">
    <v>pt-BR</v>
    <v>a1qc1h</v>
    <v>268435456</v>
    <v>1</v>
    <v>Da plataforma Refinitiv</v>
    <v>8</v>
    <v>9</v>
    <v>SALESFORCE, INC. (XNYS:CRM)</v>
    <v>10</v>
    <v>11</v>
    <v>Finance</v>
    <v>12</v>
    <v>369</v>
    <v>226.48</v>
    <v>XNYS</v>
    <v>952000000</v>
    <v>4.0469999999999997E-4</v>
    <v>0.1</v>
    <v>247.2</v>
    <v>1999</v>
    <v>243.35</v>
    <v>1.2050000000000001</v>
    <v>New York Stock Exchange</v>
    <v>235229700000</v>
    <v>A Salesforce, Inc. É uma fornecedora de tecnologia de gerenciamento de relacionamento com o cliente (CRM). A empresa ajuda organizações de qualquer porte a reimaginar seus negócios para o mundo da inteligência artificial (IA). Com a Agentforce, sua plataforma, as organizações podem reunir humanos com agentes para impulsionar o sucesso do cliente com inteligência artificial, dados e ação. Com a plataforma Salesforce, a empresa oferece uma única fonte de verdade, conetando dados de clientes com IA integrada em sistemas, aplicativos e dispositivos para ajudar as empresas a vender, atender, comercializar e conduzir o comércio de qualquer lugar. Agentforce é uma nova camada da plataforma Salesforce que permite que as empresas criem e implantem agentes de IA que podem responder a entradas, tomar decisões e agir de forma autônoma em todas as funções de negócios. Agentforce inclui um conjunto de agentes personalizáveis para uso em vendas, serviços, marketing e comércio. AgentExchange é o mercado e a comunidade da Agentforce. AgentExchange inclui mais de 200 parceiros.</v>
    <v>XNYS</v>
    <v>244.28</v>
    <v>76453</v>
    <v>45919.999989698437</v>
    <v>7</v>
    <v>10041826</v>
    <v>USD</v>
    <v>SALESFORCE, INC.</v>
    <v>SALESFORCE, INC.</v>
    <v>35.446100000000001</v>
    <v>246.02</v>
    <v>247.09</v>
    <v>247.19</v>
    <v>SALESFORCE TOWER, 415 MISSION STREET 3RD FL, SAN FRANCISCO, CA, 94105 US</v>
    <v>Software &amp; IT Services</v>
    <v>CRM</v>
    <v>Ações</v>
    <v>SALESFORCE, INC. (XNYS:CRM)</v>
    <v>2.81</v>
    <v>1.1503000000000001E-2</v>
    <v>11813947</v>
  </rv>
  <rv s="4">
    <v>8</v>
  </rv>
  <rv s="0">
    <v>https://www.bing.com/financeapi/forcetrigger?t=a1vmtc&amp;q=XNAS%3aINTU&amp;form=skydnc</v>
    <v>Learn more on Bing</v>
  </rv>
  <rv s="5">
    <v>pt-BR</v>
    <v>a1vmtc</v>
    <v>268435456</v>
    <v>1</v>
    <v>Da plataforma Refinitiv</v>
    <v>8</v>
    <v>9</v>
    <v>INTUIT INC. (XNAS:INTU)</v>
    <v>10</v>
    <v>11</v>
    <v>Finance</v>
    <v>12</v>
    <v>813.7</v>
    <v>532.64499999999998</v>
    <v>XNAS</v>
    <v>278805000</v>
    <v>1.8320000000000001E-3</v>
    <v>1.26</v>
    <v>700</v>
    <v>1993</v>
    <v>682.95500000000004</v>
    <v>1.2562</v>
    <v>Nasdaq Stock Market</v>
    <v>191795500000</v>
    <v>A Intuit Inc. Oferece uma plataforma de tecnologia financeira que ajuda os consumidores e as pequenas e médias empresas a prosperarem, fornecendo produtos e serviços de gestão financeira, conformidade e marketing. Atua através de quatro segmentos: Pequenas Empresas e Autônomos, Consumidor, Carma de Crédito e ProTax. O segmento Small Business &amp; Self-employed atende pequenas empresas e trabalhadores independentes em todo o mundo, e os profissionais de contabilidade que os auxiliam e aconselham. Suas ofertas incluem serviços on-line de gerenciamento financeiro e de negócios QuickBooks e software de desktop, soluções de folha de pagamento, rastreamento de tempo, soluções de processamento de pagamentos de comerciantes e financiamento para pequenas empresas. O segmento de consumo atende aos consumidores e inclui produtos e serviços de preparação de impostos sobre o rendimento do TurboTax. O segmento Credit Karma atende os consumidores com uma plataforma de finanças pessoais que fornece recomendações personalizadas de cartões de crédito, empréstimos domésticos, automóveis e pessoais e produtos de seguros.</v>
    <v>XNAS</v>
    <v>674.96</v>
    <v>18200</v>
    <v>45919.999640578128</v>
    <v>10</v>
    <v>2205713</v>
    <v>USD</v>
    <v>INTUIT INC.</v>
    <v>INTUIT INC.</v>
    <v>49.3703</v>
    <v>692.85500000000002</v>
    <v>687.92</v>
    <v>689.18</v>
    <v>2700 Coast Avenue, MOUNTAIN VIEW, CA, 94043 US</v>
    <v>Financial Technology (Fintech) &amp; Infrastructure</v>
    <v>INTU</v>
    <v>Ações</v>
    <v>INTUIT INC. (XNAS:INTU)</v>
    <v>12.96</v>
    <v>1.9200999999999999E-2</v>
    <v>4226681</v>
  </rv>
  <rv s="4">
    <v>11</v>
  </rv>
  <rv s="0">
    <v>https://www.bing.com/financeapi/forcetrigger?t=a25rkr&amp;q=XNAS%3aWDAY&amp;form=skydnc</v>
    <v>Learn more on Bing</v>
  </rv>
  <rv s="5">
    <v>pt-BR</v>
    <v>a25rkr</v>
    <v>268435456</v>
    <v>1</v>
    <v>Da plataforma Refinitiv</v>
    <v>8</v>
    <v>9</v>
    <v>WORKDAY, INC. (XNAS:WDAY)</v>
    <v>10</v>
    <v>11</v>
    <v>Finance</v>
    <v>12</v>
    <v>294</v>
    <v>205.33</v>
    <v>XNAS</v>
    <v>267000000</v>
    <v>-5.1369999999999996E-4</v>
    <v>-0.12</v>
    <v>237.74940000000001</v>
    <v>2012</v>
    <v>230.87</v>
    <v>1.099</v>
    <v>Nasdaq Stock Market</v>
    <v>62376540000</v>
    <v>Workday, Inc. É um provedor de uma plataforma de inteligência artificial (IA) que ajuda as organizações a gerenciar suas pessoas e dinheiro. A empresa fornece a aproximadamente 11 000 organizações soluções em nuvem alimentadas por IA para ajudar a resolver desafios de negócios, incluindo suporte e capacitação de sua força de trabalho, gerenciamento de suas finanças e gastos em um ambiente em constante mudança e planejamento para o inesperado. Oferece aplicações de Gestão Financeira, Gestão de Gastos, Gestão de Capital Humano (HCM), Planeamento e Análise. A empresa vende suas soluções em todo o mundo principalmente através de vendas diretas. Ele também oferece serviços profissionais, tanto diretamente quanto por meio de seus parceiros de serviços da Workday, para ajudar os clientes a implantar suas soluções. Ele oferece às empresas soluções flexíveis para ajudá-las a se adaptar às suas necessidades específicas do setor e responder às mudanças. Atende várias indústrias, incluindo serviços profissionais e empresariais, serviços financeiros, saúde, educação, governo, e outros.</v>
    <v>XNAS</v>
    <v>233.5</v>
    <v>19517</v>
    <v>45919.996538332809</v>
    <v>13</v>
    <v>3970118</v>
    <v>USD</v>
    <v>WORKDAY, INC.</v>
    <v>WORKDAY, INC.</v>
    <v>108.1955</v>
    <v>236.13</v>
    <v>233.62</v>
    <v>233.5</v>
    <v>6110 Stoneridge Mall Road, PLEASANTON, CA, 94588 US</v>
    <v>Software &amp; IT Services</v>
    <v>WDAY</v>
    <v>Ações</v>
    <v>WORKDAY, INC. (XNAS:WDAY)</v>
    <v>0.12</v>
    <v>5.1389999999999997E-4</v>
    <v>5925958</v>
  </rv>
  <rv s="4">
    <v>14</v>
  </rv>
  <rv s="0">
    <v>https://www.bing.com/financeapi/forcetrigger?t=brjvjc&amp;q=XNAS%3aDDOG&amp;form=skydnc</v>
    <v>Learn more on Bing</v>
  </rv>
  <rv s="5">
    <v>pt-BR</v>
    <v>brjvjc</v>
    <v>268435456</v>
    <v>1</v>
    <v>Da plataforma Refinitiv</v>
    <v>8</v>
    <v>9</v>
    <v>DATADOG, INC. (XNAS:DDOG)</v>
    <v>10</v>
    <v>11</v>
    <v>Finance</v>
    <v>12</v>
    <v>170.08</v>
    <v>81.63</v>
    <v>XNAS</v>
    <v>348745100</v>
    <v>-7.9240000000000007E-4</v>
    <v>-0.11</v>
    <v>139.08000000000001</v>
    <v>2010</v>
    <v>135.86000000000001</v>
    <v>1.2114</v>
    <v>Nasdaq Stock Market</v>
    <v>48412800000</v>
    <v>Datadog, Inc. É a plataforma de observação e segurança para aplicativos em nuvem. A plataforma de software como serviço (SaaS) da empresa integra e automatiza o monitoramento de infraestrutura, monitoramento de desempenho de aplicativos, gerenciamento de logs, monitoramento de usuários reais e vários outros recursos para fornecer observabilidade e segurança unificadas e em tempo real para toda a pilha de tecnologia de seus clientes. Sua plataforma consiste em produtos que podem ser usados individualmente ou como uma solução unificada e inclui um mercado onde os clientes podem acessar produtos criados por seus parceiros em cima da plataforma Datadog. Os produtos da empresa incluem monitoramento de infraestrutura, monitoramento de desempenho de aplicativos (APM), gerenciamento de log, monitoramento de experiência digital, perfilador contínuo, monitoramento de banco de dados, monitoramento de Rede, Gerenciamento de Incidentes, Pipelines de Observabilidade, Gerenciamento de Custos de Nuvem, Monitoramento Universal de Serviços, gerenciamento de Segurança na Nuvem, Gerenciamento de Segurança de Aplicativos, Visibilidade de IC e outros.</v>
    <v>XNAS</v>
    <v>136.81</v>
    <v>6500</v>
    <v>45919.999917164059</v>
    <v>16</v>
    <v>4415193</v>
    <v>USD</v>
    <v>DATADOG, INC.</v>
    <v>DATADOG, INC.</v>
    <v>386.50170000000003</v>
    <v>136.32</v>
    <v>138.82</v>
    <v>138.71</v>
    <v>620 8th Avenue, 45th Floor, NEW YORK, NY, 10018 US</v>
    <v>Software &amp; IT Services</v>
    <v>DDOG</v>
    <v>Ações</v>
    <v>DATADOG, INC. (XNAS:DDOG)</v>
    <v>2.0099999999999998</v>
    <v>1.4692E-2</v>
    <v>10124436</v>
  </rv>
  <rv s="4">
    <v>17</v>
  </rv>
  <rv s="0">
    <v>https://www.bing.com/financeapi/forcetrigger?t=a1uypr&amp;q=XNYS%3aHUBS&amp;form=skydnc</v>
    <v>Learn more on Bing</v>
  </rv>
  <rv s="6">
    <v>pt-BR</v>
    <v>a1uypr</v>
    <v>268435456</v>
    <v>1</v>
    <v>Da plataforma Refinitiv</v>
    <v>13</v>
    <v>14</v>
    <v>HUBSPOT, INC. (XNYS:HUBS)</v>
    <v>10</v>
    <v>15</v>
    <v>Finance</v>
    <v>12</v>
    <v>881.13</v>
    <v>418.34</v>
    <v>XNYS</v>
    <v>52693110</v>
    <v>2.2360000000000001E-3</v>
    <v>1.1599999999999999</v>
    <v>521.54</v>
    <v>2005</v>
    <v>509.11</v>
    <v>1.6034999999999999</v>
    <v>New York Stock Exchange</v>
    <v>27339290000</v>
    <v>A HubSpot, Inc. Fornece uma plataforma de clientes que ajuda as empresas a se conetarem e crescerem melhor. A empresa oferece uma conexão perfeita para equipes voltadas para o cliente com uma plataforma unificada que inclui hubs de engajamento com inteligência artificial (IA), um Smart CRM e um ecossistema conetado com mais de 1 700 integrações de mercado de aplicativos, uma rede comunitária e conteúdo educacional. Seus hubs de engajamento com IA incluem Marketing, Vendas, Serviço, Operações, Conteúdo, e Comércio, bem como outras ferramentas e integrações que permitem às empresas atrair, envolver e encantar os clientes durante todo o ciclo de vida do cliente. Sua plataforma de clientes conta com um banco de dados central de interações de leads e clientes e aplicativos integrados projetados para ajudar as empresas a atrair visitantes para seus sites, converter visitantes em leads, fechar leads em clientes, transacionar com esses clientes e encantá-los para que eles se tornem promotores desses negócios. Breeze é sua IA que alimenta a plataforma do cliente.</v>
    <v>XNYS</v>
    <v>513.12</v>
    <v>8723</v>
    <v>45919.982005370315</v>
    <v>19</v>
    <v>790545</v>
    <v>USD</v>
    <v>HUBSPOT, INC.</v>
    <v>HUBSPOT, INC.</v>
    <v>514.22</v>
    <v>518.84</v>
    <v>520</v>
    <v>2 Canal Park, CAMBRIDGE, MA, 02141 US</v>
    <v>Software &amp; IT Services</v>
    <v>HUBS</v>
    <v>Ações</v>
    <v>HUBSPOT, INC. (XNYS:HUBS)</v>
    <v>5.72</v>
    <v>1.1147000000000001E-2</v>
    <v>969547</v>
  </rv>
  <rv s="4">
    <v>20</v>
  </rv>
  <rv s="0">
    <v>https://www.bing.com/financeapi/forcetrigger?t=a22hh7&amp;q=XNYS%3aSAP&amp;form=skydnc</v>
    <v>Learn more on Bing</v>
  </rv>
  <rv s="5">
    <v>pt-BR</v>
    <v>a22hh7</v>
    <v>268435456</v>
    <v>1</v>
    <v>Da plataforma Refinitiv</v>
    <v>8</v>
    <v>9</v>
    <v>Sap Se (XNYS:SAP)</v>
    <v>10</v>
    <v>11</v>
    <v>Finance</v>
    <v>12</v>
    <v>313.27999999999997</v>
    <v>217.51499999999999</v>
    <v>XNYS</v>
    <v>1228504000</v>
    <v>-3.4089999999999997E-3</v>
    <v>-0.91</v>
    <v>269.67500000000001</v>
    <v>2014</v>
    <v>266.81</v>
    <v>1.2815000000000001</v>
    <v>New York Stock Exchange</v>
    <v>329474800000</v>
    <v>SAP SE (SAP) é uma empresa com sede na Alemanha. A empresa fornece software de aplicativos de negócios. Atua através de três segmentos: Aplicações, Tecnologia e Serviços, que se dedica à venda de licenças de software, assinaturas de seus aplicativos baseados em nuvem e serviços relacionados, principalmente serviços de suporte e vários serviços profissionais, e serviços de suporte, bem como serviços de implementação de seus produtos de software e serviços educacionais sobre o uso de seus produtos; o segmento SAP Business Network, que inclui suas redes de negócios colaborativas baseadas na nuvem e serviços relacionados à SAP Business Network, incluindo aplicativos em nuvem, serviços profissionais e serviços educacionais, bem como a Empresa comercializa e vende ofertas em nuvem desenvolvidas pela SAP Ariba, SAP Fieldglass e Concur; e o segmento Customer Experience, que inclui produtos on-premise e baseados na nuvem que executam funções de front office em toda a experiência do cliente.</v>
    <v>XNYS</v>
    <v>269.74</v>
    <v>108929</v>
    <v>45919.998916654687</v>
    <v>22</v>
    <v>1908506</v>
    <v>USD</v>
    <v>Sap Se</v>
    <v>Sap Se</v>
    <v>41.204799999999999</v>
    <v>269.25</v>
    <v>266.91000000000003</v>
    <v>266</v>
    <v>Dietmar-Hopp-Allee 16, WALLDORF, BADEN-WUERTTEMBERG, 69190 DE</v>
    <v>Software &amp; IT Services</v>
    <v>SAP</v>
    <v>Ações</v>
    <v>Sap Se (XNYS:SAP)</v>
    <v>-2.83</v>
    <v>-1.0492E-2</v>
    <v>1670964</v>
  </rv>
  <rv s="4">
    <v>23</v>
  </rv>
  <rv s="0">
    <v>https://www.bing.com/financeapi/forcetrigger?t=a1yoa2&amp;q=XNYS%3aNOW&amp;form=skydnc</v>
    <v>Learn more on Bing</v>
  </rv>
  <rv s="5">
    <v>pt-BR</v>
    <v>a1yoa2</v>
    <v>268435456</v>
    <v>1</v>
    <v>Da plataforma Refinitiv</v>
    <v>8</v>
    <v>9</v>
    <v>SERVICENOW, INC. (XNYS:NOW)</v>
    <v>10</v>
    <v>11</v>
    <v>Finance</v>
    <v>12</v>
    <v>1198.0899999999999</v>
    <v>678.65880000000004</v>
    <v>XNYS</v>
    <v>208000000</v>
    <v>-8.3230000000000001E-5</v>
    <v>-0.08</v>
    <v>965.74</v>
    <v>2012</v>
    <v>950</v>
    <v>0.93130000000000002</v>
    <v>New York Stock Exchange</v>
    <v>199919200000</v>
    <v>A ServiceNow, Inc. Fornece uma plataforma de inteligência artificial (IA) para transformação de negócios. A plataforma de IA da empresa coneta pessoas, processos, dados e dispositivos para aumentar a produtividade e maximizar os resultados dos negócios. Sua plataforma inteligente, a Now Platform, é uma solução baseada em nuvem que ajuda empresas e organizações em todos os setores público e privado a digitalizar fluxos de trabalho. Os aplicativos de fluxo de trabalho construídos na plataforma NOW estão organizados em quatro áreas principais: Tecnologia, cliente e indústria, funcionário e criador. Seus fluxos de trabalho de tecnologia capacitam os departamentos de tecnologia da informação (TI) a planejar, construir, operar e atender às necessidades DE TI da empresa empresarial. Seus fluxos de trabalho do cliente e do setor ajudam as organizações a reimaginar sua experiência com o cliente. Seus fluxos de trabalho de funcionários ajudam os clientes a simplificar como seus funcionários acessam os serviços de que precisam. Seus fluxos de trabalho de criadores permitem que os clientes automatizem processos criando seus próprios fluxos de trabalho personalizados na plataforma Now.</v>
    <v>XNYS</v>
    <v>947.74</v>
    <v>26293</v>
    <v>45919.99846711797</v>
    <v>25</v>
    <v>1589122</v>
    <v>USD</v>
    <v>SERVICENOW, INC.</v>
    <v>SERVICENOW, INC.</v>
    <v>119.376</v>
    <v>951.85</v>
    <v>961.15</v>
    <v>961.07</v>
    <v>2225 Lawson Lane, SANTA CLARA, CA, 95054 US</v>
    <v>Software &amp; IT Services</v>
    <v>NOW</v>
    <v>Ações</v>
    <v>SERVICENOW, INC. (XNYS:NOW)</v>
    <v>13.41</v>
    <v>1.4149E-2</v>
    <v>2807205</v>
  </rv>
  <rv s="4">
    <v>26</v>
  </rv>
  <rv s="0">
    <v>https://www.bing.com/financeapi/forcetrigger?t=a1mwoc&amp;q=XNAS%3aADSK&amp;form=skydnc</v>
    <v>Learn more on Bing</v>
  </rv>
  <rv s="5">
    <v>pt-BR</v>
    <v>a1mwoc</v>
    <v>268435456</v>
    <v>1</v>
    <v>Da plataforma Refinitiv</v>
    <v>8</v>
    <v>9</v>
    <v>AUTODESK, INC. (XNAS:ADSK)</v>
    <v>10</v>
    <v>11</v>
    <v>Finance</v>
    <v>12</v>
    <v>329.09</v>
    <v>232.67</v>
    <v>XNAS</v>
    <v>213000000</v>
    <v>-5.888E-4</v>
    <v>-0.19</v>
    <v>326.54000000000002</v>
    <v>1994</v>
    <v>320.85000000000002</v>
    <v>1.4959</v>
    <v>Nasdaq Stock Market</v>
    <v>68728710000</v>
    <v>A Autodesk, Inc. Está envolvida em soluções de design tridimensional (3D), engenharia e tecnologia de entretenimento, abrangendo arquitetura, engenharia, construção, design de produto, design de produtos e serviços de engenharia. fabricação, mídia e entretenimento. Seus produtos de arquitetura, engenharia, construção e operações melhoram a forma como os projetos de construção, infraestrutura e industriais são projetados, construídos e operados. Seu software de desenvolvimento e fabricação de produtos fornece aos fabricantes nas indústrias automotiva, de transporte, de máquinas industriais, de produtos de consumo e de produtos de construção soluções abrangentes de design digital, engenharia, fabricação e produção. Suas ofertas de produtos incluem AutoCAD Civil 3D, Autodesk Build, BIM Collaborate Pro, Revit, Tandem, AutoCAD, AutoCAD LT, Inventor, Vault, Maya, e 3ds Max. A solução AutoCAD Civil 3D oferece uma solução de levantamento, design, análise e documentação para engenharia civil, incluindo desenvolvimento de terras, transporte e projetos ambientais.</v>
    <v>XNAS</v>
    <v>323.04000000000002</v>
    <v>14100</v>
    <v>45919.888570625</v>
    <v>28</v>
    <v>1681539</v>
    <v>USD</v>
    <v>AUTODESK, INC.</v>
    <v>AUTODESK, INC.</v>
    <v>66.977699999999999</v>
    <v>325.02999999999997</v>
    <v>322.67</v>
    <v>322.48</v>
    <v>One Market, Ste. 400., SAN FRANCISCO, CA, 94105 US</v>
    <v>Software &amp; IT Services</v>
    <v>ADSK</v>
    <v>Ações</v>
    <v>AUTODESK, INC. (XNAS:ADSK)</v>
    <v>-0.37</v>
    <v>-1.145E-3</v>
    <v>3364367</v>
  </rv>
  <rv s="4">
    <v>29</v>
  </rv>
  <rv s="0">
    <v>https://www.bing.com/financeapi/forcetrigger?t=bvlqa2&amp;q=XNYS%3aSNOW&amp;form=skydnc</v>
    <v>Learn more on Bing</v>
  </rv>
  <rv s="6">
    <v>pt-BR</v>
    <v>bvlqa2</v>
    <v>268435456</v>
    <v>1</v>
    <v>Da plataforma Refinitiv</v>
    <v>13</v>
    <v>14</v>
    <v>SNOWFLAKE INC. (XNYS:SNOW)</v>
    <v>10</v>
    <v>15</v>
    <v>Finance</v>
    <v>12</v>
    <v>249.99</v>
    <v>108.71</v>
    <v>XNYS</v>
    <v>338800000</v>
    <v>-1.5190000000000002E-3</v>
    <v>-0.35</v>
    <v>231.94</v>
    <v>2012</v>
    <v>222.5701</v>
    <v>1.2137</v>
    <v>New York Stock Exchange</v>
    <v>78086630000</v>
    <v>A Snowflake Inc. É uma empresa de nuvem de dados e inteligência artificial. Sua plataforma é a tecnologia que impulsiona a nuvem de dados de IA, permitindo que os clientes consolidem dados em uma única fonte de verdade para gerar insights significativos, aplicar inteligência artificial (IA) para resolver problemas de negócios, criar aplicativos de dados e compartilhar dados e produtos de dados. Ele fornece sua plataforma através de um modelo de negócios centrado no cliente e baseado no consumo. Sua arquitetura nativa na nuvem consiste em três camadas independentemente escaláveis, mas logicamente integradas, em serviços de computação, armazenamento e nuvem. A camada de computação fornece recursos dedicados para permitir que os usuários acessem simultaneamente conjuntos de dados comuns para muitos casos de uso com latência mínima. A camada de armazenamento ingere enormes quantidades e variedades de dados estruturados, semiestruturados e não estruturados para criar um registro de dados unificado. Sua plataforma ClearQuery permite que os usuários pesquisem, explorem e analisem rapidamente seus dados usando consultas de linguagem natural.</v>
    <v>XNYS</v>
    <v>222.11</v>
    <v>7834</v>
    <v>45919.999920937502</v>
    <v>31</v>
    <v>7031033</v>
    <v>USD</v>
    <v>SNOWFLAKE INC.</v>
    <v>SNOWFLAKE INC.</v>
    <v>223.31</v>
    <v>230.48</v>
    <v>230.13</v>
    <v>106 East Babcock Street, Suite 3A, BOZEMAN, MT, 59715 US</v>
    <v>Software &amp; IT Services</v>
    <v>SNOW</v>
    <v>Ações</v>
    <v>SNOWFLAKE INC. (XNYS:SNOW)</v>
    <v>8.3699999999999992</v>
    <v>3.7684000000000002E-2</v>
    <v>7774901</v>
  </rv>
  <rv s="4">
    <v>32</v>
  </rv>
  <rv s="0">
    <v>https://www.bing.com/financeapi/forcetrigger?t=a243h7&amp;q=XNAS%3aTEAM&amp;form=skydnc</v>
    <v>Learn more on Bing</v>
  </rv>
  <rv s="5">
    <v>pt-BR</v>
    <v>a243h7</v>
    <v>268435456</v>
    <v>1</v>
    <v>Da plataforma Refinitiv</v>
    <v>8</v>
    <v>9</v>
    <v>ATLASSIAN CORPORATION (XNAS:TEAM)</v>
    <v>10</v>
    <v>11</v>
    <v>Finance</v>
    <v>12</v>
    <v>325.99990000000003</v>
    <v>155.37</v>
    <v>XNAS</v>
    <v>262334500</v>
    <v>5.6200000000000009E-3</v>
    <v>0.95</v>
    <v>171.9</v>
    <v>2022</v>
    <v>168.34</v>
    <v>0.93579999999999997</v>
    <v>Nasdaq Stock Market</v>
    <v>44347650000</v>
    <v>A Atlassian Corporation é uma empresa global de tecnologia. Os principais produtos da empresa incluem Jira para planejamento e gerenciamento de projetos, Confluence para criação e compartilhamento de conteúdo, Jira Service Management para serviços de equipe, aplicativos de gerenciamento e suporte, Loom para colaboração de vídeo assíncrona e Rovo para desbloquear o conhecimento organizacional. A plataforma Atlassian é a base tecnológica comum para seus produtos que impulsiona conexões entre equipes, informações e fluxos de trabalho. Ele permite experiências modernas e conetadas entre equipes, ferramentas, fluxos de trabalho e dados, incluindo colaboração, recursos de análise, automação e inteligência artificial. O modelo de dados abrangente, ou Teamwork Graph, unifica e padroniza dados em produtos Atlassian, ferramentas de terceiros e equipes. Sua plataforma Loom é uma plataforma de mensagens de vídeo que ajuda os usuários a se comunicar através de vídeos compartilháveis.</v>
    <v>XNAS</v>
    <v>169.63</v>
    <v>13813</v>
    <v>45919.991460392972</v>
    <v>34</v>
    <v>2223393</v>
    <v>USD</v>
    <v>ATLASSIAN CORPORATION</v>
    <v>ATLASSIAN CORPORATION</v>
    <v>0</v>
    <v>171.37</v>
    <v>169.05</v>
    <v>170</v>
    <v>Level 6, 341 George Street,, SYDNEY, NEW SOUTH WALES, 2000 AU</v>
    <v>Software &amp; IT Services</v>
    <v>TEAM</v>
    <v>Ações</v>
    <v>ATLASSIAN CORPORATION (XNAS:TEAM)</v>
    <v>-0.57999999999999996</v>
    <v>-3.4189999999999997E-3</v>
    <v>2755088</v>
  </rv>
  <rv s="4">
    <v>35</v>
  </rv>
  <rv s="7">
    <v>16</v>
    <v>TEAM</v>
    <v>Daily</v>
    <v>45659</v>
    <v>45659</v>
    <v>0</v>
    <v>1</v>
    <v>638713728000000000,638810440209426206,0</v>
    <v>0</v>
    <v>a243h7</v>
    <v>XNAS:TEAM</v>
    <v>1</v>
  </rv>
  <rv s="7">
    <v>16</v>
    <v>ADSK</v>
    <v>Daily</v>
    <v>45659</v>
    <v>45659</v>
    <v>0</v>
    <v>1</v>
    <v>638713728000000000,638810439934609655,0</v>
    <v>0</v>
    <v>a1mwoc</v>
    <v>XNAS:ADSK</v>
    <v>2</v>
  </rv>
  <rv s="7">
    <v>16</v>
    <v>HUBS</v>
    <v>Daily</v>
    <v>45659</v>
    <v>45659</v>
    <v>0</v>
    <v>1</v>
    <v>638713728000000000,638810439832465827,0</v>
    <v>0</v>
    <v>a1uypr</v>
    <v>XNYS:HUBS</v>
    <v>3</v>
  </rv>
  <rv s="7">
    <v>16</v>
    <v>SNOW</v>
    <v>Daily</v>
    <v>45659</v>
    <v>45659</v>
    <v>0</v>
    <v>1</v>
    <v>638713728000000000,638810439874731098,0</v>
    <v>0</v>
    <v>bvlqa2</v>
    <v>XNYS:SNOW</v>
    <v>4</v>
  </rv>
  <rv s="7">
    <v>16</v>
    <v>NOW</v>
    <v>Daily</v>
    <v>45659</v>
    <v>45659</v>
    <v>0</v>
    <v>1</v>
    <v>638713728000000000,638810439898858031,0</v>
    <v>0</v>
    <v>a1yoa2</v>
    <v>XNYS:NOW</v>
    <v>5</v>
  </rv>
  <rv s="7">
    <v>16</v>
    <v>DDOG</v>
    <v>Daily</v>
    <v>45659</v>
    <v>45659</v>
    <v>0</v>
    <v>1</v>
    <v>638713728000000000,638810439809739857,0</v>
    <v>0</v>
    <v>brjvjc</v>
    <v>XNAS:DDOG</v>
    <v>6</v>
  </rv>
  <rv s="7">
    <v>16</v>
    <v>INTU</v>
    <v>Daily</v>
    <v>45659</v>
    <v>45659</v>
    <v>0</v>
    <v>1</v>
    <v>638713728000000000,638810439777503684,0</v>
    <v>0</v>
    <v>a1vmtc</v>
    <v>XNAS:INTU</v>
    <v>7</v>
  </rv>
  <rv s="7">
    <v>16</v>
    <v>WDAY</v>
    <v>Daily</v>
    <v>45659</v>
    <v>45659</v>
    <v>0</v>
    <v>1</v>
    <v>638713728000000000,638810439792241374,0</v>
    <v>0</v>
    <v>a25rkr</v>
    <v>XNAS:WDAY</v>
    <v>8</v>
  </rv>
  <rv s="7">
    <v>16</v>
    <v>a1mv7w</v>
    <v>Daily</v>
    <v>44561</v>
    <v>44561</v>
    <v>0</v>
    <v>1</v>
    <v>637765056000000000,638804202243176905,0</v>
    <v>0</v>
    <v>a1mv7w</v>
    <v>XNAS:ADBE</v>
    <v>9</v>
  </rv>
  <rv s="7">
    <v>16</v>
    <v>a1mv7w</v>
    <v>Daily</v>
    <v>43830</v>
    <v>43830</v>
    <v>0</v>
    <v>1</v>
    <v>637133472000000000,638804202243087306,0</v>
    <v>0</v>
    <v>a1mv7w</v>
    <v>XNAS:ADBE</v>
    <v>10</v>
  </rv>
  <rv s="7">
    <v>16</v>
    <v>a1mv7w</v>
    <v>Daily</v>
    <v>44196</v>
    <v>44196</v>
    <v>0</v>
    <v>1</v>
    <v>637449696000000000,638804202243236636,0</v>
    <v>0</v>
    <v>a1mv7w</v>
    <v>XNAS:ADBE</v>
    <v>11</v>
  </rv>
  <rv s="7">
    <v>16</v>
    <v>a1mv7w</v>
    <v>Daily</v>
    <v>42004</v>
    <v>42004</v>
    <v>0</v>
    <v>1</v>
    <v>635555808000000000,638804202232722593,0</v>
    <v>0</v>
    <v>a1mv7w</v>
    <v>XNAS:ADBE</v>
    <v>12</v>
  </rv>
  <rv s="7">
    <v>16</v>
    <v>a1mv7w</v>
    <v>Daily</v>
    <v>43465</v>
    <v>43465</v>
    <v>0</v>
    <v>1</v>
    <v>636818112000000000,638804202243147026,0</v>
    <v>0</v>
    <v>a1mv7w</v>
    <v>XNAS:ADBE</v>
    <v>13</v>
  </rv>
  <rv s="7">
    <v>16</v>
    <v>a1mv7w</v>
    <v>Daily</v>
    <v>42369</v>
    <v>42369</v>
    <v>0</v>
    <v>1</v>
    <v>635871168000000000,638804202243107194,0</v>
    <v>0</v>
    <v>a1mv7w</v>
    <v>XNAS:ADBE</v>
    <v>14</v>
  </rv>
  <rv s="7">
    <v>16</v>
    <v>a1mv7w</v>
    <v>Daily</v>
    <v>45657</v>
    <v>45657</v>
    <v>0</v>
    <v>1</v>
    <v>638712000000000000,638804202243216721,0</v>
    <v>0</v>
    <v>a1mv7w</v>
    <v>XNAS:ADBE</v>
    <v>15</v>
  </rv>
  <rv s="7">
    <v>16</v>
    <v>CRM</v>
    <v>Daily</v>
    <v>45659</v>
    <v>45659</v>
    <v>0</v>
    <v>1</v>
    <v>638713728000000000,638810440081974598,0</v>
    <v>0</v>
    <v>a1qc1h</v>
    <v>XNYS:CRM</v>
    <v>16</v>
  </rv>
  <rv s="7">
    <v>16</v>
    <v>ADBE</v>
    <v>Daily</v>
    <v>45659</v>
    <v>45659</v>
    <v>0</v>
    <v>1</v>
    <v>638713728000000000,638810323836475376,0</v>
    <v>0</v>
    <v>a1mv7w</v>
    <v>XNAS:ADBE</v>
    <v>17</v>
  </rv>
  <rv s="7">
    <v>17</v>
    <v>SAP</v>
    <v>Daily</v>
    <v>45659</v>
    <v>45659</v>
    <v>0</v>
    <v>1</v>
    <v>638713728000000000,638810439853918224,0</v>
    <v>0</v>
    <v>aftlr7</v>
    <v>XETR:SAP</v>
    <v>18</v>
  </rv>
  <rv s="7">
    <v>16</v>
    <v>CMG</v>
    <v>Daily</v>
    <v>42002</v>
    <v>42002</v>
    <v>0</v>
    <v>1</v>
    <v>635554080000000000,638804202239536317,0</v>
    <v>0</v>
    <v>a1pxbh</v>
    <v>XNYS:CMG</v>
    <v>19</v>
  </rv>
  <rv s="7">
    <v>16</v>
    <v>CMG</v>
    <v>Daily</v>
    <v>45289</v>
    <v>45289</v>
    <v>0</v>
    <v>1</v>
    <v>638394048000000000,638804202272115904,0</v>
    <v>0</v>
    <v>a1pxbh</v>
    <v>XNYS:CMG</v>
    <v>20</v>
  </rv>
  <rv s="7">
    <v>16</v>
    <v>CMG</v>
    <v>Daily</v>
    <v>42367</v>
    <v>42367</v>
    <v>0</v>
    <v>1</v>
    <v>635869440000000000,638804202272346350,0</v>
    <v>0</v>
    <v>a1pxbh</v>
    <v>XNYS:CMG</v>
    <v>21</v>
  </rv>
  <rv s="7">
    <v>16</v>
    <v>CMG</v>
    <v>Daily</v>
    <v>44924</v>
    <v>44924</v>
    <v>0</v>
    <v>1</v>
    <v>638078688000000000,638804202272445904,0</v>
    <v>0</v>
    <v>a1pxbh</v>
    <v>XNYS:CMG</v>
    <v>22</v>
  </rv>
  <rv s="7">
    <v>16</v>
    <v>CMG</v>
    <v>Daily</v>
    <v>44559</v>
    <v>44559</v>
    <v>0</v>
    <v>1</v>
    <v>637763328000000000,638804202272633642,0</v>
    <v>0</v>
    <v>a1pxbh</v>
    <v>XNYS:CMG</v>
    <v>23</v>
  </rv>
  <rv s="7">
    <v>16</v>
    <v>CMG</v>
    <v>Daily</v>
    <v>43098</v>
    <v>43098</v>
    <v>0</v>
    <v>1</v>
    <v>636501024000000000,638804202272734647,0</v>
    <v>0</v>
    <v>a1pxbh</v>
    <v>XNYS:CMG</v>
    <v>24</v>
  </rv>
  <rv s="7">
    <v>16</v>
    <v>CMG</v>
    <v>Daily</v>
    <v>44194</v>
    <v>44194</v>
    <v>0</v>
    <v>1</v>
    <v>637447968000000000,638804202272912409,0</v>
    <v>0</v>
    <v>a1pxbh</v>
    <v>XNYS:CMG</v>
    <v>25</v>
  </rv>
  <rv s="7">
    <v>16</v>
    <v>CMG</v>
    <v>Daily</v>
    <v>42733</v>
    <v>42733</v>
    <v>0</v>
    <v>1</v>
    <v>636185664000000000,638804202273017400,0</v>
    <v>0</v>
    <v>a1pxbh</v>
    <v>XNYS:CMG</v>
    <v>26</v>
  </rv>
</rvData>
</file>

<file path=xl/richData/rdrichvaluestructure.xml><?xml version="1.0" encoding="utf-8"?>
<rvStructures xmlns="http://schemas.microsoft.com/office/spreadsheetml/2017/richdata" count="8">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Preço (Horário prolongado)"/>
    <k n="Sede" t="s"/>
    <k n="Setor" t="s"/>
    <k n="Símbolo do ticker" t="s"/>
    <k n="Tipo de instrumento" t="s"/>
    <k n="UniqueName" t="s"/>
    <k n="Variação"/>
    <k n="Variação (%)"/>
    <k n="Volum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7">
      <v t="s">%EntityServiceId</v>
      <v t="s">_Format</v>
      <v t="s">%IsRefreshable</v>
      <v t="s">_CanonicalPropertyNames</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5">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spbArrays>
  <spbData count="18">
    <spb s="0">
      <v>Low</v>
      <v>P/E</v>
      <v>Beta</v>
      <v>High</v>
      <v>Name</v>
      <v>Open</v>
      <v>Image</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v>Price (Extended hours)</v>
      <v>Change (Extended hours)</v>
      <v>Change % (Extended hours)</v>
    </spb>
    <spb s="1">
      <v>0</v>
      <v>Name</v>
      <v>LearnMoreOnLink</v>
    </spb>
    <spb s="2">
      <v>0</v>
      <v>0</v>
    </spb>
    <spb s="3">
      <v>0</v>
      <v>0</v>
      <v>0</v>
    </spb>
    <spb s="4">
      <v>2</v>
      <v>3</v>
      <v>3</v>
      <v>3</v>
      <v>3</v>
    </spb>
    <spb s="5">
      <v>1</v>
      <v>2</v>
      <v>2</v>
      <v>1</v>
      <v>3</v>
      <v>1</v>
      <v>4</v>
      <v>1</v>
      <v>1</v>
      <v>5</v>
      <v>5</v>
      <v>6</v>
      <v>7</v>
      <v>1</v>
      <v>1</v>
      <v>1</v>
      <v>5</v>
      <v>8</v>
      <v>9</v>
      <v>10</v>
      <v>5</v>
      <v>1</v>
      <v>1</v>
      <v>6</v>
    </spb>
    <spb s="6">
      <v>at close</v>
      <v>from previous close</v>
      <v>from previous close</v>
      <v>Source: Nasdaq</v>
      <v>GMT</v>
      <v>Delayed 15 minutes</v>
      <v>from close</v>
      <v>from close</v>
    </spb>
    <spb s="7">
      <v>Powered by Refinitiv</v>
    </spb>
    <spb s="8">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1</v>
      <v>Name</v>
      <v>LearnMoreOnLink</v>
    </spb>
    <spb s="9">
      <v>3</v>
      <v>3</v>
      <v>3</v>
      <v>3</v>
    </spb>
    <spb s="10">
      <v>2</v>
      <v>1</v>
      <v>2</v>
      <v>3</v>
      <v>1</v>
      <v>1</v>
      <v>5</v>
      <v>1</v>
      <v>1</v>
      <v>5</v>
      <v>6</v>
      <v>5</v>
      <v>10</v>
      <v>1</v>
      <v>1</v>
      <v>9</v>
      <v>5</v>
      <v>1</v>
      <v>7</v>
      <v>8</v>
      <v>1</v>
      <v>1</v>
      <v>6</v>
    </spb>
    <spb s="11">
      <v xml:space="preserve">no fechamento </v>
      <v xml:space="preserve">do fechamento anterior </v>
      <v>Origem : Nasdaq</v>
      <v xml:space="preserve">do fechamento anterior </v>
      <v>GMT</v>
      <v>Atraso de 15 minutos</v>
      <v xml:space="preserve">do fechamento </v>
      <v xml:space="preserve">do fechamento </v>
    </spb>
    <spb s="12">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2</v>
      <v>Name</v>
      <v>LearnMoreOnLink</v>
    </spb>
    <spb s="13">
      <v>1</v>
      <v>2</v>
      <v>3</v>
      <v>1</v>
      <v>1</v>
      <v>5</v>
      <v>1</v>
      <v>1</v>
      <v>5</v>
      <v>6</v>
      <v>5</v>
      <v>10</v>
      <v>1</v>
      <v>1</v>
      <v>9</v>
      <v>5</v>
      <v>1</v>
      <v>7</v>
      <v>8</v>
      <v>1</v>
      <v>1</v>
      <v>6</v>
    </spb>
    <spb s="14">
      <v>11</v>
      <v>1</v>
    </spb>
    <spb s="14">
      <v>11</v>
      <v>12</v>
    </spb>
  </spbData>
</supportingPropertyBags>
</file>

<file path=xl/richData/rdsupportingpropertybagstructure.xml><?xml version="1.0" encoding="utf-8"?>
<spbStructures xmlns="http://schemas.microsoft.com/office/spreadsheetml/2017/richdata2" count="15">
  <s>
    <k n="Low" t="s"/>
    <k n="P/E" t="s"/>
    <k n="Beta" t="s"/>
    <k n="High" t="s"/>
    <k n="Name" t="s"/>
    <k n="Open" t="s"/>
    <k n="Image"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k n="Price (Extended hours)" t="s"/>
    <k n="Change (Extended hours)" t="s"/>
    <k n="Change % (Extended hours)" t="s"/>
  </s>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m/d/yyyy"/>
    </x:dxf>
    <x:dxf>
      <x:numFmt numFmtId="2" formatCode="0.00"/>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0">
      <rpv i="0">_([$$-en-US]* #,##0.00_);_([$$-en-US]* (#,##0.00);_([$$-en-US]* "-"??_);_(@_)</rpv>
    </rSty>
    <rSty dxfid="6">
      <rpv i="0">#,##0.00</rpv>
    </rSty>
    <rSty>
      <rpv i="1">1</rpv>
    </rSty>
    <rSty>
      <rpv i="2">1</rpv>
    </rSty>
    <rSty dxfid="5">
      <rpv i="0">#,##0</rpv>
    </rSty>
    <rSty dxfid="4"/>
    <rSty dxfid="0">
      <rpv i="0">_([$$-en-US]* #,##0_);_([$$-en-US]* (#,##0);_([$$-en-US]* "-"_);_(@_)</rpv>
    </rSty>
    <rSty dxfid="3"/>
    <rSty dxfid="7">
      <rpv i="0">0</rpv>
    </rSty>
    <rSty dxfid="2">
      <rpv i="0">0.00</rpv>
    </rSty>
    <rSty dxfid="1"/>
    <rSty dxfid="0">
      <rpv i="0">_([$€-x-euro2] * #,##0.00_);_([$€-x-euro2] * (#,##0.00);_([$€-x-euro2] * "-"??_);_(@_)</rpv>
    </rSty>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3" dT="2025-02-26T18:55:21.53" personId="{8FC7388A-B149-40B4-B48E-70DCA56CA41C}" id="{F181CA52-3FA2-4A33-A10A-F8557979E99E}">
    <text>Chipotle does not have any Intangibles in its Balance Sheet, except for Goodwill. Hence Depreciation and Amortization are forecasted only as % of PP&amp;E.</text>
  </threadedComment>
  <threadedComment ref="B136" dT="2025-02-26T18:54:39.98" personId="{8FC7388A-B149-40B4-B48E-70DCA56CA41C}" id="{09FBD5D3-DB71-4C02-AAFC-390A71135619}">
    <text xml:space="preserve">Forecasted based on net number of stores opening </text>
  </threadedComment>
  <threadedComment ref="B153" dT="2025-02-26T17:14:37.81" personId="{8FC7388A-B149-40B4-B48E-70DCA56CA41C}" id="{7108947B-CDC6-47AE-A0CF-2F2C9EE87BE4}">
    <text>Payment for Right of Use Assets are recognized as occupancy costs under SG&amp;A expenses.</text>
  </threadedComment>
  <threadedComment ref="B156" dT="2025-02-26T17:14:37.81" personId="{8FC7388A-B149-40B4-B48E-70DCA56CA41C}" id="{09510399-1EC3-4497-9B7B-3FADD1B15FC6}">
    <text>Payment for Right of Use Assets are recognized as occupancy costs under SG&amp;A expenses.</text>
  </threadedComment>
  <threadedComment ref="B158" dT="2025-02-26T17:14:37.81" personId="{8FC7388A-B149-40B4-B48E-70DCA56CA41C}" id="{2CC502B1-1A85-490F-BDEF-A43C1E9B03D3}">
    <text>Payment for Right of Use Assets are recognized as occupancy costs under SG&amp;A expenses.</text>
  </threadedComment>
  <threadedComment ref="B165" dT="2025-02-26T17:14:37.81" personId="{8FC7388A-B149-40B4-B48E-70DCA56CA41C}" id="{4C49758A-C167-43CC-A0E6-1EADC7107D50}">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elite.finviz.com/quote.ashx?t=ADBE&amp;p=m&amp;ty=ea"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www.sec.gov/ix?doc=/Archives/edgar/data/0000796343/000079634325000004/adbe-20241129.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abSelected="1" topLeftCell="H115" zoomScale="47" zoomScaleNormal="100" workbookViewId="0">
      <selection activeCell="U26" sqref="U26"/>
    </sheetView>
  </sheetViews>
  <sheetFormatPr defaultColWidth="15.625" defaultRowHeight="14.1"/>
  <cols>
    <col min="1" max="1" width="11.625" style="519" customWidth="1"/>
    <col min="2" max="2" width="0.625" style="517" customWidth="1"/>
    <col min="3" max="3" width="2.375" style="515" customWidth="1"/>
    <col min="4" max="4" width="11.875" style="515" customWidth="1"/>
    <col min="5" max="5" width="13.375" style="515" customWidth="1"/>
    <col min="6" max="9" width="12.625" style="515" customWidth="1"/>
    <col min="10" max="10" width="4" style="515" customWidth="1"/>
    <col min="11" max="12" width="12.625" style="515" customWidth="1"/>
    <col min="13" max="13" width="3.625" style="515" customWidth="1"/>
    <col min="14" max="18" width="12.625" style="515" customWidth="1"/>
    <col min="19" max="19" width="3.875" style="567" customWidth="1"/>
    <col min="20" max="20" width="4" style="515" customWidth="1"/>
    <col min="21" max="21" width="27.125" style="515" customWidth="1"/>
    <col min="22" max="22" width="9.875" style="515" customWidth="1"/>
    <col min="23" max="16384" width="15.625" style="515"/>
  </cols>
  <sheetData>
    <row r="1" spans="1:22" ht="24.75" customHeight="1">
      <c r="A1" s="642"/>
      <c r="B1" s="643"/>
      <c r="C1" s="414"/>
      <c r="D1" s="414"/>
      <c r="E1" s="414"/>
      <c r="F1" s="414"/>
      <c r="G1" s="414"/>
      <c r="H1" s="414"/>
      <c r="I1" s="414"/>
      <c r="J1" s="414"/>
      <c r="K1" s="414"/>
      <c r="L1" s="414"/>
      <c r="M1" s="414"/>
      <c r="N1" s="414"/>
      <c r="O1" s="414"/>
      <c r="P1" s="414"/>
      <c r="Q1" s="414"/>
      <c r="R1" s="414"/>
      <c r="S1" s="414"/>
      <c r="T1" s="414"/>
      <c r="U1" s="414"/>
      <c r="V1" s="414"/>
    </row>
    <row r="2" spans="1:22" ht="24" customHeight="1">
      <c r="A2" s="642"/>
      <c r="B2" s="643"/>
      <c r="C2" s="414"/>
      <c r="D2" s="414"/>
      <c r="E2" s="676" t="s">
        <v>0</v>
      </c>
      <c r="F2" s="414"/>
      <c r="G2" s="414"/>
      <c r="H2" s="414"/>
      <c r="I2" s="414"/>
      <c r="J2" s="414"/>
      <c r="K2" s="414"/>
      <c r="L2" s="414"/>
      <c r="M2" s="414"/>
      <c r="N2" s="414"/>
      <c r="O2" s="414"/>
      <c r="P2" s="414"/>
      <c r="Q2" s="414"/>
      <c r="R2" s="414"/>
      <c r="S2" s="414"/>
      <c r="T2" s="414"/>
      <c r="U2" s="584" t="s">
        <v>1</v>
      </c>
      <c r="V2" s="414"/>
    </row>
    <row r="3" spans="1:22">
      <c r="A3" s="642"/>
      <c r="B3" s="643"/>
      <c r="C3" s="414"/>
      <c r="D3" s="414"/>
      <c r="E3" s="414"/>
      <c r="F3" s="414"/>
      <c r="G3" s="414"/>
      <c r="H3" s="414"/>
      <c r="I3" s="414"/>
      <c r="J3" s="414"/>
      <c r="K3" s="414"/>
      <c r="L3" s="414"/>
      <c r="M3" s="414"/>
      <c r="N3" s="414"/>
      <c r="O3" s="414"/>
      <c r="P3" s="414"/>
      <c r="Q3" s="414"/>
      <c r="R3" s="414"/>
      <c r="S3" s="414"/>
      <c r="T3" s="414"/>
      <c r="U3" s="572" t="s">
        <v>2</v>
      </c>
      <c r="V3" s="414"/>
    </row>
    <row r="4" spans="1:22">
      <c r="A4" s="642"/>
      <c r="B4" s="643"/>
      <c r="C4" s="414"/>
      <c r="D4" s="414"/>
      <c r="E4" s="414"/>
      <c r="F4" s="414"/>
      <c r="G4" s="414"/>
      <c r="H4" s="414"/>
      <c r="I4" s="414"/>
      <c r="J4" s="414"/>
      <c r="K4" s="414"/>
      <c r="L4" s="414"/>
      <c r="M4" s="414"/>
      <c r="N4" s="414"/>
      <c r="O4" s="414"/>
      <c r="P4" s="414"/>
      <c r="Q4" s="414"/>
      <c r="R4" s="414"/>
      <c r="S4" s="414"/>
      <c r="T4" s="414"/>
      <c r="U4" s="572"/>
      <c r="V4" s="414"/>
    </row>
    <row r="5" spans="1:22">
      <c r="A5" s="642"/>
      <c r="B5" s="643"/>
      <c r="C5" s="414"/>
      <c r="D5" s="414"/>
      <c r="E5" s="414"/>
      <c r="F5" s="414"/>
      <c r="G5" s="414"/>
      <c r="H5" s="414"/>
      <c r="I5"/>
      <c r="J5" s="414"/>
      <c r="K5" s="414"/>
      <c r="L5" s="414"/>
      <c r="M5" s="414"/>
      <c r="N5" s="414"/>
      <c r="O5" s="414"/>
      <c r="P5" s="414"/>
      <c r="Q5" s="414"/>
      <c r="R5" s="414"/>
      <c r="S5" s="414"/>
      <c r="T5" s="414"/>
      <c r="U5" s="414"/>
      <c r="V5" s="414"/>
    </row>
    <row r="6" spans="1:22" s="516" customFormat="1" ht="15.95" customHeight="1">
      <c r="A6" s="520"/>
      <c r="B6" s="521"/>
      <c r="D6" s="523" t="str" cm="1">
        <f t="array" aca="1" ref="D6" ca="1">+_FV(DCF!R4,"Name")</f>
        <v>ADOBE INC.</v>
      </c>
      <c r="S6" s="644"/>
      <c r="U6" s="802" t="s">
        <v>3</v>
      </c>
    </row>
    <row r="7" spans="1:22" ht="3.75" customHeight="1">
      <c r="A7" s="642"/>
      <c r="B7" s="643"/>
      <c r="C7" s="414"/>
      <c r="D7" s="414"/>
      <c r="E7" s="414"/>
      <c r="F7" s="414"/>
      <c r="G7" s="414"/>
      <c r="H7" s="414"/>
      <c r="I7" s="414"/>
      <c r="J7" s="414"/>
      <c r="K7" s="414"/>
      <c r="L7" s="414"/>
      <c r="M7" s="414"/>
      <c r="N7" s="414"/>
      <c r="O7" s="414"/>
      <c r="P7" s="414"/>
      <c r="Q7" s="414"/>
      <c r="R7" s="414"/>
      <c r="S7" s="644"/>
      <c r="T7" s="414"/>
      <c r="U7" s="516"/>
      <c r="V7" s="414"/>
    </row>
    <row r="8" spans="1:22" ht="14.25" customHeight="1">
      <c r="A8" s="642"/>
      <c r="B8" s="643"/>
      <c r="C8" s="414"/>
      <c r="D8" s="825" t="s">
        <v>4</v>
      </c>
      <c r="E8" s="825"/>
      <c r="F8" s="825"/>
      <c r="G8" s="825"/>
      <c r="H8" s="825"/>
      <c r="I8" s="825"/>
      <c r="J8" s="825"/>
      <c r="K8" s="825"/>
      <c r="L8" s="825"/>
      <c r="M8" s="825"/>
      <c r="N8" s="825"/>
      <c r="O8" s="825"/>
      <c r="P8" s="825"/>
      <c r="Q8" s="825"/>
      <c r="R8" s="825"/>
      <c r="S8" s="645"/>
      <c r="T8" s="414"/>
      <c r="U8" s="646" t="s">
        <v>5</v>
      </c>
      <c r="V8" s="414"/>
    </row>
    <row r="9" spans="1:22" ht="14.25" customHeight="1">
      <c r="A9" s="642"/>
      <c r="B9" s="643"/>
      <c r="C9" s="414"/>
      <c r="D9" s="825"/>
      <c r="E9" s="825"/>
      <c r="F9" s="825"/>
      <c r="G9" s="825"/>
      <c r="H9" s="825"/>
      <c r="I9" s="825"/>
      <c r="J9" s="825"/>
      <c r="K9" s="825"/>
      <c r="L9" s="825"/>
      <c r="M9" s="825"/>
      <c r="N9" s="825"/>
      <c r="O9" s="825"/>
      <c r="P9" s="825"/>
      <c r="Q9" s="825"/>
      <c r="R9" s="825"/>
      <c r="S9" s="645"/>
      <c r="T9" s="414"/>
      <c r="U9" s="522" t="str" cm="1">
        <f t="array" aca="1" ref="U9" ca="1">+"Price (7 Mar 25): $"&amp;_FV(DCF!$R$4,"Price")</f>
        <v>Price (7 Mar 25): $365.9</v>
      </c>
      <c r="V9" s="414"/>
    </row>
    <row r="10" spans="1:22" ht="20.100000000000001" customHeight="1">
      <c r="A10" s="642"/>
      <c r="B10" s="643"/>
      <c r="C10" s="414"/>
      <c r="D10" s="523" t="s">
        <v>6</v>
      </c>
      <c r="E10" s="647"/>
      <c r="F10" s="647"/>
      <c r="G10" s="647"/>
      <c r="H10" s="647"/>
      <c r="I10" s="647"/>
      <c r="J10" s="647"/>
      <c r="K10" s="647"/>
      <c r="L10" s="647"/>
      <c r="M10" s="647"/>
      <c r="N10" s="647"/>
      <c r="O10" s="647"/>
      <c r="P10" s="647"/>
      <c r="Q10" s="647"/>
      <c r="R10" s="647"/>
      <c r="S10" s="648"/>
      <c r="T10" s="414"/>
      <c r="U10" s="1" t="str">
        <f ca="1">"Price Target: $" &amp; ROUND(IF(Summary!G25="FCFF",DCF!Q208,IF(Summary!G25="FCFE",DCF!Q236,IF(Summary!G25="Tax Shield",DCF!#REF!,DCF!Q267))),2) &amp;" "&amp;IF(Summary!G25="FCFF","(FCFF)",IF(Summary!G25="FCFE","(FCFE)",IF(Summary!G25="Tax Shield","(APV)","(DDM)")))</f>
        <v>Price Target: $669.54 (FCFF)</v>
      </c>
      <c r="V10" s="414"/>
    </row>
    <row r="11" spans="1:22" ht="14.25" customHeight="1">
      <c r="A11" s="642"/>
      <c r="B11" s="643"/>
      <c r="C11" s="414"/>
      <c r="D11" s="825" t="s">
        <v>7</v>
      </c>
      <c r="E11" s="825"/>
      <c r="F11" s="825"/>
      <c r="G11" s="825"/>
      <c r="H11" s="825"/>
      <c r="I11" s="825"/>
      <c r="J11" s="825"/>
      <c r="K11" s="825"/>
      <c r="L11" s="825"/>
      <c r="M11" s="825"/>
      <c r="N11" s="825"/>
      <c r="O11" s="825"/>
      <c r="P11" s="825"/>
      <c r="Q11" s="825"/>
      <c r="R11" s="825"/>
      <c r="S11" s="645"/>
      <c r="T11" s="414"/>
      <c r="U11" s="522" t="str">
        <f ca="1">+"Upside (Downside): "&amp;ROUND((DCF!$Q$211*100),2)&amp;"%"</f>
        <v>Upside (Downside): 82.98%</v>
      </c>
      <c r="V11" s="414"/>
    </row>
    <row r="12" spans="1:22" ht="3.75" customHeight="1">
      <c r="A12" s="642"/>
      <c r="B12" s="643"/>
      <c r="C12" s="414"/>
      <c r="D12" s="825"/>
      <c r="E12" s="825"/>
      <c r="F12" s="825"/>
      <c r="G12" s="825"/>
      <c r="H12" s="825"/>
      <c r="I12" s="825"/>
      <c r="J12" s="825"/>
      <c r="K12" s="825"/>
      <c r="L12" s="825"/>
      <c r="M12" s="825"/>
      <c r="N12" s="825"/>
      <c r="O12" s="825"/>
      <c r="P12" s="825"/>
      <c r="Q12" s="825"/>
      <c r="R12" s="825"/>
      <c r="S12" s="645"/>
      <c r="T12" s="414"/>
      <c r="U12" s="414"/>
      <c r="V12" s="414"/>
    </row>
    <row r="13" spans="1:22" ht="17.25" customHeight="1">
      <c r="A13" s="642"/>
      <c r="B13" s="643"/>
      <c r="C13" s="414"/>
      <c r="D13" s="825"/>
      <c r="E13" s="825"/>
      <c r="F13" s="825"/>
      <c r="G13" s="825"/>
      <c r="H13" s="825"/>
      <c r="I13" s="825"/>
      <c r="J13" s="825"/>
      <c r="K13" s="825"/>
      <c r="L13" s="825"/>
      <c r="M13" s="825"/>
      <c r="N13" s="825"/>
      <c r="O13" s="825"/>
      <c r="P13" s="825"/>
      <c r="Q13" s="825"/>
      <c r="R13" s="825"/>
      <c r="S13" s="645"/>
      <c r="T13" s="414"/>
      <c r="U13" s="414"/>
      <c r="V13" s="414"/>
    </row>
    <row r="14" spans="1:22" ht="15" customHeight="1">
      <c r="A14" s="642"/>
      <c r="B14" s="643"/>
      <c r="C14" s="414"/>
      <c r="D14" s="825"/>
      <c r="E14" s="825"/>
      <c r="F14" s="825"/>
      <c r="G14" s="825"/>
      <c r="H14" s="825"/>
      <c r="I14" s="825"/>
      <c r="J14" s="825"/>
      <c r="K14" s="825"/>
      <c r="L14" s="825"/>
      <c r="M14" s="825"/>
      <c r="N14" s="825"/>
      <c r="O14" s="825"/>
      <c r="P14" s="825"/>
      <c r="Q14" s="825"/>
      <c r="R14" s="825"/>
      <c r="S14" s="645"/>
      <c r="T14" s="414"/>
      <c r="U14" s="649" t="str">
        <f>+Industry!E28&amp;", "&amp;ESG!C9</f>
        <v xml:space="preserve">USA, </v>
      </c>
      <c r="V14" s="643"/>
    </row>
    <row r="15" spans="1:22" ht="15" customHeight="1">
      <c r="A15" s="642"/>
      <c r="B15" s="643"/>
      <c r="C15" s="414"/>
      <c r="D15" s="825"/>
      <c r="E15" s="825"/>
      <c r="F15" s="825"/>
      <c r="G15" s="825"/>
      <c r="H15" s="825"/>
      <c r="I15" s="825"/>
      <c r="J15" s="825"/>
      <c r="K15" s="825"/>
      <c r="L15" s="825"/>
      <c r="M15" s="825"/>
      <c r="N15" s="825"/>
      <c r="O15" s="825"/>
      <c r="P15" s="825"/>
      <c r="Q15" s="825"/>
      <c r="R15" s="825"/>
      <c r="S15" s="645"/>
      <c r="T15" s="414"/>
      <c r="U15" s="649" t="str">
        <f>+ESG!C10</f>
        <v>Software Development</v>
      </c>
      <c r="V15" s="643"/>
    </row>
    <row r="16" spans="1:22" ht="3.75" customHeight="1">
      <c r="A16" s="642"/>
      <c r="B16" s="643"/>
      <c r="C16" s="414"/>
      <c r="D16" s="414"/>
      <c r="E16" s="1"/>
      <c r="F16" s="414"/>
      <c r="G16" s="414"/>
      <c r="H16" s="414"/>
      <c r="I16" s="414"/>
      <c r="J16" s="414"/>
      <c r="K16" s="414"/>
      <c r="L16" s="414"/>
      <c r="M16" s="414"/>
      <c r="N16" s="414"/>
      <c r="O16" s="414"/>
      <c r="P16" s="414"/>
      <c r="Q16" s="414"/>
      <c r="R16" s="414"/>
      <c r="S16" s="644"/>
      <c r="T16" s="414"/>
      <c r="U16" s="650"/>
      <c r="V16" s="414"/>
    </row>
    <row r="17" spans="4:22" ht="14.25" customHeight="1">
      <c r="D17" s="2" t="s">
        <v>8</v>
      </c>
      <c r="E17" s="3"/>
      <c r="F17" s="4">
        <v>2023</v>
      </c>
      <c r="G17" s="9">
        <f>+F17+1</f>
        <v>2024</v>
      </c>
      <c r="H17" s="5">
        <f>+G17+1</f>
        <v>2025</v>
      </c>
      <c r="I17" s="5">
        <f>+H17+1</f>
        <v>2026</v>
      </c>
      <c r="J17" s="414"/>
      <c r="K17" s="7" t="s">
        <v>9</v>
      </c>
      <c r="L17" s="4"/>
      <c r="M17" s="4"/>
      <c r="N17" s="4">
        <v>2022</v>
      </c>
      <c r="O17" s="4">
        <f>+N17+1</f>
        <v>2023</v>
      </c>
      <c r="P17" s="329">
        <f>+O17+1</f>
        <v>2024</v>
      </c>
      <c r="Q17" s="5">
        <f>+P17+1</f>
        <v>2025</v>
      </c>
      <c r="R17" s="5">
        <f>+Q17+1</f>
        <v>2026</v>
      </c>
      <c r="S17" s="568"/>
      <c r="T17" s="414"/>
      <c r="U17" s="651" t="s">
        <v>10</v>
      </c>
      <c r="V17" s="414"/>
    </row>
    <row r="18" spans="4:22" ht="15.6">
      <c r="D18" s="10"/>
      <c r="E18" s="11"/>
      <c r="F18" s="12"/>
      <c r="G18" s="13"/>
      <c r="H18" s="14"/>
      <c r="I18" s="14"/>
      <c r="J18" s="414"/>
      <c r="K18" s="15" t="s">
        <v>11</v>
      </c>
      <c r="L18"/>
      <c r="M18"/>
      <c r="N18" s="353">
        <f ca="1">IFERROR(_xlfn.XLOOKUP($K18,Multiples!$B:$B,Multiples!N:N),"")</f>
        <v>0.66701863001249573</v>
      </c>
      <c r="O18" s="353">
        <f ca="1">IFERROR(_xlfn.XLOOKUP($K18,Multiples!$B:$B,Multiples!O:O),"")</f>
        <v>0.88313743108867016</v>
      </c>
      <c r="P18" s="330">
        <f ca="1">IFERROR(_xlfn.XLOOKUP($K18,Multiples!$B:$B,Multiples!P:P),"")</f>
        <v>9.1579614043245758</v>
      </c>
      <c r="Q18" s="337">
        <f ca="1">IFERROR(_xlfn.XLOOKUP($K18,Multiples!$B:$B,Multiples!Q:Q),"")</f>
        <v>12.668341715532716</v>
      </c>
      <c r="R18" s="337">
        <f ca="1">IFERROR(_xlfn.XLOOKUP($K18,Multiples!$B:$B,Multiples!R:R),"")</f>
        <v>12.303307436861214</v>
      </c>
      <c r="S18" s="569"/>
      <c r="T18" s="414"/>
      <c r="U18" s="414"/>
      <c r="V18" s="414"/>
    </row>
    <row r="19" spans="4:22" ht="15.6">
      <c r="D19" s="10"/>
      <c r="E19" s="11"/>
      <c r="F19" s="12"/>
      <c r="G19" s="13"/>
      <c r="H19" s="14"/>
      <c r="I19" s="14"/>
      <c r="J19" s="414"/>
      <c r="K19" s="18" t="s">
        <v>12</v>
      </c>
      <c r="L19"/>
      <c r="M19"/>
      <c r="N19" s="353">
        <f ca="1">IFERROR(_xlfn.XLOOKUP($K19,Multiples!$B:$B,Multiples!N:N),"")</f>
        <v>0.75011530160172668</v>
      </c>
      <c r="O19" s="353">
        <f ca="1">IFERROR(_xlfn.XLOOKUP($K19,Multiples!$B:$B,Multiples!O:O),"")</f>
        <v>1.0769650368385799</v>
      </c>
      <c r="P19" s="330">
        <f ca="1">IFERROR(_xlfn.XLOOKUP($K19,Multiples!$B:$B,Multiples!P:P),"")</f>
        <v>9.2430578935131358</v>
      </c>
      <c r="Q19" s="337">
        <f ca="1">IFERROR(_xlfn.XLOOKUP($K19,Multiples!$B:$B,Multiples!Q:Q),"")</f>
        <v>13.509842241604398</v>
      </c>
      <c r="R19" s="337">
        <f ca="1">IFERROR(_xlfn.XLOOKUP($K19,Multiples!$B:$B,Multiples!R:R),"")</f>
        <v>13.65886088417056</v>
      </c>
      <c r="S19" s="569"/>
      <c r="T19" s="414"/>
      <c r="U19" s="700"/>
      <c r="V19" s="414"/>
    </row>
    <row r="20" spans="4:22" ht="14.25" customHeight="1">
      <c r="D20" s="10"/>
      <c r="E20" s="11"/>
      <c r="F20" s="19"/>
      <c r="G20" s="20"/>
      <c r="H20" s="21"/>
      <c r="I20" s="21"/>
      <c r="J20" s="414"/>
      <c r="K20" s="22" t="s">
        <v>13</v>
      </c>
      <c r="L20"/>
      <c r="M20"/>
      <c r="N20" s="353">
        <f ca="1">IFERROR(_xlfn.XLOOKUP($K20,Multiples!$B:$B,Multiples!N:N),"")</f>
        <v>1.8984044616876821</v>
      </c>
      <c r="O20" s="353">
        <f ca="1">IFERROR(_xlfn.XLOOKUP($K20,Multiples!$B:$B,Multiples!O:O),"")</f>
        <v>2.5140531534174242</v>
      </c>
      <c r="P20" s="330">
        <f ca="1">IFERROR(_xlfn.XLOOKUP($K20,Multiples!$B:$B,Multiples!P:P),"")</f>
        <v>25.47761448900388</v>
      </c>
      <c r="Q20" s="337">
        <f ca="1">IFERROR(_xlfn.XLOOKUP($K20,Multiples!$B:$B,Multiples!Q:Q),"")</f>
        <v>22.205969718193877</v>
      </c>
      <c r="R20" s="337">
        <f ca="1">IFERROR(_xlfn.XLOOKUP($K20,Multiples!$B:$B,Multiples!R:R),"")</f>
        <v>21.351840393138328</v>
      </c>
      <c r="S20" s="569"/>
      <c r="T20" s="414"/>
      <c r="U20" s="23" t="s">
        <v>14</v>
      </c>
      <c r="V20" s="414"/>
    </row>
    <row r="21" spans="4:22" ht="15.6">
      <c r="D21" s="10"/>
      <c r="E21" s="11"/>
      <c r="F21" s="514"/>
      <c r="G21" s="513"/>
      <c r="H21" s="512"/>
      <c r="I21" s="512"/>
      <c r="J21" s="414"/>
      <c r="K21" s="22" t="s">
        <v>15</v>
      </c>
      <c r="L21"/>
      <c r="M21"/>
      <c r="N21" s="353">
        <f ca="1">IFERROR(_xlfn.XLOOKUP($K21,Multiples!$B:$B,Multiples!N:N),"")</f>
        <v>1.9258002623811086</v>
      </c>
      <c r="O21" s="353">
        <f ca="1">IFERROR(_xlfn.XLOOKUP($K21,Multiples!$B:$B,Multiples!O:O),"")</f>
        <v>2.8827471241170533</v>
      </c>
      <c r="P21" s="330">
        <f ca="1">IFERROR(_xlfn.XLOOKUP($K21,Multiples!$B:$B,Multiples!P:P),"")</f>
        <v>28.654439109559142</v>
      </c>
      <c r="Q21" s="337">
        <f ca="1">IFERROR(_xlfn.XLOOKUP($K21,Multiples!$B:$B,Multiples!Q:Q),"")</f>
        <v>23.694590715555318</v>
      </c>
      <c r="R21" s="337">
        <f ca="1">IFERROR(_xlfn.XLOOKUP($K21,Multiples!$B:$B,Multiples!R:R),"")</f>
        <v>23.074833842794266</v>
      </c>
      <c r="S21" s="569"/>
      <c r="T21" s="414"/>
      <c r="U21" s="700"/>
      <c r="V21" s="414"/>
    </row>
    <row r="22" spans="4:22" ht="15.6">
      <c r="D22" s="10"/>
      <c r="E22" s="11"/>
      <c r="F22" s="12"/>
      <c r="G22" s="13"/>
      <c r="H22" s="14"/>
      <c r="I22" s="14"/>
      <c r="J22" s="414"/>
      <c r="K22" s="18" t="s">
        <v>16</v>
      </c>
      <c r="L22"/>
      <c r="M22"/>
      <c r="N22" s="353">
        <f ca="1">IFERROR(_xlfn.XLOOKUP($K22,Multiples!$B:$B,Multiples!N:N),"")</f>
        <v>2.7768145500420522</v>
      </c>
      <c r="O22" s="353">
        <f ca="1">IFERROR(_xlfn.XLOOKUP($K22,Multiples!$B:$B,Multiples!O:O),"")</f>
        <v>3.8509238025055268</v>
      </c>
      <c r="P22" s="330">
        <f ca="1">IFERROR(_xlfn.XLOOKUP($K22,Multiples!$B:$B,Multiples!P:P),"")</f>
        <v>35.750352517985611</v>
      </c>
      <c r="Q22" s="337">
        <f ca="1">IFERROR(_xlfn.XLOOKUP($K22,Multiples!$B:$B,Multiples!Q:Q),"")</f>
        <v>25.119795311217569</v>
      </c>
      <c r="R22" s="337">
        <f ca="1">IFERROR(_xlfn.XLOOKUP($K22,Multiples!$B:$B,Multiples!R:R),"")</f>
        <v>25.59731138075156</v>
      </c>
      <c r="S22" s="569"/>
      <c r="T22" s="414"/>
      <c r="U22" s="560"/>
      <c r="V22" s="414"/>
    </row>
    <row r="23" spans="4:22" ht="14.25" customHeight="1">
      <c r="D23" s="10"/>
      <c r="E23" s="11"/>
      <c r="F23" s="12"/>
      <c r="G23" s="13"/>
      <c r="H23" s="14"/>
      <c r="I23" s="14"/>
      <c r="J23" s="414"/>
      <c r="K23" s="22" t="s">
        <v>17</v>
      </c>
      <c r="L23"/>
      <c r="M23"/>
      <c r="N23" s="353">
        <f ca="1">IFERROR(_xlfn.XLOOKUP($K23,Multiples!$B:$B,Multiples!N:N),"")</f>
        <v>0.94745175407131077</v>
      </c>
      <c r="O23" s="353">
        <f ca="1">IFERROR(_xlfn.XLOOKUP($K23,Multiples!$B:$B,Multiples!O:O),"")</f>
        <v>1.2537676583493282</v>
      </c>
      <c r="P23" s="330">
        <f ca="1">IFERROR(_xlfn.XLOOKUP($K23,Multiples!$B:$B,Multiples!P:P),"")</f>
        <v>14.730395731436193</v>
      </c>
      <c r="Q23" s="337" t="str">
        <f ca="1">IFERROR(_xlfn.XLOOKUP($K23,Multiples!$B:$B,Multiples!Q:Q),"")</f>
        <v/>
      </c>
      <c r="R23" s="337" t="str">
        <f ca="1">IFERROR(_xlfn.XLOOKUP($K23,Multiples!$B:$B,Multiples!R:R),"")</f>
        <v/>
      </c>
      <c r="S23" s="569"/>
      <c r="T23" s="414"/>
      <c r="U23" s="23" t="s">
        <v>18</v>
      </c>
      <c r="V23" s="414"/>
    </row>
    <row r="24" spans="4:22" ht="15.6">
      <c r="D24"/>
      <c r="E24"/>
      <c r="F24"/>
      <c r="G24"/>
      <c r="H24"/>
      <c r="I24"/>
      <c r="J24"/>
      <c r="K24" s="22"/>
      <c r="L24"/>
      <c r="M24"/>
      <c r="N24"/>
      <c r="O24"/>
      <c r="P24"/>
      <c r="Q24"/>
      <c r="R24"/>
      <c r="S24" s="570"/>
      <c r="T24" s="414"/>
      <c r="U24" s="700"/>
      <c r="V24" s="414"/>
    </row>
    <row r="25" spans="4:22" ht="14.25" customHeight="1">
      <c r="D25" s="28" t="s">
        <v>19</v>
      </c>
      <c r="E25" s="524" t="s">
        <v>20</v>
      </c>
      <c r="F25" s="525" t="s">
        <v>21</v>
      </c>
      <c r="G25" s="525" t="s">
        <v>22</v>
      </c>
      <c r="H25" s="525" t="str">
        <f>+IF(Summary!$G$25="FCFF",DCF!AB6,IF(Summary!$G$25="FCFE",DCF!AC6,DCF!AD6))</f>
        <v>NOPAT</v>
      </c>
      <c r="I25" s="526" t="s">
        <v>23</v>
      </c>
      <c r="J25" s="414"/>
      <c r="K25" s="7" t="s">
        <v>24</v>
      </c>
      <c r="L25" s="4"/>
      <c r="M25" s="4"/>
      <c r="N25" s="4">
        <v>2022</v>
      </c>
      <c r="O25" s="4">
        <f>+N25+1</f>
        <v>2023</v>
      </c>
      <c r="P25" s="329">
        <f>+O25+1</f>
        <v>2024</v>
      </c>
      <c r="Q25" s="5">
        <f>+P25+1</f>
        <v>2025</v>
      </c>
      <c r="R25" s="5">
        <f>+Q25+1</f>
        <v>2026</v>
      </c>
      <c r="S25" s="568"/>
      <c r="T25" s="414"/>
      <c r="U25" s="560"/>
      <c r="V25" s="414"/>
    </row>
    <row r="26" spans="4:22" ht="15.6">
      <c r="D26" s="29">
        <v>2022</v>
      </c>
      <c r="E26" s="527">
        <f>+DCF!E30</f>
        <v>17606</v>
      </c>
      <c r="F26" s="528">
        <f>+DCF!E60</f>
        <v>0.34635919572872886</v>
      </c>
      <c r="G26" s="529">
        <f>+INDEX(DCF!X7:AA7,MATCH(Summary!$G$25,{"FCFF","FCFE","Tax Shield","Total Payout"},0))</f>
        <v>8662.8478162450065</v>
      </c>
      <c r="H26" s="529">
        <f>+IF(Summary!$G$25="FCFF",DCF!AB7,IF(Summary!$G$25="FCFE",DCF!AC7,DCF!AD7))</f>
        <v>6076.8478162450065</v>
      </c>
      <c r="I26" s="530">
        <f>+DCF!E134</f>
        <v>-442</v>
      </c>
      <c r="J26" s="414"/>
      <c r="K26" s="22" t="s">
        <v>25</v>
      </c>
      <c r="L26"/>
      <c r="M26"/>
      <c r="N26" s="804">
        <f>IFERROR(_xlfn.XLOOKUP($K26,Multiples!$B:$B,Multiples!N:N),"")</f>
        <v>0.17507822565801584</v>
      </c>
      <c r="O26" s="804">
        <f>IFERROR(_xlfn.XLOOKUP($K26,Multiples!$B:$B,Multiples!O:O),"")</f>
        <v>0.18215376354911239</v>
      </c>
      <c r="P26" s="348">
        <f>IFERROR(_xlfn.XLOOKUP($K26,Multiples!$B:$B,Multiples!P:P),"")</f>
        <v>0.18532097860142657</v>
      </c>
      <c r="Q26" s="349">
        <f>IFERROR(_xlfn.XLOOKUP($K26,Multiples!$B:$B,Multiples!Q:Q),"")</f>
        <v>0.2573039405256165</v>
      </c>
      <c r="R26" s="349">
        <f>IFERROR(_xlfn.XLOOKUP($K26,Multiples!$B:$B,Multiples!R:R),"")</f>
        <v>0.27311255875600698</v>
      </c>
      <c r="S26" s="569"/>
      <c r="T26" s="414"/>
      <c r="U26" s="23" t="s">
        <v>26</v>
      </c>
      <c r="V26" s="414"/>
    </row>
    <row r="27" spans="4:22" ht="14.25" customHeight="1">
      <c r="D27" s="29">
        <f t="shared" ref="D27:D33" si="0">+D26+1</f>
        <v>2023</v>
      </c>
      <c r="E27" s="531">
        <f>+DCF!F30</f>
        <v>19409</v>
      </c>
      <c r="F27" s="532">
        <f>+DCF!F60</f>
        <v>0.30635272296357358</v>
      </c>
      <c r="G27" s="533">
        <f>+INDEX(DCF!X8:AA8,MATCH(Summary!$G$25,{"FCFF","FCFE","Tax Shield","Total Payout"},0))</f>
        <v>0</v>
      </c>
      <c r="H27" s="534">
        <f>+IF(Summary!$G$25="FCFF",DCF!AB8,IF(Summary!$G$25="FCFE",DCF!AC8,DCF!AD8))</f>
        <v>0</v>
      </c>
      <c r="I27" s="530">
        <f>+DCF!F134</f>
        <v>-360</v>
      </c>
      <c r="J27" s="414"/>
      <c r="K27" s="22" t="s">
        <v>27</v>
      </c>
      <c r="L27"/>
      <c r="M27"/>
      <c r="N27" s="804">
        <f>IFERROR(_xlfn.XLOOKUP($K27,Multiples!$B:$B,Multiples!N:N),"")</f>
        <v>0.34120094698328429</v>
      </c>
      <c r="O27" s="804">
        <f>IFERROR(_xlfn.XLOOKUP($K27,Multiples!$B:$B,Multiples!O:O),"")</f>
        <v>0.32557581573896355</v>
      </c>
      <c r="P27" s="348">
        <f>IFERROR(_xlfn.XLOOKUP($K27,Multiples!$B:$B,Multiples!P:P),"")</f>
        <v>0.41203497850896698</v>
      </c>
      <c r="Q27" s="349"/>
      <c r="R27" s="349">
        <f>IFERROR(_xlfn.XLOOKUP($K27,Multiples!$B:$B,Multiples!R:R),"")</f>
        <v>-1.1790120460945804E-11</v>
      </c>
      <c r="S27" s="569"/>
      <c r="T27" s="414"/>
      <c r="U27" s="700"/>
      <c r="V27" s="414"/>
    </row>
    <row r="28" spans="4:22" ht="15.6">
      <c r="D28" s="372">
        <f t="shared" si="0"/>
        <v>2024</v>
      </c>
      <c r="E28" s="535">
        <f>+DCF!G30</f>
        <v>21505</v>
      </c>
      <c r="F28" s="536">
        <f>+DCF!G60</f>
        <v>0.31960009300162751</v>
      </c>
      <c r="G28" s="537">
        <f>+INDEX(DCF!X9:AA9,MATCH(Summary!$G$25,{"FCFF","FCFE","Tax Shield","Total Payout"},0))</f>
        <v>9504.3855230125519</v>
      </c>
      <c r="H28" s="538">
        <f>+IF(Summary!$G$25="FCFF",DCF!AB9,IF(Summary!$G$25="FCFE",DCF!AC9,DCF!AD9))</f>
        <v>6853.3855230125519</v>
      </c>
      <c r="I28" s="562">
        <f>+DCF!G134</f>
        <v>-183</v>
      </c>
      <c r="J28" s="414"/>
      <c r="K28" s="110" t="s">
        <v>28</v>
      </c>
      <c r="L28"/>
      <c r="M28"/>
      <c r="N28" s="804">
        <f>IFERROR(_xlfn.XLOOKUP($K28,Multiples!$B:$B,Multiples!N:N),"")</f>
        <v>0.25992057972527405</v>
      </c>
      <c r="O28" s="804">
        <f>IFERROR(_xlfn.XLOOKUP($K28,Multiples!$B:$B,Multiples!O:O),"")</f>
        <v>0.22874928430107241</v>
      </c>
      <c r="P28" s="348">
        <f>IFERROR(_xlfn.XLOOKUP($K28,Multiples!$B:$B,Multiples!P:P),"")</f>
        <v>0.28201906922492481</v>
      </c>
      <c r="Q28" s="349">
        <f ca="1">IFERROR(_xlfn.XLOOKUP($K28,Multiples!$B:$B,Multiples!Q:Q),"")</f>
        <v>-1.1008110187869773E-11</v>
      </c>
      <c r="R28" s="349">
        <f ca="1">IFERROR(_xlfn.XLOOKUP($K28,Multiples!$B:$B,Multiples!R:R),"")</f>
        <v>-1.1745970960830717E-11</v>
      </c>
      <c r="S28" s="569"/>
      <c r="T28" s="414"/>
      <c r="U28" s="560"/>
      <c r="V28" s="652"/>
    </row>
    <row r="29" spans="4:22" ht="15.6">
      <c r="D29" s="30">
        <f t="shared" si="0"/>
        <v>2025</v>
      </c>
      <c r="E29" s="539">
        <f>+DCF!H30</f>
        <v>23001.039195082147</v>
      </c>
      <c r="F29" s="540">
        <f>+DCF!H60</f>
        <v>0.53465121502250923</v>
      </c>
      <c r="G29" s="541">
        <f ca="1">+INDEX(DCF!X10:AA10,MATCH(Summary!$G$25,{"FCFF","FCFE","Tax Shield","Total Payout"},0))</f>
        <v>17212.553154251265</v>
      </c>
      <c r="H29" s="539">
        <f ca="1">+IF(Summary!$G$25="FCFF",DCF!AB10,IF(Summary!$G$25="FCFE",DCF!AC10,DCF!AD10))</f>
        <v>12259.461637303868</v>
      </c>
      <c r="I29" s="683">
        <f>+DCF!H134</f>
        <v>-1242.3248357845821</v>
      </c>
      <c r="J29" s="414"/>
      <c r="K29" s="31" t="s">
        <v>29</v>
      </c>
      <c r="L29"/>
      <c r="M29"/>
      <c r="N29" s="804">
        <f>IFERROR(_xlfn.XLOOKUP($K29,Multiples!$B:$B,Multiples!N:N),"")</f>
        <v>0.3513574917641713</v>
      </c>
      <c r="O29" s="804">
        <f>IFERROR(_xlfn.XLOOKUP($K29,Multiples!$B:$B,Multiples!O:O),"")</f>
        <v>0.35128033386573237</v>
      </c>
      <c r="P29" s="348">
        <f>IFERROR(_xlfn.XLOOKUP($K29,Multiples!$B:$B,Multiples!P:P),"")</f>
        <v>0.35945129039758195</v>
      </c>
      <c r="Q29" s="349">
        <f>IFERROR(_xlfn.XLOOKUP($K29,Multiples!$B:$B,Multiples!Q:Q),"")</f>
        <v>0.57049261420694641</v>
      </c>
      <c r="R29" s="349">
        <f>IFERROR(_xlfn.XLOOKUP($K29,Multiples!$B:$B,Multiples!R:R),"")</f>
        <v>0.57621765666696501</v>
      </c>
      <c r="S29" s="569"/>
      <c r="T29" s="414"/>
      <c r="U29" s="414"/>
      <c r="V29" s="414"/>
    </row>
    <row r="30" spans="4:22" ht="15.6">
      <c r="D30" s="30">
        <f t="shared" si="0"/>
        <v>2026</v>
      </c>
      <c r="E30" s="539">
        <f>+DCF!I30</f>
        <v>24606.890858777973</v>
      </c>
      <c r="F30" s="540">
        <f>+DCF!I60</f>
        <v>0.53319159395391491</v>
      </c>
      <c r="G30" s="541">
        <f ca="1">+INDEX(DCF!X11:AA11,MATCH(Summary!$G$25,{"FCFF","FCFE","Tax Shield","Total Payout"},0))</f>
        <v>14132.393962060347</v>
      </c>
      <c r="H30" s="539">
        <f ca="1">+IF(Summary!$G$25="FCFF",DCF!AB11,IF(Summary!$G$25="FCFE",DCF!AC11,DCF!AD11))</f>
        <v>13081.199036858068</v>
      </c>
      <c r="I30" s="683">
        <f>+DCF!I134</f>
        <v>-1333.3023006221308</v>
      </c>
      <c r="J30" s="414"/>
      <c r="K30" s="18" t="s">
        <v>21</v>
      </c>
      <c r="L30"/>
      <c r="M30"/>
      <c r="N30" s="804">
        <f>IFERROR(_xlfn.XLOOKUP($K30,Multiples!$B:$B,Multiples!N:N),"")</f>
        <v>0.34635919572872886</v>
      </c>
      <c r="O30" s="804">
        <f>IFERROR(_xlfn.XLOOKUP($K30,Multiples!$B:$B,Multiples!O:O),"")</f>
        <v>0.30635272296357358</v>
      </c>
      <c r="P30" s="348">
        <f>IFERROR(_xlfn.XLOOKUP($K30,Multiples!$B:$B,Multiples!P:P),"")</f>
        <v>0.31960009300162751</v>
      </c>
      <c r="Q30" s="349">
        <f>IFERROR(_xlfn.XLOOKUP($K30,Multiples!$B:$B,Multiples!Q:Q),"")</f>
        <v>0.53465121502250923</v>
      </c>
      <c r="R30" s="349">
        <f>IFERROR(_xlfn.XLOOKUP($K30,Multiples!$B:$B,Multiples!R:R),"")</f>
        <v>0.53319159395391491</v>
      </c>
      <c r="S30" s="569"/>
      <c r="T30" s="414"/>
      <c r="U30" s="675" t="s">
        <v>30</v>
      </c>
      <c r="V30" s="643"/>
    </row>
    <row r="31" spans="4:22" ht="14.25" customHeight="1">
      <c r="D31" s="30">
        <f t="shared" si="0"/>
        <v>2027</v>
      </c>
      <c r="E31" s="539">
        <f>+DCF!J30</f>
        <v>26330.095338820473</v>
      </c>
      <c r="F31" s="540">
        <f>+DCF!J60</f>
        <v>0.51800526343605113</v>
      </c>
      <c r="G31" s="541">
        <f ca="1">+INDEX(DCF!X12:AA12,MATCH(Summary!$G$25,{"FCFF","FCFE","Tax Shield","Total Payout"},0))</f>
        <v>14676.143525627307</v>
      </c>
      <c r="H31" s="539">
        <f ca="1">+IF(Summary!$G$25="FCFF",DCF!AB12,IF(Summary!$G$25="FCFE",DCF!AC12,DCF!AD12))</f>
        <v>13598.568060923786</v>
      </c>
      <c r="I31" s="683">
        <f>+DCF!J134</f>
        <v>-1430.6333685675463</v>
      </c>
      <c r="J31" s="414"/>
      <c r="K31" s="18" t="s">
        <v>31</v>
      </c>
      <c r="L31"/>
      <c r="M31"/>
      <c r="N31" s="804">
        <f>IFERROR(_xlfn.XLOOKUP($K31,Multiples!$B:$B,Multiples!N:N),"")</f>
        <v>0.87703055776439853</v>
      </c>
      <c r="O31" s="804">
        <f>IFERROR(_xlfn.XLOOKUP($K31,Multiples!$B:$B,Multiples!O:O),"")</f>
        <v>0.87871605955999799</v>
      </c>
      <c r="P31" s="348">
        <f>IFERROR(_xlfn.XLOOKUP($K31,Multiples!$B:$B,Multiples!P:P),"")</f>
        <v>0.88198093466635663</v>
      </c>
      <c r="Q31" s="349">
        <f>IFERROR(_xlfn.XLOOKUP($K31,Multiples!$B:$B,Multiples!Q:Q),"")</f>
        <v>0.87924251733025105</v>
      </c>
      <c r="R31" s="349">
        <f>IFERROR(_xlfn.XLOOKUP($K31,Multiples!$B:$B,Multiples!R:R),"")</f>
        <v>0.8799798371855353</v>
      </c>
      <c r="S31" s="569"/>
      <c r="T31" s="414"/>
      <c r="U31" s="25" t="s">
        <v>32</v>
      </c>
      <c r="V31" s="34">
        <f ca="1">Peers!D73</f>
        <v>1.4977</v>
      </c>
    </row>
    <row r="32" spans="4:22" ht="14.25" customHeight="1">
      <c r="D32" s="30">
        <f t="shared" si="0"/>
        <v>2028</v>
      </c>
      <c r="E32" s="539">
        <f>+DCF!K30</f>
        <v>28178.877092163701</v>
      </c>
      <c r="F32" s="540">
        <f>+DCF!K60</f>
        <v>0.51876898600277255</v>
      </c>
      <c r="G32" s="541">
        <f ca="1">+INDEX(DCF!X13:AA13,MATCH(Summary!$G$25,{"FCFF","FCFE","Tax Shield","Total Payout"},0))</f>
        <v>17527.700046160033</v>
      </c>
      <c r="H32" s="539">
        <f ca="1">+IF(Summary!$G$25="FCFF",DCF!AB13,IF(Summary!$G$25="FCFE",DCF!AC13,DCF!AD13))</f>
        <v>14574.271181951168</v>
      </c>
      <c r="I32" s="683">
        <f>+DCF!K134</f>
        <v>-1535.0696044729771</v>
      </c>
      <c r="J32" s="414"/>
      <c r="K32" s="18" t="s">
        <v>33</v>
      </c>
      <c r="L32"/>
      <c r="M32"/>
      <c r="N32" s="804">
        <f>IFERROR(_xlfn.XLOOKUP($K32,Multiples!$B:$B,Multiples!N:N),"")</f>
        <v>0.29364989208224468</v>
      </c>
      <c r="O32" s="804">
        <f>IFERROR(_xlfn.XLOOKUP($K32,Multiples!$B:$B,Multiples!O:O),"")</f>
        <v>0.34849811942913084</v>
      </c>
      <c r="P32" s="348">
        <f>IFERROR(_xlfn.XLOOKUP($K32,Multiples!$B:$B,Multiples!P:P),"")</f>
        <v>0.26803069053708439</v>
      </c>
      <c r="Q32" s="349">
        <f>IFERROR(_xlfn.XLOOKUP($K32,Multiples!$B:$B,Multiples!Q:Q),"")</f>
        <v>0.17</v>
      </c>
      <c r="R32" s="349">
        <f>IFERROR(_xlfn.XLOOKUP($K32,Multiples!$B:$B,Multiples!R:R),"")</f>
        <v>0.26217626998873839</v>
      </c>
      <c r="S32" s="569"/>
      <c r="T32" s="414"/>
      <c r="U32" s="35" t="s">
        <v>34</v>
      </c>
      <c r="V32" s="32">
        <v>0.12770000000000001</v>
      </c>
    </row>
    <row r="33" spans="4:30" ht="14.25" customHeight="1">
      <c r="D33" s="30">
        <f t="shared" si="0"/>
        <v>2029</v>
      </c>
      <c r="E33" s="539">
        <f>+DCF!L30</f>
        <v>30162.062745757903</v>
      </c>
      <c r="F33" s="540">
        <f>+DCF!L60</f>
        <v>0.51435355916555547</v>
      </c>
      <c r="G33" s="541">
        <f ca="1">+INDEX(DCF!X14:AA14,MATCH(Summary!$G$25,{"FCFF","FCFE","Tax Shield","Total Payout"},0))</f>
        <v>17742.679478519</v>
      </c>
      <c r="H33" s="539">
        <f ca="1">+IF(Summary!$G$25="FCFF",DCF!AB14,IF(Summary!$G$25="FCFE",DCF!AC14,DCF!AD14))</f>
        <v>15467.633465090345</v>
      </c>
      <c r="I33" s="683">
        <f>+DCF!L134</f>
        <v>-1647.1296855995045</v>
      </c>
      <c r="J33" s="414"/>
      <c r="K33" s="18" t="s">
        <v>35</v>
      </c>
      <c r="L33"/>
      <c r="M33"/>
      <c r="N33" s="804">
        <f>IFERROR(_xlfn.XLOOKUP($K33,Multiples!$B:$B,Multiples!N:N),"")</f>
        <v>0.27013518118823127</v>
      </c>
      <c r="O33" s="804">
        <f>IFERROR(_xlfn.XLOOKUP($K33,Multiples!$B:$B,Multiples!O:O),"")</f>
        <v>0.27966407336802512</v>
      </c>
      <c r="P33" s="348">
        <f>IFERROR(_xlfn.XLOOKUP($K33,Multiples!$B:$B,Multiples!P:P),"")</f>
        <v>0.25854452452917925</v>
      </c>
      <c r="Q33" s="349">
        <f>IFERROR(_xlfn.XLOOKUP($K33,Multiples!$B:$B,Multiples!Q:Q),"")</f>
        <v>0.53781657351210199</v>
      </c>
      <c r="R33" s="349">
        <f>IFERROR(_xlfn.XLOOKUP($K33,Multiples!$B:$B,Multiples!R:R),"")</f>
        <v>0.53360529475144924</v>
      </c>
      <c r="S33" s="569"/>
      <c r="T33" s="414"/>
      <c r="U33" s="25" t="s">
        <v>36</v>
      </c>
      <c r="V33" s="32">
        <v>2.3E-3</v>
      </c>
      <c r="W33" s="414"/>
      <c r="X33" s="414"/>
      <c r="Y33" s="414"/>
      <c r="Z33" s="414"/>
      <c r="AA33" s="414"/>
      <c r="AB33" s="414"/>
      <c r="AC33" s="414"/>
      <c r="AD33" s="414"/>
    </row>
    <row r="34" spans="4:30" ht="14.25" customHeight="1">
      <c r="D34" s="414"/>
      <c r="E34" s="414"/>
      <c r="F34" s="414"/>
      <c r="G34" s="414"/>
      <c r="H34" s="414"/>
      <c r="I34" s="414"/>
      <c r="J34" s="414"/>
      <c r="K34" s="414"/>
      <c r="L34" s="414"/>
      <c r="M34" s="414"/>
      <c r="N34" s="414"/>
      <c r="O34" s="414"/>
      <c r="P34" s="414"/>
      <c r="Q34" s="414"/>
      <c r="R34" s="414"/>
      <c r="S34" s="644"/>
      <c r="T34" s="414"/>
      <c r="U34" s="25" t="s">
        <v>37</v>
      </c>
      <c r="V34" s="32">
        <v>0.87</v>
      </c>
      <c r="W34" s="414"/>
      <c r="X34" s="414"/>
      <c r="Y34" s="414"/>
      <c r="Z34" s="414"/>
      <c r="AA34" s="414"/>
      <c r="AB34" s="414"/>
      <c r="AC34" s="414"/>
      <c r="AD34" s="414"/>
    </row>
    <row r="35" spans="4:30" ht="14.25" customHeight="1">
      <c r="D35" s="7" t="s">
        <v>38</v>
      </c>
      <c r="E35" s="4"/>
      <c r="F35" s="4"/>
      <c r="G35" s="4"/>
      <c r="H35" s="4"/>
      <c r="I35" s="4"/>
      <c r="J35" s="414"/>
      <c r="K35" s="7" t="s">
        <v>39</v>
      </c>
      <c r="L35" s="4"/>
      <c r="M35" s="4"/>
      <c r="N35" s="4">
        <v>2022</v>
      </c>
      <c r="O35" s="4">
        <f>+N35+1</f>
        <v>2023</v>
      </c>
      <c r="P35" s="329">
        <f>+O35+1</f>
        <v>2024</v>
      </c>
      <c r="Q35" s="5">
        <f>+P35+1</f>
        <v>2025</v>
      </c>
      <c r="R35" s="5">
        <f>+Q35+1</f>
        <v>2026</v>
      </c>
      <c r="S35" s="568"/>
      <c r="T35" s="414"/>
      <c r="U35" s="36" t="s">
        <v>40</v>
      </c>
      <c r="V35" s="547">
        <v>1.89E-2</v>
      </c>
      <c r="W35" s="414"/>
      <c r="X35" s="414"/>
      <c r="Y35" s="414"/>
      <c r="Z35" s="414"/>
      <c r="AA35" s="414"/>
      <c r="AB35" s="414"/>
      <c r="AC35" s="414"/>
      <c r="AD35" s="414"/>
    </row>
    <row r="36" spans="4:30" ht="14.25" customHeight="1">
      <c r="D36" s="543" t="s">
        <v>41</v>
      </c>
      <c r="E36" s="543"/>
      <c r="F36" s="544"/>
      <c r="G36" s="543" t="s">
        <v>42</v>
      </c>
      <c r="H36" s="543"/>
      <c r="I36" s="543"/>
      <c r="J36" s="414"/>
      <c r="K36" s="33" t="s">
        <v>43</v>
      </c>
      <c r="L36"/>
      <c r="M36"/>
      <c r="N36" s="353">
        <f>IFERROR(_xlfn.XLOOKUP($K36,Multiples!$B:$B,Multiples!N:N),"")</f>
        <v>0.52116141732283461</v>
      </c>
      <c r="O36" s="353">
        <f>IFERROR(_xlfn.XLOOKUP($K36,Multiples!$B:$B,Multiples!O:O),"")</f>
        <v>0.86547085201793716</v>
      </c>
      <c r="P36" s="330">
        <f>IFERROR(_xlfn.XLOOKUP($K36,Multiples!$B:$B,Multiples!P:P),"")</f>
        <v>0.72360041821119669</v>
      </c>
      <c r="Q36" s="337">
        <f>IFERROR(_xlfn.XLOOKUP($K36,Multiples!$B:$B,Multiples!Q:Q),"")</f>
        <v>1.7122453546437217</v>
      </c>
      <c r="R36" s="337">
        <f>IFERROR(_xlfn.XLOOKUP($K36,Multiples!$B:$B,Multiples!R:R),"")</f>
        <v>2.6823802979479918</v>
      </c>
      <c r="S36" s="569"/>
      <c r="T36" s="414"/>
      <c r="U36" s="414"/>
      <c r="V36" s="414"/>
      <c r="W36" s="548">
        <v>120.87</v>
      </c>
      <c r="X36" s="414"/>
      <c r="Y36" s="414"/>
      <c r="Z36" s="414"/>
      <c r="AA36" s="414"/>
      <c r="AB36" s="414"/>
      <c r="AC36" s="414"/>
      <c r="AD36" s="414"/>
    </row>
    <row r="37" spans="4:30" ht="15.75" customHeight="1">
      <c r="D37" s="819" t="s">
        <v>44</v>
      </c>
      <c r="E37" s="819"/>
      <c r="F37" s="820"/>
      <c r="G37" s="823" t="s">
        <v>45</v>
      </c>
      <c r="H37" s="819"/>
      <c r="I37" s="819"/>
      <c r="J37" s="414"/>
      <c r="K37" s="18" t="s">
        <v>46</v>
      </c>
      <c r="L37"/>
      <c r="M37"/>
      <c r="N37" s="353">
        <f>IFERROR(_xlfn.XLOOKUP($K37,Multiples!$B:$B,Multiples!N:N),"")</f>
        <v>1.0040600393700787</v>
      </c>
      <c r="O37" s="353">
        <f>IFERROR(_xlfn.XLOOKUP($K37,Multiples!$B:$B,Multiples!O:O),"")</f>
        <v>1.2199733365652647</v>
      </c>
      <c r="P37" s="330">
        <f>IFERROR(_xlfn.XLOOKUP($K37,Multiples!$B:$B,Multiples!P:P),"")</f>
        <v>0.94648797642809623</v>
      </c>
      <c r="Q37" s="337">
        <f>IFERROR(_xlfn.XLOOKUP($K37,Multiples!$B:$B,Multiples!Q:Q),"")</f>
        <v>1.9056776350602522</v>
      </c>
      <c r="R37" s="337">
        <f>IFERROR(_xlfn.XLOOKUP($K37,Multiples!$B:$B,Multiples!R:R),"")</f>
        <v>2.8835673330166149</v>
      </c>
      <c r="S37" s="569"/>
      <c r="T37" s="414"/>
      <c r="U37" s="675" t="s">
        <v>47</v>
      </c>
      <c r="V37" s="643"/>
      <c r="W37" s="548">
        <v>113.63</v>
      </c>
      <c r="X37" s="414"/>
      <c r="Y37" s="414"/>
      <c r="Z37" s="414"/>
      <c r="AA37" s="414"/>
      <c r="AB37" s="414"/>
      <c r="AC37" s="414"/>
      <c r="AD37" s="414"/>
    </row>
    <row r="38" spans="4:30" ht="15.75" customHeight="1">
      <c r="D38" s="821"/>
      <c r="E38" s="821"/>
      <c r="F38" s="822"/>
      <c r="G38" s="824"/>
      <c r="H38" s="821"/>
      <c r="I38" s="821"/>
      <c r="J38" s="414"/>
      <c r="K38" s="18" t="s">
        <v>48</v>
      </c>
      <c r="L38"/>
      <c r="M38"/>
      <c r="N38" s="353">
        <f>IFERROR(_xlfn.XLOOKUP($K38,Multiples!$B:$B,Multiples!N:N),"")</f>
        <v>1.1067913385826771</v>
      </c>
      <c r="O38" s="353">
        <f>IFERROR(_xlfn.XLOOKUP($K38,Multiples!$B:$B,Multiples!O:O),"")</f>
        <v>1.3433523209307963</v>
      </c>
      <c r="P38" s="330">
        <f>IFERROR(_xlfn.XLOOKUP($K38,Multiples!$B:$B,Multiples!P:P),"")</f>
        <v>1.0675791274593669</v>
      </c>
      <c r="Q38" s="337">
        <f>IFERROR(_xlfn.XLOOKUP($K38,Multiples!$B:$B,Multiples!Q:Q),"")</f>
        <v>1.9829280986764994</v>
      </c>
      <c r="R38" s="337">
        <f>IFERROR(_xlfn.XLOOKUP($K38,Multiples!$B:$B,Multiples!R:R),"")</f>
        <v>1.9829280986764994</v>
      </c>
      <c r="S38" s="569"/>
      <c r="T38" s="414"/>
      <c r="U38" s="25" t="s">
        <v>49</v>
      </c>
      <c r="V38" s="17">
        <v>9.6100000000000005E-2</v>
      </c>
      <c r="W38" s="548"/>
      <c r="X38" s="414"/>
      <c r="Y38" s="414"/>
      <c r="Z38" s="414"/>
      <c r="AA38" s="414"/>
      <c r="AB38" s="414"/>
      <c r="AC38" s="414"/>
      <c r="AD38" s="414"/>
    </row>
    <row r="39" spans="4:30" ht="15.75" customHeight="1">
      <c r="D39" s="821"/>
      <c r="E39" s="821"/>
      <c r="F39" s="822"/>
      <c r="G39" s="824"/>
      <c r="H39" s="821"/>
      <c r="I39" s="821"/>
      <c r="J39" s="414"/>
      <c r="K39"/>
      <c r="L39"/>
      <c r="M39"/>
      <c r="N39"/>
      <c r="O39"/>
      <c r="P39"/>
      <c r="Q39"/>
      <c r="R39"/>
      <c r="S39" s="570"/>
      <c r="T39" s="414"/>
      <c r="U39" s="25" t="s">
        <v>50</v>
      </c>
      <c r="V39" s="17">
        <v>9.5000000000000001E-2</v>
      </c>
      <c r="W39" s="548"/>
      <c r="X39" s="414"/>
      <c r="Y39" s="414"/>
      <c r="Z39" s="414"/>
      <c r="AA39" s="414"/>
      <c r="AB39" s="414"/>
      <c r="AC39" s="414"/>
      <c r="AD39" s="414"/>
    </row>
    <row r="40" spans="4:30" ht="14.25" customHeight="1">
      <c r="D40" s="543" t="s">
        <v>51</v>
      </c>
      <c r="E40" s="543"/>
      <c r="F40" s="544"/>
      <c r="G40" s="543" t="s">
        <v>52</v>
      </c>
      <c r="H40" s="543"/>
      <c r="I40" s="543"/>
      <c r="J40" s="414"/>
      <c r="K40" s="7" t="s">
        <v>53</v>
      </c>
      <c r="L40" s="4"/>
      <c r="M40" s="4"/>
      <c r="N40" s="4">
        <v>2022</v>
      </c>
      <c r="O40" s="4">
        <f>+N40+1</f>
        <v>2023</v>
      </c>
      <c r="P40" s="329">
        <f>+O40+1</f>
        <v>2024</v>
      </c>
      <c r="Q40" s="5">
        <f>+P40+1</f>
        <v>2025</v>
      </c>
      <c r="R40" s="5">
        <f>+Q40+1</f>
        <v>2026</v>
      </c>
      <c r="S40" s="568"/>
      <c r="T40" s="414"/>
      <c r="U40" s="25" t="s">
        <v>54</v>
      </c>
      <c r="V40" s="17">
        <v>4.82E-2</v>
      </c>
      <c r="W40" s="548"/>
      <c r="X40" s="414"/>
      <c r="Y40" s="414"/>
      <c r="Z40" s="414"/>
      <c r="AA40" s="414"/>
      <c r="AB40" s="414"/>
      <c r="AC40" s="414"/>
      <c r="AD40" s="414"/>
    </row>
    <row r="41" spans="4:30" ht="14.25" customHeight="1">
      <c r="D41" s="819" t="s">
        <v>55</v>
      </c>
      <c r="E41" s="819"/>
      <c r="F41" s="820"/>
      <c r="G41" s="823" t="s">
        <v>56</v>
      </c>
      <c r="H41" s="819"/>
      <c r="I41" s="819"/>
      <c r="J41" s="414"/>
      <c r="K41" s="22" t="s">
        <v>57</v>
      </c>
      <c r="L41"/>
      <c r="M41"/>
      <c r="N41" s="353">
        <f>IFERROR(_xlfn.XLOOKUP($K41,Multiples!$B:$B,Multiples!N:N),"")</f>
        <v>34.95342496876065</v>
      </c>
      <c r="O41" s="353">
        <f>IFERROR(_xlfn.XLOOKUP($K41,Multiples!$B:$B,Multiples!O:O),"")</f>
        <v>35.918903601422024</v>
      </c>
      <c r="P41" s="330">
        <f>IFERROR(_xlfn.XLOOKUP($K41,Multiples!$B:$B,Multiples!P:P),"")</f>
        <v>29.040455707974886</v>
      </c>
      <c r="Q41" s="337">
        <f>IFERROR(_xlfn.XLOOKUP($K41,Multiples!$B:$B,Multiples!Q:Q),"")</f>
        <v>-14.914648488825634</v>
      </c>
      <c r="R41" s="337">
        <f>IFERROR(_xlfn.XLOOKUP($K41,Multiples!$B:$B,Multiples!R:R),"")</f>
        <v>-12.857736529985942</v>
      </c>
      <c r="S41" s="569"/>
      <c r="T41" s="414"/>
      <c r="U41" s="25" t="s">
        <v>58</v>
      </c>
      <c r="V41" s="17">
        <v>2.5100000000000001E-2</v>
      </c>
      <c r="W41" s="548"/>
      <c r="X41" s="414"/>
      <c r="Y41" s="414"/>
      <c r="Z41" s="414"/>
      <c r="AA41" s="414"/>
      <c r="AB41" s="414"/>
      <c r="AC41" s="414"/>
      <c r="AD41" s="414"/>
    </row>
    <row r="42" spans="4:30" ht="15.75" customHeight="1">
      <c r="D42" s="821"/>
      <c r="E42" s="821"/>
      <c r="F42" s="822"/>
      <c r="G42" s="824"/>
      <c r="H42" s="821"/>
      <c r="I42" s="821"/>
      <c r="J42" s="414"/>
      <c r="K42" s="18" t="s">
        <v>59</v>
      </c>
      <c r="L42"/>
      <c r="M42"/>
      <c r="N42" s="353">
        <f>IFERROR(_xlfn.XLOOKUP($K42,Multiples!$B:$B,Multiples!N:N),"")</f>
        <v>0.60678744577698396</v>
      </c>
      <c r="O42" s="353">
        <f>IFERROR(_xlfn.XLOOKUP($K42,Multiples!$B:$B,Multiples!O:O),"")</f>
        <v>0.74335798411394138</v>
      </c>
      <c r="P42" s="330">
        <f>IFERROR(_xlfn.XLOOKUP($K42,Multiples!$B:$B,Multiples!P:P),"")</f>
        <v>0.69016881827209531</v>
      </c>
      <c r="Q42" s="337">
        <f>IFERROR(_xlfn.XLOOKUP($K42,Multiples!$B:$B,Multiples!Q:Q),"")</f>
        <v>0.67885255678053391</v>
      </c>
      <c r="R42" s="337">
        <f>IFERROR(_xlfn.XLOOKUP($K42,Multiples!$B:$B,Multiples!R:R),"")</f>
        <v>0.87362437351096189</v>
      </c>
      <c r="S42" s="569"/>
      <c r="T42" s="414"/>
      <c r="U42" s="25" t="s">
        <v>60</v>
      </c>
      <c r="V42" s="17">
        <v>1.95E-2</v>
      </c>
      <c r="W42" s="548"/>
      <c r="X42" s="653"/>
      <c r="Y42" s="414"/>
      <c r="Z42" s="414"/>
      <c r="AA42" s="414"/>
      <c r="AB42" s="414"/>
      <c r="AC42" s="414"/>
      <c r="AD42" s="414"/>
    </row>
    <row r="43" spans="4:30" ht="15.75" customHeight="1">
      <c r="D43" s="821"/>
      <c r="E43" s="821"/>
      <c r="F43" s="822"/>
      <c r="G43" s="824"/>
      <c r="H43" s="821"/>
      <c r="I43" s="821"/>
      <c r="J43" s="414"/>
      <c r="K43" s="33" t="s">
        <v>61</v>
      </c>
      <c r="L43"/>
      <c r="M43"/>
      <c r="N43" s="353">
        <f>IFERROR(_xlfn.XLOOKUP($K43,Multiples!$B:$B,Multiples!N:N),"")</f>
        <v>5.0012758356723655E-2</v>
      </c>
      <c r="O43" s="353">
        <f>IFERROR(_xlfn.XLOOKUP($K43,Multiples!$B:$B,Multiples!O:O),"")</f>
        <v>0.39783620925773761</v>
      </c>
      <c r="P43" s="330">
        <f>IFERROR(_xlfn.XLOOKUP($K43,Multiples!$B:$B,Multiples!P:P),"")</f>
        <v>5.8589870903674283E-2</v>
      </c>
      <c r="Q43" s="337">
        <f>IFERROR(_xlfn.XLOOKUP($K43,Multiples!$B:$B,Multiples!Q:Q),"")</f>
        <v>0.93826075227516315</v>
      </c>
      <c r="R43" s="337">
        <f>IFERROR(_xlfn.XLOOKUP($K43,Multiples!$B:$B,Multiples!R:R),"")</f>
        <v>0.93152295122289341</v>
      </c>
      <c r="S43" s="569"/>
      <c r="T43" s="414"/>
      <c r="U43" s="25" t="s">
        <v>62</v>
      </c>
      <c r="V43" s="17">
        <v>1.7999999999999999E-2</v>
      </c>
      <c r="W43" s="548"/>
      <c r="X43" s="414"/>
      <c r="Y43" s="414"/>
      <c r="Z43" s="414"/>
      <c r="AA43" s="414"/>
      <c r="AB43" s="414"/>
      <c r="AC43" s="414"/>
      <c r="AD43" s="414"/>
    </row>
    <row r="44" spans="4:30" ht="15.75" customHeight="1">
      <c r="D44" s="414"/>
      <c r="E44" s="654"/>
      <c r="F44" s="414"/>
      <c r="G44" s="655"/>
      <c r="H44" s="414"/>
      <c r="I44" s="414"/>
      <c r="J44" s="414"/>
      <c r="K44"/>
      <c r="L44"/>
      <c r="M44"/>
      <c r="N44"/>
      <c r="O44"/>
      <c r="P44"/>
      <c r="Q44"/>
      <c r="R44"/>
      <c r="S44" s="570"/>
      <c r="T44" s="414"/>
      <c r="U44" s="25" t="s">
        <v>63</v>
      </c>
      <c r="V44" s="17">
        <v>1.35E-2</v>
      </c>
      <c r="W44" s="548"/>
      <c r="X44" s="414"/>
      <c r="Y44" s="414"/>
      <c r="Z44" s="414"/>
      <c r="AA44" s="414"/>
      <c r="AB44" s="414"/>
      <c r="AC44" s="414"/>
      <c r="AD44" s="414"/>
    </row>
    <row r="45" spans="4:30" ht="14.25" customHeight="1">
      <c r="D45" s="545" t="s">
        <v>64</v>
      </c>
      <c r="E45" s="4"/>
      <c r="F45" s="4"/>
      <c r="G45" s="4" t="s">
        <v>65</v>
      </c>
      <c r="H45" s="4"/>
      <c r="I45" s="4"/>
      <c r="J45" s="414"/>
      <c r="K45" s="7" t="s">
        <v>66</v>
      </c>
      <c r="L45" s="4"/>
      <c r="M45" s="4"/>
      <c r="N45" s="4">
        <v>2022</v>
      </c>
      <c r="O45" s="4">
        <f>+N45+1</f>
        <v>2023</v>
      </c>
      <c r="P45" s="329">
        <f>+O45+1</f>
        <v>2024</v>
      </c>
      <c r="Q45" s="5">
        <f>+P45+1</f>
        <v>2025</v>
      </c>
      <c r="R45" s="5">
        <f>+Q45+1</f>
        <v>2026</v>
      </c>
      <c r="S45" s="568"/>
      <c r="T45" s="414"/>
      <c r="U45" s="25" t="s">
        <v>67</v>
      </c>
      <c r="V45" s="17">
        <v>1.34E-2</v>
      </c>
      <c r="W45" s="548"/>
      <c r="X45" s="414"/>
      <c r="Y45" s="414"/>
      <c r="Z45" s="414"/>
      <c r="AA45" s="414"/>
      <c r="AB45" s="414"/>
      <c r="AC45" s="414"/>
      <c r="AD45" s="414"/>
    </row>
    <row r="46" spans="4:30" ht="14.25" customHeight="1">
      <c r="D46" s="414"/>
      <c r="E46" s="656"/>
      <c r="F46" s="414"/>
      <c r="G46" s="655"/>
      <c r="H46" s="414"/>
      <c r="I46" s="414"/>
      <c r="J46" s="414"/>
      <c r="K46" s="18" t="s">
        <v>68</v>
      </c>
      <c r="L46"/>
      <c r="M46"/>
      <c r="N46" s="353">
        <f>IFERROR(_xlfn.XLOOKUP($K46,Multiples!$B:$B,Multiples!N:N),"")</f>
        <v>332.37678456130283</v>
      </c>
      <c r="O46" s="353">
        <f>IFERROR(_xlfn.XLOOKUP($K46,Multiples!$B:$B,Multiples!O:O),"")</f>
        <v>244.72168905950096</v>
      </c>
      <c r="P46" s="330">
        <f>IFERROR(_xlfn.XLOOKUP($K46,Multiples!$B:$B,Multiples!P:P),"")</f>
        <v>448.79205572847189</v>
      </c>
      <c r="Q46" s="337">
        <f>IFERROR(_xlfn.XLOOKUP($K46,Multiples!$B:$B,Multiples!Q:Q),"")</f>
        <v>-5.4378501495136452E-12</v>
      </c>
      <c r="R46" s="337">
        <f>IFERROR(_xlfn.XLOOKUP($K46,Multiples!$B:$B,Multiples!R:R),"")</f>
        <v>-5.5458283272653781E-12</v>
      </c>
      <c r="S46" s="569"/>
      <c r="T46" s="414"/>
      <c r="U46" s="25" t="s">
        <v>69</v>
      </c>
      <c r="V46" s="17">
        <v>1.29E-2</v>
      </c>
      <c r="W46" s="414"/>
      <c r="X46" s="414"/>
      <c r="Y46"/>
      <c r="Z46" s="414"/>
      <c r="AA46" s="414"/>
      <c r="AB46" s="414"/>
      <c r="AC46" s="414"/>
      <c r="AD46"/>
    </row>
    <row r="47" spans="4:30" ht="15" customHeight="1">
      <c r="D47" s="414"/>
      <c r="E47" s="656"/>
      <c r="F47" s="414"/>
      <c r="G47" s="655"/>
      <c r="H47" s="414"/>
      <c r="I47" s="414"/>
      <c r="J47" s="414"/>
      <c r="K47" s="229" t="s">
        <v>70</v>
      </c>
      <c r="L47" s="414"/>
      <c r="M47" s="414"/>
      <c r="N47" s="353">
        <f>IFERROR(_xlfn.XLOOKUP($K47,Multiples!$B:$B,Multiples!N:N),"")</f>
        <v>0.99700039101008209</v>
      </c>
      <c r="O47" s="353">
        <f>IFERROR(_xlfn.XLOOKUP($K47,Multiples!$B:$B,Multiples!O:O),"")</f>
        <v>0.99593035517610395</v>
      </c>
      <c r="P47" s="330">
        <f>IFERROR(_xlfn.XLOOKUP($K47,Multiples!$B:$B,Multiples!P:P),"")</f>
        <v>0.99777675041774483</v>
      </c>
      <c r="Q47" s="337">
        <f>IFERROR(_xlfn.XLOOKUP($K47,Multiples!$B:$B,Multiples!Q:Q),"")</f>
        <v>-5.4378501495432153E-12</v>
      </c>
      <c r="R47" s="337">
        <f>IFERROR(_xlfn.XLOOKUP($K47,Multiples!$B:$B,Multiples!R:R),"")</f>
        <v>-5.5458283272961349E-12</v>
      </c>
      <c r="S47" s="569"/>
      <c r="T47" s="414"/>
      <c r="U47" s="36" t="s">
        <v>71</v>
      </c>
      <c r="V47" s="559">
        <v>1.2500000000000001E-2</v>
      </c>
      <c r="W47" s="546"/>
      <c r="X47" s="546"/>
      <c r="Y47" s="546"/>
      <c r="Z47" s="546"/>
      <c r="AA47" s="546"/>
      <c r="AB47" s="546"/>
      <c r="AC47" s="414"/>
      <c r="AD47"/>
    </row>
    <row r="48" spans="4:30" ht="14.25" customHeight="1">
      <c r="D48" s="414"/>
      <c r="E48" s="656"/>
      <c r="F48" s="414"/>
      <c r="G48" s="655"/>
      <c r="H48" s="414"/>
      <c r="I48" s="414"/>
      <c r="J48" s="414"/>
      <c r="K48" s="22" t="s">
        <v>72</v>
      </c>
      <c r="L48"/>
      <c r="M48"/>
      <c r="N48" s="353">
        <f>IFERROR(_xlfn.XLOOKUP($K48,Multiples!$B:$B,Multiples!N:N),"")</f>
        <v>0.48687649549052087</v>
      </c>
      <c r="O48" s="353">
        <f>IFERROR(_xlfn.XLOOKUP($K48,Multiples!$B:$B,Multiples!O:O),"")</f>
        <v>0.44051813819255681</v>
      </c>
      <c r="P48" s="330">
        <f>IFERROR(_xlfn.XLOOKUP($K48,Multiples!$B:$B,Multiples!P:P),"")</f>
        <v>0.5502299846676888</v>
      </c>
      <c r="Q48" s="337">
        <f>IFERROR(_xlfn.XLOOKUP($K48,Multiples!$B:$B,Multiples!Q:Q),"")</f>
        <v>23164526577.355091</v>
      </c>
      <c r="R48" s="337">
        <f>IFERROR(_xlfn.XLOOKUP($K48,Multiples!$B:$B,Multiples!R:R),"")</f>
        <v>23164526577.355091</v>
      </c>
      <c r="S48" s="569"/>
      <c r="T48" s="414"/>
      <c r="U48" s="414"/>
      <c r="V48" s="414"/>
      <c r="W48" s="546"/>
      <c r="X48" s="546"/>
      <c r="Y48" s="546"/>
      <c r="Z48" s="546"/>
      <c r="AA48" s="546"/>
      <c r="AB48" s="546"/>
      <c r="AC48" s="414"/>
      <c r="AD48"/>
    </row>
    <row r="49" spans="4:35" ht="14.25" customHeight="1">
      <c r="D49" s="414"/>
      <c r="E49" s="414"/>
      <c r="F49" s="414"/>
      <c r="G49" s="414"/>
      <c r="H49" s="414"/>
      <c r="I49" s="414"/>
      <c r="J49" s="414"/>
      <c r="K49" s="18" t="s">
        <v>73</v>
      </c>
      <c r="L49"/>
      <c r="M49"/>
      <c r="N49" s="353">
        <f>IFERROR(_xlfn.XLOOKUP($K49,Multiples!$B:$B,Multiples!N:N),"")</f>
        <v>0.74894924021985132</v>
      </c>
      <c r="O49" s="353">
        <f>IFERROR(_xlfn.XLOOKUP($K49,Multiples!$B:$B,Multiples!O:O),"")</f>
        <v>0.59841595775887357</v>
      </c>
      <c r="P49" s="330">
        <f>IFERROR(_xlfn.XLOOKUP($K49,Multiples!$B:$B,Multiples!P:P),"")</f>
        <v>0.78344113842173346</v>
      </c>
      <c r="Q49" s="337">
        <f>IFERROR(_xlfn.XLOOKUP($K49,Multiples!$B:$B,Multiples!Q:Q),"")</f>
        <v>0.46151772185267859</v>
      </c>
      <c r="R49" s="337">
        <f>IFERROR(_xlfn.XLOOKUP($K49,Multiples!$B:$B,Multiples!R:R),"")</f>
        <v>0.43559385824310659</v>
      </c>
      <c r="S49" s="569"/>
      <c r="T49" s="414"/>
      <c r="U49" s="675" t="s">
        <v>74</v>
      </c>
      <c r="V49" s="643"/>
      <c r="W49" s="546"/>
      <c r="X49" s="546"/>
      <c r="Y49" s="546"/>
      <c r="Z49" s="546"/>
      <c r="AA49" s="546"/>
      <c r="AB49" s="546"/>
      <c r="AC49" s="414"/>
      <c r="AD49"/>
      <c r="AE49" s="414"/>
      <c r="AF49" s="414"/>
      <c r="AG49" s="414"/>
      <c r="AH49" s="414"/>
      <c r="AI49" s="414"/>
    </row>
    <row r="50" spans="4:35" ht="14.25" customHeight="1">
      <c r="D50" s="414"/>
      <c r="E50" s="414"/>
      <c r="F50" s="414"/>
      <c r="G50" s="414"/>
      <c r="H50" s="414"/>
      <c r="I50" s="414"/>
      <c r="J50" s="414"/>
      <c r="K50" s="18" t="s">
        <v>75</v>
      </c>
      <c r="L50" s="414"/>
      <c r="M50" s="414"/>
      <c r="N50" s="353">
        <f>IFERROR(_xlfn.XLOOKUP($K50,Multiples!$B:$B,Multiples!N:N),"")</f>
        <v>0.80658077994428967</v>
      </c>
      <c r="O50" s="353">
        <f>IFERROR(_xlfn.XLOOKUP($K50,Multiples!$B:$B,Multiples!O:O),"")</f>
        <v>0.63177454320222981</v>
      </c>
      <c r="P50" s="330">
        <f>IFERROR(_xlfn.XLOOKUP($K50,Multiples!$B:$B,Multiples!P:P),"")</f>
        <v>0.80243805485623432</v>
      </c>
      <c r="Q50" s="337">
        <f>IFERROR(_xlfn.XLOOKUP($K50,Multiples!$B:$B,Multiples!Q:Q),"")</f>
        <v>0.50978155376498424</v>
      </c>
      <c r="R50" s="337">
        <f>IFERROR(_xlfn.XLOOKUP($K50,Multiples!$B:$B,Multiples!R:R),"")</f>
        <v>0.48080601396680334</v>
      </c>
      <c r="S50" s="569"/>
      <c r="T50" s="414"/>
      <c r="U50" s="816" t="s">
        <v>76</v>
      </c>
      <c r="V50" s="817"/>
      <c r="W50" s="546"/>
      <c r="X50" s="546"/>
      <c r="Y50" s="546"/>
      <c r="Z50" s="546"/>
      <c r="AA50" s="546"/>
      <c r="AB50" s="546"/>
      <c r="AC50" s="414"/>
      <c r="AD50"/>
      <c r="AE50" s="414"/>
      <c r="AF50" s="414"/>
      <c r="AG50" s="414"/>
      <c r="AH50" s="414"/>
      <c r="AI50" s="414"/>
    </row>
    <row r="51" spans="4:35" ht="14.25" customHeight="1">
      <c r="D51" s="414"/>
      <c r="E51" s="414"/>
      <c r="F51" s="414"/>
      <c r="G51" s="414"/>
      <c r="H51" s="414"/>
      <c r="I51" s="518"/>
      <c r="J51" s="414"/>
      <c r="K51" t="s">
        <v>77</v>
      </c>
      <c r="L51"/>
      <c r="M51"/>
      <c r="N51" s="353">
        <f>IFERROR(_xlfn.XLOOKUP($K50,Multiples!$B:$B,Multiples!N:N),"")</f>
        <v>0.80658077994428967</v>
      </c>
      <c r="O51" s="353">
        <f>IFERROR(_xlfn.XLOOKUP($K50,Multiples!$B:$B,Multiples!O:O),"")</f>
        <v>0.63177454320222981</v>
      </c>
      <c r="P51" s="330">
        <f>IFERROR(_xlfn.XLOOKUP($K50,Multiples!$B:$B,Multiples!P:P),"")</f>
        <v>0.80243805485623432</v>
      </c>
      <c r="Q51" s="337">
        <f>IFERROR(_xlfn.XLOOKUP($K50,Multiples!$B:$B,Multiples!Q:Q),"")</f>
        <v>0.50978155376498424</v>
      </c>
      <c r="R51" s="337">
        <f>IFERROR(_xlfn.XLOOKUP($K50,Multiples!$B:$B,Multiples!R:R),"")</f>
        <v>0.48080601396680334</v>
      </c>
      <c r="S51" s="569"/>
      <c r="T51" s="414"/>
      <c r="U51" s="817"/>
      <c r="V51" s="817"/>
      <c r="W51" s="546"/>
      <c r="X51" s="546"/>
      <c r="Y51" s="546"/>
      <c r="Z51" s="546"/>
      <c r="AA51" s="546"/>
      <c r="AB51" s="546"/>
      <c r="AC51" s="414"/>
      <c r="AD51"/>
      <c r="AE51" s="414"/>
      <c r="AF51" s="414"/>
      <c r="AG51" s="414"/>
      <c r="AH51" s="414"/>
      <c r="AI51" s="414"/>
    </row>
    <row r="52" spans="4:35">
      <c r="D52" s="414"/>
      <c r="E52" s="414"/>
      <c r="F52" s="414"/>
      <c r="G52" s="414"/>
      <c r="H52" s="414"/>
      <c r="I52" s="1"/>
      <c r="J52" s="414"/>
      <c r="K52" s="414"/>
      <c r="L52" s="414"/>
      <c r="M52" s="414"/>
      <c r="N52" s="414"/>
      <c r="O52" s="414"/>
      <c r="P52" s="414"/>
      <c r="Q52" s="414"/>
      <c r="R52" s="414"/>
      <c r="S52" s="644"/>
      <c r="T52" s="414"/>
      <c r="U52" s="817"/>
      <c r="V52" s="817"/>
      <c r="W52" s="546"/>
      <c r="X52" s="546"/>
      <c r="Y52" s="546"/>
      <c r="Z52" s="546"/>
      <c r="AA52" s="546"/>
      <c r="AB52" s="546"/>
      <c r="AC52" s="414"/>
      <c r="AD52"/>
      <c r="AE52" s="414"/>
      <c r="AF52" s="414"/>
      <c r="AG52" s="414"/>
      <c r="AH52" s="414"/>
      <c r="AI52" s="414"/>
    </row>
    <row r="53" spans="4:35" ht="15.6">
      <c r="D53" s="414"/>
      <c r="E53" s="414"/>
      <c r="F53" s="414"/>
      <c r="G53" s="414"/>
      <c r="H53" s="414"/>
      <c r="I53" s="656"/>
      <c r="J53" s="414"/>
      <c r="K53" s="7" t="s">
        <v>78</v>
      </c>
      <c r="L53" s="4"/>
      <c r="M53" s="4"/>
      <c r="N53" s="4">
        <v>2022</v>
      </c>
      <c r="O53" s="4">
        <f>+N53+1</f>
        <v>2023</v>
      </c>
      <c r="P53" s="329">
        <f>+O53+1</f>
        <v>2024</v>
      </c>
      <c r="Q53" s="5">
        <f>+P53+1</f>
        <v>2025</v>
      </c>
      <c r="R53" s="5">
        <f>+Q53+1</f>
        <v>2026</v>
      </c>
      <c r="S53" s="568"/>
      <c r="T53" s="657"/>
      <c r="U53" s="817"/>
      <c r="V53" s="817"/>
      <c r="W53" s="414"/>
      <c r="X53" s="414"/>
      <c r="Y53"/>
      <c r="Z53" s="414"/>
      <c r="AA53" s="414"/>
      <c r="AB53" s="414"/>
      <c r="AC53" s="414"/>
      <c r="AD53"/>
      <c r="AE53" s="414"/>
      <c r="AF53" s="414"/>
      <c r="AG53" s="414"/>
      <c r="AH53" s="414"/>
      <c r="AI53" s="414"/>
    </row>
    <row r="54" spans="4:35" ht="15.6">
      <c r="D54" s="414"/>
      <c r="E54" s="414"/>
      <c r="F54" s="414"/>
      <c r="G54" s="414"/>
      <c r="H54" s="414"/>
      <c r="I54" s="658"/>
      <c r="J54" s="659"/>
      <c r="K54" s="22" t="s">
        <v>79</v>
      </c>
      <c r="L54"/>
      <c r="M54"/>
      <c r="N54" s="353">
        <f>IFERROR(_xlfn.XLOOKUP($K54,Multiples!$B:$B,Multiples!N:N),"")</f>
        <v>54.446428571428569</v>
      </c>
      <c r="O54" s="353">
        <f>IFERROR(_xlfn.XLOOKUP($K54,Multiples!$B:$B,Multiples!O:O),"")</f>
        <v>52.619469026548671</v>
      </c>
      <c r="P54" s="330">
        <f>IFERROR(_xlfn.XLOOKUP($K54,Multiples!$B:$B,Multiples!P:P),"")</f>
        <v>40.668639053254438</v>
      </c>
      <c r="Q54" s="337" t="str">
        <f>IFERROR(_xlfn.XLOOKUP($K54,Multiples!$B:$B,Multiples!Q:Q),"")</f>
        <v>N/A</v>
      </c>
      <c r="R54" s="337" t="str">
        <f>IFERROR(_xlfn.XLOOKUP($K54,Multiples!$B:$B,Multiples!R:R),"")</f>
        <v>N/A</v>
      </c>
      <c r="S54" s="569"/>
      <c r="T54" s="660"/>
      <c r="U54" s="817"/>
      <c r="V54" s="817"/>
      <c r="W54" s="414"/>
      <c r="X54" s="414"/>
      <c r="Y54"/>
      <c r="Z54" s="414"/>
      <c r="AA54" s="414"/>
      <c r="AB54" s="414"/>
      <c r="AC54" s="414"/>
      <c r="AD54"/>
      <c r="AE54" s="414"/>
      <c r="AF54" s="414"/>
      <c r="AG54" s="414"/>
      <c r="AH54" s="414"/>
      <c r="AI54" s="414"/>
    </row>
    <row r="55" spans="4:35" ht="15.6">
      <c r="D55" s="414"/>
      <c r="E55" s="414"/>
      <c r="F55" s="414"/>
      <c r="G55" s="414"/>
      <c r="H55" s="414"/>
      <c r="I55" s="661"/>
      <c r="J55" s="414"/>
      <c r="K55" s="18" t="s">
        <v>80</v>
      </c>
      <c r="L55" s="414"/>
      <c r="M55" s="414"/>
      <c r="N55" s="353">
        <f>IFERROR(_xlfn.XLOOKUP($K55,Multiples!$B:$B,Multiples!N:N),"")</f>
        <v>55.232142857142854</v>
      </c>
      <c r="O55" s="353">
        <f>IFERROR(_xlfn.XLOOKUP($K55,Multiples!$B:$B,Multiples!O:O),"")</f>
        <v>60.336283185840706</v>
      </c>
      <c r="P55" s="330">
        <f>IFERROR(_xlfn.XLOOKUP($K55,Multiples!$B:$B,Multiples!P:P),"")</f>
        <v>45.739644970414204</v>
      </c>
      <c r="Q55" s="337" t="str">
        <f>IFERROR(_xlfn.XLOOKUP($K55,Multiples!$B:$B,Multiples!Q:Q),"")</f>
        <v>N/A</v>
      </c>
      <c r="R55" s="337" t="str">
        <f>IFERROR(_xlfn.XLOOKUP($K55,Multiples!$B:$B,Multiples!R:R),"")</f>
        <v>N/A</v>
      </c>
      <c r="S55" s="569"/>
      <c r="T55" s="414"/>
      <c r="U55" s="817"/>
      <c r="V55" s="817"/>
      <c r="W55" s="414"/>
      <c r="X55" s="414"/>
      <c r="Y55"/>
      <c r="Z55" s="414"/>
      <c r="AA55" s="414"/>
      <c r="AB55" s="414"/>
      <c r="AC55" s="414"/>
      <c r="AD55"/>
      <c r="AE55" s="414"/>
      <c r="AF55" s="414"/>
      <c r="AG55" s="414"/>
      <c r="AH55" s="414"/>
      <c r="AI55" s="130"/>
    </row>
    <row r="56" spans="4:35" ht="15" customHeight="1">
      <c r="D56" s="414"/>
      <c r="E56" s="414"/>
      <c r="F56" s="414"/>
      <c r="G56" s="414"/>
      <c r="H56" s="414"/>
      <c r="I56" s="661"/>
      <c r="J56" s="414"/>
      <c r="K56" s="18" t="s">
        <v>81</v>
      </c>
      <c r="L56"/>
      <c r="M56"/>
      <c r="N56" s="353">
        <f>IFERROR(_xlfn.XLOOKUP($K56,Multiples!$B:$B,Multiples!N:N),"")</f>
        <v>59.178571428571431</v>
      </c>
      <c r="O56" s="353">
        <f>IFERROR(_xlfn.XLOOKUP($K56,Multiples!$B:$B,Multiples!O:O),"")</f>
        <v>63.522123893805308</v>
      </c>
      <c r="P56" s="330">
        <f>IFERROR(_xlfn.XLOOKUP($K56,Multiples!$B:$B,Multiples!P:P),"")</f>
        <v>46.822485207100591</v>
      </c>
      <c r="Q56" s="337" t="str">
        <f>IFERROR(_xlfn.XLOOKUP($K56,Multiples!$B:$B,Multiples!Q:Q),"")</f>
        <v>N/A</v>
      </c>
      <c r="R56" s="337" t="str">
        <f>IFERROR(_xlfn.XLOOKUP($K56,Multiples!$B:$B,Multiples!R:R),"")</f>
        <v>N/A</v>
      </c>
      <c r="S56" s="569"/>
      <c r="T56" s="414"/>
      <c r="U56" s="817"/>
      <c r="V56" s="817"/>
      <c r="W56" s="414"/>
      <c r="X56" s="414"/>
      <c r="Y56" s="414"/>
      <c r="Z56" s="414"/>
      <c r="AA56" s="414"/>
      <c r="AB56" s="414"/>
      <c r="AC56" s="414"/>
      <c r="AD56" s="414"/>
      <c r="AE56" s="414"/>
      <c r="AF56" s="414"/>
      <c r="AG56" s="414"/>
      <c r="AH56" s="414"/>
      <c r="AI56" s="662"/>
    </row>
    <row r="57" spans="4:35" ht="14.25" customHeight="1">
      <c r="D57" s="414"/>
      <c r="E57" s="414"/>
      <c r="F57" s="414"/>
      <c r="G57" s="414"/>
      <c r="H57" s="414"/>
      <c r="I57" s="661"/>
      <c r="J57" s="414"/>
      <c r="K57" s="414"/>
      <c r="L57" s="414"/>
      <c r="M57" s="414"/>
      <c r="N57" s="414"/>
      <c r="O57" s="414"/>
      <c r="P57" s="414"/>
      <c r="Q57" s="414"/>
      <c r="R57" s="414"/>
      <c r="S57" s="644"/>
      <c r="T57" s="414"/>
      <c r="U57" s="817"/>
      <c r="V57" s="817"/>
      <c r="W57" s="414"/>
      <c r="X57" s="414"/>
      <c r="Y57" s="414"/>
      <c r="Z57" s="414"/>
      <c r="AA57" s="414"/>
      <c r="AB57" s="414"/>
      <c r="AC57" s="414"/>
      <c r="AD57" s="414"/>
      <c r="AE57" s="414"/>
      <c r="AF57" s="414"/>
      <c r="AG57" s="414"/>
      <c r="AH57" s="414"/>
      <c r="AI57" s="414"/>
    </row>
    <row r="58" spans="4:35" ht="14.25" customHeight="1">
      <c r="D58" s="545" t="s">
        <v>82</v>
      </c>
      <c r="E58" s="4"/>
      <c r="F58" s="4"/>
      <c r="G58" s="4"/>
      <c r="H58" s="4"/>
      <c r="I58" s="4"/>
      <c r="J58" s="414"/>
      <c r="K58" s="545" t="s">
        <v>83</v>
      </c>
      <c r="L58" s="4"/>
      <c r="M58" s="4"/>
      <c r="N58" s="4"/>
      <c r="O58" s="4"/>
      <c r="P58" s="4"/>
      <c r="Q58" s="4"/>
      <c r="R58" s="4"/>
      <c r="S58" s="571"/>
      <c r="T58" s="414"/>
      <c r="U58" s="818"/>
      <c r="V58" s="818"/>
      <c r="W58" s="414"/>
      <c r="X58" s="414"/>
      <c r="Y58" s="414"/>
      <c r="Z58" s="414"/>
      <c r="AA58" s="414"/>
      <c r="AB58" s="414"/>
      <c r="AC58" s="414"/>
      <c r="AD58" s="414"/>
      <c r="AE58" s="414"/>
      <c r="AF58" s="414"/>
      <c r="AG58" s="414"/>
      <c r="AH58" s="414"/>
      <c r="AI58" s="414"/>
    </row>
    <row r="59" spans="4:35" ht="14.25" customHeight="1">
      <c r="D59" s="414"/>
      <c r="E59" s="414"/>
      <c r="F59" s="414"/>
      <c r="G59" s="414"/>
      <c r="H59" s="414"/>
      <c r="I59" s="661"/>
      <c r="J59" s="414"/>
      <c r="K59" s="414"/>
      <c r="L59" s="414"/>
      <c r="M59" s="414"/>
      <c r="N59" s="414"/>
      <c r="O59" s="414"/>
      <c r="P59" s="414"/>
      <c r="Q59" s="414"/>
      <c r="R59" s="414"/>
      <c r="S59" s="644"/>
      <c r="T59" s="414"/>
      <c r="U59" s="414"/>
      <c r="V59" s="414"/>
      <c r="W59" s="414"/>
      <c r="X59" s="414"/>
      <c r="Y59" s="414"/>
      <c r="Z59" s="414"/>
      <c r="AA59" s="414"/>
      <c r="AB59" s="414"/>
      <c r="AC59" s="414"/>
      <c r="AD59" s="414"/>
      <c r="AE59" s="414"/>
      <c r="AF59" s="414"/>
      <c r="AG59" s="414"/>
      <c r="AH59" s="414"/>
      <c r="AI59" s="414"/>
    </row>
    <row r="60" spans="4:35" ht="14.25" customHeight="1" thickBot="1">
      <c r="D60" s="414"/>
      <c r="E60" s="414"/>
      <c r="F60" s="414"/>
      <c r="G60" s="414"/>
      <c r="H60" s="414"/>
      <c r="I60" s="661"/>
      <c r="J60" s="414"/>
      <c r="K60" s="414"/>
      <c r="L60" s="414"/>
      <c r="M60" s="414"/>
      <c r="N60" s="414"/>
      <c r="O60" s="414"/>
      <c r="P60" s="414"/>
      <c r="Q60" s="414"/>
      <c r="R60" s="414"/>
      <c r="S60" s="644"/>
      <c r="T60" s="414"/>
      <c r="U60" s="649" t="s">
        <v>84</v>
      </c>
      <c r="V60" s="643"/>
      <c r="W60" s="414"/>
      <c r="X60" s="414"/>
      <c r="Y60" s="414"/>
      <c r="Z60" s="414"/>
      <c r="AA60" s="414"/>
      <c r="AB60" s="414"/>
      <c r="AC60" s="414"/>
      <c r="AD60" s="414"/>
      <c r="AE60" s="414"/>
      <c r="AF60" s="414"/>
      <c r="AG60" s="414"/>
      <c r="AH60" s="414"/>
      <c r="AI60" s="414"/>
    </row>
    <row r="61" spans="4:35" ht="14.25" customHeight="1" thickTop="1">
      <c r="D61" s="414"/>
      <c r="E61" s="414"/>
      <c r="F61" s="414"/>
      <c r="G61" s="414"/>
      <c r="H61" s="414"/>
      <c r="I61" s="661"/>
      <c r="J61" s="414"/>
      <c r="K61" s="414"/>
      <c r="L61" s="414"/>
      <c r="M61" s="414"/>
      <c r="N61" s="414"/>
      <c r="O61" s="414"/>
      <c r="P61" s="414"/>
      <c r="Q61" s="414"/>
      <c r="R61" s="414"/>
      <c r="S61" s="644"/>
      <c r="T61" s="414"/>
      <c r="U61" s="47" t="s">
        <v>85</v>
      </c>
      <c r="V61" s="665">
        <f>ESG!C14</f>
        <v>68</v>
      </c>
      <c r="W61" s="414"/>
      <c r="X61" s="414"/>
      <c r="Y61" s="414"/>
      <c r="Z61" s="414"/>
      <c r="AA61" s="414"/>
      <c r="AB61" s="414"/>
      <c r="AC61" s="414"/>
      <c r="AD61" s="414"/>
      <c r="AE61" s="414"/>
      <c r="AF61" s="414"/>
      <c r="AG61" s="414"/>
      <c r="AH61" s="414"/>
      <c r="AI61" s="414"/>
    </row>
    <row r="62" spans="4:35" ht="14.25" customHeight="1">
      <c r="D62" s="414"/>
      <c r="E62" s="414"/>
      <c r="F62" s="414"/>
      <c r="G62" s="414"/>
      <c r="H62" s="414"/>
      <c r="I62" s="661"/>
      <c r="J62" s="414"/>
      <c r="K62" s="414"/>
      <c r="L62" s="414"/>
      <c r="M62" s="414"/>
      <c r="N62" s="414"/>
      <c r="O62" s="414"/>
      <c r="P62" s="414"/>
      <c r="Q62" s="414"/>
      <c r="R62" s="414"/>
      <c r="S62" s="644"/>
      <c r="T62" s="414"/>
      <c r="U62" s="25" t="s">
        <v>86</v>
      </c>
      <c r="V62" s="664">
        <f>ESG!C15</f>
        <v>75</v>
      </c>
      <c r="W62" s="414"/>
      <c r="X62" s="414"/>
      <c r="Y62" s="414"/>
      <c r="Z62" s="414"/>
      <c r="AA62" s="414"/>
      <c r="AB62" s="414"/>
      <c r="AC62" s="414"/>
      <c r="AD62" s="414"/>
      <c r="AE62" s="414"/>
      <c r="AF62" s="414"/>
      <c r="AG62" s="414"/>
      <c r="AH62" s="414"/>
      <c r="AI62" s="414"/>
    </row>
    <row r="63" spans="4:35">
      <c r="D63" s="414"/>
      <c r="E63" s="414"/>
      <c r="F63" s="414"/>
      <c r="G63" s="414"/>
      <c r="H63" s="414"/>
      <c r="I63" s="414"/>
      <c r="J63" s="414"/>
      <c r="K63" s="414"/>
      <c r="L63" s="414"/>
      <c r="M63" s="414"/>
      <c r="N63" s="414"/>
      <c r="O63" s="414"/>
      <c r="P63" s="414"/>
      <c r="Q63" s="414"/>
      <c r="R63" s="414"/>
      <c r="S63" s="644"/>
      <c r="T63" s="414"/>
      <c r="U63" s="25" t="s">
        <v>87</v>
      </c>
      <c r="V63" s="664">
        <f>ESG!C16</f>
        <v>77</v>
      </c>
      <c r="W63" s="414"/>
      <c r="X63" s="414"/>
      <c r="Y63" s="414"/>
      <c r="Z63" s="414"/>
      <c r="AA63" s="414"/>
      <c r="AB63" s="414"/>
      <c r="AC63" s="414"/>
      <c r="AD63" s="414"/>
      <c r="AE63" s="414"/>
      <c r="AF63" s="414"/>
      <c r="AG63" s="414"/>
      <c r="AH63" s="414"/>
      <c r="AI63" s="414"/>
    </row>
    <row r="64" spans="4:35">
      <c r="D64" s="414"/>
      <c r="E64" s="414"/>
      <c r="F64" s="414"/>
      <c r="G64" s="414"/>
      <c r="H64" s="414"/>
      <c r="I64" s="414"/>
      <c r="J64" s="414"/>
      <c r="K64" s="414"/>
      <c r="L64" s="414"/>
      <c r="M64" s="414"/>
      <c r="N64" s="414"/>
      <c r="O64" s="414"/>
      <c r="P64" s="414"/>
      <c r="Q64" s="414"/>
      <c r="R64" s="414"/>
      <c r="S64" s="644"/>
      <c r="T64" s="414"/>
      <c r="U64" s="25" t="s">
        <v>88</v>
      </c>
      <c r="V64" s="664">
        <f>ESG!C17</f>
        <v>59</v>
      </c>
      <c r="W64" s="414"/>
      <c r="X64" s="414"/>
      <c r="Y64" s="414"/>
      <c r="Z64" s="414"/>
      <c r="AA64" s="414"/>
      <c r="AB64" s="414"/>
      <c r="AC64" s="414"/>
      <c r="AD64" s="414"/>
      <c r="AE64" s="414"/>
      <c r="AF64" s="414"/>
      <c r="AG64" s="414"/>
      <c r="AH64" s="414"/>
      <c r="AI64" s="414"/>
    </row>
    <row r="65" spans="4:22">
      <c r="D65" s="414"/>
      <c r="E65" s="414"/>
      <c r="F65" s="414"/>
      <c r="G65" s="414"/>
      <c r="H65" s="414"/>
      <c r="I65" s="414"/>
      <c r="J65" s="414"/>
      <c r="K65" s="414"/>
      <c r="L65" s="414"/>
      <c r="M65" s="414"/>
      <c r="N65" s="414"/>
      <c r="O65" s="414"/>
      <c r="P65" s="414"/>
      <c r="Q65" s="414"/>
      <c r="R65" s="414"/>
      <c r="S65" s="644"/>
      <c r="T65" s="414"/>
      <c r="U65" s="23" t="s">
        <v>89</v>
      </c>
      <c r="V65" s="666">
        <f>ESG!C18</f>
        <v>55</v>
      </c>
    </row>
    <row r="66" spans="4:22">
      <c r="D66" s="414"/>
      <c r="E66" s="414"/>
      <c r="F66" s="414"/>
      <c r="G66" s="414"/>
      <c r="H66" s="414"/>
      <c r="I66" s="414"/>
      <c r="J66" s="414"/>
      <c r="K66" s="414"/>
      <c r="L66" s="414"/>
      <c r="M66" s="414"/>
      <c r="N66" s="414"/>
      <c r="O66" s="414"/>
      <c r="P66" s="414"/>
      <c r="Q66" s="414"/>
      <c r="R66" s="414"/>
      <c r="S66" s="644"/>
      <c r="T66" s="414"/>
      <c r="U66" s="25" t="s">
        <v>90</v>
      </c>
      <c r="V66" s="44">
        <f>ESG!C19</f>
        <v>66</v>
      </c>
    </row>
    <row r="67" spans="4:22">
      <c r="D67" s="414"/>
      <c r="E67" s="414"/>
      <c r="F67" s="414"/>
      <c r="G67" s="414"/>
      <c r="H67" s="414"/>
      <c r="I67" s="414"/>
      <c r="J67" s="414"/>
      <c r="K67" s="414"/>
      <c r="L67" s="414"/>
      <c r="M67" s="414"/>
      <c r="N67" s="414"/>
      <c r="O67" s="414"/>
      <c r="P67" s="414"/>
      <c r="Q67" s="414"/>
      <c r="R67" s="414"/>
      <c r="S67" s="644"/>
      <c r="T67" s="414"/>
      <c r="U67" s="25" t="s">
        <v>91</v>
      </c>
      <c r="V67" s="44">
        <f>ESG!C20</f>
        <v>45</v>
      </c>
    </row>
    <row r="68" spans="4:22">
      <c r="D68" s="414"/>
      <c r="E68" s="414"/>
      <c r="F68" s="414"/>
      <c r="G68" s="414"/>
      <c r="H68" s="414"/>
      <c r="I68" s="414"/>
      <c r="J68" s="414"/>
      <c r="K68" s="414"/>
      <c r="L68" s="414"/>
      <c r="M68" s="414"/>
      <c r="N68" s="414"/>
      <c r="O68" s="414"/>
      <c r="P68" s="414"/>
      <c r="Q68" s="414"/>
      <c r="R68" s="414"/>
      <c r="S68" s="644"/>
      <c r="T68" s="414"/>
      <c r="U68" s="25" t="s">
        <v>92</v>
      </c>
      <c r="V68" s="44">
        <f>ESG!C21</f>
        <v>63</v>
      </c>
    </row>
    <row r="69" spans="4:22">
      <c r="D69" s="414"/>
      <c r="E69" s="414"/>
      <c r="F69" s="414"/>
      <c r="G69" s="414"/>
      <c r="H69" s="414"/>
      <c r="I69" s="414"/>
      <c r="J69" s="414"/>
      <c r="K69" s="414"/>
      <c r="L69" s="414"/>
      <c r="M69" s="414"/>
      <c r="N69" s="414"/>
      <c r="O69" s="414"/>
      <c r="P69" s="414"/>
      <c r="Q69" s="414"/>
      <c r="R69" s="414"/>
      <c r="S69" s="644"/>
      <c r="T69" s="414"/>
      <c r="U69" s="23" t="s">
        <v>93</v>
      </c>
      <c r="V69" s="49">
        <f>ESG!C22</f>
        <v>14.2</v>
      </c>
    </row>
    <row r="70" spans="4:22">
      <c r="D70" s="414"/>
      <c r="E70" s="414"/>
      <c r="F70" s="414"/>
      <c r="G70" s="414"/>
      <c r="H70" s="414"/>
      <c r="I70" s="414"/>
      <c r="J70" s="414"/>
      <c r="K70" s="414"/>
      <c r="L70" s="414"/>
      <c r="M70" s="414"/>
      <c r="N70" s="414"/>
      <c r="O70" s="414"/>
      <c r="P70" s="414"/>
      <c r="Q70" s="414"/>
      <c r="R70" s="414"/>
      <c r="S70" s="644"/>
      <c r="T70" s="414"/>
      <c r="U70" s="23" t="s">
        <v>94</v>
      </c>
      <c r="V70" s="50" t="str">
        <f>ESG!C23</f>
        <v>B</v>
      </c>
    </row>
    <row r="71" spans="4:22">
      <c r="D71" s="414"/>
      <c r="E71" s="414"/>
      <c r="F71" s="414"/>
      <c r="G71" s="414"/>
      <c r="H71" s="414"/>
      <c r="I71" s="414"/>
      <c r="J71" s="414"/>
      <c r="K71" s="414"/>
      <c r="L71" s="414"/>
      <c r="M71" s="414"/>
      <c r="N71" s="414"/>
      <c r="O71" s="414"/>
      <c r="P71" s="414"/>
      <c r="Q71" s="414"/>
      <c r="R71" s="414"/>
      <c r="S71" s="644"/>
      <c r="T71" s="414"/>
      <c r="U71" s="25" t="s">
        <v>95</v>
      </c>
      <c r="V71" s="44">
        <f>ESG!C24</f>
        <v>4.7</v>
      </c>
    </row>
    <row r="72" spans="4:22">
      <c r="D72" s="414"/>
      <c r="E72" s="414"/>
      <c r="F72" s="414"/>
      <c r="G72" s="414"/>
      <c r="H72" s="414"/>
      <c r="I72" s="414"/>
      <c r="J72" s="414"/>
      <c r="K72" s="414"/>
      <c r="L72" s="414"/>
      <c r="M72" s="414"/>
      <c r="N72" s="414"/>
      <c r="O72" s="414"/>
      <c r="P72" s="414"/>
      <c r="Q72" s="414"/>
      <c r="R72" s="414"/>
      <c r="S72" s="644"/>
      <c r="T72" s="414"/>
      <c r="U72" s="25" t="s">
        <v>96</v>
      </c>
      <c r="V72" s="43">
        <f>ESG!C25</f>
        <v>2</v>
      </c>
    </row>
    <row r="73" spans="4:22">
      <c r="D73" s="414"/>
      <c r="E73" s="414"/>
      <c r="F73" s="414"/>
      <c r="G73" s="414"/>
      <c r="H73" s="414"/>
      <c r="I73" s="414"/>
      <c r="J73" s="414"/>
      <c r="K73" s="414"/>
      <c r="L73" s="414"/>
      <c r="M73" s="414"/>
      <c r="N73" s="414"/>
      <c r="O73" s="414"/>
      <c r="P73" s="414"/>
      <c r="Q73" s="414"/>
      <c r="R73" s="414"/>
      <c r="S73" s="644"/>
      <c r="T73" s="414"/>
      <c r="U73" s="23" t="s">
        <v>97</v>
      </c>
      <c r="V73" s="51">
        <f>ESG!C26</f>
        <v>0</v>
      </c>
    </row>
    <row r="75" spans="4:22">
      <c r="D75" s="414"/>
      <c r="E75" s="414"/>
      <c r="F75" s="414"/>
      <c r="G75" s="414"/>
      <c r="H75" s="414"/>
      <c r="I75" s="414"/>
      <c r="J75" s="414"/>
      <c r="K75" s="414"/>
      <c r="L75" s="414"/>
      <c r="M75" s="414"/>
      <c r="N75" s="414"/>
      <c r="O75" s="414"/>
      <c r="P75" s="414"/>
      <c r="Q75" s="414"/>
      <c r="R75" s="414"/>
      <c r="S75" s="644"/>
      <c r="T75" s="414"/>
      <c r="U75" s="815" t="s">
        <v>98</v>
      </c>
      <c r="V75" s="815"/>
    </row>
    <row r="76" spans="4:22">
      <c r="D76" s="414"/>
      <c r="E76" s="414"/>
      <c r="F76" s="414"/>
      <c r="G76" s="414"/>
      <c r="H76" s="414"/>
      <c r="I76" s="414"/>
      <c r="J76" s="414"/>
      <c r="K76" s="414"/>
      <c r="L76" s="414"/>
      <c r="M76" s="414"/>
      <c r="N76" s="414"/>
      <c r="O76" s="414"/>
      <c r="P76" s="414"/>
      <c r="Q76" s="414"/>
      <c r="R76" s="414"/>
      <c r="S76" s="644"/>
      <c r="T76" s="414"/>
      <c r="U76" s="815"/>
      <c r="V76" s="815"/>
    </row>
    <row r="77" spans="4:22">
      <c r="D77" s="414"/>
      <c r="E77" s="414"/>
      <c r="F77" s="414"/>
      <c r="G77" s="414"/>
      <c r="H77" s="414"/>
      <c r="I77" s="414"/>
      <c r="J77" s="414"/>
      <c r="K77" s="414"/>
      <c r="L77" s="414"/>
      <c r="M77" s="414"/>
      <c r="N77" s="414"/>
      <c r="O77" s="414"/>
      <c r="P77" s="414"/>
      <c r="Q77" s="414"/>
      <c r="R77" s="414"/>
      <c r="S77" s="644"/>
      <c r="T77" s="414"/>
      <c r="U77" s="815"/>
      <c r="V77" s="815"/>
    </row>
    <row r="78" spans="4:22">
      <c r="D78" s="414"/>
      <c r="E78" s="414"/>
      <c r="F78" s="414"/>
      <c r="G78" s="414"/>
      <c r="H78" s="414"/>
      <c r="I78" s="414"/>
      <c r="J78" s="414"/>
      <c r="K78" s="414"/>
      <c r="L78" s="414"/>
      <c r="M78" s="414"/>
      <c r="N78" s="414"/>
      <c r="O78" s="414"/>
      <c r="P78" s="414"/>
      <c r="Q78" s="414"/>
      <c r="R78" s="414"/>
      <c r="S78" s="644"/>
      <c r="T78" s="414"/>
      <c r="U78" s="815"/>
      <c r="V78" s="815"/>
    </row>
    <row r="79" spans="4:22">
      <c r="D79" s="414"/>
      <c r="E79" s="414"/>
      <c r="F79" s="414"/>
      <c r="G79" s="414"/>
      <c r="H79" s="414"/>
      <c r="I79" s="414"/>
      <c r="J79" s="414"/>
      <c r="K79" s="414"/>
      <c r="L79" s="414"/>
      <c r="M79" s="414"/>
      <c r="N79" s="414"/>
      <c r="O79" s="414"/>
      <c r="P79" s="414"/>
      <c r="Q79" s="414"/>
      <c r="R79" s="414"/>
      <c r="S79" s="644"/>
      <c r="T79" s="414"/>
      <c r="U79" s="815"/>
      <c r="V79" s="815"/>
    </row>
    <row r="80" spans="4:22" ht="14.25" customHeight="1">
      <c r="D80" s="678" t="s">
        <v>99</v>
      </c>
      <c r="E80" s="66"/>
      <c r="F80" s="65"/>
      <c r="G80" s="65"/>
      <c r="H80" s="65"/>
      <c r="I80" s="65"/>
      <c r="J80" s="65"/>
      <c r="K80" s="65"/>
      <c r="L80" s="65"/>
      <c r="M80" s="65"/>
      <c r="N80" s="65"/>
      <c r="O80" s="65"/>
      <c r="P80" s="65"/>
      <c r="Q80" s="65"/>
      <c r="R80" s="65"/>
      <c r="S80" s="644"/>
      <c r="T80" s="414"/>
      <c r="U80" s="815"/>
      <c r="V80" s="815"/>
    </row>
    <row r="81" spans="4:22" ht="3.95" customHeight="1">
      <c r="D81" s="67"/>
      <c r="E81" s="67"/>
      <c r="F81" s="67"/>
      <c r="G81" s="67"/>
      <c r="H81" s="67"/>
      <c r="I81" s="67"/>
      <c r="J81" s="67"/>
      <c r="K81" s="67"/>
      <c r="L81" s="67"/>
      <c r="M81" s="67"/>
      <c r="N81" s="67"/>
      <c r="O81" s="67"/>
      <c r="P81" s="67"/>
      <c r="Q81" s="67"/>
      <c r="R81" s="67"/>
      <c r="S81" s="644"/>
      <c r="T81" s="414"/>
      <c r="U81" s="815"/>
      <c r="V81" s="815"/>
    </row>
    <row r="82" spans="4:22" ht="15.6">
      <c r="D82" s="828" t="s">
        <v>82</v>
      </c>
      <c r="E82" s="828"/>
      <c r="F82" s="828"/>
      <c r="G82" s="828"/>
      <c r="H82" s="828"/>
      <c r="I82" s="828"/>
      <c r="J82" s="828"/>
      <c r="K82" s="828"/>
      <c r="L82" s="828"/>
      <c r="M82" s="828"/>
      <c r="N82" s="828"/>
      <c r="O82" s="828"/>
      <c r="P82" s="828"/>
      <c r="Q82" s="828"/>
      <c r="R82" s="828"/>
      <c r="S82" s="644"/>
      <c r="T82" s="414"/>
      <c r="U82" s="815"/>
      <c r="V82" s="815"/>
    </row>
    <row r="83" spans="4:22">
      <c r="D83" s="826"/>
      <c r="E83" s="826"/>
      <c r="F83" s="826"/>
      <c r="G83" s="826"/>
      <c r="H83" s="826"/>
      <c r="I83" s="826"/>
      <c r="J83" s="826"/>
      <c r="K83" s="826"/>
      <c r="L83" s="826"/>
      <c r="M83" s="826"/>
      <c r="N83" s="826"/>
      <c r="O83" s="826"/>
      <c r="P83" s="826"/>
      <c r="Q83" s="826"/>
      <c r="R83" s="826"/>
      <c r="S83" s="644"/>
      <c r="T83" s="414"/>
      <c r="U83" s="815"/>
      <c r="V83" s="815"/>
    </row>
    <row r="84" spans="4:22">
      <c r="D84" s="826"/>
      <c r="E84" s="826"/>
      <c r="F84" s="826"/>
      <c r="G84" s="826"/>
      <c r="H84" s="826"/>
      <c r="I84" s="826"/>
      <c r="J84" s="826"/>
      <c r="K84" s="826"/>
      <c r="L84" s="826"/>
      <c r="M84" s="826"/>
      <c r="N84" s="826"/>
      <c r="O84" s="826"/>
      <c r="P84" s="826"/>
      <c r="Q84" s="826"/>
      <c r="R84" s="826"/>
      <c r="S84" s="644"/>
      <c r="T84" s="414"/>
      <c r="U84" s="815"/>
      <c r="V84" s="815"/>
    </row>
    <row r="85" spans="4:22">
      <c r="D85" s="826"/>
      <c r="E85" s="826"/>
      <c r="F85" s="826"/>
      <c r="G85" s="826"/>
      <c r="H85" s="826"/>
      <c r="I85" s="826"/>
      <c r="J85" s="826"/>
      <c r="K85" s="826"/>
      <c r="L85" s="826"/>
      <c r="M85" s="826"/>
      <c r="N85" s="826"/>
      <c r="O85" s="826"/>
      <c r="P85" s="826"/>
      <c r="Q85" s="826"/>
      <c r="R85" s="826"/>
      <c r="S85" s="644"/>
      <c r="T85" s="414"/>
      <c r="U85" s="815"/>
      <c r="V85" s="815"/>
    </row>
    <row r="86" spans="4:22">
      <c r="D86" s="826"/>
      <c r="E86" s="826"/>
      <c r="F86" s="826"/>
      <c r="G86" s="826"/>
      <c r="H86" s="826"/>
      <c r="I86" s="826"/>
      <c r="J86" s="826"/>
      <c r="K86" s="826"/>
      <c r="L86" s="826"/>
      <c r="M86" s="826"/>
      <c r="N86" s="826"/>
      <c r="O86" s="826"/>
      <c r="P86" s="826"/>
      <c r="Q86" s="826"/>
      <c r="R86" s="826"/>
      <c r="S86" s="644"/>
      <c r="T86" s="414"/>
      <c r="U86" s="815"/>
      <c r="V86" s="815"/>
    </row>
    <row r="87" spans="4:22">
      <c r="D87" s="827"/>
      <c r="E87" s="827"/>
      <c r="F87" s="827"/>
      <c r="G87" s="827"/>
      <c r="H87" s="827"/>
      <c r="I87" s="827"/>
      <c r="J87" s="827"/>
      <c r="K87" s="827"/>
      <c r="L87" s="827"/>
      <c r="M87" s="827"/>
      <c r="N87" s="827"/>
      <c r="O87" s="827"/>
      <c r="P87" s="827"/>
      <c r="Q87" s="827"/>
      <c r="R87" s="827"/>
      <c r="S87" s="644"/>
      <c r="T87" s="414"/>
      <c r="U87" s="815"/>
      <c r="V87" s="815"/>
    </row>
    <row r="88" spans="4:22">
      <c r="D88" s="827"/>
      <c r="E88" s="827"/>
      <c r="F88" s="827"/>
      <c r="G88" s="827"/>
      <c r="H88" s="827"/>
      <c r="I88" s="827"/>
      <c r="J88" s="827"/>
      <c r="K88" s="827"/>
      <c r="L88" s="827"/>
      <c r="M88" s="827"/>
      <c r="N88" s="827"/>
      <c r="O88" s="827"/>
      <c r="P88" s="827"/>
      <c r="Q88" s="827"/>
      <c r="R88" s="827"/>
      <c r="S88" s="644"/>
      <c r="T88" s="414"/>
      <c r="U88" s="815"/>
      <c r="V88" s="815"/>
    </row>
    <row r="89" spans="4:22">
      <c r="D89" s="414"/>
      <c r="E89" s="414"/>
      <c r="F89" s="414"/>
      <c r="G89" s="414"/>
      <c r="H89" s="414"/>
      <c r="I89" s="414"/>
      <c r="J89" s="414"/>
      <c r="K89" s="414"/>
      <c r="L89" s="414"/>
      <c r="M89" s="414"/>
      <c r="N89" s="414"/>
      <c r="O89" s="414"/>
      <c r="P89" s="414"/>
      <c r="Q89" s="414"/>
      <c r="R89" s="414"/>
      <c r="S89" s="644"/>
      <c r="T89" s="414"/>
      <c r="U89" s="815"/>
      <c r="V89" s="815"/>
    </row>
    <row r="90" spans="4:22">
      <c r="D90" s="414"/>
      <c r="E90" s="414"/>
      <c r="F90" s="414"/>
      <c r="G90" s="414"/>
      <c r="H90" s="414"/>
      <c r="I90" s="414"/>
      <c r="J90" s="414"/>
      <c r="K90" s="414"/>
      <c r="L90" s="414"/>
      <c r="M90" s="414"/>
      <c r="N90" s="414"/>
      <c r="O90" s="414"/>
      <c r="P90" s="414"/>
      <c r="Q90" s="414"/>
      <c r="R90" s="414"/>
      <c r="S90" s="644"/>
      <c r="T90" s="414"/>
      <c r="U90" s="815"/>
      <c r="V90" s="815"/>
    </row>
    <row r="91" spans="4:22">
      <c r="D91" s="414"/>
      <c r="E91" s="414"/>
      <c r="F91" s="414"/>
      <c r="G91" s="414"/>
      <c r="H91" s="414"/>
      <c r="I91" s="414"/>
      <c r="J91" s="414"/>
      <c r="K91" s="414"/>
      <c r="L91" s="414"/>
      <c r="M91" s="414"/>
      <c r="N91" s="414"/>
      <c r="O91" s="414"/>
      <c r="P91" s="414"/>
      <c r="Q91" s="414"/>
      <c r="R91" s="414"/>
      <c r="S91" s="644"/>
      <c r="T91" s="414"/>
      <c r="U91" s="815"/>
      <c r="V91" s="815"/>
    </row>
    <row r="92" spans="4:22">
      <c r="D92" s="414"/>
      <c r="E92" s="414"/>
      <c r="F92" s="414"/>
      <c r="G92" s="414"/>
      <c r="H92" s="414"/>
      <c r="I92" s="414"/>
      <c r="J92" s="414"/>
      <c r="K92" s="414"/>
      <c r="L92" s="414"/>
      <c r="M92" s="414"/>
      <c r="N92" s="414"/>
      <c r="O92" s="414"/>
      <c r="P92" s="414"/>
      <c r="Q92" s="414"/>
      <c r="R92" s="414"/>
      <c r="S92" s="644"/>
      <c r="T92" s="414"/>
      <c r="U92" s="815"/>
      <c r="V92" s="815"/>
    </row>
    <row r="93" spans="4:22">
      <c r="D93" s="414"/>
      <c r="E93" s="414"/>
      <c r="F93" s="414"/>
      <c r="G93" s="414"/>
      <c r="H93" s="414"/>
      <c r="I93" s="414"/>
      <c r="J93" s="414"/>
      <c r="K93" s="414"/>
      <c r="L93" s="414"/>
      <c r="M93" s="414"/>
      <c r="N93" s="414"/>
      <c r="O93" s="414"/>
      <c r="P93" s="414"/>
      <c r="Q93" s="414"/>
      <c r="R93" s="414"/>
      <c r="S93" s="644"/>
      <c r="T93" s="414"/>
      <c r="U93" s="815"/>
      <c r="V93" s="815"/>
    </row>
    <row r="94" spans="4:22">
      <c r="D94" s="414"/>
      <c r="E94" s="414"/>
      <c r="F94" s="414"/>
      <c r="G94" s="414"/>
      <c r="H94" s="414"/>
      <c r="I94" s="414"/>
      <c r="J94" s="414"/>
      <c r="K94" s="414"/>
      <c r="L94" s="414"/>
      <c r="M94" s="414"/>
      <c r="N94" s="414"/>
      <c r="O94" s="414"/>
      <c r="P94" s="414"/>
      <c r="Q94" s="414"/>
      <c r="R94" s="414"/>
      <c r="S94" s="644"/>
      <c r="T94" s="414"/>
      <c r="U94" s="815"/>
      <c r="V94" s="815"/>
    </row>
    <row r="95" spans="4:22">
      <c r="D95" s="414"/>
      <c r="E95" s="414"/>
      <c r="F95" s="414"/>
      <c r="G95" s="414"/>
      <c r="H95" s="414"/>
      <c r="I95" s="414"/>
      <c r="J95" s="414"/>
      <c r="K95" s="414"/>
      <c r="L95" s="414"/>
      <c r="M95" s="414"/>
      <c r="N95" s="414"/>
      <c r="O95" s="414"/>
      <c r="P95" s="414"/>
      <c r="Q95" s="414"/>
      <c r="R95" s="414"/>
      <c r="S95" s="644"/>
      <c r="T95" s="414"/>
      <c r="U95" s="815"/>
      <c r="V95" s="815"/>
    </row>
    <row r="96" spans="4:22">
      <c r="D96" s="414"/>
      <c r="E96" s="414"/>
      <c r="F96" s="414"/>
      <c r="G96" s="414"/>
      <c r="H96" s="414"/>
      <c r="I96" s="414"/>
      <c r="J96" s="414"/>
      <c r="K96" s="414"/>
      <c r="L96" s="414"/>
      <c r="M96" s="414"/>
      <c r="N96" s="414"/>
      <c r="O96" s="414"/>
      <c r="P96" s="414"/>
      <c r="Q96" s="414"/>
      <c r="R96" s="414"/>
      <c r="S96" s="644"/>
      <c r="T96" s="414"/>
      <c r="U96" s="815"/>
      <c r="V96" s="815"/>
    </row>
    <row r="97" spans="21:22">
      <c r="U97" s="815"/>
      <c r="V97" s="815"/>
    </row>
    <row r="98" spans="21:22">
      <c r="U98" s="815"/>
      <c r="V98" s="815"/>
    </row>
    <row r="1048576" spans="4:18">
      <c r="D1048576" s="689"/>
      <c r="E1048576" s="689"/>
      <c r="F1048576" s="689"/>
      <c r="G1048576" s="689"/>
      <c r="H1048576" s="689"/>
      <c r="I1048576" s="689"/>
      <c r="J1048576" s="689"/>
      <c r="K1048576" s="689"/>
      <c r="L1048576" s="689"/>
      <c r="M1048576" s="689"/>
      <c r="N1048576" s="689"/>
      <c r="O1048576" s="689"/>
      <c r="P1048576" s="689"/>
      <c r="Q1048576" s="689"/>
      <c r="R1048576" s="689"/>
    </row>
  </sheetData>
  <dataConsolidate/>
  <mergeCells count="15">
    <mergeCell ref="U75:V98"/>
    <mergeCell ref="U50:V58"/>
    <mergeCell ref="D41:F43"/>
    <mergeCell ref="G41:I43"/>
    <mergeCell ref="D8:R9"/>
    <mergeCell ref="D11:R15"/>
    <mergeCell ref="D37:F39"/>
    <mergeCell ref="G37:I39"/>
    <mergeCell ref="D86:R86"/>
    <mergeCell ref="D87:R87"/>
    <mergeCell ref="D88:R88"/>
    <mergeCell ref="D82:R82"/>
    <mergeCell ref="D83:R83"/>
    <mergeCell ref="D84:R84"/>
    <mergeCell ref="D85:R85"/>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pageMargins left="0.7" right="0.7" top="0.75" bottom="0.75" header="0.3" footer="0.3"/>
  <pageSetup paperSize="9"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T48"/>
  <sheetViews>
    <sheetView showGridLines="0" topLeftCell="A49" zoomScale="65" zoomScaleNormal="70" workbookViewId="0">
      <selection activeCell="S46" sqref="S46"/>
    </sheetView>
  </sheetViews>
  <sheetFormatPr defaultColWidth="8.625" defaultRowHeight="14.1"/>
  <cols>
    <col min="1" max="1" width="2.125" customWidth="1"/>
    <col min="2" max="2" width="21.875" customWidth="1"/>
    <col min="3" max="3" width="15.125" bestFit="1" customWidth="1"/>
    <col min="4" max="4" width="13.125" customWidth="1"/>
    <col min="5" max="9" width="12.625" customWidth="1"/>
    <col min="10" max="10" width="18.625" style="6" customWidth="1"/>
    <col min="11" max="25" width="12.625" customWidth="1"/>
  </cols>
  <sheetData>
    <row r="2" spans="2:18" s="41" customFormat="1" ht="20.100000000000001" customHeight="1">
      <c r="B2" s="40" t="s">
        <v>100</v>
      </c>
      <c r="J2" s="42"/>
    </row>
    <row r="4" spans="2:18" ht="15.6">
      <c r="B4" s="52" t="s">
        <v>101</v>
      </c>
      <c r="C4" s="56"/>
      <c r="D4" s="52" t="s">
        <v>102</v>
      </c>
      <c r="E4" s="57">
        <v>2020</v>
      </c>
      <c r="F4" s="57">
        <f>+E4+1</f>
        <v>2021</v>
      </c>
      <c r="G4" s="57">
        <f>+F4+1</f>
        <v>2022</v>
      </c>
      <c r="H4" s="57">
        <f t="shared" ref="H4:I4" si="0">+G4+1</f>
        <v>2023</v>
      </c>
      <c r="I4" s="57">
        <f t="shared" si="0"/>
        <v>2024</v>
      </c>
      <c r="J4" s="58" t="str">
        <f>"CAGR "&amp;$G$4&amp;" - "&amp;$I$4</f>
        <v>CAGR 2022 - 2024</v>
      </c>
      <c r="K4" s="57">
        <v>2021</v>
      </c>
      <c r="L4" s="57">
        <f>+K4+1</f>
        <v>2022</v>
      </c>
      <c r="M4" s="57">
        <f>+L4+1</f>
        <v>2023</v>
      </c>
      <c r="N4" s="57">
        <f t="shared" ref="N4" si="1">+M4+1</f>
        <v>2024</v>
      </c>
    </row>
    <row r="5" spans="2:18" ht="3.95" customHeight="1">
      <c r="B5" s="53"/>
      <c r="C5" s="53"/>
      <c r="D5" s="53"/>
      <c r="E5" s="53"/>
      <c r="F5" s="53"/>
      <c r="G5" s="53"/>
      <c r="H5" s="53"/>
      <c r="I5" s="53"/>
      <c r="J5" s="59"/>
      <c r="K5" s="59"/>
      <c r="L5" s="59"/>
      <c r="M5" s="59"/>
      <c r="N5" s="59"/>
    </row>
    <row r="6" spans="2:18">
      <c r="B6" t="s">
        <v>103</v>
      </c>
      <c r="D6" s="62">
        <f>IFERROR(I6/SUM($I$6:$I$12),"")</f>
        <v>0.59944199023482914</v>
      </c>
      <c r="E6" s="74"/>
      <c r="F6" s="74"/>
      <c r="G6" s="75">
        <v>10251</v>
      </c>
      <c r="H6" s="75">
        <v>11654</v>
      </c>
      <c r="I6" s="75">
        <v>12891</v>
      </c>
      <c r="J6" s="61">
        <f>IFERROR((I6/G6)^(1/COUNT($G$4:$I$4))-1,"")</f>
        <v>7.9377742300769771E-2</v>
      </c>
      <c r="K6" s="703"/>
      <c r="L6" s="62" t="str">
        <f>IFERROR(G6-F6/F6,"")</f>
        <v/>
      </c>
      <c r="M6" s="76">
        <f>IFERROR((H6-G6)/G6,"")</f>
        <v>0.13686469612720711</v>
      </c>
      <c r="N6" s="76">
        <f t="shared" ref="N6:N13" si="2">IFERROR((I6-H6)/H6,"")</f>
        <v>0.10614381328299297</v>
      </c>
    </row>
    <row r="7" spans="2:18">
      <c r="B7" t="s">
        <v>104</v>
      </c>
      <c r="D7" s="62">
        <f t="shared" ref="D7:D8" si="3">IFERROR(I7/SUM($I$6:$I$12),"")</f>
        <v>0.14229249011857709</v>
      </c>
      <c r="E7" s="74"/>
      <c r="F7" s="74"/>
      <c r="G7" s="75">
        <v>2762</v>
      </c>
      <c r="H7" s="75">
        <v>2874</v>
      </c>
      <c r="I7" s="75">
        <v>3060</v>
      </c>
      <c r="J7" s="61">
        <f t="shared" ref="J7:J8" si="4">IFERROR((I7/G7)^(1/COUNT($G$4:$I$4))-1,"")</f>
        <v>3.4743207246250574E-2</v>
      </c>
      <c r="K7" s="703"/>
      <c r="L7" s="62" t="str">
        <f t="shared" ref="K7:M13" si="5">IFERROR(G7-F7/F7,"")</f>
        <v/>
      </c>
      <c r="M7" s="76">
        <f t="shared" ref="M7:M8" si="6">IFERROR((H7-G7)/G7,"")</f>
        <v>4.0550325850832729E-2</v>
      </c>
      <c r="N7" s="76">
        <f t="shared" si="2"/>
        <v>6.471816283924843E-2</v>
      </c>
    </row>
    <row r="8" spans="2:18">
      <c r="B8" s="71" t="s">
        <v>105</v>
      </c>
      <c r="D8" s="62">
        <f t="shared" si="3"/>
        <v>0.25826551964659383</v>
      </c>
      <c r="E8" s="77"/>
      <c r="F8" s="77"/>
      <c r="G8" s="75">
        <v>4593</v>
      </c>
      <c r="H8" s="75">
        <v>4881</v>
      </c>
      <c r="I8" s="75">
        <v>5554</v>
      </c>
      <c r="J8" s="61">
        <f t="shared" si="4"/>
        <v>6.5376574611200722E-2</v>
      </c>
      <c r="K8" s="703"/>
      <c r="L8" s="62" t="str">
        <f t="shared" si="5"/>
        <v/>
      </c>
      <c r="M8" s="76">
        <f t="shared" si="6"/>
        <v>6.2704114957544091E-2</v>
      </c>
      <c r="N8" s="76">
        <f t="shared" si="2"/>
        <v>0.13788158164310593</v>
      </c>
    </row>
    <row r="9" spans="2:18">
      <c r="B9" s="71"/>
      <c r="D9" s="62"/>
      <c r="E9" s="77"/>
      <c r="F9" s="77"/>
      <c r="G9" s="75"/>
      <c r="H9" s="75"/>
      <c r="I9" s="77"/>
      <c r="J9" s="61" t="str">
        <f t="shared" ref="J9:J10" si="7">IFERROR((I9/E9)^(1/COUNT($E$4:$I$4))-1,"")</f>
        <v/>
      </c>
      <c r="K9" s="62"/>
      <c r="L9" s="62" t="str">
        <f t="shared" si="5"/>
        <v/>
      </c>
      <c r="M9" s="62" t="str">
        <f t="shared" si="5"/>
        <v/>
      </c>
      <c r="N9" s="76" t="str">
        <f t="shared" si="2"/>
        <v/>
      </c>
    </row>
    <row r="10" spans="2:18">
      <c r="B10" s="71"/>
      <c r="D10" s="62"/>
      <c r="E10" s="77"/>
      <c r="F10" s="77"/>
      <c r="G10" s="75"/>
      <c r="H10" s="75"/>
      <c r="I10" s="77"/>
      <c r="J10" s="61" t="str">
        <f t="shared" si="7"/>
        <v/>
      </c>
      <c r="K10" s="62" t="str">
        <f t="shared" si="5"/>
        <v/>
      </c>
      <c r="L10" s="62" t="str">
        <f t="shared" si="5"/>
        <v/>
      </c>
      <c r="M10" s="62" t="str">
        <f t="shared" si="5"/>
        <v/>
      </c>
      <c r="N10" s="76" t="str">
        <f t="shared" si="2"/>
        <v/>
      </c>
    </row>
    <row r="11" spans="2:18">
      <c r="B11" s="71"/>
      <c r="D11" s="62"/>
      <c r="E11" s="77"/>
      <c r="F11" s="77"/>
      <c r="G11" s="77"/>
      <c r="H11" s="77"/>
      <c r="I11" s="77"/>
      <c r="J11" s="61"/>
      <c r="K11" s="62"/>
      <c r="L11" s="62"/>
      <c r="M11" s="62"/>
      <c r="N11" s="76"/>
    </row>
    <row r="12" spans="2:18">
      <c r="B12" s="71"/>
      <c r="D12" s="62"/>
      <c r="E12" s="77"/>
      <c r="F12" s="77"/>
      <c r="G12" s="77"/>
      <c r="H12" s="77"/>
      <c r="I12" s="77"/>
      <c r="J12" s="61"/>
      <c r="K12" s="62"/>
      <c r="L12" s="62"/>
      <c r="M12" s="62"/>
      <c r="N12" s="76"/>
    </row>
    <row r="13" spans="2:18">
      <c r="B13" s="1" t="s">
        <v>106</v>
      </c>
      <c r="D13" s="78">
        <f>SUM(D6:D12)</f>
        <v>1</v>
      </c>
      <c r="E13" s="79">
        <f>SUM(E6:E10)</f>
        <v>0</v>
      </c>
      <c r="F13" s="79">
        <f t="shared" ref="F13:H13" si="8">SUM(F6:F10)</f>
        <v>0</v>
      </c>
      <c r="G13" s="79">
        <f t="shared" si="8"/>
        <v>17606</v>
      </c>
      <c r="H13" s="79">
        <f t="shared" si="8"/>
        <v>19409</v>
      </c>
      <c r="I13" s="79">
        <f>SUM(I6:I10)</f>
        <v>21505</v>
      </c>
      <c r="J13" s="63">
        <f>IFERROR((I13/G13)^(1/COUNT($G$4:$I$4))-1,"")</f>
        <v>6.8955394079313281E-2</v>
      </c>
      <c r="K13" s="64" t="str">
        <f t="shared" si="5"/>
        <v/>
      </c>
      <c r="L13" s="64" t="str">
        <f t="shared" si="5"/>
        <v/>
      </c>
      <c r="M13" s="76">
        <f>IFERROR((H13-G13)/G13,"")</f>
        <v>0.10240826990798592</v>
      </c>
      <c r="N13" s="76">
        <f t="shared" si="2"/>
        <v>0.10799113813179453</v>
      </c>
    </row>
    <row r="14" spans="2:18" ht="8.1" customHeight="1">
      <c r="R14" s="80"/>
    </row>
    <row r="15" spans="2:18" ht="15.6">
      <c r="B15" s="52" t="s">
        <v>100</v>
      </c>
      <c r="C15" s="56"/>
      <c r="D15" s="52" t="s">
        <v>102</v>
      </c>
      <c r="E15" s="57">
        <v>2020</v>
      </c>
      <c r="F15" s="57">
        <f>+E15+1</f>
        <v>2021</v>
      </c>
      <c r="G15" s="57">
        <f>+F15+1</f>
        <v>2022</v>
      </c>
      <c r="H15" s="57">
        <f t="shared" ref="H15:I15" si="9">+G15+1</f>
        <v>2023</v>
      </c>
      <c r="I15" s="57">
        <f t="shared" si="9"/>
        <v>2024</v>
      </c>
      <c r="J15" s="58" t="str">
        <f>"CAGR "&amp;$E$4&amp;" - "&amp;$I$4</f>
        <v>CAGR 2020 - 2024</v>
      </c>
      <c r="K15" s="57">
        <v>2021</v>
      </c>
      <c r="L15" s="57">
        <f>+K15+1</f>
        <v>2022</v>
      </c>
      <c r="M15" s="57">
        <f>+L15+1</f>
        <v>2023</v>
      </c>
      <c r="N15" s="57">
        <f t="shared" ref="N15" si="10">+M15+1</f>
        <v>2024</v>
      </c>
    </row>
    <row r="16" spans="2:18" s="76" customFormat="1" ht="3.95" customHeight="1">
      <c r="B16" s="53"/>
      <c r="C16" s="53"/>
      <c r="D16" s="53"/>
      <c r="E16" s="53"/>
      <c r="F16" s="53"/>
      <c r="G16" s="53"/>
      <c r="H16" s="53"/>
      <c r="I16" s="53"/>
      <c r="J16" s="59"/>
      <c r="K16" s="59"/>
      <c r="L16" s="59"/>
      <c r="M16" s="59"/>
      <c r="N16" s="59"/>
      <c r="O16" s="81"/>
    </row>
    <row r="17" spans="2:14">
      <c r="B17" t="s">
        <v>107</v>
      </c>
      <c r="D17" s="62">
        <f>IFERROR(I17/SUM($I$17:$I$21),"")</f>
        <v>0.73768890955591726</v>
      </c>
      <c r="E17" s="77"/>
      <c r="F17" s="77"/>
      <c r="G17" s="77">
        <v>12842</v>
      </c>
      <c r="H17" s="77">
        <v>14216</v>
      </c>
      <c r="I17" s="77">
        <v>15864</v>
      </c>
      <c r="J17" s="61">
        <f>IFERROR((I17/G17)^(1/COUNT($G$4:$I$4))-1,"")</f>
        <v>7.2984245220881094E-2</v>
      </c>
      <c r="K17" s="80" t="str">
        <f t="shared" ref="K17:N22" si="11">IFERROR((F17-E17)/E17,"")</f>
        <v/>
      </c>
      <c r="L17" s="80" t="str">
        <f t="shared" si="11"/>
        <v/>
      </c>
      <c r="M17" s="80">
        <f t="shared" si="11"/>
        <v>0.10699268026787105</v>
      </c>
      <c r="N17" s="80">
        <f t="shared" si="11"/>
        <v>0.11592571750140687</v>
      </c>
    </row>
    <row r="18" spans="2:14">
      <c r="B18" t="s">
        <v>108</v>
      </c>
      <c r="D18" s="62">
        <f t="shared" ref="D18:D19" si="12">IFERROR(I18/SUM($I$17:$I$21),"")</f>
        <v>0.24952336665891653</v>
      </c>
      <c r="E18" s="77"/>
      <c r="F18" s="77"/>
      <c r="G18" s="77">
        <v>4422</v>
      </c>
      <c r="H18" s="77">
        <v>4893</v>
      </c>
      <c r="I18" s="77">
        <v>5366</v>
      </c>
      <c r="J18" s="61">
        <f t="shared" ref="J18:J19" si="13">IFERROR((I18/G18)^(1/COUNT($G$4:$I$4))-1,"")</f>
        <v>6.6622260890728313E-2</v>
      </c>
      <c r="K18" s="80" t="str">
        <f t="shared" si="11"/>
        <v/>
      </c>
      <c r="L18" s="80" t="str">
        <f t="shared" si="11"/>
        <v/>
      </c>
      <c r="M18" s="80">
        <f t="shared" si="11"/>
        <v>0.10651289009497965</v>
      </c>
      <c r="N18" s="80">
        <f t="shared" si="11"/>
        <v>9.6668710402615987E-2</v>
      </c>
    </row>
    <row r="19" spans="2:14">
      <c r="B19" t="s">
        <v>109</v>
      </c>
      <c r="D19" s="62">
        <f t="shared" si="12"/>
        <v>1.278772378516624E-2</v>
      </c>
      <c r="E19" s="77"/>
      <c r="F19" s="77"/>
      <c r="G19" s="77">
        <v>342</v>
      </c>
      <c r="H19" s="77">
        <v>300</v>
      </c>
      <c r="I19" s="77">
        <v>275</v>
      </c>
      <c r="J19" s="61">
        <f t="shared" si="13"/>
        <v>-7.0101538332941526E-2</v>
      </c>
      <c r="K19" s="80" t="str">
        <f t="shared" si="11"/>
        <v/>
      </c>
      <c r="L19" s="80" t="str">
        <f t="shared" si="11"/>
        <v/>
      </c>
      <c r="M19" s="80">
        <f t="shared" si="11"/>
        <v>-0.12280701754385964</v>
      </c>
      <c r="N19" s="80">
        <f t="shared" si="11"/>
        <v>-8.3333333333333329E-2</v>
      </c>
    </row>
    <row r="20" spans="2:14">
      <c r="B20" s="71"/>
      <c r="D20" s="62"/>
      <c r="E20" s="77"/>
      <c r="F20" s="77"/>
      <c r="G20" s="77"/>
      <c r="H20" s="77"/>
      <c r="I20" s="77"/>
      <c r="J20" s="61" t="str">
        <f t="shared" ref="J20:J22" si="14">IFERROR((I20/E20)^(1/COUNT($E$4:$I$4))-1,"")</f>
        <v/>
      </c>
      <c r="K20" s="80" t="str">
        <f t="shared" si="11"/>
        <v/>
      </c>
      <c r="L20" s="80" t="str">
        <f t="shared" si="11"/>
        <v/>
      </c>
      <c r="M20" s="80" t="str">
        <f t="shared" si="11"/>
        <v/>
      </c>
      <c r="N20" s="80" t="str">
        <f t="shared" si="11"/>
        <v/>
      </c>
    </row>
    <row r="21" spans="2:14">
      <c r="B21" s="71"/>
      <c r="D21" s="62"/>
      <c r="E21" s="77"/>
      <c r="F21" s="77"/>
      <c r="G21" s="77"/>
      <c r="H21" s="77"/>
      <c r="I21" s="77"/>
      <c r="J21" s="61" t="str">
        <f t="shared" si="14"/>
        <v/>
      </c>
      <c r="K21" s="80" t="str">
        <f t="shared" si="11"/>
        <v/>
      </c>
      <c r="L21" s="80" t="str">
        <f t="shared" si="11"/>
        <v/>
      </c>
      <c r="M21" s="80" t="str">
        <f t="shared" si="11"/>
        <v/>
      </c>
      <c r="N21" s="80" t="str">
        <f t="shared" si="11"/>
        <v/>
      </c>
    </row>
    <row r="22" spans="2:14">
      <c r="B22" s="1" t="s">
        <v>106</v>
      </c>
      <c r="D22" s="78">
        <f>SUM(D17:D21)</f>
        <v>1</v>
      </c>
      <c r="E22" s="79">
        <f>SUM(E17:E21)</f>
        <v>0</v>
      </c>
      <c r="F22" s="79">
        <f>SUM(F17:F21)</f>
        <v>0</v>
      </c>
      <c r="G22" s="79">
        <f t="shared" ref="G22:I22" si="15">SUM(G17:G21)</f>
        <v>17606</v>
      </c>
      <c r="H22" s="79">
        <f t="shared" si="15"/>
        <v>19409</v>
      </c>
      <c r="I22" s="79">
        <f t="shared" si="15"/>
        <v>21505</v>
      </c>
      <c r="J22" s="63" t="str">
        <f t="shared" si="14"/>
        <v/>
      </c>
      <c r="K22" s="80" t="str">
        <f t="shared" si="11"/>
        <v/>
      </c>
      <c r="L22" s="80" t="str">
        <f t="shared" si="11"/>
        <v/>
      </c>
      <c r="M22" s="80">
        <f t="shared" si="11"/>
        <v>0.10240826990798592</v>
      </c>
      <c r="N22" s="80">
        <f t="shared" si="11"/>
        <v>0.10799113813179453</v>
      </c>
    </row>
    <row r="23" spans="2:14" ht="8.1" customHeight="1">
      <c r="B23" s="1"/>
      <c r="D23" s="1"/>
      <c r="E23" s="79"/>
      <c r="F23" s="79"/>
      <c r="G23" s="79"/>
      <c r="H23" s="79"/>
      <c r="I23" s="79"/>
      <c r="J23" s="63"/>
      <c r="K23" s="1"/>
      <c r="L23" s="1"/>
      <c r="M23" s="1"/>
      <c r="N23" s="1"/>
    </row>
    <row r="24" spans="2:14" ht="15" customHeight="1">
      <c r="B24" s="65" t="s">
        <v>110</v>
      </c>
      <c r="C24" s="66"/>
      <c r="D24" s="65" t="s">
        <v>111</v>
      </c>
      <c r="E24" s="66"/>
      <c r="F24" s="66"/>
      <c r="G24" s="66"/>
      <c r="H24" s="66"/>
      <c r="I24" s="66"/>
      <c r="J24" s="82" t="s">
        <v>112</v>
      </c>
      <c r="K24" s="83"/>
      <c r="L24" s="83"/>
      <c r="M24" s="83"/>
      <c r="N24" s="83"/>
    </row>
    <row r="25" spans="2:14" ht="3.95" customHeight="1">
      <c r="B25" s="67"/>
      <c r="C25" s="67"/>
      <c r="D25" s="67"/>
      <c r="E25" s="67"/>
      <c r="F25" s="67"/>
      <c r="G25" s="67"/>
      <c r="H25" s="67"/>
      <c r="I25" s="67"/>
      <c r="J25" s="84"/>
      <c r="K25" s="84"/>
      <c r="L25" s="84"/>
      <c r="M25" s="84"/>
      <c r="N25" s="84"/>
    </row>
    <row r="26" spans="2:14" ht="50.25" customHeight="1">
      <c r="B26" s="831" t="s">
        <v>113</v>
      </c>
      <c r="C26" s="831"/>
      <c r="D26" s="829" t="s">
        <v>114</v>
      </c>
      <c r="E26" s="830"/>
      <c r="F26" s="830"/>
      <c r="G26" s="830"/>
      <c r="H26" s="830"/>
      <c r="I26" s="830"/>
      <c r="J26" s="63"/>
      <c r="K26" s="1"/>
      <c r="L26" s="1"/>
      <c r="M26" s="1"/>
      <c r="N26" s="1"/>
    </row>
    <row r="27" spans="2:14" ht="39.950000000000003" customHeight="1">
      <c r="B27" s="831" t="s">
        <v>115</v>
      </c>
      <c r="C27" s="831"/>
      <c r="D27" s="829" t="s">
        <v>116</v>
      </c>
      <c r="E27" s="830"/>
      <c r="F27" s="830"/>
      <c r="G27" s="830"/>
      <c r="H27" s="830"/>
      <c r="I27" s="830"/>
      <c r="J27" s="63"/>
      <c r="K27" s="1"/>
      <c r="L27" s="1"/>
      <c r="M27" s="1"/>
      <c r="N27" s="1"/>
    </row>
    <row r="28" spans="2:14" ht="39.950000000000003" customHeight="1">
      <c r="B28" s="831" t="s">
        <v>117</v>
      </c>
      <c r="C28" s="831"/>
      <c r="D28" s="829" t="s">
        <v>118</v>
      </c>
      <c r="E28" s="830"/>
      <c r="F28" s="830"/>
      <c r="G28" s="830"/>
      <c r="H28" s="830"/>
      <c r="I28" s="830"/>
      <c r="J28" s="63"/>
      <c r="K28" s="1"/>
      <c r="L28" s="1"/>
      <c r="M28" s="1"/>
      <c r="N28" s="1"/>
    </row>
    <row r="29" spans="2:14" ht="39.950000000000003" hidden="1" customHeight="1">
      <c r="B29" s="831" t="str">
        <f>IF(B20=0,"",B20)</f>
        <v/>
      </c>
      <c r="C29" s="831"/>
      <c r="D29" s="833"/>
      <c r="E29" s="833"/>
      <c r="F29" s="833"/>
      <c r="G29" s="833"/>
      <c r="H29" s="833"/>
      <c r="I29" s="833"/>
      <c r="J29" s="63"/>
      <c r="K29" s="1"/>
      <c r="L29" s="1"/>
      <c r="M29" s="1"/>
      <c r="N29" s="1"/>
    </row>
    <row r="30" spans="2:14" ht="39.950000000000003" hidden="1" customHeight="1">
      <c r="B30" s="831" t="str">
        <f>IF(B21=0,"",B21)</f>
        <v/>
      </c>
      <c r="C30" s="831"/>
      <c r="D30" s="833"/>
      <c r="E30" s="833"/>
      <c r="F30" s="833"/>
      <c r="G30" s="833"/>
      <c r="H30" s="833"/>
      <c r="I30" s="833"/>
      <c r="J30" s="63"/>
      <c r="K30" s="1"/>
      <c r="L30" s="1"/>
      <c r="M30" s="1"/>
      <c r="N30" s="1"/>
    </row>
    <row r="31" spans="2:14" ht="50.25" customHeight="1">
      <c r="B31" s="68" t="s">
        <v>119</v>
      </c>
      <c r="C31" s="68"/>
      <c r="D31" s="829" t="s">
        <v>120</v>
      </c>
      <c r="E31" s="830"/>
      <c r="F31" s="830"/>
      <c r="G31" s="830"/>
      <c r="H31" s="830"/>
      <c r="I31" s="830"/>
      <c r="J31" s="63"/>
      <c r="K31" s="1"/>
      <c r="L31" s="1"/>
      <c r="M31" s="1"/>
      <c r="N31" s="1"/>
    </row>
    <row r="32" spans="2:14" ht="50.25" customHeight="1">
      <c r="B32" s="68" t="s">
        <v>121</v>
      </c>
      <c r="C32" s="68"/>
      <c r="D32" s="829" t="s">
        <v>122</v>
      </c>
      <c r="E32" s="830"/>
      <c r="F32" s="830"/>
      <c r="G32" s="830"/>
      <c r="H32" s="830"/>
      <c r="I32" s="830"/>
      <c r="J32" s="63"/>
      <c r="K32" s="1"/>
      <c r="L32" s="1"/>
      <c r="M32" s="1"/>
      <c r="N32" s="1"/>
    </row>
    <row r="33" spans="2:20" ht="51" customHeight="1">
      <c r="B33" s="68" t="s">
        <v>123</v>
      </c>
      <c r="C33" s="68"/>
      <c r="D33" s="829" t="s">
        <v>124</v>
      </c>
      <c r="E33" s="830"/>
      <c r="F33" s="830"/>
      <c r="G33" s="830"/>
      <c r="H33" s="830"/>
      <c r="I33" s="830"/>
      <c r="J33" s="63"/>
      <c r="K33" s="1"/>
      <c r="L33" s="1"/>
      <c r="M33" s="1"/>
      <c r="N33" s="1"/>
    </row>
    <row r="34" spans="2:20" ht="8.25" customHeight="1">
      <c r="E34" s="69"/>
      <c r="F34" s="69"/>
      <c r="G34" s="69"/>
      <c r="H34" s="69"/>
      <c r="I34" s="69"/>
      <c r="J34" s="85"/>
    </row>
    <row r="35" spans="2:20" ht="15.6">
      <c r="B35" s="52" t="s">
        <v>125</v>
      </c>
      <c r="C35" s="56"/>
      <c r="D35" s="52" t="s">
        <v>102</v>
      </c>
      <c r="E35" s="57">
        <v>2020</v>
      </c>
      <c r="F35" s="57">
        <f>+E35+1</f>
        <v>2021</v>
      </c>
      <c r="G35" s="57">
        <f>+F35+1</f>
        <v>2022</v>
      </c>
      <c r="H35" s="57">
        <f t="shared" ref="H35:I35" si="16">+G35+1</f>
        <v>2023</v>
      </c>
      <c r="I35" s="86">
        <f t="shared" si="16"/>
        <v>2024</v>
      </c>
      <c r="J35" s="87">
        <f>I35+1</f>
        <v>2025</v>
      </c>
      <c r="K35" s="87">
        <f t="shared" ref="K35:T35" si="17">+J35+1</f>
        <v>2026</v>
      </c>
      <c r="L35" s="87">
        <f t="shared" si="17"/>
        <v>2027</v>
      </c>
      <c r="M35" s="87">
        <f t="shared" si="17"/>
        <v>2028</v>
      </c>
      <c r="N35" s="87">
        <f t="shared" si="17"/>
        <v>2029</v>
      </c>
      <c r="O35" s="87">
        <f t="shared" si="17"/>
        <v>2030</v>
      </c>
      <c r="P35" s="87">
        <f t="shared" si="17"/>
        <v>2031</v>
      </c>
      <c r="Q35" s="87">
        <f t="shared" si="17"/>
        <v>2032</v>
      </c>
      <c r="R35" s="87">
        <f t="shared" si="17"/>
        <v>2033</v>
      </c>
      <c r="S35" s="87">
        <f t="shared" si="17"/>
        <v>2034</v>
      </c>
      <c r="T35" s="87">
        <f t="shared" si="17"/>
        <v>2035</v>
      </c>
    </row>
    <row r="36" spans="2:20" ht="3.95" customHeight="1">
      <c r="B36" s="53"/>
      <c r="C36" s="53"/>
      <c r="D36" s="53"/>
      <c r="E36" s="53"/>
      <c r="F36" s="53"/>
      <c r="G36" s="53"/>
      <c r="H36" s="53"/>
      <c r="I36" s="88"/>
      <c r="J36" s="59"/>
      <c r="K36" s="59"/>
      <c r="L36" s="59"/>
      <c r="M36" s="59"/>
      <c r="N36" s="59"/>
      <c r="O36" s="59"/>
      <c r="P36" s="59"/>
      <c r="Q36" s="59"/>
      <c r="R36" s="59"/>
      <c r="S36" s="59"/>
      <c r="T36" s="59"/>
    </row>
    <row r="37" spans="2:20">
      <c r="B37" t="s">
        <v>126</v>
      </c>
      <c r="D37" s="62">
        <f>I37/I$40</f>
        <v>0.7994200706001009</v>
      </c>
      <c r="E37" s="77"/>
      <c r="F37" s="77"/>
      <c r="G37" s="77">
        <v>10459</v>
      </c>
      <c r="H37" s="77">
        <v>11517</v>
      </c>
      <c r="I37" s="89">
        <v>12682</v>
      </c>
      <c r="J37" s="90"/>
      <c r="K37" s="90"/>
      <c r="L37" s="90"/>
      <c r="M37" s="90"/>
      <c r="N37" s="90"/>
      <c r="O37" s="90"/>
      <c r="P37" s="90"/>
      <c r="Q37" s="90"/>
      <c r="R37" s="90"/>
      <c r="S37" s="90"/>
      <c r="T37" s="90"/>
    </row>
    <row r="38" spans="2:20">
      <c r="B38" t="s">
        <v>127</v>
      </c>
      <c r="D38" s="62">
        <f>I38/I$40</f>
        <v>0.20057992939989913</v>
      </c>
      <c r="E38" s="91"/>
      <c r="F38" s="92"/>
      <c r="G38" s="77">
        <v>2383</v>
      </c>
      <c r="H38" s="77">
        <v>2699</v>
      </c>
      <c r="I38" s="89">
        <v>3182</v>
      </c>
      <c r="J38" s="93"/>
      <c r="K38" s="93"/>
      <c r="L38" s="93"/>
      <c r="M38" s="93"/>
      <c r="N38" s="93"/>
      <c r="O38" s="93"/>
      <c r="P38" s="93"/>
      <c r="Q38" s="93"/>
      <c r="R38" s="93"/>
      <c r="S38" s="93"/>
      <c r="T38" s="93"/>
    </row>
    <row r="39" spans="2:20">
      <c r="D39" s="62"/>
      <c r="E39" s="77"/>
      <c r="F39" s="77"/>
      <c r="G39" s="702"/>
      <c r="H39" s="702"/>
      <c r="I39" s="701"/>
      <c r="J39" s="90"/>
      <c r="K39" s="90"/>
      <c r="L39" s="90"/>
      <c r="M39" s="90"/>
      <c r="N39" s="90"/>
      <c r="O39" s="90"/>
      <c r="P39" s="90"/>
      <c r="Q39" s="90"/>
      <c r="R39" s="90"/>
      <c r="S39" s="90"/>
      <c r="T39" s="90"/>
    </row>
    <row r="40" spans="2:20">
      <c r="B40" s="1" t="s">
        <v>106</v>
      </c>
      <c r="D40" s="78">
        <f t="shared" ref="D40:T40" si="18">SUM(D37:D39)</f>
        <v>1</v>
      </c>
      <c r="E40" s="79">
        <f t="shared" si="18"/>
        <v>0</v>
      </c>
      <c r="F40" s="79">
        <f t="shared" si="18"/>
        <v>0</v>
      </c>
      <c r="G40" s="79">
        <f t="shared" si="18"/>
        <v>12842</v>
      </c>
      <c r="H40" s="79">
        <f t="shared" si="18"/>
        <v>14216</v>
      </c>
      <c r="I40" s="79">
        <f t="shared" si="18"/>
        <v>15864</v>
      </c>
      <c r="J40" s="79">
        <f t="shared" si="18"/>
        <v>0</v>
      </c>
      <c r="K40" s="79">
        <f t="shared" si="18"/>
        <v>0</v>
      </c>
      <c r="L40" s="79">
        <f t="shared" si="18"/>
        <v>0</v>
      </c>
      <c r="M40" s="79">
        <f t="shared" si="18"/>
        <v>0</v>
      </c>
      <c r="N40" s="79">
        <f t="shared" si="18"/>
        <v>0</v>
      </c>
      <c r="O40" s="79">
        <f t="shared" si="18"/>
        <v>0</v>
      </c>
      <c r="P40" s="79">
        <f t="shared" si="18"/>
        <v>0</v>
      </c>
      <c r="Q40" s="79">
        <f t="shared" si="18"/>
        <v>0</v>
      </c>
      <c r="R40" s="79">
        <f t="shared" si="18"/>
        <v>0</v>
      </c>
      <c r="S40" s="79">
        <f t="shared" si="18"/>
        <v>0</v>
      </c>
      <c r="T40" s="79">
        <f t="shared" si="18"/>
        <v>0</v>
      </c>
    </row>
    <row r="41" spans="2:20" ht="8.1" customHeight="1"/>
    <row r="42" spans="2:20" ht="15.6">
      <c r="B42" s="65" t="s">
        <v>128</v>
      </c>
      <c r="C42" s="66"/>
      <c r="D42" s="65"/>
      <c r="E42" s="66"/>
      <c r="F42" s="66"/>
      <c r="G42" s="66"/>
      <c r="H42" s="66"/>
      <c r="I42" s="66"/>
      <c r="J42" s="82"/>
      <c r="K42" s="83"/>
      <c r="L42" s="83"/>
      <c r="M42" s="83"/>
      <c r="N42" s="83"/>
      <c r="O42" s="83"/>
    </row>
    <row r="43" spans="2:20" ht="3.95" customHeight="1">
      <c r="B43" s="67"/>
      <c r="C43" s="67"/>
      <c r="D43" s="67"/>
      <c r="E43" s="67"/>
      <c r="F43" s="67"/>
      <c r="G43" s="67"/>
      <c r="H43" s="67"/>
      <c r="I43" s="67"/>
      <c r="J43" s="84"/>
      <c r="K43" s="84"/>
      <c r="L43" s="84"/>
      <c r="M43" s="84"/>
      <c r="N43" s="84"/>
      <c r="O43" s="84"/>
    </row>
    <row r="44" spans="2:20" ht="28.5" customHeight="1">
      <c r="B44" s="797" t="s">
        <v>129</v>
      </c>
      <c r="E44" s="817" t="s">
        <v>130</v>
      </c>
      <c r="F44" s="817"/>
      <c r="G44" s="817"/>
      <c r="H44" s="817"/>
      <c r="I44" s="817"/>
      <c r="J44" s="817"/>
      <c r="K44" s="817"/>
      <c r="L44" s="817"/>
      <c r="M44" s="775"/>
      <c r="N44" s="775"/>
      <c r="O44" s="775"/>
    </row>
    <row r="45" spans="2:20" ht="39.950000000000003" customHeight="1">
      <c r="B45" s="797" t="s">
        <v>131</v>
      </c>
      <c r="C45" s="797"/>
      <c r="D45" s="834" t="s">
        <v>132</v>
      </c>
      <c r="E45" s="834"/>
      <c r="F45" s="834"/>
      <c r="G45" s="834"/>
      <c r="H45" s="834"/>
      <c r="I45" s="834"/>
      <c r="J45" s="834"/>
      <c r="K45" s="803"/>
    </row>
    <row r="46" spans="2:20" ht="64.5" customHeight="1">
      <c r="B46" s="831" t="s">
        <v>133</v>
      </c>
      <c r="C46" s="831"/>
      <c r="D46" s="832" t="s">
        <v>134</v>
      </c>
      <c r="E46" s="832"/>
      <c r="F46" s="832"/>
      <c r="G46" s="832"/>
      <c r="H46" s="832"/>
      <c r="I46" s="832"/>
      <c r="J46" s="832"/>
      <c r="K46" s="832"/>
      <c r="L46" s="832"/>
      <c r="M46" s="832"/>
      <c r="N46" s="832"/>
    </row>
    <row r="47" spans="2:20" ht="39.950000000000003" customHeight="1">
      <c r="B47" s="831"/>
      <c r="C47" s="831"/>
      <c r="D47" s="832"/>
      <c r="E47" s="832"/>
      <c r="F47" s="832"/>
      <c r="G47" s="832"/>
      <c r="H47" s="832"/>
      <c r="I47" s="832"/>
      <c r="J47" s="832"/>
      <c r="K47" s="832"/>
      <c r="L47" s="832"/>
      <c r="M47" s="832"/>
      <c r="N47" s="832"/>
    </row>
    <row r="48" spans="2:20" ht="39.950000000000003" customHeight="1">
      <c r="B48" s="831"/>
      <c r="C48" s="831"/>
      <c r="D48" s="602"/>
    </row>
  </sheetData>
  <mergeCells count="20">
    <mergeCell ref="B47:C47"/>
    <mergeCell ref="D47:N47"/>
    <mergeCell ref="E44:L44"/>
    <mergeCell ref="B48:C48"/>
    <mergeCell ref="D45:J45"/>
    <mergeCell ref="B26:C26"/>
    <mergeCell ref="D26:I26"/>
    <mergeCell ref="B27:C27"/>
    <mergeCell ref="D27:I27"/>
    <mergeCell ref="B28:C28"/>
    <mergeCell ref="D28:I28"/>
    <mergeCell ref="D33:I33"/>
    <mergeCell ref="B46:C46"/>
    <mergeCell ref="D46:N46"/>
    <mergeCell ref="B29:C29"/>
    <mergeCell ref="D29:I29"/>
    <mergeCell ref="B30:C30"/>
    <mergeCell ref="D30:I30"/>
    <mergeCell ref="D32:I32"/>
    <mergeCell ref="D31:I31"/>
  </mergeCells>
  <conditionalFormatting sqref="D6:D8">
    <cfRule type="dataBar" priority="1">
      <dataBar>
        <cfvo type="min"/>
        <cfvo type="max"/>
        <color rgb="FF63C384"/>
      </dataBar>
      <extLst>
        <ext xmlns:x14="http://schemas.microsoft.com/office/spreadsheetml/2009/9/main" uri="{B025F937-C7B1-47D3-B67F-A62EFF666E3E}">
          <x14:id>{79F9A55F-225B-4905-A2FC-5BECDF78A767}</x14:id>
        </ext>
      </extLst>
    </cfRule>
  </conditionalFormatting>
  <conditionalFormatting sqref="D9:D12">
    <cfRule type="dataBar" priority="10">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9">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7:D39">
    <cfRule type="dataBar" priority="2">
      <dataBar>
        <cfvo type="min"/>
        <cfvo type="max"/>
        <color rgb="FF638EC6"/>
      </dataBar>
      <extLst>
        <ext xmlns:x14="http://schemas.microsoft.com/office/spreadsheetml/2009/9/main" uri="{B025F937-C7B1-47D3-B67F-A62EFF666E3E}">
          <x14:id>{527F8989-F3F6-4A4B-8D9F-454954265AF8}</x14:id>
        </ext>
      </extLst>
    </cfRule>
  </conditionalFormatting>
  <conditionalFormatting sqref="K6:K12">
    <cfRule type="dataBar" priority="17">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7:K22">
    <cfRule type="dataBar" priority="14">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L12">
    <cfRule type="dataBar" priority="16">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13">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15">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12">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7">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11">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79F9A55F-225B-4905-A2FC-5BECDF78A767}">
            <x14:dataBar minLength="0" maxLength="100" gradient="0">
              <x14:cfvo type="autoMin"/>
              <x14:cfvo type="autoMax"/>
              <x14:negativeFillColor rgb="FFFF0000"/>
              <x14:axisColor rgb="FF000000"/>
            </x14:dataBar>
          </x14:cfRule>
          <xm:sqref>D6:D8</xm:sqref>
        </x14:conditionalFormatting>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D9:D12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527F8989-F3F6-4A4B-8D9F-454954265AF8}">
            <x14:dataBar minLength="0" maxLength="100" border="1" negativeBarBorderColorSameAsPositive="0">
              <x14:cfvo type="autoMin"/>
              <x14:cfvo type="autoMax"/>
              <x14:borderColor rgb="FF638EC6"/>
              <x14:negativeFillColor rgb="FFFF0000"/>
              <x14:negativeBorderColor rgb="FFFF0000"/>
              <x14:axisColor rgb="FF000000"/>
            </x14:dataBar>
          </x14:cfRule>
          <xm:sqref>D37:D39</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L6:L12</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Segments!E34:I34</xm:f>
              <xm:sqref>D34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1:R73"/>
  <sheetViews>
    <sheetView showGridLines="0" topLeftCell="A15" zoomScale="64" zoomScaleNormal="78" workbookViewId="0">
      <selection activeCell="B30" sqref="B30"/>
    </sheetView>
  </sheetViews>
  <sheetFormatPr defaultColWidth="8.875" defaultRowHeight="14.1"/>
  <cols>
    <col min="1" max="1" width="2.125" style="94" customWidth="1"/>
    <col min="2" max="2" width="34.875" style="94" customWidth="1"/>
    <col min="3" max="3" width="8.875" style="94"/>
    <col min="4" max="4" width="11" style="94" customWidth="1"/>
    <col min="5" max="5" width="13.125" style="94" customWidth="1"/>
    <col min="6" max="6" width="12.625" style="94" customWidth="1"/>
    <col min="7" max="7" width="12.625" style="94" hidden="1" customWidth="1"/>
    <col min="8" max="16" width="12.625" style="94" customWidth="1"/>
    <col min="17" max="17" width="21.625" style="704" customWidth="1"/>
    <col min="18" max="32" width="12.625" style="94" customWidth="1"/>
    <col min="33" max="16384" width="8.875" style="94"/>
  </cols>
  <sheetData>
    <row r="1" spans="2:18">
      <c r="J1" s="705" t="s">
        <v>135</v>
      </c>
    </row>
    <row r="2" spans="2:18" s="707" customFormat="1" ht="20.100000000000001" customHeight="1">
      <c r="B2" s="706" t="s">
        <v>136</v>
      </c>
      <c r="F2" s="708"/>
      <c r="G2" s="708">
        <f>G11/F11-1</f>
        <v>9.7186700767263323E-2</v>
      </c>
      <c r="H2" s="708">
        <f t="shared" ref="H2:I2" si="0">H11/G11-1</f>
        <v>0.10139860139860146</v>
      </c>
      <c r="I2" s="708">
        <f t="shared" si="0"/>
        <v>7.6895943562610425E-2</v>
      </c>
      <c r="J2" s="709">
        <f>SUM(G2:I2)/3</f>
        <v>9.1827081909491737E-2</v>
      </c>
      <c r="Q2" s="710"/>
    </row>
    <row r="4" spans="2:18" ht="15.6">
      <c r="B4" s="711" t="s">
        <v>137</v>
      </c>
      <c r="C4" s="712"/>
      <c r="D4" s="712"/>
      <c r="E4" s="711" t="s">
        <v>102</v>
      </c>
      <c r="F4" s="713">
        <v>2025</v>
      </c>
      <c r="G4" s="713">
        <f>+F4+1</f>
        <v>2026</v>
      </c>
      <c r="H4" s="713">
        <f>+G4+1</f>
        <v>2027</v>
      </c>
      <c r="I4" s="713">
        <f t="shared" ref="I4:P4" si="1">+H4+1</f>
        <v>2028</v>
      </c>
      <c r="J4" s="713">
        <f t="shared" si="1"/>
        <v>2029</v>
      </c>
      <c r="K4" s="713">
        <f t="shared" si="1"/>
        <v>2030</v>
      </c>
      <c r="L4" s="713">
        <f t="shared" si="1"/>
        <v>2031</v>
      </c>
      <c r="M4" s="713">
        <f t="shared" si="1"/>
        <v>2032</v>
      </c>
      <c r="N4" s="713">
        <f t="shared" si="1"/>
        <v>2033</v>
      </c>
      <c r="O4" s="713">
        <f t="shared" si="1"/>
        <v>2034</v>
      </c>
      <c r="P4" s="713">
        <f t="shared" si="1"/>
        <v>2035</v>
      </c>
      <c r="Q4" s="714" t="str">
        <f>"CAGR "&amp;$F$4&amp;" - "&amp;$P$4</f>
        <v>CAGR 2025 - 2035</v>
      </c>
      <c r="R4" s="715" t="s">
        <v>138</v>
      </c>
    </row>
    <row r="5" spans="2:18" ht="3.95" customHeight="1">
      <c r="B5" s="716"/>
      <c r="C5" s="716"/>
      <c r="D5" s="716"/>
      <c r="E5" s="716"/>
      <c r="F5" s="716"/>
      <c r="G5" s="716"/>
      <c r="H5" s="716"/>
      <c r="I5" s="716"/>
      <c r="J5" s="716"/>
      <c r="K5" s="716"/>
      <c r="L5" s="716"/>
      <c r="M5" s="716"/>
      <c r="N5" s="716"/>
      <c r="O5" s="716"/>
      <c r="P5" s="716"/>
      <c r="Q5" s="717"/>
      <c r="R5" s="717"/>
    </row>
    <row r="6" spans="2:18" ht="14.25">
      <c r="B6" s="94" t="s">
        <v>107</v>
      </c>
      <c r="D6" s="718"/>
      <c r="E6" s="719">
        <f>Segments!D17</f>
        <v>0.73768890955591726</v>
      </c>
      <c r="F6" s="720">
        <v>17306.18181818182</v>
      </c>
      <c r="G6" s="720">
        <v>18988.112531969309</v>
      </c>
      <c r="H6" s="720">
        <v>20913.480585910253</v>
      </c>
      <c r="I6" s="720">
        <v>22521.642408742155</v>
      </c>
      <c r="J6" s="720">
        <f>I6*(1+$J$2)</f>
        <v>24589.739110946004</v>
      </c>
      <c r="K6" s="720">
        <f t="shared" ref="K6:M6" si="2">J6*(1+$J$2)</f>
        <v>26847.743098419876</v>
      </c>
      <c r="L6" s="720">
        <f t="shared" si="2"/>
        <v>29313.093003003469</v>
      </c>
      <c r="M6" s="720">
        <f t="shared" si="2"/>
        <v>32004.828795210818</v>
      </c>
      <c r="N6" s="720">
        <f>M6*(1+$J$2)</f>
        <v>34943.738830487899</v>
      </c>
      <c r="O6" s="720">
        <f t="shared" ref="O6:P6" si="3">N6*(1+$J$2)</f>
        <v>38152.520398298999</v>
      </c>
      <c r="P6" s="720">
        <f t="shared" si="3"/>
        <v>41655.955013967156</v>
      </c>
      <c r="Q6" s="721">
        <f>IFERROR((P6/F6)^(1/COUNT($F$4:$P$4))-1,"")</f>
        <v>8.3127596681726423E-2</v>
      </c>
      <c r="R6" s="722" t="s">
        <v>139</v>
      </c>
    </row>
    <row r="7" spans="2:18">
      <c r="B7" s="94" t="s">
        <v>108</v>
      </c>
      <c r="D7" s="718"/>
      <c r="E7" s="719">
        <f>Segments!D18</f>
        <v>0.24952336665891653</v>
      </c>
      <c r="F7" s="720">
        <v>5853.818181818182</v>
      </c>
      <c r="G7" s="720">
        <v>6422.7314578005116</v>
      </c>
      <c r="H7" s="720">
        <v>7073.987444780284</v>
      </c>
      <c r="I7" s="720">
        <v>7617.9483840967214</v>
      </c>
      <c r="J7" s="720">
        <f t="shared" ref="J7:M8" si="4">I7*(1+$J$2)</f>
        <v>8317.4823543454513</v>
      </c>
      <c r="K7" s="720">
        <f t="shared" si="4"/>
        <v>9081.2524877786836</v>
      </c>
      <c r="L7" s="720">
        <f t="shared" si="4"/>
        <v>9915.1574038147119</v>
      </c>
      <c r="M7" s="720">
        <f t="shared" si="4"/>
        <v>10825.637374880309</v>
      </c>
      <c r="N7" s="720">
        <f t="shared" ref="N7:P7" si="5">M7*(1+$J$2)</f>
        <v>11819.724064825898</v>
      </c>
      <c r="O7" s="720">
        <f t="shared" si="5"/>
        <v>12905.094834674255</v>
      </c>
      <c r="P7" s="720">
        <f t="shared" si="5"/>
        <v>14090.132035107647</v>
      </c>
      <c r="Q7" s="721">
        <f t="shared" ref="Q7:Q11" si="6">IFERROR((P7/F7)^(1/COUNT($F$4:$P$4))-1,"")</f>
        <v>8.3127596681726423E-2</v>
      </c>
      <c r="R7" s="719"/>
    </row>
    <row r="8" spans="2:18">
      <c r="B8" s="94" t="s">
        <v>109</v>
      </c>
      <c r="D8" s="718"/>
      <c r="E8" s="719">
        <f>Segments!D19</f>
        <v>1.278772378516624E-2</v>
      </c>
      <c r="F8" s="720">
        <v>300</v>
      </c>
      <c r="G8" s="720">
        <v>329.15601023017905</v>
      </c>
      <c r="H8" s="720">
        <v>362.53196930946291</v>
      </c>
      <c r="I8" s="720">
        <v>390.40920716112532</v>
      </c>
      <c r="J8" s="720">
        <f t="shared" si="4"/>
        <v>426.25934540532973</v>
      </c>
      <c r="K8" s="720">
        <f t="shared" si="4"/>
        <v>465.40149723055129</v>
      </c>
      <c r="L8" s="720">
        <f t="shared" si="4"/>
        <v>508.1379586375412</v>
      </c>
      <c r="M8" s="720">
        <f t="shared" si="4"/>
        <v>554.79878458667258</v>
      </c>
      <c r="N8" s="720">
        <f t="shared" ref="N8:P8" si="7">M8*(1+$J$2)</f>
        <v>605.74433802219937</v>
      </c>
      <c r="O8" s="720">
        <f t="shared" si="7"/>
        <v>661.36807296597476</v>
      </c>
      <c r="P8" s="720">
        <f t="shared" si="7"/>
        <v>722.09957317454405</v>
      </c>
      <c r="Q8" s="721">
        <f t="shared" si="6"/>
        <v>8.3127596681726423E-2</v>
      </c>
      <c r="R8" s="719"/>
    </row>
    <row r="9" spans="2:18">
      <c r="D9" s="718"/>
      <c r="E9" s="723"/>
      <c r="F9" s="724"/>
      <c r="G9" s="724"/>
      <c r="H9" s="724"/>
      <c r="I9" s="724"/>
      <c r="J9" s="725"/>
      <c r="K9" s="725"/>
      <c r="L9" s="725"/>
      <c r="M9" s="725"/>
      <c r="N9" s="725"/>
      <c r="O9" s="723"/>
      <c r="P9" s="723"/>
      <c r="Q9" s="721" t="str">
        <f t="shared" si="6"/>
        <v/>
      </c>
      <c r="R9" s="719"/>
    </row>
    <row r="10" spans="2:18">
      <c r="D10" s="718" t="s">
        <v>106</v>
      </c>
      <c r="E10" s="723"/>
      <c r="F10" s="724"/>
      <c r="G10" s="724"/>
      <c r="H10" s="724"/>
      <c r="I10" s="724"/>
      <c r="J10" s="725"/>
      <c r="K10" s="725"/>
      <c r="L10" s="725"/>
      <c r="M10" s="725"/>
      <c r="N10" s="725"/>
      <c r="O10" s="723"/>
      <c r="P10" s="723"/>
      <c r="Q10" s="721" t="str">
        <f t="shared" si="6"/>
        <v/>
      </c>
      <c r="R10" s="719"/>
    </row>
    <row r="11" spans="2:18">
      <c r="B11" s="661" t="s">
        <v>140</v>
      </c>
      <c r="E11" s="726">
        <f>SUM(E6:E10)</f>
        <v>1</v>
      </c>
      <c r="F11" s="727">
        <f>SUM(F6:F10)</f>
        <v>23460</v>
      </c>
      <c r="G11" s="727">
        <f t="shared" ref="G11:J11" si="8">SUM(G6:G10)</f>
        <v>25739.999999999996</v>
      </c>
      <c r="H11" s="727">
        <f t="shared" si="8"/>
        <v>28350</v>
      </c>
      <c r="I11" s="727">
        <f t="shared" si="8"/>
        <v>30530.000000000004</v>
      </c>
      <c r="J11" s="727">
        <f t="shared" si="8"/>
        <v>33333.480810696783</v>
      </c>
      <c r="K11" s="727">
        <f t="shared" ref="K11" si="9">SUM(K6:K10)</f>
        <v>36394.39708342911</v>
      </c>
      <c r="L11" s="727">
        <f t="shared" ref="L11" si="10">SUM(L6:L10)</f>
        <v>39736.388365455721</v>
      </c>
      <c r="M11" s="727">
        <f t="shared" ref="M11:N11" si="11">SUM(M6:M10)</f>
        <v>43385.264954677798</v>
      </c>
      <c r="N11" s="727">
        <f t="shared" si="11"/>
        <v>47369.207233335997</v>
      </c>
      <c r="O11" s="727">
        <f>SUM(O6:O10)</f>
        <v>51718.983305939233</v>
      </c>
      <c r="P11" s="727">
        <f t="shared" ref="P11" si="12">SUM(P6:P10)</f>
        <v>56468.186622249348</v>
      </c>
      <c r="Q11" s="721">
        <f t="shared" si="6"/>
        <v>8.3127596681726423E-2</v>
      </c>
      <c r="R11" s="728"/>
    </row>
    <row r="12" spans="2:18" ht="8.1" customHeight="1"/>
    <row r="13" spans="2:18" ht="15" customHeight="1">
      <c r="B13" s="729" t="s">
        <v>141</v>
      </c>
      <c r="C13" s="730"/>
      <c r="D13" s="730"/>
      <c r="E13" s="729" t="s">
        <v>111</v>
      </c>
      <c r="F13" s="730"/>
      <c r="G13" s="730"/>
      <c r="H13" s="730"/>
      <c r="I13" s="730"/>
      <c r="J13" s="730"/>
      <c r="K13" s="730"/>
      <c r="L13" s="730"/>
      <c r="M13" s="730"/>
      <c r="N13" s="730"/>
      <c r="O13" s="730"/>
      <c r="P13" s="730"/>
      <c r="Q13" s="94"/>
      <c r="R13" s="731"/>
    </row>
    <row r="14" spans="2:18" ht="3.95" customHeight="1">
      <c r="B14" s="732"/>
      <c r="C14" s="732"/>
      <c r="D14" s="732"/>
      <c r="E14" s="732"/>
      <c r="F14" s="732"/>
      <c r="G14" s="732"/>
      <c r="H14" s="732"/>
      <c r="I14" s="732"/>
      <c r="J14" s="732"/>
      <c r="K14" s="732"/>
      <c r="L14" s="732"/>
      <c r="M14" s="732"/>
      <c r="N14" s="732"/>
      <c r="O14" s="732"/>
      <c r="P14" s="732"/>
      <c r="Q14" s="731"/>
      <c r="R14" s="731"/>
    </row>
    <row r="15" spans="2:18" ht="39.950000000000003" customHeight="1">
      <c r="B15" s="838" t="s">
        <v>142</v>
      </c>
      <c r="C15" s="839"/>
      <c r="D15" s="68"/>
      <c r="E15" s="838" t="s">
        <v>143</v>
      </c>
      <c r="F15" s="838"/>
      <c r="G15" s="838"/>
      <c r="H15" s="838"/>
      <c r="I15" s="838"/>
      <c r="J15" s="838"/>
      <c r="K15" s="838"/>
      <c r="L15" s="838"/>
      <c r="M15" s="838"/>
      <c r="N15" s="838"/>
      <c r="Q15" s="731"/>
      <c r="R15" s="661"/>
    </row>
    <row r="16" spans="2:18" ht="39.950000000000003" customHeight="1">
      <c r="B16" s="838" t="s">
        <v>144</v>
      </c>
      <c r="C16" s="839"/>
      <c r="D16" s="68"/>
      <c r="E16" s="838" t="s">
        <v>145</v>
      </c>
      <c r="F16" s="838"/>
      <c r="G16" s="838"/>
      <c r="H16" s="838"/>
      <c r="I16" s="838"/>
      <c r="J16" s="838"/>
      <c r="K16" s="838"/>
      <c r="L16" s="838"/>
      <c r="M16" s="838"/>
      <c r="N16" s="838"/>
      <c r="O16" s="734"/>
      <c r="P16" s="734"/>
    </row>
    <row r="17" spans="2:16" ht="39.950000000000003" customHeight="1">
      <c r="B17" s="838" t="s">
        <v>146</v>
      </c>
      <c r="C17" s="839"/>
      <c r="D17" s="750"/>
      <c r="E17" s="838" t="s">
        <v>147</v>
      </c>
      <c r="F17" s="838"/>
      <c r="G17" s="838"/>
      <c r="H17" s="838"/>
      <c r="I17" s="838"/>
      <c r="J17" s="838"/>
      <c r="K17" s="838"/>
      <c r="L17" s="838"/>
      <c r="M17" s="838"/>
      <c r="N17" s="838"/>
      <c r="O17" s="734"/>
      <c r="P17" s="734"/>
    </row>
    <row r="18" spans="2:16" ht="39.950000000000003" customHeight="1">
      <c r="B18" s="838" t="s">
        <v>148</v>
      </c>
      <c r="C18" s="839"/>
      <c r="D18" s="733"/>
      <c r="E18" s="838" t="s">
        <v>149</v>
      </c>
      <c r="F18" s="838"/>
      <c r="G18" s="838"/>
      <c r="H18" s="838"/>
      <c r="I18" s="838"/>
      <c r="J18" s="838"/>
      <c r="K18" s="838"/>
      <c r="L18" s="838"/>
      <c r="M18" s="838"/>
      <c r="N18" s="734"/>
      <c r="O18" s="734"/>
      <c r="P18" s="734"/>
    </row>
    <row r="19" spans="2:16" ht="8.1" customHeight="1">
      <c r="F19" s="735"/>
      <c r="G19" s="735"/>
      <c r="H19" s="735"/>
      <c r="I19" s="735"/>
      <c r="J19" s="735"/>
      <c r="K19" s="735"/>
      <c r="L19" s="735"/>
      <c r="M19" s="735"/>
      <c r="N19" s="735"/>
      <c r="O19" s="735"/>
      <c r="P19" s="735"/>
    </row>
    <row r="20" spans="2:16" ht="15.6">
      <c r="B20" s="729" t="s">
        <v>150</v>
      </c>
      <c r="C20" s="730"/>
      <c r="D20" s="730"/>
      <c r="E20" s="729" t="s">
        <v>111</v>
      </c>
      <c r="F20" s="730"/>
      <c r="G20" s="730"/>
      <c r="H20" s="730"/>
      <c r="I20" s="730"/>
      <c r="J20" s="730"/>
      <c r="K20" s="730"/>
      <c r="L20" s="730"/>
      <c r="M20" s="730"/>
      <c r="N20" s="730"/>
      <c r="O20" s="730"/>
      <c r="P20" s="730"/>
    </row>
    <row r="21" spans="2:16" ht="3.95" customHeight="1">
      <c r="B21" s="732"/>
      <c r="C21" s="732"/>
      <c r="D21" s="732"/>
      <c r="E21" s="732"/>
      <c r="F21" s="732"/>
      <c r="G21" s="732"/>
      <c r="H21" s="732"/>
      <c r="I21" s="732"/>
      <c r="J21" s="732"/>
      <c r="K21" s="732"/>
      <c r="L21" s="732"/>
      <c r="M21" s="732"/>
      <c r="N21" s="732"/>
      <c r="O21" s="732"/>
      <c r="P21" s="732"/>
    </row>
    <row r="22" spans="2:16" ht="39.950000000000003" customHeight="1">
      <c r="B22" s="831" t="s">
        <v>151</v>
      </c>
      <c r="C22" s="831"/>
      <c r="D22" s="68"/>
      <c r="E22" s="835" t="s">
        <v>152</v>
      </c>
      <c r="F22" s="835"/>
      <c r="G22" s="835"/>
      <c r="H22" s="835"/>
      <c r="I22" s="835"/>
      <c r="J22" s="835"/>
      <c r="K22" s="835"/>
      <c r="L22" s="835"/>
      <c r="M22" s="835"/>
      <c r="N22" s="835"/>
      <c r="O22" s="835"/>
      <c r="P22" s="835"/>
    </row>
    <row r="23" spans="2:16" ht="56.25" customHeight="1">
      <c r="B23" s="831" t="s">
        <v>153</v>
      </c>
      <c r="C23" s="831"/>
      <c r="D23" s="68"/>
      <c r="E23" s="835" t="s">
        <v>154</v>
      </c>
      <c r="F23" s="835"/>
      <c r="G23" s="835"/>
      <c r="H23" s="835"/>
      <c r="I23" s="835"/>
      <c r="J23" s="835"/>
      <c r="K23" s="835"/>
      <c r="L23" s="835"/>
      <c r="M23" s="835"/>
      <c r="N23" s="835"/>
      <c r="O23" s="835"/>
      <c r="P23" s="835"/>
    </row>
    <row r="24" spans="2:16" ht="39.950000000000003" hidden="1" customHeight="1">
      <c r="B24" s="831"/>
      <c r="C24" s="831"/>
      <c r="D24" s="68"/>
      <c r="E24" s="835"/>
      <c r="F24" s="835"/>
      <c r="G24" s="835"/>
      <c r="H24" s="835"/>
      <c r="I24" s="835"/>
      <c r="J24" s="835"/>
      <c r="K24" s="835"/>
      <c r="L24" s="835"/>
      <c r="M24" s="835"/>
      <c r="N24" s="835"/>
      <c r="O24" s="835"/>
      <c r="P24" s="835"/>
    </row>
    <row r="25" spans="2:16" ht="29.25" customHeight="1">
      <c r="B25" s="837" t="s">
        <v>155</v>
      </c>
      <c r="C25" s="831"/>
      <c r="D25" s="68"/>
      <c r="E25" s="835" t="s">
        <v>156</v>
      </c>
      <c r="F25" s="835"/>
      <c r="G25" s="835"/>
      <c r="H25" s="835"/>
      <c r="I25" s="835"/>
      <c r="J25" s="835"/>
      <c r="K25" s="835"/>
      <c r="L25" s="835"/>
      <c r="M25" s="835"/>
      <c r="N25" s="835"/>
      <c r="O25" s="835"/>
      <c r="P25" s="835"/>
    </row>
    <row r="26" spans="2:16" ht="15.6">
      <c r="B26" s="711" t="s">
        <v>157</v>
      </c>
      <c r="C26" s="712"/>
      <c r="D26" s="712"/>
      <c r="E26" s="711" t="s">
        <v>158</v>
      </c>
      <c r="F26" s="711"/>
      <c r="G26" s="736" t="s">
        <v>159</v>
      </c>
      <c r="H26" s="737" t="s">
        <v>160</v>
      </c>
      <c r="I26" s="713" t="s">
        <v>157</v>
      </c>
      <c r="J26" s="713"/>
      <c r="K26" s="713"/>
      <c r="L26" s="713"/>
      <c r="M26" s="713"/>
      <c r="N26" s="713"/>
      <c r="O26" s="713"/>
      <c r="P26" s="713"/>
    </row>
    <row r="27" spans="2:16" ht="3.95" customHeight="1">
      <c r="B27" s="716"/>
      <c r="C27" s="716"/>
      <c r="D27" s="716"/>
      <c r="E27" s="716"/>
      <c r="F27" s="716"/>
      <c r="G27" s="716"/>
      <c r="H27" s="716"/>
      <c r="I27" s="716"/>
      <c r="J27" s="716"/>
      <c r="K27" s="716"/>
      <c r="L27" s="716"/>
      <c r="M27" s="716"/>
      <c r="N27" s="716"/>
      <c r="O27" s="716"/>
      <c r="P27" s="716"/>
    </row>
    <row r="28" spans="2:16">
      <c r="B28" s="738" t="e" vm="1">
        <f>Peers!D91</f>
        <v>#VALUE!</v>
      </c>
      <c r="C28" s="738"/>
      <c r="D28" s="738"/>
      <c r="E28" s="759" t="s">
        <v>161</v>
      </c>
      <c r="F28" s="739"/>
      <c r="G28" s="751" cm="1">
        <f t="array" ref="G28:G38">TRANSPOSE(Peers!D97:N97)</f>
        <v>21505</v>
      </c>
      <c r="H28" s="738"/>
      <c r="I28" s="757">
        <f>IFERROR(G28/$G$40,"")</f>
        <v>5.3883603398638437E-2</v>
      </c>
    </row>
    <row r="29" spans="2:16">
      <c r="B29" s="754" t="e" vm="2">
        <v>#VALUE!</v>
      </c>
      <c r="E29" s="740"/>
      <c r="F29" s="740"/>
      <c r="G29" s="752">
        <v>37895</v>
      </c>
      <c r="I29" s="755">
        <f t="shared" ref="I29:I39" si="13">IFERROR(G29/$G$40,"")</f>
        <v>9.4950902152587946E-2</v>
      </c>
    </row>
    <row r="30" spans="2:16">
      <c r="B30" s="754" t="e" vm="3">
        <v>#VALUE!</v>
      </c>
      <c r="E30" s="740"/>
      <c r="F30" s="740"/>
      <c r="G30" s="752">
        <v>16285</v>
      </c>
      <c r="I30" s="755">
        <f t="shared" si="13"/>
        <v>4.0804207456257936E-2</v>
      </c>
    </row>
    <row r="31" spans="2:16">
      <c r="B31" s="754" t="e" vm="4">
        <v>#VALUE!</v>
      </c>
      <c r="E31" s="740"/>
      <c r="F31" s="740"/>
      <c r="G31" s="752">
        <v>8446</v>
      </c>
      <c r="I31" s="755">
        <f t="shared" si="13"/>
        <v>2.1162562860027913E-2</v>
      </c>
    </row>
    <row r="32" spans="2:16">
      <c r="B32" s="754" t="e" vm="5">
        <v>#VALUE!</v>
      </c>
      <c r="E32" s="740"/>
      <c r="F32" s="740"/>
      <c r="G32" s="752">
        <v>2684</v>
      </c>
      <c r="I32" s="755">
        <f t="shared" si="13"/>
        <v>6.7251146952776366E-3</v>
      </c>
    </row>
    <row r="33" spans="2:16">
      <c r="B33" s="754" t="e" vm="6">
        <v>#VALUE!</v>
      </c>
      <c r="E33" s="740"/>
      <c r="F33" s="740"/>
      <c r="G33" s="752">
        <v>2628</v>
      </c>
      <c r="I33" s="755">
        <f t="shared" si="13"/>
        <v>6.5847993365088031E-3</v>
      </c>
    </row>
    <row r="34" spans="2:16">
      <c r="B34" s="754" t="e" vm="7">
        <v>#VALUE!</v>
      </c>
      <c r="E34" s="740"/>
      <c r="F34" s="740"/>
      <c r="G34" s="752">
        <v>35543.040000000001</v>
      </c>
      <c r="I34" s="755">
        <f t="shared" si="13"/>
        <v>8.9057757309553218E-2</v>
      </c>
    </row>
    <row r="35" spans="2:16">
      <c r="B35" s="754" t="e" vm="8">
        <v>#VALUE!</v>
      </c>
      <c r="E35" s="740"/>
      <c r="F35" s="740"/>
      <c r="G35" s="752">
        <v>10984</v>
      </c>
      <c r="I35" s="755">
        <f t="shared" si="13"/>
        <v>2.7521855369943948E-2</v>
      </c>
    </row>
    <row r="36" spans="2:16">
      <c r="B36" s="754" t="e" vm="9">
        <v>#VALUE!</v>
      </c>
      <c r="E36" s="740"/>
      <c r="F36" s="740"/>
      <c r="G36" s="752">
        <v>6131</v>
      </c>
      <c r="I36" s="755">
        <f t="shared" si="13"/>
        <v>1.5362026153780623E-2</v>
      </c>
    </row>
    <row r="37" spans="2:16">
      <c r="B37" s="754" t="e" vm="10">
        <v>#VALUE!</v>
      </c>
      <c r="E37" s="740"/>
      <c r="F37" s="740"/>
      <c r="G37" s="752">
        <v>3626</v>
      </c>
      <c r="I37" s="755">
        <f t="shared" si="13"/>
        <v>9.0854194802819331E-3</v>
      </c>
    </row>
    <row r="38" spans="2:16">
      <c r="B38" s="754" t="e" vm="11">
        <v>#VALUE!</v>
      </c>
      <c r="E38" s="740"/>
      <c r="F38" s="740"/>
      <c r="G38" s="752">
        <v>4359</v>
      </c>
      <c r="I38" s="755">
        <f t="shared" si="13"/>
        <v>1.0922047301309693E-2</v>
      </c>
    </row>
    <row r="39" spans="2:16">
      <c r="B39" s="741" t="s">
        <v>162</v>
      </c>
      <c r="C39" s="741"/>
      <c r="D39" s="741"/>
      <c r="E39" s="742" t="s">
        <v>163</v>
      </c>
      <c r="F39" s="741"/>
      <c r="G39" s="753">
        <f>G40-SUM(G28:G38)</f>
        <v>249014.96</v>
      </c>
      <c r="H39" s="741"/>
      <c r="I39" s="758">
        <f t="shared" si="13"/>
        <v>0.62393970448583191</v>
      </c>
    </row>
    <row r="40" spans="2:16">
      <c r="B40" s="661" t="s">
        <v>164</v>
      </c>
      <c r="E40" s="743" t="s">
        <v>163</v>
      </c>
      <c r="G40" s="752">
        <v>399101</v>
      </c>
      <c r="H40" s="744"/>
      <c r="I40" s="756">
        <f>SUM(I28:I39)</f>
        <v>1</v>
      </c>
    </row>
    <row r="41" spans="2:16" ht="8.1" customHeight="1"/>
    <row r="42" spans="2:16" ht="15.6">
      <c r="B42" s="711" t="s">
        <v>165</v>
      </c>
      <c r="C42" s="712"/>
      <c r="D42" s="711"/>
      <c r="E42" s="711" t="s">
        <v>166</v>
      </c>
      <c r="F42" s="713"/>
      <c r="G42" s="713"/>
      <c r="H42" s="836" t="s">
        <v>167</v>
      </c>
      <c r="I42" s="836"/>
      <c r="J42" s="713"/>
      <c r="K42" s="713"/>
      <c r="P42" s="745"/>
    </row>
    <row r="43" spans="2:16" ht="3.95" customHeight="1">
      <c r="B43" s="716"/>
      <c r="C43" s="716"/>
      <c r="D43" s="716"/>
      <c r="E43" s="716"/>
      <c r="F43" s="716"/>
      <c r="G43" s="716"/>
      <c r="H43" s="716"/>
      <c r="I43" s="716"/>
      <c r="J43" s="716"/>
      <c r="K43" s="716"/>
    </row>
    <row r="44" spans="2:16">
      <c r="B44" s="661" t="s">
        <v>168</v>
      </c>
      <c r="E44" s="746">
        <f>IFERROR(AVERAGE(E45:E50),"")</f>
        <v>1.8333333333333333</v>
      </c>
    </row>
    <row r="45" spans="2:16">
      <c r="B45" s="747" t="s">
        <v>169</v>
      </c>
      <c r="E45" s="748">
        <v>2</v>
      </c>
    </row>
    <row r="46" spans="2:16">
      <c r="B46" s="747" t="s">
        <v>170</v>
      </c>
      <c r="E46" s="748">
        <v>2</v>
      </c>
    </row>
    <row r="47" spans="2:16">
      <c r="B47" s="747" t="s">
        <v>171</v>
      </c>
      <c r="E47" s="748">
        <v>2</v>
      </c>
    </row>
    <row r="48" spans="2:16">
      <c r="B48" s="747" t="s">
        <v>172</v>
      </c>
      <c r="E48" s="748">
        <v>2</v>
      </c>
    </row>
    <row r="49" spans="2:5">
      <c r="B49" s="747" t="s">
        <v>173</v>
      </c>
      <c r="E49" s="748">
        <v>1</v>
      </c>
    </row>
    <row r="50" spans="2:5">
      <c r="B50" s="747" t="s">
        <v>174</v>
      </c>
      <c r="E50" s="748">
        <v>2</v>
      </c>
    </row>
    <row r="51" spans="2:5">
      <c r="B51" s="661" t="s">
        <v>175</v>
      </c>
      <c r="E51" s="749">
        <f>IFERROR(AVERAGE(E52:E56),"")</f>
        <v>2.2000000000000002</v>
      </c>
    </row>
    <row r="52" spans="2:5">
      <c r="B52" s="747" t="s">
        <v>176</v>
      </c>
      <c r="E52" s="748">
        <v>3</v>
      </c>
    </row>
    <row r="53" spans="2:5">
      <c r="B53" s="747" t="s">
        <v>177</v>
      </c>
      <c r="E53" s="748">
        <v>3</v>
      </c>
    </row>
    <row r="54" spans="2:5">
      <c r="B54" s="747" t="s">
        <v>178</v>
      </c>
      <c r="E54" s="748">
        <v>2</v>
      </c>
    </row>
    <row r="55" spans="2:5">
      <c r="B55" s="747" t="s">
        <v>179</v>
      </c>
      <c r="E55" s="748">
        <v>1</v>
      </c>
    </row>
    <row r="56" spans="2:5">
      <c r="B56" s="747" t="s">
        <v>180</v>
      </c>
      <c r="E56" s="748">
        <v>2</v>
      </c>
    </row>
    <row r="57" spans="2:5">
      <c r="B57" s="661" t="s">
        <v>181</v>
      </c>
      <c r="E57" s="749">
        <f>IFERROR(AVERAGE(E58:E62),"")</f>
        <v>2.2000000000000002</v>
      </c>
    </row>
    <row r="58" spans="2:5">
      <c r="B58" s="747" t="s">
        <v>182</v>
      </c>
      <c r="E58" s="748">
        <v>1</v>
      </c>
    </row>
    <row r="59" spans="2:5">
      <c r="B59" s="747" t="s">
        <v>183</v>
      </c>
      <c r="E59" s="748">
        <v>2</v>
      </c>
    </row>
    <row r="60" spans="2:5">
      <c r="B60" s="747" t="s">
        <v>174</v>
      </c>
      <c r="E60" s="748">
        <v>2</v>
      </c>
    </row>
    <row r="61" spans="2:5">
      <c r="B61" s="747" t="s">
        <v>184</v>
      </c>
      <c r="E61" s="748">
        <v>3</v>
      </c>
    </row>
    <row r="62" spans="2:5">
      <c r="B62" s="747" t="s">
        <v>185</v>
      </c>
      <c r="E62" s="748">
        <v>3</v>
      </c>
    </row>
    <row r="63" spans="2:5">
      <c r="B63" s="661" t="s">
        <v>186</v>
      </c>
      <c r="E63" s="749">
        <f>IFERROR(AVERAGE(E64:E68),"")</f>
        <v>2.2000000000000002</v>
      </c>
    </row>
    <row r="64" spans="2:5">
      <c r="B64" s="747" t="s">
        <v>187</v>
      </c>
      <c r="E64" s="748">
        <v>4</v>
      </c>
    </row>
    <row r="65" spans="2:5">
      <c r="B65" s="747" t="s">
        <v>188</v>
      </c>
      <c r="E65" s="748">
        <v>1</v>
      </c>
    </row>
    <row r="66" spans="2:5">
      <c r="B66" s="747" t="s">
        <v>189</v>
      </c>
      <c r="E66" s="748">
        <v>1</v>
      </c>
    </row>
    <row r="67" spans="2:5">
      <c r="B67" s="747" t="s">
        <v>190</v>
      </c>
      <c r="E67" s="748">
        <v>2</v>
      </c>
    </row>
    <row r="68" spans="2:5">
      <c r="B68" s="747" t="s">
        <v>191</v>
      </c>
      <c r="E68" s="748">
        <v>3</v>
      </c>
    </row>
    <row r="69" spans="2:5">
      <c r="B69" s="661" t="s">
        <v>192</v>
      </c>
      <c r="E69" s="749">
        <f>IFERROR(AVERAGE(E70:E74),"")</f>
        <v>2.25</v>
      </c>
    </row>
    <row r="70" spans="2:5">
      <c r="B70" s="747" t="s">
        <v>193</v>
      </c>
      <c r="E70" s="748">
        <v>3</v>
      </c>
    </row>
    <row r="71" spans="2:5">
      <c r="B71" s="747" t="s">
        <v>194</v>
      </c>
      <c r="E71" s="748">
        <v>2</v>
      </c>
    </row>
    <row r="72" spans="2:5">
      <c r="B72" s="747" t="s">
        <v>195</v>
      </c>
      <c r="E72" s="748">
        <v>2</v>
      </c>
    </row>
    <row r="73" spans="2:5">
      <c r="B73" s="747" t="s">
        <v>196</v>
      </c>
      <c r="E73" s="748">
        <v>2</v>
      </c>
    </row>
  </sheetData>
  <mergeCells count="17">
    <mergeCell ref="E18:M18"/>
    <mergeCell ref="E15:N15"/>
    <mergeCell ref="E16:N16"/>
    <mergeCell ref="E17:N17"/>
    <mergeCell ref="B18:C18"/>
    <mergeCell ref="B15:C15"/>
    <mergeCell ref="B16:C16"/>
    <mergeCell ref="B17:C17"/>
    <mergeCell ref="B22:C22"/>
    <mergeCell ref="E22:P22"/>
    <mergeCell ref="B23:C23"/>
    <mergeCell ref="E23:P23"/>
    <mergeCell ref="H42:I42"/>
    <mergeCell ref="B24:C24"/>
    <mergeCell ref="E24:P24"/>
    <mergeCell ref="B25:C25"/>
    <mergeCell ref="E25:P25"/>
  </mergeCells>
  <conditionalFormatting sqref="E6:E8">
    <cfRule type="dataBar" priority="1">
      <dataBar>
        <cfvo type="min"/>
        <cfvo type="max"/>
        <color rgb="FF63C384"/>
      </dataBar>
      <extLst>
        <ext xmlns:x14="http://schemas.microsoft.com/office/spreadsheetml/2009/9/main" uri="{B025F937-C7B1-47D3-B67F-A62EFF666E3E}">
          <x14:id>{B4F5E53E-6CAA-4DFE-9CA0-D49A7D10D8F1}</x14:id>
        </ext>
      </extLst>
    </cfRule>
  </conditionalFormatting>
  <conditionalFormatting sqref="I28:I39">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onditionalFormatting>
  <conditionalFormatting sqref="Q6:Q11">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conditionalFormatting sqref="R6:R10">
    <cfRule type="dataBar" priority="89">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90">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1">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2">
      <dataBar>
        <cfvo type="min"/>
        <cfvo type="max"/>
        <color rgb="FF63C384"/>
      </dataBar>
      <extLst>
        <ext xmlns:x14="http://schemas.microsoft.com/office/spreadsheetml/2009/9/main" uri="{B025F937-C7B1-47D3-B67F-A62EFF666E3E}">
          <x14:id>{CCBBEFF5-0753-47A4-B215-F44790A6C2E6}</x14:id>
        </ext>
      </extLst>
    </cfRule>
  </conditionalFormatting>
  <hyperlinks>
    <hyperlink ref="R6" r:id="rId1" xr:uid="{03D737DF-B38D-4A2D-B71E-0FF35FD38066}"/>
  </hyperlinks>
  <pageMargins left="0.7" right="0.7" top="0.75" bottom="0.75" header="0.3" footer="0.3"/>
  <pageSetup paperSize="9" orientation="portrait" r:id="rId2"/>
  <drawing r:id="rId3"/>
  <legacyDrawing r:id="rId4"/>
  <extLst>
    <ext xmlns:x14="http://schemas.microsoft.com/office/spreadsheetml/2009/9/main" uri="{78C0D931-6437-407d-A8EE-F0AAD7539E65}">
      <x14:conditionalFormattings>
        <x14:conditionalFormatting xmlns:xm="http://schemas.microsoft.com/office/excel/2006/main">
          <x14:cfRule type="dataBar" id="{B4F5E53E-6CAA-4DFE-9CA0-D49A7D10D8F1}">
            <x14:dataBar minLength="0" maxLength="100" gradient="0">
              <x14:cfvo type="autoMin"/>
              <x14:cfvo type="autoMax"/>
              <x14:negativeFillColor rgb="FFFF0000"/>
              <x14:axisColor rgb="FF000000"/>
            </x14:dataBar>
          </x14:cfRule>
          <xm:sqref>E6:E8</xm:sqref>
        </x14:conditionalFormatting>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BA143"/>
  <sheetViews>
    <sheetView showGridLines="0" topLeftCell="A98" zoomScale="65" zoomScaleNormal="115" workbookViewId="0">
      <pane xSplit="3" topLeftCell="D1" activePane="topRight" state="frozen"/>
      <selection pane="topRight" activeCell="E72" sqref="E72"/>
    </sheetView>
  </sheetViews>
  <sheetFormatPr defaultColWidth="8.875" defaultRowHeight="14.25" customHeight="1"/>
  <cols>
    <col min="1" max="1" width="2.125" style="355" customWidth="1"/>
    <col min="2" max="2" width="31" style="355" customWidth="1"/>
    <col min="3" max="3" width="7.625" style="355" bestFit="1" customWidth="1"/>
    <col min="4" max="9" width="19.625" style="355" customWidth="1"/>
    <col min="10" max="10" width="22.625" style="355" bestFit="1" customWidth="1"/>
    <col min="11" max="15" width="19.625" style="355" customWidth="1"/>
    <col min="16" max="16" width="18" style="355" customWidth="1"/>
    <col min="17" max="17" width="16.125" style="355" customWidth="1"/>
    <col min="18" max="16384" width="8.875" style="355"/>
  </cols>
  <sheetData>
    <row r="1" spans="1:53" s="354" customFormat="1" ht="12" customHeight="1">
      <c r="A1" s="373"/>
      <c r="B1" s="373"/>
      <c r="C1" s="374"/>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row>
    <row r="2" spans="1:53" s="354" customFormat="1" ht="14.1">
      <c r="A2" s="373"/>
      <c r="B2" s="375"/>
      <c r="C2" s="375"/>
      <c r="D2" s="842"/>
      <c r="E2" s="843"/>
      <c r="F2" s="467"/>
      <c r="G2" s="457"/>
      <c r="H2" s="467"/>
      <c r="I2" s="457"/>
      <c r="J2" s="467"/>
      <c r="K2" s="478"/>
      <c r="L2" s="484"/>
      <c r="M2" s="478"/>
      <c r="N2" s="375"/>
      <c r="O2" s="375"/>
      <c r="P2" s="373"/>
      <c r="Q2" s="841" t="s">
        <v>197</v>
      </c>
      <c r="R2" s="377"/>
      <c r="S2" s="377"/>
      <c r="T2" s="373"/>
      <c r="U2" s="377"/>
      <c r="V2" s="377"/>
      <c r="W2" s="373"/>
      <c r="X2" s="378"/>
      <c r="Y2" s="378"/>
      <c r="Z2" s="378"/>
      <c r="AA2" s="378"/>
      <c r="AB2" s="378"/>
      <c r="AC2" s="378"/>
      <c r="AD2" s="373"/>
      <c r="AE2" s="378"/>
      <c r="AF2" s="378"/>
      <c r="AG2" s="378"/>
      <c r="AH2" s="378"/>
      <c r="AI2" s="378"/>
      <c r="AJ2" s="373"/>
      <c r="AK2" s="378"/>
      <c r="AL2" s="379"/>
      <c r="AM2" s="379"/>
      <c r="AN2" s="379"/>
      <c r="AO2" s="379"/>
      <c r="AP2" s="373"/>
      <c r="AQ2" s="378"/>
      <c r="AR2" s="373"/>
      <c r="AS2" s="373"/>
      <c r="AT2" s="373"/>
      <c r="AU2" s="373"/>
      <c r="AV2" s="373"/>
      <c r="AW2" s="373"/>
      <c r="AX2" s="373"/>
      <c r="AY2" s="373"/>
      <c r="AZ2" s="373"/>
      <c r="BA2" s="373"/>
    </row>
    <row r="3" spans="1:53" s="354" customFormat="1" ht="14.1">
      <c r="A3" s="373"/>
      <c r="B3" s="375"/>
      <c r="C3" s="375"/>
      <c r="D3" s="846" t="s">
        <v>198</v>
      </c>
      <c r="E3" s="845"/>
      <c r="F3" s="844" t="s">
        <v>29</v>
      </c>
      <c r="G3" s="845"/>
      <c r="H3" s="844" t="s">
        <v>199</v>
      </c>
      <c r="I3" s="845"/>
      <c r="J3" s="844" t="s">
        <v>200</v>
      </c>
      <c r="K3" s="845"/>
      <c r="L3" s="844" t="s">
        <v>13</v>
      </c>
      <c r="M3" s="845"/>
      <c r="N3" s="846" t="s">
        <v>16</v>
      </c>
      <c r="O3" s="846"/>
      <c r="P3" s="373"/>
      <c r="Q3" s="841"/>
      <c r="R3" s="561"/>
      <c r="S3" s="377"/>
      <c r="T3" s="377"/>
      <c r="U3" s="377"/>
      <c r="V3" s="377"/>
      <c r="W3" s="377"/>
      <c r="X3" s="377"/>
      <c r="Y3" s="377"/>
      <c r="Z3" s="377"/>
      <c r="AA3" s="377"/>
      <c r="AB3" s="377"/>
      <c r="AC3" s="377"/>
      <c r="AD3" s="377"/>
      <c r="AE3" s="377"/>
      <c r="AF3" s="377"/>
      <c r="AG3" s="377"/>
      <c r="AH3" s="377"/>
      <c r="AI3" s="377"/>
      <c r="AJ3" s="377"/>
      <c r="AK3" s="377"/>
      <c r="AL3" s="377"/>
      <c r="AM3" s="377"/>
      <c r="AN3" s="377"/>
      <c r="AO3" s="377"/>
      <c r="AP3" s="373"/>
      <c r="AQ3" s="377"/>
      <c r="AR3" s="373"/>
      <c r="AS3" s="373"/>
      <c r="AT3" s="373"/>
      <c r="AU3" s="373"/>
      <c r="AV3" s="373"/>
      <c r="AW3" s="373"/>
      <c r="AX3" s="373"/>
      <c r="AY3" s="373"/>
      <c r="AZ3" s="373"/>
      <c r="BA3" s="373"/>
    </row>
    <row r="4" spans="1:53" s="354" customFormat="1" ht="14.1">
      <c r="A4" s="373"/>
      <c r="B4" s="375" t="s">
        <v>201</v>
      </c>
      <c r="C4" s="375" t="s">
        <v>202</v>
      </c>
      <c r="D4" s="376" t="str">
        <f>+Inputs!O4&amp;"-"&amp;Inputs!P4</f>
        <v>2022-2023</v>
      </c>
      <c r="E4" s="457" t="str">
        <f>+Inputs!P4&amp;"-"&amp;Inputs!Q4</f>
        <v>2023-2024</v>
      </c>
      <c r="F4" s="467">
        <v>2023</v>
      </c>
      <c r="G4" s="457">
        <v>2024</v>
      </c>
      <c r="H4" s="467" t="str">
        <f>+Inputs!O4&amp;"-"&amp;Inputs!P4</f>
        <v>2022-2023</v>
      </c>
      <c r="I4" s="457" t="str">
        <f>+Inputs!P4&amp;"-"&amp;Inputs!Q4</f>
        <v>2023-2024</v>
      </c>
      <c r="J4" s="467">
        <v>2023</v>
      </c>
      <c r="K4" s="457">
        <v>2024</v>
      </c>
      <c r="L4" s="467">
        <v>2023</v>
      </c>
      <c r="M4" s="457">
        <v>2024</v>
      </c>
      <c r="N4" s="376">
        <v>2023</v>
      </c>
      <c r="O4" s="376">
        <v>2024</v>
      </c>
      <c r="P4" s="373"/>
      <c r="Q4" s="841"/>
      <c r="R4" s="761"/>
      <c r="S4"/>
      <c r="T4" s="761"/>
      <c r="U4" s="761"/>
      <c r="V4" s="761"/>
      <c r="W4" s="761"/>
      <c r="X4" s="761"/>
      <c r="Y4" s="761"/>
      <c r="Z4" s="761"/>
      <c r="AA4" s="761"/>
      <c r="AB4" s="761"/>
      <c r="AC4" s="761"/>
      <c r="AD4" s="377"/>
      <c r="AE4" s="377"/>
      <c r="AF4" s="377"/>
      <c r="AG4" s="377"/>
      <c r="AH4" s="377"/>
      <c r="AI4" s="377"/>
      <c r="AJ4" s="377"/>
      <c r="AK4" s="377"/>
      <c r="AL4" s="377"/>
      <c r="AM4" s="377"/>
      <c r="AN4" s="377"/>
      <c r="AO4" s="377"/>
      <c r="AP4" s="373"/>
      <c r="AQ4" s="377"/>
      <c r="AR4" s="373"/>
      <c r="AS4" s="373"/>
      <c r="AT4" s="373"/>
      <c r="AU4" s="373"/>
      <c r="AV4" s="373"/>
      <c r="AW4" s="373"/>
      <c r="AX4" s="373"/>
      <c r="AY4" s="373"/>
      <c r="AZ4" s="373"/>
      <c r="BA4" s="373"/>
    </row>
    <row r="5" spans="1:53" s="354" customFormat="1" ht="3.75" customHeight="1" thickBot="1">
      <c r="A5" s="373"/>
      <c r="B5" s="380"/>
      <c r="C5" s="380"/>
      <c r="D5" s="380"/>
      <c r="E5" s="458"/>
      <c r="F5" s="468"/>
      <c r="G5" s="458"/>
      <c r="H5" s="468"/>
      <c r="I5" s="458"/>
      <c r="J5" s="468"/>
      <c r="K5" s="458"/>
      <c r="L5" s="468"/>
      <c r="M5" s="458"/>
      <c r="N5" s="380"/>
      <c r="O5" s="380"/>
      <c r="P5" s="373"/>
      <c r="Q5" s="402"/>
      <c r="R5" s="56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c r="BA5" s="381"/>
    </row>
    <row r="6" spans="1:53" s="362" customFormat="1" ht="17.25" customHeight="1">
      <c r="A6" s="382" t="e" vm="1">
        <f>+D91</f>
        <v>#VALUE!</v>
      </c>
      <c r="B6" s="383" t="str" cm="1">
        <f t="array" aca="1" ref="B6" ca="1">IFERROR(_FV(A6,"Name"),"")</f>
        <v>ADOBE INC.</v>
      </c>
      <c r="C6" s="384" t="str" cm="1">
        <f t="array" aca="1" ref="C6" ca="1">IFERROR(_FV(A6,"Ticker symbol",TRUE),"")</f>
        <v>ADBE</v>
      </c>
      <c r="D6" s="459">
        <f>IFERROR(D94/D93-1,"")</f>
        <v>0.10240826990798602</v>
      </c>
      <c r="E6" s="460">
        <f>IFERROR(D97/D94-1,"")</f>
        <v>0.10799113813179462</v>
      </c>
      <c r="F6" s="469">
        <f>IFERROR(D95/D94,"")</f>
        <v>0.35128033386573237</v>
      </c>
      <c r="G6" s="470">
        <f>IFERROR(D100/D97,"")</f>
        <v>0.35945129039758195</v>
      </c>
      <c r="H6" s="474">
        <f>IFERROR(D96/D94,"")</f>
        <v>0.27966407336802512</v>
      </c>
      <c r="I6" s="460">
        <f>IFERROR(D105/D97,"")</f>
        <v>0.25854452452917925</v>
      </c>
      <c r="J6" s="500" cm="1">
        <f t="array" aca="1" ref="J6" ca="1">IFERROR((_FV(A6,"Market cap",TRUE)/1000000+D$121-D$111)/D$94,"")</f>
        <v>7.9168323973414392</v>
      </c>
      <c r="K6" s="501" cm="1">
        <f t="array" aca="1" ref="K6" ca="1">IFERROR((_FV(A6,"Market cap",TRUE)/1000000+D$121-D$111)/D$97,"")</f>
        <v>7.1452127412229709</v>
      </c>
      <c r="L6" s="502" cm="1">
        <f t="array" aca="1" ref="L6" ca="1">+IFERROR((_FV(A6,"Market cap",TRUE)/1000000+D$121-D$111)/D$95,"")</f>
        <v>22.537078322088586</v>
      </c>
      <c r="M6" s="503" cm="1">
        <f t="array" aca="1" ref="M6" ca="1">IFERROR((_FV(A6,"Market cap",TRUE)/1000000+D$121-D$111)/D$100,"")</f>
        <v>19.878111254851227</v>
      </c>
      <c r="N6" s="504" cm="1">
        <f t="array" aca="1" ref="N6" ca="1">IFERROR((_FV(A6,"Market cap",TRUE)/1000000)/D$96,"")</f>
        <v>28.595210022107587</v>
      </c>
      <c r="O6" s="505" cm="1">
        <f t="array" aca="1" ref="O6" ca="1">IFERROR((_FV(A6,"Market cap",TRUE)/1000000)/D$105,"")</f>
        <v>27.916330935251796</v>
      </c>
      <c r="P6" s="373"/>
      <c r="Q6" s="770">
        <v>150005000</v>
      </c>
      <c r="R6" s="561"/>
      <c r="S6" s="389"/>
      <c r="T6" s="390"/>
      <c r="U6" s="389"/>
      <c r="V6" s="389"/>
      <c r="W6" s="390"/>
      <c r="X6" s="389"/>
      <c r="Y6" s="389"/>
      <c r="Z6" s="389"/>
      <c r="AA6" s="389"/>
      <c r="AB6" s="389"/>
      <c r="AC6" s="390"/>
      <c r="AD6" s="390"/>
      <c r="AE6" s="385"/>
      <c r="AF6" s="385"/>
      <c r="AG6" s="385"/>
      <c r="AH6" s="385"/>
      <c r="AI6" s="385"/>
      <c r="AJ6" s="390"/>
      <c r="AK6" s="390"/>
      <c r="AL6" s="390"/>
      <c r="AM6" s="391"/>
      <c r="AN6" s="392"/>
      <c r="AO6" s="393"/>
      <c r="AP6" s="390"/>
      <c r="AQ6" s="390"/>
    </row>
    <row r="7" spans="1:53" s="357" customFormat="1" ht="17.25" customHeight="1">
      <c r="A7" s="382" t="e" vm="2">
        <f>+E91</f>
        <v>#VALUE!</v>
      </c>
      <c r="B7" s="383" t="str" cm="1">
        <f t="array" aca="1" ref="B7" ca="1">IFERROR(_FV(A7,"Nome"),"")</f>
        <v>SALESFORCE, INC.</v>
      </c>
      <c r="C7" s="384" t="s">
        <v>203</v>
      </c>
      <c r="D7" s="461">
        <f>+IFERROR(E94/E93-1,"")</f>
        <v>0.11179510079101806</v>
      </c>
      <c r="E7" s="462">
        <f>IFERROR(E97/E94-1,"")</f>
        <v>8.7156094902028247E-2</v>
      </c>
      <c r="F7" s="471">
        <f>IFERROR(E95/E94,"")</f>
        <v>0.2856814986946668</v>
      </c>
      <c r="G7" s="462">
        <f>+IFERROR(E100/E97,"")</f>
        <v>0.29404934687953554</v>
      </c>
      <c r="H7" s="471">
        <f>IFERROR(E96/E94,"")</f>
        <v>0.11865622400091803</v>
      </c>
      <c r="I7" s="462">
        <f>+IFERROR(E105/E97,"")</f>
        <v>0.16353080881382767</v>
      </c>
      <c r="J7" s="479">
        <f>+IFERROR((Q7/1000000+E$121-E$111)/E$94,"")</f>
        <v>6.9786556502280748</v>
      </c>
      <c r="K7" s="480">
        <f>IFERROR(+(Q7/1000000+E$121-E$111)/E$97,"")</f>
        <v>6.4191845889959094</v>
      </c>
      <c r="L7" s="485">
        <f>IFERROR(+(Q7/1000000+E$121-E$111)/E$95,"")</f>
        <v>24.428098011648924</v>
      </c>
      <c r="M7" s="486">
        <f>IFERROR(+(Q7/1000000+E$121-E$111)/E$100,"")</f>
        <v>21.830297047473749</v>
      </c>
      <c r="N7" s="388">
        <f>IFERROR(+(Q7/1000000)/E$96,"")</f>
        <v>58.198984526112184</v>
      </c>
      <c r="O7" s="387">
        <f>IFERROR(+(Q7/1000000)/E$105,"")</f>
        <v>38.84314991124738</v>
      </c>
      <c r="P7" s="373"/>
      <c r="Q7" s="771">
        <v>240711000000</v>
      </c>
      <c r="R7" s="386"/>
      <c r="S7" s="389"/>
      <c r="T7" s="390"/>
      <c r="U7" s="389"/>
      <c r="V7" s="389"/>
      <c r="W7" s="390"/>
      <c r="X7" s="389"/>
      <c r="Y7" s="389"/>
      <c r="Z7" s="389"/>
      <c r="AA7" s="389"/>
      <c r="AB7" s="389"/>
      <c r="AC7" s="390"/>
      <c r="AD7" s="390"/>
      <c r="AE7" s="385"/>
      <c r="AF7" s="385"/>
      <c r="AG7" s="385"/>
      <c r="AH7" s="385"/>
      <c r="AI7" s="385"/>
      <c r="AJ7" s="390"/>
      <c r="AK7" s="390"/>
      <c r="AL7" s="390"/>
      <c r="AM7" s="391"/>
      <c r="AN7" s="392"/>
      <c r="AO7" s="393"/>
      <c r="AP7" s="390"/>
      <c r="AQ7" s="390"/>
      <c r="AR7" s="382"/>
      <c r="AS7" s="382"/>
      <c r="AT7" s="382"/>
      <c r="AU7" s="382"/>
      <c r="AV7" s="382"/>
      <c r="AW7" s="382"/>
      <c r="AX7" s="382"/>
      <c r="AY7" s="382"/>
      <c r="AZ7" s="382"/>
      <c r="BA7" s="382"/>
    </row>
    <row r="8" spans="1:53" s="357" customFormat="1" ht="17.25" customHeight="1">
      <c r="A8" s="399" t="e" vm="3">
        <f>+F91</f>
        <v>#VALUE!</v>
      </c>
      <c r="B8" s="383" t="str" cm="1">
        <f t="array" aca="1" ref="B8" ca="1">IFERROR(_FV(A8,"Nome"),"")</f>
        <v>INTUIT INC.</v>
      </c>
      <c r="C8" s="384" t="s">
        <v>204</v>
      </c>
      <c r="D8" s="461">
        <f>IFERROR(F94/F93-1,"")</f>
        <v>0.1290271884331291</v>
      </c>
      <c r="E8" s="462">
        <f>IFERROR(+F97/F94-1,"")</f>
        <v>0.13342149220489974</v>
      </c>
      <c r="F8" s="471">
        <f>IFERROR(F95/F94,"")</f>
        <v>0.2813891982182628</v>
      </c>
      <c r="G8" s="462">
        <f>IFERROR(F100/F97,"")</f>
        <v>0.2813018114829598</v>
      </c>
      <c r="H8" s="471">
        <f>IFERROR(F96/F94,"")</f>
        <v>0.16592427616926503</v>
      </c>
      <c r="I8" s="462">
        <f>+IFERROR(F105/F97,"")</f>
        <v>0.18194657660423702</v>
      </c>
      <c r="J8" s="479">
        <f t="shared" ref="J8:J16" si="0">+IFERROR((Q8/1000000+E$121-E$111)/E$94,"")</f>
        <v>4.8534584158131793</v>
      </c>
      <c r="K8" s="480">
        <f t="shared" ref="K8:K16" si="1">IFERROR(+(Q8/1000000+E$121-E$111)/E$97,"")</f>
        <v>4.464362053041298</v>
      </c>
      <c r="L8" s="485">
        <f t="shared" ref="L8:L16" si="2">IFERROR(+(Q8/1000000+E$121-E$111)/E$95,"")</f>
        <v>16.989054026913035</v>
      </c>
      <c r="M8" s="486">
        <f t="shared" ref="M8:M16" si="3">IFERROR(+(Q8/1000000+E$121-E$111)/E$100,"")</f>
        <v>15.182356636453379</v>
      </c>
      <c r="N8" s="388">
        <f t="shared" ref="N8:N16" si="4">IFERROR(+(Q8/1000000)/E$96,"")</f>
        <v>40.288442940038685</v>
      </c>
      <c r="O8" s="387">
        <f t="shared" ref="O8:O16" si="5">IFERROR(+(Q8/1000000)/E$105,"")</f>
        <v>26.889301274810393</v>
      </c>
      <c r="P8" s="373"/>
      <c r="Q8" s="771">
        <v>166633000000</v>
      </c>
      <c r="R8" s="386"/>
      <c r="S8" s="389"/>
      <c r="T8" s="390"/>
      <c r="U8" s="389"/>
      <c r="V8" s="389"/>
      <c r="W8" s="390"/>
      <c r="X8" s="389"/>
      <c r="Y8" s="389"/>
      <c r="Z8" s="389"/>
      <c r="AA8" s="389"/>
      <c r="AB8" s="389"/>
      <c r="AC8" s="390"/>
      <c r="AD8" s="390"/>
      <c r="AE8" s="385"/>
      <c r="AF8" s="385"/>
      <c r="AG8" s="385"/>
      <c r="AH8" s="385"/>
      <c r="AI8" s="385"/>
      <c r="AJ8" s="390"/>
      <c r="AK8" s="390"/>
      <c r="AL8" s="390"/>
      <c r="AM8" s="391"/>
      <c r="AN8" s="392"/>
      <c r="AO8" s="393"/>
      <c r="AP8" s="390"/>
      <c r="AQ8" s="390"/>
      <c r="AR8" s="382"/>
      <c r="AS8" s="382"/>
      <c r="AT8" s="382"/>
      <c r="AU8" s="382"/>
      <c r="AV8" s="382"/>
      <c r="AW8" s="382"/>
      <c r="AX8" s="382"/>
      <c r="AY8" s="382"/>
      <c r="AZ8" s="382"/>
      <c r="BA8" s="382"/>
    </row>
    <row r="9" spans="1:53" s="357" customFormat="1" ht="17.25" customHeight="1">
      <c r="A9" s="399" t="e" vm="4">
        <f>+G91</f>
        <v>#VALUE!</v>
      </c>
      <c r="B9" s="383" t="str" cm="1">
        <f t="array" aca="1" ref="B9" ca="1">IFERROR(_FV(A9,"Nome"),"")</f>
        <v>WORKDAY, INC.</v>
      </c>
      <c r="C9" s="384" t="s">
        <v>205</v>
      </c>
      <c r="D9" s="461">
        <f>+IFERROR(G94/G93-1,"")</f>
        <v>0.16779279279279269</v>
      </c>
      <c r="E9" s="462">
        <f>IFERROR(G97/G94-1,"")</f>
        <v>0.16352114616338342</v>
      </c>
      <c r="F9" s="471">
        <f>IFERROR(G95/G94,"")</f>
        <v>0.10359553657528585</v>
      </c>
      <c r="G9" s="462">
        <f>IFERROR(G100/G97,"")</f>
        <v>0.1276343831399479</v>
      </c>
      <c r="H9" s="471">
        <f>IFERROR(G96/G94,"")</f>
        <v>0.19024659043945447</v>
      </c>
      <c r="I9" s="462">
        <f>+IFERROR(G105/G97,"")</f>
        <v>6.2278001420790909E-2</v>
      </c>
      <c r="J9" s="479">
        <f t="shared" si="0"/>
        <v>1.7889950368649052</v>
      </c>
      <c r="K9" s="480">
        <f t="shared" si="1"/>
        <v>1.6455732946298984</v>
      </c>
      <c r="L9" s="485">
        <f t="shared" si="2"/>
        <v>6.2622012452299662</v>
      </c>
      <c r="M9" s="486">
        <f t="shared" si="3"/>
        <v>5.5962487660414606</v>
      </c>
      <c r="N9" s="388">
        <f t="shared" si="4"/>
        <v>14.462040618955513</v>
      </c>
      <c r="O9" s="387">
        <f t="shared" si="5"/>
        <v>9.6522510892367279</v>
      </c>
      <c r="P9" s="373"/>
      <c r="Q9" s="771">
        <v>59815000000</v>
      </c>
      <c r="R9" s="386"/>
      <c r="S9" s="386"/>
      <c r="T9" s="390"/>
      <c r="U9" s="389"/>
      <c r="V9" s="389"/>
      <c r="W9" s="390"/>
      <c r="X9" s="389"/>
      <c r="Y9" s="389"/>
      <c r="Z9" s="389"/>
      <c r="AA9" s="389"/>
      <c r="AB9" s="389"/>
      <c r="AC9" s="390"/>
      <c r="AD9" s="390"/>
      <c r="AE9" s="385"/>
      <c r="AF9" s="385"/>
      <c r="AG9" s="385"/>
      <c r="AH9" s="385"/>
      <c r="AI9" s="385"/>
      <c r="AJ9" s="390"/>
      <c r="AK9" s="390"/>
      <c r="AL9" s="390"/>
      <c r="AM9" s="391"/>
      <c r="AN9" s="392"/>
      <c r="AO9" s="393"/>
      <c r="AP9" s="390"/>
      <c r="AQ9" s="390"/>
      <c r="AR9" s="382"/>
      <c r="AS9" s="382"/>
      <c r="AT9" s="382"/>
      <c r="AU9" s="382"/>
      <c r="AV9" s="382"/>
      <c r="AW9" s="382"/>
      <c r="AX9" s="382"/>
      <c r="AY9" s="382"/>
      <c r="AZ9" s="382"/>
      <c r="BA9" s="382"/>
    </row>
    <row r="10" spans="1:53" s="357" customFormat="1" ht="17.25" customHeight="1">
      <c r="A10" s="399" t="e" vm="5">
        <f>+H91</f>
        <v>#VALUE!</v>
      </c>
      <c r="B10" s="383" t="str" cm="1">
        <f t="array" aca="1" ref="B10" ca="1">IFERROR(_FV(A10,"Nome"),"")</f>
        <v>DATADOG, INC.</v>
      </c>
      <c r="C10" s="384" t="s">
        <v>206</v>
      </c>
      <c r="D10" s="461">
        <f>IFERROR(H94/H93-1,"")</f>
        <v>0.27044776119402991</v>
      </c>
      <c r="E10" s="462">
        <f>IFERROR(H97/H94-1,"")</f>
        <v>0.26127819548872178</v>
      </c>
      <c r="F10" s="471">
        <f>IFERROR(H95/H94,"")</f>
        <v>5.2161654135338346E-2</v>
      </c>
      <c r="G10" s="462">
        <f>IFERROR(H100/H97,"")</f>
        <v>9.9105812220566317E-2</v>
      </c>
      <c r="H10" s="471">
        <f>IFERROR(H96/H94,"")</f>
        <v>2.2556390977443608E-2</v>
      </c>
      <c r="I10" s="462">
        <f>+IFERROR(H105/H97,"")</f>
        <v>6.8554396423248884E-2</v>
      </c>
      <c r="J10" s="479">
        <f t="shared" si="0"/>
        <v>1.0100123361161317</v>
      </c>
      <c r="K10" s="480">
        <f t="shared" si="1"/>
        <v>0.92904077055020451</v>
      </c>
      <c r="L10" s="485">
        <f t="shared" si="2"/>
        <v>3.535448885318337</v>
      </c>
      <c r="M10" s="486">
        <f t="shared" si="3"/>
        <v>3.1594723144575068</v>
      </c>
      <c r="N10" s="388">
        <f t="shared" si="4"/>
        <v>7.897001934235977</v>
      </c>
      <c r="O10" s="387">
        <f t="shared" si="5"/>
        <v>5.2706148136194937</v>
      </c>
      <c r="P10" s="373"/>
      <c r="Q10" s="771">
        <v>32662000000</v>
      </c>
      <c r="R10" s="386"/>
      <c r="S10" s="386"/>
      <c r="T10" s="390"/>
      <c r="U10" s="389"/>
      <c r="V10" s="389"/>
      <c r="W10" s="390"/>
      <c r="X10" s="389"/>
      <c r="Y10" s="389"/>
      <c r="Z10" s="389"/>
      <c r="AA10" s="389"/>
      <c r="AB10" s="389"/>
      <c r="AC10" s="390"/>
      <c r="AD10" s="390"/>
      <c r="AE10" s="385"/>
      <c r="AF10" s="385"/>
      <c r="AG10" s="385"/>
      <c r="AH10" s="385"/>
      <c r="AI10" s="385"/>
      <c r="AJ10" s="390"/>
      <c r="AK10" s="390"/>
      <c r="AL10" s="390"/>
      <c r="AM10" s="391"/>
      <c r="AN10" s="392"/>
      <c r="AO10" s="393"/>
      <c r="AP10" s="390"/>
      <c r="AQ10" s="390"/>
      <c r="AR10" s="382"/>
      <c r="AS10" s="382"/>
      <c r="AT10" s="382"/>
      <c r="AU10" s="382"/>
      <c r="AV10" s="382"/>
      <c r="AW10" s="382"/>
      <c r="AX10" s="382"/>
      <c r="AY10" s="382"/>
      <c r="AZ10" s="382"/>
      <c r="BA10" s="382"/>
    </row>
    <row r="11" spans="1:53" s="357" customFormat="1" ht="17.25" customHeight="1">
      <c r="A11" s="399" t="e" vm="6">
        <f>+I91</f>
        <v>#VALUE!</v>
      </c>
      <c r="B11" s="383" t="str" cm="1">
        <f t="array" aca="1" ref="B11" ca="1">IFERROR(_FV(A11,"Nome"),"")</f>
        <v>HUBSPOT, INC.</v>
      </c>
      <c r="C11" s="384" t="s">
        <v>207</v>
      </c>
      <c r="D11" s="461">
        <f>+IFERROR(I94/I93-1,"")</f>
        <v>0.25361062969381853</v>
      </c>
      <c r="E11" s="462">
        <f>IFERROR(I97/I94-1,"")</f>
        <v>0.21105990783410133</v>
      </c>
      <c r="F11" s="471">
        <f>IFERROR(I95/I94,"")</f>
        <v>-3.4101382488479264E-2</v>
      </c>
      <c r="G11" s="462">
        <f>IFERROR(I100/I97,"")</f>
        <v>4.9086757990867577E-2</v>
      </c>
      <c r="H11" s="471">
        <f>IFERROR(I96/I94,"")</f>
        <v>-7.6036866359447008E-2</v>
      </c>
      <c r="I11" s="462">
        <f>+IFERROR(I105/I97,"")</f>
        <v>1.9025875190258751E-3</v>
      </c>
      <c r="J11" s="479">
        <f t="shared" si="0"/>
        <v>0.91978655650228069</v>
      </c>
      <c r="K11" s="480">
        <f t="shared" si="1"/>
        <v>0.84604829133131021</v>
      </c>
      <c r="L11" s="485">
        <f t="shared" si="2"/>
        <v>3.2196224141393852</v>
      </c>
      <c r="M11" s="486">
        <f t="shared" si="3"/>
        <v>2.8772323431750877</v>
      </c>
      <c r="N11" s="388">
        <f t="shared" si="4"/>
        <v>7.1366054158607346</v>
      </c>
      <c r="O11" s="387">
        <f t="shared" si="5"/>
        <v>4.7631111828304018</v>
      </c>
      <c r="P11" s="373"/>
      <c r="Q11" s="771">
        <v>29517000000</v>
      </c>
      <c r="R11" s="386"/>
      <c r="S11" s="386"/>
      <c r="T11" s="390"/>
      <c r="U11" s="389"/>
      <c r="V11" s="389"/>
      <c r="W11" s="390"/>
      <c r="X11" s="389"/>
      <c r="Y11" s="389"/>
      <c r="Z11" s="389"/>
      <c r="AA11" s="389"/>
      <c r="AB11" s="389"/>
      <c r="AC11" s="390"/>
      <c r="AD11" s="390"/>
      <c r="AE11" s="385"/>
      <c r="AF11" s="385"/>
      <c r="AG11" s="385"/>
      <c r="AH11" s="385"/>
      <c r="AI11" s="385"/>
      <c r="AJ11" s="390"/>
      <c r="AK11" s="390"/>
      <c r="AL11" s="390"/>
      <c r="AM11" s="391"/>
      <c r="AN11" s="392"/>
      <c r="AO11" s="393"/>
      <c r="AP11" s="390"/>
      <c r="AQ11" s="390"/>
      <c r="AR11" s="382"/>
      <c r="AS11" s="382"/>
      <c r="AT11" s="382"/>
      <c r="AU11" s="382"/>
      <c r="AV11" s="382"/>
      <c r="AW11" s="382"/>
      <c r="AX11" s="382"/>
      <c r="AY11" s="382"/>
      <c r="AZ11" s="382"/>
      <c r="BA11" s="382"/>
    </row>
    <row r="12" spans="1:53" s="357" customFormat="1" ht="17.25" customHeight="1">
      <c r="A12" s="399" t="e" vm="7">
        <f>+J91</f>
        <v>#VALUE!</v>
      </c>
      <c r="B12" s="383" t="str" cm="1">
        <f t="array" aca="1" ref="B12" ca="1">IFERROR(_FV(A12,"Nome"),"")</f>
        <v>Sap Se</v>
      </c>
      <c r="C12" s="384" t="s">
        <v>208</v>
      </c>
      <c r="D12" s="461">
        <f>IFERROR(J94/J93-1,"")</f>
        <v>8.6824168055233297E-2</v>
      </c>
      <c r="E12" s="462">
        <f>IFERROR(J97/J94-1,"")</f>
        <v>3.5404061443091051E-2</v>
      </c>
      <c r="F12" s="471">
        <f>IFERROR(J95/J94,"")</f>
        <v>0.24039478322171307</v>
      </c>
      <c r="G12" s="462">
        <f>IFERROR(J100/J97,"")</f>
        <v>0.1893433988764045</v>
      </c>
      <c r="H12" s="475">
        <f>IFERROR(J96/J94,"")</f>
        <v>0.100105745505816</v>
      </c>
      <c r="I12" s="462">
        <f>+IFERROR(J105/J97,"")</f>
        <v>9.1409176029962541E-2</v>
      </c>
      <c r="J12" s="479">
        <f t="shared" si="0"/>
        <v>9.3438046877241305</v>
      </c>
      <c r="K12" s="480">
        <f t="shared" si="1"/>
        <v>8.5947222588732028</v>
      </c>
      <c r="L12" s="485">
        <f t="shared" si="2"/>
        <v>32.707069692709382</v>
      </c>
      <c r="M12" s="486">
        <f t="shared" si="3"/>
        <v>29.228843219958719</v>
      </c>
      <c r="N12" s="388">
        <f t="shared" si="4"/>
        <v>78.131769825918767</v>
      </c>
      <c r="O12" s="387">
        <f t="shared" si="5"/>
        <v>52.146683879296432</v>
      </c>
      <c r="P12" s="373"/>
      <c r="Q12" s="771">
        <v>323153000000</v>
      </c>
      <c r="R12" s="386"/>
      <c r="S12" s="386"/>
      <c r="T12" s="390"/>
      <c r="U12" s="389"/>
      <c r="V12" s="389"/>
      <c r="W12" s="390"/>
      <c r="X12" s="389"/>
      <c r="Y12" s="389"/>
      <c r="Z12" s="389"/>
      <c r="AA12" s="389"/>
      <c r="AB12" s="389"/>
      <c r="AC12" s="390"/>
      <c r="AD12" s="390"/>
      <c r="AE12" s="385"/>
      <c r="AF12" s="385"/>
      <c r="AG12" s="385"/>
      <c r="AH12" s="385"/>
      <c r="AI12" s="385"/>
      <c r="AJ12" s="390"/>
      <c r="AK12" s="390"/>
      <c r="AL12" s="390"/>
      <c r="AM12" s="391"/>
      <c r="AN12" s="392"/>
      <c r="AO12" s="393"/>
      <c r="AP12" s="390"/>
      <c r="AQ12" s="390"/>
      <c r="AR12" s="382"/>
      <c r="AS12" s="382"/>
      <c r="AT12" s="382"/>
      <c r="AU12" s="382"/>
      <c r="AV12" s="382"/>
      <c r="AW12" s="382"/>
      <c r="AX12" s="382"/>
      <c r="AY12" s="382"/>
      <c r="AZ12" s="382"/>
      <c r="BA12" s="382"/>
    </row>
    <row r="13" spans="1:53" s="357" customFormat="1" ht="17.25" customHeight="1">
      <c r="A13" s="399" t="e" vm="8">
        <f>+K91</f>
        <v>#VALUE!</v>
      </c>
      <c r="B13" s="383" t="str" cm="1">
        <f t="array" aca="1" ref="B13" ca="1">IFERROR(_FV(A13,"Nome"),"")</f>
        <v>SERVICENOW, INC.</v>
      </c>
      <c r="C13" s="384" t="s">
        <v>209</v>
      </c>
      <c r="D13" s="461">
        <f>IFERROR(K94/K93-1,"")</f>
        <v>0.23823326432022074</v>
      </c>
      <c r="E13" s="462">
        <f>IFERROR(K97/K94-1,"")</f>
        <v>0.22438970014491133</v>
      </c>
      <c r="F13" s="471">
        <f>+IFERROR(K95/K94,"")</f>
        <v>0.17768364730799241</v>
      </c>
      <c r="G13" s="462">
        <f>IFERROR(K100/K97,"")</f>
        <v>0.21167152221412963</v>
      </c>
      <c r="H13" s="475">
        <f>IFERROR(K96/K94,"")</f>
        <v>0.19295507747185375</v>
      </c>
      <c r="I13" s="462">
        <f>+IFERROR(K105/K97,"")</f>
        <v>0.12973415877640204</v>
      </c>
      <c r="J13" s="479">
        <f t="shared" si="0"/>
        <v>1.6889003643457554</v>
      </c>
      <c r="K13" s="480">
        <f t="shared" si="1"/>
        <v>1.5535031006729121</v>
      </c>
      <c r="L13" s="485">
        <f t="shared" si="2"/>
        <v>5.911829684675638</v>
      </c>
      <c r="M13" s="486">
        <f t="shared" si="3"/>
        <v>5.2831373956744141</v>
      </c>
      <c r="N13" s="388">
        <f t="shared" si="4"/>
        <v>13.618471953578336</v>
      </c>
      <c r="O13" s="387">
        <f t="shared" si="5"/>
        <v>9.0892367274487658</v>
      </c>
      <c r="P13" s="373"/>
      <c r="Q13" s="771">
        <v>56326000000</v>
      </c>
      <c r="R13" s="386"/>
      <c r="S13" s="386"/>
      <c r="T13" s="390"/>
      <c r="U13" s="389"/>
      <c r="V13" s="389"/>
      <c r="W13" s="390"/>
      <c r="X13" s="389"/>
      <c r="Y13" s="389"/>
      <c r="Z13" s="389"/>
      <c r="AA13" s="389"/>
      <c r="AB13" s="389"/>
      <c r="AC13" s="390"/>
      <c r="AD13" s="390"/>
      <c r="AE13" s="385"/>
      <c r="AF13" s="385"/>
      <c r="AG13" s="385"/>
      <c r="AH13" s="385"/>
      <c r="AI13" s="385"/>
      <c r="AJ13" s="390"/>
      <c r="AK13" s="390"/>
      <c r="AL13" s="390"/>
      <c r="AM13" s="391"/>
      <c r="AN13" s="392"/>
      <c r="AO13" s="393"/>
      <c r="AP13" s="390"/>
      <c r="AQ13" s="390"/>
      <c r="AR13" s="382"/>
      <c r="AS13" s="382"/>
      <c r="AT13" s="382"/>
      <c r="AU13" s="382"/>
      <c r="AV13" s="382"/>
      <c r="AW13" s="382"/>
      <c r="AX13" s="382"/>
      <c r="AY13" s="382"/>
      <c r="AZ13" s="382"/>
      <c r="BA13" s="382"/>
    </row>
    <row r="14" spans="1:53" s="357" customFormat="1" ht="17.25" customHeight="1">
      <c r="A14" s="399" t="e" vm="9">
        <f>+L91</f>
        <v>#VALUE!</v>
      </c>
      <c r="B14" s="383" t="str" cm="1">
        <f t="array" aca="1" ref="B14" ca="1">IFERROR(_FV(A14,"Nome"),"")</f>
        <v>AUTODESK, INC.</v>
      </c>
      <c r="C14" s="384" t="s">
        <v>210</v>
      </c>
      <c r="D14" s="461">
        <f>IFERROR(K94/K93-1,"")</f>
        <v>0.23823326432022074</v>
      </c>
      <c r="E14" s="462">
        <f>IFERROR(L97/L94-1,"")</f>
        <v>0.11533563762052035</v>
      </c>
      <c r="F14" s="471">
        <f>IFERROR(L95/L94,"")</f>
        <v>0.22175732217573221</v>
      </c>
      <c r="G14" s="462">
        <f>IFERROR(L100/L97,"")</f>
        <v>0.25265046485075843</v>
      </c>
      <c r="H14" s="475">
        <f>IFERROR(L96/L94,"")</f>
        <v>0.16481717300345644</v>
      </c>
      <c r="I14" s="462">
        <f>+IFERROR(L105/L97,"")</f>
        <v>0.18137334855651607</v>
      </c>
      <c r="J14" s="479">
        <f t="shared" si="0"/>
        <v>4.8993028659953524</v>
      </c>
      <c r="K14" s="480">
        <f t="shared" si="1"/>
        <v>4.5065312046444124</v>
      </c>
      <c r="L14" s="485">
        <f t="shared" si="2"/>
        <v>17.149528017674232</v>
      </c>
      <c r="M14" s="486">
        <f t="shared" si="3"/>
        <v>15.325765054294175</v>
      </c>
      <c r="N14" s="388">
        <f t="shared" si="4"/>
        <v>40.674806576402318</v>
      </c>
      <c r="O14" s="387">
        <f t="shared" si="5"/>
        <v>27.147167984508634</v>
      </c>
      <c r="P14" s="373"/>
      <c r="Q14" s="771">
        <v>168231000000</v>
      </c>
      <c r="R14" s="386"/>
      <c r="S14" s="386"/>
      <c r="T14" s="390"/>
      <c r="U14" s="389"/>
      <c r="V14" s="389"/>
      <c r="W14" s="390"/>
      <c r="X14" s="389"/>
      <c r="Y14" s="389"/>
      <c r="Z14" s="389"/>
      <c r="AA14" s="389"/>
      <c r="AB14" s="389"/>
      <c r="AC14" s="390"/>
      <c r="AD14" s="390"/>
      <c r="AE14" s="385"/>
      <c r="AF14" s="385"/>
      <c r="AG14" s="385"/>
      <c r="AH14" s="385"/>
      <c r="AI14" s="385"/>
      <c r="AJ14" s="390"/>
      <c r="AK14" s="390"/>
      <c r="AL14" s="390"/>
      <c r="AM14" s="391"/>
      <c r="AN14" s="392"/>
      <c r="AO14" s="393"/>
      <c r="AP14" s="390"/>
      <c r="AQ14" s="390"/>
      <c r="AR14" s="382"/>
      <c r="AS14" s="382"/>
      <c r="AT14" s="382"/>
      <c r="AU14" s="382"/>
      <c r="AV14" s="382"/>
      <c r="AW14" s="382"/>
      <c r="AX14" s="382"/>
      <c r="AY14" s="382"/>
      <c r="AZ14" s="382"/>
      <c r="BA14" s="382"/>
    </row>
    <row r="15" spans="1:53" s="357" customFormat="1" ht="17.25" customHeight="1">
      <c r="A15" s="399" t="e" vm="10">
        <f>+M91</f>
        <v>#VALUE!</v>
      </c>
      <c r="B15" s="383" t="str" cm="1">
        <f t="array" aca="1" ref="B15" ca="1">IFERROR(_FV(A15,"Nome"),"")</f>
        <v>SNOWFLAKE INC.</v>
      </c>
      <c r="C15" s="384" t="s">
        <v>211</v>
      </c>
      <c r="D15" s="461">
        <f>IFERROR(M94/M93-1,"")</f>
        <v>0.35818005808325259</v>
      </c>
      <c r="E15" s="462">
        <f>IFERROR(M97/M94-1,"")</f>
        <v>0.2922309337134712</v>
      </c>
      <c r="F15" s="471">
        <f>IFERROR(M95/M94,"")</f>
        <v>-0.25980042765502492</v>
      </c>
      <c r="G15" s="462">
        <f>IFERROR(M100/M97,"")</f>
        <v>-0.30336458907887481</v>
      </c>
      <c r="H15" s="475">
        <f>IFERROR(M96/M94,"")</f>
        <v>-0.29793300071275836</v>
      </c>
      <c r="I15" s="462">
        <f>+IFERROR(M105/M97,"")</f>
        <v>-0.3472145615002758</v>
      </c>
      <c r="J15" s="479">
        <f t="shared" si="0"/>
        <v>1.4856987118799667</v>
      </c>
      <c r="K15" s="480">
        <f t="shared" si="1"/>
        <v>1.3665918986673704</v>
      </c>
      <c r="L15" s="485">
        <f t="shared" si="2"/>
        <v>5.2005422775657761</v>
      </c>
      <c r="M15" s="486">
        <f t="shared" si="3"/>
        <v>4.647491698824374</v>
      </c>
      <c r="N15" s="388">
        <f t="shared" si="4"/>
        <v>11.905947775628627</v>
      </c>
      <c r="O15" s="387">
        <f t="shared" si="5"/>
        <v>7.9462643214458613</v>
      </c>
      <c r="P15" s="373"/>
      <c r="Q15" s="771">
        <v>49243000000</v>
      </c>
      <c r="R15" s="386"/>
      <c r="S15" s="386"/>
      <c r="T15" s="390"/>
      <c r="U15" s="389"/>
      <c r="V15" s="389"/>
      <c r="W15" s="390"/>
      <c r="X15" s="389"/>
      <c r="Y15" s="389"/>
      <c r="Z15" s="389"/>
      <c r="AA15" s="389"/>
      <c r="AB15" s="389"/>
      <c r="AC15" s="390"/>
      <c r="AD15" s="390"/>
      <c r="AE15" s="385"/>
      <c r="AF15" s="385"/>
      <c r="AG15" s="385"/>
      <c r="AH15" s="385"/>
      <c r="AI15" s="385"/>
      <c r="AJ15" s="390"/>
      <c r="AK15" s="390"/>
      <c r="AL15" s="390"/>
      <c r="AM15" s="391"/>
      <c r="AN15" s="392"/>
      <c r="AO15" s="393"/>
      <c r="AP15" s="390"/>
      <c r="AQ15" s="390"/>
      <c r="AR15" s="382"/>
      <c r="AS15" s="382"/>
      <c r="AT15" s="382"/>
      <c r="AU15" s="382"/>
      <c r="AV15" s="382"/>
      <c r="AW15" s="382"/>
      <c r="AX15" s="382"/>
      <c r="AY15" s="382"/>
      <c r="AZ15" s="382"/>
      <c r="BA15" s="382"/>
    </row>
    <row r="16" spans="1:53" s="357" customFormat="1" ht="17.25" customHeight="1">
      <c r="A16" s="399" t="e" vm="11">
        <f>+N91</f>
        <v>#VALUE!</v>
      </c>
      <c r="B16" s="507" t="str" cm="1">
        <f t="array" aca="1" ref="B16" ca="1">IFERROR(_FV(A16,"Nome"),"")</f>
        <v>ATLASSIAN CORPORATION</v>
      </c>
      <c r="C16" s="384" t="s">
        <v>212</v>
      </c>
      <c r="D16" s="508">
        <f>IFERROR(N94/N93-1,"")</f>
        <v>0.26150552978951125</v>
      </c>
      <c r="E16" s="509">
        <f>IFERROR(N97/N94-1,"")</f>
        <v>0.2327488687782806</v>
      </c>
      <c r="F16" s="510">
        <f>IFERROR(N95/N94,"")</f>
        <v>-5.6561085972850679E-2</v>
      </c>
      <c r="G16" s="509">
        <f>IFERROR(N100/N97,"")</f>
        <v>6.1940812112869928E-3</v>
      </c>
      <c r="H16" s="511">
        <f>IFERROR(N96/N94,"")</f>
        <v>-8.5124434389140274E-2</v>
      </c>
      <c r="I16" s="509">
        <f>+IFERROR(N105/N97,"")</f>
        <v>-6.9052534985088329E-2</v>
      </c>
      <c r="J16" s="479">
        <f t="shared" si="0"/>
        <v>1.6384370427747654</v>
      </c>
      <c r="K16" s="480">
        <f t="shared" si="1"/>
        <v>1.507085367462726</v>
      </c>
      <c r="L16" s="485">
        <f t="shared" si="2"/>
        <v>5.7351877887125928</v>
      </c>
      <c r="M16" s="486">
        <f t="shared" si="3"/>
        <v>5.125280445122498</v>
      </c>
      <c r="N16" s="388">
        <f t="shared" si="4"/>
        <v>13.193181818181818</v>
      </c>
      <c r="O16" s="387">
        <f t="shared" si="5"/>
        <v>8.8053897046958198</v>
      </c>
      <c r="P16" s="373"/>
      <c r="Q16" s="771">
        <v>54567000000</v>
      </c>
      <c r="R16" s="386"/>
      <c r="S16" s="386"/>
      <c r="T16" s="390"/>
      <c r="U16" s="389"/>
      <c r="V16" s="389"/>
      <c r="W16" s="390"/>
      <c r="X16" s="389"/>
      <c r="Y16" s="389"/>
      <c r="Z16" s="389"/>
      <c r="AA16" s="389"/>
      <c r="AB16" s="389"/>
      <c r="AC16" s="390"/>
      <c r="AD16" s="390"/>
      <c r="AE16" s="385"/>
      <c r="AF16" s="385"/>
      <c r="AG16" s="385"/>
      <c r="AH16" s="385"/>
      <c r="AI16" s="385"/>
      <c r="AJ16" s="390"/>
      <c r="AK16" s="390"/>
      <c r="AL16" s="390"/>
      <c r="AM16" s="391"/>
      <c r="AN16" s="392"/>
      <c r="AO16" s="393"/>
      <c r="AP16" s="390"/>
      <c r="AQ16" s="390"/>
      <c r="AR16" s="382"/>
      <c r="AS16" s="382"/>
      <c r="AT16" s="382"/>
      <c r="AU16" s="382"/>
      <c r="AV16" s="382"/>
      <c r="AW16" s="382"/>
      <c r="AX16" s="382"/>
      <c r="AY16" s="382"/>
      <c r="AZ16" s="382"/>
      <c r="BA16" s="382"/>
    </row>
    <row r="17" spans="1:43" s="354" customFormat="1" ht="15.75" customHeight="1">
      <c r="A17" s="399"/>
      <c r="B17" s="356" t="s">
        <v>213</v>
      </c>
      <c r="C17" s="769" t="str" cm="1">
        <f t="array" ref="C17">IFERROR(_FV(A17,"Ticker symbol",TRUE),"")</f>
        <v/>
      </c>
      <c r="D17" s="463">
        <f t="shared" ref="D17:O17" si="6">IFERROR(AVERAGE(D6:D16),"")</f>
        <v>0.20164163885283753</v>
      </c>
      <c r="E17" s="464">
        <f t="shared" si="6"/>
        <v>0.16950337967501852</v>
      </c>
      <c r="F17" s="472">
        <f t="shared" si="6"/>
        <v>0.12395282527985171</v>
      </c>
      <c r="G17" s="464">
        <f t="shared" si="6"/>
        <v>0.14246584365319673</v>
      </c>
      <c r="H17" s="476">
        <f t="shared" si="6"/>
        <v>7.053011358862607E-2</v>
      </c>
      <c r="I17" s="477">
        <f t="shared" si="6"/>
        <v>6.5727862017075103E-2</v>
      </c>
      <c r="J17" s="481">
        <f t="shared" ca="1" si="6"/>
        <v>3.8658076423259984</v>
      </c>
      <c r="K17" s="482">
        <f t="shared" ca="1" si="6"/>
        <v>3.5434414154629295</v>
      </c>
      <c r="L17" s="481">
        <f t="shared" ca="1" si="6"/>
        <v>13.061423669697803</v>
      </c>
      <c r="M17" s="482">
        <f t="shared" ca="1" si="6"/>
        <v>11.648566925120598</v>
      </c>
      <c r="N17" s="369">
        <f t="shared" ca="1" si="6"/>
        <v>28.554769400638236</v>
      </c>
      <c r="O17" s="369">
        <f t="shared" ca="1" si="6"/>
        <v>19.860863802217423</v>
      </c>
      <c r="P17" s="373"/>
      <c r="Q17" s="497"/>
      <c r="R17" s="400"/>
      <c r="S17" s="400"/>
      <c r="T17" s="396"/>
      <c r="U17" s="400"/>
      <c r="V17" s="400"/>
      <c r="W17" s="396"/>
      <c r="X17" s="400"/>
      <c r="Y17" s="400"/>
      <c r="Z17" s="400"/>
      <c r="AA17" s="400"/>
      <c r="AB17" s="400"/>
      <c r="AC17" s="400"/>
      <c r="AD17" s="396"/>
      <c r="AE17" s="400"/>
      <c r="AF17" s="400"/>
      <c r="AG17" s="400"/>
      <c r="AH17" s="400"/>
      <c r="AI17" s="400"/>
      <c r="AJ17" s="396"/>
      <c r="AK17" s="401"/>
      <c r="AL17" s="396"/>
      <c r="AM17" s="401"/>
      <c r="AN17" s="398"/>
      <c r="AO17" s="401"/>
      <c r="AP17" s="396"/>
      <c r="AQ17" s="401"/>
    </row>
    <row r="18" spans="1:43" s="354" customFormat="1" ht="15.75" customHeight="1">
      <c r="A18" s="399"/>
      <c r="B18" s="402" t="s">
        <v>214</v>
      </c>
      <c r="C18" s="356"/>
      <c r="D18" s="465">
        <f>IFERROR(+D17-D6,"")</f>
        <v>9.9233368944851519E-2</v>
      </c>
      <c r="E18" s="466">
        <f>IFERROR(E17-E6,"")</f>
        <v>6.1512241543223906E-2</v>
      </c>
      <c r="F18" s="473">
        <f>+IFERROR(F17-F6,"")</f>
        <v>-0.22732750858588066</v>
      </c>
      <c r="G18" s="466">
        <f>IFERROR(G17-G6,"")</f>
        <v>-0.21698544674438522</v>
      </c>
      <c r="H18" s="473">
        <f>IFERROR(+H6-H17,"")</f>
        <v>0.20913395977939905</v>
      </c>
      <c r="I18" s="466">
        <f>+IFERROR(I6-I17,"")</f>
        <v>0.19281666251210416</v>
      </c>
      <c r="J18" s="506">
        <f ca="1">+IFERROR(J6-J17,"")</f>
        <v>4.0510247550154403</v>
      </c>
      <c r="K18" s="483">
        <f ca="1">+IFERROR(K6-K17,"")</f>
        <v>3.6017713257600414</v>
      </c>
      <c r="L18" s="506">
        <f ca="1">IFERROR(+L6-L17,"")</f>
        <v>9.4756546523907836</v>
      </c>
      <c r="M18" s="483">
        <f ca="1">IFERROR(M6-M17,"")</f>
        <v>8.2295443297306292</v>
      </c>
      <c r="N18" s="506">
        <f ca="1">IFERROR(+N6-N17,"")</f>
        <v>4.0440621469350901E-2</v>
      </c>
      <c r="O18" s="506">
        <f ca="1">IFERROR(+O6-O17,"")</f>
        <v>8.055467133034373</v>
      </c>
      <c r="P18" s="373"/>
      <c r="Q18" s="498"/>
      <c r="R18" s="397"/>
      <c r="S18" s="397"/>
      <c r="T18" s="396"/>
      <c r="U18" s="397"/>
      <c r="V18" s="397"/>
      <c r="W18" s="396"/>
      <c r="X18" s="397"/>
      <c r="Y18" s="397"/>
      <c r="Z18" s="397"/>
      <c r="AA18" s="397"/>
      <c r="AB18" s="397"/>
      <c r="AC18" s="397"/>
      <c r="AD18" s="396"/>
      <c r="AE18" s="397"/>
      <c r="AF18" s="397"/>
      <c r="AG18" s="397"/>
      <c r="AH18" s="397"/>
      <c r="AI18" s="397"/>
      <c r="AJ18" s="396"/>
      <c r="AK18" s="403"/>
      <c r="AL18" s="396"/>
      <c r="AM18" s="403"/>
      <c r="AN18" s="396"/>
      <c r="AO18" s="403"/>
      <c r="AP18" s="396"/>
      <c r="AQ18" s="403"/>
    </row>
    <row r="19" spans="1:43" s="354" customFormat="1" ht="14.25" customHeight="1">
      <c r="A19" s="373"/>
      <c r="B19" s="373"/>
      <c r="C19" s="373"/>
      <c r="D19" s="373"/>
      <c r="E19" s="373"/>
      <c r="F19" s="373"/>
      <c r="G19" s="373"/>
      <c r="H19" s="373"/>
      <c r="I19" s="373"/>
      <c r="J19" s="373"/>
      <c r="K19" s="373"/>
      <c r="L19" s="373"/>
      <c r="M19" s="373"/>
      <c r="N19" s="373"/>
      <c r="O19" s="373"/>
      <c r="P19" s="373"/>
      <c r="Q19" s="405"/>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row>
    <row r="20" spans="1:43" s="354" customFormat="1" ht="14.1">
      <c r="A20" s="373"/>
      <c r="B20" s="404"/>
      <c r="C20" s="404"/>
      <c r="D20" s="840" t="s">
        <v>215</v>
      </c>
      <c r="E20" s="840"/>
      <c r="F20" s="840"/>
      <c r="G20" s="566" t="s">
        <v>216</v>
      </c>
      <c r="H20" s="566" t="s">
        <v>217</v>
      </c>
      <c r="I20" s="566" t="s">
        <v>218</v>
      </c>
      <c r="J20" s="840" t="s">
        <v>219</v>
      </c>
      <c r="K20" s="840"/>
      <c r="L20" s="840"/>
      <c r="M20" s="840" t="s">
        <v>220</v>
      </c>
      <c r="N20" s="840"/>
      <c r="O20" s="840"/>
      <c r="P20" s="373"/>
      <c r="Q20" s="495"/>
      <c r="R20" s="405"/>
      <c r="S20" s="405"/>
      <c r="T20" s="405"/>
      <c r="U20" s="405"/>
      <c r="V20" s="405"/>
      <c r="W20" s="405"/>
      <c r="X20" s="405"/>
      <c r="Y20" s="405"/>
      <c r="Z20" s="373"/>
      <c r="AA20" s="373"/>
      <c r="AB20" s="373"/>
      <c r="AC20" s="373"/>
      <c r="AD20" s="373"/>
      <c r="AE20" s="373"/>
      <c r="AF20" s="373"/>
      <c r="AG20" s="373"/>
      <c r="AH20" s="373"/>
      <c r="AI20" s="373"/>
      <c r="AJ20" s="373"/>
      <c r="AK20" s="373"/>
      <c r="AL20" s="373"/>
      <c r="AM20" s="373"/>
      <c r="AN20" s="373"/>
      <c r="AO20" s="373"/>
      <c r="AP20" s="373"/>
      <c r="AQ20" s="373"/>
    </row>
    <row r="21" spans="1:43" s="354" customFormat="1" ht="14.25" customHeight="1">
      <c r="A21" s="373"/>
      <c r="B21" s="406" t="s">
        <v>221</v>
      </c>
      <c r="C21" s="404"/>
      <c r="D21" s="376" t="s">
        <v>222</v>
      </c>
      <c r="E21" s="376" t="s">
        <v>223</v>
      </c>
      <c r="F21" s="376" t="s">
        <v>224</v>
      </c>
      <c r="G21" s="376" t="s">
        <v>225</v>
      </c>
      <c r="H21" s="376" t="s">
        <v>226</v>
      </c>
      <c r="I21" s="376" t="s">
        <v>227</v>
      </c>
      <c r="J21" s="376" t="s">
        <v>222</v>
      </c>
      <c r="K21" s="376" t="s">
        <v>223</v>
      </c>
      <c r="L21" s="376" t="s">
        <v>224</v>
      </c>
      <c r="M21" s="376" t="s">
        <v>222</v>
      </c>
      <c r="N21" s="376" t="s">
        <v>223</v>
      </c>
      <c r="O21" s="376" t="s">
        <v>224</v>
      </c>
      <c r="P21" s="373"/>
      <c r="Q21" s="495" t="s">
        <v>228</v>
      </c>
      <c r="R21" s="405"/>
      <c r="S21" s="405"/>
      <c r="T21" s="405"/>
      <c r="U21" s="405"/>
      <c r="V21" s="405"/>
      <c r="W21" s="405"/>
      <c r="X21" s="405"/>
      <c r="Y21" s="405"/>
      <c r="Z21" s="373"/>
      <c r="AA21" s="373"/>
      <c r="AB21" s="373"/>
      <c r="AC21" s="373"/>
      <c r="AD21" s="373"/>
      <c r="AE21" s="373"/>
      <c r="AF21" s="373"/>
      <c r="AG21" s="373"/>
      <c r="AH21" s="373"/>
      <c r="AI21" s="373"/>
      <c r="AJ21" s="373"/>
      <c r="AK21" s="373"/>
      <c r="AL21" s="373"/>
      <c r="AM21" s="373"/>
      <c r="AN21" s="373"/>
      <c r="AO21" s="373"/>
      <c r="AP21" s="373"/>
      <c r="AQ21" s="373"/>
    </row>
    <row r="22" spans="1:43" s="354" customFormat="1" ht="3.75" customHeight="1">
      <c r="A22" s="373"/>
      <c r="B22" s="407"/>
      <c r="C22" s="408"/>
      <c r="D22" s="490"/>
      <c r="E22" s="492"/>
      <c r="F22" s="487"/>
      <c r="G22" s="490"/>
      <c r="H22" s="492"/>
      <c r="I22" s="487"/>
      <c r="J22" s="408"/>
      <c r="K22" s="408"/>
      <c r="L22" s="487"/>
      <c r="M22" s="408"/>
      <c r="N22" s="408"/>
      <c r="O22" s="408"/>
      <c r="P22" s="373"/>
      <c r="Q22" s="496"/>
      <c r="R22" s="405"/>
      <c r="S22" s="405"/>
      <c r="T22" s="405"/>
      <c r="U22" s="405"/>
      <c r="V22" s="405"/>
      <c r="W22" s="405"/>
      <c r="X22" s="405"/>
      <c r="Y22" s="405"/>
      <c r="Z22" s="373"/>
      <c r="AA22" s="373"/>
      <c r="AB22" s="373"/>
      <c r="AC22" s="373"/>
      <c r="AD22" s="373"/>
      <c r="AE22" s="373"/>
      <c r="AF22" s="373"/>
      <c r="AG22" s="373"/>
      <c r="AH22" s="373"/>
      <c r="AI22" s="373"/>
      <c r="AJ22" s="373"/>
      <c r="AK22" s="373"/>
      <c r="AL22" s="373"/>
      <c r="AM22" s="373"/>
      <c r="AN22" s="373"/>
      <c r="AO22" s="373"/>
      <c r="AP22" s="373"/>
      <c r="AQ22" s="373"/>
    </row>
    <row r="23" spans="1:43" s="354" customFormat="1" ht="14.1">
      <c r="A23" s="373"/>
      <c r="B23" s="373" t="s">
        <v>229</v>
      </c>
      <c r="C23" s="373"/>
      <c r="D23" s="491">
        <f ca="1">IFERROR(SMALL(K6:K16,2),"")</f>
        <v>0.92904077055020451</v>
      </c>
      <c r="E23" s="493">
        <f ca="1">IFERROR(SMALL(M6:M16,2),"")</f>
        <v>3.1594723144575068</v>
      </c>
      <c r="F23" s="488">
        <f ca="1">IFERROR(SMALL(O6:O16,2),"")</f>
        <v>5.2706148136194937</v>
      </c>
      <c r="G23" s="491">
        <f>-Inputs!$Q$99+Inputs!$Q$100</f>
        <v>-1830</v>
      </c>
      <c r="H23" s="493">
        <f>+Inputs!$Q$101</f>
        <v>0</v>
      </c>
      <c r="I23" s="488">
        <f>+Inputs!$Q$102</f>
        <v>0</v>
      </c>
      <c r="J23" s="409">
        <f ca="1">IFERROR(+D23*$D$97+G23+H23+I23,"")</f>
        <v>18149.02177068215</v>
      </c>
      <c r="K23" s="409">
        <f ca="1">IFERROR(E23*$D$100+G23+H23+I23,"")</f>
        <v>22592.720990756527</v>
      </c>
      <c r="L23" s="489">
        <f ca="1">IFERROR(F23*$D$105,"")</f>
        <v>29304.618363724385</v>
      </c>
      <c r="M23" s="494" cm="1">
        <f t="array" aca="1" ref="M23" ca="1">IFERROR(+(J23/_FV($A$6,"Shares outstanding",TRUE)*1000000)/$Q$23-1,"")</f>
        <v>-0.88307156205947557</v>
      </c>
      <c r="N23" s="494" cm="1">
        <f t="array" aca="1" ref="N23" ca="1">IFERROR((+K23/_FV($A$6,"Shares outstanding",TRUE)*1000000)/$Q$23-1,"")</f>
        <v>-0.85444220588557007</v>
      </c>
      <c r="O23" s="494" cm="1">
        <f t="array" aca="1" ref="O23" ca="1">IFERROR(+(L23/_FV($A$6,"Shares outstanding",TRUE)*1000000)/$Q$23-1,"")</f>
        <v>-0.81119956254343573</v>
      </c>
      <c r="P23" s="373"/>
      <c r="Q23" s="499" cm="1">
        <f t="array" aca="1" ref="Q23" ca="1">+_FV(A6,"Price")</f>
        <v>365.9</v>
      </c>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row>
    <row r="24" spans="1:43" ht="14.1">
      <c r="B24" s="373" t="s">
        <v>213</v>
      </c>
      <c r="C24" s="373"/>
      <c r="D24" s="491">
        <f ca="1">+IFERROR(AVERAGE(K6:K16),"")</f>
        <v>3.5434414154629295</v>
      </c>
      <c r="E24" s="493">
        <f ca="1">IFERROR(+AVERAGE(M6:M16),"")</f>
        <v>11.648566925120598</v>
      </c>
      <c r="F24" s="488">
        <f ca="1">IFERROR(+AVERAGE(O6:O16),"")</f>
        <v>19.860863802217423</v>
      </c>
      <c r="G24" s="491">
        <f>-Inputs!$Q$99+Inputs!$Q$100</f>
        <v>-1830</v>
      </c>
      <c r="H24" s="493">
        <f>+Inputs!$Q$101</f>
        <v>0</v>
      </c>
      <c r="I24" s="488">
        <f>+Inputs!$Q$102</f>
        <v>0</v>
      </c>
      <c r="J24" s="409">
        <f ca="1">IFERROR(+D24*$D$97+G24+H24+I24,"")</f>
        <v>74371.707639530301</v>
      </c>
      <c r="K24" s="409">
        <f ca="1">IFERROR(E24*$D$100+G24+H24+I24,"")</f>
        <v>88213.422331182213</v>
      </c>
      <c r="L24" s="489">
        <f ca="1">IFERROR(+F24*$D$105,"")</f>
        <v>110426.40274032888</v>
      </c>
      <c r="M24" s="494" cm="1">
        <f t="array" aca="1" ref="M24" ca="1">IFERROR(+(J24/_FV($A$6,"Shares outstanding",TRUE)*1000000)/$Q$23-1,"")</f>
        <v>-0.52084648356599605</v>
      </c>
      <c r="N24" s="494" cm="1">
        <f t="array" aca="1" ref="N24" ca="1">IFERROR((+K24/_FV($A$6,"Shares outstanding",TRUE)*1000000)/$Q$23-1,"")</f>
        <v>-0.43166867014093491</v>
      </c>
      <c r="O24" s="494" cm="1">
        <f t="array" aca="1" ref="O24" ca="1">IFERROR(+(L24/_FV($A$6,"Shares outstanding",TRUE)*1000000)/$Q$23-1,"")</f>
        <v>-0.28855742513484295</v>
      </c>
      <c r="P24" s="373"/>
      <c r="Q24" s="495"/>
    </row>
    <row r="25" spans="1:43" s="354" customFormat="1" ht="14.1">
      <c r="A25" s="373"/>
      <c r="B25" s="373" t="s">
        <v>230</v>
      </c>
      <c r="C25" s="373"/>
      <c r="D25" s="491">
        <f ca="1">IFERROR(MEDIAN(K6:K16),"")</f>
        <v>1.6455732946298984</v>
      </c>
      <c r="E25" s="493">
        <f ca="1">IFERROR(MEDIAN(M6:M16),"")</f>
        <v>5.5962487660414606</v>
      </c>
      <c r="F25" s="488">
        <f ca="1">IFERROR(MEDIAN(O6:O16),"")</f>
        <v>9.6522510892367279</v>
      </c>
      <c r="G25" s="491">
        <f>-Inputs!$Q$99+Inputs!$Q$100</f>
        <v>-1830</v>
      </c>
      <c r="H25" s="493">
        <f>+Inputs!$Q$101</f>
        <v>0</v>
      </c>
      <c r="I25" s="488">
        <f>+Inputs!$Q$102</f>
        <v>0</v>
      </c>
      <c r="J25" s="409">
        <f ca="1">IFERROR(D25*$D$97+G25+H25+I25,"")</f>
        <v>33558.053701015968</v>
      </c>
      <c r="K25" s="409">
        <f ca="1">IFERROR(E25*$D$100+G25+H25+I25,"")</f>
        <v>41429.00296150049</v>
      </c>
      <c r="L25" s="489">
        <f ca="1">IFERROR(+F25*$D$105,"")</f>
        <v>53666.516056156208</v>
      </c>
      <c r="M25" s="494" cm="1">
        <f t="array" aca="1" ref="M25" ca="1">IFERROR(+(J25/_FV($A$6,"Shares outstanding",TRUE)*1000000)/$Q$23-1,"")</f>
        <v>-0.78379601671299626</v>
      </c>
      <c r="N25" s="494" cm="1">
        <f t="array" aca="1" ref="N25" ca="1">IFERROR((+K25/_FV($A$6,"Shares outstanding",TRUE)*1000000)/$Q$23-1,"")</f>
        <v>-0.73308596667469117</v>
      </c>
      <c r="O25" s="494" cm="1">
        <f t="array" aca="1" ref="O25" ca="1">+IFERROR((L25/_FV($A$6,"Shares outstanding",TRUE)*1000000)/$Q$23-1,"")</f>
        <v>-0.65424351948856796</v>
      </c>
      <c r="P25" s="373"/>
      <c r="Q25" s="496"/>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row>
    <row r="26" spans="1:43" s="354" customFormat="1" ht="14.1">
      <c r="A26" s="373"/>
      <c r="B26" s="373" t="s">
        <v>231</v>
      </c>
      <c r="C26" s="373"/>
      <c r="D26" s="491">
        <f ca="1">IFERROR(LARGE(K6:K16,2),"")</f>
        <v>7.1452127412229709</v>
      </c>
      <c r="E26" s="493">
        <f ca="1">IFERROR(LARGE(M6:M16,2),"")</f>
        <v>21.830297047473749</v>
      </c>
      <c r="F26" s="488">
        <f ca="1">IFERROR(LARGE(O6:O16,2),"")</f>
        <v>38.84314991124738</v>
      </c>
      <c r="G26" s="491">
        <f>-Inputs!$Q$99+Inputs!$Q$100</f>
        <v>-1830</v>
      </c>
      <c r="H26" s="493">
        <f>+Inputs!$Q$101</f>
        <v>0</v>
      </c>
      <c r="I26" s="488">
        <f>+Inputs!$Q$102</f>
        <v>0</v>
      </c>
      <c r="J26" s="409">
        <f ca="1">IFERROR(+D26*$D$97+G26+H26+I26,"")</f>
        <v>151827.79999999999</v>
      </c>
      <c r="K26" s="409">
        <f ca="1">IFERROR(E26*$D$100+G26+H26+I26,"")</f>
        <v>166918.19617697209</v>
      </c>
      <c r="L26" s="489">
        <f ca="1">IFERROR(+F26*$D$105,"")</f>
        <v>215967.91350653543</v>
      </c>
      <c r="M26" s="494" cm="1">
        <f t="array" aca="1" ref="M26" ca="1">IFERROR(+(J26/_FV($A$6,"Shares outstanding",TRUE)*1000000)/$Q$23-1,"")</f>
        <v>-2.1821246662205751E-2</v>
      </c>
      <c r="N26" s="494" cm="1">
        <f t="array" aca="1" ref="N26" ca="1">IFERROR((+K26/_FV($A$6,"Shares outstanding",TRUE)*1000000)/$Q$23-1,"")</f>
        <v>7.5401428761952438E-2</v>
      </c>
      <c r="O26" s="494" cm="1">
        <f t="array" aca="1" ref="O26" ca="1">IFERROR(+(L26/_FV($A$6,"Shares outstanding",TRUE)*1000000)/$Q$23-1,"")</f>
        <v>0.39141332743270629</v>
      </c>
      <c r="P26" s="373"/>
      <c r="Q26" s="496"/>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row>
    <row r="27" spans="1:43" s="354" customFormat="1" ht="14.25" customHeight="1">
      <c r="A27" s="373"/>
      <c r="B27" s="373"/>
      <c r="C27" s="373"/>
      <c r="D27" s="373"/>
      <c r="E27" s="373"/>
      <c r="F27" s="373"/>
      <c r="G27" s="373"/>
      <c r="H27" s="373"/>
      <c r="I27" s="373"/>
      <c r="J27" s="373"/>
      <c r="K27" s="373"/>
      <c r="L27" s="373"/>
      <c r="M27" s="373"/>
      <c r="N27" s="373"/>
      <c r="O27" s="411"/>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row>
    <row r="28" spans="1:43" s="357" customFormat="1" ht="14.25" customHeight="1">
      <c r="A28" s="382"/>
      <c r="B28" s="563" t="s">
        <v>232</v>
      </c>
      <c r="C28" s="564"/>
      <c r="D28" s="363" t="str">
        <f ca="1">+LEFT(B6, FIND(" ", B6 &amp; " ") - 1)</f>
        <v>ADOBE</v>
      </c>
      <c r="E28" s="363" t="str">
        <f ca="1">+LEFT(B7, FIND(" ", B7 &amp; " ") - 1)</f>
        <v>SALESFORCE,</v>
      </c>
      <c r="F28" s="363" t="str">
        <f ca="1">+LEFT(B8, FIND(" ", B8 &amp; " ") - 1)</f>
        <v>INTUIT</v>
      </c>
      <c r="G28" s="363" t="str">
        <f ca="1">+LEFT(B9, FIND(" ", B9 &amp; " ") - 1)</f>
        <v>WORKDAY,</v>
      </c>
      <c r="H28" s="363" t="str">
        <f ca="1">+LEFT(B10, FIND(" ", B10 &amp; " ") - 1)</f>
        <v>DATADOG,</v>
      </c>
      <c r="I28" s="363" t="str">
        <f ca="1">+LEFT(B11, FIND(" ", B11 &amp; " ") - 1)</f>
        <v>HUBSPOT,</v>
      </c>
      <c r="J28" s="363" t="str">
        <f ca="1">B12</f>
        <v>Sap Se</v>
      </c>
      <c r="K28" s="363" t="str">
        <f ca="1">+LEFT(B13, FIND(" ", B13 &amp; " ") - 1)</f>
        <v>SERVICENOW,</v>
      </c>
      <c r="L28" s="363" t="str">
        <f ca="1">+LEFT(B14, FIND(" ", B14 &amp; " ") - 1)</f>
        <v>AUTODESK,</v>
      </c>
      <c r="M28" s="363" t="str">
        <f ca="1">+LEFT(B15, FIND(" ", B15 &amp; " ") - 1)</f>
        <v>SNOWFLAKE</v>
      </c>
      <c r="N28" s="363" t="str">
        <f ca="1">+LEFT(B16, FIND(" ", B16 &amp; " ") - 1)</f>
        <v>ATLASSIAN</v>
      </c>
      <c r="O28" s="412" t="s">
        <v>213</v>
      </c>
      <c r="P28" s="373"/>
      <c r="Q28" s="382"/>
      <c r="R28" s="382" t="s">
        <v>233</v>
      </c>
      <c r="S28" s="382"/>
      <c r="T28" s="382"/>
      <c r="U28" s="382"/>
      <c r="V28" s="382"/>
      <c r="W28" s="382"/>
      <c r="X28" s="382"/>
      <c r="Y28" s="382"/>
      <c r="Z28" s="382"/>
      <c r="AA28" s="382"/>
      <c r="AB28" s="382"/>
      <c r="AC28" s="382"/>
      <c r="AD28" s="382"/>
      <c r="AE28" s="382"/>
      <c r="AF28" s="382"/>
      <c r="AG28" s="382"/>
      <c r="AH28" s="382"/>
      <c r="AI28" s="382"/>
      <c r="AJ28" s="382"/>
      <c r="AK28" s="382"/>
      <c r="AL28" s="382"/>
      <c r="AM28" s="382"/>
      <c r="AN28" s="382"/>
      <c r="AO28" s="382"/>
      <c r="AP28" s="382"/>
      <c r="AQ28" s="382"/>
    </row>
    <row r="29" spans="1:43" s="354" customFormat="1" ht="3.75" customHeight="1">
      <c r="A29" s="373"/>
      <c r="B29" s="402"/>
      <c r="C29" s="402"/>
      <c r="D29" s="402"/>
      <c r="E29" s="402"/>
      <c r="F29" s="402"/>
      <c r="G29" s="402"/>
      <c r="H29" s="402"/>
      <c r="I29" s="402"/>
      <c r="J29" s="402"/>
      <c r="K29" s="402"/>
      <c r="L29" s="402"/>
      <c r="M29" s="402"/>
      <c r="N29" s="402"/>
      <c r="O29" s="413"/>
      <c r="P29" s="373"/>
      <c r="Q29" s="373"/>
      <c r="R29" s="373"/>
      <c r="S29" s="414"/>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row>
    <row r="30" spans="1:43" s="354" customFormat="1" ht="14.25" customHeight="1">
      <c r="A30" s="373"/>
      <c r="B30" s="373" t="s">
        <v>234</v>
      </c>
      <c r="C30" s="373"/>
      <c r="D30" s="796">
        <f>IFERROR(D101/D97,"")</f>
        <v>0.31960009300162751</v>
      </c>
      <c r="E30" s="415">
        <f t="shared" ref="E30:N30" si="7">IFERROR(E101/E97,"")</f>
        <v>0.20229581739015701</v>
      </c>
      <c r="F30" s="415">
        <f t="shared" si="7"/>
        <v>0.2380718452563709</v>
      </c>
      <c r="G30" s="415">
        <f t="shared" si="7"/>
        <v>8.9036230168126923E-2</v>
      </c>
      <c r="H30" s="415">
        <f t="shared" si="7"/>
        <v>7.8614008941877797E-2</v>
      </c>
      <c r="I30" s="415">
        <f t="shared" si="7"/>
        <v>1.2176560121765601E-2</v>
      </c>
      <c r="J30" s="415">
        <f t="shared" si="7"/>
        <v>0.15189021535580524</v>
      </c>
      <c r="K30" s="415">
        <f t="shared" si="7"/>
        <v>0.16032410779315368</v>
      </c>
      <c r="L30" s="415">
        <f t="shared" si="7"/>
        <v>0.2232914695808188</v>
      </c>
      <c r="M30" s="415">
        <f t="shared" si="7"/>
        <v>-0.35355763927192496</v>
      </c>
      <c r="N30" s="415">
        <f t="shared" si="7"/>
        <v>-2.6841018582243633E-2</v>
      </c>
      <c r="O30" s="628">
        <f t="shared" ref="O30:O35" si="8">IFERROR(+AVERAGE(D30:N30),"")</f>
        <v>9.9536517250503165E-2</v>
      </c>
      <c r="P30" s="373"/>
      <c r="Q30" s="373"/>
      <c r="R30" s="373"/>
      <c r="S30" s="414"/>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row>
    <row r="31" spans="1:43" s="354" customFormat="1" ht="14.25" customHeight="1">
      <c r="A31" s="373"/>
      <c r="B31" s="373" t="s">
        <v>35</v>
      </c>
      <c r="C31" s="373"/>
      <c r="D31" s="796">
        <f>IFERROR(D105/D97,"")</f>
        <v>0.25854452452917925</v>
      </c>
      <c r="E31" s="415">
        <f t="shared" ref="E31:N31" si="9">IFERROR(E105/E97,"")</f>
        <v>0.16353080881382767</v>
      </c>
      <c r="F31" s="415">
        <f t="shared" si="9"/>
        <v>0.18194657660423702</v>
      </c>
      <c r="G31" s="415">
        <f t="shared" si="9"/>
        <v>6.2278001420790909E-2</v>
      </c>
      <c r="H31" s="415">
        <f t="shared" si="9"/>
        <v>6.8554396423248884E-2</v>
      </c>
      <c r="I31" s="415">
        <f t="shared" si="9"/>
        <v>1.9025875190258751E-3</v>
      </c>
      <c r="J31" s="415">
        <f t="shared" si="9"/>
        <v>9.1409176029962541E-2</v>
      </c>
      <c r="K31" s="415">
        <f t="shared" si="9"/>
        <v>0.12973415877640204</v>
      </c>
      <c r="L31" s="415">
        <f t="shared" si="9"/>
        <v>0.18137334855651607</v>
      </c>
      <c r="M31" s="415">
        <f t="shared" si="9"/>
        <v>-0.3472145615002758</v>
      </c>
      <c r="N31" s="415">
        <f t="shared" si="9"/>
        <v>-6.9052534985088329E-2</v>
      </c>
      <c r="O31" s="628">
        <f t="shared" si="8"/>
        <v>6.5727862017075103E-2</v>
      </c>
      <c r="P31" s="373"/>
      <c r="Q31" s="373"/>
      <c r="R31" s="373"/>
      <c r="S31" s="414"/>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row>
    <row r="32" spans="1:43" s="354" customFormat="1" ht="14.25" customHeight="1">
      <c r="A32" s="373"/>
      <c r="B32" s="373" t="s">
        <v>235</v>
      </c>
      <c r="C32" s="373"/>
      <c r="D32" s="796">
        <f>IFERROR(D105/D117,"")</f>
        <v>0.18532097860142657</v>
      </c>
      <c r="E32" s="415">
        <f t="shared" ref="E32:N32" si="10">IFERROR(E105/E117,"")</f>
        <v>6.0207135084719414E-2</v>
      </c>
      <c r="F32" s="415">
        <f t="shared" si="10"/>
        <v>9.2213369849371341E-2</v>
      </c>
      <c r="G32" s="415">
        <f t="shared" si="10"/>
        <v>2.9259609501029092E-2</v>
      </c>
      <c r="H32" s="415">
        <f t="shared" si="10"/>
        <v>3.1806395851339674E-2</v>
      </c>
      <c r="I32" s="415">
        <f t="shared" si="10"/>
        <v>1.3171759747102212E-3</v>
      </c>
      <c r="J32" s="415">
        <f t="shared" si="10"/>
        <v>4.2146731065000942E-2</v>
      </c>
      <c r="K32" s="415">
        <f t="shared" si="10"/>
        <v>6.9911200510229116E-2</v>
      </c>
      <c r="L32" s="415">
        <f t="shared" si="10"/>
        <v>0.10264931228653189</v>
      </c>
      <c r="M32" s="415">
        <f t="shared" si="10"/>
        <v>-0.13936240867832633</v>
      </c>
      <c r="N32" s="415">
        <f t="shared" si="10"/>
        <v>-5.7751343054489639E-2</v>
      </c>
      <c r="O32" s="628">
        <f t="shared" si="8"/>
        <v>3.7974377908322025E-2</v>
      </c>
      <c r="P32" s="373"/>
      <c r="Q32" s="373"/>
      <c r="R32" s="373"/>
      <c r="S32" s="414"/>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row>
    <row r="33" spans="2:19" s="354" customFormat="1" ht="14.25" customHeight="1">
      <c r="B33" s="373" t="s">
        <v>236</v>
      </c>
      <c r="C33" s="373"/>
      <c r="D33" s="796">
        <f>IFERROR(+(D102/D121)*(1-(D104/D103)),"")</f>
        <v>-2.2783554139148926E-2</v>
      </c>
      <c r="E33" s="415">
        <f t="shared" ref="E33:N33" si="11">IFERROR(+(E102/E121)*(1-(E104/E103)),"")</f>
        <v>0</v>
      </c>
      <c r="F33" s="415">
        <f t="shared" si="11"/>
        <v>1.2074242317005428E-2</v>
      </c>
      <c r="G33" s="415">
        <f t="shared" si="11"/>
        <v>5.7873448219916863E-2</v>
      </c>
      <c r="H33" s="415">
        <f t="shared" si="11"/>
        <v>7.2470247599582718E-2</v>
      </c>
      <c r="I33" s="415">
        <f t="shared" si="11"/>
        <v>1.8282804906271696E-2</v>
      </c>
      <c r="J33" s="415">
        <f t="shared" si="11"/>
        <v>1.4216212240569646E-2</v>
      </c>
      <c r="K33" s="415">
        <f t="shared" si="11"/>
        <v>0.1425300896856003</v>
      </c>
      <c r="L33" s="415">
        <f t="shared" si="11"/>
        <v>-1.067523215128742E-2</v>
      </c>
      <c r="M33" s="415">
        <f t="shared" si="11"/>
        <v>7.6961357592620766E-2</v>
      </c>
      <c r="N33" s="415">
        <f t="shared" si="11"/>
        <v>0.17802477275938397</v>
      </c>
      <c r="O33" s="628">
        <f t="shared" si="8"/>
        <v>4.8997671730046828E-2</v>
      </c>
      <c r="P33" s="373"/>
      <c r="Q33" s="373"/>
      <c r="R33" s="373"/>
      <c r="S33" s="414"/>
    </row>
    <row r="34" spans="2:19" s="354" customFormat="1" ht="14.25" customHeight="1">
      <c r="B34" s="373" t="s">
        <v>237</v>
      </c>
      <c r="C34" s="373"/>
      <c r="D34" s="796">
        <f>IFERROR(+D105/D122,"")</f>
        <v>0.41203497850896698</v>
      </c>
      <c r="E34" s="415">
        <f t="shared" ref="E34:N34" si="12">IFERROR(+E105/E122,"")</f>
        <v>0.10130286237392314</v>
      </c>
      <c r="F34" s="415">
        <f t="shared" si="12"/>
        <v>0.16071816012150142</v>
      </c>
      <c r="G34" s="415">
        <f t="shared" si="12"/>
        <v>5.8224485277839272E-2</v>
      </c>
      <c r="H34" s="415">
        <f t="shared" si="12"/>
        <v>6.7796610169491525E-2</v>
      </c>
      <c r="I34" s="415">
        <f t="shared" si="12"/>
        <v>2.6205450733752622E-3</v>
      </c>
      <c r="J34" s="415">
        <f t="shared" si="12"/>
        <v>6.8750000000000006E-2</v>
      </c>
      <c r="K34" s="415">
        <f t="shared" si="12"/>
        <v>0.14834478450968144</v>
      </c>
      <c r="L34" s="415">
        <f t="shared" si="12"/>
        <v>0.42426554750095385</v>
      </c>
      <c r="M34" s="415">
        <f t="shared" si="12"/>
        <v>-0.41966666666666669</v>
      </c>
      <c r="N34" s="415">
        <f t="shared" si="12"/>
        <v>-0.29138431752178123</v>
      </c>
      <c r="O34" s="628">
        <f t="shared" si="8"/>
        <v>6.6636999031571373E-2</v>
      </c>
      <c r="P34" s="373"/>
      <c r="Q34" s="373"/>
      <c r="R34" s="373"/>
      <c r="S34" s="414"/>
    </row>
    <row r="35" spans="2:19" s="354" customFormat="1" ht="14.25" customHeight="1">
      <c r="B35" s="373" t="s">
        <v>238</v>
      </c>
      <c r="C35" s="373"/>
      <c r="D35" s="796">
        <f>IFERROR(+D105/(D121+D122),"")</f>
        <v>0.28439897698209721</v>
      </c>
      <c r="E35" s="415">
        <f t="shared" ref="E35:N35" si="13">IFERROR(+E105/(E121+E122),"")</f>
        <v>8.5399297181836975E-2</v>
      </c>
      <c r="F35" s="415">
        <f t="shared" si="13"/>
        <v>0.11850577930648322</v>
      </c>
      <c r="G35" s="415">
        <f t="shared" si="13"/>
        <v>4.2433042917070021E-2</v>
      </c>
      <c r="H35" s="415">
        <f t="shared" si="13"/>
        <v>4.0386303775241439E-2</v>
      </c>
      <c r="I35" s="415">
        <f t="shared" si="13"/>
        <v>1.8846588767433095E-3</v>
      </c>
      <c r="J35" s="415">
        <f t="shared" si="13"/>
        <v>5.5695209570162774E-2</v>
      </c>
      <c r="K35" s="415">
        <f t="shared" si="13"/>
        <v>0.11990912150790979</v>
      </c>
      <c r="L35" s="415">
        <f t="shared" si="13"/>
        <v>0.21467181467181468</v>
      </c>
      <c r="M35" s="415">
        <f t="shared" si="13"/>
        <v>-0.22145998240985049</v>
      </c>
      <c r="N35" s="415">
        <f t="shared" si="13"/>
        <v>-0.13190184049079753</v>
      </c>
      <c r="O35" s="628">
        <f t="shared" si="8"/>
        <v>5.5447489262610138E-2</v>
      </c>
      <c r="P35" s="373"/>
      <c r="Q35" s="373"/>
      <c r="R35" s="373"/>
      <c r="S35" s="414"/>
    </row>
    <row r="36" spans="2:19" s="354" customFormat="1" ht="3.75" customHeight="1">
      <c r="B36" s="373"/>
      <c r="C36" s="373"/>
      <c r="D36" s="373"/>
      <c r="E36" s="373"/>
      <c r="F36" s="373"/>
      <c r="G36" s="373"/>
      <c r="H36" s="373"/>
      <c r="I36" s="373"/>
      <c r="J36" s="373"/>
      <c r="K36" s="373"/>
      <c r="L36" s="373"/>
      <c r="M36" s="373"/>
      <c r="N36" s="373"/>
      <c r="O36" s="411"/>
      <c r="P36" s="373"/>
      <c r="Q36" s="373"/>
      <c r="R36" s="373"/>
      <c r="S36" s="414"/>
    </row>
    <row r="37" spans="2:19" s="357" customFormat="1" ht="14.25" customHeight="1">
      <c r="B37" s="563" t="s">
        <v>239</v>
      </c>
      <c r="C37" s="564"/>
      <c r="D37" s="363" t="str">
        <f ca="1">+D28</f>
        <v>ADOBE</v>
      </c>
      <c r="E37" s="363" t="str">
        <f t="shared" ref="E37:O37" ca="1" si="14">+E28</f>
        <v>SALESFORCE,</v>
      </c>
      <c r="F37" s="363" t="str">
        <f t="shared" ca="1" si="14"/>
        <v>INTUIT</v>
      </c>
      <c r="G37" s="363" t="str">
        <f t="shared" ca="1" si="14"/>
        <v>WORKDAY,</v>
      </c>
      <c r="H37" s="363" t="str">
        <f t="shared" ca="1" si="14"/>
        <v>DATADOG,</v>
      </c>
      <c r="I37" s="363" t="str">
        <f t="shared" ca="1" si="14"/>
        <v>HUBSPOT,</v>
      </c>
      <c r="J37" s="363" t="str">
        <f t="shared" ca="1" si="14"/>
        <v>Sap Se</v>
      </c>
      <c r="K37" s="363" t="str">
        <f t="shared" ca="1" si="14"/>
        <v>SERVICENOW,</v>
      </c>
      <c r="L37" s="363" t="str">
        <f t="shared" ca="1" si="14"/>
        <v>AUTODESK,</v>
      </c>
      <c r="M37" s="363" t="str">
        <f t="shared" ca="1" si="14"/>
        <v>SNOWFLAKE</v>
      </c>
      <c r="N37" s="363" t="str">
        <f t="shared" ca="1" si="14"/>
        <v>ATLASSIAN</v>
      </c>
      <c r="O37" s="363" t="str">
        <f t="shared" si="14"/>
        <v>Average</v>
      </c>
      <c r="P37" s="373"/>
      <c r="Q37" s="382"/>
      <c r="R37" s="382"/>
      <c r="S37" s="565"/>
    </row>
    <row r="38" spans="2:19" s="354" customFormat="1" ht="3.75" customHeight="1">
      <c r="B38" s="402"/>
      <c r="C38" s="402"/>
      <c r="D38" s="402"/>
      <c r="E38" s="402"/>
      <c r="F38" s="402"/>
      <c r="G38" s="402"/>
      <c r="H38" s="402"/>
      <c r="I38" s="402"/>
      <c r="J38" s="402"/>
      <c r="K38" s="402"/>
      <c r="L38" s="402"/>
      <c r="M38" s="402"/>
      <c r="N38" s="402"/>
      <c r="O38" s="413"/>
      <c r="P38" s="373"/>
      <c r="Q38" s="373"/>
      <c r="R38" s="373"/>
      <c r="S38" s="414"/>
    </row>
    <row r="39" spans="2:19" s="354" customFormat="1" ht="14.25" customHeight="1">
      <c r="B39" s="373" t="s">
        <v>240</v>
      </c>
      <c r="C39" s="373"/>
      <c r="D39" s="416">
        <f>IFERROR(D121/D117,"")</f>
        <v>0.20185320978601426</v>
      </c>
      <c r="E39" s="416">
        <f t="shared" ref="E39:N39" si="15">IFERROR(E121/E117,"")</f>
        <v>0.11067930980879838</v>
      </c>
      <c r="F39" s="416">
        <f t="shared" si="15"/>
        <v>0.20437570023652435</v>
      </c>
      <c r="G39" s="416">
        <f t="shared" si="15"/>
        <v>0.18701674361684376</v>
      </c>
      <c r="H39" s="416">
        <f t="shared" si="15"/>
        <v>0.31840968020743304</v>
      </c>
      <c r="I39" s="416">
        <f t="shared" si="15"/>
        <v>0.19625922023182296</v>
      </c>
      <c r="J39" s="416">
        <f t="shared" si="15"/>
        <v>0.14369552899274171</v>
      </c>
      <c r="K39" s="416">
        <f t="shared" si="15"/>
        <v>0.11175979983319433</v>
      </c>
      <c r="L39" s="416">
        <f t="shared" si="15"/>
        <v>0.23622265300470785</v>
      </c>
      <c r="M39" s="416">
        <f t="shared" si="15"/>
        <v>0.29721053796767766</v>
      </c>
      <c r="N39" s="416">
        <f t="shared" si="15"/>
        <v>0.23963929393706832</v>
      </c>
      <c r="O39" s="627">
        <f t="shared" ref="O39:O41" si="16">IFERROR(+AVERAGE(D39:N39),"")</f>
        <v>0.20428378887480242</v>
      </c>
      <c r="P39" s="373"/>
      <c r="Q39" s="373"/>
      <c r="R39" s="373"/>
      <c r="S39" s="414"/>
    </row>
    <row r="40" spans="2:19" s="354" customFormat="1" ht="14.25" customHeight="1">
      <c r="B40" s="373" t="s">
        <v>241</v>
      </c>
      <c r="C40" s="373"/>
      <c r="D40" s="416">
        <f>IFERROR(+(D121-D111)/D100,"")</f>
        <v>-0.20142302716688229</v>
      </c>
      <c r="E40" s="416">
        <f t="shared" ref="E40:N40" si="17">IFERROR(+(E121-E111)/E100,"")</f>
        <v>0.22830476532352148</v>
      </c>
      <c r="F40" s="416">
        <f t="shared" si="17"/>
        <v>0.64571054354944335</v>
      </c>
      <c r="G40" s="416">
        <f t="shared" si="17"/>
        <v>1.6873840445269017</v>
      </c>
      <c r="H40" s="416">
        <f t="shared" si="17"/>
        <v>2.236842105263158</v>
      </c>
      <c r="I40" s="416">
        <f t="shared" si="17"/>
        <v>-10.263565891472869</v>
      </c>
      <c r="J40" s="416">
        <f t="shared" si="17"/>
        <v>0.16102611651985788</v>
      </c>
      <c r="K40" s="416">
        <f t="shared" si="17"/>
        <v>-1.1182795698924731E-2</v>
      </c>
      <c r="L40" s="416">
        <f t="shared" si="17"/>
        <v>0.61975468043899284</v>
      </c>
      <c r="M40" s="416">
        <f t="shared" si="17"/>
        <v>-5.0909090909090911E-2</v>
      </c>
      <c r="N40" s="416">
        <f t="shared" si="17"/>
        <v>-34.370370370370374</v>
      </c>
      <c r="O40" s="627">
        <f t="shared" si="16"/>
        <v>-3.5744026290905695</v>
      </c>
      <c r="P40" s="373"/>
      <c r="Q40" s="373"/>
      <c r="R40" s="373"/>
      <c r="S40" s="414"/>
    </row>
    <row r="41" spans="2:19" s="354" customFormat="1" ht="14.25" customHeight="1">
      <c r="B41" s="373" t="s">
        <v>242</v>
      </c>
      <c r="C41" s="373"/>
      <c r="D41" s="416">
        <f t="shared" ref="D41:N41" si="18">IFERROR(D101/D102,"")</f>
        <v>-39.959302325581397</v>
      </c>
      <c r="E41" s="416" t="str">
        <f t="shared" si="18"/>
        <v/>
      </c>
      <c r="F41" s="416">
        <f t="shared" si="18"/>
        <v>40.810526315789474</v>
      </c>
      <c r="G41" s="416">
        <f t="shared" si="18"/>
        <v>3.1864406779661016</v>
      </c>
      <c r="H41" s="416">
        <f t="shared" si="18"/>
        <v>1.4256756756756757</v>
      </c>
      <c r="I41" s="416">
        <f t="shared" si="18"/>
        <v>0.4050632911392405</v>
      </c>
      <c r="J41" s="416">
        <f t="shared" si="18"/>
        <v>22.668122270742359</v>
      </c>
      <c r="K41" s="416">
        <f t="shared" si="18"/>
        <v>4.4469696969696972</v>
      </c>
      <c r="L41" s="416">
        <f t="shared" si="18"/>
        <v>-40.264705882352942</v>
      </c>
      <c r="M41" s="416">
        <f t="shared" si="18"/>
        <v>-6.2233009708737868</v>
      </c>
      <c r="N41" s="416">
        <f t="shared" si="18"/>
        <v>-1.8571428571428572</v>
      </c>
      <c r="O41" s="627">
        <f t="shared" si="16"/>
        <v>-1.5361654107668439</v>
      </c>
      <c r="P41" s="373"/>
      <c r="Q41" s="373"/>
      <c r="R41" s="373"/>
      <c r="S41" s="414"/>
    </row>
    <row r="42" spans="2:19" s="354" customFormat="1" ht="3.75" customHeight="1">
      <c r="B42" s="373"/>
      <c r="C42" s="373"/>
      <c r="D42" s="373"/>
      <c r="E42" s="373"/>
      <c r="F42" s="373"/>
      <c r="G42" s="373"/>
      <c r="H42" s="373"/>
      <c r="I42" s="373"/>
      <c r="J42" s="373"/>
      <c r="K42" s="373"/>
      <c r="L42" s="373"/>
      <c r="M42" s="373"/>
      <c r="N42" s="373"/>
      <c r="O42" s="411"/>
      <c r="P42" s="373"/>
      <c r="Q42" s="373"/>
      <c r="R42" s="373"/>
      <c r="S42" s="414"/>
    </row>
    <row r="43" spans="2:19" s="357" customFormat="1" ht="14.25" customHeight="1">
      <c r="B43" s="563" t="s">
        <v>243</v>
      </c>
      <c r="C43" s="564"/>
      <c r="D43" s="363" t="str">
        <f ca="1">+D28</f>
        <v>ADOBE</v>
      </c>
      <c r="E43" s="363" t="str">
        <f t="shared" ref="E43:O43" ca="1" si="19">+E28</f>
        <v>SALESFORCE,</v>
      </c>
      <c r="F43" s="363" t="str">
        <f t="shared" ca="1" si="19"/>
        <v>INTUIT</v>
      </c>
      <c r="G43" s="363" t="str">
        <f t="shared" ca="1" si="19"/>
        <v>WORKDAY,</v>
      </c>
      <c r="H43" s="363" t="str">
        <f t="shared" ca="1" si="19"/>
        <v>DATADOG,</v>
      </c>
      <c r="I43" s="363" t="str">
        <f t="shared" ca="1" si="19"/>
        <v>HUBSPOT,</v>
      </c>
      <c r="J43" s="363" t="str">
        <f t="shared" ca="1" si="19"/>
        <v>Sap Se</v>
      </c>
      <c r="K43" s="363" t="str">
        <f t="shared" ca="1" si="19"/>
        <v>SERVICENOW,</v>
      </c>
      <c r="L43" s="363" t="str">
        <f t="shared" ca="1" si="19"/>
        <v>AUTODESK,</v>
      </c>
      <c r="M43" s="363" t="str">
        <f t="shared" ca="1" si="19"/>
        <v>SNOWFLAKE</v>
      </c>
      <c r="N43" s="363" t="str">
        <f t="shared" ca="1" si="19"/>
        <v>ATLASSIAN</v>
      </c>
      <c r="O43" s="363" t="str">
        <f t="shared" si="19"/>
        <v>Average</v>
      </c>
      <c r="P43" s="373"/>
      <c r="Q43" s="382"/>
      <c r="R43" s="382"/>
      <c r="S43" s="565"/>
    </row>
    <row r="44" spans="2:19" s="354" customFormat="1" ht="3.75" customHeight="1">
      <c r="B44" s="402"/>
      <c r="C44" s="402"/>
      <c r="D44" s="402"/>
      <c r="E44" s="402"/>
      <c r="F44" s="402"/>
      <c r="G44" s="402"/>
      <c r="H44" s="402"/>
      <c r="I44" s="402"/>
      <c r="J44" s="402"/>
      <c r="K44" s="402"/>
      <c r="L44" s="402"/>
      <c r="M44" s="402"/>
      <c r="N44" s="402"/>
      <c r="O44" s="413"/>
      <c r="P44" s="373"/>
      <c r="Q44" s="373"/>
      <c r="R44" s="373"/>
      <c r="S44" s="414"/>
    </row>
    <row r="45" spans="2:19" s="354" customFormat="1" ht="14.25" customHeight="1">
      <c r="B45" s="373" t="s">
        <v>43</v>
      </c>
      <c r="C45" s="373"/>
      <c r="D45" s="416">
        <f>IFERROR(D111/D119,"")</f>
        <v>0.72360041821119669</v>
      </c>
      <c r="E45" s="416">
        <f t="shared" ref="E45:N45" si="20">IFERROR(E111/E119,"")</f>
        <v>0.31622587562544674</v>
      </c>
      <c r="F45" s="416">
        <f t="shared" si="20"/>
        <v>0.48177813376051259</v>
      </c>
      <c r="G45" s="416">
        <f t="shared" si="20"/>
        <v>0.2781182408074982</v>
      </c>
      <c r="H45" s="416">
        <f t="shared" si="20"/>
        <v>0.66935050993022005</v>
      </c>
      <c r="I45" s="416">
        <f t="shared" si="20"/>
        <v>1.3153210425937698</v>
      </c>
      <c r="J45" s="416">
        <f t="shared" si="20"/>
        <v>0.50364274857172808</v>
      </c>
      <c r="K45" s="416">
        <f t="shared" si="20"/>
        <v>0.2756640344580043</v>
      </c>
      <c r="L45" s="416">
        <f t="shared" si="20"/>
        <v>0.31042516016307514</v>
      </c>
      <c r="M45" s="416">
        <f t="shared" si="20"/>
        <v>0.79642532565889124</v>
      </c>
      <c r="N45" s="416">
        <f t="shared" si="20"/>
        <v>0.83409961685823752</v>
      </c>
      <c r="O45" s="627">
        <f t="shared" ref="O45:O47" si="21">IFERROR(+AVERAGE(D45:N45),"")</f>
        <v>0.59133191878532554</v>
      </c>
      <c r="P45" s="373"/>
      <c r="Q45" s="373"/>
      <c r="R45" s="373"/>
      <c r="S45" s="414"/>
    </row>
    <row r="46" spans="2:19" s="354" customFormat="1" ht="14.25" customHeight="1">
      <c r="B46" s="373" t="s">
        <v>46</v>
      </c>
      <c r="C46" s="373"/>
      <c r="D46" s="416">
        <f>IFERROR(+(D111+D112)/D119,"")</f>
        <v>0.92053987263568104</v>
      </c>
      <c r="E46" s="416">
        <f t="shared" ref="E46:N46" si="22">IFERROR(+(E111+E112)/E119,"")</f>
        <v>0.74313795568263041</v>
      </c>
      <c r="F46" s="416">
        <f t="shared" si="22"/>
        <v>0.54278467494326521</v>
      </c>
      <c r="G46" s="416">
        <f t="shared" si="22"/>
        <v>0.62959625090122562</v>
      </c>
      <c r="H46" s="416">
        <f t="shared" si="22"/>
        <v>0.99087493290391837</v>
      </c>
      <c r="I46" s="416">
        <f t="shared" si="22"/>
        <v>1.5282898919262555</v>
      </c>
      <c r="J46" s="416">
        <f t="shared" si="22"/>
        <v>0.83023219246291724</v>
      </c>
      <c r="K46" s="416">
        <f t="shared" si="22"/>
        <v>0.54367073462550852</v>
      </c>
      <c r="L46" s="416">
        <f t="shared" si="22"/>
        <v>0.50611531741409432</v>
      </c>
      <c r="M46" s="416">
        <f t="shared" si="22"/>
        <v>1.076037564374432</v>
      </c>
      <c r="N46" s="416">
        <f t="shared" si="22"/>
        <v>1.0747126436781609</v>
      </c>
      <c r="O46" s="627">
        <f t="shared" si="21"/>
        <v>0.85327200286800808</v>
      </c>
      <c r="P46" s="373"/>
      <c r="Q46" s="373"/>
      <c r="R46" s="373"/>
      <c r="S46" s="414"/>
    </row>
    <row r="47" spans="2:19" s="354" customFormat="1" ht="14.25" customHeight="1">
      <c r="B47" s="373" t="s">
        <v>48</v>
      </c>
      <c r="C47" s="373"/>
      <c r="D47" s="416">
        <f>IFERROR(D115/D119,"")</f>
        <v>1.0675791274593669</v>
      </c>
      <c r="E47" s="416">
        <f t="shared" ref="E47:N47" si="23">IFERROR(E115/E119,"")</f>
        <v>1.0624374553252323</v>
      </c>
      <c r="F47" s="416">
        <f t="shared" si="23"/>
        <v>1.2919503404084902</v>
      </c>
      <c r="G47" s="416">
        <f t="shared" si="23"/>
        <v>1.9006849315068493</v>
      </c>
      <c r="H47" s="416">
        <f t="shared" si="23"/>
        <v>2.636070853462158</v>
      </c>
      <c r="I47" s="416">
        <f t="shared" si="23"/>
        <v>1.6745073108709472</v>
      </c>
      <c r="J47" s="416">
        <f t="shared" si="23"/>
        <v>1.1217044918496777</v>
      </c>
      <c r="K47" s="416">
        <f t="shared" si="23"/>
        <v>1.0991864082316343</v>
      </c>
      <c r="L47" s="416">
        <f t="shared" si="23"/>
        <v>0.67598524558338191</v>
      </c>
      <c r="M47" s="416">
        <f t="shared" si="23"/>
        <v>1.77794607694638</v>
      </c>
      <c r="N47" s="416">
        <f t="shared" si="23"/>
        <v>1.1785440613026821</v>
      </c>
      <c r="O47" s="627">
        <f t="shared" si="21"/>
        <v>1.4078723911769819</v>
      </c>
      <c r="P47" s="373"/>
      <c r="Q47" s="373"/>
      <c r="R47" s="373"/>
      <c r="S47" s="414"/>
    </row>
    <row r="48" spans="2:19" s="354" customFormat="1" ht="3.75" customHeight="1">
      <c r="B48" s="373"/>
      <c r="C48" s="373"/>
      <c r="D48" s="416"/>
      <c r="E48" s="373"/>
      <c r="F48" s="373"/>
      <c r="G48" s="373"/>
      <c r="H48" s="373"/>
      <c r="I48" s="373"/>
      <c r="J48" s="373"/>
      <c r="K48" s="373"/>
      <c r="L48" s="373"/>
      <c r="M48" s="373"/>
      <c r="N48" s="373"/>
      <c r="O48" s="411"/>
      <c r="P48" s="373"/>
      <c r="Q48" s="373"/>
      <c r="R48" s="373"/>
      <c r="S48" s="414"/>
    </row>
    <row r="49" spans="1:53" s="357" customFormat="1" ht="14.25" customHeight="1">
      <c r="A49" s="382"/>
      <c r="B49" s="563" t="s">
        <v>244</v>
      </c>
      <c r="C49" s="564"/>
      <c r="D49" s="363" t="str">
        <f ca="1">+D28</f>
        <v>ADOBE</v>
      </c>
      <c r="E49" s="363" t="str">
        <f t="shared" ref="E49:O49" ca="1" si="24">+E28</f>
        <v>SALESFORCE,</v>
      </c>
      <c r="F49" s="363" t="str">
        <f t="shared" ca="1" si="24"/>
        <v>INTUIT</v>
      </c>
      <c r="G49" s="363" t="str">
        <f t="shared" ca="1" si="24"/>
        <v>WORKDAY,</v>
      </c>
      <c r="H49" s="363" t="str">
        <f t="shared" ca="1" si="24"/>
        <v>DATADOG,</v>
      </c>
      <c r="I49" s="363" t="str">
        <f t="shared" ca="1" si="24"/>
        <v>HUBSPOT,</v>
      </c>
      <c r="J49" s="363" t="str">
        <f t="shared" ca="1" si="24"/>
        <v>Sap Se</v>
      </c>
      <c r="K49" s="363" t="str">
        <f t="shared" ca="1" si="24"/>
        <v>SERVICENOW,</v>
      </c>
      <c r="L49" s="363" t="str">
        <f t="shared" ca="1" si="24"/>
        <v>AUTODESK,</v>
      </c>
      <c r="M49" s="363" t="str">
        <f t="shared" ca="1" si="24"/>
        <v>SNOWFLAKE</v>
      </c>
      <c r="N49" s="363" t="str">
        <f t="shared" ca="1" si="24"/>
        <v>ATLASSIAN</v>
      </c>
      <c r="O49" s="363" t="str">
        <f t="shared" si="24"/>
        <v>Average</v>
      </c>
      <c r="P49" s="373"/>
      <c r="Q49" s="382"/>
      <c r="R49" s="382"/>
      <c r="S49" s="565"/>
      <c r="T49" s="382"/>
      <c r="U49" s="382"/>
      <c r="V49" s="382"/>
      <c r="W49" s="382"/>
      <c r="X49" s="382"/>
      <c r="Y49" s="382"/>
      <c r="Z49" s="382"/>
      <c r="AA49" s="382"/>
      <c r="AB49" s="382"/>
      <c r="AC49" s="382"/>
      <c r="AD49" s="382"/>
      <c r="AE49" s="382"/>
      <c r="AF49" s="382"/>
      <c r="AG49" s="382"/>
      <c r="AH49" s="382"/>
      <c r="AI49" s="382"/>
      <c r="AJ49" s="382"/>
      <c r="AK49" s="382"/>
      <c r="AL49" s="382"/>
      <c r="AM49" s="382"/>
      <c r="AN49" s="382"/>
      <c r="AO49" s="382"/>
      <c r="AP49" s="382"/>
      <c r="AQ49" s="382"/>
      <c r="AR49" s="382"/>
      <c r="AS49" s="382"/>
      <c r="AT49" s="382"/>
      <c r="AU49" s="382"/>
      <c r="AV49" s="382"/>
      <c r="AW49" s="382"/>
      <c r="AX49" s="382"/>
      <c r="AY49" s="382"/>
      <c r="AZ49" s="382"/>
      <c r="BA49" s="382"/>
    </row>
    <row r="50" spans="1:53" s="354" customFormat="1" ht="3.75" customHeight="1">
      <c r="A50" s="373"/>
      <c r="B50" s="402"/>
      <c r="C50" s="402"/>
      <c r="D50" s="402"/>
      <c r="E50" s="402"/>
      <c r="F50" s="402"/>
      <c r="G50" s="402"/>
      <c r="H50" s="402"/>
      <c r="I50" s="402"/>
      <c r="J50" s="402"/>
      <c r="K50" s="402"/>
      <c r="L50" s="402"/>
      <c r="M50" s="402"/>
      <c r="N50" s="402"/>
      <c r="O50" s="413"/>
      <c r="P50" s="373"/>
      <c r="Q50" s="373"/>
      <c r="R50" s="373"/>
      <c r="S50" s="414"/>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c r="AU50" s="373"/>
      <c r="AV50" s="373"/>
      <c r="AW50" s="373"/>
      <c r="AX50" s="373"/>
      <c r="AY50" s="373"/>
      <c r="AZ50" s="373"/>
      <c r="BA50" s="373"/>
    </row>
    <row r="51" spans="1:53" s="354" customFormat="1" ht="14.25" hidden="1" customHeight="1">
      <c r="A51" s="373"/>
      <c r="B51" s="373" t="s">
        <v>245</v>
      </c>
      <c r="C51" s="373"/>
      <c r="D51" s="684" t="str">
        <f>IFERROR(D98/(AVERAGE(D113:D114)),"")</f>
        <v/>
      </c>
      <c r="E51" s="684" t="str">
        <f t="shared" ref="E51:N51" si="25">IFERROR(E98/(AVERAGE(E113:E114)),"")</f>
        <v/>
      </c>
      <c r="F51" s="684" t="str">
        <f t="shared" si="25"/>
        <v/>
      </c>
      <c r="G51" s="684" t="str">
        <f t="shared" si="25"/>
        <v/>
      </c>
      <c r="H51" s="684" t="str">
        <f t="shared" si="25"/>
        <v/>
      </c>
      <c r="I51" s="684" t="str">
        <f t="shared" si="25"/>
        <v/>
      </c>
      <c r="J51" s="684" t="str">
        <f t="shared" si="25"/>
        <v/>
      </c>
      <c r="K51" s="684" t="str">
        <f t="shared" si="25"/>
        <v/>
      </c>
      <c r="L51" s="684" t="str">
        <f t="shared" si="25"/>
        <v/>
      </c>
      <c r="M51" s="684" t="str">
        <f t="shared" si="25"/>
        <v/>
      </c>
      <c r="N51" s="684" t="str">
        <f t="shared" si="25"/>
        <v/>
      </c>
      <c r="O51" s="627" t="str">
        <f t="shared" ref="O51:O56" si="26">IFERROR(+AVERAGE(D51:N51),"")</f>
        <v/>
      </c>
      <c r="P51" s="373"/>
      <c r="Q51" s="373"/>
      <c r="R51" s="373"/>
      <c r="S51" s="414"/>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73"/>
      <c r="AT51" s="373"/>
      <c r="AU51" s="373"/>
      <c r="AV51" s="373"/>
      <c r="AW51" s="373"/>
      <c r="AX51" s="373"/>
      <c r="AY51" s="373"/>
      <c r="AZ51" s="373"/>
      <c r="BA51" s="373"/>
    </row>
    <row r="52" spans="1:53" s="354" customFormat="1" ht="14.25" customHeight="1">
      <c r="A52" s="373"/>
      <c r="B52" s="373" t="s">
        <v>246</v>
      </c>
      <c r="C52" s="373"/>
      <c r="D52" s="798">
        <f>IFERROR(D97/D112,"")</f>
        <v>10.378861003861005</v>
      </c>
      <c r="E52" s="684">
        <f t="shared" ref="E52:N52" si="27">IFERROR(E97/E112,"")</f>
        <v>3.1724570950188364</v>
      </c>
      <c r="F52" s="801">
        <f t="shared" si="27"/>
        <v>35.634573304157549</v>
      </c>
      <c r="G52" s="684">
        <f t="shared" si="27"/>
        <v>4.3312820512820513</v>
      </c>
      <c r="H52" s="684">
        <f t="shared" si="27"/>
        <v>4.4808013355592653</v>
      </c>
      <c r="I52" s="684">
        <f t="shared" si="27"/>
        <v>7.8447761194029848</v>
      </c>
      <c r="J52" s="684">
        <f t="shared" si="27"/>
        <v>5.484833895040925</v>
      </c>
      <c r="K52" s="684">
        <f t="shared" si="27"/>
        <v>4.9035714285714285</v>
      </c>
      <c r="L52" s="684">
        <f t="shared" si="27"/>
        <v>6.0823412698412698</v>
      </c>
      <c r="M52" s="684">
        <f t="shared" si="27"/>
        <v>3.9284940411700977</v>
      </c>
      <c r="N52" s="684">
        <f t="shared" si="27"/>
        <v>6.9410828025477711</v>
      </c>
      <c r="O52" s="627">
        <f t="shared" si="26"/>
        <v>8.4711885769502882</v>
      </c>
      <c r="P52" s="373"/>
      <c r="Q52" s="373"/>
      <c r="R52" s="373"/>
      <c r="S52" s="414"/>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row>
    <row r="53" spans="1:53" s="354" customFormat="1" ht="14.25" customHeight="1">
      <c r="A53" s="373"/>
      <c r="B53" s="373" t="s">
        <v>247</v>
      </c>
      <c r="C53" s="373"/>
      <c r="D53" s="684">
        <f>IFERROR(D98/D118,"")</f>
        <v>7.0304709141274238</v>
      </c>
      <c r="E53" s="684">
        <f t="shared" ref="E53:N53" si="28">IFERROR(E98/E118,"")</f>
        <v>1.2981375788525082</v>
      </c>
      <c r="F53" s="684">
        <f t="shared" si="28"/>
        <v>4.8058252427184467</v>
      </c>
      <c r="G53" s="684">
        <f t="shared" si="28"/>
        <v>19.157407407407408</v>
      </c>
      <c r="H53" s="684">
        <f t="shared" si="28"/>
        <v>4.7685185185185182</v>
      </c>
      <c r="I53" s="799">
        <f t="shared" si="28"/>
        <v>98.25</v>
      </c>
      <c r="J53" s="684">
        <f t="shared" si="28"/>
        <v>4.6447236180904534</v>
      </c>
      <c r="K53" s="684">
        <f t="shared" si="28"/>
        <v>33.632352941176471</v>
      </c>
      <c r="L53" s="684">
        <f t="shared" si="28"/>
        <v>1.9013157894736843</v>
      </c>
      <c r="M53" s="684">
        <f t="shared" si="28"/>
        <v>7.1470588235294121</v>
      </c>
      <c r="N53" s="684">
        <f t="shared" si="28"/>
        <v>4.51123595505618</v>
      </c>
      <c r="O53" s="627">
        <f t="shared" si="26"/>
        <v>17.013367889904593</v>
      </c>
      <c r="P53" s="373"/>
      <c r="Q53" s="373"/>
      <c r="R53" s="373"/>
      <c r="S53" s="414"/>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73"/>
      <c r="AT53" s="373"/>
      <c r="AU53" s="373"/>
      <c r="AV53" s="373"/>
      <c r="AW53" s="373"/>
      <c r="AX53" s="373"/>
      <c r="AY53" s="373"/>
      <c r="AZ53" s="373"/>
      <c r="BA53" s="373"/>
    </row>
    <row r="54" spans="1:53" s="354" customFormat="1" ht="14.25" customHeight="1">
      <c r="A54" s="373"/>
      <c r="B54" s="373" t="s">
        <v>248</v>
      </c>
      <c r="C54" s="373"/>
      <c r="D54" s="416">
        <f>IFERROR(D97/D116,"")</f>
        <v>11.107954545454545</v>
      </c>
      <c r="E54" s="416">
        <f t="shared" ref="E54:N54" si="29">IFERROR(E97/E116,"")</f>
        <v>7.0267012794363062</v>
      </c>
      <c r="F54" s="416">
        <f t="shared" si="29"/>
        <v>11.46830985915493</v>
      </c>
      <c r="G54" s="416">
        <f t="shared" si="29"/>
        <v>5.3625396825396825</v>
      </c>
      <c r="H54" s="416">
        <f t="shared" si="29"/>
        <v>6.7268170426065161</v>
      </c>
      <c r="I54" s="416">
        <f t="shared" si="29"/>
        <v>7.9636363636363638</v>
      </c>
      <c r="J54" s="416">
        <f t="shared" si="29"/>
        <v>7.6064989984420208</v>
      </c>
      <c r="K54" s="416">
        <f t="shared" si="29"/>
        <v>4.4723127035830617</v>
      </c>
      <c r="L54" s="416">
        <f t="shared" si="29"/>
        <v>21.437062937062937</v>
      </c>
      <c r="M54" s="416">
        <f t="shared" si="29"/>
        <v>6.8286252354048962</v>
      </c>
      <c r="N54" s="416">
        <f t="shared" si="29"/>
        <v>16.83011583011583</v>
      </c>
      <c r="O54" s="627">
        <f t="shared" si="26"/>
        <v>9.7118704070397346</v>
      </c>
      <c r="P54" s="373"/>
      <c r="Q54" s="373"/>
      <c r="R54" s="373"/>
      <c r="S54" s="414"/>
      <c r="T54" s="373"/>
      <c r="U54" s="373"/>
      <c r="V54" s="373"/>
      <c r="W54" s="373"/>
      <c r="X54" s="373"/>
      <c r="Y54" s="373"/>
      <c r="Z54" s="373"/>
      <c r="AA54" s="373"/>
      <c r="AB54" s="373"/>
      <c r="AC54" s="373"/>
      <c r="AD54" s="373"/>
      <c r="AE54" s="373"/>
      <c r="AF54" s="373"/>
      <c r="AG54" s="373"/>
      <c r="AH54" s="373"/>
      <c r="AI54" s="373"/>
      <c r="AJ54" s="373"/>
      <c r="AK54" s="373"/>
      <c r="AL54" s="373"/>
      <c r="AM54" s="373"/>
      <c r="AN54" s="373"/>
      <c r="AO54" s="373"/>
      <c r="AP54" s="373"/>
      <c r="AQ54" s="373"/>
      <c r="AR54" s="373"/>
      <c r="AS54" s="373"/>
      <c r="AT54" s="373"/>
      <c r="AU54" s="373"/>
      <c r="AV54" s="373"/>
      <c r="AW54" s="373"/>
      <c r="AX54" s="373"/>
      <c r="AY54" s="373"/>
      <c r="AZ54" s="373"/>
      <c r="BA54" s="373"/>
    </row>
    <row r="55" spans="1:53" s="354" customFormat="1" ht="14.25" customHeight="1">
      <c r="A55" s="373"/>
      <c r="B55" s="373" t="s">
        <v>249</v>
      </c>
      <c r="C55" s="373"/>
      <c r="D55" s="416">
        <f>IFERROR(D97/D117,"")</f>
        <v>0.716785547630158</v>
      </c>
      <c r="E55" s="416">
        <f t="shared" ref="E55:N55" si="30">IFERROR(E97/E117,"")</f>
        <v>0.36816998290066844</v>
      </c>
      <c r="F55" s="416">
        <f t="shared" si="30"/>
        <v>0.50681563550354791</v>
      </c>
      <c r="G55" s="416">
        <f t="shared" si="30"/>
        <v>0.4698225510374367</v>
      </c>
      <c r="H55" s="416">
        <f t="shared" si="30"/>
        <v>0.46395851339671562</v>
      </c>
      <c r="I55" s="416">
        <f t="shared" si="30"/>
        <v>0.69230769230769229</v>
      </c>
      <c r="J55" s="416">
        <f t="shared" si="30"/>
        <v>0.46107768273926769</v>
      </c>
      <c r="K55" s="416">
        <f t="shared" si="30"/>
        <v>0.5388804395820046</v>
      </c>
      <c r="L55" s="416">
        <f t="shared" si="30"/>
        <v>0.56595587556540206</v>
      </c>
      <c r="M55" s="416">
        <f t="shared" si="30"/>
        <v>0.40137259242860307</v>
      </c>
      <c r="N55" s="800">
        <f t="shared" si="30"/>
        <v>0.83633921719109749</v>
      </c>
      <c r="O55" s="627">
        <f t="shared" si="26"/>
        <v>0.54740779366205405</v>
      </c>
      <c r="P55" s="373"/>
      <c r="Q55" s="373"/>
      <c r="R55" s="373"/>
      <c r="S55" s="414"/>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row>
    <row r="56" spans="1:53" s="354" customFormat="1" ht="14.25" hidden="1" customHeight="1">
      <c r="A56" s="373"/>
      <c r="B56" s="373" t="s">
        <v>250</v>
      </c>
      <c r="C56" s="373"/>
      <c r="D56" s="685" t="str">
        <f>IFERROR(365/D51+365/D52-365/D53,"")</f>
        <v/>
      </c>
      <c r="E56" s="685" t="str">
        <f t="shared" ref="E56:N56" si="31">IFERROR(365/E51+365/E52-365/E53,"")</f>
        <v/>
      </c>
      <c r="F56" s="685" t="str">
        <f t="shared" si="31"/>
        <v/>
      </c>
      <c r="G56" s="685" t="str">
        <f t="shared" si="31"/>
        <v/>
      </c>
      <c r="H56" s="685" t="str">
        <f t="shared" si="31"/>
        <v/>
      </c>
      <c r="I56" s="685" t="str">
        <f t="shared" si="31"/>
        <v/>
      </c>
      <c r="J56" s="685" t="str">
        <f t="shared" si="31"/>
        <v/>
      </c>
      <c r="K56" s="685" t="str">
        <f t="shared" si="31"/>
        <v/>
      </c>
      <c r="L56" s="685" t="str">
        <f t="shared" si="31"/>
        <v/>
      </c>
      <c r="M56" s="685" t="str">
        <f t="shared" si="31"/>
        <v/>
      </c>
      <c r="N56" s="685" t="str">
        <f t="shared" si="31"/>
        <v/>
      </c>
      <c r="O56" s="627" t="str">
        <f t="shared" si="26"/>
        <v/>
      </c>
      <c r="P56" s="373"/>
      <c r="Q56" s="373"/>
      <c r="R56" s="373"/>
      <c r="S56" s="414"/>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73"/>
      <c r="AT56" s="373"/>
      <c r="AU56" s="373"/>
      <c r="AV56" s="373"/>
      <c r="AW56" s="373"/>
      <c r="AX56" s="373"/>
      <c r="AY56" s="373"/>
      <c r="AZ56" s="373"/>
      <c r="BA56" s="373"/>
    </row>
    <row r="57" spans="1:53" s="354" customFormat="1" ht="3.95" customHeight="1">
      <c r="A57" s="373"/>
      <c r="B57" s="373"/>
      <c r="C57" s="373"/>
      <c r="D57" s="627"/>
      <c r="E57" s="627"/>
      <c r="F57" s="627"/>
      <c r="G57" s="627"/>
      <c r="H57" s="627"/>
      <c r="I57" s="627"/>
      <c r="J57" s="627"/>
      <c r="K57" s="627"/>
      <c r="L57" s="627"/>
      <c r="M57" s="627"/>
      <c r="N57" s="627"/>
      <c r="O57" s="627"/>
      <c r="P57" s="373"/>
      <c r="Q57" s="373"/>
      <c r="R57" s="373"/>
      <c r="S57" s="414"/>
      <c r="T57" s="373"/>
      <c r="U57" s="373"/>
      <c r="V57" s="373"/>
      <c r="W57" s="373"/>
      <c r="X57" s="373"/>
      <c r="Y57" s="373"/>
      <c r="Z57" s="373"/>
      <c r="AA57" s="373"/>
      <c r="AB57" s="373"/>
      <c r="AC57" s="373"/>
      <c r="AD57" s="373"/>
      <c r="AE57" s="373"/>
      <c r="AF57" s="373"/>
      <c r="AG57" s="373"/>
      <c r="AH57" s="373"/>
      <c r="AI57" s="373"/>
      <c r="AJ57" s="373"/>
      <c r="AK57" s="373"/>
      <c r="AL57" s="373"/>
      <c r="AM57" s="373"/>
      <c r="AN57" s="373"/>
      <c r="AO57" s="373"/>
      <c r="AP57" s="373"/>
      <c r="AQ57" s="373"/>
      <c r="AR57" s="373"/>
      <c r="AS57" s="373"/>
      <c r="AT57" s="373"/>
      <c r="AU57" s="373"/>
      <c r="AV57" s="373"/>
      <c r="AW57" s="373"/>
      <c r="AX57" s="373"/>
      <c r="AY57" s="373"/>
      <c r="AZ57" s="373"/>
      <c r="BA57" s="373"/>
    </row>
    <row r="58" spans="1:53" s="354" customFormat="1" ht="14.25" customHeight="1">
      <c r="A58" s="373"/>
      <c r="B58" s="563" t="s">
        <v>251</v>
      </c>
      <c r="C58" s="564"/>
      <c r="D58" s="363" t="str">
        <f ca="1">+D37</f>
        <v>ADOBE</v>
      </c>
      <c r="E58" s="363" t="str">
        <f t="shared" ref="E58:O58" ca="1" si="32">+E37</f>
        <v>SALESFORCE,</v>
      </c>
      <c r="F58" s="363" t="str">
        <f t="shared" ca="1" si="32"/>
        <v>INTUIT</v>
      </c>
      <c r="G58" s="363" t="str">
        <f t="shared" ca="1" si="32"/>
        <v>WORKDAY,</v>
      </c>
      <c r="H58" s="363" t="str">
        <f t="shared" ca="1" si="32"/>
        <v>DATADOG,</v>
      </c>
      <c r="I58" s="363" t="str">
        <f t="shared" ca="1" si="32"/>
        <v>HUBSPOT,</v>
      </c>
      <c r="J58" s="363" t="str">
        <f t="shared" ca="1" si="32"/>
        <v>Sap Se</v>
      </c>
      <c r="K58" s="363" t="str">
        <f t="shared" ca="1" si="32"/>
        <v>SERVICENOW,</v>
      </c>
      <c r="L58" s="363" t="str">
        <f t="shared" ca="1" si="32"/>
        <v>AUTODESK,</v>
      </c>
      <c r="M58" s="363" t="str">
        <f t="shared" ca="1" si="32"/>
        <v>SNOWFLAKE</v>
      </c>
      <c r="N58" s="363" t="str">
        <f t="shared" ca="1" si="32"/>
        <v>ATLASSIAN</v>
      </c>
      <c r="O58" s="363" t="str">
        <f t="shared" si="32"/>
        <v>Average</v>
      </c>
      <c r="P58" s="373"/>
      <c r="Q58" s="373"/>
      <c r="R58" s="373"/>
      <c r="S58" s="414"/>
      <c r="T58" s="373"/>
      <c r="U58" s="373"/>
      <c r="V58" s="373"/>
      <c r="W58" s="373"/>
      <c r="X58" s="373"/>
      <c r="Y58" s="373"/>
      <c r="Z58" s="373"/>
      <c r="AA58" s="373"/>
      <c r="AB58" s="373"/>
      <c r="AC58" s="373"/>
      <c r="AD58" s="373"/>
      <c r="AE58" s="373"/>
      <c r="AF58" s="373"/>
      <c r="AG58" s="373"/>
      <c r="AH58" s="373"/>
      <c r="AI58" s="373"/>
      <c r="AJ58" s="373"/>
      <c r="AK58" s="373"/>
      <c r="AL58" s="373"/>
      <c r="AM58" s="373"/>
      <c r="AN58" s="373"/>
      <c r="AO58" s="373"/>
      <c r="AP58" s="373"/>
      <c r="AQ58" s="373"/>
      <c r="AR58" s="373"/>
      <c r="AS58" s="373"/>
      <c r="AT58" s="373"/>
      <c r="AU58" s="373"/>
      <c r="AV58" s="373"/>
      <c r="AW58" s="373"/>
      <c r="AX58" s="373"/>
      <c r="AY58" s="373"/>
      <c r="AZ58" s="373"/>
      <c r="BA58" s="373"/>
    </row>
    <row r="59" spans="1:53" s="354" customFormat="1" ht="3.95" customHeight="1">
      <c r="A59" s="373"/>
      <c r="B59" s="402"/>
      <c r="C59" s="402"/>
      <c r="D59" s="402"/>
      <c r="E59" s="402"/>
      <c r="F59" s="402"/>
      <c r="G59" s="402"/>
      <c r="H59" s="402"/>
      <c r="I59" s="402"/>
      <c r="J59" s="402"/>
      <c r="K59" s="402"/>
      <c r="L59" s="402"/>
      <c r="M59" s="402"/>
      <c r="N59" s="402"/>
      <c r="O59" s="413"/>
      <c r="P59" s="373"/>
      <c r="Q59" s="373"/>
      <c r="R59" s="373"/>
      <c r="S59" s="414"/>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row>
    <row r="60" spans="1:53" s="354" customFormat="1" ht="14.25" customHeight="1">
      <c r="A60" s="373"/>
      <c r="B60" s="373" t="s">
        <v>252</v>
      </c>
      <c r="C60" s="373"/>
      <c r="D60" s="628">
        <f>IFERROR(D132/D97,"")</f>
        <v>2.1948384096721691E-2</v>
      </c>
      <c r="E60" s="628">
        <f t="shared" ref="E60:N60" si="33">IFERROR(E132/E97,"")</f>
        <v>9.9221533183797336E-3</v>
      </c>
      <c r="F60" s="628">
        <f t="shared" si="33"/>
        <v>0.26079214000614059</v>
      </c>
      <c r="G60" s="628">
        <f t="shared" si="33"/>
        <v>-5.564764385507933E-2</v>
      </c>
      <c r="H60" s="628">
        <f t="shared" si="33"/>
        <v>0.34165424739195233</v>
      </c>
      <c r="I60" s="628">
        <f t="shared" si="33"/>
        <v>4.7564687975646877E-2</v>
      </c>
      <c r="J60" s="628">
        <f t="shared" si="33"/>
        <v>4.3451544943820225E-2</v>
      </c>
      <c r="K60" s="628">
        <f t="shared" si="33"/>
        <v>3.6962855061908231E-2</v>
      </c>
      <c r="L60" s="628">
        <f t="shared" si="33"/>
        <v>-4.7789920078290651E-2</v>
      </c>
      <c r="M60" s="628">
        <f t="shared" si="33"/>
        <v>0.25317153888582461</v>
      </c>
      <c r="N60" s="628">
        <f t="shared" si="33"/>
        <v>0</v>
      </c>
      <c r="O60" s="628">
        <f>IFERROR(+AVERAGE(D60:N60),"")</f>
        <v>8.2911817067911286E-2</v>
      </c>
      <c r="P60" s="373"/>
      <c r="Q60" s="373"/>
      <c r="R60" s="373"/>
      <c r="S60" s="414"/>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row>
    <row r="61" spans="1:53" s="354" customFormat="1" ht="14.25" customHeight="1">
      <c r="A61" s="373"/>
      <c r="B61" s="373" t="s">
        <v>253</v>
      </c>
      <c r="C61" s="373"/>
      <c r="D61" s="628">
        <f>IFERROR(D132/D96,"")</f>
        <v>8.6956521739130432E-2</v>
      </c>
      <c r="E61" s="628">
        <f t="shared" ref="E61:N61" si="34">IFERROR(E132/E96,"")</f>
        <v>9.0909090909090912E-2</v>
      </c>
      <c r="F61" s="628">
        <f t="shared" si="34"/>
        <v>1.7814597315436242</v>
      </c>
      <c r="G61" s="628">
        <f t="shared" si="34"/>
        <v>-0.34033309196234612</v>
      </c>
      <c r="H61" s="628">
        <f t="shared" si="34"/>
        <v>19.104166666666668</v>
      </c>
      <c r="I61" s="628">
        <f t="shared" si="34"/>
        <v>-0.75757575757575757</v>
      </c>
      <c r="J61" s="628">
        <f t="shared" si="34"/>
        <v>0.44942381562099876</v>
      </c>
      <c r="K61" s="628">
        <f t="shared" si="34"/>
        <v>0.23454650491045639</v>
      </c>
      <c r="L61" s="628">
        <f t="shared" si="34"/>
        <v>-0.32339955849889623</v>
      </c>
      <c r="M61" s="628">
        <f t="shared" si="34"/>
        <v>-1.0980861244019138</v>
      </c>
      <c r="N61" s="628">
        <f t="shared" si="34"/>
        <v>0</v>
      </c>
      <c r="O61" s="628">
        <f t="shared" ref="O61:O67" si="35">IFERROR(+AVERAGE(D61:N61),"")</f>
        <v>1.7480061635410051</v>
      </c>
      <c r="P61" s="373"/>
      <c r="Q61" s="373"/>
      <c r="R61" s="373"/>
      <c r="S61" s="414"/>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3"/>
      <c r="BA61" s="373"/>
    </row>
    <row r="62" spans="1:53" s="354" customFormat="1" ht="14.25" customHeight="1">
      <c r="A62" s="373"/>
      <c r="B62" s="373" t="s">
        <v>254</v>
      </c>
      <c r="C62" s="373"/>
      <c r="D62" s="628">
        <f>+IFERROR(D126/D105,"")</f>
        <v>1.4489208633093524</v>
      </c>
      <c r="E62" s="628">
        <f t="shared" ref="E62:N62" si="36">+IFERROR(E126/E105,"")</f>
        <v>2.1126351460384059</v>
      </c>
      <c r="F62" s="628">
        <f t="shared" si="36"/>
        <v>1.6483293958825516</v>
      </c>
      <c r="G62" s="628">
        <f t="shared" si="36"/>
        <v>4.6787072243346008</v>
      </c>
      <c r="H62" s="628">
        <f t="shared" si="36"/>
        <v>4.7336956521739131</v>
      </c>
      <c r="I62" s="628">
        <f t="shared" si="36"/>
        <v>119.8</v>
      </c>
      <c r="J62" s="628">
        <f t="shared" si="36"/>
        <v>1.6709346991037133</v>
      </c>
      <c r="K62" s="628">
        <f t="shared" si="36"/>
        <v>2.9943859649122806</v>
      </c>
      <c r="L62" s="628">
        <f t="shared" si="36"/>
        <v>1.4451438848920863</v>
      </c>
      <c r="M62" s="628">
        <f t="shared" si="36"/>
        <v>-0.76250992851469424</v>
      </c>
      <c r="N62" s="628">
        <f t="shared" si="36"/>
        <v>-4.8106312292358808</v>
      </c>
      <c r="O62" s="628">
        <f t="shared" si="35"/>
        <v>12.269055606626937</v>
      </c>
      <c r="P62" s="373"/>
      <c r="Q62" s="373"/>
      <c r="R62" s="373"/>
      <c r="S62" s="414"/>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3"/>
      <c r="BA62" s="373"/>
    </row>
    <row r="63" spans="1:53" s="354" customFormat="1" ht="14.25" customHeight="1">
      <c r="A63" s="373"/>
      <c r="B63" s="373" t="s">
        <v>255</v>
      </c>
      <c r="C63" s="373"/>
      <c r="D63" s="628">
        <f t="shared" ref="D63:N63" si="37">IFERROR(-D127/D126,"")</f>
        <v>2.2715988083416086E-2</v>
      </c>
      <c r="E63" s="628">
        <f t="shared" si="37"/>
        <v>5.0259700580507181E-2</v>
      </c>
      <c r="F63" s="628">
        <f t="shared" si="37"/>
        <v>1.208026208026208E-2</v>
      </c>
      <c r="G63" s="628">
        <f t="shared" si="37"/>
        <v>0.11052417716375457</v>
      </c>
      <c r="H63" s="628">
        <f t="shared" si="37"/>
        <v>0.10907003444316878</v>
      </c>
      <c r="I63" s="628">
        <f t="shared" si="37"/>
        <v>0.21535893155258765</v>
      </c>
      <c r="J63" s="628">
        <f t="shared" si="37"/>
        <v>0.15268199233716476</v>
      </c>
      <c r="K63" s="628">
        <f t="shared" si="37"/>
        <v>0.20904616826810404</v>
      </c>
      <c r="L63" s="628">
        <f t="shared" si="37"/>
        <v>2.4891101431238332E-2</v>
      </c>
      <c r="M63" s="628">
        <f t="shared" si="37"/>
        <v>7.9166666666666663E-2</v>
      </c>
      <c r="N63" s="628">
        <f t="shared" si="37"/>
        <v>2.2790055248618785E-2</v>
      </c>
      <c r="O63" s="628">
        <f t="shared" si="35"/>
        <v>9.1689552532317184E-2</v>
      </c>
      <c r="P63" s="373"/>
      <c r="Q63" s="373"/>
      <c r="R63" s="373"/>
      <c r="S63" s="414"/>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row>
    <row r="64" spans="1:53" s="354" customFormat="1" ht="14.25" customHeight="1">
      <c r="A64" s="373"/>
      <c r="B64" s="373" t="s">
        <v>256</v>
      </c>
      <c r="C64" s="373"/>
      <c r="D64" s="628">
        <f>IFERROR(-D128/D126,"")</f>
        <v>-1.8495531281032769E-2</v>
      </c>
      <c r="E64" s="628">
        <f t="shared" ref="E64:N64" si="38">IFERROR(-E128/E126,"")</f>
        <v>0.24159792239535594</v>
      </c>
      <c r="F64" s="628">
        <f t="shared" si="38"/>
        <v>4.6478296478296481E-2</v>
      </c>
      <c r="G64" s="628">
        <f t="shared" si="38"/>
        <v>0.72368955709061356</v>
      </c>
      <c r="H64" s="628">
        <f t="shared" si="38"/>
        <v>0.84615384615384615</v>
      </c>
      <c r="I64" s="628">
        <f t="shared" si="38"/>
        <v>0.86143572621035058</v>
      </c>
      <c r="J64" s="628">
        <f t="shared" si="38"/>
        <v>0.12567049808429118</v>
      </c>
      <c r="K64" s="628">
        <f t="shared" si="38"/>
        <v>0.58612608389969534</v>
      </c>
      <c r="L64" s="628">
        <f t="shared" si="38"/>
        <v>0.56191661481020538</v>
      </c>
      <c r="M64" s="628">
        <f t="shared" si="38"/>
        <v>-0.19791666666666666</v>
      </c>
      <c r="N64" s="628">
        <f t="shared" si="38"/>
        <v>0.66574585635359118</v>
      </c>
      <c r="O64" s="628">
        <f t="shared" si="35"/>
        <v>0.40385474577532238</v>
      </c>
      <c r="P64" s="373"/>
      <c r="Q64" s="373"/>
      <c r="R64" s="373"/>
      <c r="S64" s="414"/>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3"/>
      <c r="BA64" s="373"/>
    </row>
    <row r="65" spans="1:53" s="354" customFormat="1" ht="14.25" customHeight="1">
      <c r="A65" s="373"/>
      <c r="B65" s="373" t="s">
        <v>257</v>
      </c>
      <c r="C65" s="373"/>
      <c r="D65" s="628">
        <f>IFERROR((D129+D130)/D126,"")</f>
        <v>0.24788977159880834</v>
      </c>
      <c r="E65" s="628">
        <f t="shared" ref="E65:N65" si="39">IFERROR((E129+E130)/E126,"")</f>
        <v>-0.12244118545676749</v>
      </c>
      <c r="F65" s="628">
        <f t="shared" si="39"/>
        <v>2.0475020475020476E-4</v>
      </c>
      <c r="G65" s="628">
        <f t="shared" si="39"/>
        <v>0</v>
      </c>
      <c r="H65" s="628">
        <f t="shared" si="39"/>
        <v>0.8450057405281286</v>
      </c>
      <c r="I65" s="628">
        <f t="shared" si="39"/>
        <v>-9.5158597662771283E-5</v>
      </c>
      <c r="J65" s="628">
        <f t="shared" si="39"/>
        <v>0.24367816091954028</v>
      </c>
      <c r="K65" s="628">
        <f t="shared" si="39"/>
        <v>0</v>
      </c>
      <c r="L65" s="628">
        <f t="shared" si="39"/>
        <v>0</v>
      </c>
      <c r="M65" s="628">
        <f t="shared" si="39"/>
        <v>0.38333333333333336</v>
      </c>
      <c r="N65" s="628">
        <f t="shared" si="39"/>
        <v>-8.9779005524861875E-3</v>
      </c>
      <c r="O65" s="628">
        <f t="shared" si="35"/>
        <v>0.1444179556343313</v>
      </c>
      <c r="P65" s="373"/>
      <c r="Q65" s="373"/>
      <c r="R65" s="373"/>
      <c r="S65" s="414"/>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c r="BA65" s="373"/>
    </row>
    <row r="66" spans="1:53" s="354" customFormat="1" ht="14.25" customHeight="1">
      <c r="A66" s="373"/>
      <c r="B66" s="373" t="s">
        <v>258</v>
      </c>
      <c r="C66" s="373"/>
      <c r="D66" s="628">
        <f>+IFERROR(-D130/D129,"")</f>
        <v>0</v>
      </c>
      <c r="E66" s="628" t="str">
        <f t="shared" ref="E66:N66" si="40">+IFERROR(-E130/E129,"")</f>
        <v/>
      </c>
      <c r="F66" s="628">
        <f t="shared" si="40"/>
        <v>0.99976883957466478</v>
      </c>
      <c r="G66" s="628" t="str">
        <f t="shared" si="40"/>
        <v/>
      </c>
      <c r="H66" s="628">
        <f t="shared" si="40"/>
        <v>0.28820116054158607</v>
      </c>
      <c r="I66" s="628" t="str">
        <f t="shared" si="40"/>
        <v/>
      </c>
      <c r="J66" s="628">
        <f t="shared" si="40"/>
        <v>0.54029634983736896</v>
      </c>
      <c r="K66" s="628" t="str">
        <f t="shared" si="40"/>
        <v/>
      </c>
      <c r="L66" s="628" t="str">
        <f t="shared" si="40"/>
        <v/>
      </c>
      <c r="M66" s="628">
        <f t="shared" si="40"/>
        <v>0.84</v>
      </c>
      <c r="N66" s="628">
        <f t="shared" si="40"/>
        <v>1.0131712259371835</v>
      </c>
      <c r="O66" s="628">
        <f>IFERROR(+AVERAGE(D66:N66),"")</f>
        <v>0.61357292931513385</v>
      </c>
      <c r="P66" s="373"/>
      <c r="Q66" s="373"/>
      <c r="R66" s="373"/>
      <c r="S66" s="414"/>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c r="BA66" s="373"/>
    </row>
    <row r="67" spans="1:53" s="354" customFormat="1" ht="14.25" customHeight="1">
      <c r="A67" s="373"/>
      <c r="B67" s="373" t="s">
        <v>259</v>
      </c>
      <c r="C67" s="373"/>
      <c r="D67" s="628">
        <f t="shared" ref="D67:N67" si="41">IFERROR(-D131/D126,"")</f>
        <v>0.95878848063555111</v>
      </c>
      <c r="E67" s="628">
        <f t="shared" si="41"/>
        <v>0.72021081576535284</v>
      </c>
      <c r="F67" s="628">
        <f t="shared" si="41"/>
        <v>8.1285831285831292E-2</v>
      </c>
      <c r="G67" s="628">
        <f t="shared" si="41"/>
        <v>0.46728971962616822</v>
      </c>
      <c r="H67" s="628">
        <f t="shared" si="41"/>
        <v>-0.90355912743972444</v>
      </c>
      <c r="I67" s="628">
        <f t="shared" si="41"/>
        <v>-8.8480801335559259E-2</v>
      </c>
      <c r="J67" s="628">
        <f t="shared" si="41"/>
        <v>0.65363984674329501</v>
      </c>
      <c r="K67" s="628">
        <f t="shared" si="41"/>
        <v>0.3147410358565737</v>
      </c>
      <c r="L67" s="628">
        <f t="shared" si="41"/>
        <v>0.61418792781580589</v>
      </c>
      <c r="M67" s="628">
        <f t="shared" si="41"/>
        <v>0.23645833333333333</v>
      </c>
      <c r="N67" s="628">
        <f t="shared" si="41"/>
        <v>0.28176795580110497</v>
      </c>
      <c r="O67" s="628">
        <f t="shared" si="35"/>
        <v>0.30330272891706661</v>
      </c>
      <c r="P67" s="373"/>
      <c r="Q67" s="373"/>
      <c r="R67" s="373"/>
      <c r="S67" s="414"/>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c r="BA67" s="373"/>
    </row>
    <row r="68" spans="1:53" s="354" customFormat="1" ht="14.25" customHeight="1">
      <c r="A68" s="373"/>
      <c r="B68" s="373" t="s">
        <v>260</v>
      </c>
      <c r="C68" s="373"/>
      <c r="D68" s="417"/>
      <c r="E68" s="813"/>
      <c r="F68" s="417"/>
      <c r="G68" s="417"/>
      <c r="H68" s="417"/>
      <c r="I68" s="417"/>
      <c r="J68" s="417"/>
      <c r="K68" s="417"/>
      <c r="L68" s="417"/>
      <c r="M68" s="417"/>
      <c r="N68" s="417"/>
      <c r="O68" s="628" t="str">
        <f>IFERROR(+AVERAGE(D68:N68),"")</f>
        <v/>
      </c>
      <c r="P68" s="373"/>
      <c r="Q68" s="373"/>
      <c r="R68" s="373"/>
      <c r="S68" s="414"/>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row>
    <row r="69" spans="1:53" s="354" customFormat="1" ht="3.75" customHeight="1">
      <c r="A69" s="373"/>
      <c r="B69" s="373"/>
      <c r="C69" s="373"/>
      <c r="D69" s="373"/>
      <c r="E69" s="373"/>
      <c r="F69" s="373"/>
      <c r="G69" s="373"/>
      <c r="H69" s="373"/>
      <c r="I69" s="373"/>
      <c r="J69" s="373"/>
      <c r="K69" s="373"/>
      <c r="L69" s="373"/>
      <c r="M69" s="373"/>
      <c r="N69" s="373"/>
      <c r="O69" s="411"/>
      <c r="P69" s="373"/>
      <c r="Q69" s="373"/>
      <c r="R69" s="373"/>
      <c r="S69" s="414"/>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c r="BA69" s="373"/>
    </row>
    <row r="70" spans="1:53" s="357" customFormat="1" ht="14.25" customHeight="1">
      <c r="A70" s="382"/>
      <c r="B70" s="563" t="s">
        <v>261</v>
      </c>
      <c r="C70" s="564"/>
      <c r="D70" s="363" t="str">
        <f t="shared" ref="D70:O70" ca="1" si="42">+D28</f>
        <v>ADOBE</v>
      </c>
      <c r="E70" s="363" t="str">
        <f t="shared" ca="1" si="42"/>
        <v>SALESFORCE,</v>
      </c>
      <c r="F70" s="363" t="str">
        <f t="shared" ca="1" si="42"/>
        <v>INTUIT</v>
      </c>
      <c r="G70" s="363" t="str">
        <f t="shared" ca="1" si="42"/>
        <v>WORKDAY,</v>
      </c>
      <c r="H70" s="363" t="str">
        <f t="shared" ca="1" si="42"/>
        <v>DATADOG,</v>
      </c>
      <c r="I70" s="363" t="str">
        <f t="shared" ca="1" si="42"/>
        <v>HUBSPOT,</v>
      </c>
      <c r="J70" s="363" t="str">
        <f t="shared" ca="1" si="42"/>
        <v>Sap Se</v>
      </c>
      <c r="K70" s="363" t="str">
        <f t="shared" ca="1" si="42"/>
        <v>SERVICENOW,</v>
      </c>
      <c r="L70" s="363" t="str">
        <f t="shared" ca="1" si="42"/>
        <v>AUTODESK,</v>
      </c>
      <c r="M70" s="363" t="str">
        <f t="shared" ca="1" si="42"/>
        <v>SNOWFLAKE</v>
      </c>
      <c r="N70" s="363" t="str">
        <f t="shared" ca="1" si="42"/>
        <v>ATLASSIAN</v>
      </c>
      <c r="O70" s="363" t="str">
        <f t="shared" si="42"/>
        <v>Average</v>
      </c>
      <c r="P70" s="373"/>
      <c r="Q70" s="382"/>
      <c r="R70" s="382"/>
      <c r="S70" s="565"/>
      <c r="T70" s="382"/>
      <c r="U70" s="382"/>
      <c r="V70" s="382"/>
      <c r="W70" s="382"/>
      <c r="X70" s="382"/>
      <c r="Y70" s="382"/>
      <c r="Z70" s="382"/>
      <c r="AA70" s="382"/>
      <c r="AB70" s="382"/>
      <c r="AC70" s="382"/>
      <c r="AD70" s="382"/>
      <c r="AE70" s="382"/>
      <c r="AF70" s="382"/>
      <c r="AG70" s="382"/>
      <c r="AH70" s="382"/>
      <c r="AI70" s="382"/>
      <c r="AJ70" s="382"/>
      <c r="AK70" s="382"/>
      <c r="AL70" s="382"/>
      <c r="AM70" s="382"/>
      <c r="AN70" s="382"/>
      <c r="AO70" s="382"/>
      <c r="AP70" s="382"/>
      <c r="AQ70" s="382"/>
      <c r="AR70" s="382"/>
      <c r="AS70" s="382"/>
      <c r="AT70" s="382"/>
      <c r="AU70" s="382"/>
      <c r="AV70" s="382"/>
      <c r="AW70" s="382"/>
      <c r="AX70" s="382"/>
      <c r="AY70" s="382"/>
      <c r="AZ70" s="382"/>
      <c r="BA70" s="382"/>
    </row>
    <row r="71" spans="1:53" s="354" customFormat="1" ht="3.75" customHeight="1">
      <c r="A71" s="373"/>
      <c r="B71" s="402"/>
      <c r="C71" s="402"/>
      <c r="D71" s="402"/>
      <c r="E71" s="402"/>
      <c r="F71" s="402"/>
      <c r="G71" s="402"/>
      <c r="H71" s="402"/>
      <c r="I71" s="402"/>
      <c r="J71" s="402"/>
      <c r="K71" s="402"/>
      <c r="L71" s="402"/>
      <c r="M71" s="402"/>
      <c r="N71" s="402"/>
      <c r="O71" s="413"/>
      <c r="P71" s="373"/>
      <c r="Q71" s="373"/>
      <c r="R71" s="373"/>
      <c r="S71" s="414"/>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row>
    <row r="72" spans="1:53" s="354" customFormat="1" ht="14.25" customHeight="1">
      <c r="A72" s="373"/>
      <c r="B72" s="373" t="s">
        <v>262</v>
      </c>
      <c r="C72" s="373"/>
      <c r="D72" s="417">
        <f>Summary!V32</f>
        <v>0.12770000000000001</v>
      </c>
      <c r="E72" s="814"/>
      <c r="F72" s="417"/>
      <c r="G72" s="417"/>
      <c r="H72" s="417"/>
      <c r="I72" s="417"/>
      <c r="J72" s="417"/>
      <c r="K72" s="417"/>
      <c r="L72" s="417"/>
      <c r="M72" s="417"/>
      <c r="N72" s="417"/>
      <c r="O72" s="628">
        <f>IFERROR(+AVERAGE(D72:N72),"")</f>
        <v>0.12770000000000001</v>
      </c>
      <c r="P72" s="373"/>
      <c r="Q72" s="373"/>
      <c r="R72" s="373"/>
      <c r="S72" s="414"/>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row>
    <row r="73" spans="1:53" s="354" customFormat="1" ht="14.25" customHeight="1">
      <c r="A73" s="373"/>
      <c r="B73" s="373" t="s">
        <v>263</v>
      </c>
      <c r="C73" s="373"/>
      <c r="D73" s="395" cm="1">
        <f t="array" aca="1" ref="D73" ca="1">IFERROR(_FV(D91,"Beta"),"")</f>
        <v>1.4977</v>
      </c>
      <c r="E73" s="395" cm="1">
        <f t="array" aca="1" ref="E73" ca="1">IFERROR(_FV(E91,"Beta"),"")</f>
        <v>1.2050000000000001</v>
      </c>
      <c r="F73" s="395" cm="1">
        <f t="array" aca="1" ref="F73" ca="1">IFERROR(_FV(F91,"Beta"),"")</f>
        <v>1.2562</v>
      </c>
      <c r="G73" s="395" cm="1">
        <f t="array" aca="1" ref="G73" ca="1">IFERROR(_FV(G91,"Beta"),"")</f>
        <v>1.099</v>
      </c>
      <c r="H73" s="395" cm="1">
        <f t="array" aca="1" ref="H73" ca="1">IFERROR(_FV(H91,"Beta"),"")</f>
        <v>1.2114</v>
      </c>
      <c r="I73" s="395" cm="1">
        <f t="array" aca="1" ref="I73" ca="1">IFERROR(_FV(I91,"Beta"),"")</f>
        <v>1.6034999999999999</v>
      </c>
      <c r="J73" s="395" cm="1">
        <f t="array" aca="1" ref="J73" ca="1">IFERROR(_FV(J91,"Beta"),"")</f>
        <v>1.2815000000000001</v>
      </c>
      <c r="K73" s="395" cm="1">
        <f t="array" aca="1" ref="K73" ca="1">IFERROR(_FV(K91,"Beta"),"")</f>
        <v>0.93130000000000002</v>
      </c>
      <c r="L73" s="395" cm="1">
        <f t="array" aca="1" ref="L73" ca="1">IFERROR(_FV(L91,"Beta"),"")</f>
        <v>1.4959</v>
      </c>
      <c r="M73" s="395" cm="1">
        <f t="array" aca="1" ref="M73" ca="1">IFERROR(_FV(M91,"Beta"),"")</f>
        <v>1.2137</v>
      </c>
      <c r="N73" s="395" cm="1">
        <f t="array" aca="1" ref="N73" ca="1">IFERROR(_FV(N91,"Beta"),"")</f>
        <v>0.93579999999999997</v>
      </c>
      <c r="O73" s="629">
        <f t="shared" ref="O73:O74" ca="1" si="43">IFERROR(+AVERAGE(D73:N73),"")</f>
        <v>1.2482727272727272</v>
      </c>
      <c r="P73" s="373"/>
      <c r="Q73" s="373"/>
      <c r="R73" s="373"/>
      <c r="S73" s="414"/>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row>
    <row r="74" spans="1:53" s="354" customFormat="1" ht="14.1" customHeight="1">
      <c r="A74" s="373"/>
      <c r="B74" s="373" t="s">
        <v>264</v>
      </c>
      <c r="C74" s="373"/>
      <c r="D74" s="395">
        <f ca="1">IFERROR(D73/(1+(1-D104/D103)*(D121/D122)),"")</f>
        <v>1.1012355332573145</v>
      </c>
      <c r="E74" s="395">
        <f t="shared" ref="E74:N74" ca="1" si="44">IFERROR(E73/(1+(1-E104/E103)*(E121/E122)),"")</f>
        <v>1.0431501362369942</v>
      </c>
      <c r="F74" s="395">
        <f t="shared" ca="1" si="44"/>
        <v>0.9683143675155087</v>
      </c>
      <c r="G74" s="395">
        <f t="shared" ca="1" si="44"/>
        <v>0.84097318730596393</v>
      </c>
      <c r="H74" s="395">
        <f t="shared" ca="1" si="44"/>
        <v>0.75141261595547315</v>
      </c>
      <c r="I74" s="395">
        <f t="shared" ca="1" si="44"/>
        <v>1.5023597880014221</v>
      </c>
      <c r="J74" s="395">
        <f t="shared" ca="1" si="44"/>
        <v>1.1095378093253281</v>
      </c>
      <c r="K74" s="395">
        <f t="shared" ca="1" si="44"/>
        <v>0.77969866658161735</v>
      </c>
      <c r="L74" s="395">
        <f t="shared" ca="1" si="44"/>
        <v>0.838291833861882</v>
      </c>
      <c r="M74" s="395">
        <f t="shared" ca="1" si="44"/>
        <v>0.63953470253069833</v>
      </c>
      <c r="N74" s="395">
        <f t="shared" ca="1" si="44"/>
        <v>0.17765844477357004</v>
      </c>
      <c r="O74" s="629">
        <f t="shared" ca="1" si="43"/>
        <v>0.88656064412234303</v>
      </c>
      <c r="P74" s="373"/>
      <c r="Q74" s="373"/>
      <c r="R74" s="373"/>
      <c r="S74" s="414"/>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row>
    <row r="75" spans="1:53" s="354" customFormat="1" ht="14.25" customHeight="1">
      <c r="A75" s="373"/>
      <c r="B75" s="373" t="s">
        <v>36</v>
      </c>
      <c r="C75" s="373"/>
      <c r="D75" s="417">
        <f>Summary!V33</f>
        <v>2.3E-3</v>
      </c>
      <c r="E75" s="417">
        <v>2.6100000000000002E-2</v>
      </c>
      <c r="F75" s="417">
        <v>2.5399999999999999E-2</v>
      </c>
      <c r="G75" s="417">
        <v>9.2999999999999992E-3</v>
      </c>
      <c r="H75" s="417">
        <v>2.9700000000000001E-2</v>
      </c>
      <c r="I75" s="417">
        <v>3.56E-2</v>
      </c>
      <c r="J75" s="417">
        <v>0</v>
      </c>
      <c r="K75" s="417">
        <v>1.6999999999999999E-3</v>
      </c>
      <c r="L75" s="417">
        <v>2.2000000000000001E-3</v>
      </c>
      <c r="M75" s="417">
        <v>4.4900000000000002E-2</v>
      </c>
      <c r="N75" s="417">
        <v>3.3999999999999998E-3</v>
      </c>
      <c r="O75" s="628">
        <f t="shared" ref="O75:O77" si="45">IFERROR(+AVERAGE(D75:N75),"")</f>
        <v>1.6418181818181818E-2</v>
      </c>
      <c r="P75" s="373"/>
      <c r="Q75" s="373"/>
      <c r="R75" s="373"/>
      <c r="S75" s="414"/>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row>
    <row r="76" spans="1:53" s="354" customFormat="1" ht="14.25" customHeight="1">
      <c r="A76" s="373"/>
      <c r="B76" s="373" t="s">
        <v>37</v>
      </c>
      <c r="C76" s="373"/>
      <c r="D76" s="417">
        <f>Summary!V34</f>
        <v>0.87</v>
      </c>
      <c r="E76" s="417">
        <v>0.8286</v>
      </c>
      <c r="F76" s="417">
        <v>0.87709999999999999</v>
      </c>
      <c r="G76" s="417">
        <v>0.95620000000000005</v>
      </c>
      <c r="H76" s="417">
        <v>0.88570000000000004</v>
      </c>
      <c r="I76" s="417">
        <v>0.93610000000000004</v>
      </c>
      <c r="J76" s="417">
        <v>6.2799999999999995E-2</v>
      </c>
      <c r="K76" s="417">
        <v>0.92079999999999995</v>
      </c>
      <c r="L76" s="417">
        <v>0.95650000000000002</v>
      </c>
      <c r="M76" s="417">
        <v>0.65290000000000004</v>
      </c>
      <c r="N76" s="417">
        <v>0.94299999999999995</v>
      </c>
      <c r="O76" s="628">
        <f t="shared" si="45"/>
        <v>0.80815454545454546</v>
      </c>
      <c r="P76" s="373"/>
      <c r="Q76" s="373"/>
      <c r="R76" s="373"/>
      <c r="S76" s="414"/>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row>
    <row r="77" spans="1:53" s="354" customFormat="1" ht="14.25" customHeight="1">
      <c r="A77" s="373"/>
      <c r="B77" s="373" t="s">
        <v>265</v>
      </c>
      <c r="C77" s="373"/>
      <c r="D77" s="417">
        <f>Summary!V35</f>
        <v>1.89E-2</v>
      </c>
      <c r="E77" s="417">
        <v>1.2699999999999999E-2</v>
      </c>
      <c r="F77" s="417">
        <v>1.43E-2</v>
      </c>
      <c r="G77" s="417">
        <v>3.8899999999999997E-2</v>
      </c>
      <c r="H77" s="417">
        <v>3.3300000000000003E-2</v>
      </c>
      <c r="I77" s="417">
        <v>2.1999999999999999E-2</v>
      </c>
      <c r="J77" s="417">
        <v>3.3E-3</v>
      </c>
      <c r="K77" s="417">
        <v>2.0400000000000001E-2</v>
      </c>
      <c r="L77" s="417">
        <v>1.4E-2</v>
      </c>
      <c r="M77" s="417">
        <v>3.3700000000000001E-2</v>
      </c>
      <c r="N77" s="417">
        <v>2.4799999999999999E-2</v>
      </c>
      <c r="O77" s="628">
        <f t="shared" si="45"/>
        <v>2.1481818181818182E-2</v>
      </c>
      <c r="P77" s="373"/>
      <c r="Q77" s="373"/>
      <c r="R77" s="373"/>
      <c r="S77" s="414"/>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row>
    <row r="78" spans="1:53" s="354" customFormat="1" ht="3.75" customHeight="1">
      <c r="A78" s="373"/>
      <c r="B78" s="373"/>
      <c r="C78" s="373"/>
      <c r="D78" s="373"/>
      <c r="E78" s="373"/>
      <c r="F78" s="373"/>
      <c r="G78" s="373"/>
      <c r="H78" s="373"/>
      <c r="I78" s="373"/>
      <c r="J78" s="373"/>
      <c r="K78" s="373"/>
      <c r="L78" s="373"/>
      <c r="M78" s="373"/>
      <c r="N78" s="373"/>
      <c r="O78" s="373"/>
      <c r="P78" s="373"/>
      <c r="Q78" s="373"/>
      <c r="R78" s="373"/>
      <c r="S78" s="414"/>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row>
    <row r="79" spans="1:53" s="357" customFormat="1" ht="14.25" customHeight="1">
      <c r="A79" s="382"/>
      <c r="B79" s="563" t="s">
        <v>83</v>
      </c>
      <c r="C79" s="564"/>
      <c r="D79" s="363" t="str">
        <f t="shared" ref="D79:O79" ca="1" si="46">+D28</f>
        <v>ADOBE</v>
      </c>
      <c r="E79" s="363" t="str">
        <f t="shared" ca="1" si="46"/>
        <v>SALESFORCE,</v>
      </c>
      <c r="F79" s="363" t="str">
        <f t="shared" ca="1" si="46"/>
        <v>INTUIT</v>
      </c>
      <c r="G79" s="363" t="str">
        <f t="shared" ca="1" si="46"/>
        <v>WORKDAY,</v>
      </c>
      <c r="H79" s="363" t="str">
        <f t="shared" ca="1" si="46"/>
        <v>DATADOG,</v>
      </c>
      <c r="I79" s="363" t="str">
        <f t="shared" ca="1" si="46"/>
        <v>HUBSPOT,</v>
      </c>
      <c r="J79" s="363" t="str">
        <f t="shared" ca="1" si="46"/>
        <v>Sap Se</v>
      </c>
      <c r="K79" s="363" t="str">
        <f t="shared" ca="1" si="46"/>
        <v>SERVICENOW,</v>
      </c>
      <c r="L79" s="363" t="str">
        <f t="shared" ca="1" si="46"/>
        <v>AUTODESK,</v>
      </c>
      <c r="M79" s="363" t="str">
        <f t="shared" ca="1" si="46"/>
        <v>SNOWFLAKE</v>
      </c>
      <c r="N79" s="363" t="str">
        <f t="shared" ca="1" si="46"/>
        <v>ATLASSIAN</v>
      </c>
      <c r="O79" s="363" t="str">
        <f t="shared" si="46"/>
        <v>Average</v>
      </c>
      <c r="P79" s="373"/>
      <c r="Q79" s="382"/>
      <c r="R79" s="382"/>
      <c r="S79" s="565"/>
      <c r="T79" s="382"/>
      <c r="U79" s="382"/>
      <c r="V79" s="382"/>
      <c r="W79" s="382"/>
      <c r="X79" s="382"/>
      <c r="Y79" s="382"/>
      <c r="Z79" s="382"/>
      <c r="AA79" s="382"/>
      <c r="AB79" s="382"/>
      <c r="AC79" s="382"/>
      <c r="AD79" s="382"/>
      <c r="AE79" s="382"/>
      <c r="AF79" s="382"/>
      <c r="AG79" s="382"/>
      <c r="AH79" s="382"/>
      <c r="AI79" s="382"/>
      <c r="AJ79" s="382"/>
      <c r="AK79" s="382"/>
      <c r="AL79" s="382"/>
      <c r="AM79" s="382"/>
      <c r="AN79" s="382"/>
      <c r="AO79" s="382"/>
      <c r="AP79" s="382"/>
      <c r="AQ79" s="382"/>
      <c r="AR79" s="382"/>
      <c r="AS79" s="382"/>
      <c r="AT79" s="382"/>
      <c r="AU79" s="382"/>
      <c r="AV79" s="382"/>
      <c r="AW79" s="382"/>
      <c r="AX79" s="382"/>
      <c r="AY79" s="382"/>
      <c r="AZ79" s="382"/>
      <c r="BA79" s="382"/>
    </row>
    <row r="80" spans="1:53" s="354" customFormat="1" ht="3.75" customHeight="1">
      <c r="A80" s="373"/>
      <c r="B80" s="402"/>
      <c r="C80" s="402"/>
      <c r="D80" s="402"/>
      <c r="E80" s="402"/>
      <c r="F80" s="402"/>
      <c r="G80" s="402"/>
      <c r="H80" s="402"/>
      <c r="I80" s="402"/>
      <c r="J80" s="402"/>
      <c r="K80" s="402"/>
      <c r="L80" s="402"/>
      <c r="M80" s="402"/>
      <c r="N80" s="402"/>
      <c r="O80" s="402"/>
      <c r="P80" s="373"/>
      <c r="Q80" s="373"/>
      <c r="R80" s="373"/>
      <c r="S80" s="414"/>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row>
    <row r="81" spans="1:53" s="354" customFormat="1" ht="14.25" customHeight="1">
      <c r="A81" s="373"/>
      <c r="B81" s="373" t="s">
        <v>266</v>
      </c>
      <c r="C81" s="373"/>
      <c r="D81" s="418" t="str" cm="1">
        <f t="array" aca="1" ref="D81" ca="1">IFERROR((D84/_xlfn.STOCKHISTORY(C6,TODAY()-1,TODAY()-1,0,0,1))-1,"Non-trading days")</f>
        <v>Non-trading days</v>
      </c>
      <c r="E81" s="772" t="str" cm="1">
        <f t="array" aca="1" ref="E81" ca="1">IFERROR((E84/_xlfn.STOCKHISTORY(C7,TODAY()-1,TODAY()-1,0,0,1))-1,"Non-trading days")</f>
        <v>Non-trading days</v>
      </c>
      <c r="F81" s="418" t="str" cm="1">
        <f t="array" aca="1" ref="F81" ca="1">IFERROR((F84/_xlfn.STOCKHISTORY(C8,TODAY()-1,TODAY()-1,0,0,1))-1,"Non-trading days")</f>
        <v>Non-trading days</v>
      </c>
      <c r="G81" s="418" t="str" cm="1">
        <f t="array" aca="1" ref="G81" ca="1">IFERROR((G84/_xlfn.STOCKHISTORY(C9,TODAY()-1,TODAY()-1,0,0,1))-1,"Non-trading days")</f>
        <v>Non-trading days</v>
      </c>
      <c r="H81" s="418" t="str" cm="1">
        <f t="array" aca="1" ref="H81" ca="1">IFERROR((K84/_xlfn.STOCKHISTORY(C10,TODAY()-1,TODAY()-1,0,0,1))-1,"Non-trading days")</f>
        <v>Non-trading days</v>
      </c>
      <c r="I81" s="418" t="str" cm="1">
        <f t="array" aca="1" ref="I81" ca="1">IFERROR((L84/_xlfn.STOCKHISTORY(C11,TODAY()-1,TODAY()-1,0,0,1))-1,"Non-trading days")</f>
        <v>Non-trading days</v>
      </c>
      <c r="J81" s="418" t="str" cm="1">
        <f t="array" aca="1" ref="J81" ca="1">IFERROR((M84/_xlfn.STOCKHISTORY(C12,TODAY()-1,TODAY()-1,0,0,1))-1,"Non-trading days")</f>
        <v>Non-trading days</v>
      </c>
      <c r="K81" s="418" t="str" cm="1">
        <f t="array" aca="1" ref="K81" ca="1">IFERROR((N84/_xlfn.STOCKHISTORY(C13,TODAY()-1,TODAY()-1,0,0,1))-1,"Non-trading days")</f>
        <v>Non-trading days</v>
      </c>
      <c r="L81" s="418" t="str" cm="1">
        <f t="array" aca="1" ref="L81" ca="1">IFERROR((L84/_xlfn.STOCKHISTORY(C14,TODAY()-1,TODAY()-1,0,0,1))-1,"Non-trading days")</f>
        <v>Non-trading days</v>
      </c>
      <c r="M81" s="418" t="str" cm="1">
        <f t="array" aca="1" ref="M81" ca="1">IFERROR((M84/_xlfn.STOCKHISTORY(C15,TODAY()-1,TODAY()-1,0,0,1))-1,"Non-trading days")</f>
        <v>Non-trading days</v>
      </c>
      <c r="N81" s="418" t="str" cm="1">
        <f t="array" aca="1" ref="N81" ca="1">IFERROR((N84/_xlfn.STOCKHISTORY(C16,TODAY()-1,TODAY()-1,0,0,1))-1,"Non-trading days")</f>
        <v>Non-trading days</v>
      </c>
      <c r="O81" s="415" t="str">
        <f ca="1">IFERROR(+AVERAGE(D81:N81),"")</f>
        <v/>
      </c>
      <c r="P81" s="373"/>
      <c r="Q81" s="373"/>
      <c r="R81" s="373"/>
      <c r="S81" s="414"/>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row>
    <row r="82" spans="1:53" s="354" customFormat="1" ht="14.25" customHeight="1">
      <c r="A82" s="373"/>
      <c r="B82" s="373" t="s">
        <v>267</v>
      </c>
      <c r="C82" s="373"/>
      <c r="D82" s="418" t="str" cm="1">
        <f t="array" aca="1" ref="D82" ca="1">IFERROR((D84/_xlfn.STOCKHISTORY(C6,TODAY()-29,TODAY()-29,0,0,1))-1,"Non-trading days")</f>
        <v>Non-trading days</v>
      </c>
      <c r="E82" s="772" t="str" cm="1">
        <f t="array" aca="1" ref="E82" ca="1">IFERROR((E84/_xlfn.STOCKHISTORY(C7,TODAY()-29,TODAY()-29,0,0,1))-1,"Non-trading days")</f>
        <v>Non-trading days</v>
      </c>
      <c r="F82" s="418" t="str" cm="1">
        <f t="array" aca="1" ref="F82" ca="1">IFERROR((F84/_xlfn.STOCKHISTORY(C8,TODAY()-29,TODAY()-29,0,0,1))-1,"Non-trading days")</f>
        <v>Non-trading days</v>
      </c>
      <c r="G82" s="418" t="str" cm="1">
        <f t="array" aca="1" ref="G82" ca="1">IFERROR((G84/_xlfn.STOCKHISTORY(C9,TODAY()-29,TODAY()-29,0,0,1))-1,"Non-trading days")</f>
        <v>Non-trading days</v>
      </c>
      <c r="H82" s="418" t="str" cm="1">
        <f t="array" aca="1" ref="H82" ca="1">IFERROR((K84/_xlfn.STOCKHISTORY(C10,TODAY()-29,TODAY()-29,0,0,1))-1,"Non-trading days")</f>
        <v>Non-trading days</v>
      </c>
      <c r="I82" s="418" t="str" cm="1">
        <f t="array" aca="1" ref="I82" ca="1">IFERROR((L84/_xlfn.STOCKHISTORY(C11,TODAY()-29,TODAY()-29,0,0,1))-1,"Non-trading days")</f>
        <v>Non-trading days</v>
      </c>
      <c r="J82" s="418" t="str" cm="1">
        <f t="array" aca="1" ref="J82" ca="1">IFERROR((M84/_xlfn.STOCKHISTORY(C12,TODAY()-29,TODAY()-29,0,0,1))-1,"Non-trading days")</f>
        <v>Non-trading days</v>
      </c>
      <c r="K82" s="418" t="str" cm="1">
        <f t="array" aca="1" ref="K82" ca="1">IFERROR((N84/_xlfn.STOCKHISTORY(C13,TODAY()-29,TODAY()-29,0,0,1))-1,"Non-trading days")</f>
        <v>Non-trading days</v>
      </c>
      <c r="L82" s="418" t="str" cm="1">
        <f t="array" aca="1" ref="L82" ca="1">IFERROR((L84/_xlfn.STOCKHISTORY(C14,TODAY()-29,TODAY()-29,0,0,1))-1,"Non-trading days")</f>
        <v>Non-trading days</v>
      </c>
      <c r="M82" s="418" t="str" cm="1">
        <f t="array" aca="1" ref="M82" ca="1">IFERROR((M84/_xlfn.STOCKHISTORY(C15,TODAY()-29,TODAY()-29,0,0,1))-1,"Non-trading days")</f>
        <v>Non-trading days</v>
      </c>
      <c r="N82" s="418" t="str" cm="1">
        <f t="array" aca="1" ref="N82" ca="1">IFERROR((N84/_xlfn.STOCKHISTORY(C16,TODAY()-29,TODAY()-29,0,0,1))-1,"Non-trading days")</f>
        <v>Non-trading days</v>
      </c>
      <c r="O82" s="415" t="str">
        <f ca="1">IFERROR(AVERAGE(D82:N82),"")</f>
        <v/>
      </c>
      <c r="P82" s="373"/>
      <c r="Q82" s="373"/>
      <c r="R82" s="373"/>
      <c r="S82" s="414"/>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row>
    <row r="83" spans="1:53" s="354" customFormat="1" ht="14.25" customHeight="1">
      <c r="A83" s="373"/>
      <c r="B83" s="373" t="s">
        <v>268</v>
      </c>
      <c r="C83" s="373"/>
      <c r="D83" s="418" cm="1">
        <f t="array" aca="1" ref="D83" ca="1">IFERROR((D84/_xlfn.STOCKHISTORY(C6,"2025-01-02","2025-01-02",0,0,1))-1,"Non-trading days")</f>
        <v>-0.17029478458049896</v>
      </c>
      <c r="E83" s="772" cm="1">
        <f t="array" aca="1" ref="E83" ca="1">IFERROR((E84/_xlfn.STOCKHISTORY(C7,"2025-01-02","2025-01-02",0,0,1))-1,"Non-trading days")</f>
        <v>-0.24248472751466776</v>
      </c>
      <c r="F83" s="418" cm="1">
        <f t="array" aca="1" ref="F83" ca="1">IFERROR((F84/_xlfn.STOCKHISTORY(C8,"2025-01-02","2025-01-02",0,0,1))-1,"Non-trading days")</f>
        <v>-4.2935821063279755E-2</v>
      </c>
      <c r="G83" s="418" cm="1">
        <f t="array" aca="1" ref="G83" ca="1">IFERROR((G84/_xlfn.STOCKHISTORY(C9,"2025-01-02","2025-01-02",0,0,1))-1,"Non-trading days")</f>
        <v>-0.10709180432020327</v>
      </c>
      <c r="H83" s="418" cm="1">
        <f t="array" aca="1" ref="H83" ca="1">IFERROR((K84/_xlfn.STOCKHISTORY(C10,"2025-01-02","2025-01-02",0,0,1))-1,"Non-trading days")</f>
        <v>0.84111954327090444</v>
      </c>
      <c r="I83" s="418" cm="1">
        <f t="array" aca="1" ref="I83" ca="1">IFERROR((L84/_xlfn.STOCKHISTORY(C11,"2025-01-02","2025-01-02",0,0,1))-1,"Non-trading days")</f>
        <v>0.16527823580861178</v>
      </c>
      <c r="J83" s="418" cm="1">
        <f t="array" aca="1" ref="J83" ca="1">IFERROR((M84/_xlfn.STOCKHISTORY(C12,"2025-01-02","2025-01-02",0,0,1))-1,"Non-trading days")</f>
        <v>-0.38214210857262632</v>
      </c>
      <c r="K83" s="418" cm="1">
        <f t="array" aca="1" ref="K83" ca="1">IFERROR((N84/_xlfn.STOCKHISTORY(C13,"2025-01-02","2025-01-02",0,0,1))-1,"Non-trading days")</f>
        <v>-0.80246410076445929</v>
      </c>
      <c r="L83" s="418" cm="1">
        <f t="array" aca="1" ref="L83" ca="1">IFERROR((L84/_xlfn.STOCKHISTORY(C14,"2025-01-02","2025-01-02",0,0,1))-1,"Non-trading days")</f>
        <v>1.770694122460112</v>
      </c>
      <c r="M83" s="418" cm="1">
        <f t="array" aca="1" ref="M83" ca="1">IFERROR((M84/_xlfn.STOCKHISTORY(C15,"2025-01-02","2025-01-02",0,0,1))-1,"Non-trading days")</f>
        <v>-6.4249888895943186E-2</v>
      </c>
      <c r="N83" s="418" cm="1">
        <f t="array" aca="1" ref="N83" ca="1">IFERROR((N84/_xlfn.STOCKHISTORY(C16,"2025-01-02","2025-01-02",0,0,1))-1,"Non-trading days")</f>
        <v>-0.14076488303972923</v>
      </c>
      <c r="O83" s="415">
        <f ca="1">IFERROR(AVERAGE(D83:N83),"")</f>
        <v>7.4969434798929133E-2</v>
      </c>
      <c r="P83" s="373"/>
      <c r="Q83" s="373"/>
      <c r="R83" s="373"/>
      <c r="S83" s="414"/>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row>
    <row r="84" spans="1:53" s="354" customFormat="1" ht="14.25" customHeight="1">
      <c r="A84" s="373"/>
      <c r="B84" s="373" t="s">
        <v>228</v>
      </c>
      <c r="C84" s="373"/>
      <c r="D84" s="410" cm="1">
        <f t="array" aca="1" ref="D84" ca="1">+IFERROR(_FV(D91,"Price"),"")</f>
        <v>365.9</v>
      </c>
      <c r="E84" s="773">
        <v>250.48</v>
      </c>
      <c r="F84" s="410">
        <v>596.04999999999995</v>
      </c>
      <c r="G84" s="410">
        <v>224.87</v>
      </c>
      <c r="H84" s="410">
        <v>94.58</v>
      </c>
      <c r="I84" s="410">
        <v>565.96</v>
      </c>
      <c r="J84" s="410">
        <v>271.48</v>
      </c>
      <c r="K84" s="410">
        <v>264.44</v>
      </c>
      <c r="L84" s="410">
        <v>812.7</v>
      </c>
      <c r="M84" s="410">
        <v>147.38999999999999</v>
      </c>
      <c r="N84" s="410">
        <v>208.27</v>
      </c>
      <c r="O84" s="415">
        <f ca="1">IFERROR(AVERAGE(D84:N84),"")</f>
        <v>345.64727272727271</v>
      </c>
      <c r="P84" s="373"/>
      <c r="Q84" s="373"/>
      <c r="R84" s="373"/>
      <c r="S84" s="414"/>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row>
    <row r="85" spans="1:53" s="354" customFormat="1" ht="3.75" customHeight="1">
      <c r="A85" s="373"/>
      <c r="B85" s="373"/>
      <c r="C85" s="373"/>
      <c r="D85" s="373"/>
      <c r="E85" s="373"/>
      <c r="F85" s="373"/>
      <c r="G85" s="373"/>
      <c r="H85" s="373"/>
      <c r="I85" s="373"/>
      <c r="J85" s="373"/>
      <c r="K85" s="373"/>
      <c r="L85" s="373"/>
      <c r="M85" s="373"/>
      <c r="N85" s="373"/>
      <c r="O85" s="373"/>
      <c r="P85" s="373"/>
      <c r="Q85" s="373"/>
      <c r="R85" s="373"/>
      <c r="S85" s="414"/>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row>
    <row r="86" spans="1:53" s="357" customFormat="1" ht="14.25" customHeight="1">
      <c r="A86" s="382"/>
      <c r="B86" s="563" t="s">
        <v>269</v>
      </c>
      <c r="C86" s="564"/>
      <c r="D86" s="563"/>
      <c r="E86" s="563"/>
      <c r="F86" s="563"/>
      <c r="G86" s="563"/>
      <c r="H86" s="563"/>
      <c r="I86" s="563"/>
      <c r="J86" s="563"/>
      <c r="K86" s="563"/>
      <c r="L86" s="563"/>
      <c r="M86" s="563"/>
      <c r="N86" s="563"/>
      <c r="O86" s="563"/>
      <c r="P86" s="373"/>
      <c r="Q86" s="382"/>
      <c r="R86" s="382"/>
      <c r="S86" s="565"/>
      <c r="T86" s="382"/>
      <c r="U86" s="382"/>
      <c r="V86" s="382"/>
      <c r="W86" s="382"/>
      <c r="X86" s="382"/>
      <c r="Y86" s="382"/>
      <c r="Z86" s="382"/>
      <c r="AA86" s="382"/>
      <c r="AB86" s="382"/>
      <c r="AC86" s="382"/>
      <c r="AD86" s="382"/>
      <c r="AE86" s="382"/>
      <c r="AF86" s="382"/>
      <c r="AG86" s="382"/>
      <c r="AH86" s="382"/>
      <c r="AI86" s="382"/>
      <c r="AJ86" s="382"/>
      <c r="AK86" s="382"/>
      <c r="AL86" s="382"/>
      <c r="AM86" s="382"/>
      <c r="AN86" s="382"/>
      <c r="AO86" s="382"/>
      <c r="AP86" s="382"/>
      <c r="AQ86" s="382"/>
      <c r="AR86" s="382"/>
      <c r="AS86" s="382"/>
      <c r="AT86" s="382"/>
      <c r="AU86" s="382"/>
      <c r="AV86" s="382"/>
      <c r="AW86" s="382"/>
      <c r="AX86" s="382"/>
      <c r="AY86" s="382"/>
      <c r="AZ86" s="382"/>
      <c r="BA86" s="382"/>
    </row>
    <row r="87" spans="1:53" s="354" customFormat="1" ht="3.75" customHeight="1">
      <c r="A87" s="373"/>
      <c r="B87" s="402"/>
      <c r="C87" s="402"/>
      <c r="D87" s="402"/>
      <c r="E87" s="402"/>
      <c r="F87" s="402"/>
      <c r="G87" s="402"/>
      <c r="H87" s="402"/>
      <c r="I87" s="402"/>
      <c r="J87" s="402"/>
      <c r="K87" s="402"/>
      <c r="L87" s="402"/>
      <c r="M87" s="402"/>
      <c r="N87" s="402"/>
      <c r="O87" s="402"/>
      <c r="P87" s="373"/>
      <c r="Q87" s="373"/>
      <c r="R87" s="373"/>
      <c r="S87" s="414"/>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row>
    <row r="88" spans="1:53" s="354" customFormat="1" ht="14.1">
      <c r="A88" s="373"/>
      <c r="B88" s="373" t="s">
        <v>197</v>
      </c>
      <c r="C88" s="761"/>
      <c r="D88">
        <v>150005000</v>
      </c>
      <c r="E88" s="761">
        <v>240711000</v>
      </c>
      <c r="F88" s="761">
        <v>166633000</v>
      </c>
      <c r="G88" s="761">
        <v>59815000</v>
      </c>
      <c r="H88" s="761">
        <v>32662000</v>
      </c>
      <c r="I88" s="761">
        <v>29517000</v>
      </c>
      <c r="J88" s="761">
        <v>323153000</v>
      </c>
      <c r="K88" s="761">
        <v>56326000</v>
      </c>
      <c r="L88" s="761">
        <v>168231000</v>
      </c>
      <c r="M88" s="761">
        <v>49243000</v>
      </c>
      <c r="N88" s="761">
        <v>54567000</v>
      </c>
      <c r="O88" s="761"/>
      <c r="P88" s="373"/>
      <c r="Q88" s="761"/>
      <c r="R88" s="761"/>
      <c r="S88" s="762"/>
      <c r="T88" s="761"/>
      <c r="U88" s="761"/>
      <c r="V88" s="761"/>
      <c r="W88" s="761"/>
      <c r="X88" s="761"/>
      <c r="Y88" s="761"/>
      <c r="Z88" s="761"/>
      <c r="AA88" s="761"/>
      <c r="AB88" s="761"/>
      <c r="AC88" s="761"/>
      <c r="AD88" s="761"/>
      <c r="AE88" s="761"/>
      <c r="AF88" s="761"/>
      <c r="AG88" s="761"/>
      <c r="AH88" s="761"/>
      <c r="AI88" s="761"/>
      <c r="AJ88" s="761"/>
      <c r="AK88" s="373"/>
      <c r="AL88" s="373"/>
      <c r="AM88" s="373"/>
      <c r="AN88" s="373"/>
      <c r="AO88" s="373"/>
      <c r="AP88" s="373"/>
      <c r="AQ88" s="373"/>
      <c r="AR88" s="373"/>
      <c r="AS88" s="373"/>
      <c r="AT88" s="373"/>
      <c r="AU88" s="373"/>
      <c r="AV88" s="373"/>
      <c r="AW88" s="373"/>
      <c r="AX88" s="373"/>
      <c r="AY88" s="373"/>
      <c r="AZ88" s="373"/>
      <c r="BA88" s="373"/>
    </row>
    <row r="89" spans="1:53" s="354" customFormat="1" ht="14.25" customHeight="1">
      <c r="A89" s="373"/>
      <c r="B89" s="373" t="s">
        <v>270</v>
      </c>
      <c r="C89" s="373"/>
      <c r="D89" s="373"/>
      <c r="E89" s="373"/>
      <c r="F89" s="373"/>
      <c r="G89" s="373"/>
      <c r="H89" s="373"/>
      <c r="I89" s="373"/>
      <c r="J89" s="373"/>
      <c r="K89" s="373"/>
      <c r="L89" s="373"/>
      <c r="M89" s="373"/>
      <c r="N89" s="373"/>
      <c r="O89" s="373"/>
      <c r="P89" s="373"/>
      <c r="Q89" s="373"/>
      <c r="R89" s="373"/>
      <c r="S89" s="414"/>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row>
    <row r="90" spans="1:53" s="354" customFormat="1" ht="5.25" customHeight="1">
      <c r="A90" s="373"/>
      <c r="B90" s="373"/>
      <c r="C90" s="373"/>
      <c r="D90" s="373"/>
      <c r="E90" s="373"/>
      <c r="F90" s="373"/>
      <c r="G90" s="373"/>
      <c r="H90" s="373"/>
      <c r="I90" s="373"/>
      <c r="J90" s="373"/>
      <c r="K90" s="373"/>
      <c r="L90" s="373"/>
      <c r="M90" s="373"/>
      <c r="N90" s="373"/>
      <c r="O90" s="373"/>
      <c r="P90" s="373"/>
      <c r="Q90" s="373"/>
      <c r="R90" s="373"/>
      <c r="S90" s="414"/>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row>
    <row r="91" spans="1:53" s="354" customFormat="1" ht="34.5">
      <c r="A91" s="373"/>
      <c r="B91" s="419" t="s">
        <v>271</v>
      </c>
      <c r="C91" s="404"/>
      <c r="D91" s="364" t="e" vm="1">
        <f>+DCF!R4</f>
        <v>#VALUE!</v>
      </c>
      <c r="E91" s="620" t="e" vm="2">
        <v>#VALUE!</v>
      </c>
      <c r="F91" s="365" t="e" vm="3">
        <v>#VALUE!</v>
      </c>
      <c r="G91" s="620" t="e" vm="4">
        <v>#VALUE!</v>
      </c>
      <c r="H91" s="620" t="e" vm="5">
        <v>#VALUE!</v>
      </c>
      <c r="I91" s="620" t="e" vm="6">
        <v>#VALUE!</v>
      </c>
      <c r="J91" s="620" t="e" vm="7">
        <v>#VALUE!</v>
      </c>
      <c r="K91" s="620" t="e" vm="8">
        <v>#VALUE!</v>
      </c>
      <c r="L91" s="620" t="e" vm="9">
        <v>#VALUE!</v>
      </c>
      <c r="M91" s="620" t="e" vm="10">
        <v>#VALUE!</v>
      </c>
      <c r="N91" s="620" t="e" vm="11">
        <v>#VALUE!</v>
      </c>
      <c r="O91" s="373"/>
      <c r="P91" s="373"/>
      <c r="Q91" s="373"/>
      <c r="R91" s="373"/>
      <c r="S91" s="414"/>
      <c r="T91" s="373"/>
      <c r="U91" s="373"/>
      <c r="V91" s="373"/>
      <c r="W91" s="373"/>
      <c r="X91" s="373"/>
      <c r="Y91" s="373"/>
      <c r="Z91" s="373"/>
      <c r="AA91" s="373" t="s">
        <v>272</v>
      </c>
      <c r="AB91" s="763" t="s">
        <v>273</v>
      </c>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row>
    <row r="92" spans="1:53" s="354" customFormat="1" ht="2.1" customHeight="1">
      <c r="A92" s="373"/>
      <c r="B92" s="420"/>
      <c r="C92" s="408"/>
      <c r="D92" s="366"/>
      <c r="E92" s="368"/>
      <c r="F92" s="367"/>
      <c r="G92" s="612"/>
      <c r="H92" s="621"/>
      <c r="I92" s="621"/>
      <c r="J92" s="621"/>
      <c r="K92" s="621"/>
      <c r="L92" s="612"/>
      <c r="M92" s="612"/>
      <c r="N92" s="621"/>
      <c r="O92" s="373"/>
      <c r="P92" s="373"/>
      <c r="Q92" s="373"/>
      <c r="R92" s="373"/>
      <c r="S92" s="414"/>
      <c r="T92" s="373"/>
      <c r="U92" s="373"/>
      <c r="V92" s="373"/>
      <c r="W92" s="373"/>
      <c r="X92" s="373"/>
      <c r="Y92" s="373"/>
      <c r="Z92" s="373"/>
      <c r="AA92" s="373"/>
      <c r="AB92" s="766"/>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row>
    <row r="93" spans="1:53" s="354" customFormat="1" ht="14.25" customHeight="1">
      <c r="A93" s="373"/>
      <c r="B93" s="421" t="str">
        <f>+Inputs!$B$6&amp;" ("&amp;Inputs!O$4&amp;")"</f>
        <v>Revenue (Sales) (2022)</v>
      </c>
      <c r="C93" s="422"/>
      <c r="D93" s="423">
        <f>+_xlfn.XLOOKUP("Revenue (Sales)",Inputs!$B:$B,Inputs!O:O)</f>
        <v>17606</v>
      </c>
      <c r="E93" s="425">
        <v>31352</v>
      </c>
      <c r="F93" s="424">
        <v>12726</v>
      </c>
      <c r="G93" s="613">
        <v>6216</v>
      </c>
      <c r="H93" s="622">
        <v>1675</v>
      </c>
      <c r="I93" s="622">
        <v>1731</v>
      </c>
      <c r="J93" s="623">
        <f>AB93*J141</f>
        <v>31585.33</v>
      </c>
      <c r="K93" s="622">
        <v>7245</v>
      </c>
      <c r="L93" s="613">
        <v>5005</v>
      </c>
      <c r="M93" s="613">
        <v>2066</v>
      </c>
      <c r="N93" s="622">
        <v>2803</v>
      </c>
      <c r="O93" s="373"/>
      <c r="P93" s="373"/>
      <c r="Q93" s="373"/>
      <c r="R93" s="373"/>
      <c r="S93" s="414"/>
      <c r="T93" s="373"/>
      <c r="U93" s="373"/>
      <c r="V93" s="373"/>
      <c r="W93" s="373"/>
      <c r="X93" s="373"/>
      <c r="Y93" s="373"/>
      <c r="Z93" s="373"/>
      <c r="AA93" s="373"/>
      <c r="AB93" s="622">
        <v>29519</v>
      </c>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row>
    <row r="94" spans="1:53" s="354" customFormat="1" ht="14.25" customHeight="1">
      <c r="A94" s="373"/>
      <c r="B94" s="426" t="str">
        <f>+Inputs!$B$6&amp;" ("&amp;Inputs!P$4&amp;")"</f>
        <v>Revenue (Sales) (2023)</v>
      </c>
      <c r="C94" s="373"/>
      <c r="D94" s="427">
        <f>+_xlfn.XLOOKUP("Revenue (Sales)",Inputs!$B:$B,Inputs!P:P)</f>
        <v>19409</v>
      </c>
      <c r="E94" s="429">
        <v>34857</v>
      </c>
      <c r="F94" s="428">
        <v>14368</v>
      </c>
      <c r="G94" s="614">
        <v>7259</v>
      </c>
      <c r="H94" s="623">
        <v>2128</v>
      </c>
      <c r="I94" s="623">
        <v>2170</v>
      </c>
      <c r="J94" s="764">
        <f>AB94*$J$140</f>
        <v>34327.700000000004</v>
      </c>
      <c r="K94" s="623">
        <v>8971</v>
      </c>
      <c r="L94" s="614">
        <v>5497</v>
      </c>
      <c r="M94" s="614">
        <v>2806</v>
      </c>
      <c r="N94" s="623">
        <v>3536</v>
      </c>
      <c r="O94" s="373"/>
      <c r="P94" s="373"/>
      <c r="Q94" s="373"/>
      <c r="R94" s="373"/>
      <c r="S94" s="414"/>
      <c r="T94" s="373"/>
      <c r="U94" s="373"/>
      <c r="V94" s="373"/>
      <c r="W94" s="373"/>
      <c r="X94" s="373"/>
      <c r="Y94" s="373"/>
      <c r="Z94" s="373"/>
      <c r="AA94" s="373"/>
      <c r="AB94" s="623">
        <v>31207</v>
      </c>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row>
    <row r="95" spans="1:53" s="354" customFormat="1" ht="14.25" customHeight="1">
      <c r="A95" s="373"/>
      <c r="B95" s="426" t="s">
        <v>274</v>
      </c>
      <c r="C95" s="373"/>
      <c r="D95" s="427">
        <f>+_xlfn.XLOOKUP("EBITDA",Inputs!$B:$B,Inputs!P:P)</f>
        <v>6818</v>
      </c>
      <c r="E95" s="429">
        <v>9958</v>
      </c>
      <c r="F95" s="428">
        <v>4043</v>
      </c>
      <c r="G95" s="614">
        <v>752</v>
      </c>
      <c r="H95" s="623">
        <v>111</v>
      </c>
      <c r="I95" s="623">
        <v>-74</v>
      </c>
      <c r="J95" s="623">
        <f t="shared" ref="J95:J96" si="47">AB95*$J$140</f>
        <v>8252.2000000000007</v>
      </c>
      <c r="K95" s="623">
        <v>1594</v>
      </c>
      <c r="L95" s="614">
        <v>1219</v>
      </c>
      <c r="M95" s="614">
        <v>-729</v>
      </c>
      <c r="N95" s="623">
        <v>-200</v>
      </c>
      <c r="O95" s="373"/>
      <c r="P95" s="373"/>
      <c r="Q95" s="373"/>
      <c r="R95" s="373"/>
      <c r="S95" s="414"/>
      <c r="T95" s="373"/>
      <c r="U95" s="373"/>
      <c r="V95" s="373"/>
      <c r="W95" s="373"/>
      <c r="X95" s="373"/>
      <c r="Y95" s="373"/>
      <c r="Z95" s="373"/>
      <c r="AA95" s="373"/>
      <c r="AB95" s="623">
        <v>7502</v>
      </c>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row>
    <row r="96" spans="1:53" s="354" customFormat="1" ht="14.25" customHeight="1">
      <c r="A96" s="373"/>
      <c r="B96" s="421" t="s">
        <v>275</v>
      </c>
      <c r="C96" s="422"/>
      <c r="D96" s="423">
        <f>+_xlfn.XLOOKUP("Net Income",Inputs!$B:$B,Inputs!P:P)</f>
        <v>5428</v>
      </c>
      <c r="E96" s="425">
        <v>4136</v>
      </c>
      <c r="F96" s="424">
        <v>2384</v>
      </c>
      <c r="G96" s="613">
        <v>1381</v>
      </c>
      <c r="H96" s="622">
        <v>48</v>
      </c>
      <c r="I96" s="622">
        <v>-165</v>
      </c>
      <c r="J96" s="765">
        <f t="shared" si="47"/>
        <v>3436.4</v>
      </c>
      <c r="K96" s="622">
        <v>1731</v>
      </c>
      <c r="L96" s="613">
        <v>906</v>
      </c>
      <c r="M96" s="613">
        <v>-836</v>
      </c>
      <c r="N96" s="622">
        <v>-301</v>
      </c>
      <c r="O96" s="373"/>
      <c r="P96" s="373"/>
      <c r="Q96" s="373"/>
      <c r="R96" s="373"/>
      <c r="S96" s="414"/>
      <c r="T96" s="373"/>
      <c r="U96" s="373"/>
      <c r="V96" s="373"/>
      <c r="W96" s="373"/>
      <c r="X96" s="373"/>
      <c r="Y96" s="373"/>
      <c r="Z96" s="373"/>
      <c r="AA96" s="373"/>
      <c r="AB96" s="622">
        <v>3124</v>
      </c>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row>
    <row r="97" spans="1:53" s="354" customFormat="1" ht="14.25" customHeight="1">
      <c r="A97" s="373"/>
      <c r="B97" s="426" t="str">
        <f>+Inputs!$B$6&amp;" ("&amp;Inputs!Q$4&amp;")"</f>
        <v>Revenue (Sales) (2024)</v>
      </c>
      <c r="C97" s="373"/>
      <c r="D97" s="427">
        <f>+_xlfn.XLOOKUP("Revenue (Sales)",Inputs!$B:$B,Inputs!Q:Q)</f>
        <v>21505</v>
      </c>
      <c r="E97" s="429">
        <v>37895</v>
      </c>
      <c r="F97" s="430">
        <v>16285</v>
      </c>
      <c r="G97" s="615">
        <v>8446</v>
      </c>
      <c r="H97" s="609">
        <v>2684</v>
      </c>
      <c r="I97" s="623">
        <v>2628</v>
      </c>
      <c r="J97" s="623">
        <f>AB97*$J$139</f>
        <v>35543.040000000001</v>
      </c>
      <c r="K97" s="623">
        <v>10984</v>
      </c>
      <c r="L97" s="615">
        <v>6131</v>
      </c>
      <c r="M97" s="615">
        <v>3626</v>
      </c>
      <c r="N97" s="609">
        <v>4359</v>
      </c>
      <c r="O97" s="373"/>
      <c r="P97" s="373"/>
      <c r="Q97" s="373"/>
      <c r="R97" s="373"/>
      <c r="S97" s="414"/>
      <c r="T97" s="373"/>
      <c r="U97" s="373"/>
      <c r="V97" s="373"/>
      <c r="W97" s="373"/>
      <c r="X97" s="373"/>
      <c r="Y97" s="373"/>
      <c r="Z97" s="373"/>
      <c r="AA97" s="373"/>
      <c r="AB97" s="623">
        <v>34176</v>
      </c>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row>
    <row r="98" spans="1:53" s="354" customFormat="1" ht="14.25" customHeight="1">
      <c r="A98" s="373"/>
      <c r="B98" s="431" t="s">
        <v>276</v>
      </c>
      <c r="C98" s="373"/>
      <c r="D98" s="427">
        <f>+_xlfn.XLOOKUP($B98,Inputs!$B:$B,Inputs!Q:Q)</f>
        <v>2538</v>
      </c>
      <c r="E98" s="429">
        <v>8643</v>
      </c>
      <c r="F98" s="428">
        <v>3465</v>
      </c>
      <c r="G98" s="614">
        <v>2069</v>
      </c>
      <c r="H98" s="623">
        <v>515</v>
      </c>
      <c r="I98" s="623">
        <v>393</v>
      </c>
      <c r="J98" s="623">
        <f t="shared" ref="J98:J132" si="48">AB98*$J$139</f>
        <v>9612.7200000000012</v>
      </c>
      <c r="K98" s="623">
        <v>2287</v>
      </c>
      <c r="L98" s="614">
        <v>578</v>
      </c>
      <c r="M98" s="614">
        <v>1215</v>
      </c>
      <c r="N98" s="623">
        <v>803</v>
      </c>
      <c r="O98" s="373"/>
      <c r="P98" s="373"/>
      <c r="Q98" s="373"/>
      <c r="R98" s="373"/>
      <c r="S98" s="414"/>
      <c r="T98" s="373"/>
      <c r="U98" s="373"/>
      <c r="V98" s="373"/>
      <c r="W98" s="373"/>
      <c r="X98" s="373"/>
      <c r="Y98" s="373"/>
      <c r="Z98" s="373"/>
      <c r="AA98" s="373"/>
      <c r="AB98" s="623">
        <v>9243</v>
      </c>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row>
    <row r="99" spans="1:53" s="354" customFormat="1" ht="14.25" customHeight="1">
      <c r="A99" s="373"/>
      <c r="B99" s="432" t="s">
        <v>277</v>
      </c>
      <c r="C99" s="373"/>
      <c r="D99" s="427">
        <f>+_xlfn.XLOOKUP($B99,Inputs!$B:$B,Inputs!Q:Q)</f>
        <v>18967</v>
      </c>
      <c r="E99" s="434">
        <f>+E97-E98</f>
        <v>29252</v>
      </c>
      <c r="F99" s="433">
        <f>+F97-F98</f>
        <v>12820</v>
      </c>
      <c r="G99" s="433">
        <f>+G97-G98</f>
        <v>6377</v>
      </c>
      <c r="H99" s="433">
        <f t="shared" ref="H99:I99" si="49">+H97-H98</f>
        <v>2169</v>
      </c>
      <c r="I99" s="433">
        <f t="shared" si="49"/>
        <v>2235</v>
      </c>
      <c r="J99" s="623">
        <f t="shared" si="48"/>
        <v>25930.32</v>
      </c>
      <c r="K99" s="626">
        <f>+K97-K98</f>
        <v>8697</v>
      </c>
      <c r="L99" s="616">
        <f>L97-L98</f>
        <v>5553</v>
      </c>
      <c r="M99" s="616">
        <f t="shared" ref="M99:N99" si="50">M97-M98</f>
        <v>2411</v>
      </c>
      <c r="N99" s="616">
        <f t="shared" si="50"/>
        <v>3556</v>
      </c>
      <c r="O99" s="394"/>
      <c r="P99" s="373"/>
      <c r="Q99" s="394"/>
      <c r="R99" s="394"/>
      <c r="S99" s="102"/>
      <c r="T99" s="373"/>
      <c r="U99" s="373"/>
      <c r="V99" s="373"/>
      <c r="W99" s="373"/>
      <c r="X99" s="373"/>
      <c r="Y99" s="373"/>
      <c r="Z99" s="373"/>
      <c r="AA99" s="373"/>
      <c r="AB99" s="626">
        <f>AB97-AB98</f>
        <v>24933</v>
      </c>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row>
    <row r="100" spans="1:53" s="354" customFormat="1" ht="14.25" customHeight="1">
      <c r="A100" s="373"/>
      <c r="B100" s="431" t="s">
        <v>223</v>
      </c>
      <c r="C100" s="373"/>
      <c r="D100" s="427">
        <f>+_xlfn.XLOOKUP($B100,Inputs!$B:$B,Inputs!Q:Q)</f>
        <v>7730</v>
      </c>
      <c r="E100" s="435">
        <v>11143</v>
      </c>
      <c r="F100" s="430">
        <v>4581</v>
      </c>
      <c r="G100" s="615">
        <v>1078</v>
      </c>
      <c r="H100" s="609">
        <v>266</v>
      </c>
      <c r="I100" s="609">
        <v>129</v>
      </c>
      <c r="J100" s="623">
        <f t="shared" si="48"/>
        <v>6729.84</v>
      </c>
      <c r="K100" s="609">
        <v>2325</v>
      </c>
      <c r="L100" s="615">
        <v>1549</v>
      </c>
      <c r="M100" s="615">
        <v>-1100</v>
      </c>
      <c r="N100" s="609">
        <v>27</v>
      </c>
      <c r="O100" s="373"/>
      <c r="P100" s="373"/>
      <c r="Q100" s="373"/>
      <c r="R100" s="373"/>
      <c r="S100" s="373"/>
      <c r="T100" s="373"/>
      <c r="U100" s="373"/>
      <c r="V100" s="373"/>
      <c r="W100" s="373"/>
      <c r="X100" s="373"/>
      <c r="Y100" s="373"/>
      <c r="Z100" s="373"/>
      <c r="AA100" s="373"/>
      <c r="AB100" s="609">
        <v>6471</v>
      </c>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row>
    <row r="101" spans="1:53" s="354" customFormat="1" ht="14.25" customHeight="1">
      <c r="A101" s="373"/>
      <c r="B101" s="431" t="s">
        <v>278</v>
      </c>
      <c r="C101" s="373"/>
      <c r="D101" s="427">
        <f>+_xlfn.XLOOKUP($B101,Inputs!$B:$B,Inputs!Q:Q)</f>
        <v>6873</v>
      </c>
      <c r="E101" s="435">
        <v>7666</v>
      </c>
      <c r="F101" s="430">
        <v>3877</v>
      </c>
      <c r="G101" s="615">
        <v>752</v>
      </c>
      <c r="H101" s="609">
        <v>211</v>
      </c>
      <c r="I101" s="609">
        <v>32</v>
      </c>
      <c r="J101" s="623">
        <f t="shared" si="48"/>
        <v>5398.64</v>
      </c>
      <c r="K101" s="609">
        <v>1761</v>
      </c>
      <c r="L101" s="615">
        <v>1369</v>
      </c>
      <c r="M101" s="615">
        <v>-1282</v>
      </c>
      <c r="N101" s="609">
        <v>-117</v>
      </c>
      <c r="O101" s="373"/>
      <c r="P101" s="373"/>
      <c r="Q101" s="373"/>
      <c r="R101" s="373"/>
      <c r="S101" s="373"/>
      <c r="T101" s="373"/>
      <c r="U101" s="373"/>
      <c r="V101" s="373"/>
      <c r="W101" s="373"/>
      <c r="X101" s="373"/>
      <c r="Y101" s="373"/>
      <c r="Z101" s="373"/>
      <c r="AA101" s="373"/>
      <c r="AB101" s="609">
        <v>5191</v>
      </c>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row>
    <row r="102" spans="1:53" s="354" customFormat="1" ht="14.25" customHeight="1">
      <c r="A102" s="373"/>
      <c r="B102" s="431" t="s">
        <v>279</v>
      </c>
      <c r="C102" s="373"/>
      <c r="D102" s="427">
        <f>+_xlfn.XLOOKUP($B102,Inputs!$B:$B,Inputs!Q:Q)</f>
        <v>-172</v>
      </c>
      <c r="E102" s="435">
        <v>0</v>
      </c>
      <c r="F102" s="430">
        <v>95</v>
      </c>
      <c r="G102" s="615">
        <v>236</v>
      </c>
      <c r="H102" s="609">
        <v>148</v>
      </c>
      <c r="I102" s="609">
        <v>79</v>
      </c>
      <c r="J102" s="623">
        <f t="shared" si="48"/>
        <v>238.16</v>
      </c>
      <c r="K102" s="609">
        <v>396</v>
      </c>
      <c r="L102" s="615">
        <v>-34</v>
      </c>
      <c r="M102" s="615">
        <v>206</v>
      </c>
      <c r="N102" s="609">
        <v>63</v>
      </c>
      <c r="O102" s="373"/>
      <c r="P102" s="373"/>
      <c r="Q102" s="373"/>
      <c r="R102" s="373"/>
      <c r="S102" s="373"/>
      <c r="T102" s="373"/>
      <c r="U102" s="373"/>
      <c r="V102" s="373"/>
      <c r="W102" s="373"/>
      <c r="X102" s="373"/>
      <c r="Y102" s="373"/>
      <c r="Z102" s="373"/>
      <c r="AA102" s="373"/>
      <c r="AB102" s="609">
        <v>229</v>
      </c>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row>
    <row r="103" spans="1:53" s="354" customFormat="1" ht="14.25" customHeight="1">
      <c r="A103" s="373"/>
      <c r="B103" s="431" t="s">
        <v>280</v>
      </c>
      <c r="C103" s="373"/>
      <c r="D103" s="427">
        <f>+_xlfn.XLOOKUP($B103,Inputs!$B:$B,Inputs!Q:Q)</f>
        <v>6931</v>
      </c>
      <c r="E103" s="435">
        <v>7438</v>
      </c>
      <c r="F103" s="430">
        <v>3550</v>
      </c>
      <c r="G103" s="615">
        <v>638</v>
      </c>
      <c r="H103" s="609">
        <v>204</v>
      </c>
      <c r="I103" s="609">
        <v>29</v>
      </c>
      <c r="J103" s="623">
        <f t="shared" si="48"/>
        <v>4954.5600000000004</v>
      </c>
      <c r="K103" s="609">
        <v>1738</v>
      </c>
      <c r="L103" s="615">
        <v>1384</v>
      </c>
      <c r="M103" s="615">
        <v>-1285</v>
      </c>
      <c r="N103" s="609">
        <v>-85</v>
      </c>
      <c r="O103" s="373"/>
      <c r="P103" s="373"/>
      <c r="Q103" s="373"/>
      <c r="R103" s="373"/>
      <c r="S103" s="373"/>
      <c r="T103" s="373"/>
      <c r="U103" s="373"/>
      <c r="V103" s="373"/>
      <c r="W103" s="373"/>
      <c r="X103" s="373"/>
      <c r="Y103" s="373"/>
      <c r="Z103" s="373"/>
      <c r="AA103" s="373"/>
      <c r="AB103" s="609">
        <v>4764</v>
      </c>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row>
    <row r="104" spans="1:53" s="354" customFormat="1" ht="14.25" customHeight="1">
      <c r="A104" s="373"/>
      <c r="B104" s="431" t="s">
        <v>281</v>
      </c>
      <c r="C104" s="373"/>
      <c r="D104" s="427">
        <f>+_xlfn.XLOOKUP($B104,Inputs!$B:$B,Inputs!Q:Q)</f>
        <v>1371</v>
      </c>
      <c r="E104" s="435">
        <v>1241</v>
      </c>
      <c r="F104" s="430">
        <v>587</v>
      </c>
      <c r="G104" s="615">
        <v>112</v>
      </c>
      <c r="H104" s="609">
        <v>20</v>
      </c>
      <c r="I104" s="609">
        <v>24</v>
      </c>
      <c r="J104" s="623">
        <f t="shared" si="48"/>
        <v>1678.56</v>
      </c>
      <c r="K104" s="609">
        <v>313</v>
      </c>
      <c r="L104" s="615">
        <v>272</v>
      </c>
      <c r="M104" s="615">
        <v>4</v>
      </c>
      <c r="N104" s="609">
        <v>215</v>
      </c>
      <c r="O104" s="373"/>
      <c r="P104" s="373"/>
      <c r="Q104" s="373"/>
      <c r="R104" s="373"/>
      <c r="S104" s="373"/>
      <c r="T104" s="373"/>
      <c r="U104" s="373"/>
      <c r="V104" s="373"/>
      <c r="W104" s="373"/>
      <c r="X104" s="373"/>
      <c r="Y104" s="373"/>
      <c r="Z104" s="373"/>
      <c r="AA104" s="373"/>
      <c r="AB104" s="609">
        <v>1614</v>
      </c>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row>
    <row r="105" spans="1:53" s="354" customFormat="1" ht="14.25" customHeight="1">
      <c r="A105" s="373"/>
      <c r="B105" s="431" t="s">
        <v>282</v>
      </c>
      <c r="C105" s="373"/>
      <c r="D105" s="427">
        <f>+_xlfn.XLOOKUP($B105,Inputs!$B:$B,Inputs!Q:Q)</f>
        <v>5560</v>
      </c>
      <c r="E105" s="435">
        <v>6197</v>
      </c>
      <c r="F105" s="430">
        <v>2963</v>
      </c>
      <c r="G105" s="615">
        <v>526</v>
      </c>
      <c r="H105" s="609">
        <v>184</v>
      </c>
      <c r="I105" s="609">
        <v>5</v>
      </c>
      <c r="J105" s="623">
        <f t="shared" si="48"/>
        <v>3248.96</v>
      </c>
      <c r="K105" s="609">
        <v>1425</v>
      </c>
      <c r="L105" s="615">
        <v>1112</v>
      </c>
      <c r="M105" s="615">
        <v>-1259</v>
      </c>
      <c r="N105" s="609">
        <v>-301</v>
      </c>
      <c r="O105" s="373"/>
      <c r="P105" s="373"/>
      <c r="Q105" s="373"/>
      <c r="R105" s="373"/>
      <c r="S105" s="373"/>
      <c r="T105" s="373"/>
      <c r="U105" s="373"/>
      <c r="V105" s="373"/>
      <c r="W105" s="373"/>
      <c r="X105" s="373"/>
      <c r="Y105" s="373"/>
      <c r="Z105" s="373"/>
      <c r="AA105" s="373"/>
      <c r="AB105" s="609">
        <v>3124</v>
      </c>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row>
    <row r="106" spans="1:53" s="354" customFormat="1" ht="14.25" customHeight="1">
      <c r="A106" s="373"/>
      <c r="B106" s="431" t="s">
        <v>283</v>
      </c>
      <c r="C106" s="373"/>
      <c r="D106" s="427">
        <f>+_xlfn.XLOOKUP($B106,Inputs!$B:$B,Inputs!Q:Q)</f>
        <v>12.43</v>
      </c>
      <c r="E106" s="437">
        <v>6.44</v>
      </c>
      <c r="F106" s="436">
        <v>10.58</v>
      </c>
      <c r="G106" s="617">
        <v>1.98</v>
      </c>
      <c r="H106" s="624">
        <v>0.55000000000000004</v>
      </c>
      <c r="I106" s="624">
        <v>0.09</v>
      </c>
      <c r="J106" s="623">
        <f t="shared" si="48"/>
        <v>2.7872000000000003</v>
      </c>
      <c r="K106" s="624">
        <v>6.92</v>
      </c>
      <c r="L106" s="617">
        <v>5.17</v>
      </c>
      <c r="M106" s="617">
        <v>-3.86</v>
      </c>
      <c r="N106" s="624">
        <v>-1.1599999999999999</v>
      </c>
      <c r="O106" s="373"/>
      <c r="P106" s="373"/>
      <c r="Q106" s="373"/>
      <c r="R106" s="373"/>
      <c r="S106" s="373"/>
      <c r="T106" s="373"/>
      <c r="U106" s="373"/>
      <c r="V106" s="373"/>
      <c r="W106" s="373"/>
      <c r="X106" s="373"/>
      <c r="Y106" s="373"/>
      <c r="Z106" s="373"/>
      <c r="AA106" s="373"/>
      <c r="AB106" s="624">
        <v>2.68</v>
      </c>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c r="BA106" s="373"/>
    </row>
    <row r="107" spans="1:53" s="354" customFormat="1" ht="14.25" customHeight="1">
      <c r="A107" s="373"/>
      <c r="B107" s="431" t="s">
        <v>284</v>
      </c>
      <c r="C107" s="373"/>
      <c r="D107" s="427">
        <f>+_xlfn.XLOOKUP($B107,Inputs!$B:$B,Inputs!Q:Q)</f>
        <v>3944</v>
      </c>
      <c r="E107" s="435"/>
      <c r="F107" s="615"/>
      <c r="G107" s="615"/>
      <c r="H107" s="609"/>
      <c r="I107" s="609"/>
      <c r="J107" s="609"/>
      <c r="K107" s="609"/>
      <c r="L107" s="615"/>
      <c r="M107" s="615"/>
      <c r="N107" s="609"/>
      <c r="O107" s="373"/>
      <c r="P107" s="373"/>
      <c r="Q107" s="373"/>
      <c r="R107" s="373"/>
      <c r="S107" s="373"/>
      <c r="T107" s="373"/>
      <c r="U107" s="373"/>
      <c r="V107" s="373"/>
      <c r="W107" s="373"/>
      <c r="X107" s="373"/>
      <c r="Y107" s="373"/>
      <c r="Z107" s="373"/>
      <c r="AA107" s="373"/>
      <c r="AB107" s="609"/>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row>
    <row r="108" spans="1:53" s="354" customFormat="1" ht="3.75" customHeight="1">
      <c r="A108" s="373"/>
      <c r="B108" s="431"/>
      <c r="C108" s="373"/>
      <c r="D108" s="438"/>
      <c r="E108" s="440"/>
      <c r="F108" s="439"/>
      <c r="G108" s="618"/>
      <c r="H108" s="625"/>
      <c r="I108" s="625"/>
      <c r="J108" s="623">
        <f t="shared" si="48"/>
        <v>0</v>
      </c>
      <c r="K108" s="625"/>
      <c r="L108" s="618"/>
      <c r="M108" s="618"/>
      <c r="N108" s="625"/>
      <c r="O108" s="373"/>
      <c r="P108" s="373"/>
      <c r="Q108" s="373"/>
      <c r="R108" s="373"/>
      <c r="S108" s="373"/>
      <c r="T108" s="373"/>
      <c r="U108" s="373"/>
      <c r="V108" s="373"/>
      <c r="W108" s="373"/>
      <c r="X108" s="373"/>
      <c r="Y108" s="373"/>
      <c r="Z108" s="373"/>
      <c r="AA108" s="373"/>
      <c r="AB108" s="625"/>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c r="BA108" s="373"/>
    </row>
    <row r="109" spans="1:53" s="354" customFormat="1" ht="14.25" customHeight="1">
      <c r="A109" s="373"/>
      <c r="B109" s="419" t="s">
        <v>285</v>
      </c>
      <c r="C109" s="404"/>
      <c r="D109" s="441"/>
      <c r="E109" s="443"/>
      <c r="F109" s="442"/>
      <c r="G109" s="619"/>
      <c r="H109" s="610"/>
      <c r="I109" s="610"/>
      <c r="J109" s="610"/>
      <c r="K109" s="610"/>
      <c r="L109" s="619"/>
      <c r="M109" s="619"/>
      <c r="N109" s="610"/>
      <c r="O109" s="373"/>
      <c r="P109" s="373"/>
      <c r="Q109" s="373"/>
      <c r="R109" s="373"/>
      <c r="S109" s="373"/>
      <c r="T109" s="373"/>
      <c r="U109" s="373"/>
      <c r="V109" s="373"/>
      <c r="W109" s="373"/>
      <c r="X109" s="373"/>
      <c r="Y109" s="373"/>
      <c r="Z109" s="373"/>
      <c r="AA109" s="373"/>
      <c r="AB109" s="610"/>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c r="BA109" s="373"/>
    </row>
    <row r="110" spans="1:53" s="354" customFormat="1" ht="3.75" customHeight="1">
      <c r="A110" s="373"/>
      <c r="B110" s="420"/>
      <c r="C110" s="408"/>
      <c r="D110" s="444"/>
      <c r="E110" s="446"/>
      <c r="F110" s="445"/>
      <c r="G110" s="608"/>
      <c r="H110" s="611"/>
      <c r="I110" s="611"/>
      <c r="J110" s="611"/>
      <c r="K110" s="611"/>
      <c r="L110" s="608"/>
      <c r="M110" s="608"/>
      <c r="N110" s="611"/>
      <c r="O110" s="373"/>
      <c r="P110" s="373"/>
      <c r="Q110" s="373"/>
      <c r="R110" s="373"/>
      <c r="S110" s="373"/>
      <c r="T110" s="373"/>
      <c r="U110" s="373"/>
      <c r="V110" s="373"/>
      <c r="W110" s="373"/>
      <c r="X110" s="373"/>
      <c r="Y110" s="373"/>
      <c r="Z110" s="373"/>
      <c r="AA110" s="373"/>
      <c r="AB110" s="767"/>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c r="BA110" s="373"/>
    </row>
    <row r="111" spans="1:53" s="354" customFormat="1" ht="14.25" customHeight="1">
      <c r="A111" s="373"/>
      <c r="B111" s="431" t="s">
        <v>286</v>
      </c>
      <c r="C111" s="373"/>
      <c r="D111" s="427">
        <f>+_xlfn.XLOOKUP($B111,Inputs!$B:$B,Inputs!Q:Q)</f>
        <v>7613</v>
      </c>
      <c r="E111" s="435">
        <v>8848</v>
      </c>
      <c r="F111" s="430">
        <v>3609</v>
      </c>
      <c r="G111" s="615">
        <v>1543</v>
      </c>
      <c r="H111" s="609">
        <v>1247</v>
      </c>
      <c r="I111" s="609">
        <v>2069</v>
      </c>
      <c r="J111" s="623">
        <f t="shared" si="48"/>
        <v>9993.36</v>
      </c>
      <c r="K111" s="609">
        <v>2304</v>
      </c>
      <c r="L111" s="615">
        <v>1599</v>
      </c>
      <c r="M111" s="615">
        <v>2629</v>
      </c>
      <c r="N111" s="609">
        <v>2177</v>
      </c>
      <c r="O111" s="373"/>
      <c r="P111" s="373"/>
      <c r="Q111" s="373"/>
      <c r="R111" s="373"/>
      <c r="S111" s="373"/>
      <c r="T111" s="373"/>
      <c r="U111" s="373"/>
      <c r="V111" s="373"/>
      <c r="W111" s="373"/>
      <c r="X111" s="373"/>
      <c r="Y111" s="373"/>
      <c r="Z111" s="373"/>
      <c r="AA111" s="373"/>
      <c r="AB111" s="609">
        <v>9609</v>
      </c>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c r="BA111" s="373"/>
    </row>
    <row r="112" spans="1:53" s="354" customFormat="1" ht="14.25" customHeight="1">
      <c r="A112" s="373"/>
      <c r="B112" s="431" t="s">
        <v>287</v>
      </c>
      <c r="C112" s="373"/>
      <c r="D112" s="427">
        <f>+_xlfn.XLOOKUP($B112,Inputs!$B:$B,Inputs!Q:Q)</f>
        <v>2072</v>
      </c>
      <c r="E112" s="435">
        <v>11945</v>
      </c>
      <c r="F112" s="430">
        <v>457</v>
      </c>
      <c r="G112" s="615">
        <v>1950</v>
      </c>
      <c r="H112" s="609">
        <v>599</v>
      </c>
      <c r="I112" s="609">
        <v>335</v>
      </c>
      <c r="J112" s="623">
        <f t="shared" si="48"/>
        <v>6480.24</v>
      </c>
      <c r="K112" s="609">
        <v>2240</v>
      </c>
      <c r="L112" s="615">
        <v>1008</v>
      </c>
      <c r="M112" s="615">
        <v>923</v>
      </c>
      <c r="N112" s="609">
        <v>628</v>
      </c>
      <c r="O112" s="373"/>
      <c r="P112" s="373"/>
      <c r="Q112" s="373"/>
      <c r="R112" s="373"/>
      <c r="S112" s="373"/>
      <c r="T112" s="373"/>
      <c r="U112" s="373"/>
      <c r="V112" s="373"/>
      <c r="W112" s="373"/>
      <c r="X112" s="373"/>
      <c r="Y112" s="373"/>
      <c r="Z112" s="373"/>
      <c r="AA112" s="373"/>
      <c r="AB112" s="609">
        <v>6231</v>
      </c>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c r="BA112" s="373"/>
    </row>
    <row r="113" spans="1:53" s="354" customFormat="1" ht="14.25" customHeight="1">
      <c r="A113" s="373"/>
      <c r="B113" s="431" t="s">
        <v>288</v>
      </c>
      <c r="C113" s="373"/>
      <c r="D113" s="427">
        <f>+_xlfn.XLOOKUP("Inventory",Inputs!$B:$B,Inputs!P:P)</f>
        <v>0</v>
      </c>
      <c r="E113" s="435">
        <v>0</v>
      </c>
      <c r="F113" s="435">
        <v>0</v>
      </c>
      <c r="G113" s="435">
        <v>0</v>
      </c>
      <c r="H113" s="435">
        <v>0</v>
      </c>
      <c r="I113" s="435">
        <v>0</v>
      </c>
      <c r="J113" s="623">
        <f t="shared" si="48"/>
        <v>0</v>
      </c>
      <c r="K113" s="435">
        <v>0</v>
      </c>
      <c r="L113" s="435">
        <v>0</v>
      </c>
      <c r="M113" s="435">
        <v>0</v>
      </c>
      <c r="N113" s="435">
        <v>0</v>
      </c>
      <c r="O113" s="373"/>
      <c r="P113" s="373"/>
      <c r="Q113" s="373"/>
      <c r="R113" s="373"/>
      <c r="S113" s="373"/>
      <c r="T113" s="373"/>
      <c r="U113" s="373"/>
      <c r="V113" s="373"/>
      <c r="W113" s="373"/>
      <c r="X113" s="373"/>
      <c r="Y113" s="373"/>
      <c r="Z113" s="373"/>
      <c r="AA113" s="373"/>
      <c r="AB113" s="609">
        <v>0</v>
      </c>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3"/>
      <c r="BA113" s="373"/>
    </row>
    <row r="114" spans="1:53" s="354" customFormat="1" ht="14.25" customHeight="1">
      <c r="A114" s="373"/>
      <c r="B114" s="431" t="s">
        <v>289</v>
      </c>
      <c r="C114" s="373"/>
      <c r="D114" s="427">
        <f>+_xlfn.XLOOKUP("Inventory",Inputs!$B:$B,Inputs!Q:Q)</f>
        <v>0</v>
      </c>
      <c r="E114" s="435">
        <v>0</v>
      </c>
      <c r="F114" s="435">
        <v>0</v>
      </c>
      <c r="G114" s="435">
        <v>0</v>
      </c>
      <c r="H114" s="435">
        <v>0</v>
      </c>
      <c r="I114" s="435">
        <v>0</v>
      </c>
      <c r="J114" s="623">
        <f t="shared" si="48"/>
        <v>0</v>
      </c>
      <c r="K114" s="435">
        <v>0</v>
      </c>
      <c r="L114" s="435">
        <v>0</v>
      </c>
      <c r="M114" s="435">
        <v>0</v>
      </c>
      <c r="N114" s="435">
        <v>0</v>
      </c>
      <c r="O114" s="373"/>
      <c r="P114" s="373"/>
      <c r="Q114" s="373"/>
      <c r="R114" s="373"/>
      <c r="S114" s="373"/>
      <c r="T114" s="373"/>
      <c r="U114" s="373"/>
      <c r="V114" s="373"/>
      <c r="W114" s="373"/>
      <c r="X114" s="373"/>
      <c r="Y114" s="373"/>
      <c r="Z114" s="373"/>
      <c r="AA114" s="373"/>
      <c r="AB114" s="609">
        <v>0</v>
      </c>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3"/>
      <c r="BA114" s="373"/>
    </row>
    <row r="115" spans="1:53" s="354" customFormat="1" ht="14.25" customHeight="1">
      <c r="A115" s="373"/>
      <c r="B115" s="431" t="s">
        <v>290</v>
      </c>
      <c r="C115" s="373"/>
      <c r="D115" s="427">
        <f>+_xlfn.XLOOKUP($B115,Inputs!$B:$B,Inputs!Q:Q)</f>
        <v>11232</v>
      </c>
      <c r="E115" s="435">
        <v>29727</v>
      </c>
      <c r="F115" s="430">
        <v>9678</v>
      </c>
      <c r="G115" s="615">
        <v>10545</v>
      </c>
      <c r="H115" s="609">
        <v>4911</v>
      </c>
      <c r="I115" s="609">
        <v>2634</v>
      </c>
      <c r="J115" s="623">
        <f t="shared" si="48"/>
        <v>22257.040000000001</v>
      </c>
      <c r="K115" s="609">
        <v>9187</v>
      </c>
      <c r="L115" s="615">
        <v>3482</v>
      </c>
      <c r="M115" s="615">
        <v>5869</v>
      </c>
      <c r="N115" s="609">
        <v>3076</v>
      </c>
      <c r="O115" s="373"/>
      <c r="P115" s="373"/>
      <c r="Q115" s="373"/>
      <c r="R115" s="373"/>
      <c r="S115" s="373"/>
      <c r="T115" s="373"/>
      <c r="U115" s="373"/>
      <c r="V115" s="373"/>
      <c r="W115" s="373"/>
      <c r="X115" s="373"/>
      <c r="Y115" s="373"/>
      <c r="Z115" s="373"/>
      <c r="AA115" s="373"/>
      <c r="AB115" s="609">
        <v>21401</v>
      </c>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3"/>
      <c r="BA115" s="373"/>
    </row>
    <row r="116" spans="1:53" s="354" customFormat="1" ht="14.25" customHeight="1">
      <c r="A116" s="373"/>
      <c r="B116" s="431" t="s">
        <v>291</v>
      </c>
      <c r="C116" s="373"/>
      <c r="D116" s="427">
        <f>+_xlfn.XLOOKUP($B116,Inputs!$B:$B,Inputs!Q:Q)</f>
        <v>1936</v>
      </c>
      <c r="E116" s="435">
        <v>5393</v>
      </c>
      <c r="F116" s="430">
        <v>1420</v>
      </c>
      <c r="G116" s="615">
        <v>1575</v>
      </c>
      <c r="H116" s="609">
        <v>399</v>
      </c>
      <c r="I116" s="609">
        <v>330</v>
      </c>
      <c r="J116" s="623">
        <f t="shared" si="48"/>
        <v>4672.72</v>
      </c>
      <c r="K116" s="609">
        <v>2456</v>
      </c>
      <c r="L116" s="615">
        <v>286</v>
      </c>
      <c r="M116" s="615">
        <v>531</v>
      </c>
      <c r="N116" s="609">
        <v>259</v>
      </c>
      <c r="O116" s="373"/>
      <c r="P116" s="373"/>
      <c r="Q116" s="373"/>
      <c r="R116" s="373"/>
      <c r="S116" s="373"/>
      <c r="T116" s="373"/>
      <c r="U116" s="373"/>
      <c r="V116" s="373"/>
      <c r="W116" s="373"/>
      <c r="X116" s="373"/>
      <c r="Y116" s="373"/>
      <c r="Z116" s="373"/>
      <c r="AA116" s="373"/>
      <c r="AB116" s="609">
        <v>4493</v>
      </c>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3"/>
      <c r="BA116" s="373"/>
    </row>
    <row r="117" spans="1:53" s="354" customFormat="1" ht="14.25" customHeight="1">
      <c r="A117" s="373"/>
      <c r="B117" s="431" t="s">
        <v>292</v>
      </c>
      <c r="C117" s="447"/>
      <c r="D117" s="448">
        <f>+_xlfn.XLOOKUP($B117,Inputs!$B:$B,Inputs!Q:Q)</f>
        <v>30002</v>
      </c>
      <c r="E117" s="435">
        <v>102928</v>
      </c>
      <c r="F117" s="430">
        <v>32132</v>
      </c>
      <c r="G117" s="615">
        <v>17977</v>
      </c>
      <c r="H117" s="609">
        <v>5785</v>
      </c>
      <c r="I117" s="609">
        <v>3796</v>
      </c>
      <c r="J117" s="623">
        <f t="shared" si="48"/>
        <v>77086.880000000005</v>
      </c>
      <c r="K117" s="609">
        <v>20383</v>
      </c>
      <c r="L117" s="615">
        <v>10833</v>
      </c>
      <c r="M117" s="615">
        <v>9034</v>
      </c>
      <c r="N117" s="609">
        <v>5212</v>
      </c>
      <c r="O117" s="373"/>
      <c r="P117" s="373"/>
      <c r="Q117" s="373"/>
      <c r="R117" s="373"/>
      <c r="S117" s="373"/>
      <c r="T117" s="373"/>
      <c r="U117" s="373"/>
      <c r="V117" s="373"/>
      <c r="W117" s="373"/>
      <c r="X117" s="373"/>
      <c r="Y117" s="373"/>
      <c r="Z117" s="373"/>
      <c r="AA117" s="373"/>
      <c r="AB117" s="609">
        <v>74122</v>
      </c>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3"/>
      <c r="BA117" s="373"/>
    </row>
    <row r="118" spans="1:53" s="354" customFormat="1" ht="14.25" customHeight="1">
      <c r="A118" s="373"/>
      <c r="B118" s="431" t="s">
        <v>293</v>
      </c>
      <c r="C118" s="373"/>
      <c r="D118" s="427">
        <f>+_xlfn.XLOOKUP($B118,Inputs!$B:$B,Inputs!Q:Q)</f>
        <v>361</v>
      </c>
      <c r="E118" s="435">
        <v>6658</v>
      </c>
      <c r="F118" s="430">
        <v>721</v>
      </c>
      <c r="G118" s="615">
        <v>108</v>
      </c>
      <c r="H118" s="609">
        <v>108</v>
      </c>
      <c r="I118" s="609">
        <v>4</v>
      </c>
      <c r="J118" s="623">
        <f t="shared" si="48"/>
        <v>2069.6</v>
      </c>
      <c r="K118" s="609">
        <v>68</v>
      </c>
      <c r="L118" s="615">
        <v>304</v>
      </c>
      <c r="M118" s="615">
        <v>170</v>
      </c>
      <c r="N118" s="609">
        <v>178</v>
      </c>
      <c r="O118" s="373"/>
      <c r="P118" s="373"/>
      <c r="Q118" s="373"/>
      <c r="R118" s="373"/>
      <c r="S118" s="373"/>
      <c r="T118" s="373"/>
      <c r="U118" s="373"/>
      <c r="V118" s="373"/>
      <c r="W118" s="373"/>
      <c r="X118" s="373"/>
      <c r="Y118" s="373"/>
      <c r="Z118" s="373"/>
      <c r="AA118" s="373"/>
      <c r="AB118" s="609">
        <v>1990</v>
      </c>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3"/>
      <c r="BA118" s="373"/>
    </row>
    <row r="119" spans="1:53" s="354" customFormat="1" ht="14.25" customHeight="1">
      <c r="A119" s="373"/>
      <c r="B119" s="431" t="s">
        <v>294</v>
      </c>
      <c r="C119" s="373"/>
      <c r="D119" s="427">
        <f>+_xlfn.XLOOKUP($B119,Inputs!$B:$B,Inputs!Q:Q)</f>
        <v>10521</v>
      </c>
      <c r="E119" s="435">
        <v>27980</v>
      </c>
      <c r="F119" s="430">
        <v>7491</v>
      </c>
      <c r="G119" s="615">
        <v>5548</v>
      </c>
      <c r="H119" s="609">
        <v>1863</v>
      </c>
      <c r="I119" s="609">
        <v>1573</v>
      </c>
      <c r="J119" s="623">
        <f t="shared" si="48"/>
        <v>19842.16</v>
      </c>
      <c r="K119" s="609">
        <v>8358</v>
      </c>
      <c r="L119" s="615">
        <v>5151</v>
      </c>
      <c r="M119" s="615">
        <v>3301</v>
      </c>
      <c r="N119" s="609">
        <v>2610</v>
      </c>
      <c r="O119" s="373"/>
      <c r="P119" s="373"/>
      <c r="Q119" s="373"/>
      <c r="R119" s="373"/>
      <c r="S119" s="373"/>
      <c r="T119" s="373"/>
      <c r="U119" s="373"/>
      <c r="V119" s="373"/>
      <c r="W119" s="373"/>
      <c r="X119" s="373"/>
      <c r="Y119" s="373"/>
      <c r="Z119" s="373"/>
      <c r="AA119" s="373"/>
      <c r="AB119" s="609">
        <v>19079</v>
      </c>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3"/>
      <c r="BA119" s="373"/>
    </row>
    <row r="120" spans="1:53" s="354" customFormat="1" ht="14.25" customHeight="1">
      <c r="A120" s="373"/>
      <c r="B120" s="431" t="s">
        <v>295</v>
      </c>
      <c r="C120" s="373"/>
      <c r="D120" s="427">
        <f>+_xlfn.XLOOKUP($B120,Inputs!$B:$B,Inputs!Q:Q)</f>
        <v>4482</v>
      </c>
      <c r="E120" s="435">
        <v>8433</v>
      </c>
      <c r="F120" s="430">
        <v>5539</v>
      </c>
      <c r="G120" s="615">
        <v>2984</v>
      </c>
      <c r="H120" s="609">
        <v>979</v>
      </c>
      <c r="I120" s="609">
        <v>0</v>
      </c>
      <c r="J120" s="623">
        <f t="shared" si="48"/>
        <v>5512</v>
      </c>
      <c r="K120" s="609">
        <v>1489</v>
      </c>
      <c r="L120" s="615">
        <v>1987</v>
      </c>
      <c r="M120" s="615">
        <v>2272</v>
      </c>
      <c r="N120" s="609">
        <v>986</v>
      </c>
      <c r="O120" s="373"/>
      <c r="P120" s="373"/>
      <c r="Q120" s="373"/>
      <c r="R120" s="373"/>
      <c r="S120" s="373"/>
      <c r="T120" s="373"/>
      <c r="U120" s="373"/>
      <c r="V120" s="373"/>
      <c r="W120" s="373"/>
      <c r="X120" s="373"/>
      <c r="Y120" s="373"/>
      <c r="Z120" s="373"/>
      <c r="AA120" s="373"/>
      <c r="AB120" s="609">
        <v>5300</v>
      </c>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3"/>
      <c r="BA120" s="373"/>
    </row>
    <row r="121" spans="1:53" s="354" customFormat="1" ht="14.25" customHeight="1">
      <c r="A121" s="373"/>
      <c r="B121" s="431" t="s">
        <v>296</v>
      </c>
      <c r="C121" s="373"/>
      <c r="D121" s="427">
        <f>+_xlfn.XLOOKUP($B121,Inputs!$B:$B,Inputs!Q:Q,,,-1)</f>
        <v>6056</v>
      </c>
      <c r="E121" s="435">
        <v>11392</v>
      </c>
      <c r="F121" s="430">
        <v>6567</v>
      </c>
      <c r="G121" s="615">
        <v>3362</v>
      </c>
      <c r="H121" s="609">
        <v>1842</v>
      </c>
      <c r="I121" s="609">
        <v>745</v>
      </c>
      <c r="J121" s="623">
        <f t="shared" si="48"/>
        <v>11077.04</v>
      </c>
      <c r="K121" s="609">
        <v>2278</v>
      </c>
      <c r="L121" s="615">
        <v>2559</v>
      </c>
      <c r="M121" s="615">
        <v>2685</v>
      </c>
      <c r="N121" s="609">
        <v>1249</v>
      </c>
      <c r="O121" s="373"/>
      <c r="P121" s="373"/>
      <c r="Q121" s="373"/>
      <c r="R121" s="373"/>
      <c r="S121" s="373"/>
      <c r="T121" s="373"/>
      <c r="U121" s="373"/>
      <c r="V121" s="373"/>
      <c r="W121" s="373"/>
      <c r="X121" s="373"/>
      <c r="Y121" s="373"/>
      <c r="Z121" s="373"/>
      <c r="AA121" s="373"/>
      <c r="AB121" s="609">
        <v>10651</v>
      </c>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3"/>
      <c r="BA121" s="373"/>
    </row>
    <row r="122" spans="1:53" s="354" customFormat="1" ht="14.25" customHeight="1">
      <c r="A122" s="373"/>
      <c r="B122" s="431" t="s">
        <v>297</v>
      </c>
      <c r="C122" s="373"/>
      <c r="D122" s="427">
        <f>+_xlfn.XLOOKUP($B122,Inputs!$B:$B,Inputs!Q:Q)</f>
        <v>13494</v>
      </c>
      <c r="E122" s="435">
        <v>61173</v>
      </c>
      <c r="F122" s="430">
        <v>18436</v>
      </c>
      <c r="G122" s="615">
        <v>9034</v>
      </c>
      <c r="H122" s="609">
        <v>2714</v>
      </c>
      <c r="I122" s="609">
        <v>1908</v>
      </c>
      <c r="J122" s="623">
        <f t="shared" si="48"/>
        <v>47257.599999999999</v>
      </c>
      <c r="K122" s="609">
        <v>9606</v>
      </c>
      <c r="L122" s="615">
        <v>2621</v>
      </c>
      <c r="M122" s="615">
        <v>3000</v>
      </c>
      <c r="N122" s="609">
        <v>1033</v>
      </c>
      <c r="O122" s="373"/>
      <c r="P122" s="373"/>
      <c r="Q122" s="373"/>
      <c r="R122" s="373"/>
      <c r="S122" s="373"/>
      <c r="T122" s="373"/>
      <c r="U122" s="373"/>
      <c r="V122" s="373"/>
      <c r="W122" s="373"/>
      <c r="X122" s="373"/>
      <c r="Y122" s="373"/>
      <c r="Z122" s="373"/>
      <c r="AA122" s="373"/>
      <c r="AB122" s="609">
        <v>45440</v>
      </c>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3"/>
      <c r="BA122" s="373"/>
    </row>
    <row r="123" spans="1:53" s="354" customFormat="1" ht="3.95" customHeight="1">
      <c r="A123" s="373"/>
      <c r="B123" s="431"/>
      <c r="C123" s="373"/>
      <c r="D123" s="606"/>
      <c r="E123" s="609"/>
      <c r="F123" s="609"/>
      <c r="G123" s="615"/>
      <c r="H123" s="609"/>
      <c r="I123" s="609"/>
      <c r="J123" s="623">
        <f t="shared" si="48"/>
        <v>0</v>
      </c>
      <c r="K123" s="609"/>
      <c r="L123" s="615"/>
      <c r="M123" s="615"/>
      <c r="N123" s="609"/>
      <c r="O123" s="373"/>
      <c r="P123" s="373"/>
      <c r="Q123" s="373"/>
      <c r="R123" s="373"/>
      <c r="S123" s="373"/>
      <c r="T123" s="373"/>
      <c r="U123" s="373"/>
      <c r="V123" s="373"/>
      <c r="W123" s="373"/>
      <c r="X123" s="373"/>
      <c r="Y123" s="373"/>
      <c r="Z123" s="373"/>
      <c r="AA123" s="373"/>
      <c r="AB123" s="609"/>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3"/>
      <c r="BA123" s="373"/>
    </row>
    <row r="124" spans="1:53" s="354" customFormat="1" ht="14.25" customHeight="1">
      <c r="A124" s="373"/>
      <c r="B124" s="419" t="s">
        <v>298</v>
      </c>
      <c r="C124" s="404"/>
      <c r="D124" s="607"/>
      <c r="E124" s="610"/>
      <c r="F124" s="610"/>
      <c r="G124" s="619"/>
      <c r="H124" s="610"/>
      <c r="I124" s="610"/>
      <c r="J124" s="610"/>
      <c r="K124" s="610"/>
      <c r="L124" s="619"/>
      <c r="M124" s="619"/>
      <c r="N124" s="610"/>
      <c r="O124" s="373"/>
      <c r="P124" s="373"/>
      <c r="Q124" s="373"/>
      <c r="R124" s="373"/>
      <c r="S124" s="373"/>
      <c r="T124" s="373"/>
      <c r="U124" s="373"/>
      <c r="V124" s="373"/>
      <c r="W124" s="373"/>
      <c r="X124" s="373"/>
      <c r="Y124" s="373"/>
      <c r="Z124" s="373"/>
      <c r="AA124" s="373"/>
      <c r="AB124" s="768"/>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3"/>
      <c r="BA124" s="373"/>
    </row>
    <row r="125" spans="1:53" s="354" customFormat="1" ht="3.95" customHeight="1">
      <c r="A125" s="373"/>
      <c r="B125" s="420"/>
      <c r="C125" s="408"/>
      <c r="D125" s="608"/>
      <c r="E125" s="611"/>
      <c r="F125" s="608"/>
      <c r="G125" s="608"/>
      <c r="H125" s="611"/>
      <c r="I125" s="611"/>
      <c r="J125" s="611"/>
      <c r="K125" s="611"/>
      <c r="L125" s="608"/>
      <c r="M125" s="608"/>
      <c r="N125" s="611"/>
      <c r="O125" s="373"/>
      <c r="P125" s="373"/>
      <c r="Q125" s="373"/>
      <c r="R125" s="373"/>
      <c r="S125" s="373"/>
      <c r="T125" s="373"/>
      <c r="U125" s="373"/>
      <c r="V125" s="373"/>
      <c r="W125" s="373"/>
      <c r="X125" s="373"/>
      <c r="Y125" s="373"/>
      <c r="Z125" s="373"/>
      <c r="AA125" s="373"/>
      <c r="AB125" s="611"/>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3"/>
      <c r="BA125" s="373"/>
    </row>
    <row r="126" spans="1:53" s="354" customFormat="1" ht="14.25" customHeight="1">
      <c r="A126" s="373"/>
      <c r="B126" s="431" t="s">
        <v>299</v>
      </c>
      <c r="C126" s="373"/>
      <c r="D126" s="427">
        <f>+_xlfn.XLOOKUP($B126,Inputs!$B:$B,Inputs!Q:Q)</f>
        <v>8056</v>
      </c>
      <c r="E126" s="609">
        <v>13092</v>
      </c>
      <c r="F126" s="609">
        <v>4884</v>
      </c>
      <c r="G126" s="615">
        <v>2461</v>
      </c>
      <c r="H126" s="609">
        <v>871</v>
      </c>
      <c r="I126" s="609">
        <v>599</v>
      </c>
      <c r="J126" s="623">
        <f t="shared" si="48"/>
        <v>5428.8</v>
      </c>
      <c r="K126" s="609">
        <v>4267</v>
      </c>
      <c r="L126" s="615">
        <v>1607</v>
      </c>
      <c r="M126" s="615">
        <v>960</v>
      </c>
      <c r="N126" s="609">
        <v>1448</v>
      </c>
      <c r="O126" s="373"/>
      <c r="P126" s="373"/>
      <c r="Q126" s="373"/>
      <c r="R126" s="373"/>
      <c r="S126" s="373"/>
      <c r="T126" s="373"/>
      <c r="U126" s="373"/>
      <c r="V126" s="373"/>
      <c r="W126" s="373"/>
      <c r="X126" s="373"/>
      <c r="Y126" s="373"/>
      <c r="Z126" s="373"/>
      <c r="AA126" s="373"/>
      <c r="AB126" s="609">
        <v>5220</v>
      </c>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3"/>
      <c r="BA126" s="373"/>
    </row>
    <row r="127" spans="1:53" s="354" customFormat="1" ht="14.25" customHeight="1">
      <c r="A127" s="373"/>
      <c r="B127" s="431" t="s">
        <v>23</v>
      </c>
      <c r="C127" s="373"/>
      <c r="D127" s="427">
        <f>+_xlfn.XLOOKUP($B127,Inputs!$B:$B,Inputs!Q:Q)</f>
        <v>-183</v>
      </c>
      <c r="E127" s="609">
        <v>-658</v>
      </c>
      <c r="F127" s="609">
        <v>-59</v>
      </c>
      <c r="G127" s="615">
        <v>-272</v>
      </c>
      <c r="H127" s="609">
        <v>-95</v>
      </c>
      <c r="I127" s="609">
        <v>-129</v>
      </c>
      <c r="J127" s="623">
        <f t="shared" si="48"/>
        <v>-828.88</v>
      </c>
      <c r="K127" s="609">
        <v>-892</v>
      </c>
      <c r="L127" s="615">
        <v>-40</v>
      </c>
      <c r="M127" s="615">
        <v>-76</v>
      </c>
      <c r="N127" s="609">
        <v>-33</v>
      </c>
      <c r="O127" s="373"/>
      <c r="P127" s="373"/>
      <c r="Q127" s="373"/>
      <c r="R127" s="373"/>
      <c r="S127" s="373"/>
      <c r="T127" s="373"/>
      <c r="U127" s="373"/>
      <c r="V127" s="373"/>
      <c r="W127" s="373"/>
      <c r="X127" s="373"/>
      <c r="Y127" s="373"/>
      <c r="Z127" s="373"/>
      <c r="AA127" s="373"/>
      <c r="AB127" s="609">
        <v>-797</v>
      </c>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c r="BA127" s="373"/>
    </row>
    <row r="128" spans="1:53" s="354" customFormat="1" ht="14.25" customHeight="1">
      <c r="A128" s="373"/>
      <c r="B128" s="431" t="s">
        <v>300</v>
      </c>
      <c r="C128" s="373"/>
      <c r="D128" s="427">
        <f>+_xlfn.XLOOKUP($B128,Inputs!$B:$B,Inputs!Q:Q)</f>
        <v>149</v>
      </c>
      <c r="E128" s="609">
        <v>-3163</v>
      </c>
      <c r="F128" s="609">
        <v>-227</v>
      </c>
      <c r="G128" s="615">
        <v>-1781</v>
      </c>
      <c r="H128" s="609">
        <v>-737</v>
      </c>
      <c r="I128" s="609">
        <v>-516</v>
      </c>
      <c r="J128" s="623">
        <f t="shared" si="48"/>
        <v>-682.24</v>
      </c>
      <c r="K128" s="609">
        <v>-2501</v>
      </c>
      <c r="L128" s="615">
        <v>-903</v>
      </c>
      <c r="M128" s="615">
        <v>190</v>
      </c>
      <c r="N128" s="609">
        <v>-964</v>
      </c>
      <c r="O128" s="373"/>
      <c r="P128" s="373"/>
      <c r="Q128" s="373"/>
      <c r="R128" s="373"/>
      <c r="S128" s="373"/>
      <c r="T128" s="373"/>
      <c r="U128" s="373"/>
      <c r="V128" s="373"/>
      <c r="W128" s="373"/>
      <c r="X128" s="373"/>
      <c r="Y128" s="373"/>
      <c r="Z128" s="373"/>
      <c r="AA128" s="373"/>
      <c r="AB128" s="609">
        <v>-656</v>
      </c>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c r="BA128" s="373"/>
    </row>
    <row r="129" spans="1:53" s="354" customFormat="1" ht="14.25" customHeight="1">
      <c r="A129" s="373"/>
      <c r="B129" s="431" t="s">
        <v>301</v>
      </c>
      <c r="C129" s="373"/>
      <c r="D129" s="427">
        <f>+_xlfn.XLOOKUP($B129,Inputs!$B:$B,Inputs!Q:Q)</f>
        <v>1997</v>
      </c>
      <c r="E129" s="609">
        <v>0</v>
      </c>
      <c r="F129" s="609">
        <v>4326</v>
      </c>
      <c r="G129" s="615">
        <v>0</v>
      </c>
      <c r="H129" s="609">
        <v>1034</v>
      </c>
      <c r="I129" s="609">
        <v>0</v>
      </c>
      <c r="J129" s="623">
        <f t="shared" si="48"/>
        <v>2877.6800000000003</v>
      </c>
      <c r="K129" s="609">
        <v>0</v>
      </c>
      <c r="L129" s="615">
        <v>0</v>
      </c>
      <c r="M129" s="615">
        <v>2300</v>
      </c>
      <c r="N129" s="609">
        <v>987</v>
      </c>
      <c r="O129" s="373"/>
      <c r="P129" s="373"/>
      <c r="Q129" s="373"/>
      <c r="R129" s="373"/>
      <c r="S129" s="373"/>
      <c r="T129" s="373"/>
      <c r="U129" s="373"/>
      <c r="V129" s="373"/>
      <c r="W129" s="373"/>
      <c r="X129" s="373"/>
      <c r="Y129" s="373"/>
      <c r="Z129" s="373"/>
      <c r="AA129" s="373"/>
      <c r="AB129" s="609">
        <v>2767</v>
      </c>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3"/>
      <c r="AX129" s="373"/>
      <c r="AY129" s="373"/>
      <c r="AZ129" s="373"/>
      <c r="BA129" s="373"/>
    </row>
    <row r="130" spans="1:53" s="354" customFormat="1" ht="14.25" customHeight="1">
      <c r="A130" s="373"/>
      <c r="B130" s="431" t="s">
        <v>302</v>
      </c>
      <c r="C130" s="373"/>
      <c r="D130" s="427">
        <f>+_xlfn.XLOOKUP($B130,Inputs!$B:$B,Inputs!Q:Q)</f>
        <v>0</v>
      </c>
      <c r="E130" s="609">
        <v>-1603</v>
      </c>
      <c r="F130" s="609">
        <v>-4325</v>
      </c>
      <c r="G130" s="615">
        <v>0</v>
      </c>
      <c r="H130" s="609">
        <v>-298</v>
      </c>
      <c r="I130" s="609">
        <v>-5.7000000000000002E-2</v>
      </c>
      <c r="J130" s="623">
        <f t="shared" si="48"/>
        <v>-1554.8</v>
      </c>
      <c r="K130" s="609">
        <v>0</v>
      </c>
      <c r="L130" s="615">
        <v>0</v>
      </c>
      <c r="M130" s="615">
        <v>-1932</v>
      </c>
      <c r="N130" s="609">
        <v>-1000</v>
      </c>
      <c r="O130" s="373"/>
      <c r="P130" s="373"/>
      <c r="Q130" s="373"/>
      <c r="R130" s="373"/>
      <c r="S130" s="373"/>
      <c r="T130" s="373"/>
      <c r="U130" s="373"/>
      <c r="V130" s="373"/>
      <c r="W130" s="373"/>
      <c r="X130" s="373"/>
      <c r="Y130" s="373"/>
      <c r="Z130" s="373"/>
      <c r="AA130" s="373"/>
      <c r="AB130" s="609">
        <v>-1495</v>
      </c>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3"/>
      <c r="BA130" s="373"/>
    </row>
    <row r="131" spans="1:53" s="354" customFormat="1" ht="14.25" customHeight="1">
      <c r="A131" s="373"/>
      <c r="B131" s="431" t="s">
        <v>303</v>
      </c>
      <c r="C131" s="373"/>
      <c r="D131" s="427">
        <f>+_xlfn.XLOOKUP($B131,Inputs!$B:$B,Inputs!Q:Q)</f>
        <v>-7724</v>
      </c>
      <c r="E131" s="609">
        <v>-9429</v>
      </c>
      <c r="F131" s="609">
        <v>-397</v>
      </c>
      <c r="G131" s="615">
        <v>-1150</v>
      </c>
      <c r="H131" s="609">
        <v>787</v>
      </c>
      <c r="I131" s="609">
        <v>53</v>
      </c>
      <c r="J131" s="623">
        <f t="shared" si="48"/>
        <v>-3548.48</v>
      </c>
      <c r="K131" s="609">
        <v>-1343</v>
      </c>
      <c r="L131" s="615">
        <v>-987</v>
      </c>
      <c r="M131" s="615">
        <v>-227</v>
      </c>
      <c r="N131" s="609">
        <v>-408</v>
      </c>
      <c r="O131" s="373"/>
      <c r="P131" s="373"/>
      <c r="Q131" s="373"/>
      <c r="R131" s="373"/>
      <c r="S131" s="373"/>
      <c r="T131" s="373"/>
      <c r="U131" s="373"/>
      <c r="V131" s="373"/>
      <c r="W131" s="373"/>
      <c r="X131" s="373"/>
      <c r="Y131" s="373"/>
      <c r="Z131" s="373"/>
      <c r="AA131" s="373"/>
      <c r="AB131" s="609">
        <v>-3412</v>
      </c>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3"/>
      <c r="BA131" s="373"/>
    </row>
    <row r="132" spans="1:53" s="354" customFormat="1" ht="14.25" customHeight="1">
      <c r="A132" s="373"/>
      <c r="B132" s="431" t="s">
        <v>304</v>
      </c>
      <c r="C132" s="373"/>
      <c r="D132" s="427">
        <f>+_xlfn.XLOOKUP($B132,Inputs!$B:$B,Inputs!Q:Q)</f>
        <v>472</v>
      </c>
      <c r="E132" s="609">
        <v>376</v>
      </c>
      <c r="F132" s="615">
        <v>4247</v>
      </c>
      <c r="G132" s="615">
        <v>-470</v>
      </c>
      <c r="H132" s="609">
        <v>917</v>
      </c>
      <c r="I132" s="609">
        <v>125</v>
      </c>
      <c r="J132" s="623">
        <f t="shared" si="48"/>
        <v>1544.4</v>
      </c>
      <c r="K132" s="609">
        <v>406</v>
      </c>
      <c r="L132" s="615">
        <v>-293</v>
      </c>
      <c r="M132" s="615">
        <v>918</v>
      </c>
      <c r="N132" s="609">
        <v>0</v>
      </c>
      <c r="O132" s="373"/>
      <c r="P132" s="373"/>
      <c r="Q132" s="373"/>
      <c r="R132" s="373"/>
      <c r="S132" s="373"/>
      <c r="T132" s="373"/>
      <c r="U132" s="373"/>
      <c r="V132" s="373"/>
      <c r="W132" s="373"/>
      <c r="X132" s="373"/>
      <c r="Y132" s="373"/>
      <c r="Z132" s="373"/>
      <c r="AA132" s="373"/>
      <c r="AB132" s="609">
        <v>1485</v>
      </c>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3"/>
      <c r="BA132" s="373"/>
    </row>
    <row r="133" spans="1:53" s="354" customFormat="1" ht="3.95" customHeight="1">
      <c r="A133" s="373"/>
      <c r="B133" s="432"/>
      <c r="C133" s="373"/>
      <c r="D133" s="603"/>
      <c r="E133" s="604"/>
      <c r="F133" s="604"/>
      <c r="G133" s="604"/>
      <c r="H133" s="604"/>
      <c r="I133" s="604"/>
      <c r="J133" s="604"/>
      <c r="K133" s="604"/>
      <c r="L133" s="604"/>
      <c r="M133" s="604"/>
      <c r="N133" s="605"/>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3"/>
      <c r="AX133" s="373"/>
      <c r="AY133" s="373"/>
      <c r="AZ133" s="373"/>
      <c r="BA133" s="373"/>
    </row>
    <row r="134" spans="1:53" ht="14.25" customHeight="1">
      <c r="B134" s="65" t="s">
        <v>99</v>
      </c>
      <c r="C134" s="66"/>
      <c r="D134" s="65"/>
      <c r="E134" s="66"/>
      <c r="F134" s="66"/>
      <c r="G134" s="66"/>
      <c r="H134" s="66"/>
      <c r="I134" s="66"/>
      <c r="J134" s="66"/>
      <c r="K134" s="82"/>
      <c r="L134" s="83"/>
      <c r="M134" s="83"/>
      <c r="N134" s="83"/>
      <c r="O134" s="83"/>
      <c r="P134" s="83"/>
    </row>
    <row r="135" spans="1:53" ht="3.75" customHeight="1">
      <c r="B135" s="67"/>
      <c r="C135" s="67"/>
      <c r="D135" s="67"/>
      <c r="E135" s="67"/>
      <c r="F135" s="67"/>
      <c r="G135" s="67"/>
      <c r="H135" s="67"/>
      <c r="I135" s="67"/>
      <c r="J135" s="84"/>
      <c r="K135" s="84"/>
      <c r="L135" s="84"/>
      <c r="M135" s="84"/>
      <c r="N135" s="84"/>
      <c r="O135" s="84"/>
      <c r="P135" s="84"/>
    </row>
    <row r="136" spans="1:53" ht="14.25" customHeight="1">
      <c r="E136" s="355" t="s">
        <v>305</v>
      </c>
      <c r="F136" s="355" t="s">
        <v>305</v>
      </c>
      <c r="G136" s="355" t="s">
        <v>305</v>
      </c>
      <c r="H136" s="355" t="s">
        <v>305</v>
      </c>
      <c r="I136" s="355" t="s">
        <v>305</v>
      </c>
      <c r="J136" s="760" t="s">
        <v>306</v>
      </c>
      <c r="K136" s="355" t="s">
        <v>305</v>
      </c>
      <c r="L136" s="355" t="s">
        <v>305</v>
      </c>
      <c r="M136" s="355" t="s">
        <v>305</v>
      </c>
      <c r="N136" s="355" t="s">
        <v>305</v>
      </c>
    </row>
    <row r="137" spans="1:53" ht="14.25" customHeight="1">
      <c r="J137" s="355" t="s">
        <v>307</v>
      </c>
    </row>
    <row r="138" spans="1:53" ht="14.25" customHeight="1">
      <c r="J138" s="355" t="s">
        <v>308</v>
      </c>
    </row>
    <row r="139" spans="1:53" ht="14.25" customHeight="1">
      <c r="I139" s="355">
        <v>2024</v>
      </c>
      <c r="J139" s="355">
        <v>1.04</v>
      </c>
    </row>
    <row r="140" spans="1:53" ht="14.25" customHeight="1">
      <c r="I140" s="355">
        <v>2023</v>
      </c>
      <c r="J140" s="355">
        <v>1.1000000000000001</v>
      </c>
    </row>
    <row r="141" spans="1:53" ht="14.25" customHeight="1">
      <c r="I141" s="355">
        <v>2022</v>
      </c>
      <c r="J141" s="355">
        <v>1.07</v>
      </c>
    </row>
    <row r="142" spans="1:53" ht="14.25" customHeight="1">
      <c r="B142" s="65" t="s">
        <v>112</v>
      </c>
      <c r="C142" s="66"/>
      <c r="D142" s="65"/>
      <c r="E142" s="66"/>
      <c r="F142" s="66"/>
      <c r="G142" s="66"/>
      <c r="H142" s="66"/>
      <c r="I142" s="66"/>
      <c r="J142" s="82"/>
      <c r="K142" s="83"/>
      <c r="L142" s="83"/>
      <c r="M142" s="83"/>
      <c r="N142" s="83"/>
      <c r="O142" s="83"/>
      <c r="P142" s="83"/>
    </row>
    <row r="143" spans="1:53" ht="4.3499999999999996" customHeight="1">
      <c r="B143" s="663"/>
      <c r="C143" s="663"/>
      <c r="D143" s="663"/>
      <c r="E143" s="663"/>
      <c r="F143" s="663"/>
      <c r="G143" s="663"/>
      <c r="H143" s="663"/>
      <c r="I143" s="663"/>
      <c r="J143" s="663"/>
      <c r="K143" s="663"/>
      <c r="L143" s="663"/>
      <c r="M143" s="663"/>
      <c r="N143" s="663"/>
      <c r="O143" s="663"/>
      <c r="P143" s="663"/>
    </row>
  </sheetData>
  <mergeCells count="11">
    <mergeCell ref="D20:F20"/>
    <mergeCell ref="J20:L20"/>
    <mergeCell ref="M20:O20"/>
    <mergeCell ref="Q2:Q4"/>
    <mergeCell ref="D2:E2"/>
    <mergeCell ref="H3:I3"/>
    <mergeCell ref="J3:K3"/>
    <mergeCell ref="F3:G3"/>
    <mergeCell ref="N3:O3"/>
    <mergeCell ref="D3:E3"/>
    <mergeCell ref="L3:M3"/>
  </mergeCells>
  <conditionalFormatting sqref="D6:D16">
    <cfRule type="colorScale" priority="25">
      <colorScale>
        <cfvo type="min"/>
        <cfvo type="percentile" val="50"/>
        <cfvo type="max"/>
        <color rgb="FFF8696B"/>
        <color rgb="FFFFEB84"/>
        <color rgb="FF63BE7B"/>
      </colorScale>
    </cfRule>
  </conditionalFormatting>
  <conditionalFormatting sqref="E6:E16">
    <cfRule type="colorScale" priority="24">
      <colorScale>
        <cfvo type="min"/>
        <cfvo type="percentile" val="50"/>
        <cfvo type="max"/>
        <color rgb="FFF8696B"/>
        <color rgb="FFFFEB84"/>
        <color rgb="FF63BE7B"/>
      </colorScale>
    </cfRule>
  </conditionalFormatting>
  <conditionalFormatting sqref="F6:G16">
    <cfRule type="colorScale" priority="22">
      <colorScale>
        <cfvo type="min"/>
        <cfvo type="percentile" val="50"/>
        <cfvo type="max"/>
        <color rgb="FFF8696B"/>
        <color rgb="FFFFEB84"/>
        <color rgb="FF63BE7B"/>
      </colorScale>
    </cfRule>
  </conditionalFormatting>
  <conditionalFormatting sqref="H6:H11">
    <cfRule type="colorScale" priority="97">
      <colorScale>
        <cfvo type="min"/>
        <cfvo type="percentile" val="50"/>
        <cfvo type="max"/>
        <color rgb="FF63BE7B"/>
        <color rgb="FFFFEB84"/>
        <color rgb="FFF8696B"/>
      </colorScale>
    </cfRule>
    <cfRule type="colorScale" priority="96">
      <colorScale>
        <cfvo type="min"/>
        <cfvo type="percentile" val="50"/>
        <cfvo type="max"/>
        <color rgb="FF63BE7B"/>
        <color rgb="FFFFEB84"/>
        <color rgb="FFF8696B"/>
      </colorScale>
    </cfRule>
  </conditionalFormatting>
  <conditionalFormatting sqref="H6:H16">
    <cfRule type="colorScale" priority="21">
      <colorScale>
        <cfvo type="min"/>
        <cfvo type="percentile" val="50"/>
        <cfvo type="max"/>
        <color rgb="FFF8696B"/>
        <color rgb="FFFFEB84"/>
        <color rgb="FF63BE7B"/>
      </colorScale>
    </cfRule>
  </conditionalFormatting>
  <conditionalFormatting sqref="H12:H16">
    <cfRule type="colorScale" priority="58">
      <colorScale>
        <cfvo type="min"/>
        <cfvo type="percentile" val="50"/>
        <cfvo type="max"/>
        <color rgb="FFF8696B"/>
        <color rgb="FFFFEB84"/>
        <color rgb="FF63BE7B"/>
      </colorScale>
    </cfRule>
  </conditionalFormatting>
  <conditionalFormatting sqref="I6:I16">
    <cfRule type="colorScale" priority="18">
      <colorScale>
        <cfvo type="min"/>
        <cfvo type="percentile" val="50"/>
        <cfvo type="max"/>
        <color rgb="FFF8696B"/>
        <color rgb="FFFFEB84"/>
        <color rgb="FF63BE7B"/>
      </colorScale>
    </cfRule>
    <cfRule type="colorScale" priority="76">
      <colorScale>
        <cfvo type="min"/>
        <cfvo type="percentile" val="50"/>
        <cfvo type="max"/>
        <color rgb="FF63BE7B"/>
        <color rgb="FFFFEB84"/>
        <color rgb="FFF8696B"/>
      </colorScale>
    </cfRule>
    <cfRule type="colorScale" priority="75">
      <colorScale>
        <cfvo type="min"/>
        <cfvo type="percentile" val="50"/>
        <cfvo type="max"/>
        <color rgb="FF63BE7B"/>
        <color rgb="FFFFEB84"/>
        <color rgb="FFF8696B"/>
      </colorScale>
    </cfRule>
  </conditionalFormatting>
  <conditionalFormatting sqref="J6:J16">
    <cfRule type="colorScale" priority="105">
      <colorScale>
        <cfvo type="min"/>
        <cfvo type="percentile" val="50"/>
        <cfvo type="max"/>
        <color rgb="FF63BE7B"/>
        <color rgb="FFFFEB84"/>
        <color rgb="FFF8696B"/>
      </colorScale>
    </cfRule>
    <cfRule type="colorScale" priority="104">
      <colorScale>
        <cfvo type="min"/>
        <cfvo type="percentile" val="50"/>
        <cfvo type="max"/>
        <color rgb="FF63BE7B"/>
        <color rgb="FFFFEB84"/>
        <color rgb="FFF8696B"/>
      </colorScale>
    </cfRule>
  </conditionalFormatting>
  <conditionalFormatting sqref="J12:J16">
    <cfRule type="colorScale" priority="56">
      <colorScale>
        <cfvo type="min"/>
        <cfvo type="percentile" val="50"/>
        <cfvo type="max"/>
        <color rgb="FFF8696B"/>
        <color rgb="FFFFEB84"/>
        <color rgb="FF63BE7B"/>
      </colorScale>
    </cfRule>
  </conditionalFormatting>
  <conditionalFormatting sqref="J6:K16">
    <cfRule type="colorScale" priority="17">
      <colorScale>
        <cfvo type="min"/>
        <cfvo type="percentile" val="50"/>
        <cfvo type="max"/>
        <color rgb="FF63BE7B"/>
        <color rgb="FFFFEB84"/>
        <color rgb="FFF8696B"/>
      </colorScale>
    </cfRule>
  </conditionalFormatting>
  <conditionalFormatting sqref="K6:K16">
    <cfRule type="colorScale" priority="9">
      <colorScale>
        <cfvo type="min"/>
        <cfvo type="percentile" val="50"/>
        <cfvo type="max"/>
        <color rgb="FF63BE7B"/>
        <color rgb="FFFFEB84"/>
        <color rgb="FFF8696B"/>
      </colorScale>
    </cfRule>
    <cfRule type="colorScale" priority="110">
      <colorScale>
        <cfvo type="min"/>
        <cfvo type="percentile" val="50"/>
        <cfvo type="max"/>
        <color rgb="FF63BE7B"/>
        <color rgb="FFFFEB84"/>
        <color rgb="FFF8696B"/>
      </colorScale>
    </cfRule>
    <cfRule type="colorScale" priority="109">
      <colorScale>
        <cfvo type="min"/>
        <cfvo type="percentile" val="50"/>
        <cfvo type="max"/>
        <color rgb="FF63BE7B"/>
        <color rgb="FFFFEB84"/>
        <color rgb="FFF8696B"/>
      </colorScale>
    </cfRule>
  </conditionalFormatting>
  <conditionalFormatting sqref="K12:K16">
    <cfRule type="colorScale" priority="12">
      <colorScale>
        <cfvo type="min"/>
        <cfvo type="percentile" val="50"/>
        <cfvo type="max"/>
        <color rgb="FFF8696B"/>
        <color rgb="FFFFEB84"/>
        <color rgb="FF63BE7B"/>
      </colorScale>
    </cfRule>
  </conditionalFormatting>
  <conditionalFormatting sqref="L6:L16">
    <cfRule type="colorScale" priority="8">
      <colorScale>
        <cfvo type="min"/>
        <cfvo type="percentile" val="50"/>
        <cfvo type="max"/>
        <color rgb="FF63BE7B"/>
        <color rgb="FFFFEB84"/>
        <color rgb="FFF8696B"/>
      </colorScale>
    </cfRule>
  </conditionalFormatting>
  <conditionalFormatting sqref="L12:L16">
    <cfRule type="colorScale" priority="74">
      <colorScale>
        <cfvo type="min"/>
        <cfvo type="percentile" val="50"/>
        <cfvo type="max"/>
        <color rgb="FFF8696B"/>
        <color rgb="FFFFEB84"/>
        <color rgb="FF63BE7B"/>
      </colorScale>
    </cfRule>
  </conditionalFormatting>
  <conditionalFormatting sqref="M6:M16">
    <cfRule type="colorScale" priority="7">
      <colorScale>
        <cfvo type="min"/>
        <cfvo type="percentile" val="50"/>
        <cfvo type="max"/>
        <color rgb="FF63BE7B"/>
        <color rgb="FFFFEB84"/>
        <color rgb="FFF8696B"/>
      </colorScale>
    </cfRule>
  </conditionalFormatting>
  <conditionalFormatting sqref="M12:M16">
    <cfRule type="colorScale" priority="73">
      <colorScale>
        <cfvo type="min"/>
        <cfvo type="percentile" val="50"/>
        <cfvo type="max"/>
        <color rgb="FFF8696B"/>
        <color rgb="FFFFEB84"/>
        <color rgb="FF63BE7B"/>
      </colorScale>
    </cfRule>
  </conditionalFormatting>
  <conditionalFormatting sqref="M23:O26">
    <cfRule type="colorScale" priority="1">
      <colorScale>
        <cfvo type="min"/>
        <cfvo type="num" val="0"/>
        <cfvo type="max"/>
        <color rgb="FFF8696B"/>
        <color rgb="FFFCFCFF"/>
        <color rgb="FF63BE7B"/>
      </colorScale>
    </cfRule>
  </conditionalFormatting>
  <conditionalFormatting sqref="N6:N16">
    <cfRule type="colorScale" priority="6">
      <colorScale>
        <cfvo type="min"/>
        <cfvo type="percentile" val="50"/>
        <cfvo type="max"/>
        <color rgb="FF63BE7B"/>
        <color rgb="FFFFEB84"/>
        <color rgb="FFF8696B"/>
      </colorScale>
    </cfRule>
  </conditionalFormatting>
  <conditionalFormatting sqref="O6:O16">
    <cfRule type="colorScale" priority="5">
      <colorScale>
        <cfvo type="min"/>
        <cfvo type="percentile" val="50"/>
        <cfvo type="max"/>
        <color rgb="FF63BE7B"/>
        <color rgb="FFFFEB84"/>
        <color rgb="FFF8696B"/>
      </colorScale>
    </cfRule>
  </conditionalFormatting>
  <conditionalFormatting sqref="R12:R16">
    <cfRule type="colorScale" priority="50">
      <colorScale>
        <cfvo type="min"/>
        <cfvo type="percentile" val="50"/>
        <cfvo type="max"/>
        <color rgb="FF63BE7B"/>
        <color rgb="FFFFEB84"/>
        <color rgb="FFF8696B"/>
      </colorScale>
    </cfRule>
  </conditionalFormatting>
  <conditionalFormatting sqref="S12:S16">
    <cfRule type="colorScale" priority="49">
      <colorScale>
        <cfvo type="min"/>
        <cfvo type="percentile" val="50"/>
        <cfvo type="max"/>
        <color rgb="FFF8696B"/>
        <color rgb="FFFFEB84"/>
        <color rgb="FF63BE7B"/>
      </colorScale>
    </cfRule>
  </conditionalFormatting>
  <conditionalFormatting sqref="U12:U16">
    <cfRule type="colorScale" priority="68">
      <colorScale>
        <cfvo type="min"/>
        <cfvo type="percentile" val="50"/>
        <cfvo type="max"/>
        <color rgb="FFF8696B"/>
        <color rgb="FFFFEB84"/>
        <color rgb="FF63BE7B"/>
      </colorScale>
    </cfRule>
    <cfRule type="colorScale" priority="48">
      <colorScale>
        <cfvo type="min"/>
        <cfvo type="percentile" val="50"/>
        <cfvo type="max"/>
        <color rgb="FFF8696B"/>
        <color rgb="FFFFEB84"/>
        <color rgb="FF63BE7B"/>
      </colorScale>
    </cfRule>
  </conditionalFormatting>
  <conditionalFormatting sqref="V12:V16">
    <cfRule type="colorScale" priority="67">
      <colorScale>
        <cfvo type="min"/>
        <cfvo type="percentile" val="50"/>
        <cfvo type="max"/>
        <color rgb="FFF8696B"/>
        <color rgb="FFFFEB84"/>
        <color rgb="FF63BE7B"/>
      </colorScale>
    </cfRule>
    <cfRule type="colorScale" priority="47">
      <colorScale>
        <cfvo type="min"/>
        <cfvo type="percentile" val="50"/>
        <cfvo type="max"/>
        <color rgb="FFF8696B"/>
        <color rgb="FFFFEB84"/>
        <color rgb="FF63BE7B"/>
      </colorScale>
    </cfRule>
  </conditionalFormatting>
  <conditionalFormatting sqref="X12:X16">
    <cfRule type="colorScale" priority="66">
      <colorScale>
        <cfvo type="min"/>
        <cfvo type="percentile" val="50"/>
        <cfvo type="max"/>
        <color rgb="FFF8696B"/>
        <color rgb="FFFFEB84"/>
        <color rgb="FF63BE7B"/>
      </colorScale>
    </cfRule>
    <cfRule type="colorScale" priority="46">
      <colorScale>
        <cfvo type="min"/>
        <cfvo type="percentile" val="50"/>
        <cfvo type="max"/>
        <color rgb="FFF8696B"/>
        <color rgb="FFFFEB84"/>
        <color rgb="FF63BE7B"/>
      </colorScale>
    </cfRule>
  </conditionalFormatting>
  <conditionalFormatting sqref="Y12:Y16">
    <cfRule type="colorScale" priority="65">
      <colorScale>
        <cfvo type="min"/>
        <cfvo type="percentile" val="50"/>
        <cfvo type="max"/>
        <color rgb="FFF8696B"/>
        <color rgb="FFFFEB84"/>
        <color rgb="FF63BE7B"/>
      </colorScale>
    </cfRule>
    <cfRule type="colorScale" priority="45">
      <colorScale>
        <cfvo type="min"/>
        <cfvo type="percentile" val="50"/>
        <cfvo type="max"/>
        <color rgb="FFF8696B"/>
        <color rgb="FFFFEB84"/>
        <color rgb="FF63BE7B"/>
      </colorScale>
    </cfRule>
  </conditionalFormatting>
  <conditionalFormatting sqref="Z12:Z16">
    <cfRule type="colorScale" priority="64">
      <colorScale>
        <cfvo type="min"/>
        <cfvo type="percentile" val="50"/>
        <cfvo type="max"/>
        <color rgb="FF63BE7B"/>
        <color rgb="FFFFEB84"/>
        <color rgb="FFF8696B"/>
      </colorScale>
    </cfRule>
  </conditionalFormatting>
  <conditionalFormatting sqref="AA12:AA16">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B12:AB16">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C12:AC16">
    <cfRule type="colorScale" priority="42">
      <colorScale>
        <cfvo type="min"/>
        <cfvo type="percentile" val="50"/>
        <cfvo type="max"/>
        <color rgb="FF63BE7B"/>
        <color rgb="FFFFEB84"/>
        <color rgb="FFF8696B"/>
      </colorScale>
    </cfRule>
  </conditionalFormatting>
  <conditionalFormatting sqref="AE6:AE16">
    <cfRule type="colorScale" priority="118">
      <colorScale>
        <cfvo type="min"/>
        <cfvo type="percentile" val="50"/>
        <cfvo type="max"/>
        <color rgb="FF63BE7B"/>
        <color rgb="FFFFEB84"/>
        <color rgb="FFF8696B"/>
      </colorScale>
    </cfRule>
    <cfRule type="colorScale" priority="119">
      <colorScale>
        <cfvo type="min"/>
        <cfvo type="percentile" val="50"/>
        <cfvo type="max"/>
        <color rgb="FF63BE7B"/>
        <color rgb="FFFFEB84"/>
        <color rgb="FFF8696B"/>
      </colorScale>
    </cfRule>
  </conditionalFormatting>
  <conditionalFormatting sqref="AF6:AF16">
    <cfRule type="colorScale" priority="122">
      <colorScale>
        <cfvo type="min"/>
        <cfvo type="percentile" val="50"/>
        <cfvo type="max"/>
        <color rgb="FF63BE7B"/>
        <color rgb="FFFFEB84"/>
        <color rgb="FFF8696B"/>
      </colorScale>
    </cfRule>
    <cfRule type="colorScale" priority="123">
      <colorScale>
        <cfvo type="min"/>
        <cfvo type="percentile" val="50"/>
        <cfvo type="max"/>
        <color rgb="FF63BE7B"/>
        <color rgb="FFFFEB84"/>
        <color rgb="FFF8696B"/>
      </colorScale>
    </cfRule>
  </conditionalFormatting>
  <conditionalFormatting sqref="AG6:AG16">
    <cfRule type="colorScale" priority="126">
      <colorScale>
        <cfvo type="min"/>
        <cfvo type="percentile" val="50"/>
        <cfvo type="max"/>
        <color rgb="FF63BE7B"/>
        <color rgb="FFFFEB84"/>
        <color rgb="FFF8696B"/>
      </colorScale>
    </cfRule>
    <cfRule type="colorScale" priority="127">
      <colorScale>
        <cfvo type="min"/>
        <cfvo type="percentile" val="50"/>
        <cfvo type="max"/>
        <color rgb="FF63BE7B"/>
        <color rgb="FFFFEB84"/>
        <color rgb="FFF8696B"/>
      </colorScale>
    </cfRule>
  </conditionalFormatting>
  <conditionalFormatting sqref="AH6:AH16">
    <cfRule type="colorScale" priority="130">
      <colorScale>
        <cfvo type="min"/>
        <cfvo type="percentile" val="50"/>
        <cfvo type="max"/>
        <color rgb="FF63BE7B"/>
        <color rgb="FFFFEB84"/>
        <color rgb="FFF8696B"/>
      </colorScale>
    </cfRule>
    <cfRule type="colorScale" priority="131">
      <colorScale>
        <cfvo type="min"/>
        <cfvo type="percentile" val="50"/>
        <cfvo type="max"/>
        <color rgb="FF63BE7B"/>
        <color rgb="FFFFEB84"/>
        <color rgb="FFF8696B"/>
      </colorScale>
    </cfRule>
  </conditionalFormatting>
  <conditionalFormatting sqref="AI6:AI16">
    <cfRule type="colorScale" priority="134">
      <colorScale>
        <cfvo type="min"/>
        <cfvo type="percentile" val="50"/>
        <cfvo type="max"/>
        <color rgb="FF63BE7B"/>
        <color rgb="FFFFEB84"/>
        <color rgb="FFF8696B"/>
      </colorScale>
    </cfRule>
    <cfRule type="colorScale" priority="135">
      <colorScale>
        <cfvo type="min"/>
        <cfvo type="percentile" val="50"/>
        <cfvo type="max"/>
        <color rgb="FF63BE7B"/>
        <color rgb="FFFFEB84"/>
        <color rgb="FFF8696B"/>
      </colorScale>
    </cfRule>
  </conditionalFormatting>
  <conditionalFormatting sqref="AO6:AO16">
    <cfRule type="colorScale" priority="138">
      <colorScale>
        <cfvo type="min"/>
        <cfvo type="percentile" val="50"/>
        <cfvo type="max"/>
        <color rgb="FFF8696B"/>
        <color rgb="FFFFEB84"/>
        <color rgb="FF63BE7B"/>
      </colorScale>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opLeftCell="A8" zoomScale="80" zoomScaleNormal="80" workbookViewId="0">
      <selection activeCell="G11" sqref="G11:L12"/>
    </sheetView>
  </sheetViews>
  <sheetFormatPr defaultColWidth="7.625" defaultRowHeight="12.75" customHeight="1"/>
  <cols>
    <col min="1" max="1" width="2" style="44" customWidth="1"/>
    <col min="2" max="2" width="26.375" style="44" customWidth="1"/>
    <col min="3" max="3" width="20.125" style="43" customWidth="1"/>
    <col min="4" max="4" width="4.125" style="44" customWidth="1"/>
    <col min="5" max="5" width="44.5" style="44" customWidth="1"/>
    <col min="6" max="6" width="3.375" style="44" customWidth="1"/>
    <col min="7" max="12" width="11.125" style="44" customWidth="1"/>
    <col min="13" max="13" width="4.125" style="44" customWidth="1"/>
    <col min="14" max="21" width="11.125" style="44" customWidth="1"/>
    <col min="22" max="22" width="12.5" style="44" customWidth="1"/>
    <col min="23" max="23" width="9.875" style="44" customWidth="1"/>
    <col min="24" max="24" width="14" style="44" customWidth="1"/>
    <col min="25" max="25" width="11.375" style="44" customWidth="1"/>
    <col min="26" max="26" width="14.125" style="44" customWidth="1"/>
    <col min="27" max="27" width="8" style="44" customWidth="1"/>
    <col min="28" max="28" width="8.625" style="44" bestFit="1" customWidth="1"/>
    <col min="29" max="29" width="6.375" style="44" customWidth="1"/>
    <col min="30" max="30" width="7.125" style="44" customWidth="1"/>
    <col min="31" max="31" width="8.625" style="44" customWidth="1"/>
    <col min="32" max="32" width="8.5" style="44" customWidth="1"/>
    <col min="33" max="33" width="9.625" style="44" customWidth="1"/>
    <col min="34" max="34" width="8.625" style="44" customWidth="1"/>
    <col min="35" max="35" width="7.625" style="44" customWidth="1"/>
    <col min="36" max="37" width="7.125" style="44" customWidth="1"/>
    <col min="38" max="38" width="8.125" style="44" customWidth="1"/>
    <col min="39" max="39" width="7.625" style="44" customWidth="1"/>
    <col min="40" max="16384" width="7.625" style="44"/>
  </cols>
  <sheetData>
    <row r="1" spans="2:30" customFormat="1" ht="14.1">
      <c r="Q1" s="6"/>
    </row>
    <row r="2" spans="2:30" s="41" customFormat="1" ht="20.100000000000001" customHeight="1">
      <c r="B2" s="40" t="s">
        <v>309</v>
      </c>
      <c r="Q2" s="42"/>
    </row>
    <row r="3" spans="2:30" customFormat="1" ht="14.1">
      <c r="Q3" s="6"/>
      <c r="Z3" s="44"/>
      <c r="AA3" s="44"/>
      <c r="AB3" s="44"/>
      <c r="AC3" s="44"/>
      <c r="AD3" s="44"/>
    </row>
    <row r="4" spans="2:30" ht="14.45" thickBot="1">
      <c r="B4" s="1" t="s">
        <v>310</v>
      </c>
      <c r="C4" s="43" t="s">
        <v>18</v>
      </c>
      <c r="E4" s="1" t="s">
        <v>311</v>
      </c>
      <c r="F4" s="1"/>
      <c r="G4" s="1"/>
      <c r="H4" s="1"/>
      <c r="I4" s="1"/>
      <c r="J4" s="1"/>
      <c r="N4" s="1" t="s">
        <v>312</v>
      </c>
      <c r="O4" s="1"/>
      <c r="P4" s="1"/>
      <c r="Q4" s="1"/>
      <c r="R4" s="1"/>
      <c r="S4" s="1"/>
    </row>
    <row r="5" spans="2:30" ht="14.1">
      <c r="B5" s="45"/>
      <c r="C5" s="46"/>
      <c r="E5" s="47"/>
      <c r="F5" s="47"/>
      <c r="G5" s="847"/>
      <c r="H5" s="847"/>
      <c r="I5" s="847"/>
      <c r="J5" s="847"/>
      <c r="K5" s="847"/>
      <c r="L5" s="847"/>
      <c r="N5" s="848"/>
      <c r="O5" s="848"/>
      <c r="P5" s="848"/>
      <c r="Q5" s="848"/>
      <c r="R5" s="848"/>
      <c r="S5" s="848"/>
      <c r="T5" s="848"/>
      <c r="U5" s="848"/>
    </row>
    <row r="6" spans="2:30" ht="14.45" thickBot="1">
      <c r="B6" s="1" t="s">
        <v>313</v>
      </c>
      <c r="C6" s="44"/>
      <c r="D6" s="44" t="s">
        <v>314</v>
      </c>
      <c r="G6" s="832"/>
      <c r="H6" s="832"/>
      <c r="I6" s="832"/>
      <c r="J6" s="832"/>
      <c r="K6" s="832"/>
      <c r="L6" s="832"/>
      <c r="N6" s="849"/>
      <c r="O6" s="849"/>
      <c r="P6" s="849"/>
      <c r="Q6" s="849"/>
      <c r="R6" s="849"/>
      <c r="S6" s="849"/>
      <c r="T6" s="849"/>
      <c r="U6" s="849"/>
    </row>
    <row r="7" spans="2:30" ht="14.1">
      <c r="B7" s="45" t="s">
        <v>315</v>
      </c>
      <c r="C7" s="48">
        <v>45122</v>
      </c>
      <c r="D7" s="44" t="s">
        <v>314</v>
      </c>
      <c r="E7" s="23"/>
      <c r="G7" s="832"/>
      <c r="H7" s="832"/>
      <c r="I7" s="832"/>
      <c r="J7" s="832"/>
      <c r="K7" s="832"/>
      <c r="L7" s="832"/>
      <c r="N7" s="849"/>
      <c r="O7" s="849"/>
      <c r="P7" s="849"/>
      <c r="Q7" s="849"/>
      <c r="R7" s="849"/>
      <c r="S7" s="849"/>
      <c r="T7" s="849"/>
      <c r="U7" s="849"/>
    </row>
    <row r="8" spans="2:30" ht="14.1">
      <c r="B8" s="25" t="s">
        <v>316</v>
      </c>
      <c r="C8" s="39">
        <v>2023</v>
      </c>
      <c r="G8" s="832"/>
      <c r="H8" s="832"/>
      <c r="I8" s="832"/>
      <c r="J8" s="832"/>
      <c r="K8" s="832"/>
      <c r="L8" s="832"/>
      <c r="N8" s="849"/>
      <c r="O8" s="849"/>
      <c r="P8" s="849"/>
      <c r="Q8" s="849"/>
      <c r="R8" s="849"/>
      <c r="S8" s="849"/>
      <c r="T8" s="849"/>
      <c r="U8" s="849"/>
    </row>
    <row r="9" spans="2:30" ht="15" customHeight="1">
      <c r="B9" s="25" t="s">
        <v>317</v>
      </c>
      <c r="C9" s="26"/>
      <c r="E9" s="23"/>
      <c r="G9" s="832"/>
      <c r="H9" s="832"/>
      <c r="I9" s="832"/>
      <c r="J9" s="832"/>
      <c r="K9" s="832"/>
      <c r="L9" s="832"/>
      <c r="N9" s="849"/>
      <c r="O9" s="849"/>
      <c r="P9" s="849"/>
      <c r="Q9" s="849"/>
      <c r="R9" s="849"/>
      <c r="S9" s="849"/>
      <c r="T9" s="849"/>
      <c r="U9" s="849"/>
    </row>
    <row r="10" spans="2:30" ht="14.1" customHeight="1">
      <c r="B10" s="25" t="s">
        <v>318</v>
      </c>
      <c r="C10" s="26" t="s">
        <v>319</v>
      </c>
      <c r="G10" s="832"/>
      <c r="H10" s="832"/>
      <c r="I10" s="832"/>
      <c r="J10" s="832"/>
      <c r="K10" s="832"/>
      <c r="L10" s="832"/>
      <c r="N10" s="849"/>
      <c r="O10" s="849"/>
      <c r="P10" s="849"/>
      <c r="Q10" s="849"/>
      <c r="R10" s="849"/>
      <c r="S10" s="849"/>
      <c r="T10" s="849"/>
      <c r="U10" s="849"/>
    </row>
    <row r="11" spans="2:30" ht="15" customHeight="1">
      <c r="B11" s="23" t="s">
        <v>320</v>
      </c>
      <c r="C11" s="635"/>
      <c r="E11" s="23"/>
      <c r="G11" s="832"/>
      <c r="H11" s="832"/>
      <c r="I11" s="832"/>
      <c r="J11" s="832"/>
      <c r="K11" s="832"/>
      <c r="L11" s="832"/>
      <c r="N11" s="849"/>
      <c r="O11" s="849"/>
      <c r="P11" s="849"/>
      <c r="Q11" s="849"/>
      <c r="R11" s="849"/>
      <c r="S11" s="849"/>
      <c r="T11" s="849"/>
      <c r="U11" s="849"/>
    </row>
    <row r="12" spans="2:30" ht="14.1" customHeight="1">
      <c r="B12" s="25"/>
      <c r="G12" s="832"/>
      <c r="H12" s="832"/>
      <c r="I12" s="832"/>
      <c r="J12" s="832"/>
      <c r="K12" s="832"/>
      <c r="L12" s="832"/>
      <c r="N12" s="849"/>
      <c r="O12" s="849"/>
      <c r="P12" s="849"/>
      <c r="Q12" s="849"/>
      <c r="R12" s="849"/>
      <c r="S12" s="849"/>
      <c r="T12" s="849"/>
      <c r="U12" s="849"/>
    </row>
    <row r="13" spans="2:30" ht="14.1">
      <c r="B13" s="1" t="s">
        <v>321</v>
      </c>
      <c r="C13" s="44"/>
      <c r="E13" s="23"/>
      <c r="G13" s="832"/>
      <c r="H13" s="832"/>
      <c r="I13" s="832"/>
      <c r="J13" s="832"/>
      <c r="K13" s="832"/>
      <c r="L13" s="832"/>
      <c r="N13" s="849"/>
      <c r="O13" s="849"/>
      <c r="P13" s="849"/>
      <c r="Q13" s="849"/>
      <c r="R13" s="849"/>
      <c r="S13" s="849"/>
      <c r="T13" s="849"/>
      <c r="U13" s="849"/>
    </row>
    <row r="14" spans="2:30" ht="14.1">
      <c r="B14" s="47" t="s">
        <v>85</v>
      </c>
      <c r="C14" s="665">
        <v>68</v>
      </c>
      <c r="G14" s="832"/>
      <c r="H14" s="832"/>
      <c r="I14" s="832"/>
      <c r="J14" s="832"/>
      <c r="K14" s="832"/>
      <c r="L14" s="832"/>
      <c r="N14" s="849"/>
      <c r="O14" s="849"/>
      <c r="P14" s="849"/>
      <c r="Q14" s="849"/>
      <c r="R14" s="849"/>
      <c r="S14" s="849"/>
      <c r="T14" s="849"/>
      <c r="U14" s="849"/>
    </row>
    <row r="15" spans="2:30" ht="14.1">
      <c r="B15" s="25" t="s">
        <v>86</v>
      </c>
      <c r="C15" s="664">
        <v>75</v>
      </c>
    </row>
    <row r="16" spans="2:30" ht="14.1">
      <c r="B16" s="25" t="s">
        <v>87</v>
      </c>
      <c r="C16" s="664">
        <v>77</v>
      </c>
      <c r="E16" s="1" t="s">
        <v>322</v>
      </c>
      <c r="F16" s="1"/>
      <c r="G16" s="1"/>
      <c r="H16" s="1"/>
      <c r="I16" s="1"/>
      <c r="J16" s="1"/>
      <c r="N16" s="1" t="s">
        <v>323</v>
      </c>
      <c r="O16" s="1"/>
      <c r="P16" s="1"/>
      <c r="Q16" s="1"/>
      <c r="R16" s="1"/>
      <c r="S16" s="1"/>
    </row>
    <row r="17" spans="2:22" ht="14.1">
      <c r="B17" s="25" t="s">
        <v>88</v>
      </c>
      <c r="C17" s="664">
        <v>59</v>
      </c>
      <c r="E17" s="47"/>
      <c r="F17" s="47"/>
      <c r="G17" s="847"/>
      <c r="H17" s="847"/>
      <c r="I17" s="847"/>
      <c r="J17" s="847"/>
      <c r="K17" s="847"/>
      <c r="L17" s="847"/>
      <c r="N17" s="47"/>
      <c r="O17" s="47"/>
      <c r="P17" s="47"/>
      <c r="Q17" s="47"/>
      <c r="R17" s="47"/>
      <c r="S17" s="47"/>
      <c r="T17" s="47"/>
      <c r="U17" s="47"/>
      <c r="V17" s="47"/>
    </row>
    <row r="18" spans="2:22" ht="14.1">
      <c r="B18" s="23" t="s">
        <v>89</v>
      </c>
      <c r="C18" s="666">
        <v>55</v>
      </c>
      <c r="G18" s="832"/>
      <c r="H18" s="832"/>
      <c r="I18" s="832"/>
      <c r="J18" s="832"/>
      <c r="K18" s="832"/>
      <c r="L18" s="832"/>
      <c r="O18" s="593"/>
      <c r="P18" s="593"/>
      <c r="Q18" s="593"/>
      <c r="R18" s="593"/>
      <c r="S18" s="593"/>
      <c r="T18" s="593"/>
      <c r="U18" s="593"/>
      <c r="V18" s="593"/>
    </row>
    <row r="19" spans="2:22" ht="14.1">
      <c r="B19" s="25" t="s">
        <v>90</v>
      </c>
      <c r="C19" s="44">
        <v>66</v>
      </c>
      <c r="E19" s="23"/>
      <c r="G19" s="832"/>
      <c r="H19" s="832"/>
      <c r="I19" s="832"/>
      <c r="J19" s="832"/>
      <c r="K19" s="832"/>
      <c r="L19" s="832"/>
      <c r="N19" s="23"/>
      <c r="P19" s="593"/>
      <c r="Q19" s="593"/>
      <c r="R19" s="593"/>
      <c r="S19" s="593"/>
      <c r="T19" s="593"/>
      <c r="U19" s="593"/>
      <c r="V19" s="593"/>
    </row>
    <row r="20" spans="2:22" ht="14.1">
      <c r="B20" s="25" t="s">
        <v>91</v>
      </c>
      <c r="C20" s="44">
        <v>45</v>
      </c>
      <c r="G20" s="832"/>
      <c r="H20" s="832"/>
      <c r="I20" s="832"/>
      <c r="J20" s="832"/>
      <c r="K20" s="832"/>
      <c r="L20" s="832"/>
      <c r="P20" s="593"/>
      <c r="Q20" s="593"/>
      <c r="R20" s="593"/>
      <c r="S20" s="593"/>
      <c r="T20" s="593"/>
      <c r="U20" s="593"/>
    </row>
    <row r="21" spans="2:22" ht="14.1">
      <c r="B21" s="25" t="s">
        <v>92</v>
      </c>
      <c r="C21" s="44">
        <v>63</v>
      </c>
      <c r="E21" s="23"/>
      <c r="G21" s="832"/>
      <c r="H21" s="832"/>
      <c r="I21" s="832"/>
      <c r="J21" s="832"/>
      <c r="K21" s="832"/>
      <c r="L21" s="832"/>
      <c r="N21" s="23"/>
      <c r="P21" s="832"/>
      <c r="Q21" s="832"/>
      <c r="R21" s="832"/>
      <c r="S21" s="832"/>
      <c r="T21" s="832"/>
      <c r="U21" s="832"/>
    </row>
    <row r="22" spans="2:22" ht="14.1">
      <c r="B22" s="23" t="s">
        <v>93</v>
      </c>
      <c r="C22" s="49">
        <v>14.2</v>
      </c>
      <c r="G22" s="832"/>
      <c r="H22" s="832"/>
      <c r="I22" s="832"/>
      <c r="J22" s="832"/>
      <c r="K22" s="832"/>
      <c r="L22" s="832"/>
      <c r="P22" s="832"/>
      <c r="Q22" s="832"/>
      <c r="R22" s="832"/>
      <c r="S22" s="832"/>
      <c r="T22" s="832"/>
      <c r="U22" s="832"/>
    </row>
    <row r="23" spans="2:22" ht="14.1">
      <c r="B23" s="23" t="s">
        <v>94</v>
      </c>
      <c r="C23" s="50" t="s">
        <v>324</v>
      </c>
      <c r="E23" s="23"/>
      <c r="G23" s="832"/>
      <c r="H23" s="832"/>
      <c r="I23" s="832"/>
      <c r="J23" s="832"/>
      <c r="K23" s="832"/>
      <c r="L23" s="832"/>
      <c r="N23" s="23"/>
      <c r="P23" s="832"/>
      <c r="Q23" s="832"/>
      <c r="R23" s="832"/>
      <c r="S23" s="832"/>
      <c r="T23" s="832"/>
      <c r="U23" s="832"/>
    </row>
    <row r="24" spans="2:22" ht="14.1">
      <c r="B24" s="25" t="s">
        <v>95</v>
      </c>
      <c r="C24" s="44">
        <v>4.7</v>
      </c>
    </row>
    <row r="25" spans="2:22" ht="14.1">
      <c r="B25" s="25" t="s">
        <v>96</v>
      </c>
      <c r="C25" s="43">
        <v>2</v>
      </c>
    </row>
    <row r="26" spans="2:22" ht="14.1">
      <c r="B26" s="23" t="s">
        <v>97</v>
      </c>
      <c r="C26" s="688"/>
    </row>
    <row r="29" spans="2:22" ht="14.45" thickBot="1">
      <c r="B29" s="1" t="s">
        <v>325</v>
      </c>
    </row>
    <row r="30" spans="2:22" ht="14.45" customHeight="1">
      <c r="B30" s="850"/>
      <c r="C30" s="850"/>
    </row>
    <row r="31" spans="2:22" ht="12.6">
      <c r="B31" s="851"/>
      <c r="C31" s="851"/>
    </row>
    <row r="32" spans="2:22" ht="12.6">
      <c r="B32" s="851"/>
      <c r="C32" s="851"/>
    </row>
    <row r="33" spans="2:22" ht="15.6">
      <c r="B33" s="851"/>
      <c r="C33" s="851"/>
      <c r="E33" s="52" t="s">
        <v>326</v>
      </c>
      <c r="F33" s="52"/>
      <c r="G33" s="52"/>
      <c r="H33" s="52"/>
      <c r="I33" s="52"/>
      <c r="J33" s="52"/>
      <c r="K33" s="52"/>
      <c r="L33" s="52"/>
      <c r="M33" s="52"/>
      <c r="N33" s="52"/>
      <c r="O33" s="52"/>
      <c r="P33" s="52"/>
      <c r="Q33" s="52"/>
      <c r="R33" s="52"/>
      <c r="S33" s="52"/>
      <c r="T33" s="52"/>
      <c r="U33" s="52"/>
      <c r="V33" s="52"/>
    </row>
    <row r="34" spans="2:22" customFormat="1" ht="3.95" customHeight="1">
      <c r="B34" s="851"/>
      <c r="C34" s="851"/>
      <c r="D34" s="44"/>
      <c r="E34" s="53"/>
      <c r="F34" s="53"/>
      <c r="G34" s="53"/>
      <c r="H34" s="53"/>
      <c r="I34" s="53"/>
      <c r="J34" s="53"/>
      <c r="K34" s="53"/>
      <c r="L34" s="53"/>
      <c r="M34" s="53"/>
      <c r="N34" s="53"/>
      <c r="O34" s="53"/>
      <c r="P34" s="53"/>
      <c r="Q34" s="53"/>
      <c r="R34" s="53"/>
      <c r="S34" s="53"/>
      <c r="T34" s="53"/>
      <c r="U34" s="53"/>
      <c r="V34" s="53"/>
    </row>
    <row r="35" spans="2:22" ht="12.95">
      <c r="B35" s="851"/>
      <c r="C35" s="851"/>
      <c r="E35" s="54"/>
      <c r="F35" s="54"/>
      <c r="G35" s="55" t="s">
        <v>313</v>
      </c>
      <c r="H35" s="55" t="s">
        <v>327</v>
      </c>
      <c r="I35" s="55"/>
      <c r="J35" s="55"/>
      <c r="K35" s="55" t="s">
        <v>328</v>
      </c>
      <c r="L35" s="55"/>
      <c r="M35" s="55"/>
      <c r="N35" s="55"/>
      <c r="O35" s="55" t="s">
        <v>329</v>
      </c>
      <c r="P35" s="54"/>
      <c r="Q35" s="54"/>
      <c r="R35" s="54"/>
      <c r="S35" s="54"/>
      <c r="T35" s="54"/>
      <c r="U35" s="54"/>
      <c r="V35" s="54"/>
    </row>
    <row r="36" spans="2:22" ht="20.25" customHeight="1">
      <c r="B36" s="851"/>
      <c r="C36" s="851"/>
      <c r="E36" s="23" t="s">
        <v>330</v>
      </c>
      <c r="G36" s="852"/>
      <c r="H36" s="853" t="s">
        <v>331</v>
      </c>
      <c r="I36" s="853"/>
      <c r="J36" s="853"/>
      <c r="K36" s="853" t="s">
        <v>332</v>
      </c>
      <c r="L36" s="853"/>
      <c r="M36" s="853"/>
      <c r="N36" s="853"/>
      <c r="O36" s="854" t="s">
        <v>333</v>
      </c>
      <c r="P36" s="854"/>
      <c r="Q36" s="854"/>
      <c r="R36" s="854"/>
      <c r="S36" s="854"/>
      <c r="T36" s="854"/>
      <c r="U36" s="854"/>
      <c r="V36" s="854"/>
    </row>
    <row r="37" spans="2:22" ht="38.1" customHeight="1">
      <c r="B37" s="851"/>
      <c r="C37" s="851"/>
      <c r="G37" s="852"/>
      <c r="H37" s="853"/>
      <c r="I37" s="853"/>
      <c r="J37" s="853"/>
      <c r="K37" s="853"/>
      <c r="L37" s="853"/>
      <c r="M37" s="853"/>
      <c r="N37" s="853"/>
      <c r="O37" s="854"/>
      <c r="P37" s="854"/>
      <c r="Q37" s="854"/>
      <c r="R37" s="854"/>
      <c r="S37" s="854"/>
      <c r="T37" s="854"/>
      <c r="U37" s="854"/>
      <c r="V37" s="854"/>
    </row>
    <row r="38" spans="2:22" ht="22.5" customHeight="1">
      <c r="B38" s="851"/>
      <c r="C38" s="851"/>
      <c r="E38" s="23" t="s">
        <v>334</v>
      </c>
      <c r="G38" s="855"/>
      <c r="H38" s="853" t="s">
        <v>335</v>
      </c>
      <c r="I38" s="853"/>
      <c r="J38" s="853"/>
      <c r="K38" s="853" t="s">
        <v>336</v>
      </c>
      <c r="L38" s="853"/>
      <c r="M38" s="853"/>
      <c r="N38" s="853"/>
      <c r="O38" s="854"/>
      <c r="P38" s="854"/>
      <c r="Q38" s="854"/>
      <c r="R38" s="854"/>
      <c r="S38" s="854"/>
      <c r="T38" s="854"/>
      <c r="U38" s="854"/>
      <c r="V38" s="854"/>
    </row>
    <row r="39" spans="2:22" ht="19.5" customHeight="1">
      <c r="B39" s="851"/>
      <c r="C39" s="851"/>
      <c r="G39" s="855"/>
      <c r="H39" s="853"/>
      <c r="I39" s="853"/>
      <c r="J39" s="853"/>
      <c r="K39" s="853"/>
      <c r="L39" s="853"/>
      <c r="M39" s="853"/>
      <c r="N39" s="853"/>
      <c r="O39" s="854"/>
      <c r="P39" s="854"/>
      <c r="Q39" s="854"/>
      <c r="R39" s="854"/>
      <c r="S39" s="854"/>
      <c r="T39" s="854"/>
      <c r="U39" s="854"/>
      <c r="V39" s="854"/>
    </row>
    <row r="40" spans="2:22" ht="17.45" customHeight="1">
      <c r="B40" s="851"/>
      <c r="C40" s="851"/>
      <c r="E40" s="23" t="s">
        <v>337</v>
      </c>
      <c r="G40" s="856"/>
      <c r="H40" s="853" t="s">
        <v>338</v>
      </c>
      <c r="I40" s="853"/>
      <c r="J40" s="853"/>
      <c r="K40" s="853" t="s">
        <v>339</v>
      </c>
      <c r="L40" s="853"/>
      <c r="M40" s="853"/>
      <c r="N40" s="853"/>
      <c r="O40" s="854"/>
      <c r="P40" s="854"/>
      <c r="Q40" s="854"/>
      <c r="R40" s="854"/>
      <c r="S40" s="854"/>
      <c r="T40" s="854"/>
      <c r="U40" s="854"/>
      <c r="V40" s="854"/>
    </row>
    <row r="41" spans="2:22" ht="36" customHeight="1">
      <c r="B41" s="851"/>
      <c r="C41" s="851"/>
      <c r="G41" s="856"/>
      <c r="H41" s="853"/>
      <c r="I41" s="853"/>
      <c r="J41" s="853"/>
      <c r="K41" s="853"/>
      <c r="L41" s="853"/>
      <c r="M41" s="853"/>
      <c r="N41" s="853"/>
      <c r="O41" s="854"/>
      <c r="P41" s="854"/>
      <c r="Q41" s="854"/>
      <c r="R41" s="854"/>
      <c r="S41" s="854"/>
      <c r="T41" s="854"/>
      <c r="U41" s="854"/>
      <c r="V41" s="854"/>
    </row>
    <row r="42" spans="2:22" ht="24" customHeight="1">
      <c r="B42" s="851"/>
      <c r="C42" s="851"/>
      <c r="E42" s="23" t="s">
        <v>340</v>
      </c>
      <c r="G42" s="856"/>
      <c r="H42" s="853" t="s">
        <v>341</v>
      </c>
      <c r="I42" s="853"/>
      <c r="J42" s="853"/>
      <c r="K42" s="853" t="s">
        <v>339</v>
      </c>
      <c r="L42" s="853"/>
      <c r="M42" s="853"/>
      <c r="N42" s="853"/>
      <c r="O42" s="854"/>
      <c r="P42" s="854"/>
      <c r="Q42" s="854"/>
      <c r="R42" s="854"/>
      <c r="S42" s="854"/>
      <c r="T42" s="854"/>
      <c r="U42" s="854"/>
      <c r="V42" s="854"/>
    </row>
    <row r="43" spans="2:22" ht="12.6">
      <c r="B43" s="851"/>
      <c r="C43" s="851"/>
      <c r="G43" s="856"/>
      <c r="H43" s="853"/>
      <c r="I43" s="853"/>
      <c r="J43" s="853"/>
      <c r="K43" s="853"/>
      <c r="L43" s="853"/>
      <c r="M43" s="853"/>
      <c r="N43" s="853"/>
      <c r="O43" s="854"/>
      <c r="P43" s="854"/>
      <c r="Q43" s="854"/>
      <c r="R43" s="854"/>
      <c r="S43" s="854"/>
      <c r="T43" s="854"/>
      <c r="U43" s="854"/>
      <c r="V43" s="854"/>
    </row>
    <row r="44" spans="2:22" ht="14.1">
      <c r="B44" s="851"/>
      <c r="C44" s="851"/>
      <c r="E44" s="23" t="s">
        <v>342</v>
      </c>
      <c r="G44" s="854"/>
      <c r="H44" s="853"/>
      <c r="I44" s="853"/>
      <c r="J44" s="853"/>
      <c r="K44" s="853"/>
      <c r="L44" s="853"/>
      <c r="M44" s="853"/>
      <c r="N44" s="853"/>
      <c r="O44" s="853"/>
      <c r="P44" s="853"/>
      <c r="Q44" s="853"/>
      <c r="R44" s="853"/>
      <c r="S44" s="853"/>
      <c r="T44" s="853"/>
      <c r="U44" s="853"/>
      <c r="V44" s="853"/>
    </row>
    <row r="45" spans="2:22" ht="12.6">
      <c r="B45" s="851"/>
      <c r="C45" s="851"/>
      <c r="G45" s="854"/>
      <c r="H45" s="853"/>
      <c r="I45" s="853"/>
      <c r="J45" s="853"/>
      <c r="K45" s="853"/>
      <c r="L45" s="853"/>
      <c r="M45" s="853"/>
      <c r="N45" s="853"/>
      <c r="O45" s="853"/>
      <c r="P45" s="853"/>
      <c r="Q45" s="853"/>
      <c r="R45" s="853"/>
      <c r="S45" s="853"/>
      <c r="T45" s="853"/>
      <c r="U45" s="853"/>
      <c r="V45" s="853"/>
    </row>
    <row r="46" spans="2:22" ht="15.6">
      <c r="E46" s="52" t="s">
        <v>343</v>
      </c>
      <c r="F46" s="52"/>
      <c r="G46" s="52"/>
      <c r="H46" s="52"/>
      <c r="I46" s="52"/>
      <c r="J46" s="52"/>
      <c r="K46" s="52"/>
      <c r="L46" s="52"/>
      <c r="M46" s="52"/>
      <c r="N46" s="52"/>
      <c r="O46" s="52"/>
      <c r="P46" s="52"/>
      <c r="Q46" s="52"/>
      <c r="R46" s="52"/>
      <c r="S46" s="52"/>
      <c r="T46" s="52"/>
      <c r="U46" s="52"/>
      <c r="V46" s="52"/>
    </row>
    <row r="47" spans="2:22" customFormat="1" ht="3.95" customHeight="1">
      <c r="B47" s="44"/>
      <c r="C47" s="43"/>
      <c r="D47" s="44"/>
      <c r="E47" s="53"/>
      <c r="F47" s="53"/>
      <c r="G47" s="53"/>
      <c r="H47" s="53"/>
      <c r="I47" s="53"/>
      <c r="J47" s="53"/>
      <c r="K47" s="53"/>
      <c r="L47" s="53"/>
      <c r="M47" s="53"/>
      <c r="N47" s="53"/>
      <c r="O47" s="53"/>
      <c r="P47" s="53"/>
      <c r="Q47" s="53"/>
      <c r="R47" s="53"/>
      <c r="S47" s="53"/>
      <c r="T47" s="53"/>
      <c r="U47" s="53"/>
      <c r="V47" s="53"/>
    </row>
    <row r="48" spans="2:22" ht="14.45" thickBot="1">
      <c r="B48" s="1" t="s">
        <v>344</v>
      </c>
      <c r="C48" s="44"/>
      <c r="E48" s="54"/>
      <c r="F48" s="54"/>
      <c r="G48" s="55" t="s">
        <v>313</v>
      </c>
      <c r="H48" s="55" t="s">
        <v>327</v>
      </c>
      <c r="I48" s="55"/>
      <c r="J48" s="55"/>
      <c r="K48" s="55" t="s">
        <v>328</v>
      </c>
      <c r="L48" s="55"/>
      <c r="M48" s="55"/>
      <c r="N48" s="55"/>
      <c r="O48" s="55" t="s">
        <v>329</v>
      </c>
      <c r="P48" s="54"/>
      <c r="Q48" s="54"/>
      <c r="R48" s="54"/>
      <c r="S48" s="54"/>
      <c r="T48" s="54"/>
      <c r="U48" s="54"/>
      <c r="V48" s="54"/>
    </row>
    <row r="49" spans="2:22" ht="14.45" thickTop="1">
      <c r="B49" s="45" t="s">
        <v>345</v>
      </c>
      <c r="C49" s="774" t="s">
        <v>346</v>
      </c>
      <c r="E49" s="23" t="s">
        <v>347</v>
      </c>
      <c r="G49" s="857" t="s">
        <v>348</v>
      </c>
      <c r="H49" s="858" t="s">
        <v>349</v>
      </c>
      <c r="I49" s="858"/>
      <c r="J49" s="858"/>
      <c r="K49" s="858"/>
      <c r="L49" s="858"/>
      <c r="M49" s="858"/>
      <c r="N49" s="858"/>
      <c r="O49" s="858" t="s">
        <v>350</v>
      </c>
      <c r="P49" s="858"/>
      <c r="Q49" s="858"/>
      <c r="R49" s="858"/>
      <c r="S49" s="858"/>
      <c r="T49" s="858"/>
      <c r="U49" s="858"/>
      <c r="V49" s="858"/>
    </row>
    <row r="50" spans="2:22" ht="14.1">
      <c r="B50" s="25" t="s">
        <v>351</v>
      </c>
      <c r="C50" s="60" t="s">
        <v>352</v>
      </c>
      <c r="D50" s="44" t="s">
        <v>314</v>
      </c>
      <c r="G50" s="854"/>
      <c r="H50" s="853"/>
      <c r="I50" s="853"/>
      <c r="J50" s="853"/>
      <c r="K50" s="853"/>
      <c r="L50" s="853"/>
      <c r="M50" s="853"/>
      <c r="N50" s="853"/>
      <c r="O50" s="853"/>
      <c r="P50" s="853"/>
      <c r="Q50" s="853"/>
      <c r="R50" s="853"/>
      <c r="S50" s="853"/>
      <c r="T50" s="853"/>
      <c r="U50" s="853"/>
      <c r="V50" s="853"/>
    </row>
    <row r="51" spans="2:22" ht="14.1">
      <c r="B51" s="25" t="s">
        <v>353</v>
      </c>
      <c r="C51" s="60" t="s">
        <v>354</v>
      </c>
      <c r="D51" s="44" t="s">
        <v>314</v>
      </c>
      <c r="E51" s="23" t="s">
        <v>355</v>
      </c>
      <c r="G51" s="856"/>
      <c r="H51" s="853"/>
      <c r="I51" s="853"/>
      <c r="J51" s="853"/>
      <c r="K51" s="853"/>
      <c r="L51" s="853"/>
      <c r="M51" s="853"/>
      <c r="N51" s="853"/>
      <c r="O51" s="853"/>
      <c r="P51" s="853"/>
      <c r="Q51" s="853"/>
      <c r="R51" s="853"/>
      <c r="S51" s="853"/>
      <c r="T51" s="853"/>
      <c r="U51" s="853"/>
      <c r="V51" s="853"/>
    </row>
    <row r="52" spans="2:22" ht="12.95">
      <c r="G52" s="856"/>
      <c r="H52" s="853"/>
      <c r="I52" s="853"/>
      <c r="J52" s="853"/>
      <c r="K52" s="853"/>
      <c r="L52" s="853"/>
      <c r="M52" s="853"/>
      <c r="N52" s="853"/>
      <c r="O52" s="853"/>
      <c r="P52" s="853"/>
      <c r="Q52" s="853"/>
      <c r="R52" s="853"/>
      <c r="S52" s="853"/>
      <c r="T52" s="853"/>
      <c r="U52" s="853"/>
      <c r="V52" s="853"/>
    </row>
    <row r="53" spans="2:22" ht="14.1">
      <c r="E53" s="23" t="s">
        <v>356</v>
      </c>
      <c r="G53" s="856"/>
      <c r="H53" s="853"/>
      <c r="I53" s="853"/>
      <c r="J53" s="853"/>
      <c r="K53" s="853"/>
      <c r="L53" s="853"/>
      <c r="M53" s="853"/>
      <c r="N53" s="853"/>
      <c r="O53" s="853" t="s">
        <v>357</v>
      </c>
      <c r="P53" s="853"/>
      <c r="Q53" s="853"/>
      <c r="R53" s="853"/>
      <c r="S53" s="853"/>
      <c r="T53" s="853"/>
      <c r="U53" s="853"/>
      <c r="V53" s="853"/>
    </row>
    <row r="54" spans="2:22" ht="12.95">
      <c r="G54" s="856"/>
      <c r="H54" s="853"/>
      <c r="I54" s="853"/>
      <c r="J54" s="853"/>
      <c r="K54" s="853"/>
      <c r="L54" s="853"/>
      <c r="M54" s="853"/>
      <c r="N54" s="853"/>
      <c r="O54" s="853"/>
      <c r="P54" s="853"/>
      <c r="Q54" s="853"/>
      <c r="R54" s="853"/>
      <c r="S54" s="853"/>
      <c r="T54" s="853"/>
      <c r="U54" s="853"/>
      <c r="V54" s="853"/>
    </row>
    <row r="55" spans="2:22" ht="14.1">
      <c r="E55" s="23" t="s">
        <v>358</v>
      </c>
      <c r="G55" s="854" t="s">
        <v>348</v>
      </c>
      <c r="H55" s="853"/>
      <c r="I55" s="853"/>
      <c r="J55" s="853"/>
      <c r="K55" s="853"/>
      <c r="L55" s="853"/>
      <c r="M55" s="853"/>
      <c r="N55" s="853"/>
      <c r="O55" s="853"/>
      <c r="P55" s="853"/>
      <c r="Q55" s="853"/>
      <c r="R55" s="853"/>
      <c r="S55" s="853"/>
      <c r="T55" s="853"/>
      <c r="U55" s="853"/>
      <c r="V55" s="853"/>
    </row>
    <row r="56" spans="2:22" ht="12.95">
      <c r="G56" s="854"/>
      <c r="H56" s="853"/>
      <c r="I56" s="853"/>
      <c r="J56" s="853"/>
      <c r="K56" s="853"/>
      <c r="L56" s="853"/>
      <c r="M56" s="853"/>
      <c r="N56" s="853"/>
      <c r="O56" s="853"/>
      <c r="P56" s="853"/>
      <c r="Q56" s="853"/>
      <c r="R56" s="853"/>
      <c r="S56" s="853"/>
      <c r="T56" s="853"/>
      <c r="U56" s="853"/>
      <c r="V56" s="853"/>
    </row>
    <row r="57" spans="2:22" ht="32.25" customHeight="1">
      <c r="E57" s="23" t="s">
        <v>359</v>
      </c>
      <c r="G57" s="859"/>
      <c r="H57" s="853"/>
      <c r="I57" s="853"/>
      <c r="J57" s="853"/>
      <c r="K57" s="853"/>
      <c r="L57" s="853"/>
      <c r="M57" s="853"/>
      <c r="N57" s="853"/>
      <c r="O57" s="853" t="s">
        <v>360</v>
      </c>
      <c r="P57" s="853"/>
      <c r="Q57" s="853"/>
      <c r="R57" s="853"/>
      <c r="S57" s="853"/>
      <c r="T57" s="853"/>
      <c r="U57" s="853"/>
      <c r="V57" s="853"/>
    </row>
    <row r="58" spans="2:22" ht="12.95">
      <c r="G58" s="859"/>
      <c r="H58" s="853"/>
      <c r="I58" s="853"/>
      <c r="J58" s="853"/>
      <c r="K58" s="853"/>
      <c r="L58" s="853"/>
      <c r="M58" s="853"/>
      <c r="N58" s="853"/>
      <c r="O58" s="853"/>
      <c r="P58" s="853"/>
      <c r="Q58" s="853"/>
      <c r="R58" s="853"/>
      <c r="S58" s="853"/>
      <c r="T58" s="853"/>
      <c r="U58" s="853"/>
      <c r="V58" s="853"/>
    </row>
    <row r="59" spans="2:22" ht="20.25" customHeight="1">
      <c r="E59" s="23" t="s">
        <v>361</v>
      </c>
      <c r="G59" s="854"/>
      <c r="H59" s="853"/>
      <c r="I59" s="853"/>
      <c r="J59" s="853"/>
      <c r="K59" s="853"/>
      <c r="L59" s="853"/>
      <c r="M59" s="853"/>
      <c r="N59" s="853"/>
      <c r="O59" s="853" t="s">
        <v>362</v>
      </c>
      <c r="P59" s="853"/>
      <c r="Q59" s="853"/>
      <c r="R59" s="853"/>
      <c r="S59" s="853"/>
      <c r="T59" s="853"/>
      <c r="U59" s="853"/>
      <c r="V59" s="853"/>
    </row>
    <row r="60" spans="2:22" ht="20.25" customHeight="1">
      <c r="G60" s="854"/>
      <c r="H60" s="853"/>
      <c r="I60" s="853"/>
      <c r="J60" s="853"/>
      <c r="K60" s="853"/>
      <c r="L60" s="853"/>
      <c r="M60" s="853"/>
      <c r="N60" s="853"/>
      <c r="O60" s="853"/>
      <c r="P60" s="853"/>
      <c r="Q60" s="853"/>
      <c r="R60" s="853"/>
      <c r="S60" s="853"/>
      <c r="T60" s="853"/>
      <c r="U60" s="853"/>
      <c r="V60" s="853"/>
    </row>
    <row r="61" spans="2:22" ht="15" customHeight="1">
      <c r="E61" s="23" t="s">
        <v>363</v>
      </c>
      <c r="G61" s="856"/>
      <c r="H61" s="853"/>
      <c r="I61" s="853"/>
      <c r="J61" s="853"/>
      <c r="K61" s="853"/>
      <c r="L61" s="853"/>
      <c r="M61" s="853"/>
      <c r="N61" s="853"/>
      <c r="O61" s="854" t="s">
        <v>364</v>
      </c>
      <c r="P61" s="854"/>
      <c r="Q61" s="854"/>
      <c r="R61" s="854"/>
      <c r="S61" s="854"/>
      <c r="T61" s="854"/>
      <c r="U61" s="854"/>
      <c r="V61" s="854"/>
    </row>
    <row r="62" spans="2:22" ht="12.95">
      <c r="G62" s="856"/>
      <c r="H62" s="853"/>
      <c r="I62" s="853"/>
      <c r="J62" s="853"/>
      <c r="K62" s="853"/>
      <c r="L62" s="853"/>
      <c r="M62" s="853"/>
      <c r="N62" s="853"/>
      <c r="O62" s="854"/>
      <c r="P62" s="854"/>
      <c r="Q62" s="854"/>
      <c r="R62" s="854"/>
      <c r="S62" s="854"/>
      <c r="T62" s="854"/>
      <c r="U62" s="854"/>
      <c r="V62" s="854"/>
    </row>
    <row r="63" spans="2:22" ht="27.75" customHeight="1">
      <c r="E63" s="23" t="s">
        <v>365</v>
      </c>
      <c r="G63" s="860"/>
      <c r="H63" s="853"/>
      <c r="I63" s="853"/>
      <c r="J63" s="853"/>
      <c r="K63" s="853"/>
      <c r="L63" s="853"/>
      <c r="M63" s="853"/>
      <c r="N63" s="853"/>
      <c r="O63" s="853" t="s">
        <v>366</v>
      </c>
      <c r="P63" s="853"/>
      <c r="Q63" s="853"/>
      <c r="R63" s="853"/>
      <c r="S63" s="853"/>
      <c r="T63" s="853"/>
      <c r="U63" s="853"/>
      <c r="V63" s="853"/>
    </row>
    <row r="64" spans="2:22" ht="27.75" customHeight="1">
      <c r="G64" s="860"/>
      <c r="H64" s="853"/>
      <c r="I64" s="853"/>
      <c r="J64" s="853"/>
      <c r="K64" s="853"/>
      <c r="L64" s="853"/>
      <c r="M64" s="853"/>
      <c r="N64" s="853"/>
      <c r="O64" s="853"/>
      <c r="P64" s="853"/>
      <c r="Q64" s="853"/>
      <c r="R64" s="853"/>
      <c r="S64" s="853"/>
      <c r="T64" s="853"/>
      <c r="U64" s="853"/>
      <c r="V64" s="853"/>
    </row>
    <row r="65" spans="2:22" ht="24" customHeight="1">
      <c r="E65" s="23" t="s">
        <v>367</v>
      </c>
      <c r="G65" s="860"/>
      <c r="H65" s="853" t="s">
        <v>348</v>
      </c>
      <c r="I65" s="853"/>
      <c r="J65" s="853"/>
      <c r="K65" s="853"/>
      <c r="L65" s="853"/>
      <c r="M65" s="853"/>
      <c r="N65" s="853"/>
      <c r="O65" s="853" t="s">
        <v>368</v>
      </c>
      <c r="P65" s="853"/>
      <c r="Q65" s="853"/>
      <c r="R65" s="853"/>
      <c r="S65" s="853"/>
      <c r="T65" s="853"/>
      <c r="U65" s="853"/>
      <c r="V65" s="853"/>
    </row>
    <row r="66" spans="2:22" ht="32.25" customHeight="1">
      <c r="G66" s="860"/>
      <c r="H66" s="853"/>
      <c r="I66" s="853"/>
      <c r="J66" s="853"/>
      <c r="K66" s="853"/>
      <c r="L66" s="853"/>
      <c r="M66" s="853"/>
      <c r="N66" s="853"/>
      <c r="O66" s="853"/>
      <c r="P66" s="853"/>
      <c r="Q66" s="853"/>
      <c r="R66" s="853"/>
      <c r="S66" s="853"/>
      <c r="T66" s="853"/>
      <c r="U66" s="853"/>
      <c r="V66" s="853"/>
    </row>
    <row r="67" spans="2:22" ht="14.1">
      <c r="E67" s="23" t="s">
        <v>369</v>
      </c>
      <c r="G67" s="854"/>
      <c r="H67" s="853"/>
      <c r="I67" s="853"/>
      <c r="J67" s="853"/>
      <c r="K67" s="853"/>
      <c r="L67" s="853"/>
      <c r="M67" s="853"/>
      <c r="N67" s="853"/>
      <c r="O67" s="853"/>
      <c r="P67" s="853"/>
      <c r="Q67" s="853"/>
      <c r="R67" s="853"/>
      <c r="S67" s="853"/>
      <c r="T67" s="853"/>
      <c r="U67" s="853"/>
      <c r="V67" s="853"/>
    </row>
    <row r="68" spans="2:22" ht="14.1">
      <c r="E68" s="23"/>
      <c r="G68" s="854"/>
      <c r="H68" s="853"/>
      <c r="I68" s="853"/>
      <c r="J68" s="853"/>
      <c r="K68" s="853"/>
      <c r="L68" s="853"/>
      <c r="M68" s="853"/>
      <c r="N68" s="853"/>
      <c r="O68" s="853"/>
      <c r="P68" s="853"/>
      <c r="Q68" s="853"/>
      <c r="R68" s="853"/>
      <c r="S68" s="853"/>
      <c r="T68" s="853"/>
      <c r="U68" s="853"/>
      <c r="V68" s="853"/>
    </row>
    <row r="69" spans="2:22" ht="33" customHeight="1">
      <c r="E69" s="23" t="s">
        <v>370</v>
      </c>
      <c r="G69" s="854"/>
      <c r="H69" s="853"/>
      <c r="I69" s="853"/>
      <c r="J69" s="853"/>
      <c r="K69" s="853"/>
      <c r="L69" s="853"/>
      <c r="M69" s="853"/>
      <c r="N69" s="853"/>
      <c r="O69" s="853"/>
      <c r="P69" s="853"/>
      <c r="Q69" s="853"/>
      <c r="R69" s="853"/>
      <c r="S69" s="853"/>
      <c r="T69" s="853"/>
      <c r="U69" s="853"/>
      <c r="V69" s="853"/>
    </row>
    <row r="70" spans="2:22" ht="12.95">
      <c r="G70" s="854"/>
      <c r="H70" s="853"/>
      <c r="I70" s="853"/>
      <c r="J70" s="853"/>
      <c r="K70" s="853"/>
      <c r="L70" s="853"/>
      <c r="M70" s="853"/>
      <c r="N70" s="853"/>
      <c r="O70" s="853"/>
      <c r="P70" s="853"/>
      <c r="Q70" s="853"/>
      <c r="R70" s="853"/>
      <c r="S70" s="853"/>
      <c r="T70" s="853"/>
      <c r="U70" s="853"/>
      <c r="V70" s="853"/>
    </row>
    <row r="71" spans="2:22" ht="15.6">
      <c r="E71" s="52" t="s">
        <v>371</v>
      </c>
      <c r="F71" s="52"/>
      <c r="G71" s="52"/>
      <c r="H71" s="52"/>
      <c r="I71" s="52"/>
      <c r="J71" s="52"/>
      <c r="K71" s="52"/>
      <c r="L71" s="52"/>
      <c r="M71" s="52"/>
      <c r="N71" s="52"/>
      <c r="O71" s="52"/>
      <c r="P71" s="52"/>
      <c r="Q71" s="52"/>
      <c r="R71" s="52"/>
      <c r="S71" s="52"/>
      <c r="T71" s="52"/>
      <c r="U71" s="52"/>
      <c r="V71" s="52"/>
    </row>
    <row r="72" spans="2:22" customFormat="1" ht="3.95" customHeight="1">
      <c r="B72" s="44"/>
      <c r="C72" s="43"/>
      <c r="D72" s="44"/>
      <c r="E72" s="53"/>
      <c r="F72" s="53"/>
      <c r="G72" s="53"/>
      <c r="H72" s="53"/>
      <c r="I72" s="53"/>
      <c r="J72" s="53"/>
      <c r="K72" s="53"/>
      <c r="L72" s="53"/>
      <c r="M72" s="53"/>
      <c r="N72" s="53"/>
      <c r="O72" s="53"/>
      <c r="P72" s="53"/>
      <c r="Q72" s="53"/>
      <c r="R72" s="53"/>
      <c r="S72" s="53"/>
      <c r="T72" s="53"/>
      <c r="U72" s="53"/>
      <c r="V72" s="53"/>
    </row>
    <row r="73" spans="2:22" ht="13.5" thickBot="1">
      <c r="E73" s="54"/>
      <c r="F73" s="54"/>
      <c r="G73" s="55" t="s">
        <v>313</v>
      </c>
      <c r="H73" s="55" t="s">
        <v>327</v>
      </c>
      <c r="I73" s="55"/>
      <c r="J73" s="55"/>
      <c r="K73" s="55" t="s">
        <v>328</v>
      </c>
      <c r="L73" s="55"/>
      <c r="M73" s="55"/>
      <c r="N73" s="55"/>
      <c r="O73" s="55" t="s">
        <v>329</v>
      </c>
      <c r="P73" s="54"/>
      <c r="Q73" s="54"/>
      <c r="R73" s="54"/>
      <c r="S73" s="54"/>
      <c r="T73" s="54"/>
      <c r="U73" s="54"/>
      <c r="V73" s="54"/>
    </row>
    <row r="74" spans="2:22" ht="44.1" customHeight="1" thickTop="1">
      <c r="E74" s="23" t="s">
        <v>372</v>
      </c>
      <c r="G74" s="779"/>
      <c r="H74" s="858"/>
      <c r="I74" s="858"/>
      <c r="J74" s="858"/>
      <c r="K74" s="858"/>
      <c r="L74" s="858"/>
      <c r="M74" s="858"/>
      <c r="N74" s="858"/>
      <c r="O74" s="858" t="s">
        <v>373</v>
      </c>
      <c r="P74" s="858"/>
      <c r="Q74" s="858"/>
      <c r="R74" s="858"/>
      <c r="S74" s="858"/>
      <c r="T74" s="858"/>
      <c r="U74" s="858"/>
      <c r="V74" s="858"/>
    </row>
    <row r="75" spans="2:22" ht="39" customHeight="1">
      <c r="G75" s="779"/>
      <c r="H75" s="853"/>
      <c r="I75" s="853"/>
      <c r="J75" s="853"/>
      <c r="K75" s="853"/>
      <c r="L75" s="853"/>
      <c r="M75" s="853"/>
      <c r="N75" s="853"/>
      <c r="O75" s="853"/>
      <c r="P75" s="853"/>
      <c r="Q75" s="853"/>
      <c r="R75" s="853"/>
      <c r="S75" s="853"/>
      <c r="T75" s="853"/>
      <c r="U75" s="853"/>
      <c r="V75" s="853"/>
    </row>
    <row r="76" spans="2:22" ht="14.1" customHeight="1">
      <c r="E76" s="23" t="s">
        <v>374</v>
      </c>
      <c r="G76" s="779"/>
      <c r="H76" s="853"/>
      <c r="I76" s="853"/>
      <c r="J76" s="853"/>
      <c r="K76" s="853"/>
      <c r="L76" s="853"/>
      <c r="M76" s="853"/>
      <c r="N76" s="853"/>
      <c r="O76" s="854" t="s">
        <v>375</v>
      </c>
      <c r="P76" s="854"/>
      <c r="Q76" s="854"/>
      <c r="R76" s="854"/>
      <c r="S76" s="854"/>
      <c r="T76" s="854"/>
      <c r="U76" s="854"/>
      <c r="V76" s="854"/>
    </row>
    <row r="77" spans="2:22" ht="12.6" customHeight="1">
      <c r="G77" s="777"/>
      <c r="H77" s="853"/>
      <c r="I77" s="853"/>
      <c r="J77" s="853"/>
      <c r="K77" s="853"/>
      <c r="L77" s="853"/>
      <c r="M77" s="853"/>
      <c r="N77" s="853"/>
      <c r="O77" s="854"/>
      <c r="P77" s="854"/>
      <c r="Q77" s="854"/>
      <c r="R77" s="854"/>
      <c r="S77" s="854"/>
      <c r="T77" s="854"/>
      <c r="U77" s="854"/>
      <c r="V77" s="854"/>
    </row>
    <row r="78" spans="2:22" ht="14.1" customHeight="1">
      <c r="E78" s="23" t="s">
        <v>376</v>
      </c>
      <c r="G78" s="854" t="s">
        <v>348</v>
      </c>
      <c r="H78" s="853"/>
      <c r="I78" s="853"/>
      <c r="J78" s="853"/>
      <c r="K78" s="853"/>
      <c r="L78" s="853"/>
      <c r="M78" s="853"/>
      <c r="N78" s="853"/>
      <c r="O78" s="854"/>
      <c r="P78" s="854"/>
      <c r="Q78" s="854"/>
      <c r="R78" s="854"/>
      <c r="S78" s="854"/>
      <c r="T78" s="854"/>
      <c r="U78" s="854"/>
      <c r="V78" s="854"/>
    </row>
    <row r="79" spans="2:22" ht="12.6" customHeight="1">
      <c r="G79" s="854"/>
      <c r="H79" s="853"/>
      <c r="I79" s="853"/>
      <c r="J79" s="853"/>
      <c r="K79" s="853"/>
      <c r="L79" s="853"/>
      <c r="M79" s="853"/>
      <c r="N79" s="853"/>
      <c r="O79" s="854"/>
      <c r="P79" s="854"/>
      <c r="Q79" s="854"/>
      <c r="R79" s="854"/>
      <c r="S79" s="854"/>
      <c r="T79" s="854"/>
      <c r="U79" s="854"/>
      <c r="V79" s="854"/>
    </row>
    <row r="80" spans="2:22" ht="14.1" customHeight="1">
      <c r="E80" s="23" t="s">
        <v>377</v>
      </c>
      <c r="G80" s="861"/>
      <c r="H80" s="853"/>
      <c r="I80" s="853"/>
      <c r="J80" s="853"/>
      <c r="K80" s="853"/>
      <c r="L80" s="853"/>
      <c r="M80" s="853"/>
      <c r="N80" s="853"/>
      <c r="O80" s="854" t="s">
        <v>378</v>
      </c>
      <c r="P80" s="854"/>
      <c r="Q80" s="854"/>
      <c r="R80" s="854"/>
      <c r="S80" s="854"/>
      <c r="T80" s="854"/>
      <c r="U80" s="854"/>
      <c r="V80" s="854"/>
    </row>
    <row r="81" spans="5:22" ht="12.6" customHeight="1">
      <c r="G81" s="860"/>
      <c r="H81" s="853"/>
      <c r="I81" s="853"/>
      <c r="J81" s="853"/>
      <c r="K81" s="853"/>
      <c r="L81" s="853"/>
      <c r="M81" s="853"/>
      <c r="N81" s="853"/>
      <c r="O81" s="854"/>
      <c r="P81" s="854"/>
      <c r="Q81" s="854"/>
      <c r="R81" s="854"/>
      <c r="S81" s="854"/>
      <c r="T81" s="854"/>
      <c r="U81" s="854"/>
      <c r="V81" s="854"/>
    </row>
    <row r="82" spans="5:22" ht="14.1">
      <c r="E82" s="23" t="s">
        <v>379</v>
      </c>
      <c r="G82" s="780"/>
      <c r="H82" s="853"/>
      <c r="I82" s="853"/>
      <c r="J82" s="853"/>
      <c r="K82" s="853"/>
      <c r="L82" s="853"/>
      <c r="M82" s="853"/>
      <c r="N82" s="853"/>
      <c r="O82" s="854" t="s">
        <v>380</v>
      </c>
      <c r="P82" s="854"/>
      <c r="Q82" s="854"/>
      <c r="R82" s="854"/>
      <c r="S82" s="854"/>
      <c r="T82" s="854"/>
      <c r="U82" s="854"/>
      <c r="V82" s="854"/>
    </row>
    <row r="83" spans="5:22" ht="12.95">
      <c r="G83" s="776"/>
      <c r="H83" s="853"/>
      <c r="I83" s="853"/>
      <c r="J83" s="853"/>
      <c r="K83" s="853"/>
      <c r="L83" s="853"/>
      <c r="M83" s="853"/>
      <c r="N83" s="853"/>
      <c r="O83" s="854"/>
      <c r="P83" s="854"/>
      <c r="Q83" s="854"/>
      <c r="R83" s="854"/>
      <c r="S83" s="854"/>
      <c r="T83" s="854"/>
      <c r="U83" s="854"/>
      <c r="V83" s="854"/>
    </row>
    <row r="84" spans="5:22" ht="14.1" customHeight="1">
      <c r="E84" s="23" t="s">
        <v>381</v>
      </c>
      <c r="G84" s="861"/>
      <c r="H84" s="853"/>
      <c r="I84" s="853"/>
      <c r="J84" s="853"/>
      <c r="K84" s="853"/>
      <c r="L84" s="853"/>
      <c r="M84" s="853"/>
      <c r="N84" s="853"/>
      <c r="O84" s="854" t="s">
        <v>382</v>
      </c>
      <c r="P84" s="854"/>
      <c r="Q84" s="854"/>
      <c r="R84" s="854"/>
      <c r="S84" s="854"/>
      <c r="T84" s="854"/>
      <c r="U84" s="854"/>
      <c r="V84" s="854"/>
    </row>
    <row r="85" spans="5:22" ht="12.6" customHeight="1">
      <c r="G85" s="860"/>
      <c r="H85" s="853"/>
      <c r="I85" s="853"/>
      <c r="J85" s="853"/>
      <c r="K85" s="853"/>
      <c r="L85" s="853"/>
      <c r="M85" s="853"/>
      <c r="N85" s="853"/>
      <c r="O85" s="854"/>
      <c r="P85" s="854"/>
      <c r="Q85" s="854"/>
      <c r="R85" s="854"/>
      <c r="S85" s="854"/>
      <c r="T85" s="854"/>
      <c r="U85" s="854"/>
      <c r="V85" s="854"/>
    </row>
    <row r="86" spans="5:22" ht="14.1" customHeight="1">
      <c r="E86" s="23" t="s">
        <v>383</v>
      </c>
      <c r="G86" s="862"/>
      <c r="H86" s="853"/>
      <c r="I86" s="853"/>
      <c r="J86" s="853"/>
      <c r="K86" s="853"/>
      <c r="L86" s="853"/>
      <c r="M86" s="853"/>
      <c r="N86" s="853"/>
      <c r="O86" s="854" t="s">
        <v>384</v>
      </c>
      <c r="P86" s="854"/>
      <c r="Q86" s="854"/>
      <c r="R86" s="854"/>
      <c r="S86" s="854"/>
      <c r="T86" s="854"/>
      <c r="U86" s="854"/>
      <c r="V86" s="854"/>
    </row>
    <row r="87" spans="5:22" ht="12.6" customHeight="1">
      <c r="G87" s="862"/>
      <c r="H87" s="853"/>
      <c r="I87" s="853"/>
      <c r="J87" s="853"/>
      <c r="K87" s="853"/>
      <c r="L87" s="853"/>
      <c r="M87" s="853"/>
      <c r="N87" s="853"/>
      <c r="O87" s="854"/>
      <c r="P87" s="854"/>
      <c r="Q87" s="854"/>
      <c r="R87" s="854"/>
      <c r="S87" s="854"/>
      <c r="T87" s="854"/>
      <c r="U87" s="854"/>
      <c r="V87" s="854"/>
    </row>
    <row r="88" spans="5:22" ht="14.1" customHeight="1">
      <c r="E88" s="23" t="s">
        <v>385</v>
      </c>
      <c r="G88" s="859"/>
      <c r="H88" s="853"/>
      <c r="I88" s="853"/>
      <c r="J88" s="853"/>
      <c r="K88" s="853"/>
      <c r="L88" s="853"/>
      <c r="M88" s="853"/>
      <c r="N88" s="853"/>
      <c r="O88" s="854" t="s">
        <v>386</v>
      </c>
      <c r="P88" s="854"/>
      <c r="Q88" s="854"/>
      <c r="R88" s="854"/>
      <c r="S88" s="854"/>
      <c r="T88" s="854"/>
      <c r="U88" s="854"/>
      <c r="V88" s="854"/>
    </row>
    <row r="89" spans="5:22" ht="13.35" customHeight="1">
      <c r="E89" s="23"/>
      <c r="G89" s="859"/>
      <c r="H89" s="853"/>
      <c r="I89" s="853"/>
      <c r="J89" s="853"/>
      <c r="K89" s="853"/>
      <c r="L89" s="853"/>
      <c r="M89" s="853"/>
      <c r="N89" s="853"/>
      <c r="O89" s="854"/>
      <c r="P89" s="854"/>
      <c r="Q89" s="854"/>
      <c r="R89" s="854"/>
      <c r="S89" s="854"/>
      <c r="T89" s="854"/>
      <c r="U89" s="854"/>
      <c r="V89" s="854"/>
    </row>
    <row r="90" spans="5:22" ht="14.1" customHeight="1">
      <c r="E90" s="23" t="s">
        <v>387</v>
      </c>
      <c r="G90" s="854"/>
      <c r="H90" s="853"/>
      <c r="I90" s="853"/>
      <c r="J90" s="853"/>
      <c r="K90" s="853"/>
      <c r="L90" s="853"/>
      <c r="M90" s="853"/>
      <c r="N90" s="853"/>
      <c r="O90" s="854" t="s">
        <v>388</v>
      </c>
      <c r="P90" s="854"/>
      <c r="Q90" s="854"/>
      <c r="R90" s="854"/>
      <c r="S90" s="854"/>
      <c r="T90" s="854"/>
      <c r="U90" s="854"/>
      <c r="V90" s="854"/>
    </row>
    <row r="91" spans="5:22" ht="14.1" customHeight="1">
      <c r="E91" s="23"/>
      <c r="G91" s="854"/>
      <c r="H91" s="853"/>
      <c r="I91" s="853"/>
      <c r="J91" s="853"/>
      <c r="K91" s="853"/>
      <c r="L91" s="853"/>
      <c r="M91" s="853"/>
      <c r="N91" s="853"/>
      <c r="O91" s="854"/>
      <c r="P91" s="854"/>
      <c r="Q91" s="854"/>
      <c r="R91" s="854"/>
      <c r="S91" s="854"/>
      <c r="T91" s="854"/>
      <c r="U91" s="854"/>
      <c r="V91" s="854"/>
    </row>
    <row r="92" spans="5:22" ht="14.1" customHeight="1">
      <c r="E92" s="23" t="s">
        <v>389</v>
      </c>
      <c r="G92" s="854"/>
      <c r="H92" s="853"/>
      <c r="I92" s="853"/>
      <c r="J92" s="853"/>
      <c r="K92" s="853"/>
      <c r="L92" s="853"/>
      <c r="M92" s="853"/>
      <c r="N92" s="853"/>
      <c r="O92" s="854" t="s">
        <v>348</v>
      </c>
      <c r="P92" s="854"/>
      <c r="Q92" s="854"/>
      <c r="R92" s="854"/>
      <c r="S92" s="854"/>
      <c r="T92" s="854"/>
      <c r="U92" s="854"/>
      <c r="V92" s="854"/>
    </row>
    <row r="93" spans="5:22" ht="12.6" customHeight="1">
      <c r="G93" s="854"/>
      <c r="H93" s="853"/>
      <c r="I93" s="853"/>
      <c r="J93" s="853"/>
      <c r="K93" s="853"/>
      <c r="L93" s="853"/>
      <c r="M93" s="853"/>
      <c r="N93" s="853"/>
      <c r="O93" s="854"/>
      <c r="P93" s="854"/>
      <c r="Q93" s="854"/>
      <c r="R93" s="854"/>
      <c r="S93" s="854"/>
      <c r="T93" s="854"/>
      <c r="U93" s="854"/>
      <c r="V93" s="854"/>
    </row>
    <row r="94" spans="5:22" ht="14.1" customHeight="1">
      <c r="E94" s="23" t="s">
        <v>390</v>
      </c>
      <c r="G94" s="854"/>
      <c r="H94" s="853"/>
      <c r="I94" s="853"/>
      <c r="J94" s="853"/>
      <c r="K94" s="853"/>
      <c r="L94" s="853"/>
      <c r="M94" s="853"/>
      <c r="N94" s="853"/>
      <c r="O94" s="854"/>
      <c r="P94" s="854"/>
      <c r="Q94" s="854"/>
      <c r="R94" s="854"/>
      <c r="S94" s="854"/>
      <c r="T94" s="854"/>
      <c r="U94" s="854"/>
      <c r="V94" s="854"/>
    </row>
    <row r="95" spans="5:22" ht="12.6" customHeight="1">
      <c r="G95" s="854"/>
      <c r="H95" s="853"/>
      <c r="I95" s="853"/>
      <c r="J95" s="853"/>
      <c r="K95" s="853"/>
      <c r="L95" s="853"/>
      <c r="M95" s="853"/>
      <c r="N95" s="853"/>
      <c r="O95" s="854"/>
      <c r="P95" s="854"/>
      <c r="Q95" s="854"/>
      <c r="R95" s="854"/>
      <c r="S95" s="854"/>
      <c r="T95" s="854"/>
      <c r="U95" s="854"/>
      <c r="V95" s="854"/>
    </row>
  </sheetData>
  <mergeCells count="119">
    <mergeCell ref="G94:G95"/>
    <mergeCell ref="H94:J95"/>
    <mergeCell ref="K94:N95"/>
    <mergeCell ref="O94:V95"/>
    <mergeCell ref="G90:G91"/>
    <mergeCell ref="H90:J91"/>
    <mergeCell ref="K90:N91"/>
    <mergeCell ref="O90:V91"/>
    <mergeCell ref="G92:G93"/>
    <mergeCell ref="H92:J93"/>
    <mergeCell ref="K92:N93"/>
    <mergeCell ref="O92:V93"/>
    <mergeCell ref="G86:G87"/>
    <mergeCell ref="H86:J87"/>
    <mergeCell ref="K86:N87"/>
    <mergeCell ref="O86:V87"/>
    <mergeCell ref="G88:G89"/>
    <mergeCell ref="H88:J89"/>
    <mergeCell ref="K88:N89"/>
    <mergeCell ref="O88:V89"/>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H74:J75"/>
    <mergeCell ref="K74:N75"/>
    <mergeCell ref="O74:V75"/>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dataValidations disablePrompts="1" count="1">
    <dataValidation type="list" allowBlank="1" showInputMessage="1" showErrorMessage="1" sqref="F6" xr:uid="{00000000-0002-0000-0400-000000000000}">
      <formula1>#REF!</formula1>
    </dataValidation>
  </dataValidations>
  <hyperlinks>
    <hyperlink ref="C49" r:id="rId1" xr:uid="{2714B202-073F-4C8E-9E43-0BDDD8FFD8A7}"/>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topLeftCell="A17" zoomScale="69" zoomScaleNormal="85" workbookViewId="0">
      <selection activeCell="E8" sqref="E8"/>
    </sheetView>
  </sheetViews>
  <sheetFormatPr defaultColWidth="8.625" defaultRowHeight="14.1"/>
  <cols>
    <col min="1" max="1" width="2.625" customWidth="1"/>
    <col min="5" max="5" width="30.625" customWidth="1"/>
    <col min="6" max="6" width="13.125" customWidth="1"/>
    <col min="7" max="17" width="11.125" customWidth="1"/>
    <col min="18" max="18" width="20.625" style="6" customWidth="1"/>
  </cols>
  <sheetData>
    <row r="2" spans="1:18" s="38" customFormat="1" ht="20.25" customHeight="1">
      <c r="B2" s="594" t="s">
        <v>391</v>
      </c>
      <c r="R2" s="631"/>
    </row>
    <row r="4" spans="1:18" ht="15.6">
      <c r="A4" t="s">
        <v>392</v>
      </c>
      <c r="B4" s="200" t="s">
        <v>393</v>
      </c>
      <c r="C4" s="56"/>
      <c r="D4" s="56"/>
      <c r="E4" s="56"/>
      <c r="F4" s="56"/>
      <c r="G4" s="201">
        <v>2014</v>
      </c>
      <c r="H4" s="201">
        <f>+G4+1</f>
        <v>2015</v>
      </c>
      <c r="I4" s="201">
        <f t="shared" ref="I4:M4" si="0">+H4+1</f>
        <v>2016</v>
      </c>
      <c r="J4" s="201">
        <f t="shared" si="0"/>
        <v>2017</v>
      </c>
      <c r="K4" s="201">
        <f t="shared" si="0"/>
        <v>2018</v>
      </c>
      <c r="L4" s="201">
        <f t="shared" si="0"/>
        <v>2019</v>
      </c>
      <c r="M4" s="201">
        <f t="shared" si="0"/>
        <v>2020</v>
      </c>
      <c r="N4" s="201">
        <f>+M4+1</f>
        <v>2021</v>
      </c>
      <c r="O4" s="201">
        <f>+N4+1</f>
        <v>2022</v>
      </c>
      <c r="P4" s="201">
        <f t="shared" ref="P4" si="1">+O4+1</f>
        <v>2023</v>
      </c>
      <c r="Q4" s="201">
        <f>+P4+1</f>
        <v>2024</v>
      </c>
      <c r="R4" s="58" t="str">
        <f>"CAGR "&amp;$G$4&amp;" - "&amp;$Q$4</f>
        <v>CAGR 2014 - 2024</v>
      </c>
    </row>
    <row r="5" spans="1:18" ht="3.75" customHeight="1">
      <c r="B5" s="53"/>
      <c r="C5" s="53"/>
      <c r="D5" s="53"/>
      <c r="E5" s="53"/>
      <c r="F5" s="53"/>
      <c r="G5" s="202"/>
      <c r="H5" s="202"/>
      <c r="I5" s="202"/>
      <c r="J5" s="202"/>
      <c r="K5" s="202"/>
      <c r="L5" s="202"/>
      <c r="M5" s="202"/>
      <c r="N5" s="202"/>
      <c r="O5" s="202"/>
      <c r="P5" s="202"/>
      <c r="Q5" s="202"/>
      <c r="R5" s="59"/>
    </row>
    <row r="6" spans="1:18">
      <c r="B6" t="str">
        <f ca="1">+Peers!B6</f>
        <v>ADOBE INC.</v>
      </c>
      <c r="G6" s="185">
        <v>10976</v>
      </c>
      <c r="H6" s="185">
        <v>12365</v>
      </c>
      <c r="I6" s="185">
        <v>11082</v>
      </c>
      <c r="J6" s="185">
        <v>14177</v>
      </c>
      <c r="K6" s="185">
        <v>12199</v>
      </c>
      <c r="L6" s="185">
        <v>11817</v>
      </c>
      <c r="M6" s="185">
        <v>9842</v>
      </c>
      <c r="N6" s="185">
        <v>4911</v>
      </c>
      <c r="O6" s="185">
        <v>6586</v>
      </c>
      <c r="P6" s="185">
        <v>7649</v>
      </c>
      <c r="Q6" s="185">
        <v>7649</v>
      </c>
      <c r="R6" s="632">
        <f t="shared" ref="R6:R16" si="2">IFERROR((Q6/G6)^(1/COUNT($G$4:$Q$4))-1,"")</f>
        <v>-3.2297485964580042E-2</v>
      </c>
    </row>
    <row r="7" spans="1:18">
      <c r="B7" s="599" t="str">
        <f ca="1">+Peers!B7</f>
        <v>SALESFORCE, INC.</v>
      </c>
      <c r="C7" s="599"/>
      <c r="D7" s="599"/>
      <c r="E7" s="599"/>
      <c r="F7" s="599"/>
      <c r="G7" s="600">
        <v>6000</v>
      </c>
      <c r="H7" s="600">
        <v>5000</v>
      </c>
      <c r="I7" s="600">
        <v>3000</v>
      </c>
      <c r="J7" s="600">
        <v>0</v>
      </c>
      <c r="K7" s="600">
        <v>0</v>
      </c>
      <c r="L7" s="600">
        <v>0</v>
      </c>
      <c r="M7" s="600">
        <v>6000</v>
      </c>
      <c r="N7" s="600">
        <v>1000</v>
      </c>
      <c r="O7" s="600">
        <v>6000</v>
      </c>
      <c r="P7" s="600">
        <v>4000</v>
      </c>
      <c r="Q7" s="600">
        <v>3000</v>
      </c>
      <c r="R7" s="633">
        <f t="shared" si="2"/>
        <v>-6.1069089338293692E-2</v>
      </c>
    </row>
    <row r="8" spans="1:18">
      <c r="B8" t="str">
        <f ca="1">+Peers!B8</f>
        <v>INTUIT INC.</v>
      </c>
      <c r="G8" s="185"/>
      <c r="H8" s="185"/>
      <c r="I8" s="185"/>
      <c r="J8" s="185"/>
      <c r="K8" s="185"/>
      <c r="L8" s="185"/>
      <c r="M8" s="185"/>
      <c r="N8" s="185"/>
      <c r="O8" s="185"/>
      <c r="P8" s="185"/>
      <c r="Q8" s="185"/>
      <c r="R8" s="632" t="str">
        <f t="shared" si="2"/>
        <v/>
      </c>
    </row>
    <row r="9" spans="1:18">
      <c r="B9" s="599" t="str">
        <f ca="1">+Peers!B9</f>
        <v>WORKDAY, INC.</v>
      </c>
      <c r="C9" s="599"/>
      <c r="D9" s="599"/>
      <c r="E9" s="599"/>
      <c r="F9" s="599"/>
      <c r="G9" s="600">
        <v>1186</v>
      </c>
      <c r="H9" s="600">
        <v>1186</v>
      </c>
      <c r="I9" s="600">
        <v>1186</v>
      </c>
      <c r="J9" s="600">
        <v>1420</v>
      </c>
      <c r="K9" s="600">
        <v>1816</v>
      </c>
      <c r="L9" s="600">
        <v>2040</v>
      </c>
      <c r="M9" s="600">
        <v>1730</v>
      </c>
      <c r="N9" s="600">
        <v>1471</v>
      </c>
      <c r="O9" s="600">
        <v>1834</v>
      </c>
      <c r="P9" s="600">
        <v>2660</v>
      </c>
      <c r="Q9" s="599">
        <v>2752</v>
      </c>
      <c r="R9" s="633">
        <f t="shared" si="2"/>
        <v>7.9525902304375951E-2</v>
      </c>
    </row>
    <row r="10" spans="1:18">
      <c r="B10" t="str">
        <f ca="1">+Peers!B10</f>
        <v>DATADOG, INC.</v>
      </c>
      <c r="G10" s="185"/>
      <c r="H10" s="185"/>
      <c r="I10" s="185"/>
      <c r="J10" s="185"/>
      <c r="K10" s="185"/>
      <c r="L10" s="185"/>
      <c r="M10" s="185"/>
      <c r="N10" s="185"/>
      <c r="O10" s="185"/>
      <c r="P10" s="185"/>
      <c r="Q10" s="185"/>
      <c r="R10" s="632" t="str">
        <f t="shared" si="2"/>
        <v/>
      </c>
    </row>
    <row r="11" spans="1:18">
      <c r="B11" s="599" t="str">
        <f ca="1">+Peers!B11</f>
        <v>HUBSPOT, INC.</v>
      </c>
      <c r="C11" s="599"/>
      <c r="D11" s="599"/>
      <c r="E11" s="599"/>
      <c r="F11" s="599"/>
      <c r="G11" s="600"/>
      <c r="H11" s="600"/>
      <c r="I11" s="600"/>
      <c r="J11" s="600"/>
      <c r="K11" s="600"/>
      <c r="L11" s="600"/>
      <c r="M11" s="600"/>
      <c r="N11" s="600"/>
      <c r="O11" s="600"/>
      <c r="P11" s="600"/>
      <c r="Q11" s="600"/>
      <c r="R11" s="633" t="str">
        <f t="shared" si="2"/>
        <v/>
      </c>
    </row>
    <row r="12" spans="1:18">
      <c r="B12" t="str">
        <f ca="1">+Peers!B12</f>
        <v>Sap Se</v>
      </c>
      <c r="G12" s="185"/>
      <c r="H12" s="185"/>
      <c r="I12" s="185"/>
      <c r="J12" s="185"/>
      <c r="K12" s="185"/>
      <c r="L12" s="185"/>
      <c r="M12" s="185"/>
      <c r="N12" s="185"/>
      <c r="O12" s="185"/>
      <c r="P12" s="185"/>
      <c r="Q12" s="185"/>
      <c r="R12" s="632" t="str">
        <f t="shared" si="2"/>
        <v/>
      </c>
    </row>
    <row r="13" spans="1:18">
      <c r="B13" s="599" t="str">
        <f ca="1">+Peers!B13</f>
        <v>SERVICENOW, INC.</v>
      </c>
      <c r="C13" s="599"/>
      <c r="D13" s="599"/>
      <c r="E13" s="599"/>
      <c r="F13" s="599"/>
      <c r="G13" s="600"/>
      <c r="H13" s="600"/>
      <c r="I13" s="600"/>
      <c r="J13" s="600"/>
      <c r="K13" s="600"/>
      <c r="L13" s="600"/>
      <c r="M13" s="600"/>
      <c r="N13" s="600"/>
      <c r="O13" s="600"/>
      <c r="P13" s="600"/>
      <c r="Q13" s="600"/>
      <c r="R13" s="633" t="str">
        <f t="shared" si="2"/>
        <v/>
      </c>
    </row>
    <row r="14" spans="1:18">
      <c r="B14" t="str">
        <f ca="1">+Peers!B14</f>
        <v>AUTODESK, INC.</v>
      </c>
      <c r="G14" s="185"/>
      <c r="H14" s="185"/>
      <c r="I14" s="185"/>
      <c r="J14" s="185"/>
      <c r="K14" s="185"/>
      <c r="L14" s="185"/>
      <c r="M14" s="185"/>
      <c r="N14" s="185"/>
      <c r="O14" s="185"/>
      <c r="P14" s="185"/>
      <c r="Q14" s="185"/>
      <c r="R14" s="632" t="str">
        <f t="shared" si="2"/>
        <v/>
      </c>
    </row>
    <row r="15" spans="1:18">
      <c r="B15" s="599" t="str">
        <f ca="1">+Peers!B15</f>
        <v>SNOWFLAKE INC.</v>
      </c>
      <c r="C15" s="599"/>
      <c r="D15" s="599"/>
      <c r="E15" s="599"/>
      <c r="F15" s="599"/>
      <c r="G15" s="600"/>
      <c r="H15" s="600"/>
      <c r="I15" s="600"/>
      <c r="J15" s="600"/>
      <c r="K15" s="600"/>
      <c r="L15" s="600"/>
      <c r="M15" s="600"/>
      <c r="N15" s="600"/>
      <c r="O15" s="600"/>
      <c r="P15" s="600"/>
      <c r="Q15" s="600"/>
      <c r="R15" s="633" t="str">
        <f t="shared" si="2"/>
        <v/>
      </c>
    </row>
    <row r="16" spans="1:18">
      <c r="B16" t="str">
        <f ca="1">+Peers!B16</f>
        <v>ATLASSIAN CORPORATION</v>
      </c>
      <c r="G16" s="185"/>
      <c r="H16" s="185"/>
      <c r="I16" s="185"/>
      <c r="J16" s="185"/>
      <c r="K16" s="185"/>
      <c r="L16" s="185"/>
      <c r="M16" s="185"/>
      <c r="N16" s="185"/>
      <c r="O16" s="185"/>
      <c r="P16" s="185"/>
      <c r="Q16" s="185"/>
      <c r="R16" s="632" t="str">
        <f t="shared" si="2"/>
        <v/>
      </c>
    </row>
    <row r="17" spans="1:18">
      <c r="G17" s="185"/>
      <c r="H17" s="185"/>
      <c r="I17" s="185"/>
      <c r="J17" s="185"/>
      <c r="K17" s="185"/>
      <c r="L17" s="185"/>
      <c r="M17" s="185"/>
      <c r="N17" s="185"/>
      <c r="O17" s="185"/>
      <c r="P17" s="185"/>
      <c r="Q17" s="185"/>
    </row>
    <row r="18" spans="1:18" ht="15.6">
      <c r="A18" t="s">
        <v>392</v>
      </c>
      <c r="B18" s="200" t="s">
        <v>394</v>
      </c>
      <c r="C18" s="56"/>
      <c r="D18" s="56"/>
      <c r="E18" s="56"/>
      <c r="F18" s="56"/>
      <c r="G18" s="201">
        <v>2014</v>
      </c>
      <c r="H18" s="201">
        <f t="shared" ref="H18:Q18" si="3">+G18+1</f>
        <v>2015</v>
      </c>
      <c r="I18" s="201">
        <f t="shared" si="3"/>
        <v>2016</v>
      </c>
      <c r="J18" s="201">
        <f t="shared" si="3"/>
        <v>2017</v>
      </c>
      <c r="K18" s="201">
        <f t="shared" si="3"/>
        <v>2018</v>
      </c>
      <c r="L18" s="201">
        <f t="shared" si="3"/>
        <v>2019</v>
      </c>
      <c r="M18" s="201">
        <f t="shared" si="3"/>
        <v>2020</v>
      </c>
      <c r="N18" s="201">
        <f t="shared" si="3"/>
        <v>2021</v>
      </c>
      <c r="O18" s="201">
        <f t="shared" si="3"/>
        <v>2022</v>
      </c>
      <c r="P18" s="201">
        <f t="shared" si="3"/>
        <v>2023</v>
      </c>
      <c r="Q18" s="201">
        <f t="shared" si="3"/>
        <v>2024</v>
      </c>
      <c r="R18" s="58" t="str">
        <f>"CAGR "&amp;$G$4&amp;" - "&amp;$Q$4</f>
        <v>CAGR 2014 - 2024</v>
      </c>
    </row>
    <row r="19" spans="1:18" s="80" customFormat="1" ht="3.75" customHeight="1">
      <c r="B19" s="595"/>
      <c r="C19" s="595"/>
      <c r="D19" s="595"/>
      <c r="E19" s="595"/>
      <c r="F19" s="595"/>
      <c r="G19" s="596"/>
      <c r="H19" s="596"/>
      <c r="I19" s="596"/>
      <c r="J19" s="596"/>
      <c r="K19" s="596"/>
      <c r="L19" s="596"/>
      <c r="M19" s="596"/>
      <c r="N19" s="596"/>
      <c r="O19" s="596"/>
      <c r="P19" s="596"/>
      <c r="Q19" s="596"/>
      <c r="R19" s="597"/>
    </row>
    <row r="20" spans="1:18">
      <c r="B20" t="str">
        <f ca="1">+$B$6</f>
        <v>ADOBE INC.</v>
      </c>
      <c r="G20" s="185">
        <v>61425</v>
      </c>
      <c r="H20" s="185">
        <v>64352</v>
      </c>
      <c r="I20" s="185">
        <v>61875</v>
      </c>
      <c r="J20" s="185">
        <v>66288</v>
      </c>
      <c r="K20" s="185">
        <v>58874</v>
      </c>
      <c r="L20" s="185">
        <v>56128</v>
      </c>
      <c r="M20" s="185">
        <v>51176</v>
      </c>
      <c r="N20" s="185">
        <v>61220</v>
      </c>
      <c r="O20" s="185">
        <v>57168</v>
      </c>
      <c r="P20" s="185">
        <v>62662</v>
      </c>
      <c r="Q20" s="185">
        <v>62662</v>
      </c>
      <c r="R20" s="632">
        <f t="shared" ref="R20:R30" si="4">IFERROR((Q20/G20)^(1/COUNT($G$4:$Q$4))-1,"")</f>
        <v>1.8142150546520686E-3</v>
      </c>
    </row>
    <row r="21" spans="1:18">
      <c r="B21" s="599" t="str">
        <f ca="1">+$B$7</f>
        <v>SALESFORCE, INC.</v>
      </c>
      <c r="C21" s="599"/>
      <c r="D21" s="599"/>
      <c r="E21" s="599"/>
      <c r="F21" s="599"/>
      <c r="G21" s="600">
        <v>48000</v>
      </c>
      <c r="H21" s="600">
        <v>71000</v>
      </c>
      <c r="I21" s="600">
        <v>132000</v>
      </c>
      <c r="J21" s="600">
        <v>138000</v>
      </c>
      <c r="K21" s="600">
        <v>143000</v>
      </c>
      <c r="L21" s="600">
        <v>163000</v>
      </c>
      <c r="M21" s="600">
        <v>291000</v>
      </c>
      <c r="N21" s="600">
        <v>292000</v>
      </c>
      <c r="O21" s="600">
        <v>286000</v>
      </c>
      <c r="P21" s="600">
        <v>280000</v>
      </c>
      <c r="Q21" s="600">
        <v>315000</v>
      </c>
      <c r="R21" s="633">
        <f t="shared" si="4"/>
        <v>0.18653083452488306</v>
      </c>
    </row>
    <row r="22" spans="1:18">
      <c r="B22" t="str">
        <f ca="1">+$B$8</f>
        <v>INTUIT INC.</v>
      </c>
      <c r="G22" s="185"/>
      <c r="H22" s="185"/>
      <c r="I22" s="185"/>
      <c r="J22" s="185"/>
      <c r="K22" s="185"/>
      <c r="L22" s="185"/>
      <c r="M22" s="185"/>
      <c r="N22" s="185"/>
      <c r="O22" s="185"/>
      <c r="P22" s="185"/>
      <c r="Q22" s="185"/>
      <c r="R22" s="632" t="str">
        <f t="shared" si="4"/>
        <v/>
      </c>
    </row>
    <row r="23" spans="1:18">
      <c r="B23" s="599" t="str">
        <f ca="1">+$B$9</f>
        <v>WORKDAY, INC.</v>
      </c>
      <c r="C23" s="599"/>
      <c r="D23" s="599"/>
      <c r="E23" s="599"/>
      <c r="F23" s="599"/>
      <c r="G23" s="781">
        <v>17743</v>
      </c>
      <c r="H23" s="781">
        <v>17743</v>
      </c>
      <c r="I23" s="781">
        <v>17743</v>
      </c>
      <c r="J23" s="600">
        <v>27792</v>
      </c>
      <c r="K23" s="600">
        <v>33894</v>
      </c>
      <c r="L23" s="600">
        <v>34330</v>
      </c>
      <c r="M23" s="600">
        <v>36811</v>
      </c>
      <c r="N23" s="600">
        <v>40584</v>
      </c>
      <c r="O23" s="600">
        <v>45821</v>
      </c>
      <c r="P23" s="600">
        <v>60927</v>
      </c>
      <c r="Q23" s="599">
        <v>67557</v>
      </c>
      <c r="R23" s="633">
        <f t="shared" si="4"/>
        <v>0.12923870375406188</v>
      </c>
    </row>
    <row r="24" spans="1:18">
      <c r="B24" t="str">
        <f ca="1">+$B$10</f>
        <v>DATADOG, INC.</v>
      </c>
      <c r="G24" s="185"/>
      <c r="H24" s="185"/>
      <c r="I24" s="185"/>
      <c r="J24" s="185"/>
      <c r="K24" s="185"/>
      <c r="L24" s="185"/>
      <c r="M24" s="185"/>
      <c r="N24" s="185"/>
      <c r="O24" s="185"/>
      <c r="P24" s="185"/>
      <c r="Q24" s="185"/>
      <c r="R24" s="632" t="str">
        <f t="shared" si="4"/>
        <v/>
      </c>
    </row>
    <row r="25" spans="1:18">
      <c r="B25" s="599" t="str">
        <f ca="1">+$B$11</f>
        <v>HUBSPOT, INC.</v>
      </c>
      <c r="C25" s="599"/>
      <c r="D25" s="599"/>
      <c r="E25" s="599"/>
      <c r="F25" s="599"/>
      <c r="G25" s="600"/>
      <c r="H25" s="600"/>
      <c r="I25" s="600"/>
      <c r="J25" s="600"/>
      <c r="K25" s="600"/>
      <c r="L25" s="600"/>
      <c r="M25" s="600"/>
      <c r="N25" s="600"/>
      <c r="O25" s="600"/>
      <c r="P25" s="600"/>
      <c r="Q25" s="600"/>
      <c r="R25" s="633" t="str">
        <f t="shared" si="4"/>
        <v/>
      </c>
    </row>
    <row r="26" spans="1:18">
      <c r="B26" t="str">
        <f ca="1">+$B$12</f>
        <v>Sap Se</v>
      </c>
      <c r="G26" s="185"/>
      <c r="H26" s="185"/>
      <c r="I26" s="185"/>
      <c r="J26" s="185"/>
      <c r="K26" s="185"/>
      <c r="L26" s="185"/>
      <c r="M26" s="185"/>
      <c r="N26" s="185"/>
      <c r="O26" s="185"/>
      <c r="P26" s="185"/>
      <c r="Q26" s="185"/>
      <c r="R26" s="632" t="str">
        <f t="shared" si="4"/>
        <v/>
      </c>
    </row>
    <row r="27" spans="1:18">
      <c r="B27" s="599" t="str">
        <f ca="1">+$B$13</f>
        <v>SERVICENOW, INC.</v>
      </c>
      <c r="C27" s="599"/>
      <c r="D27" s="599"/>
      <c r="E27" s="599"/>
      <c r="F27" s="599"/>
      <c r="G27" s="600"/>
      <c r="H27" s="600"/>
      <c r="I27" s="600"/>
      <c r="J27" s="600"/>
      <c r="K27" s="600"/>
      <c r="L27" s="600"/>
      <c r="M27" s="600"/>
      <c r="N27" s="600"/>
      <c r="O27" s="600"/>
      <c r="P27" s="600"/>
      <c r="Q27" s="600"/>
      <c r="R27" s="633" t="str">
        <f t="shared" si="4"/>
        <v/>
      </c>
    </row>
    <row r="28" spans="1:18">
      <c r="B28" t="str">
        <f ca="1">+$B$14</f>
        <v>AUTODESK, INC.</v>
      </c>
      <c r="G28" s="185"/>
      <c r="H28" s="185"/>
      <c r="I28" s="185"/>
      <c r="J28" s="185"/>
      <c r="K28" s="185"/>
      <c r="L28" s="185"/>
      <c r="M28" s="185"/>
      <c r="N28" s="185"/>
      <c r="O28" s="185"/>
      <c r="P28" s="185"/>
      <c r="Q28" s="185"/>
      <c r="R28" s="632" t="str">
        <f t="shared" si="4"/>
        <v/>
      </c>
    </row>
    <row r="29" spans="1:18">
      <c r="B29" s="599" t="str">
        <f ca="1">+$B$15</f>
        <v>SNOWFLAKE INC.</v>
      </c>
      <c r="C29" s="599"/>
      <c r="D29" s="599"/>
      <c r="E29" s="599"/>
      <c r="F29" s="599"/>
      <c r="G29" s="600"/>
      <c r="H29" s="600"/>
      <c r="I29" s="600"/>
      <c r="J29" s="600"/>
      <c r="K29" s="600"/>
      <c r="L29" s="600"/>
      <c r="M29" s="600"/>
      <c r="N29" s="600"/>
      <c r="O29" s="600"/>
      <c r="P29" s="600"/>
      <c r="Q29" s="600"/>
      <c r="R29" s="633" t="str">
        <f t="shared" si="4"/>
        <v/>
      </c>
    </row>
    <row r="30" spans="1:18">
      <c r="B30" t="str">
        <f ca="1">+$B$16</f>
        <v>ATLASSIAN CORPORATION</v>
      </c>
      <c r="G30" s="185"/>
      <c r="H30" s="185"/>
      <c r="I30" s="185"/>
      <c r="J30" s="185"/>
      <c r="K30" s="185"/>
      <c r="L30" s="185"/>
      <c r="M30" s="185"/>
      <c r="N30" s="185"/>
      <c r="O30" s="185"/>
      <c r="P30" s="185"/>
      <c r="Q30" s="185"/>
      <c r="R30" s="632" t="str">
        <f t="shared" si="4"/>
        <v/>
      </c>
    </row>
    <row r="31" spans="1:18">
      <c r="G31" s="185"/>
      <c r="H31" s="185"/>
      <c r="I31" s="185"/>
      <c r="J31" s="185"/>
      <c r="K31" s="185"/>
      <c r="L31" s="185"/>
      <c r="M31" s="185"/>
      <c r="N31" s="185"/>
      <c r="O31" s="185"/>
      <c r="P31" s="185"/>
      <c r="Q31" s="185"/>
    </row>
    <row r="32" spans="1:18" ht="15.6">
      <c r="A32" t="s">
        <v>392</v>
      </c>
      <c r="B32" s="200" t="s">
        <v>395</v>
      </c>
      <c r="C32" s="56"/>
      <c r="D32" s="56"/>
      <c r="E32" s="56"/>
      <c r="F32" s="56"/>
      <c r="G32" s="201">
        <v>2014</v>
      </c>
      <c r="H32" s="201">
        <f t="shared" ref="H32:Q32" si="5">+G32+1</f>
        <v>2015</v>
      </c>
      <c r="I32" s="201">
        <f t="shared" si="5"/>
        <v>2016</v>
      </c>
      <c r="J32" s="201">
        <f t="shared" si="5"/>
        <v>2017</v>
      </c>
      <c r="K32" s="201">
        <f t="shared" si="5"/>
        <v>2018</v>
      </c>
      <c r="L32" s="201">
        <f t="shared" si="5"/>
        <v>2019</v>
      </c>
      <c r="M32" s="201">
        <f t="shared" si="5"/>
        <v>2020</v>
      </c>
      <c r="N32" s="201">
        <f t="shared" si="5"/>
        <v>2021</v>
      </c>
      <c r="O32" s="201">
        <f t="shared" si="5"/>
        <v>2022</v>
      </c>
      <c r="P32" s="201">
        <f t="shared" si="5"/>
        <v>2023</v>
      </c>
      <c r="Q32" s="201">
        <f t="shared" si="5"/>
        <v>2024</v>
      </c>
      <c r="R32" s="58" t="str">
        <f>"CAGR "&amp;$G$4&amp;" - "&amp;$Q$4</f>
        <v>CAGR 2014 - 2024</v>
      </c>
    </row>
    <row r="33" spans="1:18" ht="3.75" customHeight="1">
      <c r="B33" s="53"/>
      <c r="C33" s="53"/>
      <c r="D33" s="53"/>
      <c r="E33" s="53"/>
      <c r="F33" s="53"/>
      <c r="G33" s="202"/>
      <c r="H33" s="202"/>
      <c r="I33" s="202"/>
      <c r="J33" s="202"/>
      <c r="K33" s="202"/>
      <c r="L33" s="202"/>
      <c r="M33" s="202"/>
      <c r="N33" s="202"/>
      <c r="O33" s="202"/>
      <c r="P33" s="202"/>
      <c r="Q33" s="202"/>
      <c r="R33" s="59"/>
    </row>
    <row r="34" spans="1:18">
      <c r="B34" t="str">
        <f ca="1">+$B$6</f>
        <v>ADOBE INC.</v>
      </c>
      <c r="G34" s="185">
        <v>214736</v>
      </c>
      <c r="H34" s="185">
        <v>211345</v>
      </c>
      <c r="I34" s="185">
        <v>212931</v>
      </c>
      <c r="J34" s="185">
        <v>236956</v>
      </c>
      <c r="K34" s="185">
        <v>223248</v>
      </c>
      <c r="L34" s="185">
        <v>221486</v>
      </c>
      <c r="M34" s="185">
        <v>208187</v>
      </c>
      <c r="N34" s="185">
        <v>240344</v>
      </c>
      <c r="O34" s="185">
        <v>213082</v>
      </c>
      <c r="P34" s="185">
        <v>230771</v>
      </c>
      <c r="Q34" s="185">
        <v>230771</v>
      </c>
      <c r="R34" s="632">
        <f t="shared" ref="R34:R44" si="6">IFERROR((Q34/G34)^(1/COUNT($G$4:$Q$4))-1,"")</f>
        <v>6.5684336296134571E-3</v>
      </c>
    </row>
    <row r="35" spans="1:18">
      <c r="B35" s="599" t="str">
        <f ca="1">+$B$7</f>
        <v>SALESFORCE, INC.</v>
      </c>
      <c r="C35" s="599"/>
      <c r="D35" s="599"/>
      <c r="E35" s="599"/>
      <c r="F35" s="599"/>
      <c r="G35" s="600">
        <v>265000</v>
      </c>
      <c r="H35" s="600">
        <v>140000</v>
      </c>
      <c r="I35" s="600">
        <v>101000</v>
      </c>
      <c r="J35" s="600">
        <v>371000</v>
      </c>
      <c r="K35" s="600">
        <v>514000</v>
      </c>
      <c r="L35" s="600">
        <v>628000</v>
      </c>
      <c r="M35" s="600">
        <v>710000</v>
      </c>
      <c r="N35" s="600">
        <v>777000</v>
      </c>
      <c r="O35" s="600">
        <v>826000</v>
      </c>
      <c r="P35" s="600">
        <v>869000</v>
      </c>
      <c r="Q35" s="600">
        <v>945000</v>
      </c>
      <c r="R35" s="633">
        <f t="shared" si="6"/>
        <v>0.12253197686095807</v>
      </c>
    </row>
    <row r="36" spans="1:18">
      <c r="B36" t="str">
        <f ca="1">+$B$8</f>
        <v>INTUIT INC.</v>
      </c>
      <c r="G36" s="185"/>
      <c r="H36" s="185"/>
      <c r="I36" s="185"/>
      <c r="J36" s="185"/>
      <c r="K36" s="185"/>
      <c r="L36" s="185"/>
      <c r="M36" s="185"/>
      <c r="N36" s="185"/>
      <c r="O36" s="185"/>
      <c r="P36" s="185"/>
      <c r="Q36" s="185"/>
      <c r="R36" s="632" t="str">
        <f t="shared" si="6"/>
        <v/>
      </c>
    </row>
    <row r="37" spans="1:18">
      <c r="B37" s="599" t="str">
        <f ca="1">+$B$9</f>
        <v>WORKDAY, INC.</v>
      </c>
      <c r="C37" s="599"/>
      <c r="D37" s="599"/>
      <c r="E37" s="599"/>
      <c r="F37" s="599"/>
      <c r="G37" s="601">
        <v>46840</v>
      </c>
      <c r="H37" s="601">
        <v>46840</v>
      </c>
      <c r="I37" s="601">
        <v>46840</v>
      </c>
      <c r="J37" s="601">
        <v>66138</v>
      </c>
      <c r="K37" s="600">
        <v>80471</v>
      </c>
      <c r="L37" s="600">
        <v>106084</v>
      </c>
      <c r="M37" s="600">
        <v>108245</v>
      </c>
      <c r="N37" s="600">
        <v>132423</v>
      </c>
      <c r="O37" s="600">
        <v>160889</v>
      </c>
      <c r="P37" s="600">
        <v>212489</v>
      </c>
      <c r="Q37" s="599">
        <v>228188</v>
      </c>
      <c r="R37" s="633">
        <f t="shared" si="6"/>
        <v>0.15482450878953347</v>
      </c>
    </row>
    <row r="38" spans="1:18">
      <c r="B38" t="s">
        <v>396</v>
      </c>
      <c r="G38" s="185">
        <v>42000</v>
      </c>
      <c r="H38" s="185">
        <v>37800</v>
      </c>
      <c r="I38" s="185">
        <v>55600</v>
      </c>
      <c r="J38" s="185">
        <v>71900</v>
      </c>
      <c r="K38" s="185">
        <v>57500</v>
      </c>
      <c r="L38" s="185">
        <v>57800</v>
      </c>
      <c r="M38" s="185">
        <v>85600</v>
      </c>
      <c r="N38" s="185">
        <v>118000</v>
      </c>
      <c r="O38" s="185">
        <v>118000</v>
      </c>
      <c r="P38" s="185">
        <v>141000</v>
      </c>
      <c r="Q38" s="185">
        <v>60500</v>
      </c>
      <c r="R38" s="632">
        <f t="shared" si="6"/>
        <v>3.3736007427621173E-2</v>
      </c>
    </row>
    <row r="39" spans="1:18">
      <c r="B39" s="599" t="s">
        <v>397</v>
      </c>
      <c r="C39" s="599"/>
      <c r="D39" s="599"/>
      <c r="E39" s="599"/>
      <c r="F39" s="599"/>
      <c r="G39" s="185"/>
      <c r="H39" s="185"/>
      <c r="I39" s="185"/>
      <c r="J39" s="185"/>
      <c r="K39" s="185"/>
      <c r="L39" s="185"/>
      <c r="M39" s="185"/>
      <c r="N39" s="185"/>
      <c r="O39" s="185"/>
      <c r="P39" s="185"/>
      <c r="Q39" s="185"/>
      <c r="R39" s="633" t="str">
        <f t="shared" si="6"/>
        <v/>
      </c>
    </row>
    <row r="40" spans="1:18">
      <c r="B40" t="str">
        <f ca="1">+$B$12</f>
        <v>Sap Se</v>
      </c>
      <c r="G40" s="185"/>
      <c r="H40" s="185"/>
      <c r="I40" s="185"/>
      <c r="J40" s="185"/>
      <c r="K40" s="185"/>
      <c r="L40" s="185"/>
      <c r="M40" s="185"/>
      <c r="N40" s="185"/>
      <c r="O40" s="185"/>
      <c r="P40" s="185"/>
      <c r="Q40" s="185"/>
      <c r="R40" s="632" t="str">
        <f t="shared" si="6"/>
        <v/>
      </c>
    </row>
    <row r="41" spans="1:18">
      <c r="B41" s="599" t="str">
        <f ca="1">+$B$13</f>
        <v>SERVICENOW, INC.</v>
      </c>
      <c r="C41" s="599"/>
      <c r="D41" s="599"/>
      <c r="E41" s="599"/>
      <c r="F41" s="599"/>
      <c r="G41" s="185"/>
      <c r="H41" s="185"/>
      <c r="I41" s="185"/>
      <c r="J41" s="185"/>
      <c r="K41" s="185"/>
      <c r="L41" s="185"/>
      <c r="M41" s="185"/>
      <c r="N41" s="185"/>
      <c r="O41" s="185"/>
      <c r="P41" s="185"/>
      <c r="Q41" s="185"/>
      <c r="R41" s="633" t="str">
        <f t="shared" si="6"/>
        <v/>
      </c>
    </row>
    <row r="42" spans="1:18">
      <c r="B42" t="s">
        <v>398</v>
      </c>
      <c r="G42" s="185"/>
      <c r="H42" s="185"/>
      <c r="I42" s="185"/>
      <c r="J42" s="185"/>
      <c r="K42" s="185"/>
      <c r="L42" s="185"/>
      <c r="M42" s="185"/>
      <c r="N42" s="185"/>
      <c r="O42" s="185"/>
      <c r="P42" s="185"/>
      <c r="Q42" s="185"/>
      <c r="R42" s="632" t="str">
        <f t="shared" si="6"/>
        <v/>
      </c>
    </row>
    <row r="43" spans="1:18">
      <c r="B43" s="599" t="str">
        <f ca="1">+$B$15</f>
        <v>SNOWFLAKE INC.</v>
      </c>
      <c r="C43" s="599"/>
      <c r="D43" s="599"/>
      <c r="E43" s="599"/>
      <c r="F43" s="599"/>
      <c r="G43" s="600"/>
      <c r="H43" s="600"/>
      <c r="I43" s="600"/>
      <c r="J43" s="600"/>
      <c r="K43" s="600"/>
      <c r="L43" s="600"/>
      <c r="M43" s="600"/>
      <c r="N43" s="600"/>
      <c r="O43" s="600"/>
      <c r="P43" s="600"/>
      <c r="Q43" s="600"/>
      <c r="R43" s="633" t="str">
        <f t="shared" si="6"/>
        <v/>
      </c>
    </row>
    <row r="44" spans="1:18">
      <c r="B44" t="str">
        <f ca="1">+$B$16</f>
        <v>ATLASSIAN CORPORATION</v>
      </c>
      <c r="G44" s="185"/>
      <c r="H44" s="185"/>
      <c r="I44" s="185"/>
      <c r="J44" s="185"/>
      <c r="K44" s="185"/>
      <c r="L44" s="185"/>
      <c r="M44" s="185"/>
      <c r="N44" s="185"/>
      <c r="O44" s="185"/>
      <c r="P44" s="185"/>
      <c r="Q44" s="185"/>
      <c r="R44" s="632" t="str">
        <f t="shared" si="6"/>
        <v/>
      </c>
    </row>
    <row r="45" spans="1:18">
      <c r="G45" s="185"/>
      <c r="H45" s="185"/>
      <c r="I45" s="185"/>
      <c r="J45" s="185"/>
      <c r="K45" s="185"/>
      <c r="L45" s="185"/>
      <c r="M45" s="185"/>
      <c r="N45" s="185"/>
      <c r="O45" s="185"/>
      <c r="P45" s="185"/>
      <c r="Q45" s="185"/>
    </row>
    <row r="46" spans="1:18" ht="15.6">
      <c r="A46" t="s">
        <v>392</v>
      </c>
      <c r="B46" s="200" t="s">
        <v>399</v>
      </c>
      <c r="C46" s="56"/>
      <c r="D46" s="56"/>
      <c r="E46" s="56"/>
      <c r="F46" s="56"/>
      <c r="G46" s="201">
        <v>2014</v>
      </c>
      <c r="H46" s="201">
        <f t="shared" ref="H46:Q46" si="7">+G46+1</f>
        <v>2015</v>
      </c>
      <c r="I46" s="201">
        <f t="shared" si="7"/>
        <v>2016</v>
      </c>
      <c r="J46" s="201">
        <f t="shared" si="7"/>
        <v>2017</v>
      </c>
      <c r="K46" s="201">
        <f t="shared" si="7"/>
        <v>2018</v>
      </c>
      <c r="L46" s="201">
        <f t="shared" si="7"/>
        <v>2019</v>
      </c>
      <c r="M46" s="201">
        <f t="shared" si="7"/>
        <v>2020</v>
      </c>
      <c r="N46" s="201">
        <f t="shared" si="7"/>
        <v>2021</v>
      </c>
      <c r="O46" s="201">
        <f t="shared" si="7"/>
        <v>2022</v>
      </c>
      <c r="P46" s="201">
        <f t="shared" si="7"/>
        <v>2023</v>
      </c>
      <c r="Q46" s="201">
        <f t="shared" si="7"/>
        <v>2024</v>
      </c>
      <c r="R46" s="58" t="str">
        <f>"CAGR "&amp;$G$4&amp;" - "&amp;$Q$4</f>
        <v>CAGR 2014 - 2024</v>
      </c>
    </row>
    <row r="47" spans="1:18" ht="3.75" customHeight="1">
      <c r="B47" s="53"/>
      <c r="C47" s="53"/>
      <c r="D47" s="53"/>
      <c r="E47" s="53"/>
      <c r="F47" s="53"/>
      <c r="G47" s="202"/>
      <c r="H47" s="202"/>
      <c r="I47" s="202"/>
      <c r="J47" s="202"/>
      <c r="K47" s="202"/>
      <c r="L47" s="202"/>
      <c r="M47" s="202"/>
      <c r="N47" s="202"/>
      <c r="O47" s="202"/>
      <c r="P47" s="202"/>
      <c r="Q47" s="202"/>
      <c r="R47" s="59"/>
    </row>
    <row r="48" spans="1:18">
      <c r="B48" t="str">
        <f ca="1">+$B$6</f>
        <v>ADOBE INC.</v>
      </c>
      <c r="G48" s="778">
        <f>132716/3785</f>
        <v>35.063672391017171</v>
      </c>
      <c r="H48" s="778">
        <f>132716/3785</f>
        <v>35.063672391017171</v>
      </c>
      <c r="I48" s="778">
        <f>132716/3785</f>
        <v>35.063672391017171</v>
      </c>
      <c r="J48" s="778">
        <f>279000/3785</f>
        <v>73.712021136063413</v>
      </c>
      <c r="K48" s="778">
        <f>251136/3785</f>
        <v>66.350330250990751</v>
      </c>
      <c r="L48" s="778">
        <f>262413/3785</f>
        <v>69.329722589167773</v>
      </c>
      <c r="M48" s="778">
        <f>260142/3785</f>
        <v>68.729722589167764</v>
      </c>
      <c r="N48" s="778">
        <f>203958/3785</f>
        <v>53.885865257595775</v>
      </c>
      <c r="O48" s="778">
        <f>264682/3785</f>
        <v>69.929194187582567</v>
      </c>
      <c r="P48" s="778">
        <f>318834/3785</f>
        <v>84.236195508586519</v>
      </c>
      <c r="Q48" s="185">
        <v>84</v>
      </c>
      <c r="R48" s="632">
        <f t="shared" ref="R48:R58" si="8">IFERROR((Q48/G48)^(1/COUNT($G$4:$Q$4))-1,"")</f>
        <v>8.2662012095617632E-2</v>
      </c>
    </row>
    <row r="49" spans="1:18">
      <c r="B49" s="599" t="s">
        <v>400</v>
      </c>
      <c r="C49" s="599"/>
      <c r="D49" s="599"/>
      <c r="E49" s="599"/>
      <c r="F49" s="599"/>
      <c r="G49" s="600"/>
      <c r="H49" s="600"/>
      <c r="I49" s="600"/>
      <c r="J49" s="600"/>
      <c r="K49" s="600"/>
      <c r="L49" s="600"/>
      <c r="M49" s="600"/>
      <c r="N49" s="600"/>
      <c r="O49" s="600"/>
      <c r="P49" s="600"/>
      <c r="Q49" s="600"/>
      <c r="R49" s="633" t="str">
        <f t="shared" si="8"/>
        <v/>
      </c>
    </row>
    <row r="50" spans="1:18">
      <c r="B50" t="s">
        <v>401</v>
      </c>
      <c r="G50" s="600">
        <v>195</v>
      </c>
      <c r="H50" s="600">
        <v>195</v>
      </c>
      <c r="I50" s="600">
        <v>195</v>
      </c>
      <c r="J50" s="600">
        <v>195</v>
      </c>
      <c r="K50" s="600">
        <v>195</v>
      </c>
      <c r="L50" s="600">
        <v>195</v>
      </c>
      <c r="M50" s="600">
        <v>164</v>
      </c>
      <c r="N50" s="600">
        <v>120</v>
      </c>
      <c r="O50" s="600">
        <v>130</v>
      </c>
      <c r="P50" s="600">
        <v>126</v>
      </c>
      <c r="Q50" s="600">
        <v>153</v>
      </c>
      <c r="R50" s="632">
        <f t="shared" si="8"/>
        <v>-2.1809710589943854E-2</v>
      </c>
    </row>
    <row r="51" spans="1:18">
      <c r="B51" s="599" t="str">
        <f ca="1">+$B$9</f>
        <v>WORKDAY, INC.</v>
      </c>
      <c r="C51" s="599"/>
      <c r="D51" s="599"/>
      <c r="E51" s="599"/>
      <c r="F51" s="599"/>
      <c r="G51" s="600" t="s">
        <v>402</v>
      </c>
      <c r="H51" s="600" t="s">
        <v>402</v>
      </c>
      <c r="I51" s="600" t="s">
        <v>402</v>
      </c>
      <c r="J51" s="600" t="s">
        <v>402</v>
      </c>
      <c r="K51" s="600" t="s">
        <v>402</v>
      </c>
      <c r="L51" s="600" t="s">
        <v>402</v>
      </c>
      <c r="M51" s="600" t="s">
        <v>402</v>
      </c>
      <c r="N51" s="600" t="s">
        <v>402</v>
      </c>
      <c r="O51" s="600" t="s">
        <v>402</v>
      </c>
      <c r="P51" s="600" t="s">
        <v>402</v>
      </c>
      <c r="Q51" s="600" t="s">
        <v>402</v>
      </c>
      <c r="R51" s="633" t="str">
        <f t="shared" si="8"/>
        <v/>
      </c>
    </row>
    <row r="52" spans="1:18">
      <c r="B52" t="str">
        <f ca="1">+$B$10</f>
        <v>DATADOG, INC.</v>
      </c>
      <c r="G52" s="185"/>
      <c r="H52" s="185"/>
      <c r="I52" s="185"/>
      <c r="J52" s="185"/>
      <c r="K52" s="185"/>
      <c r="L52" s="185"/>
      <c r="M52" s="185"/>
      <c r="N52" s="185"/>
      <c r="O52" s="185"/>
      <c r="P52" s="185"/>
      <c r="Q52" s="185"/>
      <c r="R52" s="632" t="str">
        <f t="shared" si="8"/>
        <v/>
      </c>
    </row>
    <row r="53" spans="1:18">
      <c r="B53" s="599" t="str">
        <f ca="1">+$B$11</f>
        <v>HUBSPOT, INC.</v>
      </c>
      <c r="C53" s="599"/>
      <c r="D53" s="599"/>
      <c r="E53" s="599"/>
      <c r="F53" s="599"/>
      <c r="G53" s="600"/>
      <c r="H53" s="600"/>
      <c r="I53" s="600"/>
      <c r="J53" s="600"/>
      <c r="K53" s="600"/>
      <c r="L53" s="601"/>
      <c r="M53" s="601"/>
      <c r="N53" s="601"/>
      <c r="O53" s="601"/>
      <c r="P53" s="600"/>
      <c r="Q53" s="600"/>
      <c r="R53" s="633" t="str">
        <f t="shared" si="8"/>
        <v/>
      </c>
    </row>
    <row r="54" spans="1:18">
      <c r="B54" t="str">
        <f ca="1">+$B$12</f>
        <v>Sap Se</v>
      </c>
      <c r="G54" s="185"/>
      <c r="H54" s="185"/>
      <c r="I54" s="185"/>
      <c r="J54" s="185"/>
      <c r="K54" s="185"/>
      <c r="L54" s="185"/>
      <c r="M54" s="185"/>
      <c r="N54" s="185"/>
      <c r="O54" s="185"/>
      <c r="P54" s="185"/>
      <c r="Q54" s="185"/>
      <c r="R54" s="632" t="str">
        <f t="shared" si="8"/>
        <v/>
      </c>
    </row>
    <row r="55" spans="1:18">
      <c r="B55" s="599" t="str">
        <f ca="1">+$B$13</f>
        <v>SERVICENOW, INC.</v>
      </c>
      <c r="C55" s="599"/>
      <c r="D55" s="599"/>
      <c r="E55" s="599"/>
      <c r="F55" s="599"/>
      <c r="G55" s="600"/>
      <c r="H55" s="600"/>
      <c r="I55" s="600"/>
      <c r="J55" s="600"/>
      <c r="K55" s="600"/>
      <c r="L55" s="600"/>
      <c r="M55" s="600"/>
      <c r="N55" s="600"/>
      <c r="O55" s="600"/>
      <c r="P55" s="600"/>
      <c r="Q55" s="600"/>
      <c r="R55" s="633" t="str">
        <f t="shared" si="8"/>
        <v/>
      </c>
    </row>
    <row r="56" spans="1:18">
      <c r="B56" t="str">
        <f ca="1">+$B$14</f>
        <v>AUTODESK, INC.</v>
      </c>
      <c r="G56" s="185"/>
      <c r="H56" s="185"/>
      <c r="I56" s="185"/>
      <c r="J56" s="185"/>
      <c r="K56" s="185"/>
      <c r="L56" s="185"/>
      <c r="M56" s="185"/>
      <c r="N56" s="185"/>
      <c r="O56" s="185"/>
      <c r="P56" s="185"/>
      <c r="Q56" s="185"/>
      <c r="R56" s="632" t="str">
        <f t="shared" si="8"/>
        <v/>
      </c>
    </row>
    <row r="57" spans="1:18">
      <c r="B57" s="599" t="str">
        <f ca="1">+$B$15</f>
        <v>SNOWFLAKE INC.</v>
      </c>
      <c r="C57" s="599"/>
      <c r="D57" s="599"/>
      <c r="E57" s="599"/>
      <c r="F57" s="599"/>
      <c r="G57" s="600"/>
      <c r="H57" s="600"/>
      <c r="I57" s="600"/>
      <c r="J57" s="600"/>
      <c r="K57" s="600"/>
      <c r="L57" s="600"/>
      <c r="M57" s="600"/>
      <c r="N57" s="600"/>
      <c r="O57" s="600"/>
      <c r="P57" s="600"/>
      <c r="Q57" s="600"/>
      <c r="R57" s="633" t="str">
        <f t="shared" si="8"/>
        <v/>
      </c>
    </row>
    <row r="58" spans="1:18">
      <c r="B58" t="str">
        <f ca="1">+$B$16</f>
        <v>ATLASSIAN CORPORATION</v>
      </c>
      <c r="G58" s="185"/>
      <c r="H58" s="185"/>
      <c r="I58" s="185"/>
      <c r="J58" s="185"/>
      <c r="K58" s="185"/>
      <c r="L58" s="185"/>
      <c r="M58" s="185"/>
      <c r="N58" s="185"/>
      <c r="O58" s="185"/>
      <c r="P58" s="185"/>
      <c r="Q58" s="185"/>
      <c r="R58" s="632" t="str">
        <f t="shared" si="8"/>
        <v/>
      </c>
    </row>
    <row r="60" spans="1:18" ht="15.6">
      <c r="A60" t="s">
        <v>392</v>
      </c>
      <c r="B60" s="200" t="s">
        <v>403</v>
      </c>
      <c r="C60" s="56"/>
      <c r="D60" s="56"/>
      <c r="E60" s="56"/>
      <c r="F60" s="56"/>
      <c r="G60" s="201">
        <v>2014</v>
      </c>
      <c r="H60" s="201">
        <f t="shared" ref="H60:Q60" si="9">+G60+1</f>
        <v>2015</v>
      </c>
      <c r="I60" s="201">
        <f t="shared" si="9"/>
        <v>2016</v>
      </c>
      <c r="J60" s="201">
        <f t="shared" si="9"/>
        <v>2017</v>
      </c>
      <c r="K60" s="201">
        <f t="shared" si="9"/>
        <v>2018</v>
      </c>
      <c r="L60" s="201">
        <f t="shared" si="9"/>
        <v>2019</v>
      </c>
      <c r="M60" s="201">
        <f t="shared" si="9"/>
        <v>2020</v>
      </c>
      <c r="N60" s="201">
        <f t="shared" si="9"/>
        <v>2021</v>
      </c>
      <c r="O60" s="201">
        <f t="shared" si="9"/>
        <v>2022</v>
      </c>
      <c r="P60" s="201">
        <f t="shared" si="9"/>
        <v>2023</v>
      </c>
      <c r="Q60" s="201">
        <f t="shared" si="9"/>
        <v>2024</v>
      </c>
      <c r="R60" s="58" t="str">
        <f>"CAGR "&amp;$G$4&amp;" - "&amp;$Q$4</f>
        <v>CAGR 2014 - 2024</v>
      </c>
    </row>
    <row r="61" spans="1:18" ht="3.75" customHeight="1">
      <c r="B61" s="53"/>
      <c r="C61" s="53"/>
      <c r="D61" s="53"/>
      <c r="E61" s="53"/>
      <c r="F61" s="53"/>
      <c r="G61" s="202"/>
      <c r="H61" s="202"/>
      <c r="I61" s="202"/>
      <c r="J61" s="202"/>
      <c r="K61" s="202"/>
      <c r="L61" s="202"/>
      <c r="M61" s="202"/>
      <c r="N61" s="202"/>
      <c r="O61" s="202"/>
      <c r="P61" s="202"/>
      <c r="Q61" s="202"/>
      <c r="R61" s="59"/>
    </row>
    <row r="62" spans="1:18">
      <c r="B62" t="str">
        <f ca="1">+$B$6</f>
        <v>ADOBE INC.</v>
      </c>
      <c r="G62" s="185">
        <v>1225</v>
      </c>
      <c r="H62" s="185">
        <v>1254</v>
      </c>
      <c r="I62" s="185">
        <v>1111</v>
      </c>
      <c r="J62" s="185">
        <v>1669</v>
      </c>
      <c r="K62" s="185">
        <v>1802</v>
      </c>
      <c r="L62" s="185">
        <v>1850</v>
      </c>
      <c r="M62" s="185">
        <v>1581</v>
      </c>
      <c r="N62" s="185">
        <v>1189</v>
      </c>
      <c r="O62" s="185">
        <v>1992</v>
      </c>
      <c r="P62" s="185">
        <v>1607</v>
      </c>
      <c r="Q62" s="185"/>
      <c r="R62" s="632">
        <f t="shared" ref="R62:R72" si="10">IFERROR((Q62/G62)^(1/COUNT($G$4:$Q$4))-1,"")</f>
        <v>-1</v>
      </c>
    </row>
    <row r="63" spans="1:18">
      <c r="B63" s="599" t="str">
        <f ca="1">+$B$7</f>
        <v>SALESFORCE, INC.</v>
      </c>
      <c r="C63" s="599"/>
      <c r="D63" s="599"/>
      <c r="E63" s="599"/>
      <c r="F63" s="599"/>
      <c r="G63" s="600"/>
      <c r="H63" s="600"/>
      <c r="I63" s="600"/>
      <c r="J63" s="600"/>
      <c r="K63" s="600"/>
      <c r="L63" s="600"/>
      <c r="M63" s="600"/>
      <c r="N63" s="600"/>
      <c r="O63" s="600"/>
      <c r="P63" s="600"/>
      <c r="Q63" s="600"/>
      <c r="R63" s="633" t="str">
        <f t="shared" si="10"/>
        <v/>
      </c>
    </row>
    <row r="64" spans="1:18">
      <c r="B64" t="str">
        <f ca="1">+$B$8</f>
        <v>INTUIT INC.</v>
      </c>
      <c r="G64" s="598"/>
      <c r="H64" s="185"/>
      <c r="I64" s="185"/>
      <c r="J64" s="185"/>
      <c r="K64" s="185"/>
      <c r="L64" s="185"/>
      <c r="M64" s="185"/>
      <c r="N64" s="185"/>
      <c r="O64" s="185"/>
      <c r="P64" s="185"/>
      <c r="Q64" s="185"/>
      <c r="R64" s="632" t="str">
        <f t="shared" si="10"/>
        <v/>
      </c>
    </row>
    <row r="65" spans="1:18">
      <c r="B65" s="599" t="str">
        <f ca="1">+$B$9</f>
        <v>WORKDAY, INC.</v>
      </c>
      <c r="C65" s="599"/>
      <c r="D65" s="599"/>
      <c r="E65" s="599"/>
      <c r="F65" s="599"/>
      <c r="G65" s="600"/>
      <c r="H65" s="600"/>
      <c r="I65" s="600"/>
      <c r="J65" s="600"/>
      <c r="K65" s="600"/>
      <c r="L65" s="600"/>
      <c r="M65" s="599"/>
      <c r="N65" s="599"/>
      <c r="O65" s="599"/>
      <c r="P65" s="599"/>
      <c r="Q65" s="599"/>
      <c r="R65" s="633" t="str">
        <f t="shared" si="10"/>
        <v/>
      </c>
    </row>
    <row r="66" spans="1:18">
      <c r="B66" t="str">
        <f ca="1">+$B$10</f>
        <v>DATADOG, INC.</v>
      </c>
      <c r="G66" s="185"/>
      <c r="H66" s="185"/>
      <c r="I66" s="185"/>
      <c r="J66" s="185"/>
      <c r="K66" s="185"/>
      <c r="L66" s="185"/>
      <c r="M66" s="185"/>
      <c r="N66" s="185"/>
      <c r="O66" s="185"/>
      <c r="P66" s="185"/>
      <c r="Q66" s="185"/>
      <c r="R66" s="632" t="str">
        <f t="shared" si="10"/>
        <v/>
      </c>
    </row>
    <row r="67" spans="1:18">
      <c r="B67" s="599" t="str">
        <f ca="1">+$B$11</f>
        <v>HUBSPOT, INC.</v>
      </c>
      <c r="C67" s="599"/>
      <c r="D67" s="599"/>
      <c r="E67" s="599"/>
      <c r="F67" s="599"/>
      <c r="G67" s="600"/>
      <c r="H67" s="600"/>
      <c r="I67" s="600"/>
      <c r="J67" s="600"/>
      <c r="K67" s="600"/>
      <c r="L67" s="600"/>
      <c r="M67" s="600"/>
      <c r="N67" s="600"/>
      <c r="O67" s="600"/>
      <c r="P67" s="600"/>
      <c r="Q67" s="600"/>
      <c r="R67" s="633" t="str">
        <f t="shared" si="10"/>
        <v/>
      </c>
    </row>
    <row r="68" spans="1:18">
      <c r="B68" t="str">
        <f ca="1">+$B$12</f>
        <v>Sap Se</v>
      </c>
      <c r="G68" s="185"/>
      <c r="H68" s="185"/>
      <c r="I68" s="185"/>
      <c r="J68" s="185"/>
      <c r="K68" s="185"/>
      <c r="L68" s="185"/>
      <c r="M68" s="185"/>
      <c r="N68" s="185"/>
      <c r="O68" s="185"/>
      <c r="P68" s="185"/>
      <c r="Q68" s="185"/>
      <c r="R68" s="632" t="str">
        <f t="shared" si="10"/>
        <v/>
      </c>
    </row>
    <row r="69" spans="1:18">
      <c r="B69" s="599" t="str">
        <f ca="1">+$B$13</f>
        <v>SERVICENOW, INC.</v>
      </c>
      <c r="C69" s="599"/>
      <c r="D69" s="599"/>
      <c r="E69" s="599"/>
      <c r="F69" s="599"/>
      <c r="G69" s="600"/>
      <c r="H69" s="600"/>
      <c r="I69" s="600"/>
      <c r="J69" s="600"/>
      <c r="K69" s="600"/>
      <c r="L69" s="600"/>
      <c r="M69" s="600"/>
      <c r="N69" s="600"/>
      <c r="O69" s="600"/>
      <c r="P69" s="600"/>
      <c r="Q69" s="600"/>
      <c r="R69" s="633" t="str">
        <f t="shared" si="10"/>
        <v/>
      </c>
    </row>
    <row r="70" spans="1:18">
      <c r="B70" t="str">
        <f ca="1">+$B$14</f>
        <v>AUTODESK, INC.</v>
      </c>
      <c r="G70" s="185">
        <v>477</v>
      </c>
      <c r="H70" s="185">
        <v>631</v>
      </c>
      <c r="I70" s="185">
        <v>919</v>
      </c>
      <c r="J70" s="185">
        <v>620</v>
      </c>
      <c r="K70" s="185">
        <v>630</v>
      </c>
      <c r="L70" s="185">
        <v>684</v>
      </c>
      <c r="M70" s="185">
        <v>2060</v>
      </c>
      <c r="N70" s="185">
        <v>526</v>
      </c>
      <c r="O70" s="185">
        <v>1480</v>
      </c>
      <c r="P70" s="185">
        <v>2080</v>
      </c>
      <c r="Q70" s="185">
        <v>625</v>
      </c>
      <c r="R70" s="632">
        <f t="shared" si="10"/>
        <v>2.4871083640701563E-2</v>
      </c>
    </row>
    <row r="71" spans="1:18">
      <c r="B71" s="599" t="str">
        <f ca="1">+$B$15</f>
        <v>SNOWFLAKE INC.</v>
      </c>
      <c r="C71" s="599"/>
      <c r="D71" s="599"/>
      <c r="E71" s="599"/>
      <c r="F71" s="599"/>
      <c r="G71" s="600"/>
      <c r="H71" s="600"/>
      <c r="I71" s="600"/>
      <c r="J71" s="600"/>
      <c r="K71" s="600"/>
      <c r="L71" s="600"/>
      <c r="M71" s="600"/>
      <c r="N71" s="600"/>
      <c r="O71" s="600"/>
      <c r="P71" s="600"/>
      <c r="Q71" s="600"/>
      <c r="R71" s="633" t="str">
        <f t="shared" si="10"/>
        <v/>
      </c>
    </row>
    <row r="72" spans="1:18">
      <c r="B72" t="str">
        <f ca="1">+$B$16</f>
        <v>ATLASSIAN CORPORATION</v>
      </c>
      <c r="G72" s="185"/>
      <c r="H72" s="185"/>
      <c r="I72" s="185"/>
      <c r="J72" s="185"/>
      <c r="K72" s="185"/>
      <c r="L72" s="185"/>
      <c r="M72" s="185"/>
      <c r="N72" s="185"/>
      <c r="O72" s="185"/>
      <c r="P72" s="185"/>
      <c r="Q72" s="185"/>
      <c r="R72" s="632" t="str">
        <f t="shared" si="10"/>
        <v/>
      </c>
    </row>
    <row r="73" spans="1:18">
      <c r="G73" s="185"/>
      <c r="H73" s="185"/>
      <c r="I73" s="185"/>
      <c r="J73" s="185"/>
      <c r="K73" s="185"/>
      <c r="L73" s="185"/>
      <c r="M73" s="185"/>
      <c r="N73" s="185"/>
      <c r="O73" s="185"/>
      <c r="P73" s="185"/>
      <c r="Q73" s="185"/>
    </row>
    <row r="74" spans="1:18" ht="15.6">
      <c r="A74" t="s">
        <v>392</v>
      </c>
      <c r="B74" s="200" t="s">
        <v>404</v>
      </c>
      <c r="C74" s="56"/>
      <c r="D74" s="56"/>
      <c r="E74" s="56"/>
      <c r="F74" s="56"/>
      <c r="G74" s="201">
        <v>2014</v>
      </c>
      <c r="H74" s="201">
        <f t="shared" ref="H74" si="11">+G74+1</f>
        <v>2015</v>
      </c>
      <c r="I74" s="201">
        <f t="shared" ref="I74" si="12">+H74+1</f>
        <v>2016</v>
      </c>
      <c r="J74" s="201">
        <f t="shared" ref="J74" si="13">+I74+1</f>
        <v>2017</v>
      </c>
      <c r="K74" s="201">
        <f t="shared" ref="K74" si="14">+J74+1</f>
        <v>2018</v>
      </c>
      <c r="L74" s="201">
        <f t="shared" ref="L74" si="15">+K74+1</f>
        <v>2019</v>
      </c>
      <c r="M74" s="201">
        <f t="shared" ref="M74" si="16">+L74+1</f>
        <v>2020</v>
      </c>
      <c r="N74" s="201">
        <f t="shared" ref="N74" si="17">+M74+1</f>
        <v>2021</v>
      </c>
      <c r="O74" s="201">
        <f t="shared" ref="O74" si="18">+N74+1</f>
        <v>2022</v>
      </c>
      <c r="P74" s="201">
        <f t="shared" ref="P74" si="19">+O74+1</f>
        <v>2023</v>
      </c>
      <c r="Q74" s="201">
        <f t="shared" ref="Q74" si="20">+P74+1</f>
        <v>2024</v>
      </c>
      <c r="R74" s="58" t="str">
        <f>"CAGR "&amp;$G$4&amp;" - "&amp;$Q$4</f>
        <v>CAGR 2014 - 2024</v>
      </c>
    </row>
    <row r="75" spans="1:18" ht="3.95" customHeight="1">
      <c r="B75" s="53"/>
      <c r="C75" s="53"/>
      <c r="D75" s="53"/>
      <c r="E75" s="53"/>
      <c r="F75" s="53"/>
      <c r="G75" s="202"/>
      <c r="H75" s="202"/>
      <c r="I75" s="202"/>
      <c r="J75" s="202"/>
      <c r="K75" s="202"/>
      <c r="L75" s="202"/>
      <c r="M75" s="202"/>
      <c r="N75" s="202"/>
      <c r="O75" s="202"/>
      <c r="P75" s="202"/>
      <c r="Q75" s="202"/>
      <c r="R75" s="59"/>
    </row>
    <row r="76" spans="1:18">
      <c r="B76" t="str">
        <f ca="1">+$B$6</f>
        <v>ADOBE INC.</v>
      </c>
      <c r="G76" s="10">
        <f>+G6+G20</f>
        <v>72401</v>
      </c>
      <c r="H76" s="10">
        <f t="shared" ref="H76:Q76" si="21">+H6+H20</f>
        <v>76717</v>
      </c>
      <c r="I76" s="10">
        <f t="shared" si="21"/>
        <v>72957</v>
      </c>
      <c r="J76" s="10">
        <f t="shared" si="21"/>
        <v>80465</v>
      </c>
      <c r="K76" s="10">
        <f t="shared" si="21"/>
        <v>71073</v>
      </c>
      <c r="L76" s="10">
        <f t="shared" si="21"/>
        <v>67945</v>
      </c>
      <c r="M76" s="10">
        <f t="shared" si="21"/>
        <v>61018</v>
      </c>
      <c r="N76" s="10">
        <f t="shared" si="21"/>
        <v>66131</v>
      </c>
      <c r="O76" s="10">
        <f t="shared" si="21"/>
        <v>63754</v>
      </c>
      <c r="P76" s="10">
        <f t="shared" si="21"/>
        <v>70311</v>
      </c>
      <c r="Q76" s="10">
        <f t="shared" si="21"/>
        <v>70311</v>
      </c>
      <c r="R76" s="632">
        <f t="shared" ref="R76:R86" si="22">IFERROR((Q76/G76)^(1/COUNT($G$4:$Q$4))-1,"")</f>
        <v>-2.6593533303803651E-3</v>
      </c>
    </row>
    <row r="77" spans="1:18">
      <c r="B77" s="599" t="str">
        <f ca="1">+$B$7</f>
        <v>SALESFORCE, INC.</v>
      </c>
      <c r="C77" s="599"/>
      <c r="D77" s="599"/>
      <c r="E77" s="599"/>
      <c r="F77" s="599"/>
      <c r="G77" s="630">
        <f t="shared" ref="G77:Q77" si="23">+G7+G21</f>
        <v>54000</v>
      </c>
      <c r="H77" s="630">
        <f t="shared" si="23"/>
        <v>76000</v>
      </c>
      <c r="I77" s="630">
        <f t="shared" si="23"/>
        <v>135000</v>
      </c>
      <c r="J77" s="630">
        <f t="shared" si="23"/>
        <v>138000</v>
      </c>
      <c r="K77" s="630">
        <f t="shared" si="23"/>
        <v>143000</v>
      </c>
      <c r="L77" s="630">
        <f t="shared" si="23"/>
        <v>163000</v>
      </c>
      <c r="M77" s="630">
        <f t="shared" si="23"/>
        <v>297000</v>
      </c>
      <c r="N77" s="630">
        <f t="shared" si="23"/>
        <v>293000</v>
      </c>
      <c r="O77" s="630">
        <f t="shared" si="23"/>
        <v>292000</v>
      </c>
      <c r="P77" s="630">
        <f t="shared" si="23"/>
        <v>284000</v>
      </c>
      <c r="Q77" s="630">
        <f t="shared" si="23"/>
        <v>318000</v>
      </c>
      <c r="R77" s="633">
        <f t="shared" si="22"/>
        <v>0.17490575944981668</v>
      </c>
    </row>
    <row r="78" spans="1:18">
      <c r="B78" t="str">
        <f ca="1">+$B$8</f>
        <v>INTUIT INC.</v>
      </c>
      <c r="G78" s="698">
        <f t="shared" ref="G78:Q78" si="24">+G8+G22</f>
        <v>0</v>
      </c>
      <c r="H78" s="10">
        <f t="shared" si="24"/>
        <v>0</v>
      </c>
      <c r="I78" s="10">
        <f t="shared" si="24"/>
        <v>0</v>
      </c>
      <c r="J78" s="10">
        <f t="shared" si="24"/>
        <v>0</v>
      </c>
      <c r="K78" s="10">
        <f t="shared" si="24"/>
        <v>0</v>
      </c>
      <c r="L78" s="10">
        <f t="shared" si="24"/>
        <v>0</v>
      </c>
      <c r="M78" s="10">
        <f t="shared" si="24"/>
        <v>0</v>
      </c>
      <c r="N78" s="10">
        <f t="shared" si="24"/>
        <v>0</v>
      </c>
      <c r="O78" s="10">
        <f t="shared" si="24"/>
        <v>0</v>
      </c>
      <c r="P78" s="10">
        <f t="shared" si="24"/>
        <v>0</v>
      </c>
      <c r="Q78" s="10">
        <f t="shared" si="24"/>
        <v>0</v>
      </c>
      <c r="R78" s="632" t="str">
        <f t="shared" si="22"/>
        <v/>
      </c>
    </row>
    <row r="79" spans="1:18">
      <c r="B79" s="599" t="str">
        <f ca="1">+$B$9</f>
        <v>WORKDAY, INC.</v>
      </c>
      <c r="C79" s="599"/>
      <c r="D79" s="599"/>
      <c r="E79" s="599"/>
      <c r="F79" s="599"/>
      <c r="G79" s="630">
        <f t="shared" ref="G79:Q79" si="25">+G9+G23</f>
        <v>18929</v>
      </c>
      <c r="H79" s="630">
        <f t="shared" si="25"/>
        <v>18929</v>
      </c>
      <c r="I79" s="630">
        <f t="shared" si="25"/>
        <v>18929</v>
      </c>
      <c r="J79" s="630">
        <f t="shared" si="25"/>
        <v>29212</v>
      </c>
      <c r="K79" s="630">
        <f t="shared" si="25"/>
        <v>35710</v>
      </c>
      <c r="L79" s="630">
        <f t="shared" si="25"/>
        <v>36370</v>
      </c>
      <c r="M79" s="630">
        <f t="shared" si="25"/>
        <v>38541</v>
      </c>
      <c r="N79" s="630">
        <f t="shared" si="25"/>
        <v>42055</v>
      </c>
      <c r="O79" s="630">
        <f t="shared" si="25"/>
        <v>47655</v>
      </c>
      <c r="P79" s="630">
        <f t="shared" si="25"/>
        <v>63587</v>
      </c>
      <c r="Q79" s="630">
        <f t="shared" si="25"/>
        <v>70309</v>
      </c>
      <c r="R79" s="633">
        <f t="shared" si="22"/>
        <v>0.12669811612743365</v>
      </c>
    </row>
    <row r="80" spans="1:18">
      <c r="B80" t="str">
        <f ca="1">+$B$10</f>
        <v>DATADOG, INC.</v>
      </c>
      <c r="G80" s="10">
        <f t="shared" ref="G80:Q80" si="26">+G10+G24</f>
        <v>0</v>
      </c>
      <c r="H80" s="10">
        <f t="shared" si="26"/>
        <v>0</v>
      </c>
      <c r="I80" s="10">
        <f t="shared" si="26"/>
        <v>0</v>
      </c>
      <c r="J80" s="10">
        <f t="shared" si="26"/>
        <v>0</v>
      </c>
      <c r="K80" s="10">
        <f t="shared" si="26"/>
        <v>0</v>
      </c>
      <c r="L80" s="10">
        <f t="shared" si="26"/>
        <v>0</v>
      </c>
      <c r="M80" s="10">
        <f t="shared" si="26"/>
        <v>0</v>
      </c>
      <c r="N80" s="10">
        <f t="shared" si="26"/>
        <v>0</v>
      </c>
      <c r="O80" s="10">
        <f t="shared" si="26"/>
        <v>0</v>
      </c>
      <c r="P80" s="10">
        <f t="shared" si="26"/>
        <v>0</v>
      </c>
      <c r="Q80" s="10">
        <f t="shared" si="26"/>
        <v>0</v>
      </c>
      <c r="R80" s="632" t="str">
        <f t="shared" si="22"/>
        <v/>
      </c>
    </row>
    <row r="81" spans="2:18">
      <c r="B81" s="599" t="str">
        <f ca="1">+$B$11</f>
        <v>HUBSPOT, INC.</v>
      </c>
      <c r="C81" s="599"/>
      <c r="D81" s="599"/>
      <c r="E81" s="599"/>
      <c r="F81" s="599"/>
      <c r="G81" s="630">
        <f t="shared" ref="G81:Q81" si="27">+G11+G25</f>
        <v>0</v>
      </c>
      <c r="H81" s="630">
        <f t="shared" si="27"/>
        <v>0</v>
      </c>
      <c r="I81" s="630">
        <f t="shared" si="27"/>
        <v>0</v>
      </c>
      <c r="J81" s="630">
        <f t="shared" si="27"/>
        <v>0</v>
      </c>
      <c r="K81" s="630">
        <f t="shared" si="27"/>
        <v>0</v>
      </c>
      <c r="L81" s="630">
        <f t="shared" si="27"/>
        <v>0</v>
      </c>
      <c r="M81" s="630">
        <f t="shared" si="27"/>
        <v>0</v>
      </c>
      <c r="N81" s="630">
        <f t="shared" si="27"/>
        <v>0</v>
      </c>
      <c r="O81" s="630">
        <f t="shared" si="27"/>
        <v>0</v>
      </c>
      <c r="P81" s="630">
        <f t="shared" si="27"/>
        <v>0</v>
      </c>
      <c r="Q81" s="630">
        <f t="shared" si="27"/>
        <v>0</v>
      </c>
      <c r="R81" s="633" t="str">
        <f t="shared" si="22"/>
        <v/>
      </c>
    </row>
    <row r="82" spans="2:18">
      <c r="B82" t="str">
        <f ca="1">+$B$12</f>
        <v>Sap Se</v>
      </c>
      <c r="G82" s="10">
        <f t="shared" ref="G82:Q82" si="28">+G12+G26</f>
        <v>0</v>
      </c>
      <c r="H82" s="10">
        <f t="shared" si="28"/>
        <v>0</v>
      </c>
      <c r="I82" s="10">
        <f t="shared" si="28"/>
        <v>0</v>
      </c>
      <c r="J82" s="10">
        <f t="shared" si="28"/>
        <v>0</v>
      </c>
      <c r="K82" s="10">
        <f t="shared" si="28"/>
        <v>0</v>
      </c>
      <c r="L82" s="10">
        <f t="shared" si="28"/>
        <v>0</v>
      </c>
      <c r="M82" s="10">
        <f t="shared" si="28"/>
        <v>0</v>
      </c>
      <c r="N82" s="10">
        <f t="shared" si="28"/>
        <v>0</v>
      </c>
      <c r="O82" s="10">
        <f t="shared" si="28"/>
        <v>0</v>
      </c>
      <c r="P82" s="10">
        <f t="shared" si="28"/>
        <v>0</v>
      </c>
      <c r="Q82" s="10">
        <f t="shared" si="28"/>
        <v>0</v>
      </c>
      <c r="R82" s="632" t="str">
        <f t="shared" si="22"/>
        <v/>
      </c>
    </row>
    <row r="83" spans="2:18">
      <c r="B83" s="599" t="str">
        <f ca="1">+$B$13</f>
        <v>SERVICENOW, INC.</v>
      </c>
      <c r="C83" s="599"/>
      <c r="D83" s="599"/>
      <c r="E83" s="599"/>
      <c r="F83" s="599"/>
      <c r="G83" s="630">
        <f t="shared" ref="G83:Q83" si="29">+G13+G27</f>
        <v>0</v>
      </c>
      <c r="H83" s="630">
        <f t="shared" si="29"/>
        <v>0</v>
      </c>
      <c r="I83" s="630">
        <f t="shared" si="29"/>
        <v>0</v>
      </c>
      <c r="J83" s="630">
        <f t="shared" si="29"/>
        <v>0</v>
      </c>
      <c r="K83" s="630">
        <f t="shared" si="29"/>
        <v>0</v>
      </c>
      <c r="L83" s="630">
        <f t="shared" si="29"/>
        <v>0</v>
      </c>
      <c r="M83" s="630">
        <f t="shared" si="29"/>
        <v>0</v>
      </c>
      <c r="N83" s="630">
        <f t="shared" si="29"/>
        <v>0</v>
      </c>
      <c r="O83" s="630">
        <f t="shared" si="29"/>
        <v>0</v>
      </c>
      <c r="P83" s="630">
        <f t="shared" si="29"/>
        <v>0</v>
      </c>
      <c r="Q83" s="630">
        <f t="shared" si="29"/>
        <v>0</v>
      </c>
      <c r="R83" s="633" t="str">
        <f t="shared" si="22"/>
        <v/>
      </c>
    </row>
    <row r="84" spans="2:18">
      <c r="B84" t="str">
        <f ca="1">+$B$14</f>
        <v>AUTODESK, INC.</v>
      </c>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632" t="str">
        <f t="shared" si="22"/>
        <v/>
      </c>
    </row>
    <row r="85" spans="2:18">
      <c r="B85" s="599" t="str">
        <f ca="1">+$B$15</f>
        <v>SNOWFLAKE INC.</v>
      </c>
      <c r="C85" s="599"/>
      <c r="D85" s="599"/>
      <c r="E85" s="599"/>
      <c r="F85" s="599"/>
      <c r="G85" s="630">
        <f t="shared" ref="G85:Q85" si="31">+G15+G29</f>
        <v>0</v>
      </c>
      <c r="H85" s="630">
        <f t="shared" si="31"/>
        <v>0</v>
      </c>
      <c r="I85" s="630">
        <f t="shared" si="31"/>
        <v>0</v>
      </c>
      <c r="J85" s="630">
        <f t="shared" si="31"/>
        <v>0</v>
      </c>
      <c r="K85" s="630">
        <f t="shared" si="31"/>
        <v>0</v>
      </c>
      <c r="L85" s="630">
        <f t="shared" si="31"/>
        <v>0</v>
      </c>
      <c r="M85" s="630">
        <f t="shared" si="31"/>
        <v>0</v>
      </c>
      <c r="N85" s="630">
        <f t="shared" si="31"/>
        <v>0</v>
      </c>
      <c r="O85" s="630">
        <f t="shared" si="31"/>
        <v>0</v>
      </c>
      <c r="P85" s="630">
        <f t="shared" si="31"/>
        <v>0</v>
      </c>
      <c r="Q85" s="630">
        <f t="shared" si="31"/>
        <v>0</v>
      </c>
      <c r="R85" s="633" t="str">
        <f t="shared" si="22"/>
        <v/>
      </c>
    </row>
    <row r="86" spans="2:18">
      <c r="B86" t="str">
        <f ca="1">+$B$16</f>
        <v>ATLASSIAN CORPORATION</v>
      </c>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632" t="str">
        <f t="shared" si="22"/>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BG1773"/>
  <sheetViews>
    <sheetView showGridLines="0" topLeftCell="A212" zoomScale="70" zoomScaleNormal="70" workbookViewId="0">
      <selection activeCell="Q208" sqref="Q208"/>
    </sheetView>
  </sheetViews>
  <sheetFormatPr defaultColWidth="8.875" defaultRowHeight="15" customHeight="1"/>
  <cols>
    <col min="1" max="1" width="2.125" style="110" customWidth="1"/>
    <col min="2" max="2" width="45" style="110" customWidth="1"/>
    <col min="3" max="3" width="14" style="110" customWidth="1"/>
    <col min="4" max="4" width="21.125" style="110" customWidth="1"/>
    <col min="5" max="7" width="13.375" style="110" customWidth="1"/>
    <col min="8" max="17" width="12.875" style="110" customWidth="1"/>
    <col min="18" max="18" width="11.625" style="110" customWidth="1"/>
    <col min="19" max="19" width="29.125" style="110" customWidth="1"/>
    <col min="20" max="20" width="16.625" style="110" customWidth="1"/>
    <col min="21" max="21" width="32.125" style="110" hidden="1" customWidth="1"/>
    <col min="22" max="22" width="11.125" style="110" hidden="1" customWidth="1"/>
    <col min="23" max="35" width="8.875" style="110" hidden="1" customWidth="1"/>
    <col min="36" max="37" width="8.875" style="110" customWidth="1"/>
    <col min="38" max="38" width="8.625" style="110" customWidth="1"/>
    <col min="39" max="39" width="2.625" style="110" customWidth="1"/>
    <col min="40" max="16384" width="8.875" style="110"/>
  </cols>
  <sheetData>
    <row r="2" spans="1:59" s="41" customFormat="1" ht="20.100000000000001" customHeight="1">
      <c r="B2" s="40" t="s">
        <v>405</v>
      </c>
    </row>
    <row r="4" spans="1:59" ht="15.6">
      <c r="A4" s="110" t="s">
        <v>392</v>
      </c>
      <c r="B4" s="52" t="s">
        <v>406</v>
      </c>
      <c r="C4" s="56"/>
      <c r="D4" s="56"/>
      <c r="E4" s="56"/>
      <c r="F4" s="56"/>
      <c r="G4" s="56"/>
      <c r="H4" s="56"/>
      <c r="I4" s="56"/>
      <c r="J4" s="56"/>
      <c r="K4" s="56"/>
      <c r="L4" s="56"/>
      <c r="M4" s="56"/>
      <c r="N4" s="56"/>
      <c r="O4" s="56"/>
      <c r="P4" s="56"/>
      <c r="Q4" s="56"/>
      <c r="R4" s="110" t="e" vm="1">
        <v>#VALUE!</v>
      </c>
      <c r="S4" s="371"/>
      <c r="T4" s="111"/>
      <c r="U4" s="111"/>
    </row>
    <row r="5" spans="1:59" ht="3.95" customHeight="1">
      <c r="B5" s="112"/>
      <c r="C5" s="113"/>
      <c r="D5" s="113"/>
      <c r="E5" s="113"/>
      <c r="F5" s="113"/>
      <c r="G5" s="113"/>
      <c r="H5" s="113"/>
      <c r="I5" s="113"/>
      <c r="J5" s="113"/>
      <c r="K5" s="113"/>
      <c r="L5" s="113"/>
      <c r="M5" s="113"/>
      <c r="N5" s="113"/>
      <c r="O5" s="113"/>
      <c r="P5" s="113"/>
      <c r="Q5" s="113"/>
      <c r="S5" s="111"/>
      <c r="T5" s="111"/>
      <c r="U5" s="111"/>
    </row>
    <row r="6" spans="1:59" ht="15.6">
      <c r="B6" s="114" t="s">
        <v>407</v>
      </c>
      <c r="C6" s="115"/>
      <c r="D6" s="115"/>
      <c r="E6" s="114" t="s">
        <v>408</v>
      </c>
      <c r="F6" s="115"/>
      <c r="G6" s="115"/>
      <c r="H6" s="114" t="s">
        <v>409</v>
      </c>
      <c r="J6" s="115"/>
      <c r="K6" s="114" t="s">
        <v>410</v>
      </c>
      <c r="L6" s="115"/>
      <c r="P6" s="115"/>
      <c r="Q6" s="115"/>
      <c r="X6" s="110" t="s">
        <v>22</v>
      </c>
      <c r="Y6" s="110" t="s">
        <v>411</v>
      </c>
      <c r="Z6" s="110" t="s">
        <v>412</v>
      </c>
      <c r="AA6" s="110" t="s">
        <v>413</v>
      </c>
      <c r="AB6" s="110" t="s">
        <v>414</v>
      </c>
      <c r="AC6" s="110" t="s">
        <v>301</v>
      </c>
      <c r="AD6" s="110" t="s">
        <v>415</v>
      </c>
      <c r="AE6" s="110" t="s">
        <v>292</v>
      </c>
      <c r="AF6" s="110" t="s">
        <v>416</v>
      </c>
      <c r="AG6" s="110" t="s">
        <v>297</v>
      </c>
      <c r="AH6" s="110" t="s">
        <v>294</v>
      </c>
      <c r="AI6" s="110" t="s">
        <v>290</v>
      </c>
    </row>
    <row r="7" spans="1:59" ht="15.6">
      <c r="B7" s="115" t="s">
        <v>222</v>
      </c>
      <c r="C7" s="553">
        <v>2</v>
      </c>
      <c r="D7" s="115"/>
      <c r="E7" s="110" t="s">
        <v>222</v>
      </c>
      <c r="F7" s="557">
        <v>-0.02</v>
      </c>
      <c r="H7" s="110" t="s">
        <v>222</v>
      </c>
      <c r="K7" s="110" t="s">
        <v>222</v>
      </c>
      <c r="L7" s="557">
        <v>0.02</v>
      </c>
      <c r="P7" s="115"/>
      <c r="S7" s="110" t="s">
        <v>417</v>
      </c>
      <c r="T7" s="327">
        <v>2024</v>
      </c>
      <c r="W7" s="110">
        <v>2022</v>
      </c>
      <c r="X7" s="154">
        <f>+E192</f>
        <v>8662.8478162450065</v>
      </c>
      <c r="Y7" s="154">
        <f>+E229</f>
        <v>7342</v>
      </c>
      <c r="Z7" s="154" t="e">
        <f>+#REF!</f>
        <v>#REF!</v>
      </c>
      <c r="AA7" s="154" t="e">
        <f>+#REF!</f>
        <v>#REF!</v>
      </c>
      <c r="AB7" s="154">
        <f>+E182</f>
        <v>6076.8478162450065</v>
      </c>
      <c r="AC7" s="193">
        <f>+E227</f>
        <v>0</v>
      </c>
      <c r="AD7" s="154">
        <f>+E88</f>
        <v>6096</v>
      </c>
      <c r="AH7" s="154"/>
    </row>
    <row r="8" spans="1:59" ht="15.6">
      <c r="B8" s="115" t="s">
        <v>418</v>
      </c>
      <c r="C8" s="553">
        <v>2</v>
      </c>
      <c r="D8" s="115"/>
      <c r="E8" s="110" t="s">
        <v>418</v>
      </c>
      <c r="F8" s="557">
        <v>-0.01</v>
      </c>
      <c r="H8" s="110" t="s">
        <v>418</v>
      </c>
      <c r="K8" s="110" t="s">
        <v>418</v>
      </c>
      <c r="L8" s="557">
        <v>0.01</v>
      </c>
      <c r="P8" s="115"/>
      <c r="S8" s="110" t="s">
        <v>419</v>
      </c>
      <c r="T8" s="864" t="s">
        <v>420</v>
      </c>
      <c r="U8" s="864"/>
      <c r="V8" s="864"/>
      <c r="W8" s="864"/>
      <c r="X8" s="864"/>
      <c r="Y8" s="864"/>
      <c r="Z8" s="864"/>
      <c r="AA8" s="864"/>
      <c r="AB8" s="864"/>
      <c r="AC8" s="864"/>
      <c r="AD8" s="864"/>
      <c r="AE8" s="864"/>
      <c r="AF8" s="864"/>
      <c r="AG8" s="864"/>
      <c r="AH8" s="864"/>
      <c r="AI8" s="864"/>
      <c r="AJ8" s="864"/>
      <c r="AK8" s="864"/>
      <c r="AL8" s="864"/>
    </row>
    <row r="9" spans="1:59" ht="15.6">
      <c r="B9" s="115" t="s">
        <v>421</v>
      </c>
      <c r="C9" s="553">
        <v>2</v>
      </c>
      <c r="D9" s="115"/>
      <c r="E9" s="115" t="s">
        <v>421</v>
      </c>
      <c r="F9" s="555">
        <f ca="1">IFERROR(+I9+0.5%,"")</f>
        <v>9.6279701958608715E-2</v>
      </c>
      <c r="H9" s="115" t="s">
        <v>421</v>
      </c>
      <c r="I9" s="556">
        <f ca="1">WACC!G25</f>
        <v>9.1279701958608711E-2</v>
      </c>
      <c r="J9" s="115"/>
      <c r="K9" s="115" t="s">
        <v>421</v>
      </c>
      <c r="L9" s="558">
        <f ca="1">IFERROR(I9-0.5%,"")</f>
        <v>8.6279701958608707E-2</v>
      </c>
      <c r="M9" s="115"/>
      <c r="P9" s="115"/>
      <c r="Q9" s="115"/>
      <c r="S9" s="110" t="s">
        <v>422</v>
      </c>
      <c r="T9" s="328" t="s">
        <v>423</v>
      </c>
      <c r="W9" s="110">
        <f t="shared" ref="W9:W14" si="0">+W8+1</f>
        <v>1</v>
      </c>
      <c r="X9" s="154">
        <f>+G192</f>
        <v>9504.3855230125519</v>
      </c>
      <c r="Y9" s="154">
        <f>+G229</f>
        <v>10208</v>
      </c>
      <c r="Z9" s="154" t="e">
        <f>+#REF!</f>
        <v>#REF!</v>
      </c>
      <c r="AA9" s="154" t="e">
        <f>+#REF!</f>
        <v>#REF!</v>
      </c>
      <c r="AB9" s="154">
        <f>+G182</f>
        <v>6853.3855230125519</v>
      </c>
      <c r="AC9" s="193">
        <f>+G227</f>
        <v>1997</v>
      </c>
      <c r="AD9" s="154">
        <f>+G88</f>
        <v>7886</v>
      </c>
      <c r="AE9" s="193">
        <f>Inputs!Q48</f>
        <v>30002</v>
      </c>
      <c r="AF9" s="193">
        <f>+Inputs!Q60</f>
        <v>16508</v>
      </c>
      <c r="AG9" s="193">
        <f>+AE9-AF9</f>
        <v>13494</v>
      </c>
      <c r="AH9" s="193">
        <f>+Inputs!Q54</f>
        <v>10521</v>
      </c>
      <c r="AI9" s="193">
        <f>+Inputs!Q38</f>
        <v>11232</v>
      </c>
    </row>
    <row r="10" spans="1:59" ht="15.6">
      <c r="B10" s="115" t="s">
        <v>424</v>
      </c>
      <c r="C10" s="553">
        <v>2</v>
      </c>
      <c r="D10" s="115"/>
      <c r="E10" s="115" t="s">
        <v>424</v>
      </c>
      <c r="F10" s="555">
        <f>+I10-0.5%</f>
        <v>1.7999999999999999E-2</v>
      </c>
      <c r="H10" s="115" t="s">
        <v>424</v>
      </c>
      <c r="I10" s="557">
        <v>2.3E-2</v>
      </c>
      <c r="J10" s="115"/>
      <c r="K10" s="115" t="s">
        <v>424</v>
      </c>
      <c r="L10" s="555">
        <f>+I10+0.5%</f>
        <v>2.8000000000000001E-2</v>
      </c>
      <c r="M10" s="115"/>
      <c r="P10" s="115"/>
      <c r="S10" s="110" t="s">
        <v>425</v>
      </c>
      <c r="T10" s="328" t="s">
        <v>426</v>
      </c>
      <c r="W10" s="110">
        <f t="shared" si="0"/>
        <v>2</v>
      </c>
      <c r="X10" s="154">
        <f ca="1">+H192</f>
        <v>17212.553154251265</v>
      </c>
      <c r="Y10" s="154">
        <f>+H229</f>
        <v>17323.431604064033</v>
      </c>
      <c r="Z10" s="154" t="e">
        <f>+#REF!</f>
        <v>#REF!</v>
      </c>
      <c r="AA10" s="154" t="e">
        <f>+#REF!</f>
        <v>#REF!</v>
      </c>
      <c r="AB10" s="154">
        <f ca="1">+H182</f>
        <v>12259.461637303868</v>
      </c>
      <c r="AC10" s="193">
        <f>+H227</f>
        <v>0</v>
      </c>
      <c r="AD10" s="154">
        <f>+H88</f>
        <v>24983.386582856987</v>
      </c>
      <c r="AE10" s="193">
        <f>Inputs!Q48+DCF!H88+DCF!H90+DCF!H93+DCF!H96+DCF!H99+DCF!H105-DCF!G88-DCF!G90-DCF!G93-DCF!G96-DCF!G99-DCF!G105</f>
        <v>48076.761132560569</v>
      </c>
      <c r="AF10" s="193">
        <f>+Inputs!Q60+(DCF!H110+DCF!H113+DCF!H116+DCF!H118*DCF!G110*DCF!G113*DCF!G116*DCF!G118)</f>
        <v>1113675411008351.5</v>
      </c>
      <c r="AG10" s="193">
        <f>+AE10-AF10</f>
        <v>-1113675410960274.8</v>
      </c>
      <c r="AH10" s="154">
        <f>+AH9+H110+H113-G110-G113</f>
        <v>14431.56876778249</v>
      </c>
      <c r="AI10" s="154">
        <f>+H88+H90+H93+H96</f>
        <v>28616.763217618085</v>
      </c>
    </row>
    <row r="11" spans="1:59" ht="9.9499999999999993" customHeight="1">
      <c r="B11" s="115"/>
      <c r="C11" s="115"/>
      <c r="D11" s="115"/>
      <c r="E11" s="115"/>
      <c r="G11" s="115"/>
      <c r="K11" s="115"/>
      <c r="M11" s="115"/>
      <c r="P11" s="115"/>
      <c r="W11" s="110">
        <f t="shared" si="0"/>
        <v>3</v>
      </c>
      <c r="X11" s="154">
        <f ca="1">+I192</f>
        <v>14132.393962060347</v>
      </c>
      <c r="Y11" s="154">
        <f>+I229</f>
        <v>14181.56217481724</v>
      </c>
      <c r="Z11" s="154" t="e">
        <f>+#REF!</f>
        <v>#REF!</v>
      </c>
      <c r="AA11" s="154" t="e">
        <f>+#REF!</f>
        <v>#REF!</v>
      </c>
      <c r="AB11" s="154">
        <f ca="1">+I182</f>
        <v>13081.199036858068</v>
      </c>
      <c r="AC11" s="193">
        <f>+I227</f>
        <v>0</v>
      </c>
      <c r="AD11" s="154">
        <f>+I88</f>
        <v>38983.955731181326</v>
      </c>
      <c r="AE11" s="193">
        <f>AE10+DCF!I88+DCF!I90+DCF!I93+DCF!I96+DCF!I99+DCF!I105-DCF!H88-DCF!H90-DCF!H93-DCF!H96-DCF!H99-DCF!H105</f>
        <v>62714.24861939637</v>
      </c>
      <c r="AF11" s="193">
        <f>AF10+(DCF!I110+DCF!I113+DCF!I116+DCF!I118*DCF!H110*DCF!H113*DCF!H116*DCF!H118)</f>
        <v>5478684383728262</v>
      </c>
      <c r="AG11" s="193">
        <f>+AE11-AF11</f>
        <v>-5478684383665548</v>
      </c>
      <c r="AH11" s="154">
        <f>+AH10+I110+I113-H110-H113</f>
        <v>14088.485140066732</v>
      </c>
      <c r="AI11" s="154">
        <f>+I88+I90+I93+I96</f>
        <v>42829.300043193231</v>
      </c>
      <c r="AJ11" s="154"/>
    </row>
    <row r="12" spans="1:59" ht="13.5" customHeight="1">
      <c r="B12" s="115" t="s">
        <v>421</v>
      </c>
      <c r="C12" s="554">
        <f ca="1">CHOOSE(C9,F9,I9,L9)</f>
        <v>9.1279701958608711E-2</v>
      </c>
      <c r="D12" s="115"/>
      <c r="E12" s="115"/>
      <c r="G12" s="115"/>
      <c r="K12" s="115"/>
      <c r="P12" s="115"/>
      <c r="S12" s="116"/>
      <c r="T12" s="117"/>
      <c r="W12" s="110">
        <f t="shared" si="0"/>
        <v>4</v>
      </c>
      <c r="X12" s="154">
        <f ca="1">+J192</f>
        <v>14676.143525627307</v>
      </c>
      <c r="Y12" s="154">
        <f>+J229</f>
        <v>14904.789772715325</v>
      </c>
      <c r="Z12" s="154" t="e">
        <f>+#REF!</f>
        <v>#REF!</v>
      </c>
      <c r="AA12" s="154" t="e">
        <f>+#REF!</f>
        <v>#REF!</v>
      </c>
      <c r="AB12" s="154">
        <f ca="1">+J182</f>
        <v>13598.568060923786</v>
      </c>
      <c r="AC12" s="193">
        <f>+J227</f>
        <v>0</v>
      </c>
      <c r="AD12" s="154">
        <f>+J88</f>
        <v>60395.01205980868</v>
      </c>
    </row>
    <row r="13" spans="1:59" ht="15.6">
      <c r="B13" s="115" t="s">
        <v>424</v>
      </c>
      <c r="C13" s="554">
        <f>CHOOSE(C10,F10,I10,L10)</f>
        <v>2.3E-2</v>
      </c>
      <c r="D13" s="115"/>
      <c r="E13" s="115"/>
      <c r="G13" s="118"/>
      <c r="H13" s="115"/>
      <c r="I13" s="115"/>
      <c r="J13" s="115"/>
      <c r="K13" s="115"/>
      <c r="L13" s="115"/>
      <c r="M13" s="115"/>
      <c r="O13" s="115"/>
      <c r="P13" s="115"/>
      <c r="Q13" s="115"/>
      <c r="R13" s="115"/>
      <c r="W13" s="110">
        <f t="shared" si="0"/>
        <v>5</v>
      </c>
      <c r="X13" s="154">
        <f ca="1">+K192</f>
        <v>17527.700046160033</v>
      </c>
      <c r="Y13" s="154">
        <f>+K229</f>
        <v>17666.361776357546</v>
      </c>
      <c r="Z13" s="154" t="e">
        <f>+#REF!</f>
        <v>#REF!</v>
      </c>
      <c r="AA13" s="154" t="e">
        <f>+#REF!</f>
        <v>#REF!</v>
      </c>
      <c r="AB13" s="154">
        <f ca="1">+K182</f>
        <v>14574.271181951168</v>
      </c>
      <c r="AC13" s="193">
        <f>+K227</f>
        <v>0</v>
      </c>
      <c r="AD13" s="154">
        <f>+K88</f>
        <v>77827.012095131606</v>
      </c>
      <c r="AK13" s="111"/>
      <c r="AL13" s="111"/>
    </row>
    <row r="14" spans="1:59" ht="15.6">
      <c r="B14" s="115"/>
      <c r="C14" s="119"/>
      <c r="D14" s="115"/>
      <c r="E14" s="120"/>
      <c r="F14" s="120"/>
      <c r="G14" s="120"/>
      <c r="H14" s="115"/>
      <c r="I14" s="115"/>
      <c r="J14" s="115"/>
      <c r="K14" s="115"/>
      <c r="L14" s="115"/>
      <c r="M14" s="115"/>
      <c r="O14" s="115"/>
      <c r="P14" s="115"/>
      <c r="Q14" s="115"/>
      <c r="R14" s="115"/>
      <c r="W14" s="110">
        <f t="shared" si="0"/>
        <v>6</v>
      </c>
      <c r="X14" s="154">
        <f ca="1">+L192</f>
        <v>17742.679478519</v>
      </c>
      <c r="Y14" s="154">
        <f>+L229</f>
        <v>17891.275191247227</v>
      </c>
      <c r="Z14" s="154" t="e">
        <f>+#REF!</f>
        <v>#REF!</v>
      </c>
      <c r="AA14" s="154" t="e">
        <f>+#REF!</f>
        <v>#REF!</v>
      </c>
      <c r="AB14" s="154">
        <f ca="1">+L182</f>
        <v>15467.633465090345</v>
      </c>
      <c r="AC14" s="193">
        <f>+L227</f>
        <v>0</v>
      </c>
      <c r="AD14" s="154">
        <f>+L88</f>
        <v>95481.574887004841</v>
      </c>
    </row>
    <row r="15" spans="1:59" ht="15.6">
      <c r="A15" s="110" t="s">
        <v>392</v>
      </c>
      <c r="B15" s="52" t="s">
        <v>427</v>
      </c>
      <c r="C15" s="56"/>
      <c r="D15" s="56"/>
      <c r="E15" s="121">
        <v>2022</v>
      </c>
      <c r="F15" s="121">
        <f t="shared" ref="F15:Q15" si="1">+E15+1</f>
        <v>2023</v>
      </c>
      <c r="G15" s="122">
        <f t="shared" si="1"/>
        <v>2024</v>
      </c>
      <c r="H15" s="87">
        <f t="shared" si="1"/>
        <v>2025</v>
      </c>
      <c r="I15" s="87">
        <f t="shared" si="1"/>
        <v>2026</v>
      </c>
      <c r="J15" s="87">
        <f t="shared" si="1"/>
        <v>2027</v>
      </c>
      <c r="K15" s="87">
        <f t="shared" si="1"/>
        <v>2028</v>
      </c>
      <c r="L15" s="87">
        <f t="shared" si="1"/>
        <v>2029</v>
      </c>
      <c r="M15" s="87">
        <f t="shared" si="1"/>
        <v>2030</v>
      </c>
      <c r="N15" s="87">
        <f t="shared" si="1"/>
        <v>2031</v>
      </c>
      <c r="O15" s="87">
        <f t="shared" si="1"/>
        <v>2032</v>
      </c>
      <c r="P15" s="87">
        <f t="shared" si="1"/>
        <v>2033</v>
      </c>
      <c r="Q15" s="87">
        <f t="shared" si="1"/>
        <v>2034</v>
      </c>
      <c r="R15" s="115"/>
    </row>
    <row r="16" spans="1:59" ht="3.75" customHeight="1">
      <c r="B16" s="52" t="s">
        <v>427</v>
      </c>
      <c r="C16" s="66"/>
      <c r="D16" s="66"/>
      <c r="E16" s="66"/>
      <c r="F16" s="66"/>
      <c r="G16" s="123"/>
      <c r="H16" s="66"/>
      <c r="I16" s="66"/>
      <c r="J16" s="66"/>
      <c r="K16" s="66"/>
      <c r="L16" s="66"/>
      <c r="M16" s="66"/>
      <c r="N16" s="66"/>
      <c r="O16" s="66"/>
      <c r="P16" s="66"/>
      <c r="Q16" s="66"/>
      <c r="R16" s="115"/>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row>
    <row r="17" spans="1:59" ht="15.6">
      <c r="B17" s="782" t="s">
        <v>428</v>
      </c>
      <c r="C17" s="783"/>
      <c r="D17" s="115"/>
      <c r="E17" s="124"/>
      <c r="F17" s="124"/>
      <c r="G17" s="125"/>
      <c r="H17" s="126"/>
      <c r="I17" s="126"/>
      <c r="J17" s="126"/>
      <c r="K17" s="126"/>
      <c r="L17" s="126"/>
      <c r="M17" s="126"/>
      <c r="N17" s="126"/>
      <c r="O17" s="126"/>
      <c r="P17" s="126"/>
      <c r="Q17" s="126"/>
      <c r="R17" s="115"/>
    </row>
    <row r="18" spans="1:59" ht="15" customHeight="1">
      <c r="B18" s="115" t="str">
        <f>Segments!B17</f>
        <v>Digital Media</v>
      </c>
      <c r="C18" s="783"/>
      <c r="D18" s="115"/>
      <c r="E18" s="272">
        <f>Segments!G17</f>
        <v>12842</v>
      </c>
      <c r="F18" s="272">
        <f>Segments!H17</f>
        <v>14216</v>
      </c>
      <c r="G18" s="789">
        <f>Segments!I17</f>
        <v>15864</v>
      </c>
      <c r="H18" s="127">
        <f t="shared" ref="H18:Q18" si="2">G18*(1+H19)</f>
        <v>17021.822066184057</v>
      </c>
      <c r="I18" s="127">
        <f t="shared" si="2"/>
        <v>18264.415077015492</v>
      </c>
      <c r="J18" s="127">
        <f t="shared" si="2"/>
        <v>19597.717377637622</v>
      </c>
      <c r="K18" s="127">
        <f t="shared" si="2"/>
        <v>21028.350746205168</v>
      </c>
      <c r="L18" s="127">
        <f t="shared" si="2"/>
        <v>22563.420350678145</v>
      </c>
      <c r="M18" s="127">
        <f t="shared" si="2"/>
        <v>24210.550036277647</v>
      </c>
      <c r="N18" s="127">
        <f t="shared" si="2"/>
        <v>25977.920188925913</v>
      </c>
      <c r="O18" s="127">
        <f t="shared" si="2"/>
        <v>26497.478592704432</v>
      </c>
      <c r="P18" s="127">
        <f t="shared" si="2"/>
        <v>27027.428164558522</v>
      </c>
      <c r="Q18" s="127">
        <f t="shared" si="2"/>
        <v>27567.976727849691</v>
      </c>
      <c r="R18" s="115"/>
      <c r="AE18" s="193"/>
      <c r="AF18" s="193"/>
      <c r="AG18" s="193"/>
      <c r="AH18" s="193"/>
    </row>
    <row r="19" spans="1:59" ht="15.6">
      <c r="B19" s="784" t="s">
        <v>429</v>
      </c>
      <c r="E19" s="785"/>
      <c r="F19" s="785">
        <f>(F18-E18)/E18</f>
        <v>0.10699268026787105</v>
      </c>
      <c r="G19" s="786">
        <f>(G18-F18)/F18</f>
        <v>0.11592571750140687</v>
      </c>
      <c r="H19" s="787">
        <f>Segments!J17</f>
        <v>7.2984245220881094E-2</v>
      </c>
      <c r="I19" s="787">
        <v>7.2999999999999995E-2</v>
      </c>
      <c r="J19" s="787">
        <v>7.2999999999999995E-2</v>
      </c>
      <c r="K19" s="787">
        <v>7.2999999999999995E-2</v>
      </c>
      <c r="L19" s="787">
        <v>7.2999999999999995E-2</v>
      </c>
      <c r="M19" s="787">
        <v>7.2999999999999995E-2</v>
      </c>
      <c r="N19" s="787">
        <v>7.2999999999999995E-2</v>
      </c>
      <c r="O19" s="787">
        <v>0.02</v>
      </c>
      <c r="P19" s="787">
        <v>0.02</v>
      </c>
      <c r="Q19" s="787">
        <v>0.02</v>
      </c>
      <c r="R19" s="115"/>
      <c r="AD19" s="154"/>
      <c r="AE19" s="154"/>
      <c r="AF19" s="154"/>
      <c r="AG19" s="154"/>
      <c r="AK19" s="258"/>
      <c r="AL19" s="258"/>
      <c r="AM19" s="258"/>
      <c r="AN19" s="258"/>
      <c r="AO19" s="258"/>
      <c r="AP19" s="258"/>
      <c r="AQ19" s="258"/>
      <c r="AR19" s="258"/>
      <c r="AS19" s="258"/>
      <c r="AT19" s="258"/>
      <c r="AU19" s="258"/>
      <c r="AV19" s="258"/>
      <c r="AW19" s="258"/>
      <c r="AX19" s="258"/>
      <c r="AY19" s="258"/>
      <c r="AZ19" s="258"/>
      <c r="BA19" s="258"/>
      <c r="BB19" s="258"/>
      <c r="BC19" s="258"/>
      <c r="BD19" s="258"/>
      <c r="BE19" s="258"/>
      <c r="BF19" s="258"/>
      <c r="BG19" s="258"/>
    </row>
    <row r="20" spans="1:59" ht="15.6">
      <c r="G20" s="133"/>
      <c r="H20" s="115"/>
      <c r="I20" s="115"/>
      <c r="J20" s="115"/>
      <c r="K20" s="115"/>
      <c r="L20" s="115"/>
      <c r="M20" s="115"/>
      <c r="O20" s="115"/>
      <c r="P20" s="115"/>
      <c r="Q20" s="115"/>
      <c r="R20" s="115"/>
      <c r="S20" s="32"/>
      <c r="T20" s="80"/>
      <c r="U20" s="80"/>
      <c r="V20" s="80"/>
      <c r="W20" s="80"/>
      <c r="X20" s="80"/>
    </row>
    <row r="21" spans="1:59" ht="15.6">
      <c r="B21" s="115" t="str">
        <f>Segments!B18</f>
        <v>Digital Experience</v>
      </c>
      <c r="C21" s="783"/>
      <c r="D21" s="115"/>
      <c r="E21" s="272">
        <f>Segments!G18</f>
        <v>4422</v>
      </c>
      <c r="F21" s="272">
        <f>Segments!H18</f>
        <v>4893</v>
      </c>
      <c r="G21" s="789">
        <f>Segments!I18</f>
        <v>5366</v>
      </c>
      <c r="H21" s="127">
        <f t="shared" ref="H21:Q21" si="3">G21*(1+H22)</f>
        <v>5723.495051939648</v>
      </c>
      <c r="I21" s="127">
        <f t="shared" si="3"/>
        <v>6104.679822398828</v>
      </c>
      <c r="J21" s="127">
        <f t="shared" si="3"/>
        <v>6511.2514985705902</v>
      </c>
      <c r="K21" s="127">
        <f t="shared" si="3"/>
        <v>6944.9008483753914</v>
      </c>
      <c r="L21" s="127">
        <f t="shared" si="3"/>
        <v>7407.4312448771925</v>
      </c>
      <c r="M21" s="127">
        <f t="shared" si="3"/>
        <v>7900.7661657860135</v>
      </c>
      <c r="N21" s="127">
        <f t="shared" si="3"/>
        <v>8426.9571924273623</v>
      </c>
      <c r="O21" s="127">
        <f t="shared" si="3"/>
        <v>8595.4963362759099</v>
      </c>
      <c r="P21" s="127">
        <f t="shared" si="3"/>
        <v>8767.4062630014287</v>
      </c>
      <c r="Q21" s="127">
        <f t="shared" si="3"/>
        <v>8942.7543882614573</v>
      </c>
      <c r="R21" s="115"/>
      <c r="S21" s="80"/>
      <c r="T21"/>
      <c r="U21"/>
      <c r="V21"/>
      <c r="W21"/>
      <c r="X21"/>
    </row>
    <row r="22" spans="1:59" ht="15.6">
      <c r="B22" s="784" t="s">
        <v>429</v>
      </c>
      <c r="E22" s="785"/>
      <c r="F22" s="785">
        <f>(F21-E21)/E21</f>
        <v>0.10651289009497965</v>
      </c>
      <c r="G22" s="786">
        <f>(G21-F21)/F21</f>
        <v>9.6668710402615987E-2</v>
      </c>
      <c r="H22" s="790">
        <f>Segments!J18</f>
        <v>6.6622260890728313E-2</v>
      </c>
      <c r="I22" s="790">
        <v>6.6600000000000006E-2</v>
      </c>
      <c r="J22" s="790">
        <v>6.6600000000000006E-2</v>
      </c>
      <c r="K22" s="790">
        <v>6.6600000000000006E-2</v>
      </c>
      <c r="L22" s="790">
        <v>6.6600000000000006E-2</v>
      </c>
      <c r="M22" s="790">
        <v>6.6600000000000006E-2</v>
      </c>
      <c r="N22" s="790">
        <v>6.6600000000000006E-2</v>
      </c>
      <c r="O22" s="790">
        <v>0.02</v>
      </c>
      <c r="P22" s="790">
        <v>0.02</v>
      </c>
      <c r="Q22" s="790">
        <v>0.02</v>
      </c>
      <c r="R22" s="115"/>
      <c r="S22" s="80"/>
      <c r="T22"/>
      <c r="U22"/>
      <c r="V22"/>
      <c r="W22"/>
      <c r="X22"/>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8"/>
      <c r="BG22" s="258"/>
    </row>
    <row r="23" spans="1:59" ht="15.6">
      <c r="G23" s="133"/>
      <c r="H23" s="128"/>
      <c r="I23" s="128"/>
      <c r="J23" s="128"/>
      <c r="K23" s="128"/>
      <c r="L23" s="128"/>
      <c r="N23" s="126"/>
      <c r="O23" s="128"/>
      <c r="P23" s="128"/>
      <c r="Q23" s="128"/>
      <c r="R23" s="115"/>
      <c r="S23" s="80"/>
      <c r="T23"/>
      <c r="U23"/>
      <c r="V23"/>
      <c r="W23"/>
      <c r="X23"/>
    </row>
    <row r="24" spans="1:59" ht="15.6">
      <c r="B24" s="115" t="str">
        <f>Segments!B19</f>
        <v>Publishing &amp; Advertising</v>
      </c>
      <c r="C24" s="783"/>
      <c r="D24" s="115"/>
      <c r="E24" s="272">
        <f>Segments!G19</f>
        <v>342</v>
      </c>
      <c r="F24" s="272">
        <f>Segments!H19</f>
        <v>300</v>
      </c>
      <c r="G24" s="789">
        <f>Segments!I19</f>
        <v>275</v>
      </c>
      <c r="H24" s="127">
        <f t="shared" ref="H24:Q24" si="4">G24*(1+H25)</f>
        <v>255.72207695844108</v>
      </c>
      <c r="I24" s="127">
        <f t="shared" si="4"/>
        <v>237.79595936365433</v>
      </c>
      <c r="J24" s="127">
        <f t="shared" si="4"/>
        <v>221.12646261226215</v>
      </c>
      <c r="K24" s="127">
        <f t="shared" si="4"/>
        <v>205.62549758314256</v>
      </c>
      <c r="L24" s="127">
        <f t="shared" si="4"/>
        <v>191.21115020256426</v>
      </c>
      <c r="M24" s="127">
        <f t="shared" si="4"/>
        <v>177.80724857336449</v>
      </c>
      <c r="N24" s="127">
        <f t="shared" si="4"/>
        <v>165.34296044837163</v>
      </c>
      <c r="O24" s="127">
        <f t="shared" si="4"/>
        <v>153.75241892094076</v>
      </c>
      <c r="P24" s="127">
        <f t="shared" si="4"/>
        <v>142.97437435458281</v>
      </c>
      <c r="Q24" s="127">
        <f t="shared" si="4"/>
        <v>132.95187071232655</v>
      </c>
      <c r="R24" s="157"/>
      <c r="S24" s="80"/>
      <c r="T24"/>
      <c r="U24"/>
      <c r="V24"/>
      <c r="W24"/>
      <c r="X24"/>
    </row>
    <row r="25" spans="1:59" ht="15.6">
      <c r="B25" s="784" t="s">
        <v>429</v>
      </c>
      <c r="E25" s="785"/>
      <c r="F25" s="785">
        <f>(F24-E24)/E24</f>
        <v>-0.12280701754385964</v>
      </c>
      <c r="G25" s="786">
        <f>(G24-F24)/F24</f>
        <v>-8.3333333333333329E-2</v>
      </c>
      <c r="H25" s="790">
        <f>Segments!J19</f>
        <v>-7.0101538332941526E-2</v>
      </c>
      <c r="I25" s="790">
        <v>-7.0099999999999996E-2</v>
      </c>
      <c r="J25" s="790">
        <v>-7.0099999999999996E-2</v>
      </c>
      <c r="K25" s="790">
        <v>-7.0099999999999996E-2</v>
      </c>
      <c r="L25" s="790">
        <v>-7.0099999999999996E-2</v>
      </c>
      <c r="M25" s="790">
        <v>-7.0099999999999996E-2</v>
      </c>
      <c r="N25" s="790">
        <v>-7.0099999999999996E-2</v>
      </c>
      <c r="O25" s="790">
        <v>-7.0099999999999996E-2</v>
      </c>
      <c r="P25" s="790">
        <v>-7.0099999999999996E-2</v>
      </c>
      <c r="Q25" s="790">
        <v>-7.0099999999999996E-2</v>
      </c>
      <c r="R25" s="115"/>
      <c r="S25" s="80"/>
      <c r="T25"/>
      <c r="U25"/>
      <c r="V25"/>
      <c r="W25"/>
      <c r="X25"/>
      <c r="AK25" s="258"/>
      <c r="AL25" s="258"/>
      <c r="AM25" s="258"/>
      <c r="AN25" s="258"/>
      <c r="AO25" s="258"/>
      <c r="AP25" s="258"/>
      <c r="AQ25" s="258"/>
      <c r="AR25" s="258"/>
      <c r="AS25" s="258"/>
      <c r="AT25" s="258"/>
      <c r="AU25" s="258"/>
      <c r="AV25" s="258"/>
      <c r="AW25" s="258"/>
      <c r="AX25" s="258"/>
      <c r="AY25" s="258"/>
      <c r="AZ25" s="258"/>
      <c r="BA25" s="258"/>
      <c r="BB25" s="258"/>
      <c r="BC25" s="258"/>
      <c r="BD25" s="258"/>
      <c r="BE25" s="258"/>
      <c r="BF25" s="258"/>
      <c r="BG25" s="258"/>
    </row>
    <row r="26" spans="1:59" ht="15.6">
      <c r="B26" s="115" t="s">
        <v>106</v>
      </c>
      <c r="C26" s="783"/>
      <c r="D26" s="115"/>
      <c r="E26" s="126">
        <f>SUM(E17:E24)</f>
        <v>17606</v>
      </c>
      <c r="F26" s="126">
        <f t="shared" ref="F26:Q26" si="5">SUM(F18,F21,F24)</f>
        <v>19409</v>
      </c>
      <c r="G26" s="131">
        <f t="shared" si="5"/>
        <v>21505</v>
      </c>
      <c r="H26" s="126">
        <f t="shared" si="5"/>
        <v>23001.039195082147</v>
      </c>
      <c r="I26" s="126">
        <f t="shared" si="5"/>
        <v>24606.890858777973</v>
      </c>
      <c r="J26" s="126">
        <f t="shared" si="5"/>
        <v>26330.095338820473</v>
      </c>
      <c r="K26" s="126">
        <f t="shared" si="5"/>
        <v>28178.877092163701</v>
      </c>
      <c r="L26" s="126">
        <f t="shared" si="5"/>
        <v>30162.062745757903</v>
      </c>
      <c r="M26" s="126">
        <f t="shared" si="5"/>
        <v>32289.123450637024</v>
      </c>
      <c r="N26" s="126">
        <f t="shared" si="5"/>
        <v>34570.220341801643</v>
      </c>
      <c r="O26" s="126">
        <f t="shared" si="5"/>
        <v>35246.727347901287</v>
      </c>
      <c r="P26" s="126">
        <f t="shared" si="5"/>
        <v>35937.808801914536</v>
      </c>
      <c r="Q26" s="126">
        <f t="shared" si="5"/>
        <v>36643.682986823478</v>
      </c>
      <c r="R26" s="115"/>
      <c r="S26" s="80"/>
      <c r="T26"/>
      <c r="U26"/>
      <c r="V26"/>
      <c r="W26"/>
      <c r="X26"/>
    </row>
    <row r="27" spans="1:59" ht="15.6">
      <c r="B27" s="132" t="s">
        <v>430</v>
      </c>
      <c r="G27" s="133"/>
      <c r="S27" s="80"/>
    </row>
    <row r="28" spans="1:59" ht="15.6">
      <c r="A28" s="110" t="s">
        <v>392</v>
      </c>
      <c r="B28" s="52" t="s">
        <v>271</v>
      </c>
      <c r="C28" s="56"/>
      <c r="D28" s="56"/>
      <c r="E28" s="121">
        <v>2022</v>
      </c>
      <c r="F28" s="121">
        <f t="shared" ref="F28:Q28" si="6">+E28+1</f>
        <v>2023</v>
      </c>
      <c r="G28" s="122">
        <f t="shared" si="6"/>
        <v>2024</v>
      </c>
      <c r="H28" s="87">
        <f t="shared" si="6"/>
        <v>2025</v>
      </c>
      <c r="I28" s="87">
        <f t="shared" si="6"/>
        <v>2026</v>
      </c>
      <c r="J28" s="87">
        <f t="shared" si="6"/>
        <v>2027</v>
      </c>
      <c r="K28" s="87">
        <f t="shared" si="6"/>
        <v>2028</v>
      </c>
      <c r="L28" s="87">
        <f t="shared" si="6"/>
        <v>2029</v>
      </c>
      <c r="M28" s="87">
        <f t="shared" si="6"/>
        <v>2030</v>
      </c>
      <c r="N28" s="87">
        <f t="shared" si="6"/>
        <v>2031</v>
      </c>
      <c r="O28" s="87">
        <f t="shared" si="6"/>
        <v>2032</v>
      </c>
      <c r="P28" s="87">
        <f t="shared" si="6"/>
        <v>2033</v>
      </c>
      <c r="Q28" s="87">
        <f t="shared" si="6"/>
        <v>2034</v>
      </c>
      <c r="R28" s="134"/>
      <c r="S28" s="111"/>
      <c r="T28" s="111"/>
      <c r="U28" s="111"/>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8"/>
    </row>
    <row r="29" spans="1:59" ht="3.95" customHeight="1">
      <c r="B29" s="66"/>
      <c r="C29" s="66"/>
      <c r="D29" s="66"/>
      <c r="E29" s="66"/>
      <c r="F29" s="66"/>
      <c r="G29" s="123"/>
      <c r="H29" s="66"/>
      <c r="I29" s="66"/>
      <c r="J29" s="66"/>
      <c r="K29" s="66"/>
      <c r="L29" s="66"/>
      <c r="M29" s="66"/>
      <c r="N29" s="66"/>
      <c r="O29" s="66"/>
      <c r="P29" s="66"/>
      <c r="Q29" s="66"/>
      <c r="AK29" s="224"/>
      <c r="AL29" s="224"/>
      <c r="AM29" s="224"/>
      <c r="AN29" s="224"/>
      <c r="AO29" s="224"/>
      <c r="AP29" s="224"/>
      <c r="AQ29" s="224"/>
      <c r="AR29" s="224"/>
      <c r="AS29" s="224"/>
      <c r="AT29" s="224"/>
      <c r="AU29" s="224"/>
      <c r="AV29" s="224"/>
      <c r="AW29" s="224"/>
      <c r="AX29" s="224"/>
      <c r="AY29" s="224"/>
      <c r="AZ29" s="224"/>
      <c r="BA29" s="224"/>
      <c r="BB29" s="224"/>
      <c r="BC29" s="224"/>
      <c r="BD29" s="224"/>
      <c r="BE29" s="224"/>
      <c r="BF29" s="224"/>
      <c r="BG29" s="224"/>
    </row>
    <row r="30" spans="1:59" ht="15.6">
      <c r="B30" s="110" t="s">
        <v>431</v>
      </c>
      <c r="D30" s="284">
        <f>+_xlfn.XLOOKUP($B30,[1]Inputs!$B:$B,[1]Inputs!N:N)</f>
        <v>67418</v>
      </c>
      <c r="E30" s="136">
        <f>+_xlfn.XLOOKUP($B30,Inputs!$B:$B,Inputs!O:O)</f>
        <v>17606</v>
      </c>
      <c r="F30" s="136">
        <f>+_xlfn.XLOOKUP($B30,Inputs!$B:$B,Inputs!P:P)</f>
        <v>19409</v>
      </c>
      <c r="G30" s="275">
        <f>+_xlfn.XLOOKUP($B30,Inputs!$B:$B,Inputs!Q:Q)</f>
        <v>21505</v>
      </c>
      <c r="H30" s="788">
        <f t="shared" ref="H30:Q30" si="7">H26</f>
        <v>23001.039195082147</v>
      </c>
      <c r="I30" s="137">
        <f t="shared" si="7"/>
        <v>24606.890858777973</v>
      </c>
      <c r="J30" s="137">
        <f t="shared" si="7"/>
        <v>26330.095338820473</v>
      </c>
      <c r="K30" s="137">
        <f t="shared" si="7"/>
        <v>28178.877092163701</v>
      </c>
      <c r="L30" s="137">
        <f t="shared" si="7"/>
        <v>30162.062745757903</v>
      </c>
      <c r="M30" s="137">
        <f t="shared" si="7"/>
        <v>32289.123450637024</v>
      </c>
      <c r="N30" s="137">
        <f t="shared" si="7"/>
        <v>34570.220341801643</v>
      </c>
      <c r="O30" s="137">
        <f t="shared" si="7"/>
        <v>35246.727347901287</v>
      </c>
      <c r="P30" s="137">
        <f t="shared" si="7"/>
        <v>35937.808801914536</v>
      </c>
      <c r="Q30" s="137">
        <f t="shared" si="7"/>
        <v>36643.682986823478</v>
      </c>
    </row>
    <row r="31" spans="1:59" s="258" customFormat="1" ht="15.6">
      <c r="B31" s="259" t="s">
        <v>432</v>
      </c>
      <c r="E31" s="261"/>
      <c r="F31" s="261">
        <f>IFERROR((F30-E30)/E30,"")</f>
        <v>0.10240826990798592</v>
      </c>
      <c r="G31" s="262">
        <f>IFERROR((G30-F30)/F30,"")</f>
        <v>0.10799113813179453</v>
      </c>
      <c r="H31" s="263">
        <f t="shared" ref="H31:Q31" si="8">IFERROR(H30/G30-1,"")</f>
        <v>6.956703999451963E-2</v>
      </c>
      <c r="I31" s="263">
        <f t="shared" si="8"/>
        <v>6.9816483076085234E-2</v>
      </c>
      <c r="J31" s="263">
        <f t="shared" si="8"/>
        <v>7.0029346248259738E-2</v>
      </c>
      <c r="K31" s="263">
        <f t="shared" si="8"/>
        <v>7.0215535855558731E-2</v>
      </c>
      <c r="L31" s="263">
        <f t="shared" si="8"/>
        <v>7.0378448619789369E-2</v>
      </c>
      <c r="M31" s="263">
        <f t="shared" si="8"/>
        <v>7.0521062263166234E-2</v>
      </c>
      <c r="N31" s="263">
        <f t="shared" si="8"/>
        <v>7.0645983767627429E-2</v>
      </c>
      <c r="O31" s="263">
        <f t="shared" si="8"/>
        <v>1.9569068389235111E-2</v>
      </c>
      <c r="P31" s="263">
        <f t="shared" si="8"/>
        <v>1.9606967965903888E-2</v>
      </c>
      <c r="Q31" s="263">
        <f t="shared" si="8"/>
        <v>1.9641547674752458E-2</v>
      </c>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row>
    <row r="32" spans="1:59" ht="3.75" customHeight="1">
      <c r="B32" s="138"/>
      <c r="E32" s="140"/>
      <c r="F32" s="140"/>
      <c r="G32" s="141"/>
      <c r="H32" s="139"/>
      <c r="I32" s="139"/>
      <c r="J32" s="139"/>
      <c r="K32" s="139"/>
      <c r="L32" s="139"/>
      <c r="O32" s="142"/>
      <c r="P32" s="142"/>
      <c r="Q32" s="142"/>
    </row>
    <row r="33" spans="2:59" ht="15.6">
      <c r="B33" s="257" t="s">
        <v>276</v>
      </c>
      <c r="E33" s="136">
        <f>+_xlfn.XLOOKUP($B33,Inputs!$B:$B,Inputs!O:O)</f>
        <v>2165</v>
      </c>
      <c r="F33" s="136">
        <f>+_xlfn.XLOOKUP($B33,Inputs!$B:$B,Inputs!P:P)</f>
        <v>2354</v>
      </c>
      <c r="G33" s="275">
        <f>+_xlfn.XLOOKUP($B33,Inputs!$B:$B,Inputs!Q:Q)</f>
        <v>2538</v>
      </c>
      <c r="H33" s="143">
        <f t="shared" ref="H33:Q33" si="9">H34*H$30</f>
        <v>2777.5475919863488</v>
      </c>
      <c r="I33" s="143">
        <f t="shared" si="9"/>
        <v>2953.3230472282971</v>
      </c>
      <c r="J33" s="143">
        <f t="shared" si="9"/>
        <v>3149.0505343631253</v>
      </c>
      <c r="K33" s="143">
        <f t="shared" si="9"/>
        <v>3385.0021612366295</v>
      </c>
      <c r="L33" s="143">
        <f t="shared" si="9"/>
        <v>3616.8795594572166</v>
      </c>
      <c r="M33" s="143">
        <f t="shared" si="9"/>
        <v>3870.8123795301608</v>
      </c>
      <c r="N33" s="143">
        <f t="shared" si="9"/>
        <v>4147.5061539840835</v>
      </c>
      <c r="O33" s="143">
        <f t="shared" si="9"/>
        <v>4226.8815398128227</v>
      </c>
      <c r="P33" s="143">
        <f t="shared" si="9"/>
        <v>4309.8513795007011</v>
      </c>
      <c r="Q33" s="143">
        <f t="shared" si="9"/>
        <v>4395.0593968109097</v>
      </c>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row>
    <row r="34" spans="2:59" s="258" customFormat="1" ht="15.6">
      <c r="B34" s="267" t="s">
        <v>433</v>
      </c>
      <c r="E34" s="260">
        <f>IFERROR(E33/E$30,"")</f>
        <v>0.12296944223560149</v>
      </c>
      <c r="F34" s="260">
        <f>IFERROR(F33/F$30,"")</f>
        <v>0.12128394044000206</v>
      </c>
      <c r="G34" s="264">
        <f>IFERROR(G33/G$30,"")</f>
        <v>0.11801906533364334</v>
      </c>
      <c r="H34" s="285">
        <f t="shared" ref="H34:Q34" si="10">AVERAGE(E34:G34)</f>
        <v>0.12075748266974895</v>
      </c>
      <c r="I34" s="285">
        <f t="shared" si="10"/>
        <v>0.12002016281446477</v>
      </c>
      <c r="J34" s="285">
        <f t="shared" si="10"/>
        <v>0.11959890360595236</v>
      </c>
      <c r="K34" s="285">
        <f t="shared" si="10"/>
        <v>0.1201255163633887</v>
      </c>
      <c r="L34" s="285">
        <f t="shared" si="10"/>
        <v>0.11991486092793528</v>
      </c>
      <c r="M34" s="285">
        <f t="shared" si="10"/>
        <v>0.11987976029909213</v>
      </c>
      <c r="N34" s="285">
        <f t="shared" si="10"/>
        <v>0.11997337919680538</v>
      </c>
      <c r="O34" s="285">
        <f t="shared" si="10"/>
        <v>0.11992266680794426</v>
      </c>
      <c r="P34" s="285">
        <f t="shared" si="10"/>
        <v>0.11992526876794725</v>
      </c>
      <c r="Q34" s="285">
        <f t="shared" si="10"/>
        <v>0.11994043825756563</v>
      </c>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row>
    <row r="35" spans="2:59" ht="5.25" customHeight="1">
      <c r="B35" s="138"/>
      <c r="E35" s="140"/>
      <c r="F35" s="140"/>
      <c r="G35" s="141"/>
      <c r="H35" s="146"/>
      <c r="I35" s="146"/>
      <c r="J35" s="146"/>
      <c r="K35" s="146"/>
      <c r="L35" s="146"/>
      <c r="M35" s="146"/>
      <c r="N35" s="146"/>
      <c r="O35" s="146"/>
      <c r="P35" s="146"/>
      <c r="Q35" s="146"/>
    </row>
    <row r="36" spans="2:59" ht="15.6">
      <c r="B36" s="110" t="s">
        <v>277</v>
      </c>
      <c r="E36" s="136">
        <f>+_xlfn.XLOOKUP($B36,Inputs!$B:$B,Inputs!O:O)</f>
        <v>15441</v>
      </c>
      <c r="F36" s="136">
        <f>+_xlfn.XLOOKUP($B36,Inputs!$B:$B,Inputs!P:P)</f>
        <v>17055</v>
      </c>
      <c r="G36" s="275">
        <f>+_xlfn.XLOOKUP($B36,Inputs!$B:$B,Inputs!Q:Q)</f>
        <v>18967</v>
      </c>
      <c r="H36" s="143">
        <f t="shared" ref="H36:Q36" si="11">+H30-H33</f>
        <v>20223.491603095797</v>
      </c>
      <c r="I36" s="143">
        <f t="shared" si="11"/>
        <v>21653.567811549678</v>
      </c>
      <c r="J36" s="143">
        <f t="shared" si="11"/>
        <v>23181.044804457346</v>
      </c>
      <c r="K36" s="143">
        <f t="shared" si="11"/>
        <v>24793.874930927072</v>
      </c>
      <c r="L36" s="143">
        <f t="shared" si="11"/>
        <v>26545.183186300688</v>
      </c>
      <c r="M36" s="143">
        <f t="shared" si="11"/>
        <v>28418.311071106862</v>
      </c>
      <c r="N36" s="143">
        <f t="shared" si="11"/>
        <v>30422.714187817561</v>
      </c>
      <c r="O36" s="143">
        <f t="shared" si="11"/>
        <v>31019.845808088467</v>
      </c>
      <c r="P36" s="143">
        <f t="shared" si="11"/>
        <v>31627.957422413834</v>
      </c>
      <c r="Q36" s="143">
        <f t="shared" si="11"/>
        <v>32248.623590012568</v>
      </c>
    </row>
    <row r="37" spans="2:59" s="258" customFormat="1" ht="15.6">
      <c r="B37" s="258" t="s">
        <v>31</v>
      </c>
      <c r="E37" s="260">
        <f>IFERROR(E36/E$30,"")</f>
        <v>0.87703055776439853</v>
      </c>
      <c r="F37" s="260">
        <f t="shared" ref="F37:Q37" si="12">IFERROR(F36/F$30,"")</f>
        <v>0.87871605955999799</v>
      </c>
      <c r="G37" s="264">
        <f t="shared" si="12"/>
        <v>0.88198093466635663</v>
      </c>
      <c r="H37" s="260">
        <f t="shared" si="12"/>
        <v>0.87924251733025105</v>
      </c>
      <c r="I37" s="260">
        <f t="shared" si="12"/>
        <v>0.8799798371855353</v>
      </c>
      <c r="J37" s="260">
        <f t="shared" si="12"/>
        <v>0.88040109639404762</v>
      </c>
      <c r="K37" s="260">
        <f t="shared" si="12"/>
        <v>0.87987448363661136</v>
      </c>
      <c r="L37" s="260">
        <f t="shared" si="12"/>
        <v>0.88008513907206476</v>
      </c>
      <c r="M37" s="260">
        <f t="shared" si="12"/>
        <v>0.8801202397009078</v>
      </c>
      <c r="N37" s="260">
        <f t="shared" si="12"/>
        <v>0.8800266208031946</v>
      </c>
      <c r="O37" s="260">
        <f t="shared" si="12"/>
        <v>0.88007733319205583</v>
      </c>
      <c r="P37" s="260">
        <f t="shared" si="12"/>
        <v>0.88007473123205271</v>
      </c>
      <c r="Q37" s="260">
        <f t="shared" si="12"/>
        <v>0.88005956174243438</v>
      </c>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row>
    <row r="38" spans="2:59" ht="3.75" customHeight="1">
      <c r="G38" s="144"/>
      <c r="H38" s="115"/>
      <c r="I38" s="115"/>
      <c r="J38" s="115"/>
      <c r="K38" s="115"/>
      <c r="L38" s="115"/>
      <c r="O38" s="115"/>
      <c r="P38" s="115"/>
      <c r="Q38" s="115"/>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row>
    <row r="39" spans="2:59" ht="14.25" customHeight="1">
      <c r="B39" s="257" t="s">
        <v>434</v>
      </c>
      <c r="E39" s="136">
        <f>+_xlfn.XLOOKUP($B39,Inputs!$B:$B,Inputs!O:O)</f>
        <v>5170</v>
      </c>
      <c r="F39" s="136">
        <f>+_xlfn.XLOOKUP($B39,Inputs!$B:$B,Inputs!P:P)</f>
        <v>6764</v>
      </c>
      <c r="G39" s="275">
        <f>+_xlfn.XLOOKUP($B39,Inputs!$B:$B,Inputs!Q:Q)</f>
        <v>5764</v>
      </c>
      <c r="H39" s="143">
        <f t="shared" ref="H39:Q39" si="13">IFERROR(G39*(1+H31),"")</f>
        <v>6164.984418528411</v>
      </c>
      <c r="I39" s="143">
        <f t="shared" si="13"/>
        <v>6595.4019488489294</v>
      </c>
      <c r="J39" s="143">
        <f t="shared" si="13"/>
        <v>7057.2736355713178</v>
      </c>
      <c r="K39" s="143">
        <f t="shared" si="13"/>
        <v>7552.8038855722652</v>
      </c>
      <c r="L39" s="143">
        <f t="shared" si="13"/>
        <v>8084.3585057683586</v>
      </c>
      <c r="M39" s="143">
        <f t="shared" si="13"/>
        <v>8654.4760553114065</v>
      </c>
      <c r="N39" s="143">
        <f t="shared" si="13"/>
        <v>9265.8800302322561</v>
      </c>
      <c r="O39" s="143">
        <f t="shared" si="13"/>
        <v>9447.2046702303196</v>
      </c>
      <c r="P39" s="143">
        <f t="shared" si="13"/>
        <v>9632.4357095668638</v>
      </c>
      <c r="Q39" s="143">
        <f t="shared" si="13"/>
        <v>9821.631654780309</v>
      </c>
      <c r="AK39" s="258"/>
      <c r="AL39" s="258"/>
      <c r="AM39" s="258"/>
      <c r="AN39" s="258"/>
      <c r="AO39" s="258"/>
      <c r="AP39" s="258"/>
      <c r="AQ39" s="258"/>
      <c r="AR39" s="258"/>
      <c r="AS39" s="258"/>
      <c r="AT39" s="258"/>
      <c r="AU39" s="258"/>
      <c r="AV39" s="258"/>
      <c r="AW39" s="258"/>
      <c r="AX39" s="258"/>
      <c r="AY39" s="258"/>
      <c r="AZ39" s="258"/>
      <c r="BA39" s="258"/>
      <c r="BB39" s="258"/>
      <c r="BC39" s="258"/>
      <c r="BD39" s="258"/>
      <c r="BE39" s="258"/>
      <c r="BF39" s="258"/>
      <c r="BG39" s="258"/>
    </row>
    <row r="40" spans="2:59" s="258" customFormat="1" ht="15.6">
      <c r="B40" s="267" t="s">
        <v>33</v>
      </c>
      <c r="E40" s="260">
        <f>IFERROR(E39/E$30,"")</f>
        <v>0.29364989208224468</v>
      </c>
      <c r="F40" s="260">
        <f>IFERROR(F39/F$30,"")</f>
        <v>0.34849811942913084</v>
      </c>
      <c r="G40" s="265">
        <f>IFERROR(G39/G$30,"")</f>
        <v>0.26803069053708439</v>
      </c>
      <c r="H40" s="285">
        <v>0.17</v>
      </c>
      <c r="I40" s="285">
        <f t="shared" ref="I40:Q40" si="14">IFERROR(AVERAGE(F40:H40),"")</f>
        <v>0.26217626998873839</v>
      </c>
      <c r="J40" s="285">
        <f t="shared" si="14"/>
        <v>0.23340232017527426</v>
      </c>
      <c r="K40" s="285">
        <f t="shared" si="14"/>
        <v>0.22185953005467088</v>
      </c>
      <c r="L40" s="285">
        <f t="shared" si="14"/>
        <v>0.2391460400728945</v>
      </c>
      <c r="M40" s="285">
        <f t="shared" si="14"/>
        <v>0.23146929676761321</v>
      </c>
      <c r="N40" s="285">
        <f t="shared" si="14"/>
        <v>0.2308249556317262</v>
      </c>
      <c r="O40" s="285">
        <f t="shared" si="14"/>
        <v>0.23381343082407799</v>
      </c>
      <c r="P40" s="285">
        <f t="shared" si="14"/>
        <v>0.23203589440780581</v>
      </c>
      <c r="Q40" s="285">
        <f t="shared" si="14"/>
        <v>0.23222476028786998</v>
      </c>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row>
    <row r="41" spans="2:59" ht="3.75" customHeight="1">
      <c r="B41" s="138"/>
      <c r="E41" s="140"/>
      <c r="F41" s="140"/>
      <c r="G41" s="141"/>
      <c r="H41" s="139"/>
      <c r="I41" s="139"/>
      <c r="J41" s="139"/>
      <c r="K41" s="139"/>
      <c r="L41" s="139"/>
      <c r="O41" s="115"/>
      <c r="P41" s="115"/>
      <c r="Q41" s="115"/>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row>
    <row r="42" spans="2:59" ht="15.6">
      <c r="B42" s="257" t="s">
        <v>284</v>
      </c>
      <c r="E42" s="136">
        <f>+_xlfn.XLOOKUP($B42,Inputs!$B:$B,Inputs!O:O)</f>
        <v>2987</v>
      </c>
      <c r="F42" s="136">
        <f>+_xlfn.XLOOKUP($B42,Inputs!$B:$B,Inputs!P:P)</f>
        <v>3473</v>
      </c>
      <c r="G42" s="275">
        <f>+_xlfn.XLOOKUP($B42,Inputs!$B:$B,Inputs!Q:Q)</f>
        <v>3944</v>
      </c>
      <c r="H42" s="143">
        <f t="shared" ref="H42:Q42" si="15">H43*H$30</f>
        <v>0</v>
      </c>
      <c r="I42" s="143">
        <f t="shared" si="15"/>
        <v>0</v>
      </c>
      <c r="J42" s="143">
        <f t="shared" si="15"/>
        <v>0</v>
      </c>
      <c r="K42" s="143">
        <f t="shared" si="15"/>
        <v>0</v>
      </c>
      <c r="L42" s="143">
        <f t="shared" si="15"/>
        <v>0</v>
      </c>
      <c r="M42" s="143">
        <f t="shared" si="15"/>
        <v>0</v>
      </c>
      <c r="N42" s="143">
        <f t="shared" si="15"/>
        <v>0</v>
      </c>
      <c r="O42" s="143">
        <f t="shared" si="15"/>
        <v>0</v>
      </c>
      <c r="P42" s="143">
        <f t="shared" si="15"/>
        <v>0</v>
      </c>
      <c r="Q42" s="143">
        <f t="shared" si="15"/>
        <v>0</v>
      </c>
      <c r="AK42" s="258"/>
      <c r="AL42" s="258"/>
      <c r="AM42" s="258"/>
      <c r="AN42" s="258"/>
      <c r="AO42" s="258"/>
      <c r="AP42" s="258"/>
      <c r="AQ42" s="258"/>
      <c r="AR42" s="258"/>
      <c r="AS42" s="258"/>
      <c r="AT42" s="258"/>
      <c r="AU42" s="258"/>
      <c r="AV42" s="258"/>
      <c r="AW42" s="258"/>
      <c r="AX42" s="258"/>
      <c r="AY42" s="258"/>
      <c r="AZ42" s="258"/>
      <c r="BA42" s="258"/>
      <c r="BB42" s="258"/>
      <c r="BC42" s="258"/>
      <c r="BD42" s="258"/>
      <c r="BE42" s="258"/>
      <c r="BF42" s="258"/>
      <c r="BG42" s="258"/>
    </row>
    <row r="43" spans="2:59" s="258" customFormat="1" ht="14.45">
      <c r="B43" s="267" t="s">
        <v>433</v>
      </c>
      <c r="E43" s="260">
        <f>IFERROR(E42/E30,"")</f>
        <v>0.16965807111212086</v>
      </c>
      <c r="F43" s="260">
        <f>IFERROR(F42/F30,"")</f>
        <v>0.17893760626513472</v>
      </c>
      <c r="G43" s="265">
        <f>IFERROR(G42/G30,"")</f>
        <v>0.183399209486166</v>
      </c>
      <c r="H43" s="285">
        <v>0</v>
      </c>
      <c r="I43" s="285">
        <v>0</v>
      </c>
      <c r="J43" s="285">
        <v>0</v>
      </c>
      <c r="K43" s="285">
        <v>0</v>
      </c>
      <c r="L43" s="285">
        <v>0</v>
      </c>
      <c r="M43" s="285">
        <v>0</v>
      </c>
      <c r="N43" s="285">
        <v>0</v>
      </c>
      <c r="O43" s="285">
        <v>0</v>
      </c>
      <c r="P43" s="285">
        <v>0</v>
      </c>
      <c r="Q43" s="285">
        <v>0</v>
      </c>
    </row>
    <row r="44" spans="2:59" s="224" customFormat="1" ht="5.25" customHeight="1">
      <c r="B44" s="251"/>
      <c r="E44" s="252"/>
      <c r="F44" s="252"/>
      <c r="G44" s="253"/>
      <c r="H44" s="254"/>
      <c r="I44" s="254"/>
      <c r="J44" s="254"/>
      <c r="K44" s="254"/>
      <c r="L44" s="254"/>
      <c r="O44" s="255"/>
      <c r="P44" s="255"/>
      <c r="Q44" s="255"/>
    </row>
    <row r="45" spans="2:59" ht="15.6">
      <c r="B45" s="449" t="s">
        <v>435</v>
      </c>
      <c r="E45" s="136">
        <f>+_xlfn.XLOOKUP($B45,Inputs!$B:$B,Inputs!O:O)</f>
        <v>1098</v>
      </c>
      <c r="F45" s="136">
        <f>+_xlfn.XLOOKUP($B45,Inputs!$B:$B,Inputs!P:P)</f>
        <v>0</v>
      </c>
      <c r="G45" s="275">
        <f>+_xlfn.XLOOKUP($B45,Inputs!$B:$B,Inputs!Q:Q)</f>
        <v>1529</v>
      </c>
      <c r="H45" s="143">
        <f t="shared" ref="H45:Q45" si="16">IFERROR(AVERAGE(E45:G45)*(1+H31),"")</f>
        <v>936.58420468853433</v>
      </c>
      <c r="I45" s="143">
        <f t="shared" si="16"/>
        <v>879.24087419594491</v>
      </c>
      <c r="J45" s="143">
        <f t="shared" si="16"/>
        <v>1193.0203308245143</v>
      </c>
      <c r="K45" s="143">
        <f t="shared" si="16"/>
        <v>1073.3710341527494</v>
      </c>
      <c r="L45" s="143">
        <f t="shared" si="16"/>
        <v>1122.3389853648712</v>
      </c>
      <c r="M45" s="143">
        <f t="shared" si="16"/>
        <v>1209.235738123898</v>
      </c>
      <c r="N45" s="143">
        <f t="shared" si="16"/>
        <v>1215.163833455171</v>
      </c>
      <c r="O45" s="143">
        <f t="shared" si="16"/>
        <v>1205.3816421078379</v>
      </c>
      <c r="P45" s="143">
        <f t="shared" si="16"/>
        <v>1233.6500725556352</v>
      </c>
      <c r="Q45" s="143">
        <f t="shared" si="16"/>
        <v>1241.9898680632948</v>
      </c>
    </row>
    <row r="46" spans="2:59" ht="5.25" customHeight="1">
      <c r="B46" s="184"/>
      <c r="E46" s="136"/>
      <c r="F46" s="136"/>
      <c r="G46" s="250"/>
      <c r="H46" s="146"/>
      <c r="I46" s="146"/>
      <c r="J46" s="146"/>
      <c r="K46" s="146"/>
      <c r="L46" s="146"/>
      <c r="O46" s="145"/>
      <c r="P46" s="145"/>
      <c r="Q46" s="145"/>
    </row>
    <row r="47" spans="2:59" ht="15.6">
      <c r="B47" s="184" t="s">
        <v>223</v>
      </c>
      <c r="E47" s="136">
        <f>+_xlfn.XLOOKUP($B47,Inputs!$B:$B,Inputs!O:O)</f>
        <v>6186</v>
      </c>
      <c r="F47" s="136">
        <f>+_xlfn.XLOOKUP($B47,Inputs!$B:$B,Inputs!P:P)</f>
        <v>6818</v>
      </c>
      <c r="G47" s="275">
        <f>+_xlfn.XLOOKUP($B47,Inputs!$B:$B,Inputs!Q:Q)</f>
        <v>7730</v>
      </c>
      <c r="H47" s="143">
        <f t="shared" ref="H47:Q47" si="17">IFERROR(H36-H39-H42-H45,"")</f>
        <v>13121.922979878853</v>
      </c>
      <c r="I47" s="143">
        <f t="shared" si="17"/>
        <v>14178.924988504805</v>
      </c>
      <c r="J47" s="143">
        <f t="shared" si="17"/>
        <v>14930.750838061515</v>
      </c>
      <c r="K47" s="143">
        <f t="shared" si="17"/>
        <v>16167.700011202056</v>
      </c>
      <c r="L47" s="143">
        <f t="shared" si="17"/>
        <v>17338.485695167459</v>
      </c>
      <c r="M47" s="143">
        <f t="shared" si="17"/>
        <v>18554.599277671558</v>
      </c>
      <c r="N47" s="143">
        <f t="shared" si="17"/>
        <v>19941.670324130133</v>
      </c>
      <c r="O47" s="143">
        <f t="shared" si="17"/>
        <v>20367.25949575031</v>
      </c>
      <c r="P47" s="143">
        <f t="shared" si="17"/>
        <v>20761.871640291334</v>
      </c>
      <c r="Q47" s="143">
        <f t="shared" si="17"/>
        <v>21185.002067168967</v>
      </c>
    </row>
    <row r="48" spans="2:59" s="258" customFormat="1" ht="14.45">
      <c r="B48" s="258" t="s">
        <v>29</v>
      </c>
      <c r="E48" s="260">
        <f t="shared" ref="E48:Q48" si="18">IFERROR(E47/E$30,"")</f>
        <v>0.3513574917641713</v>
      </c>
      <c r="F48" s="260">
        <f t="shared" si="18"/>
        <v>0.35128033386573237</v>
      </c>
      <c r="G48" s="264">
        <f t="shared" si="18"/>
        <v>0.35945129039758195</v>
      </c>
      <c r="H48" s="805">
        <f t="shared" si="18"/>
        <v>0.57049261420694641</v>
      </c>
      <c r="I48" s="260">
        <f t="shared" si="18"/>
        <v>0.57621765666696501</v>
      </c>
      <c r="J48" s="260">
        <f t="shared" si="18"/>
        <v>0.56706026491472539</v>
      </c>
      <c r="K48" s="260">
        <f t="shared" si="18"/>
        <v>0.57375245856401258</v>
      </c>
      <c r="L48" s="260">
        <f t="shared" si="18"/>
        <v>0.57484416239423164</v>
      </c>
      <c r="M48" s="260">
        <f t="shared" si="18"/>
        <v>0.57463929939248626</v>
      </c>
      <c r="N48" s="260">
        <f t="shared" si="18"/>
        <v>0.57684533471188348</v>
      </c>
      <c r="O48" s="260">
        <f t="shared" si="18"/>
        <v>0.57784824374518973</v>
      </c>
      <c r="P48" s="260">
        <f t="shared" si="18"/>
        <v>0.57771668146849497</v>
      </c>
      <c r="Q48" s="260">
        <f t="shared" si="18"/>
        <v>0.57813517475267917</v>
      </c>
    </row>
    <row r="49" spans="2:17" ht="3.75" customHeight="1">
      <c r="B49" s="138"/>
      <c r="E49" s="140"/>
      <c r="F49" s="140"/>
      <c r="G49" s="148"/>
      <c r="H49" s="140"/>
      <c r="I49" s="140"/>
      <c r="J49" s="140"/>
      <c r="K49" s="140"/>
      <c r="L49" s="140"/>
      <c r="O49" s="145"/>
      <c r="P49" s="145"/>
      <c r="Q49" s="145"/>
    </row>
    <row r="50" spans="2:17" ht="13.5" customHeight="1">
      <c r="B50" s="257" t="s">
        <v>436</v>
      </c>
      <c r="E50" s="136">
        <f>+_xlfn.XLOOKUP($B50,Inputs!$B:$B,Inputs!O:O)</f>
        <v>856</v>
      </c>
      <c r="F50" s="136">
        <f>+_xlfn.XLOOKUP($B50,Inputs!$B:$B,Inputs!P:P)</f>
        <v>872</v>
      </c>
      <c r="G50" s="275">
        <f>+_xlfn.XLOOKUP($B50,Inputs!$B:$B,Inputs!Q:Q)</f>
        <v>857</v>
      </c>
      <c r="H50" s="160">
        <f t="shared" ref="H50:Q50" si="19">+IFERROR(H53+H56,"")</f>
        <v>824.38942744782605</v>
      </c>
      <c r="I50" s="160">
        <f t="shared" si="19"/>
        <v>1058.7376292629597</v>
      </c>
      <c r="J50" s="160">
        <f t="shared" si="19"/>
        <v>1291.6228657794725</v>
      </c>
      <c r="K50" s="160">
        <f t="shared" si="19"/>
        <v>1549.3725154035371</v>
      </c>
      <c r="L50" s="160">
        <f t="shared" si="19"/>
        <v>1824.5213701120763</v>
      </c>
      <c r="M50" s="160">
        <f t="shared" si="19"/>
        <v>2118.0589525178066</v>
      </c>
      <c r="N50" s="160">
        <f t="shared" si="19"/>
        <v>2435.5250682775536</v>
      </c>
      <c r="O50" s="160">
        <f t="shared" si="19"/>
        <v>2774.4160146615814</v>
      </c>
      <c r="P50" s="160">
        <f t="shared" si="19"/>
        <v>2869.2851654090541</v>
      </c>
      <c r="Q50" s="160">
        <f t="shared" si="19"/>
        <v>2966.4388244439424</v>
      </c>
    </row>
    <row r="51" spans="2:17" ht="13.5" customHeight="1">
      <c r="B51" s="267" t="s">
        <v>437</v>
      </c>
      <c r="E51" s="278">
        <f>IFERROR(E50/AVERAGE(Inputs!O39+Inputs!O42+Inputs!O44,Inputs!N39+Inputs!N42+Inputs!N44),"")</f>
        <v>5.7378422763682678E-2</v>
      </c>
      <c r="F51" s="278">
        <f>IFERROR(F50/AVERAGE(Inputs!P39+Inputs!P42+Inputs!P44,Inputs!O39+Inputs!O42+Inputs!O44),"")</f>
        <v>5.7567255322660507E-2</v>
      </c>
      <c r="G51" s="273">
        <f>IFERROR(G50/AVERAGE(Inputs!Q39+Inputs!Q42+Inputs!Q44,Inputs!P39+Inputs!P42+Inputs!P44),"")</f>
        <v>5.6634945810203542E-2</v>
      </c>
      <c r="H51" s="140">
        <f t="shared" ref="H51:Q51" si="20">IFERROR(H50/(G99+G105),"")</f>
        <v>0.2494370431007038</v>
      </c>
      <c r="I51" s="140">
        <f t="shared" si="20"/>
        <v>0.26501581522807888</v>
      </c>
      <c r="J51" s="140">
        <f t="shared" si="20"/>
        <v>0.29222576767827618</v>
      </c>
      <c r="K51" s="140">
        <f t="shared" si="20"/>
        <v>0.32991969540404664</v>
      </c>
      <c r="L51" s="140">
        <f t="shared" si="20"/>
        <v>0.37392935950253908</v>
      </c>
      <c r="M51" s="140">
        <f t="shared" si="20"/>
        <v>0.43528407862046564</v>
      </c>
      <c r="N51" s="140">
        <f t="shared" si="20"/>
        <v>0.51985948205606003</v>
      </c>
      <c r="O51" s="140">
        <f t="shared" si="20"/>
        <v>0.6408222540671159</v>
      </c>
      <c r="P51" s="140">
        <f t="shared" si="20"/>
        <v>1.2854249364982762</v>
      </c>
      <c r="Q51" s="140">
        <f t="shared" si="20"/>
        <v>55.713305572222431</v>
      </c>
    </row>
    <row r="52" spans="2:17" ht="5.25" customHeight="1">
      <c r="B52" s="138"/>
      <c r="E52" s="140"/>
      <c r="F52" s="140"/>
      <c r="G52" s="148"/>
      <c r="H52" s="140"/>
      <c r="I52" s="140"/>
      <c r="J52" s="140"/>
      <c r="K52" s="140"/>
      <c r="L52" s="140"/>
      <c r="O52" s="145"/>
      <c r="P52" s="145"/>
      <c r="Q52" s="145"/>
    </row>
    <row r="53" spans="2:17" s="138" customFormat="1" ht="15.6">
      <c r="B53" s="281" t="s">
        <v>438</v>
      </c>
      <c r="E53" s="282">
        <f>+_xlfn.XLOOKUP($B53,Inputs!$B:$B,Inputs!O:O)</f>
        <v>687</v>
      </c>
      <c r="F53" s="282">
        <f>+_xlfn.XLOOKUP($B53,Inputs!$B:$B,Inputs!P:P)</f>
        <v>704</v>
      </c>
      <c r="G53" s="299">
        <f>+_xlfn.XLOOKUP($B53,Inputs!$B:$B,Inputs!Q:Q)</f>
        <v>690</v>
      </c>
      <c r="H53" s="283">
        <f t="shared" ref="H53:Q53" si="21">IFERROR(H54*(G100+G101),"")</f>
        <v>688.18517345114708</v>
      </c>
      <c r="I53" s="283">
        <f t="shared" si="21"/>
        <v>919.32384172405887</v>
      </c>
      <c r="J53" s="283">
        <f t="shared" si="21"/>
        <v>1152.8843174670715</v>
      </c>
      <c r="K53" s="283">
        <f t="shared" si="21"/>
        <v>1411.2536521208769</v>
      </c>
      <c r="L53" s="283">
        <f t="shared" si="21"/>
        <v>1685.764303734089</v>
      </c>
      <c r="M53" s="283">
        <f t="shared" si="21"/>
        <v>1979.5207931934572</v>
      </c>
      <c r="N53" s="283">
        <f t="shared" si="21"/>
        <v>2297.0537052825543</v>
      </c>
      <c r="O53" s="283">
        <f t="shared" si="21"/>
        <v>2635.8271517624694</v>
      </c>
      <c r="P53" s="283">
        <f t="shared" si="21"/>
        <v>2730.752370336234</v>
      </c>
      <c r="Q53" s="283">
        <f t="shared" si="21"/>
        <v>2827.9078174549654</v>
      </c>
    </row>
    <row r="54" spans="2:17" s="258" customFormat="1" ht="14.45">
      <c r="B54" s="280" t="s">
        <v>439</v>
      </c>
      <c r="E54" s="278">
        <f>IFERROR(E53/AVERAGE(Inputs!O40+Inputs!O42,Inputs!N40+Inputs!N42),"")</f>
        <v>0.18562550661983249</v>
      </c>
      <c r="F54" s="278">
        <f>IFERROR(F53/AVERAGE(Inputs!P40+Inputs!P42,Inputs!O40+Inputs!O42),"")</f>
        <v>0.17593402474072223</v>
      </c>
      <c r="G54" s="273">
        <f>IFERROR(G53/AVERAGE(Inputs!Q40+Inputs!Q42,Inputs!P40+Inputs!P42),"")</f>
        <v>0.17164179104477612</v>
      </c>
      <c r="H54" s="285">
        <f t="shared" ref="H54:Q54" si="22">IFERROR(AVERAGE(E54:G54),"")</f>
        <v>0.1777337741351103</v>
      </c>
      <c r="I54" s="285">
        <f t="shared" si="22"/>
        <v>0.17510319664020288</v>
      </c>
      <c r="J54" s="285">
        <f t="shared" si="22"/>
        <v>0.17482625394002979</v>
      </c>
      <c r="K54" s="285">
        <f t="shared" si="22"/>
        <v>0.175887741571781</v>
      </c>
      <c r="L54" s="285">
        <f t="shared" si="22"/>
        <v>0.17527239738400455</v>
      </c>
      <c r="M54" s="285">
        <f t="shared" si="22"/>
        <v>0.17532879763193845</v>
      </c>
      <c r="N54" s="285">
        <f t="shared" si="22"/>
        <v>0.175496312195908</v>
      </c>
      <c r="O54" s="285">
        <f t="shared" si="22"/>
        <v>0.17536583573728368</v>
      </c>
      <c r="P54" s="285">
        <f t="shared" si="22"/>
        <v>0.17539698185504338</v>
      </c>
      <c r="Q54" s="285">
        <f t="shared" si="22"/>
        <v>0.17541970992941169</v>
      </c>
    </row>
    <row r="55" spans="2:17" ht="3.75" customHeight="1">
      <c r="B55" s="138"/>
      <c r="E55" s="140"/>
      <c r="F55" s="140"/>
      <c r="G55" s="148"/>
      <c r="H55" s="146"/>
      <c r="I55" s="146"/>
      <c r="J55" s="146"/>
      <c r="K55" s="146"/>
      <c r="L55" s="146"/>
      <c r="M55" s="146"/>
      <c r="N55" s="146"/>
      <c r="O55" s="146"/>
      <c r="P55" s="146"/>
      <c r="Q55" s="146"/>
    </row>
    <row r="56" spans="2:17" s="138" customFormat="1" ht="15.6">
      <c r="B56" s="281" t="s">
        <v>440</v>
      </c>
      <c r="E56" s="282">
        <f>+_xlfn.XLOOKUP($B56,Inputs!$B:$B,Inputs!O:O)</f>
        <v>169</v>
      </c>
      <c r="F56" s="282">
        <f>+_xlfn.XLOOKUP($B56,Inputs!$B:$B,Inputs!P:P)</f>
        <v>168</v>
      </c>
      <c r="G56" s="299">
        <f>+_xlfn.XLOOKUP($B56,Inputs!$B:$B,Inputs!Q:Q)</f>
        <v>167</v>
      </c>
      <c r="H56" s="160">
        <f t="shared" ref="H56:Q56" si="23">+H57*(G105+1)</f>
        <v>136.204253996679</v>
      </c>
      <c r="I56" s="160">
        <f t="shared" si="23"/>
        <v>139.41378753890072</v>
      </c>
      <c r="J56" s="160">
        <f t="shared" si="23"/>
        <v>138.73854831240104</v>
      </c>
      <c r="K56" s="160">
        <f t="shared" si="23"/>
        <v>138.11886328266024</v>
      </c>
      <c r="L56" s="160">
        <f t="shared" si="23"/>
        <v>138.75706637798731</v>
      </c>
      <c r="M56" s="160">
        <f t="shared" si="23"/>
        <v>138.53815932434955</v>
      </c>
      <c r="N56" s="160">
        <f t="shared" si="23"/>
        <v>138.47136299499905</v>
      </c>
      <c r="O56" s="160">
        <f t="shared" si="23"/>
        <v>138.58886289911197</v>
      </c>
      <c r="P56" s="160">
        <f t="shared" si="23"/>
        <v>138.53279507282019</v>
      </c>
      <c r="Q56" s="160">
        <f t="shared" si="23"/>
        <v>138.53100698897708</v>
      </c>
    </row>
    <row r="57" spans="2:17" s="258" customFormat="1" ht="14.45">
      <c r="B57" s="280" t="s">
        <v>441</v>
      </c>
      <c r="E57" s="260">
        <f>IFERROR(E56/AVERAGE(Inputs!N45:O45),"")</f>
        <v>0.11623108665749655</v>
      </c>
      <c r="F57" s="260">
        <f>IFERROR(F56/AVERAGE(Inputs!O45:P45),"")</f>
        <v>0.12988017008117511</v>
      </c>
      <c r="G57" s="273">
        <f>IFERROR(G56/AVERAGE(Inputs!P45:Q45),"")</f>
        <v>0.12910707383069192</v>
      </c>
      <c r="H57" s="285">
        <f t="shared" ref="H57:Q57" si="24">AVERAGE(E57:G57)</f>
        <v>0.12507277685645454</v>
      </c>
      <c r="I57" s="285">
        <f t="shared" si="24"/>
        <v>0.12802000692277385</v>
      </c>
      <c r="J57" s="285">
        <f t="shared" si="24"/>
        <v>0.12739995253664008</v>
      </c>
      <c r="K57" s="285">
        <f t="shared" si="24"/>
        <v>0.12683091210528949</v>
      </c>
      <c r="L57" s="285">
        <f t="shared" si="24"/>
        <v>0.12741695718823445</v>
      </c>
      <c r="M57" s="285">
        <f t="shared" si="24"/>
        <v>0.12721594061005467</v>
      </c>
      <c r="N57" s="285">
        <f t="shared" si="24"/>
        <v>0.12715460330119288</v>
      </c>
      <c r="O57" s="285">
        <f t="shared" si="24"/>
        <v>0.127262500366494</v>
      </c>
      <c r="P57" s="285">
        <f t="shared" si="24"/>
        <v>0.1272110147592472</v>
      </c>
      <c r="Q57" s="285">
        <f t="shared" si="24"/>
        <v>0.12720937280897804</v>
      </c>
    </row>
    <row r="58" spans="2:17" ht="3.95" customHeight="1">
      <c r="G58" s="144"/>
    </row>
    <row r="59" spans="2:17" ht="15.6">
      <c r="B59" s="110" t="s">
        <v>278</v>
      </c>
      <c r="E59" s="136">
        <f>+_xlfn.XLOOKUP($B59,Inputs!$B:$B,Inputs!O:O)</f>
        <v>6098</v>
      </c>
      <c r="F59" s="136">
        <f>+_xlfn.XLOOKUP($B59,Inputs!$B:$B,Inputs!P:P)</f>
        <v>5946</v>
      </c>
      <c r="G59" s="275">
        <f>+_xlfn.XLOOKUP($B59,Inputs!$B:$B,Inputs!Q:Q)</f>
        <v>6873</v>
      </c>
      <c r="H59" s="147">
        <f t="shared" ref="H59:Q59" si="25">+IFERROR(H47-H50,"")</f>
        <v>12297.533552431027</v>
      </c>
      <c r="I59" s="147">
        <f t="shared" si="25"/>
        <v>13120.187359241845</v>
      </c>
      <c r="J59" s="147">
        <f t="shared" si="25"/>
        <v>13639.127972282042</v>
      </c>
      <c r="K59" s="147">
        <f t="shared" si="25"/>
        <v>14618.32749579852</v>
      </c>
      <c r="L59" s="147">
        <f t="shared" si="25"/>
        <v>15513.964325055384</v>
      </c>
      <c r="M59" s="147">
        <f t="shared" si="25"/>
        <v>16436.54032515375</v>
      </c>
      <c r="N59" s="147">
        <f t="shared" si="25"/>
        <v>17506.145255852578</v>
      </c>
      <c r="O59" s="147">
        <f t="shared" si="25"/>
        <v>17592.843481088727</v>
      </c>
      <c r="P59" s="147">
        <f t="shared" si="25"/>
        <v>17892.586474882279</v>
      </c>
      <c r="Q59" s="147">
        <f t="shared" si="25"/>
        <v>18218.563242725024</v>
      </c>
    </row>
    <row r="60" spans="2:17" s="268" customFormat="1" ht="14.45">
      <c r="B60" s="258" t="s">
        <v>234</v>
      </c>
      <c r="E60" s="260">
        <f>IFERROR(E59/E$30,"")</f>
        <v>0.34635919572872886</v>
      </c>
      <c r="F60" s="260">
        <f>IFERROR(F59/F$30,"")</f>
        <v>0.30635272296357358</v>
      </c>
      <c r="G60" s="264">
        <f>IFERROR(G59/G$30,"")</f>
        <v>0.31960009300162751</v>
      </c>
      <c r="H60" s="260">
        <f t="shared" ref="H60:Q60" si="26">IFERROR(H59/H30,"")</f>
        <v>0.53465121502250923</v>
      </c>
      <c r="I60" s="260">
        <f t="shared" si="26"/>
        <v>0.53319159395391491</v>
      </c>
      <c r="J60" s="260">
        <f t="shared" si="26"/>
        <v>0.51800526343605113</v>
      </c>
      <c r="K60" s="260">
        <f t="shared" si="26"/>
        <v>0.51876898600277255</v>
      </c>
      <c r="L60" s="260">
        <f t="shared" si="26"/>
        <v>0.51435355916555547</v>
      </c>
      <c r="M60" s="260">
        <f t="shared" si="26"/>
        <v>0.50904263010674811</v>
      </c>
      <c r="N60" s="260">
        <f t="shared" si="26"/>
        <v>0.50639380029303671</v>
      </c>
      <c r="O60" s="260">
        <f t="shared" si="26"/>
        <v>0.49913409853457685</v>
      </c>
      <c r="P60" s="260">
        <f t="shared" si="26"/>
        <v>0.49787638900035208</v>
      </c>
      <c r="Q60" s="260">
        <f t="shared" si="26"/>
        <v>0.49718155375583145</v>
      </c>
    </row>
    <row r="61" spans="2:17" customFormat="1" ht="3.75" customHeight="1">
      <c r="B61" s="110"/>
      <c r="E61" s="260"/>
      <c r="F61" s="260"/>
      <c r="G61" s="265"/>
      <c r="H61" s="91"/>
      <c r="I61" s="91"/>
      <c r="J61" s="91"/>
      <c r="K61" s="91"/>
      <c r="L61" s="91"/>
      <c r="M61" s="91"/>
      <c r="N61" s="91"/>
      <c r="O61" s="91"/>
      <c r="P61" s="91"/>
      <c r="Q61" s="91"/>
    </row>
    <row r="62" spans="2:17" customFormat="1" ht="13.5" customHeight="1">
      <c r="B62" s="257" t="s">
        <v>279</v>
      </c>
      <c r="E62" s="136">
        <f>+_xlfn.XLOOKUP($B62,Inputs!$B:$B,Inputs!O:O)</f>
        <v>51</v>
      </c>
      <c r="F62" s="136">
        <f>+_xlfn.XLOOKUP($B62,Inputs!$B:$B,Inputs!P:P)</f>
        <v>-156</v>
      </c>
      <c r="G62" s="275">
        <f>+_xlfn.XLOOKUP($B62,Inputs!$B:$B,Inputs!Q:Q)</f>
        <v>-172</v>
      </c>
      <c r="H62" s="147">
        <f t="shared" ref="H62:Q62" si="27">-H65-H68</f>
        <v>0</v>
      </c>
      <c r="I62" s="147">
        <f t="shared" si="27"/>
        <v>0</v>
      </c>
      <c r="J62" s="147">
        <f t="shared" si="27"/>
        <v>0</v>
      </c>
      <c r="K62" s="147">
        <f t="shared" si="27"/>
        <v>0</v>
      </c>
      <c r="L62" s="147">
        <f t="shared" si="27"/>
        <v>0</v>
      </c>
      <c r="M62" s="147">
        <f t="shared" si="27"/>
        <v>0</v>
      </c>
      <c r="N62" s="147">
        <f t="shared" si="27"/>
        <v>0</v>
      </c>
      <c r="O62" s="147">
        <f t="shared" si="27"/>
        <v>0</v>
      </c>
      <c r="P62" s="147">
        <f t="shared" si="27"/>
        <v>0</v>
      </c>
      <c r="Q62" s="147">
        <f t="shared" si="27"/>
        <v>0</v>
      </c>
    </row>
    <row r="63" spans="2:17" customFormat="1" ht="13.5" customHeight="1">
      <c r="B63" s="280" t="s">
        <v>442</v>
      </c>
      <c r="E63" s="278">
        <f>IFERROR(E62/AVERAGE(Inputs!N118:O118),"")</f>
        <v>1.0481715295826297E-2</v>
      </c>
      <c r="F63" s="278">
        <f>IFERROR(F62/AVERAGE(Inputs!O118:P118),"")</f>
        <v>-3.2587408409651332E-2</v>
      </c>
      <c r="G63" s="273">
        <f>IFERROR(G62/AVERAGE(Inputs!P118:Q118),"")</f>
        <v>-3.3526703301477681E-2</v>
      </c>
      <c r="H63" s="278">
        <f t="shared" ref="H63:Q63" si="28">IFERROR(H62/AVERAGE(G116+G118,H116+H118),"")</f>
        <v>0</v>
      </c>
      <c r="I63" s="278">
        <f t="shared" si="28"/>
        <v>0</v>
      </c>
      <c r="J63" s="278">
        <f t="shared" si="28"/>
        <v>0</v>
      </c>
      <c r="K63" s="278">
        <f t="shared" si="28"/>
        <v>0</v>
      </c>
      <c r="L63" s="278">
        <f t="shared" si="28"/>
        <v>0</v>
      </c>
      <c r="M63" s="278">
        <f t="shared" si="28"/>
        <v>0</v>
      </c>
      <c r="N63" s="278">
        <f t="shared" si="28"/>
        <v>0</v>
      </c>
      <c r="O63" s="278">
        <f t="shared" si="28"/>
        <v>0</v>
      </c>
      <c r="P63" s="278">
        <f t="shared" si="28"/>
        <v>0</v>
      </c>
      <c r="Q63" s="278">
        <f t="shared" si="28"/>
        <v>0</v>
      </c>
    </row>
    <row r="64" spans="2:17" customFormat="1" ht="3.75" customHeight="1">
      <c r="B64" s="110"/>
      <c r="E64" s="260"/>
      <c r="F64" s="260"/>
      <c r="G64" s="264"/>
      <c r="H64" s="91"/>
      <c r="I64" s="91"/>
      <c r="J64" s="91"/>
      <c r="K64" s="91"/>
      <c r="L64" s="91"/>
      <c r="M64" s="91"/>
      <c r="N64" s="91"/>
      <c r="O64" s="91"/>
      <c r="P64" s="91"/>
      <c r="Q64" s="91"/>
    </row>
    <row r="65" spans="2:17" customFormat="1" ht="15.6">
      <c r="B65" s="279" t="s">
        <v>443</v>
      </c>
      <c r="E65" s="136">
        <f>+_xlfn.XLOOKUP($B65,Inputs!$B:$B,Inputs!O:O)</f>
        <v>112</v>
      </c>
      <c r="F65" s="136">
        <f>+_xlfn.XLOOKUP($B65,Inputs!$B:$B,Inputs!P:P)</f>
        <v>113</v>
      </c>
      <c r="G65" s="275">
        <f>+_xlfn.XLOOKUP($B65,Inputs!$B:$B,Inputs!Q:Q)</f>
        <v>169</v>
      </c>
      <c r="H65" s="147"/>
      <c r="I65" s="147"/>
      <c r="J65" s="147"/>
      <c r="K65" s="147"/>
      <c r="L65" s="147"/>
      <c r="M65" s="147"/>
      <c r="N65" s="147"/>
      <c r="O65" s="147"/>
      <c r="P65" s="147"/>
      <c r="Q65" s="147"/>
    </row>
    <row r="66" spans="2:17" s="268" customFormat="1" ht="14.45">
      <c r="B66" s="280" t="s">
        <v>444</v>
      </c>
      <c r="E66" s="278">
        <f>+IFERROR(E65/AVERAGE(Inputs!N115:O115),"")</f>
        <v>0.21252371916508539</v>
      </c>
      <c r="F66" s="278">
        <f>+IFERROR(F65/AVERAGE(Inputs!O115:P115),"")</f>
        <v>0.23789473684210527</v>
      </c>
      <c r="G66" s="273">
        <f>+IFERROR(G65/AVERAGE(Inputs!P115:Q115),"")</f>
        <v>0.38672768878718533</v>
      </c>
      <c r="H66" s="287">
        <f t="shared" ref="H66:Q66" si="29">AVERAGE(E66:G67)</f>
        <v>0.27904871493145866</v>
      </c>
      <c r="I66" s="287">
        <f t="shared" si="29"/>
        <v>0.30122371352024974</v>
      </c>
      <c r="J66" s="287">
        <f t="shared" si="29"/>
        <v>0.32233337241296461</v>
      </c>
      <c r="K66" s="287">
        <f t="shared" si="29"/>
        <v>0.30086860028822437</v>
      </c>
      <c r="L66" s="287">
        <f t="shared" si="29"/>
        <v>0.30814189540714626</v>
      </c>
      <c r="M66" s="287">
        <f t="shared" si="29"/>
        <v>0.31044795603611175</v>
      </c>
      <c r="N66" s="287">
        <f t="shared" si="29"/>
        <v>0.30648615057716078</v>
      </c>
      <c r="O66" s="287">
        <f t="shared" si="29"/>
        <v>0.30835866734013956</v>
      </c>
      <c r="P66" s="287">
        <f t="shared" si="29"/>
        <v>0.30843092465113736</v>
      </c>
      <c r="Q66" s="287">
        <f t="shared" si="29"/>
        <v>0.30775858085614588</v>
      </c>
    </row>
    <row r="67" spans="2:17" customFormat="1" ht="3.75" customHeight="1">
      <c r="B67" s="239"/>
      <c r="E67" s="260"/>
      <c r="F67" s="260"/>
      <c r="G67" s="265"/>
      <c r="H67" s="91"/>
      <c r="I67" s="91"/>
      <c r="J67" s="91"/>
      <c r="K67" s="91"/>
      <c r="L67" s="91"/>
      <c r="M67" s="91"/>
      <c r="N67" s="91"/>
      <c r="O67" s="91"/>
      <c r="P67" s="91"/>
      <c r="Q67" s="91"/>
    </row>
    <row r="68" spans="2:17" customFormat="1" ht="15.6">
      <c r="B68" s="279" t="s">
        <v>445</v>
      </c>
      <c r="E68" s="136">
        <f>+_xlfn.XLOOKUP($B68,Inputs!$B:$B,Inputs!O:O)</f>
        <v>61</v>
      </c>
      <c r="F68" s="136">
        <f>+_xlfn.XLOOKUP($B68,Inputs!$B:$B,Inputs!P:P)</f>
        <v>269</v>
      </c>
      <c r="G68" s="275">
        <f>+_xlfn.XLOOKUP($B68,Inputs!$B:$B,Inputs!Q:Q)</f>
        <v>341</v>
      </c>
      <c r="H68" s="147"/>
      <c r="I68" s="147"/>
      <c r="J68" s="147"/>
      <c r="K68" s="147"/>
      <c r="L68" s="147"/>
      <c r="M68" s="147"/>
      <c r="N68" s="147"/>
      <c r="O68" s="147"/>
      <c r="P68" s="147"/>
      <c r="Q68" s="147"/>
    </row>
    <row r="69" spans="2:17" s="268" customFormat="1" ht="14.45">
      <c r="B69" s="280" t="s">
        <v>446</v>
      </c>
      <c r="E69" s="260">
        <f>IFERROR(E68/+AVERAGE(Inputs!N32:O32),"")</f>
        <v>1.0257272574407264E-2</v>
      </c>
      <c r="F69" s="260">
        <f>IFERROR(F68/+AVERAGE(Inputs!O32:P32),"")</f>
        <v>3.8599512125125558E-2</v>
      </c>
      <c r="G69" s="273">
        <f>IFERROR(G68/+AVERAGE(Inputs!P32:Q32),"")</f>
        <v>4.3362156663275683E-2</v>
      </c>
      <c r="H69" s="287">
        <f t="shared" ref="H69:Q69" si="30">AVERAGE(F69:G69)</f>
        <v>4.0980834394200624E-2</v>
      </c>
      <c r="I69" s="287">
        <f t="shared" si="30"/>
        <v>4.2171495528738154E-2</v>
      </c>
      <c r="J69" s="287">
        <f t="shared" si="30"/>
        <v>4.1576164961469389E-2</v>
      </c>
      <c r="K69" s="287">
        <f t="shared" si="30"/>
        <v>4.1873830245103771E-2</v>
      </c>
      <c r="L69" s="287">
        <f t="shared" si="30"/>
        <v>4.172499760328658E-2</v>
      </c>
      <c r="M69" s="287">
        <f t="shared" si="30"/>
        <v>4.1799413924195172E-2</v>
      </c>
      <c r="N69" s="287">
        <f t="shared" si="30"/>
        <v>4.1762205763740873E-2</v>
      </c>
      <c r="O69" s="287">
        <f t="shared" si="30"/>
        <v>4.1780809843968023E-2</v>
      </c>
      <c r="P69" s="287">
        <f t="shared" si="30"/>
        <v>4.1771507803854448E-2</v>
      </c>
      <c r="Q69" s="287">
        <f t="shared" si="30"/>
        <v>4.1776158823911239E-2</v>
      </c>
    </row>
    <row r="70" spans="2:17" s="268" customFormat="1" ht="3.75" customHeight="1">
      <c r="B70" s="267"/>
      <c r="E70" s="260"/>
      <c r="F70" s="260"/>
      <c r="G70" s="264"/>
      <c r="H70" s="266"/>
      <c r="I70" s="266"/>
      <c r="J70" s="266"/>
      <c r="K70" s="266"/>
      <c r="L70" s="266"/>
      <c r="M70" s="266"/>
      <c r="N70" s="266"/>
      <c r="O70" s="266"/>
      <c r="P70" s="266"/>
      <c r="Q70" s="266"/>
    </row>
    <row r="71" spans="2:17" s="268" customFormat="1" ht="15.6">
      <c r="B71" s="257" t="s">
        <v>447</v>
      </c>
      <c r="E71" s="275">
        <f>+_xlfn.XLOOKUP($B71,Inputs!$B:$B,Inputs!O:O)</f>
        <v>21</v>
      </c>
      <c r="F71" s="275">
        <f>+_xlfn.XLOOKUP($B71,Inputs!$B:$B,Inputs!P:P)</f>
        <v>17</v>
      </c>
      <c r="G71" s="275">
        <f>+_xlfn.XLOOKUP($B71,Inputs!$B:$B,Inputs!Q:Q)</f>
        <v>29</v>
      </c>
      <c r="H71" s="147">
        <f t="shared" ref="H71:Q71" si="31">+H72*H$17</f>
        <v>0</v>
      </c>
      <c r="I71" s="147">
        <f t="shared" si="31"/>
        <v>0</v>
      </c>
      <c r="J71" s="147">
        <f t="shared" si="31"/>
        <v>0</v>
      </c>
      <c r="K71" s="147">
        <f t="shared" si="31"/>
        <v>0</v>
      </c>
      <c r="L71" s="147">
        <f t="shared" si="31"/>
        <v>0</v>
      </c>
      <c r="M71" s="147">
        <f t="shared" si="31"/>
        <v>0</v>
      </c>
      <c r="N71" s="147">
        <f t="shared" si="31"/>
        <v>0</v>
      </c>
      <c r="O71" s="147">
        <f t="shared" si="31"/>
        <v>0</v>
      </c>
      <c r="P71" s="147">
        <f t="shared" si="31"/>
        <v>0</v>
      </c>
      <c r="Q71" s="147">
        <f t="shared" si="31"/>
        <v>0</v>
      </c>
    </row>
    <row r="72" spans="2:17" s="268" customFormat="1" ht="14.45">
      <c r="B72" s="280" t="s">
        <v>433</v>
      </c>
      <c r="E72" s="260"/>
      <c r="F72" s="260"/>
      <c r="G72" s="264"/>
      <c r="H72" s="287"/>
      <c r="I72" s="287"/>
      <c r="J72" s="287"/>
      <c r="K72" s="287"/>
      <c r="L72" s="287"/>
      <c r="M72" s="287"/>
      <c r="N72" s="287"/>
      <c r="O72" s="287"/>
      <c r="P72" s="287"/>
      <c r="Q72" s="287"/>
    </row>
    <row r="73" spans="2:17" s="268" customFormat="1" ht="5.25" customHeight="1">
      <c r="B73" s="280"/>
      <c r="E73" s="260"/>
      <c r="F73" s="260"/>
      <c r="G73" s="264"/>
      <c r="H73" s="266"/>
      <c r="I73" s="266"/>
      <c r="J73" s="266"/>
      <c r="K73" s="266"/>
      <c r="L73" s="266"/>
      <c r="M73" s="266"/>
      <c r="N73" s="266"/>
      <c r="O73" s="266"/>
      <c r="P73" s="266"/>
      <c r="Q73" s="266"/>
    </row>
    <row r="74" spans="2:17" s="268" customFormat="1" ht="15.6">
      <c r="B74" s="257" t="s">
        <v>448</v>
      </c>
      <c r="E74" s="275">
        <f>+_xlfn.XLOOKUP($B74,Inputs!$B:$B,Inputs!O:O)</f>
        <v>-284</v>
      </c>
      <c r="F74" s="275">
        <f>+_xlfn.XLOOKUP($B74,Inputs!$B:$B,Inputs!P:P)</f>
        <v>454</v>
      </c>
      <c r="G74" s="275">
        <f>+_xlfn.XLOOKUP($B74,Inputs!$B:$B,Inputs!Q:Q)</f>
        <v>-481</v>
      </c>
      <c r="H74" s="147">
        <f t="shared" ref="H74:Q74" si="32">IFERROR(AVERAGE(E74:G74)*(1+H31),"")</f>
        <v>-110.87844981276521</v>
      </c>
      <c r="I74" s="286">
        <f t="shared" si="32"/>
        <v>-49.16821275689167</v>
      </c>
      <c r="J74" s="286">
        <f t="shared" si="32"/>
        <v>-228.6462470880129</v>
      </c>
      <c r="K74" s="286">
        <f t="shared" si="32"/>
        <v>-138.66173019751312</v>
      </c>
      <c r="L74" s="286">
        <f t="shared" si="32"/>
        <v>-148.59571272822785</v>
      </c>
      <c r="M74" s="286">
        <f t="shared" si="32"/>
        <v>-184.09525541967037</v>
      </c>
      <c r="N74" s="286">
        <f t="shared" si="32"/>
        <v>-168.21729114051624</v>
      </c>
      <c r="O74" s="286">
        <f t="shared" si="32"/>
        <v>-170.23685575705406</v>
      </c>
      <c r="P74" s="286">
        <f t="shared" si="32"/>
        <v>-177.59833723635904</v>
      </c>
      <c r="Q74" s="286">
        <f t="shared" si="32"/>
        <v>-175.39618453457342</v>
      </c>
    </row>
    <row r="75" spans="2:17" ht="3.75" customHeight="1">
      <c r="B75" s="138"/>
      <c r="G75" s="133"/>
      <c r="H75" s="115"/>
      <c r="I75" s="115"/>
      <c r="J75" s="115"/>
      <c r="K75" s="115"/>
      <c r="L75" s="115"/>
      <c r="O75" s="115"/>
      <c r="P75" s="115"/>
      <c r="Q75" s="115"/>
    </row>
    <row r="76" spans="2:17" ht="13.5" customHeight="1">
      <c r="B76" s="184" t="s">
        <v>280</v>
      </c>
      <c r="E76" s="275">
        <f>+_xlfn.XLOOKUP($B76,Inputs!$B:$B,Inputs!O:O)</f>
        <v>6008</v>
      </c>
      <c r="F76" s="275">
        <f>+_xlfn.XLOOKUP($B76,Inputs!$B:$B,Inputs!P:P)</f>
        <v>6799</v>
      </c>
      <c r="G76" s="275">
        <f>+_xlfn.XLOOKUP($B76,Inputs!$B:$B,Inputs!Q:Q)</f>
        <v>6931</v>
      </c>
      <c r="H76" s="143">
        <f t="shared" ref="H76:Q76" si="33">IFERROR(+H59-H62-H71-H74,"")</f>
        <v>12408.412002243793</v>
      </c>
      <c r="I76" s="143">
        <f t="shared" si="33"/>
        <v>13169.355571998736</v>
      </c>
      <c r="J76" s="143">
        <f t="shared" si="33"/>
        <v>13867.774219370054</v>
      </c>
      <c r="K76" s="143">
        <f t="shared" si="33"/>
        <v>14756.989225996032</v>
      </c>
      <c r="L76" s="143">
        <f t="shared" si="33"/>
        <v>15662.560037783611</v>
      </c>
      <c r="M76" s="143">
        <f t="shared" si="33"/>
        <v>16620.63558057342</v>
      </c>
      <c r="N76" s="143">
        <f t="shared" si="33"/>
        <v>17674.362546993096</v>
      </c>
      <c r="O76" s="143">
        <f t="shared" si="33"/>
        <v>17763.080336845782</v>
      </c>
      <c r="P76" s="143">
        <f t="shared" si="33"/>
        <v>18070.184812118638</v>
      </c>
      <c r="Q76" s="143">
        <f t="shared" si="33"/>
        <v>18393.959427259597</v>
      </c>
    </row>
    <row r="77" spans="2:17" ht="5.25" customHeight="1">
      <c r="G77" s="133"/>
      <c r="H77" s="115"/>
      <c r="I77" s="115"/>
      <c r="J77" s="115"/>
      <c r="K77" s="115"/>
      <c r="L77" s="115"/>
      <c r="O77" s="115"/>
      <c r="P77" s="115"/>
      <c r="Q77" s="115"/>
    </row>
    <row r="78" spans="2:17" ht="15.6">
      <c r="B78" s="110" t="s">
        <v>449</v>
      </c>
      <c r="E78" s="136">
        <f>20.84</f>
        <v>20.84</v>
      </c>
      <c r="F78" s="136">
        <f>20.16</f>
        <v>20.16</v>
      </c>
      <c r="G78" s="275">
        <f>19.78</f>
        <v>19.78</v>
      </c>
      <c r="H78" s="806">
        <f t="shared" ref="H78:Q78" si="34">IFERROR(H79*H$59,"")</f>
        <v>38.071915127156267</v>
      </c>
      <c r="I78" s="143">
        <f t="shared" si="34"/>
        <v>38.988322383774332</v>
      </c>
      <c r="J78" s="143">
        <f t="shared" si="34"/>
        <v>40.559911358252585</v>
      </c>
      <c r="K78" s="143">
        <f t="shared" si="34"/>
        <v>44.056313847349713</v>
      </c>
      <c r="L78" s="143">
        <f t="shared" si="34"/>
        <v>46.330859965038456</v>
      </c>
      <c r="M78" s="143">
        <f t="shared" si="34"/>
        <v>49.166954059305191</v>
      </c>
      <c r="N78" s="143">
        <f t="shared" si="34"/>
        <v>52.468776025170264</v>
      </c>
      <c r="O78" s="143">
        <f t="shared" si="34"/>
        <v>52.631223546607892</v>
      </c>
      <c r="P78" s="143">
        <f t="shared" si="34"/>
        <v>53.559133478737927</v>
      </c>
      <c r="Q78" s="143">
        <f t="shared" si="34"/>
        <v>54.54735175545455</v>
      </c>
    </row>
    <row r="79" spans="2:17" s="258" customFormat="1" ht="14.45">
      <c r="B79" s="258" t="s">
        <v>450</v>
      </c>
      <c r="E79" s="260">
        <f>IFERROR(E78/E76,"")</f>
        <v>3.4687083888149135E-3</v>
      </c>
      <c r="F79" s="260">
        <f>IFERROR(F78/F76,"")</f>
        <v>2.9651419326371525E-3</v>
      </c>
      <c r="G79" s="273">
        <f>IFERROR(G78/G76,"")</f>
        <v>2.8538450440051943E-3</v>
      </c>
      <c r="H79" s="285">
        <f t="shared" ref="H79:Q79" si="35">IFERROR(AVERAGE(E79:G79),"")</f>
        <v>3.0958984551524202E-3</v>
      </c>
      <c r="I79" s="285">
        <f t="shared" si="35"/>
        <v>2.9716284772649225E-3</v>
      </c>
      <c r="J79" s="285">
        <f t="shared" si="35"/>
        <v>2.9737906588075125E-3</v>
      </c>
      <c r="K79" s="285">
        <f t="shared" si="35"/>
        <v>3.0137725304082851E-3</v>
      </c>
      <c r="L79" s="285">
        <f t="shared" si="35"/>
        <v>2.9863972221602399E-3</v>
      </c>
      <c r="M79" s="285">
        <f t="shared" si="35"/>
        <v>2.9913201371253458E-3</v>
      </c>
      <c r="N79" s="285">
        <f t="shared" si="35"/>
        <v>2.9971632965646237E-3</v>
      </c>
      <c r="O79" s="285">
        <f t="shared" si="35"/>
        <v>2.9916268852834033E-3</v>
      </c>
      <c r="P79" s="285">
        <f t="shared" si="35"/>
        <v>2.9933701063244579E-3</v>
      </c>
      <c r="Q79" s="285">
        <f t="shared" si="35"/>
        <v>2.9940534293908284E-3</v>
      </c>
    </row>
    <row r="80" spans="2:17" s="258" customFormat="1" ht="3.75" customHeight="1">
      <c r="E80" s="260"/>
      <c r="F80" s="260"/>
      <c r="G80" s="264"/>
      <c r="H80" s="278"/>
      <c r="I80" s="278"/>
      <c r="J80" s="278"/>
      <c r="K80" s="278"/>
      <c r="L80" s="278"/>
      <c r="M80" s="278"/>
      <c r="N80" s="278"/>
      <c r="O80" s="278"/>
      <c r="P80" s="278"/>
      <c r="Q80" s="278"/>
    </row>
    <row r="81" spans="1:17" s="258" customFormat="1" ht="15.6">
      <c r="B81" s="110" t="s">
        <v>282</v>
      </c>
      <c r="E81" s="136">
        <f>+_xlfn.XLOOKUP($B81,Inputs!$B:$B,Inputs!O:O)</f>
        <v>4756</v>
      </c>
      <c r="F81" s="136">
        <f>+_xlfn.XLOOKUP($B81,Inputs!$B:$B,Inputs!P:P)</f>
        <v>5428</v>
      </c>
      <c r="G81" s="275">
        <f>+_xlfn.XLOOKUP($B81,Inputs!$B:$B,Inputs!Q:Q)</f>
        <v>5560</v>
      </c>
      <c r="H81" s="143">
        <f t="shared" ref="H81:Q81" si="36">IFERROR(+H76-H78,"")</f>
        <v>12370.340087116636</v>
      </c>
      <c r="I81" s="143">
        <f t="shared" si="36"/>
        <v>13130.367249614961</v>
      </c>
      <c r="J81" s="143">
        <f t="shared" si="36"/>
        <v>13827.214308011802</v>
      </c>
      <c r="K81" s="143">
        <f t="shared" si="36"/>
        <v>14712.932912148683</v>
      </c>
      <c r="L81" s="143">
        <f t="shared" si="36"/>
        <v>15616.229177818572</v>
      </c>
      <c r="M81" s="143">
        <f t="shared" si="36"/>
        <v>16571.468626514114</v>
      </c>
      <c r="N81" s="143">
        <f t="shared" si="36"/>
        <v>17621.893770967927</v>
      </c>
      <c r="O81" s="143">
        <f t="shared" si="36"/>
        <v>17710.449113299175</v>
      </c>
      <c r="P81" s="143">
        <f t="shared" si="36"/>
        <v>18016.625678639899</v>
      </c>
      <c r="Q81" s="143">
        <f t="shared" si="36"/>
        <v>18339.412075504144</v>
      </c>
    </row>
    <row r="82" spans="1:17" s="258" customFormat="1" ht="14.45">
      <c r="B82" s="258" t="s">
        <v>35</v>
      </c>
      <c r="E82" s="260">
        <f t="shared" ref="E82:Q82" si="37">IFERROR(E81/E$30,"")</f>
        <v>0.27013518118823127</v>
      </c>
      <c r="F82" s="260">
        <f t="shared" si="37"/>
        <v>0.27966407336802512</v>
      </c>
      <c r="G82" s="264">
        <f t="shared" si="37"/>
        <v>0.25854452452917925</v>
      </c>
      <c r="H82" s="805">
        <f>IFERROR(H81/H$30,"")</f>
        <v>0.53781657351210199</v>
      </c>
      <c r="I82" s="260">
        <f t="shared" si="37"/>
        <v>0.53360529475144924</v>
      </c>
      <c r="J82" s="260">
        <f t="shared" si="37"/>
        <v>0.52514866087952528</v>
      </c>
      <c r="K82" s="260">
        <f t="shared" si="37"/>
        <v>0.52212630276315097</v>
      </c>
      <c r="L82" s="260">
        <f t="shared" si="37"/>
        <v>0.51774407173179471</v>
      </c>
      <c r="M82" s="260">
        <f t="shared" si="37"/>
        <v>0.51322138403194029</v>
      </c>
      <c r="N82" s="260">
        <f t="shared" si="37"/>
        <v>0.50974201485374604</v>
      </c>
      <c r="O82" s="260">
        <f t="shared" si="37"/>
        <v>0.50247073830398381</v>
      </c>
      <c r="P82" s="260">
        <f t="shared" si="37"/>
        <v>0.50132788501229064</v>
      </c>
      <c r="Q82" s="260">
        <f t="shared" si="37"/>
        <v>0.50047949825618576</v>
      </c>
    </row>
    <row r="83" spans="1:17" ht="3.75" customHeight="1">
      <c r="B83" s="138"/>
      <c r="G83" s="133"/>
    </row>
    <row r="84" spans="1:17" ht="15.6">
      <c r="A84" s="110" t="s">
        <v>392</v>
      </c>
      <c r="B84" s="52" t="s">
        <v>285</v>
      </c>
      <c r="C84" s="56"/>
      <c r="D84" s="56"/>
      <c r="E84" s="121">
        <f t="shared" ref="E84:Q84" si="38">E28</f>
        <v>2022</v>
      </c>
      <c r="F84" s="121">
        <f t="shared" si="38"/>
        <v>2023</v>
      </c>
      <c r="G84" s="122">
        <f t="shared" si="38"/>
        <v>2024</v>
      </c>
      <c r="H84" s="87">
        <f t="shared" si="38"/>
        <v>2025</v>
      </c>
      <c r="I84" s="87">
        <f t="shared" si="38"/>
        <v>2026</v>
      </c>
      <c r="J84" s="87">
        <f t="shared" si="38"/>
        <v>2027</v>
      </c>
      <c r="K84" s="87">
        <f t="shared" si="38"/>
        <v>2028</v>
      </c>
      <c r="L84" s="87">
        <f t="shared" si="38"/>
        <v>2029</v>
      </c>
      <c r="M84" s="87">
        <f t="shared" si="38"/>
        <v>2030</v>
      </c>
      <c r="N84" s="87">
        <f t="shared" si="38"/>
        <v>2031</v>
      </c>
      <c r="O84" s="87">
        <f t="shared" si="38"/>
        <v>2032</v>
      </c>
      <c r="P84" s="87">
        <f t="shared" si="38"/>
        <v>2033</v>
      </c>
      <c r="Q84" s="87">
        <f t="shared" si="38"/>
        <v>2034</v>
      </c>
    </row>
    <row r="85" spans="1:17" ht="3.95" customHeight="1">
      <c r="B85" s="150"/>
      <c r="C85" s="53"/>
      <c r="D85" s="53"/>
      <c r="E85" s="53"/>
      <c r="F85" s="53"/>
      <c r="G85" s="151"/>
      <c r="H85" s="53"/>
      <c r="I85" s="53"/>
      <c r="J85" s="53"/>
      <c r="K85" s="53"/>
      <c r="L85" s="53"/>
      <c r="M85" s="53"/>
      <c r="N85" s="53"/>
      <c r="O85" s="53"/>
      <c r="P85" s="53"/>
      <c r="Q85" s="53"/>
    </row>
    <row r="86" spans="1:17" ht="13.5" customHeight="1">
      <c r="B86" s="135" t="s">
        <v>451</v>
      </c>
      <c r="G86" s="144"/>
    </row>
    <row r="87" spans="1:17" ht="5.25" customHeight="1">
      <c r="B87" s="138"/>
      <c r="G87" s="144"/>
    </row>
    <row r="88" spans="1:17" ht="13.5" customHeight="1">
      <c r="B88" s="110" t="s">
        <v>452</v>
      </c>
      <c r="E88" s="136">
        <f>+_xlfn.XLOOKUP($B88,Inputs!$B:$B,Inputs!O:O)</f>
        <v>6096</v>
      </c>
      <c r="F88" s="136">
        <f>+_xlfn.XLOOKUP($B88,Inputs!$B:$B,Inputs!P:P)</f>
        <v>7842</v>
      </c>
      <c r="G88" s="275">
        <f>+_xlfn.XLOOKUP($B88,Inputs!$B:$B,Inputs!Q:Q)</f>
        <v>7886</v>
      </c>
      <c r="H88" s="807">
        <f>IFERROR(G88+H165,"")</f>
        <v>24983.386582856987</v>
      </c>
      <c r="I88" s="154">
        <f t="shared" ref="I88:Q88" si="39">IFERROR(H88+I165,"")</f>
        <v>38983.955731181326</v>
      </c>
      <c r="J88" s="154">
        <f t="shared" si="39"/>
        <v>60395.01205980868</v>
      </c>
      <c r="K88" s="154">
        <f t="shared" si="39"/>
        <v>77827.012095131606</v>
      </c>
      <c r="L88" s="154">
        <f t="shared" si="39"/>
        <v>95481.574887004841</v>
      </c>
      <c r="M88" s="154">
        <f t="shared" si="39"/>
        <v>122817.88732658973</v>
      </c>
      <c r="N88" s="154">
        <f t="shared" si="39"/>
        <v>143532.92669235033</v>
      </c>
      <c r="O88" s="154">
        <f t="shared" si="39"/>
        <v>165785.72051959464</v>
      </c>
      <c r="P88" s="154">
        <f t="shared" si="39"/>
        <v>197704.09347726536</v>
      </c>
      <c r="Q88" s="154">
        <f t="shared" si="39"/>
        <v>221082.96196865855</v>
      </c>
    </row>
    <row r="89" spans="1:17" ht="3.75" customHeight="1">
      <c r="E89" s="136"/>
      <c r="F89" s="136"/>
      <c r="G89" s="250"/>
    </row>
    <row r="90" spans="1:17" ht="15.6">
      <c r="B90" s="110" t="s">
        <v>287</v>
      </c>
      <c r="E90" s="136">
        <f>+_xlfn.XLOOKUP($B90,Inputs!$B:$B,Inputs!O:O)</f>
        <v>2065</v>
      </c>
      <c r="F90" s="136">
        <f>+_xlfn.XLOOKUP($B90,Inputs!$B:$B,Inputs!P:P)</f>
        <v>2224</v>
      </c>
      <c r="G90" s="275">
        <f>+_xlfn.XLOOKUP($B90,Inputs!$B:$B,Inputs!Q:Q)</f>
        <v>2072</v>
      </c>
      <c r="H90" s="154">
        <f t="shared" ref="H90:Q90" si="40">IFERROR(H91*H30/365,"")</f>
        <v>2518.5312567401447</v>
      </c>
      <c r="I90" s="154">
        <f t="shared" si="40"/>
        <v>2630.4445317791019</v>
      </c>
      <c r="J90" s="154">
        <f t="shared" si="40"/>
        <v>2747.1835413281715</v>
      </c>
      <c r="K90" s="154">
        <f t="shared" si="40"/>
        <v>3012.6165442594283</v>
      </c>
      <c r="L90" s="154">
        <f t="shared" si="40"/>
        <v>3198.6405507459476</v>
      </c>
      <c r="M90" s="154">
        <f t="shared" si="40"/>
        <v>3415.061048923591</v>
      </c>
      <c r="N90" s="154">
        <f t="shared" si="40"/>
        <v>3672.7860868569455</v>
      </c>
      <c r="O90" s="154">
        <f t="shared" si="40"/>
        <v>3736.7975772306481</v>
      </c>
      <c r="P90" s="154">
        <f t="shared" si="40"/>
        <v>3809.7032726683301</v>
      </c>
      <c r="Q90" s="154">
        <f t="shared" si="40"/>
        <v>3887.5018896762263</v>
      </c>
    </row>
    <row r="91" spans="1:17" ht="15.6">
      <c r="B91" s="138" t="s">
        <v>453</v>
      </c>
      <c r="E91" s="292">
        <f>IFERROR(E90/E30*365,"")</f>
        <v>42.810689537657616</v>
      </c>
      <c r="F91" s="292">
        <f>IFERROR(F90/F30*365,"")</f>
        <v>41.823896130661034</v>
      </c>
      <c r="G91" s="293">
        <f>IFERROR(G90/G30*366,"")</f>
        <v>35.263985119739594</v>
      </c>
      <c r="H91" s="294">
        <f t="shared" ref="H91:Q91" si="41">IFERROR(AVERAGE(E91:G91),"")</f>
        <v>39.966190262686077</v>
      </c>
      <c r="I91" s="294">
        <f t="shared" si="41"/>
        <v>39.018023837695573</v>
      </c>
      <c r="J91" s="294">
        <f t="shared" si="41"/>
        <v>38.082733073373753</v>
      </c>
      <c r="K91" s="294">
        <f t="shared" si="41"/>
        <v>39.022315724585134</v>
      </c>
      <c r="L91" s="294">
        <f t="shared" si="41"/>
        <v>38.707690878551489</v>
      </c>
      <c r="M91" s="294">
        <f t="shared" si="41"/>
        <v>38.604246558836792</v>
      </c>
      <c r="N91" s="294">
        <f t="shared" si="41"/>
        <v>38.778084387324469</v>
      </c>
      <c r="O91" s="294">
        <f t="shared" si="41"/>
        <v>38.696673941570914</v>
      </c>
      <c r="P91" s="294">
        <f t="shared" si="41"/>
        <v>38.693001629244058</v>
      </c>
      <c r="Q91" s="294">
        <f t="shared" si="41"/>
        <v>38.722586652713147</v>
      </c>
    </row>
    <row r="92" spans="1:17" ht="3.75" customHeight="1">
      <c r="E92" s="155"/>
      <c r="F92" s="155"/>
      <c r="G92" s="156"/>
      <c r="H92" s="154"/>
      <c r="I92" s="154"/>
      <c r="J92" s="154"/>
      <c r="K92" s="154"/>
      <c r="L92" s="154"/>
      <c r="O92" s="154"/>
      <c r="P92" s="154"/>
      <c r="Q92" s="154"/>
    </row>
    <row r="93" spans="1:17" ht="15.6">
      <c r="B93" s="110" t="s">
        <v>454</v>
      </c>
      <c r="E93" s="136">
        <f>+_xlfn.XLOOKUP($B93,Inputs!$B:$B,Inputs!O:O)</f>
        <v>0</v>
      </c>
      <c r="F93" s="136">
        <f>+_xlfn.XLOOKUP($B93,Inputs!$B:$B,Inputs!P:P)</f>
        <v>0</v>
      </c>
      <c r="G93" s="275">
        <f>+_xlfn.XLOOKUP($B93,Inputs!$B:$B,Inputs!Q:Q)</f>
        <v>0</v>
      </c>
      <c r="H93" s="154">
        <f t="shared" ref="H93:Q93" si="42">+IFERROR(H94*H33/365,"")</f>
        <v>0</v>
      </c>
      <c r="I93" s="154">
        <f t="shared" si="42"/>
        <v>0</v>
      </c>
      <c r="J93" s="154">
        <f t="shared" si="42"/>
        <v>0</v>
      </c>
      <c r="K93" s="154">
        <f t="shared" si="42"/>
        <v>0</v>
      </c>
      <c r="L93" s="154">
        <f t="shared" si="42"/>
        <v>0</v>
      </c>
      <c r="M93" s="154">
        <f t="shared" si="42"/>
        <v>0</v>
      </c>
      <c r="N93" s="154">
        <f t="shared" si="42"/>
        <v>0</v>
      </c>
      <c r="O93" s="154">
        <f t="shared" si="42"/>
        <v>0</v>
      </c>
      <c r="P93" s="154">
        <f t="shared" si="42"/>
        <v>0</v>
      </c>
      <c r="Q93" s="154">
        <f t="shared" si="42"/>
        <v>0</v>
      </c>
    </row>
    <row r="94" spans="1:17" ht="15.6">
      <c r="B94" s="138" t="s">
        <v>455</v>
      </c>
      <c r="E94" s="292">
        <f>IFERROR(E93/E33*365,"")</f>
        <v>0</v>
      </c>
      <c r="F94" s="292">
        <f>IFERROR(F93/F33*365,"")</f>
        <v>0</v>
      </c>
      <c r="G94" s="293">
        <f>IFERROR(G93/G33*365,"")</f>
        <v>0</v>
      </c>
      <c r="H94" s="294">
        <f t="shared" ref="H94:Q94" si="43">IFERROR(AVERAGE(E94:G94),"")</f>
        <v>0</v>
      </c>
      <c r="I94" s="294">
        <f t="shared" si="43"/>
        <v>0</v>
      </c>
      <c r="J94" s="294">
        <f t="shared" si="43"/>
        <v>0</v>
      </c>
      <c r="K94" s="294">
        <f t="shared" si="43"/>
        <v>0</v>
      </c>
      <c r="L94" s="294">
        <f t="shared" si="43"/>
        <v>0</v>
      </c>
      <c r="M94" s="294">
        <f t="shared" si="43"/>
        <v>0</v>
      </c>
      <c r="N94" s="294">
        <f t="shared" si="43"/>
        <v>0</v>
      </c>
      <c r="O94" s="294">
        <f t="shared" si="43"/>
        <v>0</v>
      </c>
      <c r="P94" s="294">
        <f t="shared" si="43"/>
        <v>0</v>
      </c>
      <c r="Q94" s="294">
        <f t="shared" si="43"/>
        <v>0</v>
      </c>
    </row>
    <row r="95" spans="1:17" ht="3.95" customHeight="1">
      <c r="G95" s="144"/>
    </row>
    <row r="96" spans="1:17" ht="15.6">
      <c r="B96" s="110" t="s">
        <v>456</v>
      </c>
      <c r="E96" s="136">
        <f>+_xlfn.XLOOKUP($B96,Inputs!$B:$B,Inputs!O:O)</f>
        <v>835</v>
      </c>
      <c r="F96" s="136">
        <f>+_xlfn.XLOOKUP($B96,Inputs!$B:$B,Inputs!P:P)</f>
        <v>1018</v>
      </c>
      <c r="G96" s="275">
        <f>+_xlfn.XLOOKUP($B96,Inputs!$B:$B,Inputs!Q:Q)</f>
        <v>1274</v>
      </c>
      <c r="H96" s="154">
        <f t="shared" ref="H96:Q96" si="44">IFERROR(AVERAGE(E96:G96)*(1+H31),"")</f>
        <v>1114.8453780209543</v>
      </c>
      <c r="I96" s="154">
        <f t="shared" si="44"/>
        <v>1214.8997802327979</v>
      </c>
      <c r="J96" s="154">
        <f t="shared" si="44"/>
        <v>1285.3710252438646</v>
      </c>
      <c r="K96" s="154">
        <f t="shared" si="44"/>
        <v>1289.6511678340016</v>
      </c>
      <c r="L96" s="154">
        <f t="shared" si="44"/>
        <v>1352.2169340607734</v>
      </c>
      <c r="M96" s="154">
        <f t="shared" si="44"/>
        <v>1401.3974007153085</v>
      </c>
      <c r="N96" s="154">
        <f t="shared" si="44"/>
        <v>1442.9686572252281</v>
      </c>
      <c r="O96" s="154">
        <f t="shared" si="44"/>
        <v>1426.2354038576279</v>
      </c>
      <c r="P96" s="154">
        <f t="shared" si="44"/>
        <v>1451.4450026182612</v>
      </c>
      <c r="Q96" s="154">
        <f t="shared" si="44"/>
        <v>1468.5044327572259</v>
      </c>
    </row>
    <row r="97" spans="2:17" s="258" customFormat="1" ht="14.45">
      <c r="B97" s="258" t="s">
        <v>433</v>
      </c>
      <c r="E97" s="289">
        <f>IFERROR(E96/E$30,"")</f>
        <v>4.7427013518118823E-2</v>
      </c>
      <c r="F97" s="289">
        <f>IFERROR(F96/F$30,"")</f>
        <v>5.244989437889639E-2</v>
      </c>
      <c r="G97" s="290">
        <f>IFERROR(G96/G$30,"")</f>
        <v>5.9242036735642871E-2</v>
      </c>
      <c r="H97" s="289">
        <f t="shared" ref="H97:Q97" si="45">IFERROR(AVERAGE(E97:G97),"")</f>
        <v>5.3039648210886026E-2</v>
      </c>
      <c r="I97" s="289">
        <f t="shared" si="45"/>
        <v>5.4910526441808431E-2</v>
      </c>
      <c r="J97" s="289">
        <f t="shared" si="45"/>
        <v>5.5730737129445783E-2</v>
      </c>
      <c r="K97" s="289">
        <f t="shared" si="45"/>
        <v>5.4560303927380087E-2</v>
      </c>
      <c r="L97" s="289">
        <f t="shared" si="45"/>
        <v>5.5067189166211429E-2</v>
      </c>
      <c r="M97" s="289">
        <f t="shared" si="45"/>
        <v>5.5119410074345766E-2</v>
      </c>
      <c r="N97" s="289">
        <f t="shared" si="45"/>
        <v>5.4915634389312427E-2</v>
      </c>
      <c r="O97" s="289">
        <f t="shared" si="45"/>
        <v>5.5034077876623205E-2</v>
      </c>
      <c r="P97" s="289">
        <f t="shared" si="45"/>
        <v>5.5023040780093797E-2</v>
      </c>
      <c r="Q97" s="289">
        <f t="shared" si="45"/>
        <v>5.499091768200981E-2</v>
      </c>
    </row>
    <row r="98" spans="2:17" ht="3.75" customHeight="1">
      <c r="E98" s="155"/>
      <c r="F98" s="155"/>
      <c r="G98" s="156"/>
      <c r="H98" s="154"/>
      <c r="I98" s="154"/>
      <c r="J98" s="154"/>
      <c r="K98" s="154"/>
      <c r="L98" s="154"/>
      <c r="O98" s="154"/>
      <c r="P98" s="154"/>
      <c r="Q98" s="154"/>
    </row>
    <row r="99" spans="2:17" ht="15.6">
      <c r="B99" s="110" t="s">
        <v>457</v>
      </c>
      <c r="E99" s="136">
        <f>+E100+E101-E103</f>
        <v>2266</v>
      </c>
      <c r="F99" s="136">
        <f>+F100+F101-F103</f>
        <v>2437</v>
      </c>
      <c r="G99" s="275">
        <f>+G100+G101-G103</f>
        <v>2217</v>
      </c>
      <c r="H99" s="154">
        <f t="shared" ref="H99:Q99" si="46">IFERROR(H100+H101-H103,"")</f>
        <v>2906.9979149424912</v>
      </c>
      <c r="I99" s="154">
        <f t="shared" si="46"/>
        <v>3331.9485762031609</v>
      </c>
      <c r="J99" s="154">
        <f t="shared" si="46"/>
        <v>3608.2110385863716</v>
      </c>
      <c r="K99" s="154">
        <f t="shared" si="46"/>
        <v>3791.3209833519031</v>
      </c>
      <c r="L99" s="154">
        <f t="shared" si="46"/>
        <v>3777.923328118306</v>
      </c>
      <c r="M99" s="154">
        <f t="shared" si="46"/>
        <v>3596.9680583779646</v>
      </c>
      <c r="N99" s="154">
        <f t="shared" si="46"/>
        <v>3241.4626506073328</v>
      </c>
      <c r="O99" s="154">
        <f t="shared" si="46"/>
        <v>1144.1685879422039</v>
      </c>
      <c r="P99" s="154">
        <f t="shared" si="46"/>
        <v>-1034.7552895313584</v>
      </c>
      <c r="Q99" s="154">
        <f t="shared" si="46"/>
        <v>-3298.0981667360684</v>
      </c>
    </row>
    <row r="100" spans="2:17" ht="15.6">
      <c r="B100" s="257" t="s">
        <v>458</v>
      </c>
      <c r="E100" s="297">
        <f>+_xlfn.XLOOKUP("Gross PP&amp;E (Property, Plant and Equipment)",Inputs!$B:$B,Inputs!O:O)</f>
        <v>3477</v>
      </c>
      <c r="F100" s="297">
        <f>+_xlfn.XLOOKUP("Gross PP&amp;E (Property, Plant and Equipment)",Inputs!$B:$B,Inputs!P:P)</f>
        <v>3761</v>
      </c>
      <c r="G100" s="791">
        <f>+_xlfn.XLOOKUP("Gross PP&amp;E (Property, Plant and Equipment)",Inputs!$B:$B,Inputs!Q:Q)</f>
        <v>3591</v>
      </c>
      <c r="H100" s="301">
        <f t="shared" ref="H100:Q100" si="47">+IFERROR(G100-H134,"")</f>
        <v>4833.3248357845823</v>
      </c>
      <c r="I100" s="301">
        <f t="shared" si="47"/>
        <v>6166.6271364067134</v>
      </c>
      <c r="J100" s="301">
        <f t="shared" si="47"/>
        <v>7597.2605049742597</v>
      </c>
      <c r="K100" s="301">
        <f>+IFERROR(J100-K134,"")</f>
        <v>9132.3301094472372</v>
      </c>
      <c r="L100" s="301">
        <f t="shared" si="47"/>
        <v>10779.459795046741</v>
      </c>
      <c r="M100" s="301">
        <f t="shared" si="47"/>
        <v>12546.829947695009</v>
      </c>
      <c r="N100" s="301">
        <f t="shared" si="47"/>
        <v>14443.2181214866</v>
      </c>
      <c r="O100" s="301">
        <f t="shared" si="47"/>
        <v>14973.167693340689</v>
      </c>
      <c r="P100" s="301">
        <f t="shared" si="47"/>
        <v>15513.716256631858</v>
      </c>
      <c r="Q100" s="301">
        <f t="shared" si="47"/>
        <v>16065.075791188852</v>
      </c>
    </row>
    <row r="101" spans="2:17" ht="15.6">
      <c r="B101" s="295" t="s">
        <v>459</v>
      </c>
      <c r="C101" s="138"/>
      <c r="D101" s="138"/>
      <c r="E101" s="297">
        <f>+_xlfn.XLOOKUP("Right-of-Use Assets",Inputs!$B:$B,Inputs!O:O)</f>
        <v>358</v>
      </c>
      <c r="F101" s="297">
        <f>+_xlfn.XLOOKUP("Right-of-Use Assets",Inputs!$B:$B,Inputs!P:P)</f>
        <v>407</v>
      </c>
      <c r="G101" s="791">
        <f>+_xlfn.XLOOKUP("Right-of-Use Assets",Inputs!$B:$B,Inputs!Q:Q)</f>
        <v>281</v>
      </c>
      <c r="H101" s="301">
        <f t="shared" ref="H101:Q101" si="48">IFERROR(H102*H$30,"")</f>
        <v>416.85825260905585</v>
      </c>
      <c r="I101" s="301">
        <f t="shared" si="48"/>
        <v>427.83045497165318</v>
      </c>
      <c r="J101" s="301">
        <f t="shared" si="48"/>
        <v>426.3438662543897</v>
      </c>
      <c r="K101" s="301">
        <f t="shared" si="48"/>
        <v>485.63785866782086</v>
      </c>
      <c r="L101" s="301">
        <f t="shared" si="48"/>
        <v>510.87482156880878</v>
      </c>
      <c r="M101" s="301">
        <f t="shared" si="48"/>
        <v>542.07019237365671</v>
      </c>
      <c r="N101" s="301">
        <f t="shared" si="48"/>
        <v>587.23031609398879</v>
      </c>
      <c r="O101" s="301">
        <f t="shared" si="48"/>
        <v>595.81383333723818</v>
      </c>
      <c r="P101" s="301">
        <f t="shared" si="48"/>
        <v>607.09376290874047</v>
      </c>
      <c r="Q101" s="301">
        <f t="shared" si="48"/>
        <v>620.29916860200285</v>
      </c>
    </row>
    <row r="102" spans="2:17" ht="15.6">
      <c r="B102" s="303" t="s">
        <v>433</v>
      </c>
      <c r="E102" s="289">
        <f>IFERROR(E101/E$30,"")</f>
        <v>2.0333977053277292E-2</v>
      </c>
      <c r="F102" s="289">
        <f>IFERROR(F101/F$30,"")</f>
        <v>2.0969653253645217E-2</v>
      </c>
      <c r="G102" s="290">
        <f>IFERROR(G101/G$30,"")</f>
        <v>1.3066728667751685E-2</v>
      </c>
      <c r="H102" s="288">
        <f t="shared" ref="H102:Q102" si="49">IFERROR(AVERAGE(E102:G102),"")</f>
        <v>1.8123452991558067E-2</v>
      </c>
      <c r="I102" s="288">
        <f t="shared" si="49"/>
        <v>1.7386611637651653E-2</v>
      </c>
      <c r="J102" s="288">
        <f t="shared" si="49"/>
        <v>1.6192264432320469E-2</v>
      </c>
      <c r="K102" s="288">
        <f t="shared" si="49"/>
        <v>1.723410968717673E-2</v>
      </c>
      <c r="L102" s="288">
        <f t="shared" si="49"/>
        <v>1.6937661919049617E-2</v>
      </c>
      <c r="M102" s="288">
        <f t="shared" si="49"/>
        <v>1.6788012012848939E-2</v>
      </c>
      <c r="N102" s="288">
        <f t="shared" si="49"/>
        <v>1.6986594539691761E-2</v>
      </c>
      <c r="O102" s="288">
        <f t="shared" si="49"/>
        <v>1.6904089490530103E-2</v>
      </c>
      <c r="P102" s="288">
        <f t="shared" si="49"/>
        <v>1.6892898681023602E-2</v>
      </c>
      <c r="Q102" s="288">
        <f t="shared" si="49"/>
        <v>1.6927860903748489E-2</v>
      </c>
    </row>
    <row r="103" spans="2:17" ht="15.6">
      <c r="B103" s="257" t="s">
        <v>460</v>
      </c>
      <c r="E103" s="297">
        <f>+_xlfn.XLOOKUP($B103,Inputs!$B:$B,Inputs!O:O)</f>
        <v>1569</v>
      </c>
      <c r="F103" s="297">
        <f>+_xlfn.XLOOKUP($B103,Inputs!$B:$B,Inputs!P:P)</f>
        <v>1731</v>
      </c>
      <c r="G103" s="791">
        <f>+_xlfn.XLOOKUP($B103,Inputs!$B:$B,Inputs!Q:Q)</f>
        <v>1655</v>
      </c>
      <c r="H103" s="298">
        <f t="shared" ref="H103:Q103" si="50">+IFERROR(G103+H53,"")</f>
        <v>2343.185173451147</v>
      </c>
      <c r="I103" s="298">
        <f t="shared" si="50"/>
        <v>3262.5090151752056</v>
      </c>
      <c r="J103" s="298">
        <f t="shared" si="50"/>
        <v>4415.3933326422775</v>
      </c>
      <c r="K103" s="298">
        <f t="shared" si="50"/>
        <v>5826.6469847631543</v>
      </c>
      <c r="L103" s="298">
        <f t="shared" si="50"/>
        <v>7512.4112884972437</v>
      </c>
      <c r="M103" s="298">
        <f t="shared" si="50"/>
        <v>9491.9320816907002</v>
      </c>
      <c r="N103" s="298">
        <f t="shared" si="50"/>
        <v>11788.985786973255</v>
      </c>
      <c r="O103" s="298">
        <f t="shared" si="50"/>
        <v>14424.812938735724</v>
      </c>
      <c r="P103" s="298">
        <f t="shared" si="50"/>
        <v>17155.565309071957</v>
      </c>
      <c r="Q103" s="298">
        <f t="shared" si="50"/>
        <v>19983.473126526922</v>
      </c>
    </row>
    <row r="104" spans="2:17" ht="5.25" customHeight="1">
      <c r="E104" s="152"/>
      <c r="F104" s="152"/>
      <c r="G104" s="153"/>
      <c r="H104" s="154"/>
      <c r="I104" s="154"/>
      <c r="J104" s="154"/>
      <c r="K104" s="154"/>
      <c r="L104" s="154"/>
      <c r="M104" s="154"/>
      <c r="N104" s="154"/>
      <c r="O104" s="154"/>
      <c r="P104" s="154"/>
      <c r="Q104" s="154"/>
    </row>
    <row r="105" spans="2:17" ht="15.6">
      <c r="B105" s="110" t="s">
        <v>461</v>
      </c>
      <c r="E105" s="136">
        <f>+_xlfn.XLOOKUP($B105,Inputs!$B:$B,Inputs!O:O)</f>
        <v>1088</v>
      </c>
      <c r="F105" s="136">
        <f>+_xlfn.XLOOKUP($B105,Inputs!$B:$B,Inputs!P:P)</f>
        <v>1499</v>
      </c>
      <c r="G105" s="275">
        <f>+_xlfn.XLOOKUP($B105,Inputs!$B:$B,Inputs!Q:Q)</f>
        <v>1088</v>
      </c>
      <c r="H105" s="154">
        <f t="shared" ref="H105:Q105" si="51">+G105+H106*H42</f>
        <v>1088</v>
      </c>
      <c r="I105" s="154">
        <f t="shared" si="51"/>
        <v>1088</v>
      </c>
      <c r="J105" s="154">
        <f t="shared" si="51"/>
        <v>1088</v>
      </c>
      <c r="K105" s="154">
        <f t="shared" si="51"/>
        <v>1088</v>
      </c>
      <c r="L105" s="154">
        <f t="shared" si="51"/>
        <v>1088</v>
      </c>
      <c r="M105" s="154">
        <f t="shared" si="51"/>
        <v>1088</v>
      </c>
      <c r="N105" s="154">
        <f t="shared" si="51"/>
        <v>1088</v>
      </c>
      <c r="O105" s="154">
        <f t="shared" si="51"/>
        <v>1088</v>
      </c>
      <c r="P105" s="154">
        <f t="shared" si="51"/>
        <v>1088</v>
      </c>
      <c r="Q105" s="154">
        <f t="shared" si="51"/>
        <v>1088</v>
      </c>
    </row>
    <row r="106" spans="2:17" s="72" customFormat="1" ht="14.45">
      <c r="B106" s="72" t="s">
        <v>462</v>
      </c>
      <c r="E106" s="344">
        <f>+_xlfn.XLOOKUP($B105,Inputs!$B:$B,Inputs!O:O)</f>
        <v>1088</v>
      </c>
      <c r="F106" s="344">
        <f>+_xlfn.XLOOKUP($B105,Inputs!$B:$B,Inputs!P:P)</f>
        <v>1499</v>
      </c>
      <c r="G106" s="792">
        <f>+_xlfn.XLOOKUP($B105,Inputs!$B:$B,Inputs!Q:Q)</f>
        <v>1088</v>
      </c>
      <c r="H106" s="288"/>
      <c r="I106" s="288"/>
      <c r="J106" s="288"/>
      <c r="K106" s="288"/>
      <c r="L106" s="288"/>
      <c r="M106" s="288"/>
      <c r="N106" s="288"/>
      <c r="O106" s="288"/>
      <c r="P106" s="288"/>
      <c r="Q106" s="288"/>
    </row>
    <row r="107" spans="2:17" s="72" customFormat="1" ht="3.75" customHeight="1">
      <c r="E107" s="345"/>
      <c r="F107" s="345"/>
      <c r="G107" s="346"/>
      <c r="H107" s="312"/>
      <c r="I107" s="312"/>
      <c r="J107" s="312"/>
      <c r="K107" s="312"/>
      <c r="L107" s="312"/>
      <c r="M107" s="312"/>
      <c r="N107" s="312"/>
      <c r="O107" s="312"/>
      <c r="P107" s="312"/>
      <c r="Q107" s="312"/>
    </row>
    <row r="108" spans="2:17" ht="13.5" customHeight="1">
      <c r="B108" s="135" t="s">
        <v>463</v>
      </c>
      <c r="E108" s="271"/>
      <c r="F108" s="271"/>
      <c r="G108" s="270"/>
      <c r="H108" s="154"/>
      <c r="I108" s="154"/>
      <c r="J108" s="154"/>
      <c r="K108" s="154"/>
      <c r="L108" s="154"/>
      <c r="M108" s="154"/>
      <c r="N108" s="154"/>
      <c r="O108" s="154"/>
      <c r="P108" s="154"/>
      <c r="Q108" s="154"/>
    </row>
    <row r="109" spans="2:17" ht="5.25" customHeight="1">
      <c r="E109" s="271"/>
      <c r="F109" s="271"/>
      <c r="G109" s="270"/>
      <c r="H109" s="154"/>
      <c r="I109" s="154"/>
      <c r="J109" s="154"/>
      <c r="K109" s="154"/>
      <c r="L109" s="154"/>
      <c r="M109" s="154"/>
      <c r="N109" s="154"/>
      <c r="O109" s="154"/>
      <c r="P109" s="154"/>
      <c r="Q109" s="154"/>
    </row>
    <row r="110" spans="2:17" ht="15.6">
      <c r="B110" s="110" t="s">
        <v>293</v>
      </c>
      <c r="E110" s="136">
        <f>+_xlfn.XLOOKUP($B110,Inputs!$B:$B,Inputs!O:O)</f>
        <v>379</v>
      </c>
      <c r="F110" s="136">
        <f>+_xlfn.XLOOKUP($B110,Inputs!$B:$B,Inputs!P:P)</f>
        <v>314</v>
      </c>
      <c r="G110" s="275">
        <f>+_xlfn.XLOOKUP($B110,Inputs!$B:$B,Inputs!Q:Q)</f>
        <v>361</v>
      </c>
      <c r="H110" s="154">
        <f t="shared" ref="H110:Q110" si="52">+IFERROR(H111*H33/365,"")</f>
        <v>417.62778498754096</v>
      </c>
      <c r="I110" s="154">
        <f t="shared" si="52"/>
        <v>419.74213338730442</v>
      </c>
      <c r="J110" s="154">
        <f t="shared" si="52"/>
        <v>456.72937660981137</v>
      </c>
      <c r="K110" s="154">
        <f t="shared" si="52"/>
        <v>493.66984675575594</v>
      </c>
      <c r="L110" s="154">
        <f t="shared" si="52"/>
        <v>522.03974903324581</v>
      </c>
      <c r="M110" s="154">
        <f t="shared" si="52"/>
        <v>561.54106864139214</v>
      </c>
      <c r="N110" s="154">
        <f t="shared" si="52"/>
        <v>601.72741557360723</v>
      </c>
      <c r="O110" s="154">
        <f t="shared" si="52"/>
        <v>612.17450745377835</v>
      </c>
      <c r="P110" s="154">
        <f t="shared" si="52"/>
        <v>624.90146630888512</v>
      </c>
      <c r="Q110" s="154">
        <f t="shared" si="52"/>
        <v>637.14349471266189</v>
      </c>
    </row>
    <row r="111" spans="2:17" ht="15.6">
      <c r="B111" s="138" t="s">
        <v>464</v>
      </c>
      <c r="E111" s="292">
        <f>IFERROR(E110/E$33*365,"")</f>
        <v>63.896073903002311</v>
      </c>
      <c r="F111" s="292">
        <f>IFERROR(F110/F$33*365,"")</f>
        <v>48.687340696686491</v>
      </c>
      <c r="G111" s="293">
        <f>IFERROR(G110/G$33*366,"")</f>
        <v>52.059101654846337</v>
      </c>
      <c r="H111" s="291">
        <f t="shared" ref="H111:Q111" si="53">IFERROR(AVERAGE(E111:G111),"")</f>
        <v>54.88083875151171</v>
      </c>
      <c r="I111" s="291">
        <f t="shared" si="53"/>
        <v>51.875760367681515</v>
      </c>
      <c r="J111" s="291">
        <f t="shared" si="53"/>
        <v>52.938566924679854</v>
      </c>
      <c r="K111" s="291">
        <f t="shared" si="53"/>
        <v>53.23172201462436</v>
      </c>
      <c r="L111" s="291">
        <f t="shared" si="53"/>
        <v>52.682016435661914</v>
      </c>
      <c r="M111" s="291">
        <f t="shared" si="53"/>
        <v>52.950768458322045</v>
      </c>
      <c r="N111" s="291">
        <f t="shared" si="53"/>
        <v>52.954835636202773</v>
      </c>
      <c r="O111" s="291">
        <f t="shared" si="53"/>
        <v>52.862540176728913</v>
      </c>
      <c r="P111" s="291">
        <f t="shared" si="53"/>
        <v>52.922714757084577</v>
      </c>
      <c r="Q111" s="291">
        <f t="shared" si="53"/>
        <v>52.913363523338752</v>
      </c>
    </row>
    <row r="112" spans="2:17" ht="3.75" customHeight="1">
      <c r="E112" s="155"/>
      <c r="F112" s="155"/>
      <c r="G112" s="156"/>
      <c r="H112" s="154"/>
      <c r="I112" s="154"/>
      <c r="J112" s="154"/>
      <c r="K112" s="154"/>
      <c r="L112" s="154"/>
      <c r="O112" s="154"/>
      <c r="P112" s="154"/>
      <c r="Q112" s="154"/>
    </row>
    <row r="113" spans="1:17" ht="15.6">
      <c r="B113" s="110" t="s">
        <v>465</v>
      </c>
      <c r="E113" s="136">
        <f>+_xlfn.XLOOKUP($B113,Inputs!$B:$B,Inputs!O:O)</f>
        <v>7162</v>
      </c>
      <c r="F113" s="136">
        <f>+_xlfn.XLOOKUP($B113,Inputs!$B:$B,Inputs!P:P)</f>
        <v>7864</v>
      </c>
      <c r="G113" s="275">
        <f>+_xlfn.XLOOKUP($B113,Inputs!$B:$B,Inputs!Q:Q)</f>
        <v>2336</v>
      </c>
      <c r="H113" s="807">
        <f t="shared" ref="H113:Q113" si="54">IFERROR(AVERAGE(E113:G113)*(1+H31),"")</f>
        <v>6189.9409827949494</v>
      </c>
      <c r="I113" s="154">
        <f t="shared" si="54"/>
        <v>5844.7430066794295</v>
      </c>
      <c r="J113" s="154">
        <f t="shared" si="54"/>
        <v>5125.6845314658676</v>
      </c>
      <c r="K113" s="154">
        <f t="shared" si="54"/>
        <v>6121.7643307056424</v>
      </c>
      <c r="L113" s="154">
        <f t="shared" si="54"/>
        <v>6098.3712720308158</v>
      </c>
      <c r="M113" s="154">
        <f t="shared" si="54"/>
        <v>6189.6885986306961</v>
      </c>
      <c r="N113" s="154">
        <f t="shared" si="54"/>
        <v>6570.1347810206053</v>
      </c>
      <c r="O113" s="154">
        <f t="shared" si="54"/>
        <v>6409.0773175061313</v>
      </c>
      <c r="P113" s="154">
        <f t="shared" si="54"/>
        <v>6514.9149063560644</v>
      </c>
      <c r="Q113" s="154">
        <f t="shared" si="54"/>
        <v>6625.6739432756285</v>
      </c>
    </row>
    <row r="114" spans="1:17" s="308" customFormat="1" ht="15.6">
      <c r="B114" s="258" t="s">
        <v>466</v>
      </c>
      <c r="E114" s="289">
        <f>IFERROR(E113/E$30,"")</f>
        <v>0.406793138702715</v>
      </c>
      <c r="F114" s="289">
        <f>IFERROR(F113/F$30,"")</f>
        <v>0.40517285795249625</v>
      </c>
      <c r="G114" s="290">
        <f>IFERROR(G113/G$30,"")</f>
        <v>0.10862590095326669</v>
      </c>
      <c r="H114" s="289">
        <f t="shared" ref="H114:Q114" si="55">G114*1.07/(1+H19)</f>
        <v>0.10832378437771814</v>
      </c>
      <c r="I114" s="289">
        <f t="shared" si="55"/>
        <v>0.10802092197964439</v>
      </c>
      <c r="J114" s="289">
        <f t="shared" si="55"/>
        <v>0.10771890635435183</v>
      </c>
      <c r="K114" s="289">
        <f t="shared" si="55"/>
        <v>0.10741773513434899</v>
      </c>
      <c r="L114" s="289">
        <f t="shared" si="55"/>
        <v>0.10711740595876369</v>
      </c>
      <c r="M114" s="289">
        <f t="shared" si="55"/>
        <v>0.10681791647332448</v>
      </c>
      <c r="N114" s="289">
        <f t="shared" si="55"/>
        <v>0.10651926433034221</v>
      </c>
      <c r="O114" s="289">
        <f t="shared" si="55"/>
        <v>0.11174079689555508</v>
      </c>
      <c r="P114" s="289">
        <f t="shared" si="55"/>
        <v>0.11721828693945484</v>
      </c>
      <c r="Q114" s="289">
        <f t="shared" si="55"/>
        <v>0.12296428139727125</v>
      </c>
    </row>
    <row r="115" spans="1:17" s="224" customFormat="1" ht="5.25" customHeight="1">
      <c r="B115" s="251"/>
      <c r="E115" s="304"/>
      <c r="F115" s="304"/>
      <c r="G115" s="305"/>
      <c r="H115" s="306"/>
      <c r="I115" s="306"/>
      <c r="J115" s="306"/>
      <c r="K115" s="306"/>
      <c r="L115" s="306"/>
      <c r="M115" s="306"/>
      <c r="N115" s="306"/>
      <c r="O115" s="306"/>
      <c r="P115" s="306"/>
      <c r="Q115" s="306"/>
    </row>
    <row r="116" spans="1:17" ht="15.6">
      <c r="B116" s="110" t="s">
        <v>467</v>
      </c>
      <c r="E116" s="275">
        <f>+_xlfn.XLOOKUP($B116,Inputs!$B:$B,Inputs!O:O)</f>
        <v>4129</v>
      </c>
      <c r="F116" s="275">
        <f>+_xlfn.XLOOKUP($B116,Inputs!$B:$B,Inputs!P:P)</f>
        <v>3634</v>
      </c>
      <c r="G116" s="275">
        <f>+_xlfn.XLOOKUP($B116,Inputs!$B:$B,Inputs!Q:Q)</f>
        <v>5628</v>
      </c>
      <c r="H116" s="154">
        <f t="shared" ref="H116:Q116" si="56">IFERROR(G116+H156-H158,"")</f>
        <v>5628</v>
      </c>
      <c r="I116" s="154">
        <f t="shared" si="56"/>
        <v>5628</v>
      </c>
      <c r="J116" s="154">
        <f t="shared" si="56"/>
        <v>5628</v>
      </c>
      <c r="K116" s="154">
        <f t="shared" si="56"/>
        <v>5628</v>
      </c>
      <c r="L116" s="154">
        <f t="shared" si="56"/>
        <v>5628</v>
      </c>
      <c r="M116" s="154">
        <f t="shared" si="56"/>
        <v>5628</v>
      </c>
      <c r="N116" s="154">
        <f t="shared" si="56"/>
        <v>5628</v>
      </c>
      <c r="O116" s="154">
        <f t="shared" si="56"/>
        <v>5628</v>
      </c>
      <c r="P116" s="154">
        <f t="shared" si="56"/>
        <v>5628</v>
      </c>
      <c r="Q116" s="154">
        <f t="shared" si="56"/>
        <v>5628</v>
      </c>
    </row>
    <row r="117" spans="1:17" ht="3.75" customHeight="1">
      <c r="B117" s="138"/>
      <c r="E117" s="157"/>
      <c r="F117" s="157"/>
      <c r="G117" s="307"/>
      <c r="H117" s="277"/>
      <c r="I117" s="277"/>
      <c r="J117" s="277"/>
      <c r="K117" s="277"/>
      <c r="L117" s="277"/>
      <c r="M117" s="277"/>
      <c r="N117" s="277"/>
      <c r="O117" s="277"/>
      <c r="P117" s="277"/>
      <c r="Q117" s="277"/>
    </row>
    <row r="118" spans="1:17" ht="15.6">
      <c r="B118" s="110" t="s">
        <v>468</v>
      </c>
      <c r="E118" s="275">
        <f>+_xlfn.XLOOKUP($B118,Inputs!$B:$B,Inputs!O:O)</f>
        <v>504</v>
      </c>
      <c r="F118" s="275">
        <f>+_xlfn.XLOOKUP($B118,Inputs!$B:$B,Inputs!P:P)</f>
        <v>446</v>
      </c>
      <c r="G118" s="275">
        <f>+_xlfn.XLOOKUP($B118,Inputs!$B:$B,Inputs!Q:Q)</f>
        <v>428</v>
      </c>
      <c r="H118" s="154">
        <f t="shared" ref="H118:Q118" si="57">+IFERROR(H119*H30,"")</f>
        <v>548.25264148240308</v>
      </c>
      <c r="I118" s="154">
        <f t="shared" si="57"/>
        <v>547.23570558772542</v>
      </c>
      <c r="J118" s="154">
        <f t="shared" si="57"/>
        <v>579.06433245049175</v>
      </c>
      <c r="K118" s="154">
        <f t="shared" si="57"/>
        <v>639.35625101772496</v>
      </c>
      <c r="L118" s="154">
        <f t="shared" si="57"/>
        <v>672.82328319120938</v>
      </c>
      <c r="M118" s="154">
        <f t="shared" si="57"/>
        <v>721.00138396419982</v>
      </c>
      <c r="N118" s="154">
        <f t="shared" si="57"/>
        <v>775.82125102810312</v>
      </c>
      <c r="O118" s="154">
        <f t="shared" si="57"/>
        <v>788.09775442152636</v>
      </c>
      <c r="P118" s="154">
        <f t="shared" si="57"/>
        <v>804.17911708962413</v>
      </c>
      <c r="Q118" s="154">
        <f t="shared" si="57"/>
        <v>820.55368268057589</v>
      </c>
    </row>
    <row r="119" spans="1:17" ht="15.6">
      <c r="B119" s="138" t="s">
        <v>469</v>
      </c>
      <c r="E119" s="273">
        <f>IFERROR(E118/E$30,"")</f>
        <v>2.8626604566625014E-2</v>
      </c>
      <c r="F119" s="273">
        <f>IFERROR(F118/F$30,"")</f>
        <v>2.2979030346746355E-2</v>
      </c>
      <c r="G119" s="274">
        <f>IFERROR(G118/G$30,"")</f>
        <v>1.9902348291095093E-2</v>
      </c>
      <c r="H119" s="129">
        <f t="shared" ref="H119:Q119" si="58">+IFERROR(AVERAGE(E119:G119),"")</f>
        <v>2.3835994401488824E-2</v>
      </c>
      <c r="I119" s="129">
        <f t="shared" si="58"/>
        <v>2.2239124346443425E-2</v>
      </c>
      <c r="J119" s="129">
        <f t="shared" si="58"/>
        <v>2.1992489013009115E-2</v>
      </c>
      <c r="K119" s="129">
        <f t="shared" si="58"/>
        <v>2.2689202586980456E-2</v>
      </c>
      <c r="L119" s="129">
        <f t="shared" si="58"/>
        <v>2.2306938648811E-2</v>
      </c>
      <c r="M119" s="129">
        <f t="shared" si="58"/>
        <v>2.2329543416266858E-2</v>
      </c>
      <c r="N119" s="129">
        <f t="shared" si="58"/>
        <v>2.2441894884019441E-2</v>
      </c>
      <c r="O119" s="129">
        <f t="shared" si="58"/>
        <v>2.2359458983032432E-2</v>
      </c>
      <c r="P119" s="129">
        <f t="shared" si="58"/>
        <v>2.2376965761106243E-2</v>
      </c>
      <c r="Q119" s="129">
        <f t="shared" si="58"/>
        <v>2.2392773209386041E-2</v>
      </c>
    </row>
    <row r="120" spans="1:17" ht="3.75" customHeight="1">
      <c r="G120" s="144"/>
    </row>
    <row r="121" spans="1:17" ht="15.6">
      <c r="A121" s="110" t="s">
        <v>392</v>
      </c>
      <c r="B121" s="52" t="s">
        <v>251</v>
      </c>
      <c r="C121" s="52"/>
      <c r="D121" s="52"/>
      <c r="E121" s="121">
        <f t="shared" ref="E121:Q121" si="59">E28</f>
        <v>2022</v>
      </c>
      <c r="F121" s="121">
        <f t="shared" si="59"/>
        <v>2023</v>
      </c>
      <c r="G121" s="149">
        <f t="shared" si="59"/>
        <v>2024</v>
      </c>
      <c r="H121" s="87">
        <f t="shared" si="59"/>
        <v>2025</v>
      </c>
      <c r="I121" s="87">
        <f t="shared" si="59"/>
        <v>2026</v>
      </c>
      <c r="J121" s="87">
        <f t="shared" si="59"/>
        <v>2027</v>
      </c>
      <c r="K121" s="87">
        <f t="shared" si="59"/>
        <v>2028</v>
      </c>
      <c r="L121" s="87">
        <f t="shared" si="59"/>
        <v>2029</v>
      </c>
      <c r="M121" s="87">
        <f t="shared" si="59"/>
        <v>2030</v>
      </c>
      <c r="N121" s="87">
        <f t="shared" si="59"/>
        <v>2031</v>
      </c>
      <c r="O121" s="87">
        <f t="shared" si="59"/>
        <v>2032</v>
      </c>
      <c r="P121" s="87">
        <f t="shared" si="59"/>
        <v>2033</v>
      </c>
      <c r="Q121" s="87">
        <f t="shared" si="59"/>
        <v>2034</v>
      </c>
    </row>
    <row r="122" spans="1:17" ht="3.95" customHeight="1">
      <c r="B122" s="53"/>
      <c r="C122" s="53"/>
      <c r="D122" s="53"/>
      <c r="E122" s="158"/>
      <c r="F122" s="158"/>
      <c r="G122" s="159"/>
      <c r="H122" s="53"/>
      <c r="I122" s="53"/>
      <c r="J122" s="53"/>
      <c r="K122" s="53"/>
      <c r="L122" s="53"/>
      <c r="M122" s="53"/>
      <c r="N122" s="53"/>
      <c r="O122" s="53"/>
      <c r="P122" s="53"/>
      <c r="Q122" s="53"/>
    </row>
    <row r="123" spans="1:17" ht="15.6">
      <c r="B123" s="110" t="s">
        <v>436</v>
      </c>
      <c r="E123" s="152">
        <f t="shared" ref="E123:Q123" si="60">+E50</f>
        <v>856</v>
      </c>
      <c r="F123" s="152">
        <f t="shared" si="60"/>
        <v>872</v>
      </c>
      <c r="G123" s="153">
        <f t="shared" si="60"/>
        <v>857</v>
      </c>
      <c r="H123" s="154">
        <f t="shared" si="60"/>
        <v>824.38942744782605</v>
      </c>
      <c r="I123" s="154">
        <f t="shared" si="60"/>
        <v>1058.7376292629597</v>
      </c>
      <c r="J123" s="154">
        <f t="shared" si="60"/>
        <v>1291.6228657794725</v>
      </c>
      <c r="K123" s="154">
        <f t="shared" si="60"/>
        <v>1549.3725154035371</v>
      </c>
      <c r="L123" s="154">
        <f t="shared" si="60"/>
        <v>1824.5213701120763</v>
      </c>
      <c r="M123" s="154">
        <f t="shared" si="60"/>
        <v>2118.0589525178066</v>
      </c>
      <c r="N123" s="154">
        <f t="shared" si="60"/>
        <v>2435.5250682775536</v>
      </c>
      <c r="O123" s="154">
        <f t="shared" si="60"/>
        <v>2774.4160146615814</v>
      </c>
      <c r="P123" s="154">
        <f t="shared" si="60"/>
        <v>2869.2851654090541</v>
      </c>
      <c r="Q123" s="154">
        <f t="shared" si="60"/>
        <v>2966.4388244439424</v>
      </c>
    </row>
    <row r="124" spans="1:17" ht="3.95" customHeight="1">
      <c r="G124" s="133"/>
    </row>
    <row r="125" spans="1:17" ht="13.5" customHeight="1">
      <c r="B125" s="110" t="s">
        <v>470</v>
      </c>
      <c r="E125" s="275">
        <f>+_xlfn.XLOOKUP($B125,Inputs!$B:$B,Inputs!O:O)</f>
        <v>1440</v>
      </c>
      <c r="F125" s="275">
        <f>+_xlfn.XLOOKUP($B125,Inputs!$B:$B,Inputs!P:P)</f>
        <v>1718</v>
      </c>
      <c r="G125" s="275">
        <f>+_xlfn.XLOOKUP($B125,Inputs!$B:$B,Inputs!Q:Q)</f>
        <v>1833</v>
      </c>
      <c r="H125" s="154">
        <f t="shared" ref="H125:Q125" si="61">IFERROR(H126*H39,"")</f>
        <v>1747.834792262762</v>
      </c>
      <c r="I125" s="154">
        <f t="shared" si="61"/>
        <v>1880.8109015280058</v>
      </c>
      <c r="J125" s="154">
        <f t="shared" si="61"/>
        <v>2085.8674540427855</v>
      </c>
      <c r="K125" s="154">
        <f t="shared" si="61"/>
        <v>2175.8188294139809</v>
      </c>
      <c r="L125" s="154">
        <f t="shared" si="61"/>
        <v>2341.2672580267094</v>
      </c>
      <c r="M125" s="154">
        <f t="shared" si="61"/>
        <v>2519.1688480199687</v>
      </c>
      <c r="N125" s="154">
        <f t="shared" si="61"/>
        <v>2683.3009086838779</v>
      </c>
      <c r="O125" s="154">
        <f t="shared" si="61"/>
        <v>2740.5609486365688</v>
      </c>
      <c r="P125" s="154">
        <f t="shared" si="61"/>
        <v>2795.8608831375363</v>
      </c>
      <c r="Q125" s="154">
        <f t="shared" si="61"/>
        <v>2848.0653136530291</v>
      </c>
    </row>
    <row r="126" spans="1:17" ht="13.5" customHeight="1">
      <c r="B126" s="258" t="s">
        <v>471</v>
      </c>
      <c r="E126" s="273">
        <f>+IFERROR(E125/E39,"")</f>
        <v>0.27852998065764023</v>
      </c>
      <c r="F126" s="273">
        <f>+IFERROR(F125/F39,"")</f>
        <v>0.25399172087522176</v>
      </c>
      <c r="G126" s="274">
        <f>+IFERROR(G125/G39,"")</f>
        <v>0.31800832755031228</v>
      </c>
      <c r="H126" s="129">
        <f t="shared" ref="H126:Q126" si="62">IFERROR(AVERAGE(E126:G126),"")</f>
        <v>0.28351000969439144</v>
      </c>
      <c r="I126" s="129">
        <f t="shared" si="62"/>
        <v>0.28517001937330849</v>
      </c>
      <c r="J126" s="129">
        <f t="shared" si="62"/>
        <v>0.2955627855393374</v>
      </c>
      <c r="K126" s="129">
        <f t="shared" si="62"/>
        <v>0.28808093820234576</v>
      </c>
      <c r="L126" s="129">
        <f t="shared" si="62"/>
        <v>0.28960458103833053</v>
      </c>
      <c r="M126" s="129">
        <f t="shared" si="62"/>
        <v>0.29108276826000457</v>
      </c>
      <c r="N126" s="129">
        <f t="shared" si="62"/>
        <v>0.28958942916689362</v>
      </c>
      <c r="O126" s="129">
        <f t="shared" si="62"/>
        <v>0.29009225948840961</v>
      </c>
      <c r="P126" s="129">
        <f t="shared" si="62"/>
        <v>0.2902548189717693</v>
      </c>
      <c r="Q126" s="129">
        <f t="shared" si="62"/>
        <v>0.28997883587569084</v>
      </c>
    </row>
    <row r="127" spans="1:17" ht="3.75" customHeight="1">
      <c r="B127" s="258"/>
      <c r="E127" s="273"/>
      <c r="F127" s="273"/>
      <c r="G127" s="274"/>
      <c r="H127" s="129"/>
      <c r="I127" s="129"/>
      <c r="J127" s="129"/>
      <c r="K127" s="129"/>
      <c r="L127" s="129"/>
      <c r="M127" s="129"/>
      <c r="N127" s="129"/>
      <c r="O127" s="129"/>
      <c r="P127" s="129"/>
      <c r="Q127" s="129"/>
    </row>
    <row r="128" spans="1:17" ht="13.5" customHeight="1">
      <c r="B128" s="110" t="s">
        <v>472</v>
      </c>
      <c r="E128" s="275">
        <f>+_xlfn.XLOOKUP($B128,Inputs!$B:$B,Inputs!O:O)</f>
        <v>732</v>
      </c>
      <c r="F128" s="275">
        <f>+_xlfn.XLOOKUP($B128,Inputs!$B:$B,Inputs!P:P)</f>
        <v>-37</v>
      </c>
      <c r="G128" s="275">
        <f>+_xlfn.XLOOKUP($B128,Inputs!$B:$B,Inputs!Q:Q)</f>
        <v>144</v>
      </c>
      <c r="H128" s="160">
        <f t="shared" ref="H128:Q128" si="63">IFERROR(-((H90+H93+H96-H110-H113)-(G90+G93+G96-G110-G113)),"")</f>
        <v>3623.1921330213913</v>
      </c>
      <c r="I128" s="160">
        <f t="shared" si="63"/>
        <v>-555.05130496655738</v>
      </c>
      <c r="J128" s="160">
        <f t="shared" si="63"/>
        <v>-869.28148655119094</v>
      </c>
      <c r="K128" s="160">
        <f t="shared" si="63"/>
        <v>763.3071238643256</v>
      </c>
      <c r="L128" s="160">
        <f t="shared" si="63"/>
        <v>-243.6129291106281</v>
      </c>
      <c r="M128" s="160">
        <f t="shared" si="63"/>
        <v>-134.78231862415169</v>
      </c>
      <c r="N128" s="160">
        <f t="shared" si="63"/>
        <v>121.33623487885052</v>
      </c>
      <c r="O128" s="160">
        <f t="shared" si="63"/>
        <v>-197.88860864040544</v>
      </c>
      <c r="P128" s="160">
        <f t="shared" si="63"/>
        <v>20.449253506723835</v>
      </c>
      <c r="Q128" s="160">
        <f t="shared" si="63"/>
        <v>28.143018176480837</v>
      </c>
    </row>
    <row r="129" spans="2:17" ht="3.75" customHeight="1">
      <c r="G129" s="133"/>
    </row>
    <row r="130" spans="2:17" ht="13.5" customHeight="1">
      <c r="B130" s="358" t="s">
        <v>473</v>
      </c>
      <c r="C130" s="358"/>
      <c r="D130" s="358"/>
      <c r="E130" s="359">
        <f>+_xlfn.XLOOKUP($B130,Inputs!$B:$B,Inputs!O:O)</f>
        <v>54</v>
      </c>
      <c r="F130" s="359">
        <f>+_xlfn.XLOOKUP($B130,Inputs!$B:$B,Inputs!P:P)</f>
        <v>-679</v>
      </c>
      <c r="G130" s="793">
        <f>+_xlfn.XLOOKUP($B130,Inputs!$B:$B,Inputs!Q:Q)</f>
        <v>-338</v>
      </c>
      <c r="H130" s="360">
        <f t="shared" ref="H130:Q130" si="64">IFERROR(AVERAGE(E130:G130)*(1+H31),"")</f>
        <v>-343.33101983824082</v>
      </c>
      <c r="I130" s="360">
        <f t="shared" si="64"/>
        <v>-485.10151582088366</v>
      </c>
      <c r="J130" s="360">
        <f t="shared" si="64"/>
        <v>-416.03901452467761</v>
      </c>
      <c r="K130" s="360">
        <f t="shared" si="64"/>
        <v>-443.95092897898519</v>
      </c>
      <c r="L130" s="360">
        <f t="shared" si="64"/>
        <v>-479.91896982784556</v>
      </c>
      <c r="M130" s="360">
        <f t="shared" si="64"/>
        <v>-478.13357107851033</v>
      </c>
      <c r="N130" s="360">
        <f t="shared" si="64"/>
        <v>-500.34979475367271</v>
      </c>
      <c r="O130" s="360">
        <f t="shared" si="64"/>
        <v>-495.6473035685267</v>
      </c>
      <c r="P130" s="360">
        <f t="shared" si="64"/>
        <v>-501.01130073773533</v>
      </c>
      <c r="Q130" s="360">
        <f t="shared" si="64"/>
        <v>-508.80398696652514</v>
      </c>
    </row>
    <row r="131" spans="2:17" ht="5.25" customHeight="1">
      <c r="E131" s="302"/>
      <c r="F131" s="302"/>
      <c r="G131" s="276"/>
      <c r="H131" s="154"/>
      <c r="I131" s="154"/>
      <c r="J131" s="154"/>
      <c r="K131" s="154"/>
      <c r="L131" s="154"/>
      <c r="M131" s="154"/>
      <c r="N131" s="154"/>
      <c r="O131" s="154"/>
      <c r="P131" s="154"/>
      <c r="Q131" s="154"/>
    </row>
    <row r="132" spans="2:17" ht="13.5" customHeight="1">
      <c r="B132" s="371" t="s">
        <v>299</v>
      </c>
      <c r="C132" s="135"/>
      <c r="D132" s="135"/>
      <c r="E132" s="323">
        <f>+_xlfn.XLOOKUP($B132,Inputs!$B:$B,Inputs!O:O)</f>
        <v>7838</v>
      </c>
      <c r="F132" s="323">
        <f>+_xlfn.XLOOKUP($B132,Inputs!$B:$B,Inputs!P:P)</f>
        <v>7302</v>
      </c>
      <c r="G132" s="794">
        <f>+_xlfn.XLOOKUP($B132,Inputs!$B:$B,Inputs!Q:Q)</f>
        <v>8056</v>
      </c>
      <c r="H132" s="808">
        <f t="shared" ref="H132:Q132" si="65">IFERROR(H81+H123+H125+H128+H130,"")</f>
        <v>18222.425420010371</v>
      </c>
      <c r="I132" s="450">
        <f t="shared" si="65"/>
        <v>15029.762959618487</v>
      </c>
      <c r="J132" s="450">
        <f t="shared" si="65"/>
        <v>15919.384126758192</v>
      </c>
      <c r="K132" s="450">
        <f t="shared" si="65"/>
        <v>18757.480451851538</v>
      </c>
      <c r="L132" s="450">
        <f t="shared" si="65"/>
        <v>19058.485907018887</v>
      </c>
      <c r="M132" s="450">
        <f t="shared" si="65"/>
        <v>20595.78053734923</v>
      </c>
      <c r="N132" s="450">
        <f t="shared" si="65"/>
        <v>22361.706188054537</v>
      </c>
      <c r="O132" s="450">
        <f t="shared" si="65"/>
        <v>22531.890164388395</v>
      </c>
      <c r="P132" s="450">
        <f t="shared" si="65"/>
        <v>23201.209679955478</v>
      </c>
      <c r="Q132" s="450">
        <f t="shared" si="65"/>
        <v>23673.255244811069</v>
      </c>
    </row>
    <row r="133" spans="2:17" ht="3.75" customHeight="1">
      <c r="G133" s="133"/>
    </row>
    <row r="134" spans="2:17" ht="13.5" customHeight="1">
      <c r="B134" s="320" t="s">
        <v>474</v>
      </c>
      <c r="C134" s="320"/>
      <c r="D134" s="320"/>
      <c r="E134" s="321">
        <f>+_xlfn.XLOOKUP($B134,Inputs!$B:$B,Inputs!O:O)</f>
        <v>-442</v>
      </c>
      <c r="F134" s="321">
        <f>+_xlfn.XLOOKUP($B134,Inputs!$B:$B,Inputs!P:P)</f>
        <v>-360</v>
      </c>
      <c r="G134" s="321">
        <f>+_xlfn.XLOOKUP($B134,Inputs!$B:$B,Inputs!Q:Q)</f>
        <v>-183</v>
      </c>
      <c r="H134" s="322">
        <f>IFERROR(H136+H138,"")</f>
        <v>-1242.3248357845821</v>
      </c>
      <c r="I134" s="322">
        <f t="shared" ref="I134:Q134" si="66">IFERROR(I136+I138,"")</f>
        <v>-1333.3023006221308</v>
      </c>
      <c r="J134" s="322">
        <f t="shared" si="66"/>
        <v>-1430.6333685675463</v>
      </c>
      <c r="K134" s="322">
        <f>IFERROR(K136+K138,"")</f>
        <v>-1535.0696044729771</v>
      </c>
      <c r="L134" s="322">
        <f t="shared" si="66"/>
        <v>-1647.1296855995045</v>
      </c>
      <c r="M134" s="322">
        <f t="shared" si="66"/>
        <v>-1767.3701526482682</v>
      </c>
      <c r="N134" s="322">
        <f t="shared" si="66"/>
        <v>-1896.3881737915915</v>
      </c>
      <c r="O134" s="322">
        <f t="shared" si="66"/>
        <v>-529.94957185408862</v>
      </c>
      <c r="P134" s="322">
        <f t="shared" si="66"/>
        <v>-540.54856329117047</v>
      </c>
      <c r="Q134" s="322">
        <f t="shared" si="66"/>
        <v>-551.35953455699382</v>
      </c>
    </row>
    <row r="135" spans="2:17" ht="3.75" customHeight="1">
      <c r="B135" s="138"/>
      <c r="E135" s="140"/>
      <c r="F135" s="140"/>
      <c r="G135" s="141"/>
      <c r="H135" s="140"/>
      <c r="I135" s="140"/>
      <c r="J135" s="140"/>
      <c r="K135" s="140"/>
      <c r="L135" s="140"/>
      <c r="M135" s="140"/>
      <c r="N135" s="140"/>
      <c r="O135" s="140"/>
      <c r="P135" s="140"/>
      <c r="Q135" s="140"/>
    </row>
    <row r="136" spans="2:17" s="138" customFormat="1" ht="15.6">
      <c r="B136" s="257" t="s">
        <v>475</v>
      </c>
      <c r="E136" s="299">
        <f>+_xlfn.XLOOKUP($B136,Inputs!$B:$B,Inputs!O:O)</f>
        <v>-442</v>
      </c>
      <c r="F136" s="299">
        <f>+_xlfn.XLOOKUP($B136,Inputs!$B:$B,Inputs!P:P)</f>
        <v>-360</v>
      </c>
      <c r="G136" s="299">
        <f>+_xlfn.XLOOKUP($B136,Inputs!$B:$B,Inputs!Q:Q)</f>
        <v>-183</v>
      </c>
      <c r="H136" s="301">
        <f>-H19*H18</f>
        <v>-1242.3248357845821</v>
      </c>
      <c r="I136" s="301">
        <f t="shared" ref="I136:Q136" si="67">-I19*I18</f>
        <v>-1333.3023006221308</v>
      </c>
      <c r="J136" s="301">
        <f t="shared" si="67"/>
        <v>-1430.6333685675463</v>
      </c>
      <c r="K136" s="301">
        <f t="shared" si="67"/>
        <v>-1535.0696044729771</v>
      </c>
      <c r="L136" s="301">
        <f t="shared" si="67"/>
        <v>-1647.1296855995045</v>
      </c>
      <c r="M136" s="301">
        <f t="shared" si="67"/>
        <v>-1767.3701526482682</v>
      </c>
      <c r="N136" s="301">
        <f t="shared" si="67"/>
        <v>-1896.3881737915915</v>
      </c>
      <c r="O136" s="301">
        <f t="shared" si="67"/>
        <v>-529.94957185408862</v>
      </c>
      <c r="P136" s="301">
        <f t="shared" si="67"/>
        <v>-540.54856329117047</v>
      </c>
      <c r="Q136" s="301">
        <f t="shared" si="67"/>
        <v>-551.35953455699382</v>
      </c>
    </row>
    <row r="137" spans="2:17" ht="3.75" customHeight="1">
      <c r="B137" s="257"/>
      <c r="E137" s="140"/>
      <c r="F137" s="140"/>
      <c r="G137" s="141"/>
      <c r="H137" s="140"/>
      <c r="I137" s="140"/>
      <c r="J137" s="140"/>
      <c r="K137" s="140"/>
      <c r="L137" s="140"/>
      <c r="M137" s="140"/>
      <c r="N137" s="140"/>
      <c r="O137" s="140"/>
      <c r="P137" s="140"/>
      <c r="Q137" s="140"/>
    </row>
    <row r="138" spans="2:17" s="138" customFormat="1" ht="15.6">
      <c r="B138" s="257" t="s">
        <v>476</v>
      </c>
      <c r="E138" s="299">
        <f>+_xlfn.XLOOKUP($B138,Inputs!$B:$B,Inputs!O:O)</f>
        <v>0</v>
      </c>
      <c r="F138" s="299">
        <f>+_xlfn.XLOOKUP($B138,Inputs!$B:$B,Inputs!P:P)</f>
        <v>0</v>
      </c>
      <c r="G138" s="299">
        <f>+_xlfn.XLOOKUP($B138,Inputs!$B:$B,Inputs!Q:Q)</f>
        <v>0</v>
      </c>
      <c r="H138" s="301">
        <f t="shared" ref="H138:Q138" si="68">IFERROR(H139*G100,"")</f>
        <v>0</v>
      </c>
      <c r="I138" s="301">
        <f t="shared" si="68"/>
        <v>0</v>
      </c>
      <c r="J138" s="301">
        <f t="shared" si="68"/>
        <v>0</v>
      </c>
      <c r="K138" s="301">
        <f t="shared" si="68"/>
        <v>0</v>
      </c>
      <c r="L138" s="301">
        <f t="shared" si="68"/>
        <v>0</v>
      </c>
      <c r="M138" s="301">
        <f t="shared" si="68"/>
        <v>0</v>
      </c>
      <c r="N138" s="301">
        <f t="shared" si="68"/>
        <v>0</v>
      </c>
      <c r="O138" s="301">
        <f t="shared" si="68"/>
        <v>0</v>
      </c>
      <c r="P138" s="301">
        <f t="shared" si="68"/>
        <v>0</v>
      </c>
      <c r="Q138" s="301">
        <f t="shared" si="68"/>
        <v>0</v>
      </c>
    </row>
    <row r="139" spans="2:17" customFormat="1" ht="14.45">
      <c r="B139" s="267" t="s">
        <v>477</v>
      </c>
      <c r="E139" s="266">
        <f>IFERROR(E138/E100,"")</f>
        <v>0</v>
      </c>
      <c r="F139" s="266">
        <f>IFERROR(F138/F100,"")</f>
        <v>0</v>
      </c>
      <c r="G139" s="296">
        <f>IFERROR(G138/G100,"")</f>
        <v>0</v>
      </c>
      <c r="H139" s="288">
        <f t="shared" ref="H139:Q139" si="69">IFERROR(AVERAGE(E139:G139),"")</f>
        <v>0</v>
      </c>
      <c r="I139" s="288">
        <f t="shared" si="69"/>
        <v>0</v>
      </c>
      <c r="J139" s="288">
        <f t="shared" si="69"/>
        <v>0</v>
      </c>
      <c r="K139" s="288">
        <f t="shared" si="69"/>
        <v>0</v>
      </c>
      <c r="L139" s="288">
        <f t="shared" si="69"/>
        <v>0</v>
      </c>
      <c r="M139" s="288">
        <f t="shared" si="69"/>
        <v>0</v>
      </c>
      <c r="N139" s="288">
        <f t="shared" si="69"/>
        <v>0</v>
      </c>
      <c r="O139" s="288">
        <f t="shared" si="69"/>
        <v>0</v>
      </c>
      <c r="P139" s="288">
        <f t="shared" si="69"/>
        <v>0</v>
      </c>
      <c r="Q139" s="288">
        <f t="shared" si="69"/>
        <v>0</v>
      </c>
    </row>
    <row r="140" spans="2:17" ht="3.75" customHeight="1">
      <c r="B140" s="138"/>
      <c r="E140" s="140"/>
      <c r="F140" s="140"/>
      <c r="G140" s="141"/>
      <c r="H140" s="140"/>
      <c r="I140" s="140"/>
      <c r="J140" s="140"/>
      <c r="K140" s="140"/>
      <c r="L140" s="140"/>
      <c r="M140" s="140"/>
      <c r="N140" s="140"/>
      <c r="O140" s="140"/>
      <c r="P140" s="140"/>
      <c r="Q140" s="140"/>
    </row>
    <row r="141" spans="2:17" ht="13.5" customHeight="1">
      <c r="B141" s="184" t="s">
        <v>478</v>
      </c>
      <c r="E141" s="299">
        <f>+_xlfn.XLOOKUP($B141,Inputs!$B:$B,Inputs!O:O)</f>
        <v>-172</v>
      </c>
      <c r="F141" s="299">
        <f>+_xlfn.XLOOKUP($B141,Inputs!$B:$B,Inputs!P:P)</f>
        <v>-53</v>
      </c>
      <c r="G141" s="299">
        <f>+_xlfn.XLOOKUP($B141,Inputs!$B:$B,Inputs!Q:Q)</f>
        <v>-108</v>
      </c>
      <c r="H141" s="314">
        <v>0</v>
      </c>
      <c r="I141" s="314">
        <v>0</v>
      </c>
      <c r="J141" s="314">
        <v>0</v>
      </c>
      <c r="K141" s="314">
        <v>0</v>
      </c>
      <c r="L141" s="314">
        <v>0</v>
      </c>
      <c r="M141" s="314">
        <v>0</v>
      </c>
      <c r="N141" s="314">
        <v>0</v>
      </c>
      <c r="O141" s="314">
        <v>0</v>
      </c>
      <c r="P141" s="314">
        <v>0</v>
      </c>
      <c r="Q141" s="314">
        <v>0</v>
      </c>
    </row>
    <row r="142" spans="2:17" ht="3.75" customHeight="1">
      <c r="B142" s="138"/>
      <c r="E142" s="140"/>
      <c r="F142" s="140"/>
      <c r="G142" s="148"/>
      <c r="H142" s="140"/>
      <c r="I142" s="140"/>
      <c r="J142" s="140"/>
      <c r="K142" s="140"/>
      <c r="L142" s="140"/>
      <c r="M142" s="140"/>
      <c r="N142" s="140"/>
      <c r="O142" s="140"/>
      <c r="P142" s="140"/>
      <c r="Q142" s="140"/>
    </row>
    <row r="143" spans="2:17" ht="13.5" customHeight="1">
      <c r="B143" s="358" t="s">
        <v>479</v>
      </c>
      <c r="C143" s="358"/>
      <c r="D143" s="358"/>
      <c r="E143" s="359">
        <f>+_xlfn.XLOOKUP($B143,Inputs!$B:$B,Inputs!O:O)</f>
        <v>44</v>
      </c>
      <c r="F143" s="359">
        <f>+_xlfn.XLOOKUP($B143,Inputs!$B:$B,Inputs!P:P)</f>
        <v>1189</v>
      </c>
      <c r="G143" s="793">
        <f>+_xlfn.XLOOKUP($B143,Inputs!$B:$B,Inputs!Q:Q)</f>
        <v>440</v>
      </c>
      <c r="H143" s="360">
        <f t="shared" ref="H143:Q143" si="70">IFERROR(AVERAGE(E143:G143)*(1+H31),"")</f>
        <v>596.46188597027708</v>
      </c>
      <c r="I143" s="360">
        <f t="shared" si="70"/>
        <v>793.61193602286448</v>
      </c>
      <c r="J143" s="360">
        <f t="shared" si="70"/>
        <v>652.7442317777917</v>
      </c>
      <c r="K143" s="360">
        <f t="shared" si="70"/>
        <v>728.75187269062292</v>
      </c>
      <c r="L143" s="360">
        <f t="shared" si="70"/>
        <v>776.06292332049509</v>
      </c>
      <c r="M143" s="360">
        <f t="shared" si="70"/>
        <v>769.90412744135597</v>
      </c>
      <c r="N143" s="360">
        <f t="shared" si="70"/>
        <v>811.8062265315375</v>
      </c>
      <c r="O143" s="360">
        <f t="shared" si="70"/>
        <v>801.30423460101792</v>
      </c>
      <c r="P143" s="360">
        <f t="shared" si="70"/>
        <v>809.9127597581205</v>
      </c>
      <c r="Q143" s="360">
        <f t="shared" si="70"/>
        <v>823.5383823336108</v>
      </c>
    </row>
    <row r="144" spans="2:17" ht="5.25" customHeight="1">
      <c r="E144" s="315"/>
      <c r="F144" s="315"/>
      <c r="G144" s="300"/>
      <c r="H144" s="301"/>
      <c r="I144" s="301"/>
      <c r="J144" s="301"/>
      <c r="K144" s="301"/>
      <c r="L144" s="301"/>
      <c r="M144" s="301"/>
      <c r="N144" s="301"/>
      <c r="O144" s="301"/>
      <c r="P144" s="301"/>
      <c r="Q144" s="301"/>
    </row>
    <row r="145" spans="2:17" ht="13.5" customHeight="1">
      <c r="B145" s="135" t="s">
        <v>300</v>
      </c>
      <c r="C145" s="135"/>
      <c r="D145" s="135"/>
      <c r="E145" s="323">
        <f>+_xlfn.XLOOKUP($B145,Inputs!$B:$B,Inputs!O:O)</f>
        <v>-570</v>
      </c>
      <c r="F145" s="323">
        <f>+_xlfn.XLOOKUP($B145,Inputs!$B:$B,Inputs!P:P)</f>
        <v>776</v>
      </c>
      <c r="G145" s="794">
        <f>+_xlfn.XLOOKUP($B145,Inputs!$B:$B,Inputs!Q:Q)</f>
        <v>149</v>
      </c>
      <c r="H145" s="326">
        <f t="shared" ref="H145:Q145" si="71">IFERROR(+H134+H141+H143,"")</f>
        <v>-645.86294981430501</v>
      </c>
      <c r="I145" s="326">
        <f t="shared" si="71"/>
        <v>-539.69036459926633</v>
      </c>
      <c r="J145" s="326">
        <f t="shared" si="71"/>
        <v>-777.88913678975462</v>
      </c>
      <c r="K145" s="326">
        <f t="shared" si="71"/>
        <v>-806.31773178235414</v>
      </c>
      <c r="L145" s="326">
        <f t="shared" si="71"/>
        <v>-871.06676227900937</v>
      </c>
      <c r="M145" s="326">
        <f t="shared" si="71"/>
        <v>-997.46602520691226</v>
      </c>
      <c r="N145" s="809">
        <f t="shared" si="71"/>
        <v>-1084.581947260054</v>
      </c>
      <c r="O145" s="326">
        <f t="shared" si="71"/>
        <v>271.35466274692931</v>
      </c>
      <c r="P145" s="326">
        <f t="shared" si="71"/>
        <v>269.36419646695003</v>
      </c>
      <c r="Q145" s="326">
        <f t="shared" si="71"/>
        <v>272.17884777661698</v>
      </c>
    </row>
    <row r="146" spans="2:17" ht="3.75" customHeight="1">
      <c r="E146" s="315"/>
      <c r="F146" s="315"/>
      <c r="G146" s="300"/>
      <c r="H146" s="301"/>
      <c r="I146" s="301"/>
      <c r="J146" s="301"/>
      <c r="K146" s="301"/>
      <c r="L146" s="301"/>
      <c r="M146" s="301"/>
      <c r="N146" s="301"/>
      <c r="O146" s="301"/>
      <c r="P146" s="301"/>
      <c r="Q146" s="301"/>
    </row>
    <row r="147" spans="2:17" ht="13.5" customHeight="1">
      <c r="B147" s="320" t="s">
        <v>129</v>
      </c>
      <c r="C147" s="320"/>
      <c r="D147" s="320"/>
      <c r="E147" s="321">
        <f>+_xlfn.XLOOKUP($B147,Inputs!$B:$B,Inputs!O:O)</f>
        <v>0</v>
      </c>
      <c r="F147" s="321">
        <f>+_xlfn.XLOOKUP($B147,Inputs!$B:$B,Inputs!P:P)</f>
        <v>0</v>
      </c>
      <c r="G147" s="321">
        <f>+_xlfn.XLOOKUP($B147,Inputs!$B:$B,Inputs!Q:Q)</f>
        <v>0</v>
      </c>
      <c r="H147" s="320">
        <f t="shared" ref="H147:Q147" si="72">+IFERROR(H148*_xlfn.XLOOKUP("Net Income",$B:$B,$H:$H),"")</f>
        <v>0</v>
      </c>
      <c r="I147" s="320">
        <f t="shared" si="72"/>
        <v>0</v>
      </c>
      <c r="J147" s="320">
        <f t="shared" si="72"/>
        <v>0</v>
      </c>
      <c r="K147" s="320">
        <f t="shared" si="72"/>
        <v>0</v>
      </c>
      <c r="L147" s="320">
        <f t="shared" si="72"/>
        <v>0</v>
      </c>
      <c r="M147" s="320">
        <f t="shared" si="72"/>
        <v>0</v>
      </c>
      <c r="N147" s="320">
        <f t="shared" si="72"/>
        <v>0</v>
      </c>
      <c r="O147" s="320">
        <f t="shared" si="72"/>
        <v>0</v>
      </c>
      <c r="P147" s="320">
        <f t="shared" si="72"/>
        <v>0</v>
      </c>
      <c r="Q147" s="320">
        <f t="shared" si="72"/>
        <v>0</v>
      </c>
    </row>
    <row r="148" spans="2:17" ht="13.5" customHeight="1">
      <c r="B148" s="258" t="s">
        <v>480</v>
      </c>
      <c r="E148" s="316">
        <f>IFERROR(-E147/E$81,"")</f>
        <v>0</v>
      </c>
      <c r="F148" s="316">
        <f>IFERROR(-F147/F$81,"")</f>
        <v>0</v>
      </c>
      <c r="G148" s="317">
        <f>IFERROR(-G147/G$81,"")</f>
        <v>0</v>
      </c>
      <c r="H148" s="318">
        <f t="shared" ref="H148:Q148" si="73">(G148*1.05)</f>
        <v>0</v>
      </c>
      <c r="I148" s="318">
        <f t="shared" si="73"/>
        <v>0</v>
      </c>
      <c r="J148" s="318">
        <f t="shared" si="73"/>
        <v>0</v>
      </c>
      <c r="K148" s="318">
        <f t="shared" si="73"/>
        <v>0</v>
      </c>
      <c r="L148" s="318">
        <f t="shared" si="73"/>
        <v>0</v>
      </c>
      <c r="M148" s="318">
        <f t="shared" si="73"/>
        <v>0</v>
      </c>
      <c r="N148" s="318">
        <f t="shared" si="73"/>
        <v>0</v>
      </c>
      <c r="O148" s="318">
        <f t="shared" si="73"/>
        <v>0</v>
      </c>
      <c r="P148" s="318">
        <f t="shared" si="73"/>
        <v>0</v>
      </c>
      <c r="Q148" s="318">
        <f t="shared" si="73"/>
        <v>0</v>
      </c>
    </row>
    <row r="149" spans="2:17" ht="3.75" customHeight="1">
      <c r="E149" s="315"/>
      <c r="F149" s="315"/>
      <c r="G149" s="300"/>
      <c r="H149" s="301"/>
      <c r="I149" s="301"/>
      <c r="J149" s="301"/>
      <c r="K149" s="301"/>
      <c r="L149" s="301"/>
      <c r="M149" s="301"/>
      <c r="N149" s="301"/>
      <c r="O149" s="301"/>
      <c r="P149" s="301"/>
      <c r="Q149" s="301"/>
    </row>
    <row r="150" spans="2:17" ht="13.5" customHeight="1">
      <c r="B150" s="110" t="s">
        <v>481</v>
      </c>
      <c r="E150" s="275">
        <f>+_xlfn.XLOOKUP($B150,Inputs!$B:$B,Inputs!O:O)</f>
        <v>-6272</v>
      </c>
      <c r="F150" s="275">
        <f>+_xlfn.XLOOKUP($B150,Inputs!$B:$B,Inputs!P:P)</f>
        <v>-4126</v>
      </c>
      <c r="G150" s="275">
        <f>+_xlfn.XLOOKUP($B150,Inputs!$B:$B,Inputs!Q:Q)</f>
        <v>-9139</v>
      </c>
      <c r="H150" s="154">
        <f>IFERROR(-H151*_xlfn.XLOOKUP("Net Income",$B:$B,H:H),"")</f>
        <v>123.70340087116637</v>
      </c>
      <c r="I150" s="154">
        <f t="shared" ref="I150:Q150" si="74">IFERROR(-I151*_xlfn.XLOOKUP("Net Income",$B:$B,I:I),"")</f>
        <v>131.3036724961496</v>
      </c>
      <c r="J150" s="154">
        <f t="shared" si="74"/>
        <v>6913.6071540059011</v>
      </c>
      <c r="K150" s="154">
        <f t="shared" si="74"/>
        <v>147.12932912148682</v>
      </c>
      <c r="L150" s="154">
        <f t="shared" si="74"/>
        <v>156.16229177818573</v>
      </c>
      <c r="M150" s="154">
        <f t="shared" si="74"/>
        <v>8451.4489995221975</v>
      </c>
      <c r="N150" s="154">
        <f t="shared" si="74"/>
        <v>176.21893770967927</v>
      </c>
      <c r="O150" s="154">
        <f t="shared" si="74"/>
        <v>177.10449113299177</v>
      </c>
      <c r="P150" s="154">
        <f t="shared" si="74"/>
        <v>9188.4790961063482</v>
      </c>
      <c r="Q150" s="154">
        <f t="shared" si="74"/>
        <v>183.39412075504146</v>
      </c>
    </row>
    <row r="151" spans="2:17" ht="13.5" customHeight="1">
      <c r="B151" s="258" t="s">
        <v>482</v>
      </c>
      <c r="E151" s="316">
        <f>IFERROR(-E150/E$81,"")</f>
        <v>1.3187552565180825</v>
      </c>
      <c r="F151" s="316">
        <f>IFERROR(-F150/F$81,"")</f>
        <v>0.76013264554163595</v>
      </c>
      <c r="G151" s="317">
        <f>IFERROR(-G150/G$81,"")</f>
        <v>1.6437050359712231</v>
      </c>
      <c r="H151" s="318">
        <v>-0.01</v>
      </c>
      <c r="I151" s="318">
        <v>-0.01</v>
      </c>
      <c r="J151" s="318">
        <v>-0.5</v>
      </c>
      <c r="K151" s="318">
        <v>-0.01</v>
      </c>
      <c r="L151" s="318">
        <v>-0.01</v>
      </c>
      <c r="M151" s="318">
        <v>-0.51</v>
      </c>
      <c r="N151" s="318">
        <v>-0.01</v>
      </c>
      <c r="O151" s="318">
        <v>-0.01</v>
      </c>
      <c r="P151" s="318">
        <v>-0.51</v>
      </c>
      <c r="Q151" s="318">
        <v>-0.01</v>
      </c>
    </row>
    <row r="152" spans="2:17" ht="3.75" customHeight="1">
      <c r="E152" s="315"/>
      <c r="F152" s="315"/>
      <c r="G152" s="300"/>
      <c r="H152" s="301"/>
      <c r="I152" s="301"/>
      <c r="J152" s="301"/>
      <c r="K152" s="301"/>
      <c r="L152" s="301"/>
      <c r="M152" s="301"/>
      <c r="N152" s="301"/>
      <c r="O152" s="301"/>
      <c r="P152" s="301"/>
      <c r="Q152" s="301"/>
    </row>
    <row r="153" spans="2:17" ht="15.6">
      <c r="B153" s="110" t="s">
        <v>483</v>
      </c>
      <c r="E153" s="275">
        <f>+_xlfn.XLOOKUP($B153,Inputs!$B:$B,Inputs!O:O)</f>
        <v>0</v>
      </c>
      <c r="F153" s="275">
        <f>+_xlfn.XLOOKUP($B153,Inputs!$B:$B,Inputs!P:P)</f>
        <v>0</v>
      </c>
      <c r="G153" s="275">
        <f>+_xlfn.XLOOKUP($B153,Inputs!$B:$B,Inputs!Q:Q)</f>
        <v>0</v>
      </c>
      <c r="H153" s="154">
        <f t="shared" ref="H153:Q153" si="75">+IFERROR(H154*H101,"")</f>
        <v>0</v>
      </c>
      <c r="I153" s="154">
        <f t="shared" si="75"/>
        <v>0</v>
      </c>
      <c r="J153" s="154">
        <f t="shared" si="75"/>
        <v>0</v>
      </c>
      <c r="K153" s="154">
        <f t="shared" si="75"/>
        <v>0</v>
      </c>
      <c r="L153" s="154">
        <f t="shared" si="75"/>
        <v>0</v>
      </c>
      <c r="M153" s="154">
        <f t="shared" si="75"/>
        <v>0</v>
      </c>
      <c r="N153" s="154">
        <f t="shared" si="75"/>
        <v>0</v>
      </c>
      <c r="O153" s="154">
        <f t="shared" si="75"/>
        <v>0</v>
      </c>
      <c r="P153" s="154">
        <f t="shared" si="75"/>
        <v>0</v>
      </c>
      <c r="Q153" s="154">
        <f t="shared" si="75"/>
        <v>0</v>
      </c>
    </row>
    <row r="154" spans="2:17" ht="15.6">
      <c r="B154" s="258" t="s">
        <v>484</v>
      </c>
      <c r="E154" s="260">
        <f>IFERROR(E153/E101,"")</f>
        <v>0</v>
      </c>
      <c r="F154" s="260">
        <f>IFERROR(F153/F101,"")</f>
        <v>0</v>
      </c>
      <c r="G154" s="264">
        <f>IFERROR(G153/G101,"")</f>
        <v>0</v>
      </c>
      <c r="H154" s="288"/>
      <c r="I154" s="288"/>
      <c r="J154" s="288"/>
      <c r="K154" s="288"/>
      <c r="L154" s="288"/>
      <c r="M154" s="288"/>
      <c r="N154" s="288"/>
      <c r="O154" s="288"/>
      <c r="P154" s="288"/>
      <c r="Q154" s="288"/>
    </row>
    <row r="155" spans="2:17" ht="3.75" customHeight="1">
      <c r="B155" s="258"/>
      <c r="E155" s="260"/>
      <c r="F155" s="260"/>
      <c r="G155" s="264"/>
      <c r="H155" s="312"/>
      <c r="I155" s="312"/>
      <c r="J155" s="312"/>
      <c r="K155" s="312"/>
      <c r="L155" s="312"/>
      <c r="M155" s="312"/>
      <c r="N155" s="312"/>
      <c r="O155" s="312"/>
      <c r="P155" s="312"/>
      <c r="Q155" s="312"/>
    </row>
    <row r="156" spans="2:17" ht="15.6">
      <c r="B156" s="110" t="s">
        <v>301</v>
      </c>
      <c r="E156" s="136">
        <f>+_xlfn.XLOOKUP($B156,Inputs!$B:$B,Inputs!O:O)</f>
        <v>0</v>
      </c>
      <c r="F156" s="136">
        <f>+_xlfn.XLOOKUP($B156,Inputs!$B:$B,Inputs!P:P)</f>
        <v>0</v>
      </c>
      <c r="G156" s="275">
        <f>+_xlfn.XLOOKUP($B156,Inputs!$B:$B,Inputs!Q:Q)</f>
        <v>1997</v>
      </c>
      <c r="H156" s="301">
        <f t="shared" ref="H156:Q156" si="76">IFERROR(MAX(0,-G229),"")</f>
        <v>0</v>
      </c>
      <c r="I156" s="301">
        <f t="shared" si="76"/>
        <v>0</v>
      </c>
      <c r="J156" s="301">
        <f t="shared" si="76"/>
        <v>0</v>
      </c>
      <c r="K156" s="301">
        <f t="shared" si="76"/>
        <v>0</v>
      </c>
      <c r="L156" s="301">
        <f t="shared" si="76"/>
        <v>0</v>
      </c>
      <c r="M156" s="301">
        <f t="shared" si="76"/>
        <v>0</v>
      </c>
      <c r="N156" s="301">
        <f t="shared" si="76"/>
        <v>0</v>
      </c>
      <c r="O156" s="301">
        <f t="shared" si="76"/>
        <v>0</v>
      </c>
      <c r="P156" s="301">
        <f t="shared" si="76"/>
        <v>0</v>
      </c>
      <c r="Q156" s="301">
        <f t="shared" si="76"/>
        <v>0</v>
      </c>
    </row>
    <row r="157" spans="2:17" ht="3.75" customHeight="1">
      <c r="B157" s="258"/>
      <c r="E157" s="260"/>
      <c r="F157" s="260"/>
      <c r="G157" s="264"/>
      <c r="H157" s="312"/>
      <c r="I157" s="312"/>
      <c r="J157" s="312"/>
      <c r="K157" s="312"/>
      <c r="L157" s="312"/>
      <c r="M157" s="312"/>
      <c r="N157" s="312"/>
      <c r="O157" s="312"/>
      <c r="P157" s="312"/>
      <c r="Q157" s="312"/>
    </row>
    <row r="158" spans="2:17" ht="15.6">
      <c r="B158" s="110" t="s">
        <v>302</v>
      </c>
      <c r="E158" s="136">
        <f>+_xlfn.XLOOKUP($B158,Inputs!$B:$B,Inputs!O:O)</f>
        <v>0</v>
      </c>
      <c r="F158" s="136">
        <f>+_xlfn.XLOOKUP($B158,Inputs!$B:$B,Inputs!P:P)</f>
        <v>-500</v>
      </c>
      <c r="G158" s="275">
        <f>+_xlfn.XLOOKUP($B158,Inputs!$B:$B,Inputs!Q:Q)</f>
        <v>0</v>
      </c>
      <c r="H158" s="301">
        <f t="shared" ref="H158:Q158" si="77">IFERROR(MAX(0,H159*G229),"")</f>
        <v>0</v>
      </c>
      <c r="I158" s="301">
        <f t="shared" si="77"/>
        <v>0</v>
      </c>
      <c r="J158" s="301">
        <f t="shared" si="77"/>
        <v>0</v>
      </c>
      <c r="K158" s="301">
        <f t="shared" si="77"/>
        <v>0</v>
      </c>
      <c r="L158" s="301">
        <f t="shared" si="77"/>
        <v>0</v>
      </c>
      <c r="M158" s="301">
        <f t="shared" si="77"/>
        <v>0</v>
      </c>
      <c r="N158" s="301">
        <f t="shared" si="77"/>
        <v>0</v>
      </c>
      <c r="O158" s="301">
        <f t="shared" si="77"/>
        <v>0</v>
      </c>
      <c r="P158" s="301">
        <f t="shared" si="77"/>
        <v>0</v>
      </c>
      <c r="Q158" s="301">
        <f t="shared" si="77"/>
        <v>0</v>
      </c>
    </row>
    <row r="159" spans="2:17" ht="15.6">
      <c r="B159" s="258" t="s">
        <v>485</v>
      </c>
      <c r="E159" s="278">
        <f>IFERROR(E158/E229,"")</f>
        <v>0</v>
      </c>
      <c r="F159" s="278">
        <f>IFERROR(F158/F229,"")</f>
        <v>-6.1568772318679965E-2</v>
      </c>
      <c r="G159" s="273">
        <f>IFERROR(G158/G229,"")</f>
        <v>0</v>
      </c>
      <c r="H159" s="288">
        <f t="shared" ref="H159:Q159" si="78">AVERAGE(E159:G159)</f>
        <v>-2.0522924106226654E-2</v>
      </c>
      <c r="I159" s="288">
        <f t="shared" si="78"/>
        <v>-2.7363898808302204E-2</v>
      </c>
      <c r="J159" s="288">
        <f t="shared" si="78"/>
        <v>-1.5962274304842951E-2</v>
      </c>
      <c r="K159" s="288">
        <f t="shared" si="78"/>
        <v>-2.1283032406457267E-2</v>
      </c>
      <c r="L159" s="288">
        <f t="shared" si="78"/>
        <v>-2.1536401839867474E-2</v>
      </c>
      <c r="M159" s="288">
        <f t="shared" si="78"/>
        <v>-1.9593902850389231E-2</v>
      </c>
      <c r="N159" s="288">
        <f t="shared" si="78"/>
        <v>-2.0804445698904658E-2</v>
      </c>
      <c r="O159" s="288">
        <f t="shared" si="78"/>
        <v>-2.0644916796387122E-2</v>
      </c>
      <c r="P159" s="288">
        <f t="shared" si="78"/>
        <v>-2.0347755115227004E-2</v>
      </c>
      <c r="Q159" s="288">
        <f t="shared" si="78"/>
        <v>-2.0599039203506263E-2</v>
      </c>
    </row>
    <row r="160" spans="2:17" ht="3.75" customHeight="1">
      <c r="B160" s="258"/>
      <c r="E160" s="278"/>
      <c r="F160" s="278"/>
      <c r="G160" s="264"/>
      <c r="H160" s="312"/>
      <c r="I160" s="312"/>
      <c r="J160" s="312"/>
      <c r="K160" s="312"/>
      <c r="L160" s="312"/>
      <c r="M160" s="312"/>
      <c r="N160" s="312"/>
      <c r="O160" s="312"/>
      <c r="P160" s="312"/>
      <c r="Q160" s="312"/>
    </row>
    <row r="161" spans="1:17" ht="15.6">
      <c r="B161" s="358" t="s">
        <v>486</v>
      </c>
      <c r="C161" s="358"/>
      <c r="D161" s="358"/>
      <c r="E161" s="359">
        <f>+_xlfn.XLOOKUP($B161,Inputs!$B:$B,Inputs!O:O)</f>
        <v>-553</v>
      </c>
      <c r="F161" s="359">
        <f>+_xlfn.XLOOKUP($B161,Inputs!$B:$B,Inputs!P:P)</f>
        <v>-556</v>
      </c>
      <c r="G161" s="793">
        <f>+_xlfn.XLOOKUP($B161,Inputs!$B:$B,Inputs!Q:Q)</f>
        <v>-582</v>
      </c>
      <c r="H161" s="361">
        <f t="shared" ref="H161:Q161" si="79">IFERROR(AVERAGE(E161:G161)*(1+H31),"")</f>
        <v>-602.87928821024423</v>
      </c>
      <c r="I161" s="361">
        <f t="shared" si="79"/>
        <v>-620.80711919102737</v>
      </c>
      <c r="J161" s="361">
        <f t="shared" si="79"/>
        <v>-644.04581534698389</v>
      </c>
      <c r="K161" s="361">
        <f t="shared" si="79"/>
        <v>-666.29201386773934</v>
      </c>
      <c r="L161" s="361">
        <f t="shared" si="79"/>
        <v>-689.01864464483003</v>
      </c>
      <c r="M161" s="361">
        <f t="shared" si="79"/>
        <v>-713.45107207962235</v>
      </c>
      <c r="N161" s="361">
        <f t="shared" si="79"/>
        <v>-738.30381274356546</v>
      </c>
      <c r="O161" s="361">
        <f t="shared" si="79"/>
        <v>-727.55549102401392</v>
      </c>
      <c r="P161" s="361">
        <f t="shared" si="79"/>
        <v>-740.68001485806656</v>
      </c>
      <c r="Q161" s="361">
        <f t="shared" si="79"/>
        <v>-749.95972194954925</v>
      </c>
    </row>
    <row r="162" spans="1:17" ht="5.25" customHeight="1">
      <c r="E162" s="319"/>
      <c r="F162" s="319"/>
      <c r="G162" s="250"/>
      <c r="H162" s="301"/>
      <c r="I162" s="301"/>
      <c r="J162" s="301"/>
      <c r="K162" s="301"/>
      <c r="L162" s="301"/>
      <c r="M162" s="301"/>
      <c r="N162" s="301"/>
      <c r="O162" s="301"/>
      <c r="P162" s="301"/>
      <c r="Q162" s="301"/>
    </row>
    <row r="163" spans="1:17" ht="15.6">
      <c r="B163" s="135" t="s">
        <v>303</v>
      </c>
      <c r="C163" s="135"/>
      <c r="D163" s="135"/>
      <c r="E163" s="323">
        <f>+_xlfn.XLOOKUP($B163,Inputs!$B:$B,Inputs!O:O)</f>
        <v>-6825</v>
      </c>
      <c r="F163" s="323">
        <f>+_xlfn.XLOOKUP($B163,Inputs!$B:$B,Inputs!P:P)</f>
        <v>-5182</v>
      </c>
      <c r="G163" s="794">
        <f>+_xlfn.XLOOKUP($B163,Inputs!$B:$B,Inputs!Q:Q)</f>
        <v>-7724</v>
      </c>
      <c r="H163" s="809">
        <f t="shared" ref="H163:Q163" si="80">IFERROR(+H147+H150+H153+H156+H158+H161,"")</f>
        <v>-479.17588733907786</v>
      </c>
      <c r="I163" s="326">
        <f t="shared" si="80"/>
        <v>-489.50344669487777</v>
      </c>
      <c r="J163" s="326">
        <f t="shared" si="80"/>
        <v>6269.5613386589175</v>
      </c>
      <c r="K163" s="326">
        <f t="shared" si="80"/>
        <v>-519.16268474625258</v>
      </c>
      <c r="L163" s="326">
        <f t="shared" si="80"/>
        <v>-532.85635286664433</v>
      </c>
      <c r="M163" s="326">
        <f t="shared" si="80"/>
        <v>7737.997927442575</v>
      </c>
      <c r="N163" s="326">
        <f t="shared" si="80"/>
        <v>-562.08487503388619</v>
      </c>
      <c r="O163" s="326">
        <f t="shared" si="80"/>
        <v>-550.45099989102209</v>
      </c>
      <c r="P163" s="326">
        <f t="shared" si="80"/>
        <v>8447.7990812482822</v>
      </c>
      <c r="Q163" s="326">
        <f t="shared" si="80"/>
        <v>-566.56560119450774</v>
      </c>
    </row>
    <row r="164" spans="1:17" ht="3.75" customHeight="1">
      <c r="B164" s="258"/>
      <c r="E164" s="278"/>
      <c r="F164" s="278"/>
      <c r="G164" s="264"/>
      <c r="H164" s="312"/>
      <c r="I164" s="312"/>
      <c r="J164" s="312"/>
      <c r="K164" s="312"/>
      <c r="L164" s="312"/>
      <c r="M164" s="312"/>
      <c r="N164" s="312"/>
      <c r="O164" s="312"/>
      <c r="P164" s="312"/>
      <c r="Q164" s="312"/>
    </row>
    <row r="165" spans="1:17" ht="15.6">
      <c r="B165" s="451" t="s">
        <v>304</v>
      </c>
      <c r="C165" s="320"/>
      <c r="D165" s="320"/>
      <c r="E165" s="324">
        <f>+_xlfn.XLOOKUP($B165,Inputs!$B:$B,Inputs!O:O)</f>
        <v>392</v>
      </c>
      <c r="F165" s="324">
        <f>+_xlfn.XLOOKUP($B165,Inputs!$B:$B,Inputs!P:P)</f>
        <v>2905</v>
      </c>
      <c r="G165" s="795">
        <f>+_xlfn.XLOOKUP($B165,Inputs!$B:$B,Inputs!Q:Q)</f>
        <v>472</v>
      </c>
      <c r="H165" s="810">
        <f t="shared" ref="H165:Q165" si="81">IFERROR(+H132+H145+H163,"")</f>
        <v>17097.386582856987</v>
      </c>
      <c r="I165" s="325">
        <f t="shared" si="81"/>
        <v>14000.569148324343</v>
      </c>
      <c r="J165" s="325">
        <f t="shared" si="81"/>
        <v>21411.056328627354</v>
      </c>
      <c r="K165" s="325">
        <f t="shared" si="81"/>
        <v>17432.00003532293</v>
      </c>
      <c r="L165" s="325">
        <f t="shared" si="81"/>
        <v>17654.562791873232</v>
      </c>
      <c r="M165" s="325">
        <f t="shared" si="81"/>
        <v>27336.312439584894</v>
      </c>
      <c r="N165" s="325">
        <f t="shared" si="81"/>
        <v>20715.0393657606</v>
      </c>
      <c r="O165" s="325">
        <f t="shared" si="81"/>
        <v>22252.793827244303</v>
      </c>
      <c r="P165" s="325">
        <f t="shared" si="81"/>
        <v>31918.372957670712</v>
      </c>
      <c r="Q165" s="325">
        <f t="shared" si="81"/>
        <v>23378.868491393179</v>
      </c>
    </row>
    <row r="166" spans="1:17" ht="15.6">
      <c r="B166" s="258"/>
      <c r="E166" s="302"/>
      <c r="F166" s="278"/>
      <c r="G166" s="264"/>
      <c r="H166" s="312"/>
      <c r="I166" s="312"/>
      <c r="J166" s="312"/>
      <c r="K166" s="312"/>
      <c r="L166" s="312"/>
      <c r="M166" s="312"/>
      <c r="N166" s="312"/>
      <c r="O166" s="312"/>
      <c r="P166" s="312"/>
      <c r="Q166" s="312"/>
    </row>
    <row r="167" spans="1:17" ht="3.75" customHeight="1">
      <c r="G167" s="133"/>
      <c r="H167" s="115"/>
      <c r="I167" s="115"/>
      <c r="J167" s="115"/>
      <c r="K167" s="115"/>
      <c r="L167" s="115"/>
      <c r="O167" s="115"/>
      <c r="P167" s="115"/>
      <c r="Q167" s="115"/>
    </row>
    <row r="168" spans="1:17" ht="15.6">
      <c r="A168" s="110" t="s">
        <v>392</v>
      </c>
      <c r="B168" s="52" t="s">
        <v>487</v>
      </c>
      <c r="C168" s="52"/>
      <c r="D168" s="52"/>
      <c r="E168" s="121">
        <f t="shared" ref="E168:Q168" si="82">E28</f>
        <v>2022</v>
      </c>
      <c r="F168" s="121">
        <f t="shared" si="82"/>
        <v>2023</v>
      </c>
      <c r="G168" s="149">
        <f t="shared" si="82"/>
        <v>2024</v>
      </c>
      <c r="H168" s="87">
        <f t="shared" si="82"/>
        <v>2025</v>
      </c>
      <c r="I168" s="87">
        <f t="shared" si="82"/>
        <v>2026</v>
      </c>
      <c r="J168" s="87">
        <f t="shared" si="82"/>
        <v>2027</v>
      </c>
      <c r="K168" s="87">
        <f t="shared" si="82"/>
        <v>2028</v>
      </c>
      <c r="L168" s="87">
        <f t="shared" si="82"/>
        <v>2029</v>
      </c>
      <c r="M168" s="87">
        <f t="shared" si="82"/>
        <v>2030</v>
      </c>
      <c r="N168" s="87">
        <f t="shared" si="82"/>
        <v>2031</v>
      </c>
      <c r="O168" s="87">
        <f t="shared" si="82"/>
        <v>2032</v>
      </c>
      <c r="P168" s="87">
        <f t="shared" si="82"/>
        <v>2033</v>
      </c>
      <c r="Q168" s="87">
        <f t="shared" si="82"/>
        <v>2034</v>
      </c>
    </row>
    <row r="169" spans="1:17" ht="3.95" customHeight="1">
      <c r="B169" s="53"/>
      <c r="C169" s="53"/>
      <c r="D169" s="53"/>
      <c r="E169" s="53"/>
      <c r="F169" s="53"/>
      <c r="G169" s="151"/>
      <c r="H169" s="53"/>
      <c r="I169" s="53"/>
      <c r="J169" s="53"/>
      <c r="K169" s="53"/>
      <c r="L169" s="53"/>
      <c r="M169" s="53"/>
      <c r="N169" s="53"/>
      <c r="O169" s="53"/>
      <c r="P169" s="53"/>
      <c r="Q169" s="53"/>
    </row>
    <row r="170" spans="1:17" ht="15.6">
      <c r="B170" s="110" t="s">
        <v>159</v>
      </c>
      <c r="E170" s="137">
        <f>$E$30</f>
        <v>17606</v>
      </c>
      <c r="F170" s="137">
        <f>$F$30</f>
        <v>19409</v>
      </c>
      <c r="G170" s="161">
        <f>$G$30</f>
        <v>21505</v>
      </c>
      <c r="H170" s="137">
        <f t="shared" ref="H170:Q170" ca="1" si="83">IFERROR(G170*(1+H171),"")</f>
        <v>23001.039195082143</v>
      </c>
      <c r="I170" s="137">
        <f t="shared" ca="1" si="83"/>
        <v>24606.89085877797</v>
      </c>
      <c r="J170" s="137">
        <f t="shared" ca="1" si="83"/>
        <v>26330.095338820469</v>
      </c>
      <c r="K170" s="137">
        <f t="shared" ca="1" si="83"/>
        <v>28178.877092163697</v>
      </c>
      <c r="L170" s="137">
        <f t="shared" ca="1" si="83"/>
        <v>30162.062745757899</v>
      </c>
      <c r="M170" s="137">
        <f t="shared" ca="1" si="83"/>
        <v>32289.12345063702</v>
      </c>
      <c r="N170" s="137">
        <f t="shared" ca="1" si="83"/>
        <v>34570.220341801643</v>
      </c>
      <c r="O170" s="137">
        <f t="shared" ca="1" si="83"/>
        <v>35246.727347901287</v>
      </c>
      <c r="P170" s="137">
        <f t="shared" ca="1" si="83"/>
        <v>35937.808801914536</v>
      </c>
      <c r="Q170" s="137">
        <f t="shared" ca="1" si="83"/>
        <v>36643.682986823478</v>
      </c>
    </row>
    <row r="171" spans="1:17" ht="15.6">
      <c r="B171" s="258" t="s">
        <v>432</v>
      </c>
      <c r="C171" s="258"/>
      <c r="D171" s="258"/>
      <c r="E171" s="289">
        <f>$E$31</f>
        <v>0</v>
      </c>
      <c r="F171" s="289">
        <f>$F$31</f>
        <v>0.10240826990798592</v>
      </c>
      <c r="G171" s="290">
        <f>$G$31</f>
        <v>0.10799113813179453</v>
      </c>
      <c r="H171" s="289">
        <f ca="1">+OFFSET($H$171,$C$7,0)</f>
        <v>6.956703999451963E-2</v>
      </c>
      <c r="I171" s="289">
        <f ca="1">+OFFSET($I$171,$C$7,0)</f>
        <v>6.9816483076085234E-2</v>
      </c>
      <c r="J171" s="289">
        <f ca="1">+OFFSET($J$171,$C$7,0)</f>
        <v>7.0029346248259738E-2</v>
      </c>
      <c r="K171" s="289">
        <f ca="1">+OFFSET($K$171,$C$7,0)</f>
        <v>7.0215535855558731E-2</v>
      </c>
      <c r="L171" s="289">
        <f ca="1">+OFFSET($L$171,$C$7,0)</f>
        <v>7.0378448619789369E-2</v>
      </c>
      <c r="M171" s="289">
        <f ca="1">+OFFSET($M$171,$C$7,0)</f>
        <v>7.0521062263166234E-2</v>
      </c>
      <c r="N171" s="289">
        <f ca="1">+OFFSET($N$171,$C$7,0)</f>
        <v>7.0645983767627429E-2</v>
      </c>
      <c r="O171" s="289">
        <f ca="1">+OFFSET($O$171,$C$7,0)</f>
        <v>1.9569068389235111E-2</v>
      </c>
      <c r="P171" s="289">
        <f ca="1">+OFFSET($P$171,$C$7,0)</f>
        <v>1.9606967965903888E-2</v>
      </c>
      <c r="Q171" s="289">
        <f ca="1">+OFFSET($Q$171,$C$7,0)</f>
        <v>1.9641547674752458E-2</v>
      </c>
    </row>
    <row r="172" spans="1:17" ht="15.6">
      <c r="B172" s="257" t="s">
        <v>408</v>
      </c>
      <c r="G172" s="144"/>
      <c r="H172" s="549">
        <f t="shared" ref="H172:Q172" si="84">IFERROR(+H173+$F$7,"")</f>
        <v>4.9567039994519627E-2</v>
      </c>
      <c r="I172" s="549">
        <f t="shared" si="84"/>
        <v>4.981648307608523E-2</v>
      </c>
      <c r="J172" s="549">
        <f t="shared" si="84"/>
        <v>5.0029346248259735E-2</v>
      </c>
      <c r="K172" s="549">
        <f t="shared" si="84"/>
        <v>5.0215535855558727E-2</v>
      </c>
      <c r="L172" s="549">
        <f t="shared" si="84"/>
        <v>5.0378448619789365E-2</v>
      </c>
      <c r="M172" s="549">
        <f t="shared" si="84"/>
        <v>5.052106226316623E-2</v>
      </c>
      <c r="N172" s="549">
        <f t="shared" si="84"/>
        <v>5.0645983767627425E-2</v>
      </c>
      <c r="O172" s="549">
        <f t="shared" si="84"/>
        <v>-4.3093161076488903E-4</v>
      </c>
      <c r="P172" s="549">
        <f t="shared" si="84"/>
        <v>-3.9303203409611284E-4</v>
      </c>
      <c r="Q172" s="549">
        <f t="shared" si="84"/>
        <v>-3.5845232524754286E-4</v>
      </c>
    </row>
    <row r="173" spans="1:17" ht="15.6">
      <c r="B173" s="257" t="s">
        <v>409</v>
      </c>
      <c r="G173" s="144"/>
      <c r="H173" s="550">
        <f>$H$31</f>
        <v>6.956703999451963E-2</v>
      </c>
      <c r="I173" s="550">
        <f>$I$31</f>
        <v>6.9816483076085234E-2</v>
      </c>
      <c r="J173" s="550">
        <f>$J$31</f>
        <v>7.0029346248259738E-2</v>
      </c>
      <c r="K173" s="550">
        <f>$K$31</f>
        <v>7.0215535855558731E-2</v>
      </c>
      <c r="L173" s="550">
        <f>$L$31</f>
        <v>7.0378448619789369E-2</v>
      </c>
      <c r="M173" s="550">
        <f>$M$31</f>
        <v>7.0521062263166234E-2</v>
      </c>
      <c r="N173" s="550">
        <f>$N$31</f>
        <v>7.0645983767627429E-2</v>
      </c>
      <c r="O173" s="551">
        <f>$O$31</f>
        <v>1.9569068389235111E-2</v>
      </c>
      <c r="P173" s="550">
        <f>$P$31</f>
        <v>1.9606967965903888E-2</v>
      </c>
      <c r="Q173" s="550">
        <f>$Q$31</f>
        <v>1.9641547674752458E-2</v>
      </c>
    </row>
    <row r="174" spans="1:17" ht="15.6">
      <c r="B174" s="257" t="s">
        <v>410</v>
      </c>
      <c r="G174" s="144"/>
      <c r="H174" s="552">
        <f t="shared" ref="H174:Q174" si="85">IFERROR(+H173+$L$7,"")</f>
        <v>8.9567039994519634E-2</v>
      </c>
      <c r="I174" s="552">
        <f t="shared" si="85"/>
        <v>8.9816483076085238E-2</v>
      </c>
      <c r="J174" s="552">
        <f t="shared" si="85"/>
        <v>9.0029346248259742E-2</v>
      </c>
      <c r="K174" s="552">
        <f t="shared" si="85"/>
        <v>9.0215535855558734E-2</v>
      </c>
      <c r="L174" s="552">
        <f t="shared" si="85"/>
        <v>9.0378448619789373E-2</v>
      </c>
      <c r="M174" s="552">
        <f t="shared" si="85"/>
        <v>9.0521062263166238E-2</v>
      </c>
      <c r="N174" s="552">
        <f t="shared" si="85"/>
        <v>9.0645983767627433E-2</v>
      </c>
      <c r="O174" s="552">
        <f t="shared" si="85"/>
        <v>3.9569068389235115E-2</v>
      </c>
      <c r="P174" s="552">
        <f t="shared" si="85"/>
        <v>3.9606967965903891E-2</v>
      </c>
      <c r="Q174" s="552">
        <f t="shared" si="85"/>
        <v>3.9641547674752461E-2</v>
      </c>
    </row>
    <row r="175" spans="1:17" ht="3.75" customHeight="1">
      <c r="G175" s="144"/>
    </row>
    <row r="176" spans="1:17" ht="15.6">
      <c r="B176" s="110" t="s">
        <v>418</v>
      </c>
      <c r="E176" s="137">
        <f t="shared" ref="E176:G177" si="86">+E59</f>
        <v>6098</v>
      </c>
      <c r="F176" s="137">
        <f t="shared" si="86"/>
        <v>5946</v>
      </c>
      <c r="G176" s="161">
        <f t="shared" si="86"/>
        <v>6873</v>
      </c>
      <c r="H176" s="811">
        <f t="shared" ref="H176:Q176" ca="1" si="87">IFERROR(H177*H170,"")</f>
        <v>12297.533552431025</v>
      </c>
      <c r="I176" s="162">
        <f t="shared" ca="1" si="87"/>
        <v>13120.187359241843</v>
      </c>
      <c r="J176" s="162">
        <f t="shared" ca="1" si="87"/>
        <v>13639.127972282038</v>
      </c>
      <c r="K176" s="162">
        <f t="shared" ca="1" si="87"/>
        <v>14618.327495798518</v>
      </c>
      <c r="L176" s="162">
        <f t="shared" ca="1" si="87"/>
        <v>15513.964325055382</v>
      </c>
      <c r="M176" s="162">
        <f t="shared" ca="1" si="87"/>
        <v>16436.540325153746</v>
      </c>
      <c r="N176" s="162">
        <f t="shared" ca="1" si="87"/>
        <v>17506.145255852578</v>
      </c>
      <c r="O176" s="162">
        <f t="shared" ca="1" si="87"/>
        <v>17592.843481088727</v>
      </c>
      <c r="P176" s="162">
        <f t="shared" ca="1" si="87"/>
        <v>17892.586474882279</v>
      </c>
      <c r="Q176" s="162">
        <f t="shared" ca="1" si="87"/>
        <v>18218.563242725024</v>
      </c>
    </row>
    <row r="177" spans="2:29" ht="15.6">
      <c r="B177" s="258" t="s">
        <v>433</v>
      </c>
      <c r="C177" s="258"/>
      <c r="D177" s="258"/>
      <c r="E177" s="289">
        <f t="shared" si="86"/>
        <v>0.34635919572872886</v>
      </c>
      <c r="F177" s="289">
        <f t="shared" si="86"/>
        <v>0.30635272296357358</v>
      </c>
      <c r="G177" s="290">
        <f t="shared" si="86"/>
        <v>0.31960009300162751</v>
      </c>
      <c r="H177" s="289">
        <f ca="1">OFFSET(H177,$C$8,0)</f>
        <v>0.53465121502250923</v>
      </c>
      <c r="I177" s="289">
        <f t="shared" ref="I177:Q177" ca="1" si="88">+OFFSET(I177,$C$8,0)</f>
        <v>0.53319159395391491</v>
      </c>
      <c r="J177" s="289">
        <f t="shared" ca="1" si="88"/>
        <v>0.51800526343605113</v>
      </c>
      <c r="K177" s="289">
        <f t="shared" ca="1" si="88"/>
        <v>0.51876898600277255</v>
      </c>
      <c r="L177" s="289">
        <f t="shared" ca="1" si="88"/>
        <v>0.51435355916555547</v>
      </c>
      <c r="M177" s="289">
        <f t="shared" ca="1" si="88"/>
        <v>0.50904263010674811</v>
      </c>
      <c r="N177" s="289">
        <f t="shared" ca="1" si="88"/>
        <v>0.50639380029303671</v>
      </c>
      <c r="O177" s="289">
        <f t="shared" ca="1" si="88"/>
        <v>0.49913409853457685</v>
      </c>
      <c r="P177" s="289">
        <f t="shared" ca="1" si="88"/>
        <v>0.49787638900035208</v>
      </c>
      <c r="Q177" s="289">
        <f t="shared" ca="1" si="88"/>
        <v>0.49718155375583145</v>
      </c>
    </row>
    <row r="178" spans="2:29" ht="15.6">
      <c r="B178" s="257" t="s">
        <v>408</v>
      </c>
      <c r="G178" s="144"/>
      <c r="H178" s="552">
        <f t="shared" ref="H178:Q178" si="89">IFERROR(H179+$F$8,"")</f>
        <v>0.52465121502250922</v>
      </c>
      <c r="I178" s="552">
        <f t="shared" si="89"/>
        <v>0.5231915939539149</v>
      </c>
      <c r="J178" s="552">
        <f t="shared" si="89"/>
        <v>0.50800526343605112</v>
      </c>
      <c r="K178" s="552">
        <f t="shared" si="89"/>
        <v>0.50876898600277254</v>
      </c>
      <c r="L178" s="552">
        <f t="shared" si="89"/>
        <v>0.50435355916555547</v>
      </c>
      <c r="M178" s="552">
        <f t="shared" si="89"/>
        <v>0.4990426301067481</v>
      </c>
      <c r="N178" s="552">
        <f t="shared" si="89"/>
        <v>0.4963938002930367</v>
      </c>
      <c r="O178" s="552">
        <f t="shared" si="89"/>
        <v>0.48913409853457684</v>
      </c>
      <c r="P178" s="552">
        <f t="shared" si="89"/>
        <v>0.48787638900035207</v>
      </c>
      <c r="Q178" s="552">
        <f t="shared" si="89"/>
        <v>0.48718155375583144</v>
      </c>
    </row>
    <row r="179" spans="2:29" ht="15.6">
      <c r="B179" s="257" t="s">
        <v>409</v>
      </c>
      <c r="G179" s="144"/>
      <c r="H179" s="550">
        <f t="shared" ref="H179:Q179" si="90">IFERROR(VALUE(H60),"")</f>
        <v>0.53465121502250923</v>
      </c>
      <c r="I179" s="550">
        <f t="shared" si="90"/>
        <v>0.53319159395391491</v>
      </c>
      <c r="J179" s="550">
        <f t="shared" si="90"/>
        <v>0.51800526343605113</v>
      </c>
      <c r="K179" s="550">
        <f t="shared" si="90"/>
        <v>0.51876898600277255</v>
      </c>
      <c r="L179" s="550">
        <f t="shared" si="90"/>
        <v>0.51435355916555547</v>
      </c>
      <c r="M179" s="550">
        <f t="shared" si="90"/>
        <v>0.50904263010674811</v>
      </c>
      <c r="N179" s="550">
        <f t="shared" si="90"/>
        <v>0.50639380029303671</v>
      </c>
      <c r="O179" s="550">
        <f t="shared" si="90"/>
        <v>0.49913409853457685</v>
      </c>
      <c r="P179" s="550">
        <f t="shared" si="90"/>
        <v>0.49787638900035208</v>
      </c>
      <c r="Q179" s="550">
        <f t="shared" si="90"/>
        <v>0.49718155375583145</v>
      </c>
    </row>
    <row r="180" spans="2:29" ht="15.6">
      <c r="B180" s="257" t="s">
        <v>410</v>
      </c>
      <c r="G180" s="144"/>
      <c r="H180" s="552">
        <f t="shared" ref="H180:Q180" si="91">+IFERROR(H179+$L$8,"")</f>
        <v>0.54465121502250924</v>
      </c>
      <c r="I180" s="552">
        <f t="shared" si="91"/>
        <v>0.54319159395391492</v>
      </c>
      <c r="J180" s="552">
        <f t="shared" si="91"/>
        <v>0.52800526343605114</v>
      </c>
      <c r="K180" s="552">
        <f t="shared" si="91"/>
        <v>0.52876898600277256</v>
      </c>
      <c r="L180" s="552">
        <f t="shared" si="91"/>
        <v>0.52435355916555548</v>
      </c>
      <c r="M180" s="552">
        <f t="shared" si="91"/>
        <v>0.51904263010674812</v>
      </c>
      <c r="N180" s="552">
        <f t="shared" si="91"/>
        <v>0.51639380029303672</v>
      </c>
      <c r="O180" s="552">
        <f t="shared" si="91"/>
        <v>0.50913409853457681</v>
      </c>
      <c r="P180" s="552">
        <f t="shared" si="91"/>
        <v>0.50787638900035204</v>
      </c>
      <c r="Q180" s="552">
        <f t="shared" si="91"/>
        <v>0.5071815537558314</v>
      </c>
    </row>
    <row r="181" spans="2:29" ht="3.75" customHeight="1">
      <c r="G181" s="144"/>
    </row>
    <row r="182" spans="2:29" ht="15.6">
      <c r="B182" s="164" t="s">
        <v>414</v>
      </c>
      <c r="C182" s="165"/>
      <c r="D182" s="165"/>
      <c r="E182" s="166">
        <f t="shared" ref="E182:Q182" si="92">+IFERROR(E176*(1-E79),"")</f>
        <v>6076.8478162450065</v>
      </c>
      <c r="F182" s="166">
        <f t="shared" si="92"/>
        <v>5928.3692660685392</v>
      </c>
      <c r="G182" s="310">
        <f t="shared" si="92"/>
        <v>6853.3855230125519</v>
      </c>
      <c r="H182" s="812">
        <f t="shared" ca="1" si="92"/>
        <v>12259.461637303868</v>
      </c>
      <c r="I182" s="166">
        <f t="shared" ca="1" si="92"/>
        <v>13081.199036858068</v>
      </c>
      <c r="J182" s="166">
        <f t="shared" ca="1" si="92"/>
        <v>13598.568060923786</v>
      </c>
      <c r="K182" s="166">
        <f t="shared" ca="1" si="92"/>
        <v>14574.271181951168</v>
      </c>
      <c r="L182" s="166">
        <f t="shared" ca="1" si="92"/>
        <v>15467.633465090345</v>
      </c>
      <c r="M182" s="166">
        <f t="shared" ca="1" si="92"/>
        <v>16387.37337109444</v>
      </c>
      <c r="N182" s="166">
        <f t="shared" ca="1" si="92"/>
        <v>17453.676479827409</v>
      </c>
      <c r="O182" s="166">
        <f t="shared" ca="1" si="92"/>
        <v>17540.21225754212</v>
      </c>
      <c r="P182" s="166">
        <f t="shared" ca="1" si="92"/>
        <v>17839.02734140354</v>
      </c>
      <c r="Q182" s="309">
        <f t="shared" ca="1" si="92"/>
        <v>18164.015890969567</v>
      </c>
    </row>
    <row r="183" spans="2:29" ht="3.75" customHeight="1">
      <c r="G183" s="144"/>
    </row>
    <row r="184" spans="2:29" ht="15.6">
      <c r="B184" s="110" t="s">
        <v>488</v>
      </c>
      <c r="E184" s="137">
        <f t="shared" ref="E184:Q184" si="93">+E123</f>
        <v>856</v>
      </c>
      <c r="F184" s="137">
        <f t="shared" si="93"/>
        <v>872</v>
      </c>
      <c r="G184" s="161">
        <f t="shared" si="93"/>
        <v>857</v>
      </c>
      <c r="H184" s="167">
        <f t="shared" si="93"/>
        <v>824.38942744782605</v>
      </c>
      <c r="I184" s="167">
        <f t="shared" si="93"/>
        <v>1058.7376292629597</v>
      </c>
      <c r="J184" s="167">
        <f t="shared" si="93"/>
        <v>1291.6228657794725</v>
      </c>
      <c r="K184" s="167">
        <f t="shared" si="93"/>
        <v>1549.3725154035371</v>
      </c>
      <c r="L184" s="167">
        <f t="shared" si="93"/>
        <v>1824.5213701120763</v>
      </c>
      <c r="M184" s="167">
        <f t="shared" si="93"/>
        <v>2118.0589525178066</v>
      </c>
      <c r="N184" s="167">
        <f t="shared" si="93"/>
        <v>2435.5250682775536</v>
      </c>
      <c r="O184" s="167">
        <f t="shared" si="93"/>
        <v>2774.4160146615814</v>
      </c>
      <c r="P184" s="167">
        <f t="shared" si="93"/>
        <v>2869.2851654090541</v>
      </c>
      <c r="Q184" s="167">
        <f t="shared" si="93"/>
        <v>2966.4388244439424</v>
      </c>
      <c r="R184" s="111"/>
      <c r="S184" s="111"/>
      <c r="T184" s="111"/>
      <c r="U184" s="111"/>
      <c r="V184" s="111"/>
      <c r="W184" s="111"/>
      <c r="X184" s="111"/>
      <c r="Y184" s="111"/>
      <c r="Z184" s="111"/>
      <c r="AA184" s="111"/>
      <c r="AB184" s="111"/>
      <c r="AC184" s="111"/>
    </row>
    <row r="185" spans="2:29" ht="3.75" customHeight="1">
      <c r="G185" s="144"/>
      <c r="R185" s="111"/>
      <c r="S185" s="111"/>
      <c r="T185" s="111"/>
      <c r="U185" s="111"/>
      <c r="V185" s="111"/>
      <c r="W185" s="111"/>
      <c r="X185" s="111"/>
      <c r="Y185" s="111"/>
      <c r="Z185" s="111"/>
      <c r="AA185" s="111"/>
      <c r="AB185" s="111"/>
      <c r="AC185" s="111"/>
    </row>
    <row r="186" spans="2:29" ht="15.6">
      <c r="B186" s="110" t="s">
        <v>470</v>
      </c>
      <c r="E186" s="137">
        <f t="shared" ref="E186:Q186" si="94">+E125</f>
        <v>1440</v>
      </c>
      <c r="F186" s="137">
        <f t="shared" si="94"/>
        <v>1718</v>
      </c>
      <c r="G186" s="161">
        <f t="shared" si="94"/>
        <v>1833</v>
      </c>
      <c r="H186" s="137">
        <f t="shared" si="94"/>
        <v>1747.834792262762</v>
      </c>
      <c r="I186" s="137">
        <f t="shared" si="94"/>
        <v>1880.8109015280058</v>
      </c>
      <c r="J186" s="137">
        <f t="shared" si="94"/>
        <v>2085.8674540427855</v>
      </c>
      <c r="K186" s="137">
        <f t="shared" si="94"/>
        <v>2175.8188294139809</v>
      </c>
      <c r="L186" s="137">
        <f t="shared" si="94"/>
        <v>2341.2672580267094</v>
      </c>
      <c r="M186" s="137">
        <f t="shared" si="94"/>
        <v>2519.1688480199687</v>
      </c>
      <c r="N186" s="137">
        <f t="shared" si="94"/>
        <v>2683.3009086838779</v>
      </c>
      <c r="O186" s="137">
        <f t="shared" si="94"/>
        <v>2740.5609486365688</v>
      </c>
      <c r="P186" s="137">
        <f t="shared" si="94"/>
        <v>2795.8608831375363</v>
      </c>
      <c r="Q186" s="137">
        <f t="shared" si="94"/>
        <v>2848.0653136530291</v>
      </c>
      <c r="R186" s="111"/>
      <c r="S186" s="111"/>
      <c r="T186" s="111"/>
      <c r="U186" s="111"/>
      <c r="V186" s="111"/>
      <c r="W186" s="111"/>
      <c r="X186" s="111"/>
      <c r="Y186" s="111"/>
      <c r="Z186" s="111"/>
      <c r="AA186" s="111"/>
      <c r="AB186" s="111"/>
      <c r="AC186" s="111"/>
    </row>
    <row r="187" spans="2:29" ht="3.75" customHeight="1">
      <c r="G187" s="133"/>
      <c r="R187" s="111"/>
      <c r="S187" s="111"/>
      <c r="T187" s="111"/>
      <c r="U187" s="111"/>
      <c r="V187" s="111"/>
      <c r="W187" s="111"/>
      <c r="X187" s="111"/>
      <c r="Y187" s="111"/>
      <c r="Z187" s="111"/>
      <c r="AA187" s="111"/>
      <c r="AB187" s="111"/>
      <c r="AC187" s="111"/>
    </row>
    <row r="188" spans="2:29" ht="15.6">
      <c r="B188" s="110" t="s">
        <v>489</v>
      </c>
      <c r="E188" s="137">
        <f t="shared" ref="E188:Q188" si="95">+E128</f>
        <v>732</v>
      </c>
      <c r="F188" s="137">
        <f t="shared" si="95"/>
        <v>-37</v>
      </c>
      <c r="G188" s="168">
        <f t="shared" si="95"/>
        <v>144</v>
      </c>
      <c r="H188" s="160">
        <f t="shared" si="95"/>
        <v>3623.1921330213913</v>
      </c>
      <c r="I188" s="160">
        <f t="shared" si="95"/>
        <v>-555.05130496655738</v>
      </c>
      <c r="J188" s="160">
        <f t="shared" si="95"/>
        <v>-869.28148655119094</v>
      </c>
      <c r="K188" s="160">
        <f t="shared" si="95"/>
        <v>763.3071238643256</v>
      </c>
      <c r="L188" s="160">
        <f t="shared" si="95"/>
        <v>-243.6129291106281</v>
      </c>
      <c r="M188" s="160">
        <f t="shared" si="95"/>
        <v>-134.78231862415169</v>
      </c>
      <c r="N188" s="160">
        <f t="shared" si="95"/>
        <v>121.33623487885052</v>
      </c>
      <c r="O188" s="160">
        <f t="shared" si="95"/>
        <v>-197.88860864040544</v>
      </c>
      <c r="P188" s="160">
        <f t="shared" si="95"/>
        <v>20.449253506723835</v>
      </c>
      <c r="Q188" s="160">
        <f t="shared" si="95"/>
        <v>28.143018176480837</v>
      </c>
      <c r="R188" s="111"/>
      <c r="S188" s="111"/>
      <c r="T188" s="111"/>
      <c r="U188" s="111"/>
      <c r="V188" s="111"/>
      <c r="W188" s="111"/>
      <c r="X188" s="111"/>
      <c r="Y188" s="111"/>
      <c r="Z188" s="111"/>
      <c r="AA188" s="111"/>
      <c r="AB188" s="111"/>
      <c r="AC188" s="111"/>
    </row>
    <row r="189" spans="2:29" ht="3.75" customHeight="1">
      <c r="G189" s="133"/>
      <c r="R189" s="111"/>
      <c r="S189" s="111"/>
      <c r="T189" s="111"/>
      <c r="U189" s="111"/>
      <c r="V189" s="111"/>
      <c r="W189" s="111"/>
      <c r="X189" s="111"/>
      <c r="Y189" s="111"/>
      <c r="Z189" s="111"/>
      <c r="AA189" s="111"/>
      <c r="AB189" s="111"/>
      <c r="AC189" s="111"/>
    </row>
    <row r="190" spans="2:29" ht="13.5" customHeight="1">
      <c r="B190" s="110" t="s">
        <v>474</v>
      </c>
      <c r="E190" s="137">
        <f t="shared" ref="E190:Q190" si="96">+E134</f>
        <v>-442</v>
      </c>
      <c r="F190" s="137">
        <f t="shared" si="96"/>
        <v>-360</v>
      </c>
      <c r="G190" s="161">
        <f t="shared" si="96"/>
        <v>-183</v>
      </c>
      <c r="H190" s="137">
        <f t="shared" si="96"/>
        <v>-1242.3248357845821</v>
      </c>
      <c r="I190" s="137">
        <f t="shared" si="96"/>
        <v>-1333.3023006221308</v>
      </c>
      <c r="J190" s="137">
        <f t="shared" si="96"/>
        <v>-1430.6333685675463</v>
      </c>
      <c r="K190" s="137">
        <f t="shared" si="96"/>
        <v>-1535.0696044729771</v>
      </c>
      <c r="L190" s="137">
        <f t="shared" si="96"/>
        <v>-1647.1296855995045</v>
      </c>
      <c r="M190" s="137">
        <f t="shared" si="96"/>
        <v>-1767.3701526482682</v>
      </c>
      <c r="N190" s="137">
        <f t="shared" si="96"/>
        <v>-1896.3881737915915</v>
      </c>
      <c r="O190" s="137">
        <f t="shared" si="96"/>
        <v>-529.94957185408862</v>
      </c>
      <c r="P190" s="137">
        <f t="shared" si="96"/>
        <v>-540.54856329117047</v>
      </c>
      <c r="Q190" s="137">
        <f t="shared" si="96"/>
        <v>-551.35953455699382</v>
      </c>
      <c r="R190" s="111"/>
      <c r="S190" s="111"/>
      <c r="T190" s="111"/>
      <c r="U190" s="111"/>
      <c r="V190" s="111"/>
      <c r="W190" s="111"/>
      <c r="X190" s="111"/>
      <c r="Y190" s="111"/>
      <c r="Z190" s="111"/>
      <c r="AA190" s="111"/>
      <c r="AB190" s="111"/>
      <c r="AC190" s="111"/>
    </row>
    <row r="191" spans="2:29" ht="3.75" customHeight="1">
      <c r="B191" s="138"/>
      <c r="E191" s="140"/>
      <c r="F191" s="140"/>
      <c r="G191" s="148"/>
      <c r="H191" s="163"/>
      <c r="I191" s="163"/>
      <c r="J191" s="163"/>
      <c r="K191" s="163"/>
      <c r="L191" s="163"/>
      <c r="M191" s="163"/>
      <c r="N191" s="163"/>
      <c r="O191" s="163"/>
      <c r="P191" s="163"/>
      <c r="Q191" s="163"/>
      <c r="R191" s="111"/>
      <c r="S191" s="111"/>
      <c r="T191" s="111"/>
      <c r="U191" s="111"/>
      <c r="V191" s="111"/>
      <c r="W191" s="111"/>
      <c r="X191" s="111"/>
      <c r="Y191" s="111"/>
      <c r="Z191" s="111"/>
      <c r="AA191" s="111"/>
      <c r="AB191" s="111"/>
      <c r="AC191" s="111"/>
    </row>
    <row r="192" spans="2:29" ht="15.6">
      <c r="B192" s="169" t="s">
        <v>22</v>
      </c>
      <c r="C192" s="170"/>
      <c r="D192" s="170"/>
      <c r="E192" s="171">
        <f t="shared" ref="E192:Q192" si="97">IFERROR(E182+E184+E190+E188+E186,"")</f>
        <v>8662.8478162450065</v>
      </c>
      <c r="F192" s="171">
        <f t="shared" si="97"/>
        <v>8121.3692660685392</v>
      </c>
      <c r="G192" s="172">
        <f t="shared" si="97"/>
        <v>9504.3855230125519</v>
      </c>
      <c r="H192" s="171">
        <f t="shared" ca="1" si="97"/>
        <v>17212.553154251265</v>
      </c>
      <c r="I192" s="171">
        <f t="shared" ca="1" si="97"/>
        <v>14132.393962060347</v>
      </c>
      <c r="J192" s="171">
        <f t="shared" ca="1" si="97"/>
        <v>14676.143525627307</v>
      </c>
      <c r="K192" s="171">
        <f t="shared" ca="1" si="97"/>
        <v>17527.700046160033</v>
      </c>
      <c r="L192" s="171">
        <f t="shared" ca="1" si="97"/>
        <v>17742.679478519</v>
      </c>
      <c r="M192" s="171">
        <f t="shared" ca="1" si="97"/>
        <v>19122.448700359797</v>
      </c>
      <c r="N192" s="171">
        <f t="shared" ca="1" si="97"/>
        <v>20797.450517876103</v>
      </c>
      <c r="O192" s="171">
        <f t="shared" ca="1" si="97"/>
        <v>22327.351040345773</v>
      </c>
      <c r="P192" s="171">
        <f t="shared" ca="1" si="97"/>
        <v>22984.074080165683</v>
      </c>
      <c r="Q192" s="311">
        <f t="shared" ca="1" si="97"/>
        <v>23455.303512686027</v>
      </c>
      <c r="R192" s="111"/>
      <c r="S192" s="111" t="s">
        <v>490</v>
      </c>
      <c r="T192" s="111"/>
      <c r="U192" s="111">
        <f ca="1">+J192/(1+$C$12)^(J195-2)</f>
        <v>14499.16695396146</v>
      </c>
      <c r="V192" s="111">
        <f ca="1">+K192/(1+$C$12)^(K195-2)</f>
        <v>15867.918293180457</v>
      </c>
      <c r="W192" s="111">
        <f ca="1">+L192/(1+$C$12)^(L195-2)</f>
        <v>14718.994833319435</v>
      </c>
      <c r="X192" s="111">
        <f ca="1">+M192/(1+$C$12)^(M195-2)</f>
        <v>14536.718247666671</v>
      </c>
      <c r="Y192" s="111">
        <f ca="1">+N192/(1+$C$12)^(N195-2)</f>
        <v>14487.61481641856</v>
      </c>
      <c r="Z192" s="111"/>
      <c r="AA192" s="111">
        <f ca="1">+O192/(1+$C$12)^(O195-2)</f>
        <v>14252.397109616413</v>
      </c>
      <c r="AB192" s="111">
        <f ca="1">+P192/(1+$C$12)^(P195-2)</f>
        <v>13444.406937854103</v>
      </c>
      <c r="AC192" s="111">
        <f ca="1">+Q192/(1+$C$12)^(Q195-2)</f>
        <v>12572.441292519699</v>
      </c>
    </row>
    <row r="193" spans="2:29" ht="15.6">
      <c r="B193" s="173" t="s">
        <v>491</v>
      </c>
      <c r="C193" s="174"/>
      <c r="D193" s="174"/>
      <c r="E193" s="174"/>
      <c r="F193" s="174"/>
      <c r="G193" s="175"/>
      <c r="H193" s="176">
        <f t="shared" ref="H193:Q193" ca="1" si="98">IFERROR(H192/(1+$C$12)^H195,"")</f>
        <v>17004.990544800334</v>
      </c>
      <c r="I193" s="176">
        <f t="shared" ca="1" si="98"/>
        <v>12794.129982053148</v>
      </c>
      <c r="J193" s="176">
        <f t="shared" ca="1" si="98"/>
        <v>12175.053998371281</v>
      </c>
      <c r="K193" s="176">
        <f t="shared" ca="1" si="98"/>
        <v>13324.404269200544</v>
      </c>
      <c r="L193" s="176">
        <f t="shared" ca="1" si="98"/>
        <v>12359.645037982666</v>
      </c>
      <c r="M193" s="176">
        <f t="shared" ca="1" si="98"/>
        <v>12206.586087767957</v>
      </c>
      <c r="N193" s="176">
        <f t="shared" ca="1" si="98"/>
        <v>12165.35358600773</v>
      </c>
      <c r="O193" s="176">
        <f t="shared" ca="1" si="98"/>
        <v>11967.839598426066</v>
      </c>
      <c r="P193" s="176">
        <f t="shared" ca="1" si="98"/>
        <v>11289.364483090445</v>
      </c>
      <c r="Q193" s="177">
        <f t="shared" ca="1" si="98"/>
        <v>10557.168705886124</v>
      </c>
      <c r="R193" s="111"/>
      <c r="S193" s="111" t="s">
        <v>492</v>
      </c>
      <c r="T193" s="343">
        <f t="shared" ref="T193:Y193" ca="1" si="99">+I192/(1+$C$12)^(I195-1)</f>
        <v>13961.974353634661</v>
      </c>
      <c r="U193" s="343">
        <f t="shared" ca="1" si="99"/>
        <v>13286.389298672577</v>
      </c>
      <c r="V193" s="343">
        <f t="shared" ca="1" si="99"/>
        <v>14540.651919669184</v>
      </c>
      <c r="W193" s="343">
        <f t="shared" ca="1" si="99"/>
        <v>13487.829753363922</v>
      </c>
      <c r="X193" s="343">
        <f t="shared" ca="1" si="99"/>
        <v>13320.799627791514</v>
      </c>
      <c r="Y193" s="343">
        <f t="shared" ca="1" si="99"/>
        <v>13275.803435559606</v>
      </c>
      <c r="Z193" s="343"/>
      <c r="AA193" s="343">
        <f ca="1">+O192/(1+$C$12)^(O195-1)</f>
        <v>13060.260430058834</v>
      </c>
      <c r="AB193" s="343">
        <f ca="1">+P192/(1+$C$12)^(P195-1)</f>
        <v>12319.854308409045</v>
      </c>
      <c r="AC193" s="343">
        <f ca="1">+Q192/(1+$C$12)^(Q195-1)</f>
        <v>11520.823918886159</v>
      </c>
    </row>
    <row r="194" spans="2:29" ht="3.75" customHeight="1">
      <c r="G194" s="133"/>
      <c r="R194" s="111"/>
      <c r="S194" s="111"/>
      <c r="T194" s="111"/>
      <c r="U194" s="111"/>
      <c r="V194" s="111"/>
      <c r="W194" s="111"/>
      <c r="X194" s="111"/>
      <c r="Y194" s="111"/>
      <c r="Z194" s="111"/>
      <c r="AA194" s="111"/>
      <c r="AB194" s="111"/>
      <c r="AC194" s="111"/>
    </row>
    <row r="195" spans="2:29" ht="15.6">
      <c r="B195" s="110" t="s">
        <v>493</v>
      </c>
      <c r="G195" s="133"/>
      <c r="H195" s="178">
        <f ca="1">+H196/2</f>
        <v>0.1388888888888889</v>
      </c>
      <c r="I195" s="178">
        <f t="shared" ref="I195:Q195" ca="1" si="100">+H195+1</f>
        <v>1.1388888888888888</v>
      </c>
      <c r="J195" s="178">
        <f t="shared" ca="1" si="100"/>
        <v>2.1388888888888888</v>
      </c>
      <c r="K195" s="178">
        <f t="shared" ca="1" si="100"/>
        <v>3.1388888888888888</v>
      </c>
      <c r="L195" s="178">
        <f t="shared" ca="1" si="100"/>
        <v>4.1388888888888893</v>
      </c>
      <c r="M195" s="178">
        <f t="shared" ca="1" si="100"/>
        <v>5.1388888888888893</v>
      </c>
      <c r="N195" s="178">
        <f t="shared" ca="1" si="100"/>
        <v>6.1388888888888893</v>
      </c>
      <c r="O195" s="178">
        <f t="shared" ca="1" si="100"/>
        <v>7.1388888888888893</v>
      </c>
      <c r="P195" s="178">
        <f t="shared" ca="1" si="100"/>
        <v>8.1388888888888893</v>
      </c>
      <c r="Q195" s="178">
        <f t="shared" ca="1" si="100"/>
        <v>9.1388888888888893</v>
      </c>
      <c r="R195" s="111"/>
      <c r="S195" s="111"/>
      <c r="T195" s="111"/>
      <c r="U195" s="111"/>
      <c r="V195" s="111"/>
      <c r="W195" s="111"/>
      <c r="X195" s="111"/>
      <c r="Y195" s="111"/>
      <c r="Z195" s="111"/>
      <c r="AA195" s="111"/>
      <c r="AB195" s="111"/>
      <c r="AC195" s="111"/>
    </row>
    <row r="196" spans="2:29" ht="15.6" hidden="1">
      <c r="B196" s="110" t="s">
        <v>494</v>
      </c>
      <c r="G196" s="133"/>
      <c r="H196" s="178">
        <f ca="1">YEARFRAC(P196,P197)</f>
        <v>0.27777777777777779</v>
      </c>
      <c r="P196" s="179">
        <f ca="1">TODAY()</f>
        <v>45921</v>
      </c>
      <c r="R196" s="111"/>
      <c r="S196" s="111"/>
      <c r="T196" s="111"/>
      <c r="U196" s="111"/>
      <c r="V196" s="111"/>
      <c r="W196" s="111"/>
      <c r="X196" s="111"/>
      <c r="Y196" s="111"/>
      <c r="Z196" s="111"/>
      <c r="AA196" s="111"/>
      <c r="AB196" s="111"/>
      <c r="AC196" s="111"/>
    </row>
    <row r="197" spans="2:29" s="111" customFormat="1" ht="3.75" customHeight="1">
      <c r="G197" s="180"/>
      <c r="P197" s="179">
        <v>46022</v>
      </c>
    </row>
    <row r="198" spans="2:29" ht="15.6">
      <c r="B198" s="110" t="s">
        <v>495</v>
      </c>
      <c r="G198" s="133"/>
      <c r="L198" s="181" t="str">
        <f ca="1">IFERROR((#REF!*(1+$C$13))/($C$12-$C$13),"")</f>
        <v/>
      </c>
      <c r="P198" s="182"/>
      <c r="Q198" s="183">
        <f ca="1">IFERROR(+(Q192*(1+$C$13))/($C$12-$C$13),"")</f>
        <v>351418.86688409216</v>
      </c>
      <c r="R198" s="111">
        <v>2025</v>
      </c>
      <c r="S198" s="111">
        <v>2026</v>
      </c>
      <c r="T198" s="577"/>
      <c r="U198" s="578"/>
      <c r="V198" s="578"/>
      <c r="W198" s="111"/>
      <c r="X198" s="111"/>
      <c r="Y198" s="111"/>
      <c r="Z198" s="111"/>
      <c r="AA198" s="111"/>
      <c r="AB198" s="111"/>
      <c r="AC198" s="111"/>
    </row>
    <row r="199" spans="2:29" ht="15.6">
      <c r="B199" s="110" t="s">
        <v>496</v>
      </c>
      <c r="G199" s="133"/>
      <c r="L199" s="181" t="str">
        <f ca="1">IFERROR(L198/(1+$C$12)^#REF!,"")</f>
        <v/>
      </c>
      <c r="Q199" s="154">
        <f ca="1">IFERROR(Q198/(1+$C$12)^$Q$195,"")</f>
        <v>158172.68201710188</v>
      </c>
      <c r="R199" s="634">
        <f ca="1">+Q198/(1+$C$12)^$P$195</f>
        <v>172610.63728961669</v>
      </c>
      <c r="S199" s="111">
        <f ca="1">+Q198/(1+$C$12)^$O$195</f>
        <v>188366.48481629841</v>
      </c>
      <c r="T199" s="578"/>
      <c r="U199" s="118"/>
      <c r="V199" s="118"/>
      <c r="W199" s="111"/>
      <c r="X199" s="111"/>
      <c r="Y199" s="111"/>
      <c r="Z199" s="111"/>
      <c r="AA199" s="111"/>
      <c r="AB199" s="111"/>
      <c r="AC199" s="111"/>
    </row>
    <row r="200" spans="2:29" ht="15.6">
      <c r="B200" s="110" t="s">
        <v>497</v>
      </c>
      <c r="G200" s="133"/>
      <c r="L200" s="184"/>
      <c r="Q200" s="154">
        <f ca="1">+SUM(H193:Q193,Q199)</f>
        <v>284017.21831068816</v>
      </c>
      <c r="R200" s="634">
        <f ca="1">+SUM(T193:AC193,R199)</f>
        <v>291385.02433566219</v>
      </c>
      <c r="S200" s="111">
        <f ca="1">+SUM(S199,U192:AC192)</f>
        <v>302746.14330083528</v>
      </c>
      <c r="T200" s="578"/>
      <c r="U200" s="118"/>
      <c r="V200" s="118"/>
      <c r="W200" s="111"/>
      <c r="X200" s="111"/>
      <c r="Y200" s="111"/>
      <c r="Z200" s="111"/>
      <c r="AA200" s="111"/>
      <c r="AB200" s="111"/>
      <c r="AC200" s="111"/>
    </row>
    <row r="201" spans="2:29" ht="15.6">
      <c r="B201" s="110" t="s">
        <v>498</v>
      </c>
      <c r="G201" s="133"/>
      <c r="L201" s="184"/>
      <c r="Q201" s="313"/>
      <c r="R201" s="634">
        <f>+H88</f>
        <v>24983.386582856987</v>
      </c>
      <c r="S201" s="634">
        <f>+I88</f>
        <v>38983.955731181326</v>
      </c>
      <c r="T201" s="115"/>
      <c r="U201" s="115"/>
      <c r="V201" s="115"/>
      <c r="W201" s="111"/>
      <c r="X201" s="111"/>
      <c r="Y201" s="111"/>
      <c r="Z201" s="111"/>
      <c r="AA201" s="111"/>
      <c r="AB201" s="111"/>
      <c r="AC201" s="111"/>
    </row>
    <row r="202" spans="2:29" ht="15.6">
      <c r="B202" s="110" t="s">
        <v>499</v>
      </c>
      <c r="G202" s="133"/>
      <c r="L202" s="184"/>
      <c r="Q202" s="313">
        <v>0</v>
      </c>
      <c r="R202" s="634">
        <f>+Q202</f>
        <v>0</v>
      </c>
      <c r="S202" s="634">
        <f>+Q202</f>
        <v>0</v>
      </c>
      <c r="T202" s="115"/>
      <c r="U202" s="115"/>
      <c r="V202" s="115"/>
      <c r="W202" s="111"/>
      <c r="X202" s="111"/>
      <c r="Y202" s="111"/>
      <c r="Z202" s="111"/>
      <c r="AA202" s="111"/>
      <c r="AB202" s="111"/>
      <c r="AC202" s="111"/>
    </row>
    <row r="203" spans="2:29" ht="15.6">
      <c r="B203" s="110" t="s">
        <v>500</v>
      </c>
      <c r="G203" s="133"/>
      <c r="M203" s="185"/>
      <c r="Q203" s="313">
        <v>0</v>
      </c>
      <c r="R203" s="634">
        <f>+Q203</f>
        <v>0</v>
      </c>
      <c r="S203" s="634">
        <f>+Q203</f>
        <v>0</v>
      </c>
      <c r="T203" s="115"/>
      <c r="U203" s="115"/>
      <c r="V203" s="115"/>
      <c r="W203" s="111"/>
      <c r="X203" s="111"/>
      <c r="Y203" s="111"/>
      <c r="Z203" s="111"/>
      <c r="AA203" s="111"/>
      <c r="AB203" s="111"/>
      <c r="AC203" s="111"/>
    </row>
    <row r="204" spans="2:29" ht="15.6">
      <c r="B204" s="110" t="s">
        <v>501</v>
      </c>
      <c r="G204" s="133"/>
      <c r="Q204" s="313">
        <v>0</v>
      </c>
      <c r="R204" s="634">
        <f>+H116</f>
        <v>5628</v>
      </c>
      <c r="S204" s="634">
        <f>+I116</f>
        <v>5628</v>
      </c>
      <c r="T204" s="115"/>
      <c r="U204" s="115"/>
      <c r="V204" s="115"/>
      <c r="W204" s="111"/>
      <c r="X204" s="111"/>
      <c r="Y204" s="111"/>
      <c r="Z204" s="111"/>
      <c r="AA204" s="111"/>
      <c r="AB204" s="111"/>
      <c r="AC204" s="111"/>
    </row>
    <row r="205" spans="2:29" ht="15.6">
      <c r="B205" s="110" t="s">
        <v>219</v>
      </c>
      <c r="G205" s="133"/>
      <c r="Q205" s="154">
        <f ca="1">Q200+Q201-Q202-Q203-Q204</f>
        <v>284017.21831068816</v>
      </c>
      <c r="R205" s="634">
        <f ca="1">R200+R201-R202-R203-R204</f>
        <v>310740.41091851919</v>
      </c>
      <c r="S205" s="634">
        <f ca="1">S200+S201-S202-S203-S204</f>
        <v>336102.09903201659</v>
      </c>
      <c r="T205" s="115"/>
      <c r="U205" s="115"/>
      <c r="V205" s="115"/>
      <c r="W205" s="111"/>
      <c r="X205" s="111"/>
      <c r="Y205" s="111"/>
      <c r="Z205" s="111"/>
      <c r="AA205" s="111"/>
      <c r="AB205" s="111"/>
      <c r="AC205" s="111"/>
    </row>
    <row r="206" spans="2:29" ht="3.75" customHeight="1">
      <c r="G206" s="133"/>
      <c r="Q206" s="186"/>
      <c r="R206" s="115"/>
      <c r="S206" s="115"/>
      <c r="T206" s="115"/>
      <c r="U206" s="115"/>
      <c r="V206" s="115"/>
      <c r="W206" s="111"/>
      <c r="X206" s="111"/>
      <c r="Y206" s="111"/>
      <c r="Z206" s="111"/>
      <c r="AA206" s="111"/>
      <c r="AB206" s="111"/>
      <c r="AC206" s="111"/>
    </row>
    <row r="207" spans="2:29" ht="15.6">
      <c r="B207" s="110" t="s">
        <v>502</v>
      </c>
      <c r="G207" s="133"/>
      <c r="O207" s="138"/>
      <c r="Q207" s="183" cm="1">
        <f t="array" aca="1" ref="Q207" ca="1">IFERROR(_FV(R4,"Shares outstanding",TRUE)/1000000,"")</f>
        <v>424.2</v>
      </c>
      <c r="R207" s="115"/>
      <c r="S207" s="115"/>
      <c r="T207" s="115"/>
      <c r="U207" s="115"/>
      <c r="V207" s="115"/>
      <c r="W207" s="111"/>
      <c r="X207" s="111"/>
      <c r="Y207" s="111"/>
      <c r="Z207" s="111"/>
      <c r="AA207" s="111"/>
      <c r="AB207" s="111"/>
      <c r="AC207" s="111"/>
    </row>
    <row r="208" spans="2:29" ht="15.6">
      <c r="B208" s="135" t="s">
        <v>503</v>
      </c>
      <c r="G208" s="133"/>
      <c r="N208" s="187"/>
      <c r="Q208" s="188">
        <f ca="1">IFERROR(Q205/Q$207,"")</f>
        <v>669.53611105772791</v>
      </c>
      <c r="R208" s="115"/>
      <c r="S208" s="115"/>
      <c r="T208" s="115"/>
      <c r="U208" s="115"/>
      <c r="V208" s="115"/>
      <c r="W208" s="111"/>
      <c r="X208" s="111"/>
      <c r="Y208" s="111"/>
      <c r="Z208" s="111"/>
      <c r="AA208" s="111"/>
      <c r="AB208" s="111"/>
      <c r="AC208" s="111"/>
    </row>
    <row r="209" spans="1:29" ht="3.75" customHeight="1">
      <c r="G209" s="133"/>
      <c r="R209" s="115"/>
      <c r="S209" s="115"/>
      <c r="T209" s="115"/>
      <c r="U209" s="115"/>
      <c r="V209" s="115"/>
      <c r="W209" s="111"/>
      <c r="X209" s="111"/>
      <c r="Y209" s="111"/>
      <c r="Z209" s="111"/>
      <c r="AA209" s="111"/>
      <c r="AB209" s="111"/>
      <c r="AC209" s="111"/>
    </row>
    <row r="210" spans="1:29" ht="15.6">
      <c r="B210" s="110" t="s">
        <v>504</v>
      </c>
      <c r="G210" s="133"/>
      <c r="Q210" s="188" cm="1">
        <f t="array" aca="1" ref="Q210" ca="1">IFERROR(_FV(R4,"Price"),"")</f>
        <v>365.9</v>
      </c>
      <c r="R210" s="111"/>
      <c r="S210" s="111"/>
      <c r="T210" s="111"/>
      <c r="U210" s="111"/>
      <c r="V210" s="111"/>
      <c r="W210" s="111"/>
      <c r="X210" s="111"/>
      <c r="Y210" s="111"/>
      <c r="Z210" s="111"/>
      <c r="AA210" s="111"/>
      <c r="AB210" s="111"/>
      <c r="AC210" s="111"/>
    </row>
    <row r="211" spans="1:29" ht="15.6">
      <c r="B211" s="135" t="s">
        <v>505</v>
      </c>
      <c r="C211" s="135"/>
      <c r="D211" s="135"/>
      <c r="E211" s="135"/>
      <c r="F211" s="135"/>
      <c r="G211" s="189"/>
      <c r="H211" s="135"/>
      <c r="I211" s="135"/>
      <c r="J211" s="135"/>
      <c r="K211" s="135"/>
      <c r="L211" s="135"/>
      <c r="M211" s="135"/>
      <c r="N211" s="135"/>
      <c r="O211" s="135"/>
      <c r="P211" s="135"/>
      <c r="Q211" s="190">
        <f ca="1">IFERROR(Q208/Q210-1,"")</f>
        <v>0.82983359130289136</v>
      </c>
      <c r="R211" s="111"/>
      <c r="S211" s="111"/>
      <c r="T211" s="111"/>
      <c r="U211" s="111"/>
      <c r="V211" s="111"/>
      <c r="W211" s="111"/>
      <c r="X211" s="111"/>
      <c r="Y211" s="111"/>
      <c r="Z211" s="111"/>
      <c r="AA211" s="111"/>
      <c r="AB211" s="111"/>
      <c r="AC211" s="111"/>
    </row>
    <row r="212" spans="1:29" ht="5.25" customHeight="1">
      <c r="B212" s="135"/>
      <c r="C212" s="135"/>
      <c r="D212" s="135"/>
      <c r="E212" s="135"/>
      <c r="F212" s="135"/>
      <c r="G212" s="189"/>
      <c r="H212" s="135"/>
      <c r="I212" s="135"/>
      <c r="J212" s="135"/>
      <c r="K212" s="135"/>
      <c r="L212" s="135"/>
      <c r="M212" s="135"/>
      <c r="N212" s="135"/>
      <c r="O212" s="135"/>
      <c r="P212" s="135"/>
      <c r="Q212" s="190"/>
      <c r="R212" s="111"/>
      <c r="S212" s="111"/>
      <c r="T212" s="111"/>
      <c r="U212" s="111"/>
      <c r="V212" s="111"/>
      <c r="W212" s="111"/>
      <c r="X212" s="111"/>
      <c r="Y212" s="111"/>
      <c r="Z212" s="111"/>
      <c r="AA212" s="111"/>
      <c r="AB212" s="111"/>
      <c r="AC212" s="111"/>
    </row>
    <row r="213" spans="1:29" ht="15.6">
      <c r="A213" s="110" t="s">
        <v>392</v>
      </c>
      <c r="B213" s="52" t="s">
        <v>506</v>
      </c>
      <c r="C213" s="52"/>
      <c r="D213" s="52"/>
      <c r="E213" s="121">
        <f>E28</f>
        <v>2022</v>
      </c>
      <c r="F213" s="121">
        <f>F28</f>
        <v>2023</v>
      </c>
      <c r="G213" s="122">
        <f>G28</f>
        <v>2024</v>
      </c>
      <c r="H213" s="87">
        <f t="shared" ref="H213:Q213" si="101">1+G213</f>
        <v>2025</v>
      </c>
      <c r="I213" s="87">
        <f t="shared" si="101"/>
        <v>2026</v>
      </c>
      <c r="J213" s="87">
        <f t="shared" si="101"/>
        <v>2027</v>
      </c>
      <c r="K213" s="87">
        <f t="shared" si="101"/>
        <v>2028</v>
      </c>
      <c r="L213" s="87">
        <f t="shared" si="101"/>
        <v>2029</v>
      </c>
      <c r="M213" s="87">
        <f t="shared" si="101"/>
        <v>2030</v>
      </c>
      <c r="N213" s="87">
        <f t="shared" si="101"/>
        <v>2031</v>
      </c>
      <c r="O213" s="87">
        <f t="shared" si="101"/>
        <v>2032</v>
      </c>
      <c r="P213" s="87">
        <f t="shared" si="101"/>
        <v>2033</v>
      </c>
      <c r="Q213" s="87">
        <f t="shared" si="101"/>
        <v>2034</v>
      </c>
      <c r="T213" s="111"/>
      <c r="U213" s="111"/>
      <c r="V213" s="111"/>
      <c r="W213" s="111"/>
      <c r="X213" s="111"/>
      <c r="Y213" s="111"/>
      <c r="Z213" s="111"/>
      <c r="AA213" s="111"/>
      <c r="AB213" s="111"/>
      <c r="AC213" s="111"/>
    </row>
    <row r="214" spans="1:29" ht="3.75" customHeight="1">
      <c r="B214" s="53"/>
      <c r="C214" s="53"/>
      <c r="D214" s="53"/>
      <c r="E214" s="53"/>
      <c r="F214" s="53"/>
      <c r="G214" s="191"/>
      <c r="H214" s="53"/>
      <c r="I214" s="53"/>
      <c r="J214" s="53"/>
      <c r="K214" s="53"/>
      <c r="L214" s="53"/>
      <c r="M214" s="53"/>
      <c r="N214" s="53"/>
      <c r="O214" s="53"/>
      <c r="P214" s="53"/>
      <c r="Q214" s="53"/>
      <c r="T214" s="111"/>
      <c r="U214" s="111"/>
      <c r="V214" s="111"/>
      <c r="W214" s="111"/>
      <c r="X214" s="111"/>
      <c r="Y214" s="111"/>
      <c r="Z214" s="111"/>
      <c r="AA214" s="111"/>
      <c r="AB214" s="111"/>
      <c r="AC214" s="111"/>
    </row>
    <row r="215" spans="1:29" ht="15.6">
      <c r="B215" s="110" t="s">
        <v>418</v>
      </c>
      <c r="E215" s="137">
        <f t="shared" ref="E215:Q215" si="102">+E59</f>
        <v>6098</v>
      </c>
      <c r="F215" s="137">
        <f t="shared" si="102"/>
        <v>5946</v>
      </c>
      <c r="G215" s="168">
        <f t="shared" si="102"/>
        <v>6873</v>
      </c>
      <c r="H215" s="162">
        <f t="shared" si="102"/>
        <v>12297.533552431027</v>
      </c>
      <c r="I215" s="162">
        <f t="shared" si="102"/>
        <v>13120.187359241845</v>
      </c>
      <c r="J215" s="162">
        <f t="shared" si="102"/>
        <v>13639.127972282042</v>
      </c>
      <c r="K215" s="162">
        <f t="shared" si="102"/>
        <v>14618.32749579852</v>
      </c>
      <c r="L215" s="162">
        <f t="shared" si="102"/>
        <v>15513.964325055384</v>
      </c>
      <c r="M215" s="162">
        <f t="shared" si="102"/>
        <v>16436.54032515375</v>
      </c>
      <c r="N215" s="162">
        <f t="shared" si="102"/>
        <v>17506.145255852578</v>
      </c>
      <c r="O215" s="162">
        <f t="shared" si="102"/>
        <v>17592.843481088727</v>
      </c>
      <c r="P215" s="162">
        <f t="shared" si="102"/>
        <v>17892.586474882279</v>
      </c>
      <c r="Q215" s="162">
        <f t="shared" si="102"/>
        <v>18218.563242725024</v>
      </c>
      <c r="T215" s="111"/>
      <c r="U215" s="111"/>
      <c r="V215" s="111"/>
      <c r="W215" s="111"/>
      <c r="X215" s="111"/>
      <c r="Y215" s="111"/>
      <c r="Z215" s="111"/>
      <c r="AA215" s="111"/>
      <c r="AB215" s="111"/>
      <c r="AC215" s="111"/>
    </row>
    <row r="216" spans="1:29" ht="15.6">
      <c r="G216" s="133"/>
      <c r="T216" s="111"/>
      <c r="U216" s="111"/>
      <c r="V216" s="111"/>
      <c r="W216" s="111"/>
      <c r="X216" s="111"/>
      <c r="Y216" s="111"/>
      <c r="Z216" s="111"/>
      <c r="AA216" s="111"/>
      <c r="AB216" s="111"/>
      <c r="AC216" s="111"/>
    </row>
    <row r="217" spans="1:29" ht="3.75" customHeight="1">
      <c r="B217" s="110" t="s">
        <v>282</v>
      </c>
      <c r="E217" s="154">
        <f t="shared" ref="E217:Q217" si="103">+E81</f>
        <v>4756</v>
      </c>
      <c r="F217" s="154">
        <f t="shared" si="103"/>
        <v>5428</v>
      </c>
      <c r="G217" s="192">
        <f t="shared" si="103"/>
        <v>5560</v>
      </c>
      <c r="H217" s="154">
        <f t="shared" si="103"/>
        <v>12370.340087116636</v>
      </c>
      <c r="I217" s="154">
        <f t="shared" si="103"/>
        <v>13130.367249614961</v>
      </c>
      <c r="J217" s="154">
        <f t="shared" si="103"/>
        <v>13827.214308011802</v>
      </c>
      <c r="K217" s="154">
        <f t="shared" si="103"/>
        <v>14712.932912148683</v>
      </c>
      <c r="L217" s="154">
        <f t="shared" si="103"/>
        <v>15616.229177818572</v>
      </c>
      <c r="M217" s="154">
        <f t="shared" si="103"/>
        <v>16571.468626514114</v>
      </c>
      <c r="N217" s="154">
        <f t="shared" si="103"/>
        <v>17621.893770967927</v>
      </c>
      <c r="O217" s="154">
        <f t="shared" si="103"/>
        <v>17710.449113299175</v>
      </c>
      <c r="P217" s="154">
        <f t="shared" si="103"/>
        <v>18016.625678639899</v>
      </c>
      <c r="Q217" s="154">
        <f t="shared" si="103"/>
        <v>18339.412075504144</v>
      </c>
      <c r="T217" s="111"/>
      <c r="U217" s="111"/>
      <c r="V217" s="111"/>
      <c r="W217" s="111"/>
      <c r="X217" s="111"/>
      <c r="Y217" s="111"/>
      <c r="Z217" s="111"/>
      <c r="AA217" s="111"/>
      <c r="AB217" s="111"/>
      <c r="AC217" s="111"/>
    </row>
    <row r="218" spans="1:29" ht="15.6">
      <c r="G218" s="133"/>
      <c r="T218" s="111"/>
      <c r="U218" s="111"/>
      <c r="V218" s="111"/>
      <c r="W218" s="111"/>
      <c r="X218" s="111"/>
      <c r="Y218" s="111"/>
      <c r="Z218" s="111"/>
      <c r="AA218" s="111"/>
      <c r="AB218" s="111"/>
      <c r="AC218" s="111"/>
    </row>
    <row r="219" spans="1:29" ht="15.6">
      <c r="B219" s="110" t="s">
        <v>436</v>
      </c>
      <c r="E219" s="193">
        <f t="shared" ref="E219:Q219" si="104">+E123</f>
        <v>856</v>
      </c>
      <c r="F219" s="193">
        <f t="shared" si="104"/>
        <v>872</v>
      </c>
      <c r="G219" s="194">
        <f t="shared" si="104"/>
        <v>857</v>
      </c>
      <c r="H219" s="193">
        <f t="shared" si="104"/>
        <v>824.38942744782605</v>
      </c>
      <c r="I219" s="193">
        <f t="shared" si="104"/>
        <v>1058.7376292629597</v>
      </c>
      <c r="J219" s="193">
        <f t="shared" si="104"/>
        <v>1291.6228657794725</v>
      </c>
      <c r="K219" s="193">
        <f t="shared" si="104"/>
        <v>1549.3725154035371</v>
      </c>
      <c r="L219" s="193">
        <f t="shared" si="104"/>
        <v>1824.5213701120763</v>
      </c>
      <c r="M219" s="193">
        <f t="shared" si="104"/>
        <v>2118.0589525178066</v>
      </c>
      <c r="N219" s="193">
        <f t="shared" si="104"/>
        <v>2435.5250682775536</v>
      </c>
      <c r="O219" s="193">
        <f t="shared" si="104"/>
        <v>2774.4160146615814</v>
      </c>
      <c r="P219" s="193">
        <f t="shared" si="104"/>
        <v>2869.2851654090541</v>
      </c>
      <c r="Q219" s="193">
        <f t="shared" si="104"/>
        <v>2966.4388244439424</v>
      </c>
      <c r="T219" s="111"/>
      <c r="U219" s="111"/>
      <c r="V219" s="111"/>
      <c r="W219" s="111"/>
      <c r="X219" s="111"/>
      <c r="Y219" s="111"/>
      <c r="Z219" s="111"/>
      <c r="AA219" s="111"/>
      <c r="AB219" s="111"/>
      <c r="AC219" s="111"/>
    </row>
    <row r="220" spans="1:29" ht="15.6">
      <c r="B220" s="138"/>
      <c r="E220" s="195"/>
      <c r="F220" s="195"/>
      <c r="G220" s="196"/>
      <c r="H220" s="197"/>
      <c r="I220" s="197"/>
      <c r="J220" s="197"/>
      <c r="K220" s="197"/>
      <c r="L220" s="197"/>
      <c r="M220" s="197"/>
      <c r="N220" s="197"/>
      <c r="O220" s="197"/>
      <c r="P220" s="197"/>
      <c r="Q220" s="197"/>
      <c r="T220" s="111"/>
      <c r="U220" s="111"/>
      <c r="V220" s="111"/>
      <c r="W220" s="111"/>
      <c r="X220" s="111"/>
      <c r="Y220" s="111"/>
      <c r="Z220" s="111"/>
      <c r="AA220" s="111"/>
      <c r="AB220" s="111"/>
      <c r="AC220" s="111"/>
    </row>
    <row r="221" spans="1:29" ht="15.6">
      <c r="B221" s="110" t="s">
        <v>470</v>
      </c>
      <c r="E221" s="154">
        <f t="shared" ref="E221:Q221" si="105">+E125</f>
        <v>1440</v>
      </c>
      <c r="F221" s="154">
        <f t="shared" si="105"/>
        <v>1718</v>
      </c>
      <c r="G221" s="192">
        <f t="shared" si="105"/>
        <v>1833</v>
      </c>
      <c r="H221" s="154">
        <f t="shared" si="105"/>
        <v>1747.834792262762</v>
      </c>
      <c r="I221" s="154">
        <f t="shared" si="105"/>
        <v>1880.8109015280058</v>
      </c>
      <c r="J221" s="154">
        <f t="shared" si="105"/>
        <v>2085.8674540427855</v>
      </c>
      <c r="K221" s="154">
        <f t="shared" si="105"/>
        <v>2175.8188294139809</v>
      </c>
      <c r="L221" s="154">
        <f t="shared" si="105"/>
        <v>2341.2672580267094</v>
      </c>
      <c r="M221" s="154">
        <f t="shared" si="105"/>
        <v>2519.1688480199687</v>
      </c>
      <c r="N221" s="154">
        <f t="shared" si="105"/>
        <v>2683.3009086838779</v>
      </c>
      <c r="O221" s="154">
        <f t="shared" si="105"/>
        <v>2740.5609486365688</v>
      </c>
      <c r="P221" s="154">
        <f t="shared" si="105"/>
        <v>2795.8608831375363</v>
      </c>
      <c r="Q221" s="154">
        <f t="shared" si="105"/>
        <v>2848.0653136530291</v>
      </c>
      <c r="T221" s="111"/>
      <c r="U221" s="111"/>
      <c r="V221" s="111"/>
      <c r="W221" s="111"/>
      <c r="X221" s="111"/>
      <c r="Y221" s="111"/>
      <c r="Z221" s="111"/>
      <c r="AA221" s="111"/>
      <c r="AB221" s="111"/>
      <c r="AC221" s="111"/>
    </row>
    <row r="222" spans="1:29" ht="15.6">
      <c r="B222" s="138"/>
      <c r="E222" s="195"/>
      <c r="F222" s="195"/>
      <c r="G222" s="196"/>
      <c r="H222" s="197"/>
      <c r="I222" s="197"/>
      <c r="J222" s="197"/>
      <c r="K222" s="197"/>
      <c r="L222" s="197"/>
      <c r="M222" s="197"/>
      <c r="N222" s="197"/>
      <c r="O222" s="197"/>
      <c r="P222" s="197"/>
      <c r="Q222" s="197"/>
      <c r="T222" s="111"/>
      <c r="U222" s="111"/>
      <c r="V222" s="111"/>
      <c r="W222" s="111"/>
      <c r="X222" s="111"/>
      <c r="Y222" s="111"/>
      <c r="Z222" s="111"/>
      <c r="AA222" s="111"/>
      <c r="AB222" s="111"/>
      <c r="AC222" s="111"/>
    </row>
    <row r="223" spans="1:29" ht="15.6">
      <c r="B223" s="110" t="s">
        <v>489</v>
      </c>
      <c r="E223" s="154">
        <f t="shared" ref="E223:Q223" si="106">E188</f>
        <v>732</v>
      </c>
      <c r="F223" s="154">
        <f t="shared" si="106"/>
        <v>-37</v>
      </c>
      <c r="G223" s="192">
        <f t="shared" si="106"/>
        <v>144</v>
      </c>
      <c r="H223" s="154">
        <f t="shared" si="106"/>
        <v>3623.1921330213913</v>
      </c>
      <c r="I223" s="154">
        <f t="shared" si="106"/>
        <v>-555.05130496655738</v>
      </c>
      <c r="J223" s="154">
        <f t="shared" si="106"/>
        <v>-869.28148655119094</v>
      </c>
      <c r="K223" s="154">
        <f t="shared" si="106"/>
        <v>763.3071238643256</v>
      </c>
      <c r="L223" s="154">
        <f t="shared" si="106"/>
        <v>-243.6129291106281</v>
      </c>
      <c r="M223" s="154">
        <f t="shared" si="106"/>
        <v>-134.78231862415169</v>
      </c>
      <c r="N223" s="154">
        <f t="shared" si="106"/>
        <v>121.33623487885052</v>
      </c>
      <c r="O223" s="154">
        <f t="shared" si="106"/>
        <v>-197.88860864040544</v>
      </c>
      <c r="P223" s="154">
        <f t="shared" si="106"/>
        <v>20.449253506723835</v>
      </c>
      <c r="Q223" s="154">
        <f t="shared" si="106"/>
        <v>28.143018176480837</v>
      </c>
      <c r="T223" s="111"/>
      <c r="U223" s="111"/>
      <c r="V223" s="111"/>
      <c r="W223" s="111"/>
      <c r="X223" s="111"/>
      <c r="Y223" s="111"/>
      <c r="Z223" s="111"/>
      <c r="AA223" s="111"/>
      <c r="AB223" s="111"/>
      <c r="AC223" s="111"/>
    </row>
    <row r="224" spans="1:29" ht="15.6">
      <c r="E224" s="154"/>
      <c r="F224" s="154"/>
      <c r="G224" s="192"/>
      <c r="H224" s="154"/>
      <c r="I224" s="154"/>
      <c r="J224" s="154"/>
      <c r="K224" s="154"/>
      <c r="L224" s="154"/>
      <c r="M224" s="154"/>
      <c r="N224" s="154"/>
      <c r="O224" s="154"/>
      <c r="P224" s="154"/>
      <c r="Q224" s="154"/>
      <c r="T224" s="111"/>
      <c r="U224" s="111"/>
      <c r="V224" s="111"/>
      <c r="W224" s="111"/>
      <c r="X224" s="111"/>
      <c r="Y224" s="111"/>
      <c r="Z224" s="111"/>
      <c r="AA224" s="111"/>
      <c r="AB224" s="111"/>
      <c r="AC224" s="111"/>
    </row>
    <row r="225" spans="1:29" ht="3.75" customHeight="1">
      <c r="B225" s="110" t="s">
        <v>23</v>
      </c>
      <c r="E225" s="137">
        <f>E134</f>
        <v>-442</v>
      </c>
      <c r="F225" s="137">
        <f>F134</f>
        <v>-360</v>
      </c>
      <c r="G225" s="168">
        <f>G134</f>
        <v>-183</v>
      </c>
      <c r="H225" s="137">
        <f t="shared" ref="H225:Q225" si="107">H190</f>
        <v>-1242.3248357845821</v>
      </c>
      <c r="I225" s="137">
        <f t="shared" si="107"/>
        <v>-1333.3023006221308</v>
      </c>
      <c r="J225" s="137">
        <f t="shared" si="107"/>
        <v>-1430.6333685675463</v>
      </c>
      <c r="K225" s="137">
        <f t="shared" si="107"/>
        <v>-1535.0696044729771</v>
      </c>
      <c r="L225" s="137">
        <f t="shared" si="107"/>
        <v>-1647.1296855995045</v>
      </c>
      <c r="M225" s="137">
        <f t="shared" si="107"/>
        <v>-1767.3701526482682</v>
      </c>
      <c r="N225" s="137">
        <f t="shared" si="107"/>
        <v>-1896.3881737915915</v>
      </c>
      <c r="O225" s="137">
        <f t="shared" si="107"/>
        <v>-529.94957185408862</v>
      </c>
      <c r="P225" s="137">
        <f t="shared" si="107"/>
        <v>-540.54856329117047</v>
      </c>
      <c r="Q225" s="137">
        <f t="shared" si="107"/>
        <v>-551.35953455699382</v>
      </c>
      <c r="T225" s="111"/>
      <c r="U225" s="111"/>
      <c r="V225" s="111"/>
      <c r="W225" s="111"/>
      <c r="X225" s="111"/>
      <c r="Y225" s="111"/>
      <c r="Z225" s="111"/>
      <c r="AA225" s="111"/>
      <c r="AB225" s="111"/>
      <c r="AC225" s="111"/>
    </row>
    <row r="226" spans="1:29" ht="15.6">
      <c r="G226" s="133"/>
      <c r="T226" s="111"/>
      <c r="U226" s="111"/>
      <c r="V226" s="111"/>
      <c r="W226" s="111"/>
      <c r="X226" s="111"/>
      <c r="Y226" s="111"/>
      <c r="Z226" s="111"/>
      <c r="AA226" s="111"/>
      <c r="AB226" s="111"/>
      <c r="AC226" s="111"/>
    </row>
    <row r="227" spans="1:29" ht="3.75" customHeight="1">
      <c r="B227" s="110" t="s">
        <v>507</v>
      </c>
      <c r="E227" s="193">
        <f>+E156-E158</f>
        <v>0</v>
      </c>
      <c r="F227" s="193">
        <f>+F156-F158</f>
        <v>500</v>
      </c>
      <c r="G227" s="194">
        <f>+G156-G158</f>
        <v>1997</v>
      </c>
      <c r="H227" s="193">
        <f t="shared" ref="H227:Q227" si="108">IFERROR(H156-H158,"")</f>
        <v>0</v>
      </c>
      <c r="I227" s="193">
        <f t="shared" si="108"/>
        <v>0</v>
      </c>
      <c r="J227" s="193">
        <f t="shared" si="108"/>
        <v>0</v>
      </c>
      <c r="K227" s="193">
        <f t="shared" si="108"/>
        <v>0</v>
      </c>
      <c r="L227" s="193">
        <f t="shared" si="108"/>
        <v>0</v>
      </c>
      <c r="M227" s="193">
        <f t="shared" si="108"/>
        <v>0</v>
      </c>
      <c r="N227" s="193">
        <f t="shared" si="108"/>
        <v>0</v>
      </c>
      <c r="O227" s="193">
        <f t="shared" si="108"/>
        <v>0</v>
      </c>
      <c r="P227" s="193">
        <f t="shared" si="108"/>
        <v>0</v>
      </c>
      <c r="Q227" s="193">
        <f t="shared" si="108"/>
        <v>0</v>
      </c>
    </row>
    <row r="228" spans="1:29" ht="15.6">
      <c r="G228" s="133"/>
    </row>
    <row r="229" spans="1:29" ht="3.75" customHeight="1">
      <c r="B229" s="169" t="s">
        <v>411</v>
      </c>
      <c r="C229" s="170"/>
      <c r="D229" s="170"/>
      <c r="E229" s="171">
        <f>+E217+E219+E221+E223+E225+E227</f>
        <v>7342</v>
      </c>
      <c r="F229" s="171">
        <f>+F217+F219+F221+F223+F225+F227</f>
        <v>8121</v>
      </c>
      <c r="G229" s="172">
        <f>+G217+G219+G221+G223+G225+G227</f>
        <v>10208</v>
      </c>
      <c r="H229" s="171">
        <f t="shared" ref="H229:Q229" si="109">IFERROR(+H217+H219+H221+H223+H225+H227,"")</f>
        <v>17323.431604064033</v>
      </c>
      <c r="I229" s="171">
        <f t="shared" si="109"/>
        <v>14181.56217481724</v>
      </c>
      <c r="J229" s="171">
        <f t="shared" si="109"/>
        <v>14904.789772715325</v>
      </c>
      <c r="K229" s="171">
        <f t="shared" si="109"/>
        <v>17666.361776357546</v>
      </c>
      <c r="L229" s="171">
        <f t="shared" si="109"/>
        <v>17891.275191247227</v>
      </c>
      <c r="M229" s="171">
        <f t="shared" si="109"/>
        <v>19306.543955779471</v>
      </c>
      <c r="N229" s="171">
        <f t="shared" si="109"/>
        <v>20965.667809016621</v>
      </c>
      <c r="O229" s="171">
        <f t="shared" si="109"/>
        <v>22497.587896102832</v>
      </c>
      <c r="P229" s="171">
        <f t="shared" si="109"/>
        <v>23161.672417402046</v>
      </c>
      <c r="Q229" s="311">
        <f t="shared" si="109"/>
        <v>23630.699697220603</v>
      </c>
    </row>
    <row r="230" spans="1:29" ht="15.6">
      <c r="B230" s="173" t="s">
        <v>508</v>
      </c>
      <c r="C230" s="174"/>
      <c r="D230" s="174"/>
      <c r="E230" s="174"/>
      <c r="F230" s="174"/>
      <c r="G230" s="175"/>
      <c r="H230" s="176">
        <f t="shared" ref="H230:Q230" ca="1" si="110">IFERROR(H229/(1+$C$12)^H$195,"")</f>
        <v>17114.531934377541</v>
      </c>
      <c r="I230" s="176">
        <f t="shared" ca="1" si="110"/>
        <v>12838.642221570792</v>
      </c>
      <c r="J230" s="176">
        <f t="shared" ca="1" si="110"/>
        <v>12364.734645740295</v>
      </c>
      <c r="K230" s="176">
        <f t="shared" ca="1" si="110"/>
        <v>13429.813703692964</v>
      </c>
      <c r="L230" s="176">
        <f t="shared" ca="1" si="110"/>
        <v>12463.157603021698</v>
      </c>
      <c r="M230" s="176">
        <f t="shared" ca="1" si="110"/>
        <v>12324.101089054773</v>
      </c>
      <c r="N230" s="176">
        <f t="shared" ca="1" si="110"/>
        <v>12263.751359535107</v>
      </c>
      <c r="O230" s="176">
        <f t="shared" ca="1" si="110"/>
        <v>12059.089446191676</v>
      </c>
      <c r="P230" s="176">
        <f t="shared" ca="1" si="110"/>
        <v>11376.597597361615</v>
      </c>
      <c r="Q230" s="177">
        <f t="shared" ca="1" si="110"/>
        <v>10636.114054408208</v>
      </c>
    </row>
    <row r="231" spans="1:29" ht="3.75" customHeight="1">
      <c r="G231" s="133"/>
    </row>
    <row r="232" spans="1:29" ht="15" customHeight="1">
      <c r="B232" s="110" t="s">
        <v>495</v>
      </c>
      <c r="G232" s="133"/>
      <c r="Q232" s="154">
        <f>IFERROR((Q229*(1+$C$13))/([1]WACC!$G$11-$C$13),"")</f>
        <v>252456.18646458889</v>
      </c>
    </row>
    <row r="233" spans="1:29" ht="3.75" customHeight="1">
      <c r="B233" s="110" t="s">
        <v>496</v>
      </c>
      <c r="G233" s="133"/>
      <c r="Q233" s="198">
        <f ca="1">IFERROR(Q232/(1+[1]WACC!$G$11)^$Q$195,"")</f>
        <v>90531.279902627779</v>
      </c>
    </row>
    <row r="234" spans="1:29" ht="15" customHeight="1">
      <c r="B234" s="110" t="s">
        <v>219</v>
      </c>
      <c r="G234" s="133"/>
      <c r="Q234" s="154">
        <f ca="1">+SUM(Q233,H230:Q230)</f>
        <v>217401.81355758244</v>
      </c>
    </row>
    <row r="235" spans="1:29" ht="3.95" customHeight="1">
      <c r="G235" s="133"/>
    </row>
    <row r="236" spans="1:29" ht="13.5" customHeight="1">
      <c r="B236" s="135" t="s">
        <v>503</v>
      </c>
      <c r="G236" s="133"/>
      <c r="N236" s="187"/>
      <c r="Q236" s="188">
        <f ca="1">IFERROR(Q234/Q207,"")</f>
        <v>512.4983817953381</v>
      </c>
    </row>
    <row r="237" spans="1:29" ht="3.95" customHeight="1">
      <c r="G237" s="133"/>
    </row>
    <row r="238" spans="1:29" ht="15" customHeight="1">
      <c r="B238" s="135" t="s">
        <v>505</v>
      </c>
      <c r="C238" s="135"/>
      <c r="D238" s="135"/>
      <c r="E238" s="135"/>
      <c r="F238" s="135"/>
      <c r="G238" s="189"/>
      <c r="H238" s="135"/>
      <c r="I238" s="135"/>
      <c r="J238" s="135"/>
      <c r="K238" s="135"/>
      <c r="L238" s="135"/>
      <c r="M238" s="135"/>
      <c r="N238" s="135"/>
      <c r="O238" s="135"/>
      <c r="P238" s="135"/>
      <c r="Q238" s="190">
        <f ca="1">IFERROR(Q236/Q210-1,"")</f>
        <v>0.40065149438463554</v>
      </c>
    </row>
    <row r="239" spans="1:29" ht="3.75" customHeight="1"/>
    <row r="240" spans="1:29" ht="15" customHeight="1">
      <c r="A240" s="110" t="s">
        <v>392</v>
      </c>
      <c r="B240" s="65" t="s">
        <v>128</v>
      </c>
      <c r="C240" s="66"/>
      <c r="D240" s="65"/>
      <c r="E240" s="66"/>
      <c r="F240" s="66"/>
      <c r="G240" s="66"/>
      <c r="H240" s="66"/>
      <c r="I240" s="66"/>
      <c r="J240" s="82"/>
      <c r="K240" s="83"/>
      <c r="L240" s="83"/>
      <c r="M240" s="83"/>
      <c r="N240" s="83"/>
      <c r="O240" s="83"/>
    </row>
    <row r="241" spans="2:35" ht="3.75" customHeight="1">
      <c r="B241" s="67"/>
      <c r="C241" s="67"/>
      <c r="D241" s="67"/>
      <c r="E241" s="67"/>
      <c r="F241" s="67"/>
      <c r="G241" s="67"/>
      <c r="H241" s="67"/>
      <c r="I241" s="67"/>
      <c r="J241" s="84"/>
      <c r="K241" s="84"/>
      <c r="L241" s="84"/>
      <c r="M241" s="84"/>
      <c r="N241" s="84"/>
      <c r="O241" s="84"/>
    </row>
    <row r="242" spans="2:35" ht="15" customHeight="1">
      <c r="B242" s="865" t="s">
        <v>509</v>
      </c>
      <c r="C242" s="865"/>
      <c r="D242" s="863"/>
      <c r="E242" s="863"/>
      <c r="F242" s="863"/>
      <c r="G242" s="863"/>
      <c r="H242" s="863"/>
      <c r="I242" s="863"/>
      <c r="J242" s="863"/>
      <c r="K242" s="863"/>
      <c r="L242" s="863"/>
      <c r="M242" s="863"/>
      <c r="N242" s="863"/>
      <c r="O242" s="863"/>
    </row>
    <row r="243" spans="2:35" ht="3.95" customHeight="1"/>
    <row r="244" spans="2:35" ht="15" customHeight="1">
      <c r="B244"/>
    </row>
    <row r="245" spans="2:35" ht="15" customHeight="1">
      <c r="B245" s="110" t="s">
        <v>510</v>
      </c>
    </row>
    <row r="246" spans="2:35" ht="3.75" customHeight="1"/>
    <row r="250" spans="2:35" ht="3.75" customHeight="1"/>
    <row r="252" spans="2:35" ht="3.75" customHeight="1"/>
    <row r="254" spans="2:35" s="195" customFormat="1" ht="3.75" customHeight="1">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row>
    <row r="256" spans="2:35" ht="3.75" customHeight="1"/>
    <row r="257" spans="2:17" ht="15" customHeight="1">
      <c r="D257" s="832"/>
      <c r="E257" s="832"/>
      <c r="F257" s="832"/>
      <c r="G257" s="832"/>
      <c r="H257" s="832"/>
      <c r="I257" s="832"/>
      <c r="J257" s="832"/>
      <c r="K257" s="832"/>
      <c r="L257" s="832"/>
      <c r="M257" s="832"/>
      <c r="N257" s="832"/>
      <c r="O257"/>
    </row>
    <row r="258" spans="2:17" ht="15" customHeight="1">
      <c r="D258" s="863"/>
      <c r="E258" s="863"/>
      <c r="F258" s="863"/>
      <c r="G258" s="863"/>
      <c r="H258" s="863"/>
      <c r="I258" s="863"/>
      <c r="J258" s="863"/>
      <c r="K258" s="863"/>
      <c r="L258" s="863"/>
      <c r="M258" s="863"/>
      <c r="N258" s="863"/>
      <c r="O258" s="863"/>
    </row>
    <row r="259" spans="2:17" ht="15" customHeight="1">
      <c r="D259" s="863"/>
      <c r="E259" s="863"/>
      <c r="F259" s="863"/>
      <c r="G259" s="863"/>
      <c r="H259" s="863"/>
      <c r="I259" s="863"/>
      <c r="J259" s="863"/>
      <c r="K259" s="863"/>
      <c r="L259" s="863"/>
      <c r="M259" s="863"/>
      <c r="N259" s="863"/>
      <c r="O259" s="863"/>
    </row>
    <row r="260" spans="2:17" ht="3.75" customHeight="1">
      <c r="D260" s="832"/>
      <c r="E260" s="832"/>
      <c r="F260" s="832"/>
      <c r="G260" s="832"/>
      <c r="H260" s="832"/>
      <c r="I260" s="832"/>
      <c r="J260" s="832"/>
      <c r="K260" s="832"/>
      <c r="L260" s="832"/>
      <c r="M260" s="832"/>
      <c r="N260" s="832"/>
      <c r="O260"/>
    </row>
    <row r="262" spans="2:17" ht="3.75" customHeight="1">
      <c r="F262" s="832"/>
      <c r="G262" s="832"/>
      <c r="H262" s="832"/>
      <c r="I262" s="832"/>
      <c r="J262" s="832"/>
      <c r="K262" s="832"/>
      <c r="L262" s="832"/>
      <c r="M262" s="832"/>
      <c r="N262" s="832"/>
      <c r="O262" s="832"/>
      <c r="P262" s="832"/>
      <c r="Q262"/>
    </row>
    <row r="263" spans="2:17" ht="13.5" customHeight="1">
      <c r="F263" s="863"/>
      <c r="G263" s="863"/>
      <c r="H263" s="863"/>
      <c r="I263" s="863"/>
      <c r="J263" s="863"/>
      <c r="K263" s="863"/>
      <c r="L263" s="863"/>
      <c r="M263" s="863"/>
      <c r="N263" s="863"/>
      <c r="O263" s="863"/>
      <c r="P263" s="863"/>
      <c r="Q263" s="863"/>
    </row>
    <row r="264" spans="2:17" ht="15" customHeight="1">
      <c r="F264" s="832"/>
      <c r="G264" s="832"/>
      <c r="H264" s="832"/>
      <c r="I264" s="832"/>
      <c r="J264" s="832"/>
      <c r="K264" s="832"/>
      <c r="L264" s="832"/>
      <c r="M264" s="832"/>
      <c r="N264" s="832"/>
      <c r="O264" s="832"/>
      <c r="P264" s="832"/>
      <c r="Q264"/>
    </row>
    <row r="265" spans="2:17" ht="15" customHeight="1">
      <c r="F265" s="863"/>
      <c r="G265" s="863"/>
      <c r="H265" s="863"/>
      <c r="I265" s="863"/>
      <c r="J265" s="863"/>
      <c r="K265" s="863"/>
      <c r="L265" s="863"/>
      <c r="M265" s="863"/>
      <c r="N265" s="863"/>
      <c r="O265" s="863"/>
      <c r="P265" s="863"/>
      <c r="Q265" s="863"/>
    </row>
    <row r="266" spans="2:17" ht="3.75" customHeight="1">
      <c r="F266" s="863"/>
      <c r="G266" s="863"/>
      <c r="H266" s="863"/>
      <c r="I266" s="863"/>
      <c r="J266" s="863"/>
      <c r="K266" s="863"/>
      <c r="L266" s="863"/>
      <c r="M266" s="863"/>
      <c r="N266" s="863"/>
      <c r="O266" s="863"/>
      <c r="P266" s="863"/>
      <c r="Q266" s="863"/>
    </row>
    <row r="267" spans="2:17" ht="15" customHeight="1">
      <c r="B267" s="135"/>
      <c r="F267" s="832"/>
      <c r="G267" s="832"/>
      <c r="H267" s="832"/>
      <c r="I267" s="832"/>
      <c r="J267" s="832"/>
      <c r="K267" s="832"/>
      <c r="L267" s="832"/>
      <c r="M267" s="832"/>
      <c r="N267" s="832"/>
      <c r="O267" s="832"/>
      <c r="P267" s="832"/>
      <c r="Q267"/>
    </row>
    <row r="268" spans="2:17" ht="3.75" customHeight="1">
      <c r="B268" s="135"/>
      <c r="F268" s="832"/>
      <c r="G268" s="832"/>
      <c r="H268" s="832"/>
      <c r="I268" s="832"/>
      <c r="J268" s="832"/>
      <c r="K268" s="832"/>
      <c r="L268" s="832"/>
      <c r="M268" s="832"/>
      <c r="N268" s="832"/>
      <c r="O268" s="832"/>
      <c r="P268" s="832"/>
      <c r="Q268"/>
    </row>
    <row r="269" spans="2:17" ht="15" customHeight="1">
      <c r="B269" s="135"/>
      <c r="C269" s="135"/>
      <c r="D269" s="135"/>
      <c r="E269" s="135"/>
      <c r="F269" s="863"/>
      <c r="G269" s="863"/>
      <c r="H269" s="863"/>
      <c r="I269" s="863"/>
      <c r="J269" s="863"/>
      <c r="K269" s="863"/>
      <c r="L269" s="863"/>
      <c r="M269" s="863"/>
      <c r="N269" s="863"/>
      <c r="O269" s="863"/>
      <c r="P269" s="863"/>
      <c r="Q269" s="863"/>
    </row>
    <row r="270" spans="2:17" ht="15" customHeight="1">
      <c r="F270" s="863"/>
      <c r="G270" s="863"/>
      <c r="H270" s="863"/>
      <c r="I270" s="863"/>
      <c r="J270" s="863"/>
      <c r="K270" s="863"/>
      <c r="L270" s="863"/>
      <c r="M270" s="863"/>
      <c r="N270" s="863"/>
      <c r="O270" s="863"/>
      <c r="P270" s="863"/>
      <c r="Q270" s="863"/>
    </row>
    <row r="271" spans="2:17" ht="15" customHeight="1">
      <c r="F271" s="832"/>
      <c r="G271" s="832"/>
      <c r="H271" s="832"/>
      <c r="I271" s="832"/>
      <c r="J271" s="832"/>
      <c r="K271" s="832"/>
      <c r="L271" s="832"/>
      <c r="M271" s="832"/>
      <c r="N271" s="832"/>
      <c r="O271" s="832"/>
      <c r="P271" s="832"/>
      <c r="Q271"/>
    </row>
    <row r="272" spans="2:17" ht="3.75" customHeight="1"/>
    <row r="273" spans="1:49" ht="39.75" customHeight="1"/>
    <row r="274" spans="1:49" ht="39.75" customHeight="1">
      <c r="B274" s="865"/>
      <c r="C274" s="865"/>
      <c r="D274" s="832"/>
      <c r="E274" s="832"/>
      <c r="F274" s="832"/>
      <c r="G274" s="832"/>
      <c r="H274" s="832"/>
      <c r="I274" s="832"/>
      <c r="J274" s="832"/>
      <c r="K274" s="832"/>
      <c r="L274" s="832"/>
      <c r="M274" s="832"/>
      <c r="N274" s="832"/>
      <c r="O274"/>
    </row>
    <row r="275" spans="1:49" ht="39.75" customHeight="1">
      <c r="B275" s="865"/>
      <c r="C275" s="865"/>
      <c r="D275" s="832"/>
      <c r="E275" s="832"/>
      <c r="F275" s="832"/>
      <c r="G275" s="832"/>
      <c r="H275" s="832"/>
      <c r="I275" s="832"/>
      <c r="J275" s="832"/>
      <c r="K275" s="832"/>
      <c r="L275" s="832"/>
      <c r="M275" s="832"/>
      <c r="N275" s="832"/>
      <c r="O275"/>
    </row>
    <row r="276" spans="1:49" ht="39.75" customHeight="1">
      <c r="B276" s="865"/>
      <c r="C276" s="865"/>
      <c r="D276" s="832"/>
      <c r="E276" s="832"/>
      <c r="F276" s="832"/>
      <c r="G276" s="832"/>
      <c r="H276" s="832"/>
      <c r="I276" s="832"/>
      <c r="J276" s="832"/>
      <c r="K276" s="832"/>
      <c r="L276" s="832"/>
      <c r="M276" s="832"/>
      <c r="N276" s="832"/>
      <c r="O276"/>
    </row>
    <row r="277" spans="1:49" ht="39.75" customHeight="1">
      <c r="B277" s="865"/>
      <c r="C277" s="865"/>
      <c r="D277" s="863"/>
      <c r="E277" s="863"/>
      <c r="F277" s="863"/>
      <c r="G277" s="863"/>
      <c r="H277" s="863"/>
      <c r="I277" s="863"/>
      <c r="J277" s="863"/>
      <c r="K277" s="863"/>
      <c r="L277" s="863"/>
      <c r="M277" s="863"/>
      <c r="N277" s="863"/>
      <c r="O277" s="863"/>
    </row>
    <row r="278" spans="1:49" ht="39.75" customHeight="1">
      <c r="B278" s="865"/>
      <c r="C278" s="865"/>
      <c r="D278" s="863"/>
      <c r="E278" s="863"/>
      <c r="F278" s="863"/>
      <c r="G278" s="863"/>
      <c r="H278" s="863"/>
      <c r="I278" s="863"/>
      <c r="J278" s="863"/>
      <c r="K278" s="863"/>
      <c r="L278" s="863"/>
      <c r="M278" s="863"/>
      <c r="N278" s="863"/>
      <c r="O278" s="863"/>
    </row>
    <row r="279" spans="1:49" ht="15" customHeight="1">
      <c r="D279" s="832"/>
      <c r="E279" s="832"/>
      <c r="F279" s="832"/>
      <c r="G279" s="832"/>
      <c r="H279" s="832"/>
      <c r="I279" s="832"/>
      <c r="J279" s="832"/>
      <c r="K279" s="832"/>
      <c r="L279" s="832"/>
      <c r="M279" s="832"/>
      <c r="N279" s="832"/>
      <c r="O279"/>
    </row>
    <row r="280" spans="1:49" s="41" customFormat="1" ht="20.100000000000001" customHeight="1">
      <c r="A280" s="110"/>
      <c r="B280" s="831"/>
      <c r="C280" s="831"/>
      <c r="D280" s="832"/>
      <c r="E280" s="832"/>
      <c r="F280" s="832"/>
      <c r="G280" s="832"/>
      <c r="H280" s="832"/>
      <c r="I280" s="832"/>
      <c r="J280" s="832"/>
      <c r="K280" s="832"/>
      <c r="L280" s="832"/>
      <c r="M280" s="832"/>
      <c r="N280" s="832"/>
      <c r="O28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N280" s="668" t="s">
        <v>511</v>
      </c>
    </row>
    <row r="282" spans="1:49" ht="15" customHeight="1">
      <c r="AN282" s="584" t="str">
        <f>Peers!AN286&amp;" Stock Price - Blended Discount Rate and Terminal Growth Rate"</f>
        <v xml:space="preserve"> Stock Price - Blended Discount Rate and Terminal Growth Rate</v>
      </c>
      <c r="AO282"/>
      <c r="AP282"/>
      <c r="AQ282"/>
      <c r="AR282"/>
      <c r="AS282"/>
      <c r="AT282"/>
      <c r="AW282" s="110">
        <v>1</v>
      </c>
    </row>
    <row r="283" spans="1:49" ht="15" customHeight="1" thickBot="1">
      <c r="AN283" t="s">
        <v>512</v>
      </c>
      <c r="AO283"/>
      <c r="AP283"/>
      <c r="AQ283"/>
      <c r="AR283"/>
      <c r="AS283"/>
      <c r="AT283"/>
      <c r="AW283" s="110">
        <v>2</v>
      </c>
    </row>
    <row r="284" spans="1:49" ht="15" customHeight="1">
      <c r="AN284" s="582"/>
      <c r="AO284" s="583"/>
      <c r="AP284" s="669"/>
      <c r="AQ284" s="582"/>
      <c r="AR284" s="670" t="s">
        <v>421</v>
      </c>
      <c r="AS284" s="582"/>
      <c r="AT284" s="582"/>
      <c r="AW284" s="110">
        <v>3</v>
      </c>
    </row>
    <row r="285" spans="1:49" ht="15" customHeight="1" thickBot="1">
      <c r="AN285" s="576"/>
      <c r="AO285" s="677">
        <f ca="1">Q208</f>
        <v>669.53611105772791</v>
      </c>
      <c r="AP285" s="587"/>
      <c r="AQ285" s="587"/>
      <c r="AR285" s="587"/>
      <c r="AS285" s="587"/>
      <c r="AT285" s="587"/>
      <c r="AW285" s="110">
        <v>4</v>
      </c>
    </row>
    <row r="286" spans="1:49" ht="15" customHeight="1">
      <c r="AN286"/>
      <c r="AO286" s="579">
        <v>0.01</v>
      </c>
      <c r="AP286" s="585"/>
      <c r="AQ286" s="585"/>
      <c r="AR286" s="585"/>
      <c r="AS286" s="585"/>
      <c r="AT286" s="585"/>
      <c r="AW286" s="110">
        <v>5</v>
      </c>
    </row>
    <row r="287" spans="1:49" ht="15" customHeight="1">
      <c r="AN287" s="667"/>
      <c r="AO287" s="579">
        <v>0.02</v>
      </c>
      <c r="AP287" s="585"/>
      <c r="AQ287" s="585"/>
      <c r="AR287" s="585"/>
      <c r="AS287" s="585"/>
      <c r="AT287" s="585"/>
      <c r="AW287" s="110">
        <v>6</v>
      </c>
    </row>
    <row r="288" spans="1:49" ht="15" customHeight="1">
      <c r="AN288" s="24" t="s">
        <v>424</v>
      </c>
      <c r="AO288" s="579">
        <v>0.03</v>
      </c>
      <c r="AP288" s="585"/>
      <c r="AQ288" s="585"/>
      <c r="AR288" s="585"/>
      <c r="AS288" s="585"/>
      <c r="AT288" s="585"/>
      <c r="AW288" s="110">
        <v>7</v>
      </c>
    </row>
    <row r="289" spans="40:49" ht="15" customHeight="1">
      <c r="AN289"/>
      <c r="AO289" s="579">
        <v>0.04</v>
      </c>
      <c r="AP289" s="585"/>
      <c r="AQ289" s="585"/>
      <c r="AR289" s="585"/>
      <c r="AS289" s="585"/>
      <c r="AT289" s="585"/>
      <c r="AW289" s="110">
        <v>8</v>
      </c>
    </row>
    <row r="290" spans="40:49" ht="15" customHeight="1" thickBot="1">
      <c r="AN290" s="576"/>
      <c r="AO290" s="580">
        <v>0.05</v>
      </c>
      <c r="AP290" s="586"/>
      <c r="AQ290" s="586"/>
      <c r="AR290" s="586"/>
      <c r="AS290" s="586"/>
      <c r="AT290" s="586"/>
      <c r="AW290" s="110">
        <v>9</v>
      </c>
    </row>
    <row r="291" spans="40:49" ht="15" customHeight="1">
      <c r="AN291"/>
      <c r="AO291" s="679"/>
      <c r="AP291"/>
      <c r="AQ291"/>
      <c r="AR291"/>
      <c r="AS291"/>
      <c r="AT291"/>
      <c r="AW291" s="110">
        <v>10</v>
      </c>
    </row>
    <row r="292" spans="40:49" ht="15" customHeight="1">
      <c r="AN292" s="584" t="str">
        <f>Peers!AN286&amp;" Stock Price - Blended Revenue Growth and Operating Margin"</f>
        <v xml:space="preserve"> Stock Price - Blended Revenue Growth and Operating Margin</v>
      </c>
      <c r="AO292"/>
      <c r="AP292"/>
      <c r="AQ292"/>
      <c r="AR292"/>
      <c r="AS292"/>
      <c r="AT292"/>
      <c r="AW292" s="110">
        <v>11</v>
      </c>
    </row>
    <row r="293" spans="40:49" ht="15" customHeight="1" thickBot="1">
      <c r="AN293" t="s">
        <v>512</v>
      </c>
      <c r="AO293"/>
      <c r="AP293"/>
      <c r="AQ293"/>
      <c r="AR293"/>
      <c r="AS293"/>
      <c r="AT293"/>
      <c r="AW293" s="110">
        <v>12</v>
      </c>
    </row>
    <row r="294" spans="40:49" ht="15" customHeight="1">
      <c r="AN294" s="582"/>
      <c r="AO294" s="583"/>
      <c r="AP294" s="582"/>
      <c r="AQ294" s="588" t="s">
        <v>222</v>
      </c>
      <c r="AR294" s="582"/>
      <c r="AS294"/>
      <c r="AT294"/>
      <c r="AW294" s="110">
        <v>13</v>
      </c>
    </row>
    <row r="295" spans="40:49" ht="15" customHeight="1" thickBot="1">
      <c r="AN295" s="576"/>
      <c r="AO295" s="677">
        <f ca="1">Q208</f>
        <v>669.53611105772791</v>
      </c>
      <c r="AP295" s="671">
        <v>1</v>
      </c>
      <c r="AQ295" s="671">
        <v>2</v>
      </c>
      <c r="AR295" s="671">
        <v>3</v>
      </c>
      <c r="AS295"/>
      <c r="AT295"/>
      <c r="AW295" s="110">
        <v>14</v>
      </c>
    </row>
    <row r="296" spans="40:49" ht="15" customHeight="1">
      <c r="AN296"/>
      <c r="AO296" s="672">
        <v>1</v>
      </c>
      <c r="AP296"/>
      <c r="AQ296"/>
      <c r="AR296"/>
      <c r="AS296"/>
      <c r="AT296"/>
      <c r="AW296" s="110">
        <v>15</v>
      </c>
    </row>
    <row r="297" spans="40:49" ht="15" customHeight="1">
      <c r="AN297" s="24" t="s">
        <v>418</v>
      </c>
      <c r="AO297" s="672">
        <v>2</v>
      </c>
      <c r="AP297"/>
      <c r="AQ297"/>
      <c r="AR297"/>
      <c r="AS297"/>
      <c r="AT297"/>
      <c r="AW297" s="110">
        <v>16</v>
      </c>
    </row>
    <row r="298" spans="40:49" ht="15" customHeight="1" thickBot="1">
      <c r="AN298" s="576"/>
      <c r="AO298" s="673">
        <v>3</v>
      </c>
      <c r="AP298" s="576"/>
      <c r="AQ298" s="576"/>
      <c r="AR298" s="576"/>
      <c r="AS298"/>
      <c r="AT298"/>
      <c r="AW298" s="110">
        <v>17</v>
      </c>
    </row>
    <row r="299" spans="40:49" ht="15" customHeight="1">
      <c r="AN299"/>
      <c r="AO299" s="674"/>
      <c r="AP299"/>
      <c r="AQ299"/>
      <c r="AR299"/>
      <c r="AS299"/>
      <c r="AT299"/>
      <c r="AW299" s="110">
        <v>18</v>
      </c>
    </row>
    <row r="300" spans="40:49" ht="15" customHeight="1">
      <c r="AN300" s="592" t="s">
        <v>513</v>
      </c>
      <c r="AO300" s="37"/>
      <c r="AP300" s="37"/>
      <c r="AQ300" s="37"/>
      <c r="AR300" s="37"/>
      <c r="AS300" s="37"/>
      <c r="AT300" s="37"/>
      <c r="AW300" s="110">
        <v>19</v>
      </c>
    </row>
    <row r="301" spans="40:49" ht="15" customHeight="1">
      <c r="AW301" s="110">
        <v>20</v>
      </c>
    </row>
    <row r="302" spans="40:49" ht="15" customHeight="1">
      <c r="AW302" s="110">
        <v>21</v>
      </c>
    </row>
    <row r="303" spans="40:49" ht="15" customHeight="1">
      <c r="AR303" s="117"/>
      <c r="AS303" s="117"/>
      <c r="AW303" s="110">
        <v>22</v>
      </c>
    </row>
    <row r="304" spans="40:49" ht="15" customHeight="1">
      <c r="AW304" s="110">
        <v>23</v>
      </c>
    </row>
    <row r="305" spans="46:49" ht="15" customHeight="1">
      <c r="AT305"/>
      <c r="AW305" s="110">
        <v>24</v>
      </c>
    </row>
    <row r="306" spans="46:49" ht="15" customHeight="1">
      <c r="AW306" s="110">
        <v>25</v>
      </c>
    </row>
    <row r="307" spans="46:49" ht="15" customHeight="1">
      <c r="AW307" s="110">
        <v>26</v>
      </c>
    </row>
    <row r="308" spans="46:49" ht="15" customHeight="1">
      <c r="AW308" s="110">
        <v>27</v>
      </c>
    </row>
    <row r="309" spans="46:49" ht="15" customHeight="1">
      <c r="AW309" s="110">
        <v>28</v>
      </c>
    </row>
    <row r="310" spans="46:49" ht="15" customHeight="1">
      <c r="AW310" s="110">
        <v>29</v>
      </c>
    </row>
    <row r="311" spans="46:49" ht="15" customHeight="1">
      <c r="AW311" s="110">
        <v>30</v>
      </c>
    </row>
    <row r="312" spans="46:49" ht="15" customHeight="1">
      <c r="AW312" s="110">
        <v>31</v>
      </c>
    </row>
    <row r="313" spans="46:49" ht="15" customHeight="1">
      <c r="AW313" s="110">
        <v>32</v>
      </c>
    </row>
    <row r="314" spans="46:49" ht="15" customHeight="1">
      <c r="AW314" s="110">
        <v>33</v>
      </c>
    </row>
    <row r="315" spans="46:49" ht="15" customHeight="1">
      <c r="AW315" s="110">
        <v>34</v>
      </c>
    </row>
    <row r="316" spans="46:49" ht="15" customHeight="1">
      <c r="AW316" s="110">
        <v>35</v>
      </c>
    </row>
    <row r="317" spans="46:49" ht="15" customHeight="1">
      <c r="AW317" s="110">
        <v>36</v>
      </c>
    </row>
    <row r="318" spans="46:49" ht="15" customHeight="1">
      <c r="AW318" s="110">
        <v>37</v>
      </c>
    </row>
    <row r="319" spans="46:49" ht="15" customHeight="1">
      <c r="AW319" s="110">
        <v>38</v>
      </c>
    </row>
    <row r="320" spans="46:49" ht="15" customHeight="1">
      <c r="AW320" s="110">
        <v>39</v>
      </c>
    </row>
    <row r="321" spans="49:49" ht="15" customHeight="1">
      <c r="AW321" s="110">
        <v>40</v>
      </c>
    </row>
    <row r="322" spans="49:49" ht="15" customHeight="1">
      <c r="AW322" s="110">
        <v>41</v>
      </c>
    </row>
    <row r="323" spans="49:49" ht="15" customHeight="1">
      <c r="AW323" s="110">
        <v>42</v>
      </c>
    </row>
    <row r="324" spans="49:49" ht="15" customHeight="1">
      <c r="AW324" s="110">
        <v>43</v>
      </c>
    </row>
    <row r="325" spans="49:49" ht="15" customHeight="1">
      <c r="AW325" s="110">
        <v>44</v>
      </c>
    </row>
    <row r="326" spans="49:49" ht="15" customHeight="1">
      <c r="AW326" s="110">
        <v>45</v>
      </c>
    </row>
    <row r="327" spans="49:49" ht="15" customHeight="1">
      <c r="AW327" s="110">
        <v>46</v>
      </c>
    </row>
    <row r="328" spans="49:49" ht="15" customHeight="1">
      <c r="AW328" s="110">
        <v>47</v>
      </c>
    </row>
    <row r="329" spans="49:49" ht="15" customHeight="1">
      <c r="AW329" s="110">
        <v>48</v>
      </c>
    </row>
    <row r="330" spans="49:49" ht="15" customHeight="1">
      <c r="AW330" s="110">
        <v>49</v>
      </c>
    </row>
    <row r="331" spans="49:49" ht="15" customHeight="1">
      <c r="AW331" s="110">
        <v>50</v>
      </c>
    </row>
    <row r="332" spans="49:49" ht="15" customHeight="1">
      <c r="AW332" s="110">
        <v>51</v>
      </c>
    </row>
    <row r="333" spans="49:49" ht="15" customHeight="1">
      <c r="AW333" s="110">
        <v>52</v>
      </c>
    </row>
    <row r="334" spans="49:49" ht="15" customHeight="1">
      <c r="AW334" s="110">
        <v>53</v>
      </c>
    </row>
    <row r="335" spans="49:49" ht="15" customHeight="1">
      <c r="AW335" s="110">
        <v>54</v>
      </c>
    </row>
    <row r="336" spans="49:49" ht="15" customHeight="1">
      <c r="AW336" s="110">
        <v>55</v>
      </c>
    </row>
    <row r="337" spans="49:49" ht="15" customHeight="1">
      <c r="AW337" s="110">
        <v>56</v>
      </c>
    </row>
    <row r="338" spans="49:49" ht="15" customHeight="1">
      <c r="AW338" s="110">
        <v>57</v>
      </c>
    </row>
    <row r="339" spans="49:49" ht="15" customHeight="1">
      <c r="AW339" s="110">
        <v>58</v>
      </c>
    </row>
    <row r="340" spans="49:49" ht="15" customHeight="1">
      <c r="AW340" s="110">
        <v>59</v>
      </c>
    </row>
    <row r="341" spans="49:49" ht="15" customHeight="1">
      <c r="AW341" s="110">
        <v>60</v>
      </c>
    </row>
    <row r="342" spans="49:49" ht="15" customHeight="1">
      <c r="AW342" s="110">
        <v>61</v>
      </c>
    </row>
    <row r="343" spans="49:49" ht="15" customHeight="1">
      <c r="AW343" s="110">
        <v>62</v>
      </c>
    </row>
    <row r="344" spans="49:49" ht="15" customHeight="1">
      <c r="AW344" s="110">
        <v>63</v>
      </c>
    </row>
    <row r="345" spans="49:49" ht="15" customHeight="1">
      <c r="AW345" s="110">
        <v>64</v>
      </c>
    </row>
    <row r="346" spans="49:49" ht="15" customHeight="1">
      <c r="AW346" s="110">
        <v>65</v>
      </c>
    </row>
    <row r="347" spans="49:49" ht="15" customHeight="1">
      <c r="AW347" s="110">
        <v>66</v>
      </c>
    </row>
    <row r="348" spans="49:49" ht="15" customHeight="1">
      <c r="AW348" s="110">
        <v>67</v>
      </c>
    </row>
    <row r="349" spans="49:49" ht="15" customHeight="1">
      <c r="AW349" s="110">
        <v>68</v>
      </c>
    </row>
    <row r="350" spans="49:49" ht="15" customHeight="1">
      <c r="AW350" s="110">
        <v>69</v>
      </c>
    </row>
    <row r="351" spans="49:49" ht="15" customHeight="1">
      <c r="AW351" s="110">
        <v>70</v>
      </c>
    </row>
    <row r="352" spans="49:49" ht="15" customHeight="1">
      <c r="AW352" s="110">
        <v>71</v>
      </c>
    </row>
    <row r="353" spans="49:49" ht="15" customHeight="1">
      <c r="AW353" s="110">
        <v>72</v>
      </c>
    </row>
    <row r="354" spans="49:49" ht="15" customHeight="1">
      <c r="AW354" s="110">
        <v>73</v>
      </c>
    </row>
    <row r="355" spans="49:49" ht="15" customHeight="1">
      <c r="AW355" s="110">
        <v>74</v>
      </c>
    </row>
    <row r="356" spans="49:49" ht="15" customHeight="1">
      <c r="AW356" s="110">
        <v>75</v>
      </c>
    </row>
    <row r="357" spans="49:49" ht="15" customHeight="1">
      <c r="AW357" s="110">
        <v>76</v>
      </c>
    </row>
    <row r="358" spans="49:49" ht="15" customHeight="1">
      <c r="AW358" s="110">
        <v>77</v>
      </c>
    </row>
    <row r="359" spans="49:49" ht="15" customHeight="1">
      <c r="AW359" s="110">
        <v>78</v>
      </c>
    </row>
    <row r="360" spans="49:49" ht="15" customHeight="1">
      <c r="AW360" s="110">
        <v>79</v>
      </c>
    </row>
    <row r="361" spans="49:49" ht="15" customHeight="1">
      <c r="AW361" s="110">
        <v>80</v>
      </c>
    </row>
    <row r="362" spans="49:49" ht="15" customHeight="1">
      <c r="AW362" s="110">
        <v>81</v>
      </c>
    </row>
    <row r="363" spans="49:49" ht="15" customHeight="1">
      <c r="AW363" s="110">
        <v>82</v>
      </c>
    </row>
    <row r="364" spans="49:49" ht="15" customHeight="1">
      <c r="AW364" s="110">
        <v>83</v>
      </c>
    </row>
    <row r="365" spans="49:49" ht="15" customHeight="1">
      <c r="AW365" s="110">
        <v>84</v>
      </c>
    </row>
    <row r="366" spans="49:49" ht="15" customHeight="1">
      <c r="AW366" s="110">
        <v>85</v>
      </c>
    </row>
    <row r="367" spans="49:49" ht="15" customHeight="1">
      <c r="AW367" s="110">
        <v>86</v>
      </c>
    </row>
    <row r="368" spans="49:49" ht="15" customHeight="1">
      <c r="AW368" s="110">
        <v>87</v>
      </c>
    </row>
    <row r="369" spans="49:49" ht="15" customHeight="1">
      <c r="AW369" s="110">
        <v>88</v>
      </c>
    </row>
    <row r="370" spans="49:49" ht="15" customHeight="1">
      <c r="AW370" s="110">
        <v>89</v>
      </c>
    </row>
    <row r="371" spans="49:49" ht="15" customHeight="1">
      <c r="AW371" s="110">
        <v>90</v>
      </c>
    </row>
    <row r="372" spans="49:49" ht="15" customHeight="1">
      <c r="AW372" s="110">
        <v>91</v>
      </c>
    </row>
    <row r="373" spans="49:49" ht="15" customHeight="1">
      <c r="AW373" s="110">
        <v>92</v>
      </c>
    </row>
    <row r="374" spans="49:49" ht="15" customHeight="1">
      <c r="AW374" s="110">
        <v>93</v>
      </c>
    </row>
    <row r="375" spans="49:49" ht="15" customHeight="1">
      <c r="AW375" s="110">
        <v>94</v>
      </c>
    </row>
    <row r="376" spans="49:49" ht="15" customHeight="1">
      <c r="AW376" s="110">
        <v>95</v>
      </c>
    </row>
    <row r="377" spans="49:49" ht="15" customHeight="1">
      <c r="AW377" s="110">
        <v>96</v>
      </c>
    </row>
    <row r="378" spans="49:49" ht="15" customHeight="1">
      <c r="AW378" s="110">
        <v>97</v>
      </c>
    </row>
    <row r="379" spans="49:49" ht="15" customHeight="1">
      <c r="AW379" s="110">
        <v>98</v>
      </c>
    </row>
    <row r="380" spans="49:49" ht="15" customHeight="1">
      <c r="AW380" s="110">
        <v>99</v>
      </c>
    </row>
    <row r="381" spans="49:49" ht="15" customHeight="1">
      <c r="AW381" s="110">
        <v>100</v>
      </c>
    </row>
    <row r="382" spans="49:49" ht="15" customHeight="1">
      <c r="AW382" s="110">
        <v>101</v>
      </c>
    </row>
    <row r="383" spans="49:49" ht="15" customHeight="1">
      <c r="AW383" s="110">
        <v>102</v>
      </c>
    </row>
    <row r="384" spans="49:49" ht="15" customHeight="1">
      <c r="AW384" s="110">
        <v>103</v>
      </c>
    </row>
    <row r="385" spans="49:49" ht="15" customHeight="1">
      <c r="AW385" s="110">
        <v>104</v>
      </c>
    </row>
    <row r="386" spans="49:49" ht="15" customHeight="1">
      <c r="AW386" s="110">
        <v>105</v>
      </c>
    </row>
    <row r="387" spans="49:49" ht="15" customHeight="1">
      <c r="AW387" s="110">
        <v>106</v>
      </c>
    </row>
    <row r="388" spans="49:49" ht="15" customHeight="1">
      <c r="AW388" s="110">
        <v>107</v>
      </c>
    </row>
    <row r="389" spans="49:49" ht="15" customHeight="1">
      <c r="AW389" s="110">
        <v>108</v>
      </c>
    </row>
    <row r="390" spans="49:49" ht="15" customHeight="1">
      <c r="AW390" s="110">
        <v>109</v>
      </c>
    </row>
    <row r="391" spans="49:49" ht="15" customHeight="1">
      <c r="AW391" s="110">
        <v>110</v>
      </c>
    </row>
    <row r="392" spans="49:49" ht="15" customHeight="1">
      <c r="AW392" s="110">
        <v>111</v>
      </c>
    </row>
    <row r="393" spans="49:49" ht="15" customHeight="1">
      <c r="AW393" s="110">
        <v>112</v>
      </c>
    </row>
    <row r="394" spans="49:49" ht="15" customHeight="1">
      <c r="AW394" s="110">
        <v>113</v>
      </c>
    </row>
    <row r="395" spans="49:49" ht="15" customHeight="1">
      <c r="AW395" s="110">
        <v>114</v>
      </c>
    </row>
    <row r="396" spans="49:49" ht="15" customHeight="1">
      <c r="AW396" s="110">
        <v>115</v>
      </c>
    </row>
    <row r="397" spans="49:49" ht="15" customHeight="1">
      <c r="AW397" s="110">
        <v>116</v>
      </c>
    </row>
    <row r="398" spans="49:49" ht="15" customHeight="1">
      <c r="AW398" s="110">
        <v>117</v>
      </c>
    </row>
    <row r="399" spans="49:49" ht="15" customHeight="1">
      <c r="AW399" s="110">
        <v>118</v>
      </c>
    </row>
    <row r="400" spans="49:49" ht="15" customHeight="1">
      <c r="AW400" s="110">
        <v>119</v>
      </c>
    </row>
    <row r="401" spans="49:49" ht="15" customHeight="1">
      <c r="AW401" s="110">
        <v>120</v>
      </c>
    </row>
    <row r="402" spans="49:49" ht="15" customHeight="1">
      <c r="AW402" s="110">
        <v>121</v>
      </c>
    </row>
    <row r="403" spans="49:49" ht="15" customHeight="1">
      <c r="AW403" s="110">
        <v>122</v>
      </c>
    </row>
    <row r="404" spans="49:49" ht="15" customHeight="1">
      <c r="AW404" s="110">
        <v>123</v>
      </c>
    </row>
    <row r="405" spans="49:49" ht="15" customHeight="1">
      <c r="AW405" s="110">
        <v>124</v>
      </c>
    </row>
    <row r="406" spans="49:49" ht="15" customHeight="1">
      <c r="AW406" s="110">
        <v>125</v>
      </c>
    </row>
    <row r="407" spans="49:49" ht="15" customHeight="1">
      <c r="AW407" s="110">
        <v>126</v>
      </c>
    </row>
    <row r="408" spans="49:49" ht="15" customHeight="1">
      <c r="AW408" s="110">
        <v>127</v>
      </c>
    </row>
    <row r="409" spans="49:49" ht="15" customHeight="1">
      <c r="AW409" s="110">
        <v>128</v>
      </c>
    </row>
    <row r="410" spans="49:49" ht="15" customHeight="1">
      <c r="AW410" s="110">
        <v>129</v>
      </c>
    </row>
    <row r="411" spans="49:49" ht="15" customHeight="1">
      <c r="AW411" s="110">
        <v>130</v>
      </c>
    </row>
    <row r="412" spans="49:49" ht="15" customHeight="1">
      <c r="AW412" s="110">
        <v>131</v>
      </c>
    </row>
    <row r="413" spans="49:49" ht="15" customHeight="1">
      <c r="AW413" s="110">
        <v>132</v>
      </c>
    </row>
    <row r="414" spans="49:49" ht="15" customHeight="1">
      <c r="AW414" s="110">
        <v>133</v>
      </c>
    </row>
    <row r="415" spans="49:49" ht="15" customHeight="1">
      <c r="AW415" s="110">
        <v>134</v>
      </c>
    </row>
    <row r="416" spans="49:49" ht="15" customHeight="1">
      <c r="AW416" s="110">
        <v>135</v>
      </c>
    </row>
    <row r="417" spans="49:49" ht="15" customHeight="1">
      <c r="AW417" s="110">
        <v>136</v>
      </c>
    </row>
    <row r="418" spans="49:49" ht="15" customHeight="1">
      <c r="AW418" s="110">
        <v>137</v>
      </c>
    </row>
    <row r="419" spans="49:49" ht="15" customHeight="1">
      <c r="AW419" s="110">
        <v>138</v>
      </c>
    </row>
    <row r="420" spans="49:49" ht="15" customHeight="1">
      <c r="AW420" s="110">
        <v>139</v>
      </c>
    </row>
    <row r="421" spans="49:49" ht="15" customHeight="1">
      <c r="AW421" s="110">
        <v>140</v>
      </c>
    </row>
    <row r="422" spans="49:49" ht="15" customHeight="1">
      <c r="AW422" s="110">
        <v>141</v>
      </c>
    </row>
    <row r="423" spans="49:49" ht="15" customHeight="1">
      <c r="AW423" s="110">
        <v>142</v>
      </c>
    </row>
    <row r="424" spans="49:49" ht="15" customHeight="1">
      <c r="AW424" s="110">
        <v>143</v>
      </c>
    </row>
    <row r="425" spans="49:49" ht="15" customHeight="1">
      <c r="AW425" s="110">
        <v>144</v>
      </c>
    </row>
    <row r="426" spans="49:49" ht="15" customHeight="1">
      <c r="AW426" s="110">
        <v>145</v>
      </c>
    </row>
    <row r="427" spans="49:49" ht="15" customHeight="1">
      <c r="AW427" s="110">
        <v>146</v>
      </c>
    </row>
    <row r="428" spans="49:49" ht="15" customHeight="1">
      <c r="AW428" s="110">
        <v>147</v>
      </c>
    </row>
    <row r="429" spans="49:49" ht="15" customHeight="1">
      <c r="AW429" s="110">
        <v>148</v>
      </c>
    </row>
    <row r="430" spans="49:49" ht="15" customHeight="1">
      <c r="AW430" s="110">
        <v>149</v>
      </c>
    </row>
    <row r="431" spans="49:49" ht="15" customHeight="1">
      <c r="AW431" s="110">
        <v>150</v>
      </c>
    </row>
    <row r="432" spans="49:49" ht="15" customHeight="1">
      <c r="AW432" s="110">
        <v>151</v>
      </c>
    </row>
    <row r="433" spans="49:49" ht="15" customHeight="1">
      <c r="AW433" s="110">
        <v>152</v>
      </c>
    </row>
    <row r="434" spans="49:49" ht="15" customHeight="1">
      <c r="AW434" s="110">
        <v>153</v>
      </c>
    </row>
    <row r="435" spans="49:49" ht="15" customHeight="1">
      <c r="AW435" s="110">
        <v>154</v>
      </c>
    </row>
    <row r="436" spans="49:49" ht="15" customHeight="1">
      <c r="AW436" s="110">
        <v>155</v>
      </c>
    </row>
    <row r="437" spans="49:49" ht="15" customHeight="1">
      <c r="AW437" s="110">
        <v>156</v>
      </c>
    </row>
    <row r="438" spans="49:49" ht="15" customHeight="1">
      <c r="AW438" s="110">
        <v>157</v>
      </c>
    </row>
    <row r="439" spans="49:49" ht="15" customHeight="1">
      <c r="AW439" s="110">
        <v>158</v>
      </c>
    </row>
    <row r="440" spans="49:49" ht="15" customHeight="1">
      <c r="AW440" s="110">
        <v>159</v>
      </c>
    </row>
    <row r="441" spans="49:49" ht="15" customHeight="1">
      <c r="AW441" s="110">
        <v>160</v>
      </c>
    </row>
    <row r="442" spans="49:49" ht="15" customHeight="1">
      <c r="AW442" s="110">
        <v>161</v>
      </c>
    </row>
    <row r="443" spans="49:49" ht="15" customHeight="1">
      <c r="AW443" s="110">
        <v>162</v>
      </c>
    </row>
    <row r="444" spans="49:49" ht="15" customHeight="1">
      <c r="AW444" s="110">
        <v>163</v>
      </c>
    </row>
    <row r="445" spans="49:49" ht="15" customHeight="1">
      <c r="AW445" s="110">
        <v>164</v>
      </c>
    </row>
    <row r="446" spans="49:49" ht="15" customHeight="1">
      <c r="AW446" s="110">
        <v>165</v>
      </c>
    </row>
    <row r="447" spans="49:49" ht="15" customHeight="1">
      <c r="AW447" s="110">
        <v>166</v>
      </c>
    </row>
    <row r="448" spans="49:49" ht="15" customHeight="1">
      <c r="AW448" s="110">
        <v>167</v>
      </c>
    </row>
    <row r="449" spans="49:49" ht="15" customHeight="1">
      <c r="AW449" s="110">
        <v>168</v>
      </c>
    </row>
    <row r="450" spans="49:49" ht="15" customHeight="1">
      <c r="AW450" s="110">
        <v>169</v>
      </c>
    </row>
    <row r="451" spans="49:49" ht="15" customHeight="1">
      <c r="AW451" s="110">
        <v>170</v>
      </c>
    </row>
    <row r="452" spans="49:49" ht="15" customHeight="1">
      <c r="AW452" s="110">
        <v>171</v>
      </c>
    </row>
    <row r="453" spans="49:49" ht="15" customHeight="1">
      <c r="AW453" s="110">
        <v>172</v>
      </c>
    </row>
    <row r="454" spans="49:49" ht="15" customHeight="1">
      <c r="AW454" s="110">
        <v>173</v>
      </c>
    </row>
    <row r="455" spans="49:49" ht="15" customHeight="1">
      <c r="AW455" s="110">
        <v>174</v>
      </c>
    </row>
    <row r="456" spans="49:49" ht="15" customHeight="1">
      <c r="AW456" s="110">
        <v>175</v>
      </c>
    </row>
    <row r="457" spans="49:49" ht="15" customHeight="1">
      <c r="AW457" s="110">
        <v>176</v>
      </c>
    </row>
    <row r="458" spans="49:49" ht="15" customHeight="1">
      <c r="AW458" s="110">
        <v>177</v>
      </c>
    </row>
    <row r="459" spans="49:49" ht="15" customHeight="1">
      <c r="AW459" s="110">
        <v>178</v>
      </c>
    </row>
    <row r="460" spans="49:49" ht="15" customHeight="1">
      <c r="AW460" s="110">
        <v>179</v>
      </c>
    </row>
    <row r="461" spans="49:49" ht="15" customHeight="1">
      <c r="AW461" s="110">
        <v>180</v>
      </c>
    </row>
    <row r="462" spans="49:49" ht="15" customHeight="1">
      <c r="AW462" s="110">
        <v>181</v>
      </c>
    </row>
    <row r="463" spans="49:49" ht="15" customHeight="1">
      <c r="AW463" s="110">
        <v>182</v>
      </c>
    </row>
    <row r="464" spans="49:49" ht="15" customHeight="1">
      <c r="AW464" s="110">
        <v>183</v>
      </c>
    </row>
    <row r="465" spans="49:49" ht="15" customHeight="1">
      <c r="AW465" s="110">
        <v>184</v>
      </c>
    </row>
    <row r="466" spans="49:49" ht="15" customHeight="1">
      <c r="AW466" s="110">
        <v>185</v>
      </c>
    </row>
    <row r="467" spans="49:49" ht="15" customHeight="1">
      <c r="AW467" s="110">
        <v>186</v>
      </c>
    </row>
    <row r="468" spans="49:49" ht="15" customHeight="1">
      <c r="AW468" s="110">
        <v>187</v>
      </c>
    </row>
    <row r="469" spans="49:49" ht="15" customHeight="1">
      <c r="AW469" s="110">
        <v>188</v>
      </c>
    </row>
    <row r="470" spans="49:49" ht="15" customHeight="1">
      <c r="AW470" s="110">
        <v>189</v>
      </c>
    </row>
    <row r="471" spans="49:49" ht="15" customHeight="1">
      <c r="AW471" s="110">
        <v>190</v>
      </c>
    </row>
    <row r="472" spans="49:49" ht="15" customHeight="1">
      <c r="AW472" s="110">
        <v>191</v>
      </c>
    </row>
    <row r="473" spans="49:49" ht="15" customHeight="1">
      <c r="AW473" s="110">
        <v>192</v>
      </c>
    </row>
    <row r="474" spans="49:49" ht="15" customHeight="1">
      <c r="AW474" s="110">
        <v>193</v>
      </c>
    </row>
    <row r="475" spans="49:49" ht="15" customHeight="1">
      <c r="AW475" s="110">
        <v>194</v>
      </c>
    </row>
    <row r="476" spans="49:49" ht="15" customHeight="1">
      <c r="AW476" s="110">
        <v>195</v>
      </c>
    </row>
    <row r="477" spans="49:49" ht="15" customHeight="1">
      <c r="AW477" s="110">
        <v>196</v>
      </c>
    </row>
    <row r="478" spans="49:49" ht="15" customHeight="1">
      <c r="AW478" s="110">
        <v>197</v>
      </c>
    </row>
    <row r="479" spans="49:49" ht="15" customHeight="1">
      <c r="AW479" s="110">
        <v>198</v>
      </c>
    </row>
    <row r="480" spans="49:49" ht="15" customHeight="1">
      <c r="AW480" s="110">
        <v>199</v>
      </c>
    </row>
    <row r="481" spans="49:49" ht="15" customHeight="1">
      <c r="AW481" s="110">
        <v>200</v>
      </c>
    </row>
    <row r="482" spans="49:49" ht="15" customHeight="1">
      <c r="AW482" s="110">
        <v>201</v>
      </c>
    </row>
    <row r="483" spans="49:49" ht="15" customHeight="1">
      <c r="AW483" s="110">
        <v>202</v>
      </c>
    </row>
    <row r="484" spans="49:49" ht="15" customHeight="1">
      <c r="AW484" s="110">
        <v>203</v>
      </c>
    </row>
    <row r="485" spans="49:49" ht="15" customHeight="1">
      <c r="AW485" s="110">
        <v>204</v>
      </c>
    </row>
    <row r="486" spans="49:49" ht="15" customHeight="1">
      <c r="AW486" s="110">
        <v>205</v>
      </c>
    </row>
    <row r="487" spans="49:49" ht="15" customHeight="1">
      <c r="AW487" s="110">
        <v>206</v>
      </c>
    </row>
    <row r="488" spans="49:49" ht="15" customHeight="1">
      <c r="AW488" s="110">
        <v>207</v>
      </c>
    </row>
    <row r="489" spans="49:49" ht="15" customHeight="1">
      <c r="AW489" s="110">
        <v>208</v>
      </c>
    </row>
    <row r="490" spans="49:49" ht="15" customHeight="1">
      <c r="AW490" s="110">
        <v>209</v>
      </c>
    </row>
    <row r="491" spans="49:49" ht="15" customHeight="1">
      <c r="AW491" s="110">
        <v>210</v>
      </c>
    </row>
    <row r="492" spans="49:49" ht="15" customHeight="1">
      <c r="AW492" s="110">
        <v>211</v>
      </c>
    </row>
    <row r="493" spans="49:49" ht="15" customHeight="1">
      <c r="AW493" s="110">
        <v>212</v>
      </c>
    </row>
    <row r="494" spans="49:49" ht="15" customHeight="1">
      <c r="AW494" s="110">
        <v>213</v>
      </c>
    </row>
    <row r="495" spans="49:49" ht="15" customHeight="1">
      <c r="AW495" s="110">
        <v>214</v>
      </c>
    </row>
    <row r="496" spans="49:49" ht="15" customHeight="1">
      <c r="AW496" s="110">
        <v>215</v>
      </c>
    </row>
    <row r="497" spans="49:49" ht="15" customHeight="1">
      <c r="AW497" s="110">
        <v>216</v>
      </c>
    </row>
    <row r="498" spans="49:49" ht="15" customHeight="1">
      <c r="AW498" s="110">
        <v>217</v>
      </c>
    </row>
    <row r="499" spans="49:49" ht="15" customHeight="1">
      <c r="AW499" s="110">
        <v>218</v>
      </c>
    </row>
    <row r="500" spans="49:49" ht="15" customHeight="1">
      <c r="AW500" s="110">
        <v>219</v>
      </c>
    </row>
    <row r="501" spans="49:49" ht="15" customHeight="1">
      <c r="AW501" s="110">
        <v>220</v>
      </c>
    </row>
    <row r="502" spans="49:49" ht="15" customHeight="1">
      <c r="AW502" s="110">
        <v>221</v>
      </c>
    </row>
    <row r="503" spans="49:49" ht="15" customHeight="1">
      <c r="AW503" s="110">
        <v>222</v>
      </c>
    </row>
    <row r="504" spans="49:49" ht="15" customHeight="1">
      <c r="AW504" s="110">
        <v>223</v>
      </c>
    </row>
    <row r="505" spans="49:49" ht="15" customHeight="1">
      <c r="AW505" s="110">
        <v>224</v>
      </c>
    </row>
    <row r="506" spans="49:49" ht="15" customHeight="1">
      <c r="AW506" s="110">
        <v>225</v>
      </c>
    </row>
    <row r="507" spans="49:49" ht="15" customHeight="1">
      <c r="AW507" s="110">
        <v>226</v>
      </c>
    </row>
    <row r="508" spans="49:49" ht="15" customHeight="1">
      <c r="AW508" s="110">
        <v>227</v>
      </c>
    </row>
    <row r="509" spans="49:49" ht="15" customHeight="1">
      <c r="AW509" s="110">
        <v>228</v>
      </c>
    </row>
    <row r="510" spans="49:49" ht="15" customHeight="1">
      <c r="AW510" s="110">
        <v>229</v>
      </c>
    </row>
    <row r="511" spans="49:49" ht="15" customHeight="1">
      <c r="AW511" s="110">
        <v>230</v>
      </c>
    </row>
    <row r="512" spans="49:49" ht="15" customHeight="1">
      <c r="AW512" s="110">
        <v>231</v>
      </c>
    </row>
    <row r="513" spans="49:49" ht="15" customHeight="1">
      <c r="AW513" s="110">
        <v>232</v>
      </c>
    </row>
    <row r="514" spans="49:49" ht="15" customHeight="1">
      <c r="AW514" s="110">
        <v>233</v>
      </c>
    </row>
    <row r="515" spans="49:49" ht="15" customHeight="1">
      <c r="AW515" s="110">
        <v>234</v>
      </c>
    </row>
    <row r="516" spans="49:49" ht="15" customHeight="1">
      <c r="AW516" s="110">
        <v>235</v>
      </c>
    </row>
    <row r="517" spans="49:49" ht="15" customHeight="1">
      <c r="AW517" s="110">
        <v>236</v>
      </c>
    </row>
    <row r="518" spans="49:49" ht="15" customHeight="1">
      <c r="AW518" s="110">
        <v>237</v>
      </c>
    </row>
    <row r="519" spans="49:49" ht="15" customHeight="1">
      <c r="AW519" s="110">
        <v>238</v>
      </c>
    </row>
    <row r="520" spans="49:49" ht="15" customHeight="1">
      <c r="AW520" s="110">
        <v>239</v>
      </c>
    </row>
    <row r="521" spans="49:49" ht="15" customHeight="1">
      <c r="AW521" s="110">
        <v>240</v>
      </c>
    </row>
    <row r="522" spans="49:49" ht="15" customHeight="1">
      <c r="AW522" s="110">
        <v>241</v>
      </c>
    </row>
    <row r="523" spans="49:49" ht="15" customHeight="1">
      <c r="AW523" s="110">
        <v>242</v>
      </c>
    </row>
    <row r="524" spans="49:49" ht="15" customHeight="1">
      <c r="AW524" s="110">
        <v>243</v>
      </c>
    </row>
    <row r="525" spans="49:49" ht="15" customHeight="1">
      <c r="AW525" s="110">
        <v>244</v>
      </c>
    </row>
    <row r="526" spans="49:49" ht="15" customHeight="1">
      <c r="AW526" s="110">
        <v>245</v>
      </c>
    </row>
    <row r="527" spans="49:49" ht="15" customHeight="1">
      <c r="AW527" s="110">
        <v>246</v>
      </c>
    </row>
    <row r="528" spans="49:49" ht="15" customHeight="1">
      <c r="AW528" s="110">
        <v>247</v>
      </c>
    </row>
    <row r="529" spans="49:49" ht="15" customHeight="1">
      <c r="AW529" s="110">
        <v>248</v>
      </c>
    </row>
    <row r="530" spans="49:49" ht="15" customHeight="1">
      <c r="AW530" s="110">
        <v>249</v>
      </c>
    </row>
    <row r="531" spans="49:49" ht="15" customHeight="1">
      <c r="AW531" s="110">
        <v>250</v>
      </c>
    </row>
    <row r="532" spans="49:49" ht="15" customHeight="1">
      <c r="AW532" s="110">
        <v>251</v>
      </c>
    </row>
    <row r="533" spans="49:49" ht="15" customHeight="1">
      <c r="AW533" s="110">
        <v>252</v>
      </c>
    </row>
    <row r="534" spans="49:49" ht="15" customHeight="1">
      <c r="AW534" s="110">
        <v>253</v>
      </c>
    </row>
    <row r="535" spans="49:49" ht="15" customHeight="1">
      <c r="AW535" s="110">
        <v>254</v>
      </c>
    </row>
    <row r="536" spans="49:49" ht="15" customHeight="1">
      <c r="AW536" s="110">
        <v>255</v>
      </c>
    </row>
    <row r="537" spans="49:49" ht="15" customHeight="1">
      <c r="AW537" s="110">
        <v>256</v>
      </c>
    </row>
    <row r="538" spans="49:49" ht="15" customHeight="1">
      <c r="AW538" s="110">
        <v>257</v>
      </c>
    </row>
    <row r="539" spans="49:49" ht="15" customHeight="1">
      <c r="AW539" s="110">
        <v>258</v>
      </c>
    </row>
    <row r="540" spans="49:49" ht="15" customHeight="1">
      <c r="AW540" s="110">
        <v>259</v>
      </c>
    </row>
    <row r="541" spans="49:49" ht="15" customHeight="1">
      <c r="AW541" s="110">
        <v>260</v>
      </c>
    </row>
    <row r="542" spans="49:49" ht="15" customHeight="1">
      <c r="AW542" s="110">
        <v>261</v>
      </c>
    </row>
    <row r="543" spans="49:49" ht="15" customHeight="1">
      <c r="AW543" s="110">
        <v>262</v>
      </c>
    </row>
    <row r="544" spans="49:49" ht="15" customHeight="1">
      <c r="AW544" s="110">
        <v>263</v>
      </c>
    </row>
    <row r="545" spans="49:49" ht="15" customHeight="1">
      <c r="AW545" s="110">
        <v>264</v>
      </c>
    </row>
    <row r="546" spans="49:49" ht="15" customHeight="1">
      <c r="AW546" s="110">
        <v>265</v>
      </c>
    </row>
    <row r="547" spans="49:49" ht="15" customHeight="1">
      <c r="AW547" s="110">
        <v>266</v>
      </c>
    </row>
    <row r="548" spans="49:49" ht="15" customHeight="1">
      <c r="AW548" s="110">
        <v>267</v>
      </c>
    </row>
    <row r="549" spans="49:49" ht="15" customHeight="1">
      <c r="AW549" s="110">
        <v>268</v>
      </c>
    </row>
    <row r="550" spans="49:49" ht="15" customHeight="1">
      <c r="AW550" s="110">
        <v>269</v>
      </c>
    </row>
    <row r="551" spans="49:49" ht="15" customHeight="1">
      <c r="AW551" s="110">
        <v>270</v>
      </c>
    </row>
    <row r="552" spans="49:49" ht="15" customHeight="1">
      <c r="AW552" s="110">
        <v>271</v>
      </c>
    </row>
    <row r="553" spans="49:49" ht="15" customHeight="1">
      <c r="AW553" s="110">
        <v>272</v>
      </c>
    </row>
    <row r="554" spans="49:49" ht="15" customHeight="1">
      <c r="AW554" s="110">
        <v>273</v>
      </c>
    </row>
    <row r="555" spans="49:49" ht="15" customHeight="1">
      <c r="AW555" s="110">
        <v>274</v>
      </c>
    </row>
    <row r="556" spans="49:49" ht="15" customHeight="1">
      <c r="AW556" s="110">
        <v>275</v>
      </c>
    </row>
    <row r="557" spans="49:49" ht="15" customHeight="1">
      <c r="AW557" s="110">
        <v>276</v>
      </c>
    </row>
    <row r="558" spans="49:49" ht="15" customHeight="1">
      <c r="AW558" s="110">
        <v>277</v>
      </c>
    </row>
    <row r="559" spans="49:49" ht="15" customHeight="1">
      <c r="AW559" s="110">
        <v>278</v>
      </c>
    </row>
    <row r="560" spans="49:49" ht="15" customHeight="1">
      <c r="AW560" s="110">
        <v>279</v>
      </c>
    </row>
    <row r="561" spans="49:49" ht="15" customHeight="1">
      <c r="AW561" s="110">
        <v>280</v>
      </c>
    </row>
    <row r="562" spans="49:49" ht="15" customHeight="1">
      <c r="AW562" s="110">
        <v>281</v>
      </c>
    </row>
    <row r="563" spans="49:49" ht="15" customHeight="1">
      <c r="AW563" s="110">
        <v>282</v>
      </c>
    </row>
    <row r="564" spans="49:49" ht="15" customHeight="1">
      <c r="AW564" s="110">
        <v>283</v>
      </c>
    </row>
    <row r="565" spans="49:49" ht="15" customHeight="1">
      <c r="AW565" s="110">
        <v>284</v>
      </c>
    </row>
    <row r="566" spans="49:49" ht="15" customHeight="1">
      <c r="AW566" s="110">
        <v>285</v>
      </c>
    </row>
    <row r="567" spans="49:49" ht="15" customHeight="1">
      <c r="AW567" s="110">
        <v>286</v>
      </c>
    </row>
    <row r="568" spans="49:49" ht="15" customHeight="1">
      <c r="AW568" s="110">
        <v>287</v>
      </c>
    </row>
    <row r="569" spans="49:49" ht="15" customHeight="1">
      <c r="AW569" s="110">
        <v>288</v>
      </c>
    </row>
    <row r="570" spans="49:49" ht="15" customHeight="1">
      <c r="AW570" s="110">
        <v>289</v>
      </c>
    </row>
    <row r="571" spans="49:49" ht="15" customHeight="1">
      <c r="AW571" s="110">
        <v>290</v>
      </c>
    </row>
    <row r="572" spans="49:49" ht="15" customHeight="1">
      <c r="AW572" s="110">
        <v>291</v>
      </c>
    </row>
    <row r="573" spans="49:49" ht="15" customHeight="1">
      <c r="AW573" s="110">
        <v>292</v>
      </c>
    </row>
    <row r="574" spans="49:49" ht="15" customHeight="1">
      <c r="AW574" s="110">
        <v>293</v>
      </c>
    </row>
    <row r="575" spans="49:49" ht="15" customHeight="1">
      <c r="AW575" s="110">
        <v>294</v>
      </c>
    </row>
    <row r="576" spans="49:49" ht="15" customHeight="1">
      <c r="AW576" s="110">
        <v>295</v>
      </c>
    </row>
    <row r="577" spans="49:49" ht="15" customHeight="1">
      <c r="AW577" s="110">
        <v>296</v>
      </c>
    </row>
    <row r="578" spans="49:49" ht="15" customHeight="1">
      <c r="AW578" s="110">
        <v>297</v>
      </c>
    </row>
    <row r="579" spans="49:49" ht="15" customHeight="1">
      <c r="AW579" s="110">
        <v>298</v>
      </c>
    </row>
    <row r="580" spans="49:49" ht="15" customHeight="1">
      <c r="AW580" s="110">
        <v>299</v>
      </c>
    </row>
    <row r="581" spans="49:49" ht="15" customHeight="1">
      <c r="AW581" s="110">
        <v>300</v>
      </c>
    </row>
    <row r="582" spans="49:49" ht="15" customHeight="1">
      <c r="AW582" s="110">
        <v>301</v>
      </c>
    </row>
    <row r="583" spans="49:49" ht="15" customHeight="1">
      <c r="AW583" s="110">
        <v>302</v>
      </c>
    </row>
    <row r="584" spans="49:49" ht="15" customHeight="1">
      <c r="AW584" s="110">
        <v>303</v>
      </c>
    </row>
    <row r="585" spans="49:49" ht="15" customHeight="1">
      <c r="AW585" s="110">
        <v>304</v>
      </c>
    </row>
    <row r="586" spans="49:49" ht="15" customHeight="1">
      <c r="AW586" s="110">
        <v>305</v>
      </c>
    </row>
    <row r="587" spans="49:49" ht="15" customHeight="1">
      <c r="AW587" s="110">
        <v>306</v>
      </c>
    </row>
    <row r="588" spans="49:49" ht="15" customHeight="1">
      <c r="AW588" s="110">
        <v>307</v>
      </c>
    </row>
    <row r="589" spans="49:49" ht="15" customHeight="1">
      <c r="AW589" s="110">
        <v>308</v>
      </c>
    </row>
    <row r="590" spans="49:49" ht="15" customHeight="1">
      <c r="AW590" s="110">
        <v>309</v>
      </c>
    </row>
    <row r="591" spans="49:49" ht="15" customHeight="1">
      <c r="AW591" s="110">
        <v>310</v>
      </c>
    </row>
    <row r="592" spans="49:49" ht="15" customHeight="1">
      <c r="AW592" s="110">
        <v>311</v>
      </c>
    </row>
    <row r="593" spans="49:49" ht="15" customHeight="1">
      <c r="AW593" s="110">
        <v>312</v>
      </c>
    </row>
    <row r="594" spans="49:49" ht="15" customHeight="1">
      <c r="AW594" s="110">
        <v>313</v>
      </c>
    </row>
    <row r="595" spans="49:49" ht="15" customHeight="1">
      <c r="AW595" s="110">
        <v>314</v>
      </c>
    </row>
    <row r="596" spans="49:49" ht="15" customHeight="1">
      <c r="AW596" s="110">
        <v>315</v>
      </c>
    </row>
    <row r="597" spans="49:49" ht="15" customHeight="1">
      <c r="AW597" s="110">
        <v>316</v>
      </c>
    </row>
    <row r="598" spans="49:49" ht="15" customHeight="1">
      <c r="AW598" s="110">
        <v>317</v>
      </c>
    </row>
    <row r="599" spans="49:49" ht="15" customHeight="1">
      <c r="AW599" s="110">
        <v>318</v>
      </c>
    </row>
    <row r="600" spans="49:49" ht="15" customHeight="1">
      <c r="AW600" s="110">
        <v>319</v>
      </c>
    </row>
    <row r="601" spans="49:49" ht="15" customHeight="1">
      <c r="AW601" s="110">
        <v>320</v>
      </c>
    </row>
    <row r="602" spans="49:49" ht="15" customHeight="1">
      <c r="AW602" s="110">
        <v>321</v>
      </c>
    </row>
    <row r="603" spans="49:49" ht="15" customHeight="1">
      <c r="AW603" s="110">
        <v>322</v>
      </c>
    </row>
    <row r="604" spans="49:49" ht="15" customHeight="1">
      <c r="AW604" s="110">
        <v>323</v>
      </c>
    </row>
    <row r="605" spans="49:49" ht="15" customHeight="1">
      <c r="AW605" s="110">
        <v>324</v>
      </c>
    </row>
    <row r="606" spans="49:49" ht="15" customHeight="1">
      <c r="AW606" s="110">
        <v>325</v>
      </c>
    </row>
    <row r="607" spans="49:49" ht="15" customHeight="1">
      <c r="AW607" s="110">
        <v>326</v>
      </c>
    </row>
    <row r="608" spans="49:49" ht="15" customHeight="1">
      <c r="AW608" s="110">
        <v>327</v>
      </c>
    </row>
    <row r="609" spans="49:49" ht="15" customHeight="1">
      <c r="AW609" s="110">
        <v>328</v>
      </c>
    </row>
    <row r="610" spans="49:49" ht="15" customHeight="1">
      <c r="AW610" s="110">
        <v>329</v>
      </c>
    </row>
    <row r="611" spans="49:49" ht="15" customHeight="1">
      <c r="AW611" s="110">
        <v>330</v>
      </c>
    </row>
    <row r="612" spans="49:49" ht="15" customHeight="1">
      <c r="AW612" s="110">
        <v>331</v>
      </c>
    </row>
    <row r="613" spans="49:49" ht="15" customHeight="1">
      <c r="AW613" s="110">
        <v>332</v>
      </c>
    </row>
    <row r="614" spans="49:49" ht="15" customHeight="1">
      <c r="AW614" s="110">
        <v>333</v>
      </c>
    </row>
    <row r="615" spans="49:49" ht="15" customHeight="1">
      <c r="AW615" s="110">
        <v>334</v>
      </c>
    </row>
    <row r="616" spans="49:49" ht="15" customHeight="1">
      <c r="AW616" s="110">
        <v>335</v>
      </c>
    </row>
    <row r="617" spans="49:49" ht="15" customHeight="1">
      <c r="AW617" s="110">
        <v>336</v>
      </c>
    </row>
    <row r="618" spans="49:49" ht="15" customHeight="1">
      <c r="AW618" s="110">
        <v>337</v>
      </c>
    </row>
    <row r="619" spans="49:49" ht="15" customHeight="1">
      <c r="AW619" s="110">
        <v>338</v>
      </c>
    </row>
    <row r="620" spans="49:49" ht="15" customHeight="1">
      <c r="AW620" s="110">
        <v>339</v>
      </c>
    </row>
    <row r="621" spans="49:49" ht="15" customHeight="1">
      <c r="AW621" s="110">
        <v>340</v>
      </c>
    </row>
    <row r="622" spans="49:49" ht="15" customHeight="1">
      <c r="AW622" s="110">
        <v>341</v>
      </c>
    </row>
    <row r="623" spans="49:49" ht="15" customHeight="1">
      <c r="AW623" s="110">
        <v>342</v>
      </c>
    </row>
    <row r="624" spans="49:49" ht="15" customHeight="1">
      <c r="AW624" s="110">
        <v>343</v>
      </c>
    </row>
    <row r="625" spans="49:49" ht="15" customHeight="1">
      <c r="AW625" s="110">
        <v>344</v>
      </c>
    </row>
    <row r="626" spans="49:49" ht="15" customHeight="1">
      <c r="AW626" s="110">
        <v>345</v>
      </c>
    </row>
    <row r="627" spans="49:49" ht="15" customHeight="1">
      <c r="AW627" s="110">
        <v>346</v>
      </c>
    </row>
    <row r="628" spans="49:49" ht="15" customHeight="1">
      <c r="AW628" s="110">
        <v>347</v>
      </c>
    </row>
    <row r="629" spans="49:49" ht="15" customHeight="1">
      <c r="AW629" s="110">
        <v>348</v>
      </c>
    </row>
    <row r="630" spans="49:49" ht="15" customHeight="1">
      <c r="AW630" s="110">
        <v>349</v>
      </c>
    </row>
    <row r="631" spans="49:49" ht="15" customHeight="1">
      <c r="AW631" s="110">
        <v>350</v>
      </c>
    </row>
    <row r="632" spans="49:49" ht="15" customHeight="1">
      <c r="AW632" s="110">
        <v>351</v>
      </c>
    </row>
    <row r="633" spans="49:49" ht="15" customHeight="1">
      <c r="AW633" s="110">
        <v>352</v>
      </c>
    </row>
    <row r="634" spans="49:49" ht="15" customHeight="1">
      <c r="AW634" s="110">
        <v>353</v>
      </c>
    </row>
    <row r="635" spans="49:49" ht="15" customHeight="1">
      <c r="AW635" s="110">
        <v>354</v>
      </c>
    </row>
    <row r="636" spans="49:49" ht="15" customHeight="1">
      <c r="AW636" s="110">
        <v>355</v>
      </c>
    </row>
    <row r="637" spans="49:49" ht="15" customHeight="1">
      <c r="AW637" s="110">
        <v>356</v>
      </c>
    </row>
    <row r="638" spans="49:49" ht="15" customHeight="1">
      <c r="AW638" s="110">
        <v>357</v>
      </c>
    </row>
    <row r="639" spans="49:49" ht="15" customHeight="1">
      <c r="AW639" s="110">
        <v>358</v>
      </c>
    </row>
    <row r="640" spans="49:49" ht="15" customHeight="1">
      <c r="AW640" s="110">
        <v>359</v>
      </c>
    </row>
    <row r="641" spans="49:49" ht="15" customHeight="1">
      <c r="AW641" s="110">
        <v>360</v>
      </c>
    </row>
    <row r="642" spans="49:49" ht="15" customHeight="1">
      <c r="AW642" s="110">
        <v>361</v>
      </c>
    </row>
    <row r="643" spans="49:49" ht="15" customHeight="1">
      <c r="AW643" s="110">
        <v>362</v>
      </c>
    </row>
    <row r="644" spans="49:49" ht="15" customHeight="1">
      <c r="AW644" s="110">
        <v>363</v>
      </c>
    </row>
    <row r="645" spans="49:49" ht="15" customHeight="1">
      <c r="AW645" s="110">
        <v>364</v>
      </c>
    </row>
    <row r="646" spans="49:49" ht="15" customHeight="1">
      <c r="AW646" s="110">
        <v>365</v>
      </c>
    </row>
    <row r="647" spans="49:49" ht="15" customHeight="1">
      <c r="AW647" s="110">
        <v>366</v>
      </c>
    </row>
    <row r="648" spans="49:49" ht="15" customHeight="1">
      <c r="AW648" s="110">
        <v>367</v>
      </c>
    </row>
    <row r="649" spans="49:49" ht="15" customHeight="1">
      <c r="AW649" s="110">
        <v>368</v>
      </c>
    </row>
    <row r="650" spans="49:49" ht="15" customHeight="1">
      <c r="AW650" s="110">
        <v>369</v>
      </c>
    </row>
    <row r="651" spans="49:49" ht="15" customHeight="1">
      <c r="AW651" s="110">
        <v>370</v>
      </c>
    </row>
    <row r="652" spans="49:49" ht="15" customHeight="1">
      <c r="AW652" s="110">
        <v>371</v>
      </c>
    </row>
    <row r="653" spans="49:49" ht="15" customHeight="1">
      <c r="AW653" s="110">
        <v>372</v>
      </c>
    </row>
    <row r="654" spans="49:49" ht="15" customHeight="1">
      <c r="AW654" s="110">
        <v>373</v>
      </c>
    </row>
    <row r="655" spans="49:49" ht="15" customHeight="1">
      <c r="AW655" s="110">
        <v>374</v>
      </c>
    </row>
    <row r="656" spans="49:49" ht="15" customHeight="1">
      <c r="AW656" s="110">
        <v>375</v>
      </c>
    </row>
    <row r="657" spans="49:49" ht="15" customHeight="1">
      <c r="AW657" s="110">
        <v>376</v>
      </c>
    </row>
    <row r="658" spans="49:49" ht="15" customHeight="1">
      <c r="AW658" s="110">
        <v>377</v>
      </c>
    </row>
    <row r="659" spans="49:49" ht="15" customHeight="1">
      <c r="AW659" s="110">
        <v>378</v>
      </c>
    </row>
    <row r="660" spans="49:49" ht="15" customHeight="1">
      <c r="AW660" s="110">
        <v>379</v>
      </c>
    </row>
    <row r="661" spans="49:49" ht="15" customHeight="1">
      <c r="AW661" s="110">
        <v>380</v>
      </c>
    </row>
    <row r="662" spans="49:49" ht="15" customHeight="1">
      <c r="AW662" s="110">
        <v>381</v>
      </c>
    </row>
    <row r="663" spans="49:49" ht="15" customHeight="1">
      <c r="AW663" s="110">
        <v>382</v>
      </c>
    </row>
    <row r="664" spans="49:49" ht="15" customHeight="1">
      <c r="AW664" s="110">
        <v>383</v>
      </c>
    </row>
    <row r="665" spans="49:49" ht="15" customHeight="1">
      <c r="AW665" s="110">
        <v>384</v>
      </c>
    </row>
    <row r="666" spans="49:49" ht="15" customHeight="1">
      <c r="AW666" s="110">
        <v>385</v>
      </c>
    </row>
    <row r="667" spans="49:49" ht="15" customHeight="1">
      <c r="AW667" s="110">
        <v>386</v>
      </c>
    </row>
    <row r="668" spans="49:49" ht="15" customHeight="1">
      <c r="AW668" s="110">
        <v>387</v>
      </c>
    </row>
    <row r="669" spans="49:49" ht="15" customHeight="1">
      <c r="AW669" s="110">
        <v>388</v>
      </c>
    </row>
    <row r="670" spans="49:49" ht="15" customHeight="1">
      <c r="AW670" s="110">
        <v>389</v>
      </c>
    </row>
    <row r="671" spans="49:49" ht="15" customHeight="1">
      <c r="AW671" s="110">
        <v>390</v>
      </c>
    </row>
    <row r="672" spans="49:49" ht="15" customHeight="1">
      <c r="AW672" s="110">
        <v>391</v>
      </c>
    </row>
    <row r="673" spans="49:49" ht="15" customHeight="1">
      <c r="AW673" s="110">
        <v>392</v>
      </c>
    </row>
    <row r="674" spans="49:49" ht="15" customHeight="1">
      <c r="AW674" s="110">
        <v>393</v>
      </c>
    </row>
    <row r="675" spans="49:49" ht="15" customHeight="1">
      <c r="AW675" s="110">
        <v>394</v>
      </c>
    </row>
    <row r="676" spans="49:49" ht="15" customHeight="1">
      <c r="AW676" s="110">
        <v>395</v>
      </c>
    </row>
    <row r="677" spans="49:49" ht="15" customHeight="1">
      <c r="AW677" s="110">
        <v>396</v>
      </c>
    </row>
    <row r="678" spans="49:49" ht="15" customHeight="1">
      <c r="AW678" s="110">
        <v>397</v>
      </c>
    </row>
    <row r="679" spans="49:49" ht="15" customHeight="1">
      <c r="AW679" s="110">
        <v>398</v>
      </c>
    </row>
    <row r="680" spans="49:49" ht="15" customHeight="1">
      <c r="AW680" s="110">
        <v>399</v>
      </c>
    </row>
    <row r="681" spans="49:49" ht="15" customHeight="1">
      <c r="AW681" s="110">
        <v>400</v>
      </c>
    </row>
    <row r="682" spans="49:49" ht="15" customHeight="1">
      <c r="AW682" s="110">
        <v>401</v>
      </c>
    </row>
    <row r="683" spans="49:49" ht="15" customHeight="1">
      <c r="AW683" s="110">
        <v>402</v>
      </c>
    </row>
    <row r="684" spans="49:49" ht="15" customHeight="1">
      <c r="AW684" s="110">
        <v>403</v>
      </c>
    </row>
    <row r="685" spans="49:49" ht="15" customHeight="1">
      <c r="AW685" s="110">
        <v>404</v>
      </c>
    </row>
    <row r="686" spans="49:49" ht="15" customHeight="1">
      <c r="AW686" s="110">
        <v>405</v>
      </c>
    </row>
    <row r="687" spans="49:49" ht="15" customHeight="1">
      <c r="AW687" s="110">
        <v>406</v>
      </c>
    </row>
    <row r="688" spans="49:49" ht="15" customHeight="1">
      <c r="AW688" s="110">
        <v>407</v>
      </c>
    </row>
    <row r="689" spans="49:49" ht="15" customHeight="1">
      <c r="AW689" s="110">
        <v>408</v>
      </c>
    </row>
    <row r="690" spans="49:49" ht="15" customHeight="1">
      <c r="AW690" s="110">
        <v>409</v>
      </c>
    </row>
    <row r="691" spans="49:49" ht="15" customHeight="1">
      <c r="AW691" s="110">
        <v>410</v>
      </c>
    </row>
    <row r="692" spans="49:49" ht="15" customHeight="1">
      <c r="AW692" s="110">
        <v>411</v>
      </c>
    </row>
    <row r="693" spans="49:49" ht="15" customHeight="1">
      <c r="AW693" s="110">
        <v>412</v>
      </c>
    </row>
    <row r="694" spans="49:49" ht="15" customHeight="1">
      <c r="AW694" s="110">
        <v>413</v>
      </c>
    </row>
    <row r="695" spans="49:49" ht="15" customHeight="1">
      <c r="AW695" s="110">
        <v>414</v>
      </c>
    </row>
    <row r="696" spans="49:49" ht="15" customHeight="1">
      <c r="AW696" s="110">
        <v>415</v>
      </c>
    </row>
    <row r="697" spans="49:49" ht="15" customHeight="1">
      <c r="AW697" s="110">
        <v>416</v>
      </c>
    </row>
    <row r="698" spans="49:49" ht="15" customHeight="1">
      <c r="AW698" s="110">
        <v>417</v>
      </c>
    </row>
    <row r="699" spans="49:49" ht="15" customHeight="1">
      <c r="AW699" s="110">
        <v>418</v>
      </c>
    </row>
    <row r="700" spans="49:49" ht="15" customHeight="1">
      <c r="AW700" s="110">
        <v>419</v>
      </c>
    </row>
    <row r="701" spans="49:49" ht="15" customHeight="1">
      <c r="AW701" s="110">
        <v>420</v>
      </c>
    </row>
    <row r="702" spans="49:49" ht="15" customHeight="1">
      <c r="AW702" s="110">
        <v>421</v>
      </c>
    </row>
    <row r="703" spans="49:49" ht="15" customHeight="1">
      <c r="AW703" s="110">
        <v>422</v>
      </c>
    </row>
    <row r="704" spans="49:49" ht="15" customHeight="1">
      <c r="AW704" s="110">
        <v>423</v>
      </c>
    </row>
    <row r="705" spans="49:49" ht="15" customHeight="1">
      <c r="AW705" s="110">
        <v>424</v>
      </c>
    </row>
    <row r="706" spans="49:49" ht="15" customHeight="1">
      <c r="AW706" s="110">
        <v>425</v>
      </c>
    </row>
    <row r="707" spans="49:49" ht="15" customHeight="1">
      <c r="AW707" s="110">
        <v>426</v>
      </c>
    </row>
    <row r="708" spans="49:49" ht="15" customHeight="1">
      <c r="AW708" s="110">
        <v>427</v>
      </c>
    </row>
    <row r="709" spans="49:49" ht="15" customHeight="1">
      <c r="AW709" s="110">
        <v>428</v>
      </c>
    </row>
    <row r="710" spans="49:49" ht="15" customHeight="1">
      <c r="AW710" s="110">
        <v>429</v>
      </c>
    </row>
    <row r="711" spans="49:49" ht="15" customHeight="1">
      <c r="AW711" s="110">
        <v>430</v>
      </c>
    </row>
    <row r="712" spans="49:49" ht="15" customHeight="1">
      <c r="AW712" s="110">
        <v>431</v>
      </c>
    </row>
    <row r="713" spans="49:49" ht="15" customHeight="1">
      <c r="AW713" s="110">
        <v>432</v>
      </c>
    </row>
    <row r="714" spans="49:49" ht="15" customHeight="1">
      <c r="AW714" s="110">
        <v>433</v>
      </c>
    </row>
    <row r="715" spans="49:49" ht="15" customHeight="1">
      <c r="AW715" s="110">
        <v>434</v>
      </c>
    </row>
    <row r="716" spans="49:49" ht="15" customHeight="1">
      <c r="AW716" s="110">
        <v>435</v>
      </c>
    </row>
    <row r="717" spans="49:49" ht="15" customHeight="1">
      <c r="AW717" s="110">
        <v>436</v>
      </c>
    </row>
    <row r="718" spans="49:49" ht="15" customHeight="1">
      <c r="AW718" s="110">
        <v>437</v>
      </c>
    </row>
    <row r="719" spans="49:49" ht="15" customHeight="1">
      <c r="AW719" s="110">
        <v>438</v>
      </c>
    </row>
    <row r="720" spans="49:49" ht="15" customHeight="1">
      <c r="AW720" s="110">
        <v>439</v>
      </c>
    </row>
    <row r="721" spans="49:49" ht="15" customHeight="1">
      <c r="AW721" s="110">
        <v>440</v>
      </c>
    </row>
    <row r="722" spans="49:49" ht="15" customHeight="1">
      <c r="AW722" s="110">
        <v>441</v>
      </c>
    </row>
    <row r="723" spans="49:49" ht="15" customHeight="1">
      <c r="AW723" s="110">
        <v>442</v>
      </c>
    </row>
    <row r="724" spans="49:49" ht="15" customHeight="1">
      <c r="AW724" s="110">
        <v>443</v>
      </c>
    </row>
    <row r="725" spans="49:49" ht="15" customHeight="1">
      <c r="AW725" s="110">
        <v>444</v>
      </c>
    </row>
    <row r="726" spans="49:49" ht="15" customHeight="1">
      <c r="AW726" s="110">
        <v>445</v>
      </c>
    </row>
    <row r="727" spans="49:49" ht="15" customHeight="1">
      <c r="AW727" s="110">
        <v>446</v>
      </c>
    </row>
    <row r="728" spans="49:49" ht="15" customHeight="1">
      <c r="AW728" s="110">
        <v>447</v>
      </c>
    </row>
    <row r="729" spans="49:49" ht="15" customHeight="1">
      <c r="AW729" s="110">
        <v>448</v>
      </c>
    </row>
    <row r="730" spans="49:49" ht="15" customHeight="1">
      <c r="AW730" s="110">
        <v>449</v>
      </c>
    </row>
    <row r="731" spans="49:49" ht="15" customHeight="1">
      <c r="AW731" s="110">
        <v>450</v>
      </c>
    </row>
    <row r="732" spans="49:49" ht="15" customHeight="1">
      <c r="AW732" s="110">
        <v>451</v>
      </c>
    </row>
    <row r="733" spans="49:49" ht="15" customHeight="1">
      <c r="AW733" s="110">
        <v>452</v>
      </c>
    </row>
    <row r="734" spans="49:49" ht="15" customHeight="1">
      <c r="AW734" s="110">
        <v>453</v>
      </c>
    </row>
    <row r="735" spans="49:49" ht="15" customHeight="1">
      <c r="AW735" s="110">
        <v>454</v>
      </c>
    </row>
    <row r="736" spans="49:49" ht="15" customHeight="1">
      <c r="AW736" s="110">
        <v>455</v>
      </c>
    </row>
    <row r="737" spans="49:49" ht="15" customHeight="1">
      <c r="AW737" s="110">
        <v>456</v>
      </c>
    </row>
    <row r="738" spans="49:49" ht="15" customHeight="1">
      <c r="AW738" s="110">
        <v>457</v>
      </c>
    </row>
    <row r="739" spans="49:49" ht="15" customHeight="1">
      <c r="AW739" s="110">
        <v>458</v>
      </c>
    </row>
    <row r="740" spans="49:49" ht="15" customHeight="1">
      <c r="AW740" s="110">
        <v>459</v>
      </c>
    </row>
    <row r="741" spans="49:49" ht="15" customHeight="1">
      <c r="AW741" s="110">
        <v>460</v>
      </c>
    </row>
    <row r="742" spans="49:49" ht="15" customHeight="1">
      <c r="AW742" s="110">
        <v>461</v>
      </c>
    </row>
    <row r="743" spans="49:49" ht="15" customHeight="1">
      <c r="AW743" s="110">
        <v>462</v>
      </c>
    </row>
    <row r="744" spans="49:49" ht="15" customHeight="1">
      <c r="AW744" s="110">
        <v>463</v>
      </c>
    </row>
    <row r="745" spans="49:49" ht="15" customHeight="1">
      <c r="AW745" s="110">
        <v>464</v>
      </c>
    </row>
    <row r="746" spans="49:49" ht="15" customHeight="1">
      <c r="AW746" s="110">
        <v>465</v>
      </c>
    </row>
    <row r="747" spans="49:49" ht="15" customHeight="1">
      <c r="AW747" s="110">
        <v>466</v>
      </c>
    </row>
    <row r="748" spans="49:49" ht="15" customHeight="1">
      <c r="AW748" s="110">
        <v>467</v>
      </c>
    </row>
    <row r="749" spans="49:49" ht="15" customHeight="1">
      <c r="AW749" s="110">
        <v>468</v>
      </c>
    </row>
    <row r="750" spans="49:49" ht="15" customHeight="1">
      <c r="AW750" s="110">
        <v>469</v>
      </c>
    </row>
    <row r="751" spans="49:49" ht="15" customHeight="1">
      <c r="AW751" s="110">
        <v>470</v>
      </c>
    </row>
    <row r="752" spans="49:49" ht="15" customHeight="1">
      <c r="AW752" s="110">
        <v>471</v>
      </c>
    </row>
    <row r="753" spans="49:49" ht="15" customHeight="1">
      <c r="AW753" s="110">
        <v>472</v>
      </c>
    </row>
    <row r="754" spans="49:49" ht="15" customHeight="1">
      <c r="AW754" s="110">
        <v>473</v>
      </c>
    </row>
    <row r="755" spans="49:49" ht="15" customHeight="1">
      <c r="AW755" s="110">
        <v>474</v>
      </c>
    </row>
    <row r="756" spans="49:49" ht="15" customHeight="1">
      <c r="AW756" s="110">
        <v>475</v>
      </c>
    </row>
    <row r="757" spans="49:49" ht="15" customHeight="1">
      <c r="AW757" s="110">
        <v>476</v>
      </c>
    </row>
    <row r="758" spans="49:49" ht="15" customHeight="1">
      <c r="AW758" s="110">
        <v>477</v>
      </c>
    </row>
    <row r="759" spans="49:49" ht="15" customHeight="1">
      <c r="AW759" s="110">
        <v>478</v>
      </c>
    </row>
    <row r="760" spans="49:49" ht="15" customHeight="1">
      <c r="AW760" s="110">
        <v>479</v>
      </c>
    </row>
    <row r="761" spans="49:49" ht="15" customHeight="1">
      <c r="AW761" s="110">
        <v>480</v>
      </c>
    </row>
    <row r="762" spans="49:49" ht="15" customHeight="1">
      <c r="AW762" s="110">
        <v>481</v>
      </c>
    </row>
    <row r="763" spans="49:49" ht="15" customHeight="1">
      <c r="AW763" s="110">
        <v>482</v>
      </c>
    </row>
    <row r="764" spans="49:49" ht="15" customHeight="1">
      <c r="AW764" s="110">
        <v>483</v>
      </c>
    </row>
    <row r="765" spans="49:49" ht="15" customHeight="1">
      <c r="AW765" s="110">
        <v>484</v>
      </c>
    </row>
    <row r="766" spans="49:49" ht="15" customHeight="1">
      <c r="AW766" s="110">
        <v>485</v>
      </c>
    </row>
    <row r="767" spans="49:49" ht="15" customHeight="1">
      <c r="AW767" s="110">
        <v>486</v>
      </c>
    </row>
    <row r="768" spans="49:49" ht="15" customHeight="1">
      <c r="AW768" s="110">
        <v>487</v>
      </c>
    </row>
    <row r="769" spans="49:49" ht="15" customHeight="1">
      <c r="AW769" s="110">
        <v>488</v>
      </c>
    </row>
    <row r="770" spans="49:49" ht="15" customHeight="1">
      <c r="AW770" s="110">
        <v>489</v>
      </c>
    </row>
    <row r="771" spans="49:49" ht="15" customHeight="1">
      <c r="AW771" s="110">
        <v>490</v>
      </c>
    </row>
    <row r="772" spans="49:49" ht="15" customHeight="1">
      <c r="AW772" s="110">
        <v>491</v>
      </c>
    </row>
    <row r="773" spans="49:49" ht="15" customHeight="1">
      <c r="AW773" s="110">
        <v>492</v>
      </c>
    </row>
    <row r="774" spans="49:49" ht="15" customHeight="1">
      <c r="AW774" s="110">
        <v>493</v>
      </c>
    </row>
    <row r="775" spans="49:49" ht="15" customHeight="1">
      <c r="AW775" s="110">
        <v>494</v>
      </c>
    </row>
    <row r="776" spans="49:49" ht="15" customHeight="1">
      <c r="AW776" s="110">
        <v>495</v>
      </c>
    </row>
    <row r="777" spans="49:49" ht="15" customHeight="1">
      <c r="AW777" s="110">
        <v>496</v>
      </c>
    </row>
    <row r="778" spans="49:49" ht="15" customHeight="1">
      <c r="AW778" s="110">
        <v>497</v>
      </c>
    </row>
    <row r="779" spans="49:49" ht="15" customHeight="1">
      <c r="AW779" s="110">
        <v>498</v>
      </c>
    </row>
    <row r="780" spans="49:49" ht="15" customHeight="1">
      <c r="AW780" s="110">
        <v>499</v>
      </c>
    </row>
    <row r="781" spans="49:49" ht="15" customHeight="1">
      <c r="AW781" s="110">
        <v>500</v>
      </c>
    </row>
    <row r="782" spans="49:49" ht="15" customHeight="1">
      <c r="AW782" s="110">
        <v>501</v>
      </c>
    </row>
    <row r="783" spans="49:49" ht="15" customHeight="1">
      <c r="AW783" s="110">
        <v>502</v>
      </c>
    </row>
    <row r="784" spans="49:49" ht="15" customHeight="1">
      <c r="AW784" s="110">
        <v>503</v>
      </c>
    </row>
    <row r="785" spans="49:49" ht="15" customHeight="1">
      <c r="AW785" s="110">
        <v>504</v>
      </c>
    </row>
    <row r="786" spans="49:49" ht="15" customHeight="1">
      <c r="AW786" s="110">
        <v>505</v>
      </c>
    </row>
    <row r="787" spans="49:49" ht="15" customHeight="1">
      <c r="AW787" s="110">
        <v>506</v>
      </c>
    </row>
    <row r="788" spans="49:49" ht="15" customHeight="1">
      <c r="AW788" s="110">
        <v>507</v>
      </c>
    </row>
    <row r="789" spans="49:49" ht="15" customHeight="1">
      <c r="AW789" s="110">
        <v>508</v>
      </c>
    </row>
    <row r="790" spans="49:49" ht="15" customHeight="1">
      <c r="AW790" s="110">
        <v>509</v>
      </c>
    </row>
    <row r="791" spans="49:49" ht="15" customHeight="1">
      <c r="AW791" s="110">
        <v>510</v>
      </c>
    </row>
    <row r="792" spans="49:49" ht="15" customHeight="1">
      <c r="AW792" s="110">
        <v>511</v>
      </c>
    </row>
    <row r="793" spans="49:49" ht="15" customHeight="1">
      <c r="AW793" s="110">
        <v>512</v>
      </c>
    </row>
    <row r="794" spans="49:49" ht="15" customHeight="1">
      <c r="AW794" s="110">
        <v>513</v>
      </c>
    </row>
    <row r="795" spans="49:49" ht="15" customHeight="1">
      <c r="AW795" s="110">
        <v>514</v>
      </c>
    </row>
    <row r="796" spans="49:49" ht="15" customHeight="1">
      <c r="AW796" s="110">
        <v>515</v>
      </c>
    </row>
    <row r="797" spans="49:49" ht="15" customHeight="1">
      <c r="AW797" s="110">
        <v>516</v>
      </c>
    </row>
    <row r="798" spans="49:49" ht="15" customHeight="1">
      <c r="AW798" s="110">
        <v>517</v>
      </c>
    </row>
    <row r="799" spans="49:49" ht="15" customHeight="1">
      <c r="AW799" s="110">
        <v>518</v>
      </c>
    </row>
    <row r="800" spans="49:49" ht="15" customHeight="1">
      <c r="AW800" s="110">
        <v>519</v>
      </c>
    </row>
    <row r="801" spans="49:49" ht="15" customHeight="1">
      <c r="AW801" s="110">
        <v>520</v>
      </c>
    </row>
    <row r="802" spans="49:49" ht="15" customHeight="1">
      <c r="AW802" s="110">
        <v>521</v>
      </c>
    </row>
    <row r="803" spans="49:49" ht="15" customHeight="1">
      <c r="AW803" s="110">
        <v>522</v>
      </c>
    </row>
    <row r="804" spans="49:49" ht="15" customHeight="1">
      <c r="AW804" s="110">
        <v>523</v>
      </c>
    </row>
    <row r="805" spans="49:49" ht="15" customHeight="1">
      <c r="AW805" s="110">
        <v>524</v>
      </c>
    </row>
    <row r="806" spans="49:49" ht="15" customHeight="1">
      <c r="AW806" s="110">
        <v>525</v>
      </c>
    </row>
    <row r="807" spans="49:49" ht="15" customHeight="1">
      <c r="AW807" s="110">
        <v>526</v>
      </c>
    </row>
    <row r="808" spans="49:49" ht="15" customHeight="1">
      <c r="AW808" s="110">
        <v>527</v>
      </c>
    </row>
    <row r="809" spans="49:49" ht="15" customHeight="1">
      <c r="AW809" s="110">
        <v>528</v>
      </c>
    </row>
    <row r="810" spans="49:49" ht="15" customHeight="1">
      <c r="AW810" s="110">
        <v>529</v>
      </c>
    </row>
    <row r="811" spans="49:49" ht="15" customHeight="1">
      <c r="AW811" s="110">
        <v>530</v>
      </c>
    </row>
    <row r="812" spans="49:49" ht="15" customHeight="1">
      <c r="AW812" s="110">
        <v>531</v>
      </c>
    </row>
    <row r="813" spans="49:49" ht="15" customHeight="1">
      <c r="AW813" s="110">
        <v>532</v>
      </c>
    </row>
    <row r="814" spans="49:49" ht="15" customHeight="1">
      <c r="AW814" s="110">
        <v>533</v>
      </c>
    </row>
    <row r="815" spans="49:49" ht="15" customHeight="1">
      <c r="AW815" s="110">
        <v>534</v>
      </c>
    </row>
    <row r="816" spans="49:49" ht="15" customHeight="1">
      <c r="AW816" s="110">
        <v>535</v>
      </c>
    </row>
    <row r="817" spans="49:49" ht="15" customHeight="1">
      <c r="AW817" s="110">
        <v>536</v>
      </c>
    </row>
    <row r="818" spans="49:49" ht="15" customHeight="1">
      <c r="AW818" s="110">
        <v>537</v>
      </c>
    </row>
    <row r="819" spans="49:49" ht="15" customHeight="1">
      <c r="AW819" s="110">
        <v>538</v>
      </c>
    </row>
    <row r="820" spans="49:49" ht="15" customHeight="1">
      <c r="AW820" s="110">
        <v>539</v>
      </c>
    </row>
    <row r="821" spans="49:49" ht="15" customHeight="1">
      <c r="AW821" s="110">
        <v>540</v>
      </c>
    </row>
    <row r="822" spans="49:49" ht="15" customHeight="1">
      <c r="AW822" s="110">
        <v>541</v>
      </c>
    </row>
    <row r="823" spans="49:49" ht="15" customHeight="1">
      <c r="AW823" s="110">
        <v>542</v>
      </c>
    </row>
    <row r="824" spans="49:49" ht="15" customHeight="1">
      <c r="AW824" s="110">
        <v>543</v>
      </c>
    </row>
    <row r="825" spans="49:49" ht="15" customHeight="1">
      <c r="AW825" s="110">
        <v>544</v>
      </c>
    </row>
    <row r="826" spans="49:49" ht="15" customHeight="1">
      <c r="AW826" s="110">
        <v>545</v>
      </c>
    </row>
    <row r="827" spans="49:49" ht="15" customHeight="1">
      <c r="AW827" s="110">
        <v>546</v>
      </c>
    </row>
    <row r="828" spans="49:49" ht="15" customHeight="1">
      <c r="AW828" s="110">
        <v>547</v>
      </c>
    </row>
    <row r="829" spans="49:49" ht="15" customHeight="1">
      <c r="AW829" s="110">
        <v>548</v>
      </c>
    </row>
    <row r="830" spans="49:49" ht="15" customHeight="1">
      <c r="AW830" s="110">
        <v>549</v>
      </c>
    </row>
    <row r="831" spans="49:49" ht="15" customHeight="1">
      <c r="AW831" s="110">
        <v>550</v>
      </c>
    </row>
    <row r="832" spans="49:49" ht="15" customHeight="1">
      <c r="AW832" s="110">
        <v>551</v>
      </c>
    </row>
    <row r="833" spans="49:49" ht="15" customHeight="1">
      <c r="AW833" s="110">
        <v>552</v>
      </c>
    </row>
    <row r="834" spans="49:49" ht="15" customHeight="1">
      <c r="AW834" s="110">
        <v>553</v>
      </c>
    </row>
    <row r="835" spans="49:49" ht="15" customHeight="1">
      <c r="AW835" s="110">
        <v>554</v>
      </c>
    </row>
    <row r="836" spans="49:49" ht="15" customHeight="1">
      <c r="AW836" s="110">
        <v>555</v>
      </c>
    </row>
    <row r="837" spans="49:49" ht="15" customHeight="1">
      <c r="AW837" s="110">
        <v>556</v>
      </c>
    </row>
    <row r="838" spans="49:49" ht="15" customHeight="1">
      <c r="AW838" s="110">
        <v>557</v>
      </c>
    </row>
    <row r="839" spans="49:49" ht="15" customHeight="1">
      <c r="AW839" s="110">
        <v>558</v>
      </c>
    </row>
    <row r="840" spans="49:49" ht="15" customHeight="1">
      <c r="AW840" s="110">
        <v>559</v>
      </c>
    </row>
    <row r="841" spans="49:49" ht="15" customHeight="1">
      <c r="AW841" s="110">
        <v>560</v>
      </c>
    </row>
    <row r="842" spans="49:49" ht="15" customHeight="1">
      <c r="AW842" s="110">
        <v>561</v>
      </c>
    </row>
    <row r="843" spans="49:49" ht="15" customHeight="1">
      <c r="AW843" s="110">
        <v>562</v>
      </c>
    </row>
    <row r="844" spans="49:49" ht="15" customHeight="1">
      <c r="AW844" s="110">
        <v>563</v>
      </c>
    </row>
    <row r="845" spans="49:49" ht="15" customHeight="1">
      <c r="AW845" s="110">
        <v>564</v>
      </c>
    </row>
    <row r="846" spans="49:49" ht="15" customHeight="1">
      <c r="AW846" s="110">
        <v>565</v>
      </c>
    </row>
    <row r="847" spans="49:49" ht="15" customHeight="1">
      <c r="AW847" s="110">
        <v>566</v>
      </c>
    </row>
    <row r="848" spans="49:49" ht="15" customHeight="1">
      <c r="AW848" s="110">
        <v>567</v>
      </c>
    </row>
    <row r="849" spans="49:49" ht="15" customHeight="1">
      <c r="AW849" s="110">
        <v>568</v>
      </c>
    </row>
    <row r="850" spans="49:49" ht="15" customHeight="1">
      <c r="AW850" s="110">
        <v>569</v>
      </c>
    </row>
    <row r="851" spans="49:49" ht="15" customHeight="1">
      <c r="AW851" s="110">
        <v>570</v>
      </c>
    </row>
    <row r="852" spans="49:49" ht="15" customHeight="1">
      <c r="AW852" s="110">
        <v>571</v>
      </c>
    </row>
    <row r="853" spans="49:49" ht="15" customHeight="1">
      <c r="AW853" s="110">
        <v>572</v>
      </c>
    </row>
    <row r="854" spans="49:49" ht="15" customHeight="1">
      <c r="AW854" s="110">
        <v>573</v>
      </c>
    </row>
    <row r="855" spans="49:49" ht="15" customHeight="1">
      <c r="AW855" s="110">
        <v>574</v>
      </c>
    </row>
    <row r="856" spans="49:49" ht="15" customHeight="1">
      <c r="AW856" s="110">
        <v>575</v>
      </c>
    </row>
    <row r="857" spans="49:49" ht="15" customHeight="1">
      <c r="AW857" s="110">
        <v>576</v>
      </c>
    </row>
    <row r="858" spans="49:49" ht="15" customHeight="1">
      <c r="AW858" s="110">
        <v>577</v>
      </c>
    </row>
    <row r="859" spans="49:49" ht="15" customHeight="1">
      <c r="AW859" s="110">
        <v>578</v>
      </c>
    </row>
    <row r="860" spans="49:49" ht="15" customHeight="1">
      <c r="AW860" s="110">
        <v>579</v>
      </c>
    </row>
    <row r="861" spans="49:49" ht="15" customHeight="1">
      <c r="AW861" s="110">
        <v>580</v>
      </c>
    </row>
    <row r="862" spans="49:49" ht="15" customHeight="1">
      <c r="AW862" s="110">
        <v>581</v>
      </c>
    </row>
    <row r="863" spans="49:49" ht="15" customHeight="1">
      <c r="AW863" s="110">
        <v>582</v>
      </c>
    </row>
    <row r="864" spans="49:49" ht="15" customHeight="1">
      <c r="AW864" s="110">
        <v>583</v>
      </c>
    </row>
    <row r="865" spans="49:49" ht="15" customHeight="1">
      <c r="AW865" s="110">
        <v>584</v>
      </c>
    </row>
    <row r="866" spans="49:49" ht="15" customHeight="1">
      <c r="AW866" s="110">
        <v>585</v>
      </c>
    </row>
    <row r="867" spans="49:49" ht="15" customHeight="1">
      <c r="AW867" s="110">
        <v>586</v>
      </c>
    </row>
    <row r="868" spans="49:49" ht="15" customHeight="1">
      <c r="AW868" s="110">
        <v>587</v>
      </c>
    </row>
    <row r="869" spans="49:49" ht="15" customHeight="1">
      <c r="AW869" s="110">
        <v>588</v>
      </c>
    </row>
    <row r="870" spans="49:49" ht="15" customHeight="1">
      <c r="AW870" s="110">
        <v>589</v>
      </c>
    </row>
    <row r="871" spans="49:49" ht="15" customHeight="1">
      <c r="AW871" s="110">
        <v>590</v>
      </c>
    </row>
    <row r="872" spans="49:49" ht="15" customHeight="1">
      <c r="AW872" s="110">
        <v>591</v>
      </c>
    </row>
    <row r="873" spans="49:49" ht="15" customHeight="1">
      <c r="AW873" s="110">
        <v>592</v>
      </c>
    </row>
    <row r="874" spans="49:49" ht="15" customHeight="1">
      <c r="AW874" s="110">
        <v>593</v>
      </c>
    </row>
    <row r="875" spans="49:49" ht="15" customHeight="1">
      <c r="AW875" s="110">
        <v>594</v>
      </c>
    </row>
    <row r="876" spans="49:49" ht="15" customHeight="1">
      <c r="AW876" s="110">
        <v>595</v>
      </c>
    </row>
    <row r="877" spans="49:49" ht="15" customHeight="1">
      <c r="AW877" s="110">
        <v>596</v>
      </c>
    </row>
    <row r="878" spans="49:49" ht="15" customHeight="1">
      <c r="AW878" s="110">
        <v>597</v>
      </c>
    </row>
    <row r="879" spans="49:49" ht="15" customHeight="1">
      <c r="AW879" s="110">
        <v>598</v>
      </c>
    </row>
    <row r="880" spans="49:49" ht="15" customHeight="1">
      <c r="AW880" s="110">
        <v>599</v>
      </c>
    </row>
    <row r="881" spans="49:49" ht="15" customHeight="1">
      <c r="AW881" s="110">
        <v>600</v>
      </c>
    </row>
    <row r="882" spans="49:49" ht="15" customHeight="1">
      <c r="AW882" s="110">
        <v>601</v>
      </c>
    </row>
    <row r="883" spans="49:49" ht="15" customHeight="1">
      <c r="AW883" s="110">
        <v>602</v>
      </c>
    </row>
    <row r="884" spans="49:49" ht="15" customHeight="1">
      <c r="AW884" s="110">
        <v>603</v>
      </c>
    </row>
    <row r="885" spans="49:49" ht="15" customHeight="1">
      <c r="AW885" s="110">
        <v>604</v>
      </c>
    </row>
    <row r="886" spans="49:49" ht="15" customHeight="1">
      <c r="AW886" s="110">
        <v>605</v>
      </c>
    </row>
    <row r="887" spans="49:49" ht="15" customHeight="1">
      <c r="AW887" s="110">
        <v>606</v>
      </c>
    </row>
    <row r="888" spans="49:49" ht="15" customHeight="1">
      <c r="AW888" s="110">
        <v>607</v>
      </c>
    </row>
    <row r="889" spans="49:49" ht="15" customHeight="1">
      <c r="AW889" s="110">
        <v>608</v>
      </c>
    </row>
    <row r="890" spans="49:49" ht="15" customHeight="1">
      <c r="AW890" s="110">
        <v>609</v>
      </c>
    </row>
    <row r="891" spans="49:49" ht="15" customHeight="1">
      <c r="AW891" s="110">
        <v>610</v>
      </c>
    </row>
    <row r="892" spans="49:49" ht="15" customHeight="1">
      <c r="AW892" s="110">
        <v>611</v>
      </c>
    </row>
    <row r="893" spans="49:49" ht="15" customHeight="1">
      <c r="AW893" s="110">
        <v>612</v>
      </c>
    </row>
    <row r="894" spans="49:49" ht="15" customHeight="1">
      <c r="AW894" s="110">
        <v>613</v>
      </c>
    </row>
    <row r="895" spans="49:49" ht="15" customHeight="1">
      <c r="AW895" s="110">
        <v>614</v>
      </c>
    </row>
    <row r="896" spans="49:49" ht="15" customHeight="1">
      <c r="AW896" s="110">
        <v>615</v>
      </c>
    </row>
    <row r="897" spans="49:49" ht="15" customHeight="1">
      <c r="AW897" s="110">
        <v>616</v>
      </c>
    </row>
    <row r="898" spans="49:49" ht="15" customHeight="1">
      <c r="AW898" s="110">
        <v>617</v>
      </c>
    </row>
    <row r="899" spans="49:49" ht="15" customHeight="1">
      <c r="AW899" s="110">
        <v>618</v>
      </c>
    </row>
    <row r="900" spans="49:49" ht="15" customHeight="1">
      <c r="AW900" s="110">
        <v>619</v>
      </c>
    </row>
    <row r="901" spans="49:49" ht="15" customHeight="1">
      <c r="AW901" s="110">
        <v>620</v>
      </c>
    </row>
    <row r="902" spans="49:49" ht="15" customHeight="1">
      <c r="AW902" s="110">
        <v>621</v>
      </c>
    </row>
    <row r="903" spans="49:49" ht="15" customHeight="1">
      <c r="AW903" s="110">
        <v>622</v>
      </c>
    </row>
    <row r="904" spans="49:49" ht="15" customHeight="1">
      <c r="AW904" s="110">
        <v>623</v>
      </c>
    </row>
    <row r="905" spans="49:49" ht="15" customHeight="1">
      <c r="AW905" s="110">
        <v>624</v>
      </c>
    </row>
    <row r="906" spans="49:49" ht="15" customHeight="1">
      <c r="AW906" s="110">
        <v>625</v>
      </c>
    </row>
    <row r="907" spans="49:49" ht="15" customHeight="1">
      <c r="AW907" s="110">
        <v>626</v>
      </c>
    </row>
    <row r="908" spans="49:49" ht="15" customHeight="1">
      <c r="AW908" s="110">
        <v>627</v>
      </c>
    </row>
    <row r="909" spans="49:49" ht="15" customHeight="1">
      <c r="AW909" s="110">
        <v>628</v>
      </c>
    </row>
    <row r="910" spans="49:49" ht="15" customHeight="1">
      <c r="AW910" s="110">
        <v>629</v>
      </c>
    </row>
    <row r="911" spans="49:49" ht="15" customHeight="1">
      <c r="AW911" s="110">
        <v>630</v>
      </c>
    </row>
    <row r="912" spans="49:49" ht="15" customHeight="1">
      <c r="AW912" s="110">
        <v>631</v>
      </c>
    </row>
    <row r="913" spans="49:49" ht="15" customHeight="1">
      <c r="AW913" s="110">
        <v>632</v>
      </c>
    </row>
    <row r="914" spans="49:49" ht="15" customHeight="1">
      <c r="AW914" s="110">
        <v>633</v>
      </c>
    </row>
    <row r="915" spans="49:49" ht="15" customHeight="1">
      <c r="AW915" s="110">
        <v>634</v>
      </c>
    </row>
    <row r="916" spans="49:49" ht="15" customHeight="1">
      <c r="AW916" s="110">
        <v>635</v>
      </c>
    </row>
    <row r="917" spans="49:49" ht="15" customHeight="1">
      <c r="AW917" s="110">
        <v>636</v>
      </c>
    </row>
    <row r="918" spans="49:49" ht="15" customHeight="1">
      <c r="AW918" s="110">
        <v>637</v>
      </c>
    </row>
    <row r="919" spans="49:49" ht="15" customHeight="1">
      <c r="AW919" s="110">
        <v>638</v>
      </c>
    </row>
    <row r="920" spans="49:49" ht="15" customHeight="1">
      <c r="AW920" s="110">
        <v>639</v>
      </c>
    </row>
    <row r="921" spans="49:49" ht="15" customHeight="1">
      <c r="AW921" s="110">
        <v>640</v>
      </c>
    </row>
    <row r="922" spans="49:49" ht="15" customHeight="1">
      <c r="AW922" s="110">
        <v>641</v>
      </c>
    </row>
    <row r="923" spans="49:49" ht="15" customHeight="1">
      <c r="AW923" s="110">
        <v>642</v>
      </c>
    </row>
    <row r="924" spans="49:49" ht="15" customHeight="1">
      <c r="AW924" s="110">
        <v>643</v>
      </c>
    </row>
    <row r="925" spans="49:49" ht="15" customHeight="1">
      <c r="AW925" s="110">
        <v>644</v>
      </c>
    </row>
    <row r="926" spans="49:49" ht="15" customHeight="1">
      <c r="AW926" s="110">
        <v>645</v>
      </c>
    </row>
    <row r="927" spans="49:49" ht="15" customHeight="1">
      <c r="AW927" s="110">
        <v>646</v>
      </c>
    </row>
    <row r="928" spans="49:49" ht="15" customHeight="1">
      <c r="AW928" s="110">
        <v>647</v>
      </c>
    </row>
    <row r="929" spans="49:49" ht="15" customHeight="1">
      <c r="AW929" s="110">
        <v>648</v>
      </c>
    </row>
    <row r="930" spans="49:49" ht="15" customHeight="1">
      <c r="AW930" s="110">
        <v>649</v>
      </c>
    </row>
    <row r="931" spans="49:49" ht="15" customHeight="1">
      <c r="AW931" s="110">
        <v>650</v>
      </c>
    </row>
    <row r="932" spans="49:49" ht="15" customHeight="1">
      <c r="AW932" s="110">
        <v>651</v>
      </c>
    </row>
    <row r="933" spans="49:49" ht="15" customHeight="1">
      <c r="AW933" s="110">
        <v>652</v>
      </c>
    </row>
    <row r="934" spans="49:49" ht="15" customHeight="1">
      <c r="AW934" s="110">
        <v>653</v>
      </c>
    </row>
    <row r="935" spans="49:49" ht="15" customHeight="1">
      <c r="AW935" s="110">
        <v>654</v>
      </c>
    </row>
    <row r="936" spans="49:49" ht="15" customHeight="1">
      <c r="AW936" s="110">
        <v>655</v>
      </c>
    </row>
    <row r="937" spans="49:49" ht="15" customHeight="1">
      <c r="AW937" s="110">
        <v>656</v>
      </c>
    </row>
    <row r="938" spans="49:49" ht="15" customHeight="1">
      <c r="AW938" s="110">
        <v>657</v>
      </c>
    </row>
    <row r="939" spans="49:49" ht="15" customHeight="1">
      <c r="AW939" s="110">
        <v>658</v>
      </c>
    </row>
    <row r="940" spans="49:49" ht="15" customHeight="1">
      <c r="AW940" s="110">
        <v>659</v>
      </c>
    </row>
    <row r="941" spans="49:49" ht="15" customHeight="1">
      <c r="AW941" s="110">
        <v>660</v>
      </c>
    </row>
    <row r="942" spans="49:49" ht="15" customHeight="1">
      <c r="AW942" s="110">
        <v>661</v>
      </c>
    </row>
    <row r="943" spans="49:49" ht="15" customHeight="1">
      <c r="AW943" s="110">
        <v>662</v>
      </c>
    </row>
    <row r="944" spans="49:49" ht="15" customHeight="1">
      <c r="AW944" s="110">
        <v>663</v>
      </c>
    </row>
    <row r="945" spans="49:49" ht="15" customHeight="1">
      <c r="AW945" s="110">
        <v>664</v>
      </c>
    </row>
    <row r="946" spans="49:49" ht="15" customHeight="1">
      <c r="AW946" s="110">
        <v>665</v>
      </c>
    </row>
    <row r="947" spans="49:49" ht="15" customHeight="1">
      <c r="AW947" s="110">
        <v>666</v>
      </c>
    </row>
    <row r="948" spans="49:49" ht="15" customHeight="1">
      <c r="AW948" s="110">
        <v>667</v>
      </c>
    </row>
    <row r="949" spans="49:49" ht="15" customHeight="1">
      <c r="AW949" s="110">
        <v>668</v>
      </c>
    </row>
    <row r="950" spans="49:49" ht="15" customHeight="1">
      <c r="AW950" s="110">
        <v>669</v>
      </c>
    </row>
    <row r="951" spans="49:49" ht="15" customHeight="1">
      <c r="AW951" s="110">
        <v>670</v>
      </c>
    </row>
    <row r="952" spans="49:49" ht="15" customHeight="1">
      <c r="AW952" s="110">
        <v>671</v>
      </c>
    </row>
    <row r="953" spans="49:49" ht="15" customHeight="1">
      <c r="AW953" s="110">
        <v>672</v>
      </c>
    </row>
    <row r="954" spans="49:49" ht="15" customHeight="1">
      <c r="AW954" s="110">
        <v>673</v>
      </c>
    </row>
    <row r="955" spans="49:49" ht="15" customHeight="1">
      <c r="AW955" s="110">
        <v>674</v>
      </c>
    </row>
    <row r="956" spans="49:49" ht="15" customHeight="1">
      <c r="AW956" s="110">
        <v>675</v>
      </c>
    </row>
    <row r="957" spans="49:49" ht="15" customHeight="1">
      <c r="AW957" s="110">
        <v>676</v>
      </c>
    </row>
    <row r="958" spans="49:49" ht="15" customHeight="1">
      <c r="AW958" s="110">
        <v>677</v>
      </c>
    </row>
    <row r="959" spans="49:49" ht="15" customHeight="1">
      <c r="AW959" s="110">
        <v>678</v>
      </c>
    </row>
    <row r="960" spans="49:49" ht="15" customHeight="1">
      <c r="AW960" s="110">
        <v>679</v>
      </c>
    </row>
    <row r="961" spans="49:49" ht="15" customHeight="1">
      <c r="AW961" s="110">
        <v>680</v>
      </c>
    </row>
    <row r="962" spans="49:49" ht="15" customHeight="1">
      <c r="AW962" s="110">
        <v>681</v>
      </c>
    </row>
    <row r="963" spans="49:49" ht="15" customHeight="1">
      <c r="AW963" s="110">
        <v>682</v>
      </c>
    </row>
    <row r="964" spans="49:49" ht="15" customHeight="1">
      <c r="AW964" s="110">
        <v>683</v>
      </c>
    </row>
    <row r="965" spans="49:49" ht="15" customHeight="1">
      <c r="AW965" s="110">
        <v>684</v>
      </c>
    </row>
    <row r="966" spans="49:49" ht="15" customHeight="1">
      <c r="AW966" s="110">
        <v>685</v>
      </c>
    </row>
    <row r="967" spans="49:49" ht="15" customHeight="1">
      <c r="AW967" s="110">
        <v>686</v>
      </c>
    </row>
    <row r="968" spans="49:49" ht="15" customHeight="1">
      <c r="AW968" s="110">
        <v>687</v>
      </c>
    </row>
    <row r="969" spans="49:49" ht="15" customHeight="1">
      <c r="AW969" s="110">
        <v>688</v>
      </c>
    </row>
    <row r="970" spans="49:49" ht="15" customHeight="1">
      <c r="AW970" s="110">
        <v>689</v>
      </c>
    </row>
    <row r="971" spans="49:49" ht="15" customHeight="1">
      <c r="AW971" s="110">
        <v>690</v>
      </c>
    </row>
    <row r="972" spans="49:49" ht="15" customHeight="1">
      <c r="AW972" s="110">
        <v>691</v>
      </c>
    </row>
    <row r="973" spans="49:49" ht="15" customHeight="1">
      <c r="AW973" s="110">
        <v>692</v>
      </c>
    </row>
    <row r="974" spans="49:49" ht="15" customHeight="1">
      <c r="AW974" s="110">
        <v>693</v>
      </c>
    </row>
    <row r="975" spans="49:49" ht="15" customHeight="1">
      <c r="AW975" s="110">
        <v>694</v>
      </c>
    </row>
    <row r="976" spans="49:49" ht="15" customHeight="1">
      <c r="AW976" s="110">
        <v>695</v>
      </c>
    </row>
    <row r="977" spans="49:49" ht="15" customHeight="1">
      <c r="AW977" s="110">
        <v>696</v>
      </c>
    </row>
    <row r="978" spans="49:49" ht="15" customHeight="1">
      <c r="AW978" s="110">
        <v>697</v>
      </c>
    </row>
    <row r="979" spans="49:49" ht="15" customHeight="1">
      <c r="AW979" s="110">
        <v>698</v>
      </c>
    </row>
    <row r="980" spans="49:49" ht="15" customHeight="1">
      <c r="AW980" s="110">
        <v>699</v>
      </c>
    </row>
    <row r="981" spans="49:49" ht="15" customHeight="1">
      <c r="AW981" s="110">
        <v>700</v>
      </c>
    </row>
    <row r="982" spans="49:49" ht="15" customHeight="1">
      <c r="AW982" s="110">
        <v>701</v>
      </c>
    </row>
    <row r="983" spans="49:49" ht="15" customHeight="1">
      <c r="AW983" s="110">
        <v>702</v>
      </c>
    </row>
    <row r="984" spans="49:49" ht="15" customHeight="1">
      <c r="AW984" s="110">
        <v>703</v>
      </c>
    </row>
    <row r="985" spans="49:49" ht="15" customHeight="1">
      <c r="AW985" s="110">
        <v>704</v>
      </c>
    </row>
    <row r="986" spans="49:49" ht="15" customHeight="1">
      <c r="AW986" s="110">
        <v>705</v>
      </c>
    </row>
    <row r="987" spans="49:49" ht="15" customHeight="1">
      <c r="AW987" s="110">
        <v>706</v>
      </c>
    </row>
    <row r="988" spans="49:49" ht="15" customHeight="1">
      <c r="AW988" s="110">
        <v>707</v>
      </c>
    </row>
    <row r="989" spans="49:49" ht="15" customHeight="1">
      <c r="AW989" s="110">
        <v>708</v>
      </c>
    </row>
    <row r="990" spans="49:49" ht="15" customHeight="1">
      <c r="AW990" s="110">
        <v>709</v>
      </c>
    </row>
    <row r="991" spans="49:49" ht="15" customHeight="1">
      <c r="AW991" s="110">
        <v>710</v>
      </c>
    </row>
    <row r="992" spans="49:49" ht="15" customHeight="1">
      <c r="AW992" s="110">
        <v>711</v>
      </c>
    </row>
    <row r="993" spans="49:49" ht="15" customHeight="1">
      <c r="AW993" s="110">
        <v>712</v>
      </c>
    </row>
    <row r="994" spans="49:49" ht="15" customHeight="1">
      <c r="AW994" s="110">
        <v>713</v>
      </c>
    </row>
    <row r="995" spans="49:49" ht="15" customHeight="1">
      <c r="AW995" s="110">
        <v>714</v>
      </c>
    </row>
    <row r="996" spans="49:49" ht="15" customHeight="1">
      <c r="AW996" s="110">
        <v>715</v>
      </c>
    </row>
    <row r="997" spans="49:49" ht="15" customHeight="1">
      <c r="AW997" s="110">
        <v>716</v>
      </c>
    </row>
    <row r="998" spans="49:49" ht="15" customHeight="1">
      <c r="AW998" s="110">
        <v>717</v>
      </c>
    </row>
    <row r="999" spans="49:49" ht="15" customHeight="1">
      <c r="AW999" s="110">
        <v>718</v>
      </c>
    </row>
    <row r="1000" spans="49:49" ht="15" customHeight="1">
      <c r="AW1000" s="110">
        <v>719</v>
      </c>
    </row>
    <row r="1001" spans="49:49" ht="15" customHeight="1">
      <c r="AW1001" s="110">
        <v>720</v>
      </c>
    </row>
    <row r="1002" spans="49:49" ht="15" customHeight="1">
      <c r="AW1002" s="110">
        <v>721</v>
      </c>
    </row>
    <row r="1003" spans="49:49" ht="15" customHeight="1">
      <c r="AW1003" s="110">
        <v>722</v>
      </c>
    </row>
    <row r="1004" spans="49:49" ht="15" customHeight="1">
      <c r="AW1004" s="110">
        <v>723</v>
      </c>
    </row>
    <row r="1005" spans="49:49" ht="15" customHeight="1">
      <c r="AW1005" s="110">
        <v>724</v>
      </c>
    </row>
    <row r="1006" spans="49:49" ht="15" customHeight="1">
      <c r="AW1006" s="110">
        <v>725</v>
      </c>
    </row>
    <row r="1007" spans="49:49" ht="15" customHeight="1">
      <c r="AW1007" s="110">
        <v>726</v>
      </c>
    </row>
    <row r="1008" spans="49:49" ht="15" customHeight="1">
      <c r="AW1008" s="110">
        <v>727</v>
      </c>
    </row>
    <row r="1009" spans="49:49" ht="15" customHeight="1">
      <c r="AW1009" s="110">
        <v>728</v>
      </c>
    </row>
    <row r="1010" spans="49:49" ht="15" customHeight="1">
      <c r="AW1010" s="110">
        <v>729</v>
      </c>
    </row>
    <row r="1011" spans="49:49" ht="15" customHeight="1">
      <c r="AW1011" s="110">
        <v>730</v>
      </c>
    </row>
    <row r="1012" spans="49:49" ht="15" customHeight="1">
      <c r="AW1012" s="110">
        <v>731</v>
      </c>
    </row>
    <row r="1013" spans="49:49" ht="15" customHeight="1">
      <c r="AW1013" s="110">
        <v>732</v>
      </c>
    </row>
    <row r="1014" spans="49:49" ht="15" customHeight="1">
      <c r="AW1014" s="110">
        <v>733</v>
      </c>
    </row>
    <row r="1015" spans="49:49" ht="15" customHeight="1">
      <c r="AW1015" s="110">
        <v>734</v>
      </c>
    </row>
    <row r="1016" spans="49:49" ht="15" customHeight="1">
      <c r="AW1016" s="110">
        <v>735</v>
      </c>
    </row>
    <row r="1017" spans="49:49" ht="15" customHeight="1">
      <c r="AW1017" s="110">
        <v>736</v>
      </c>
    </row>
    <row r="1018" spans="49:49" ht="15" customHeight="1">
      <c r="AW1018" s="110">
        <v>737</v>
      </c>
    </row>
    <row r="1019" spans="49:49" ht="15" customHeight="1">
      <c r="AW1019" s="110">
        <v>738</v>
      </c>
    </row>
    <row r="1020" spans="49:49" ht="15" customHeight="1">
      <c r="AW1020" s="110">
        <v>739</v>
      </c>
    </row>
    <row r="1021" spans="49:49" ht="15" customHeight="1">
      <c r="AW1021" s="110">
        <v>740</v>
      </c>
    </row>
    <row r="1022" spans="49:49" ht="15" customHeight="1">
      <c r="AW1022" s="110">
        <v>741</v>
      </c>
    </row>
    <row r="1023" spans="49:49" ht="15" customHeight="1">
      <c r="AW1023" s="110">
        <v>742</v>
      </c>
    </row>
    <row r="1024" spans="49:49" ht="15" customHeight="1">
      <c r="AW1024" s="110">
        <v>743</v>
      </c>
    </row>
    <row r="1025" spans="49:49" ht="15" customHeight="1">
      <c r="AW1025" s="110">
        <v>744</v>
      </c>
    </row>
    <row r="1026" spans="49:49" ht="15" customHeight="1">
      <c r="AW1026" s="110">
        <v>745</v>
      </c>
    </row>
    <row r="1027" spans="49:49" ht="15" customHeight="1">
      <c r="AW1027" s="110">
        <v>746</v>
      </c>
    </row>
    <row r="1028" spans="49:49" ht="15" customHeight="1">
      <c r="AW1028" s="110">
        <v>747</v>
      </c>
    </row>
    <row r="1029" spans="49:49" ht="15" customHeight="1">
      <c r="AW1029" s="110">
        <v>748</v>
      </c>
    </row>
    <row r="1030" spans="49:49" ht="15" customHeight="1">
      <c r="AW1030" s="110">
        <v>749</v>
      </c>
    </row>
    <row r="1031" spans="49:49" ht="15" customHeight="1">
      <c r="AW1031" s="110">
        <v>750</v>
      </c>
    </row>
    <row r="1032" spans="49:49" ht="15" customHeight="1">
      <c r="AW1032" s="110">
        <v>751</v>
      </c>
    </row>
    <row r="1033" spans="49:49" ht="15" customHeight="1">
      <c r="AW1033" s="110">
        <v>752</v>
      </c>
    </row>
    <row r="1034" spans="49:49" ht="15" customHeight="1">
      <c r="AW1034" s="110">
        <v>753</v>
      </c>
    </row>
    <row r="1035" spans="49:49" ht="15" customHeight="1">
      <c r="AW1035" s="110">
        <v>754</v>
      </c>
    </row>
    <row r="1036" spans="49:49" ht="15" customHeight="1">
      <c r="AW1036" s="110">
        <v>755</v>
      </c>
    </row>
    <row r="1037" spans="49:49" ht="15" customHeight="1">
      <c r="AW1037" s="110">
        <v>756</v>
      </c>
    </row>
    <row r="1038" spans="49:49" ht="15" customHeight="1">
      <c r="AW1038" s="110">
        <v>757</v>
      </c>
    </row>
    <row r="1039" spans="49:49" ht="15" customHeight="1">
      <c r="AW1039" s="110">
        <v>758</v>
      </c>
    </row>
    <row r="1040" spans="49:49" ht="15" customHeight="1">
      <c r="AW1040" s="110">
        <v>759</v>
      </c>
    </row>
    <row r="1041" spans="49:49" ht="15" customHeight="1">
      <c r="AW1041" s="110">
        <v>760</v>
      </c>
    </row>
    <row r="1042" spans="49:49" ht="15" customHeight="1">
      <c r="AW1042" s="110">
        <v>761</v>
      </c>
    </row>
    <row r="1043" spans="49:49" ht="15" customHeight="1">
      <c r="AW1043" s="110">
        <v>762</v>
      </c>
    </row>
    <row r="1044" spans="49:49" ht="15" customHeight="1">
      <c r="AW1044" s="110">
        <v>763</v>
      </c>
    </row>
    <row r="1045" spans="49:49" ht="15" customHeight="1">
      <c r="AW1045" s="110">
        <v>764</v>
      </c>
    </row>
    <row r="1046" spans="49:49" ht="15" customHeight="1">
      <c r="AW1046" s="110">
        <v>765</v>
      </c>
    </row>
    <row r="1047" spans="49:49" ht="15" customHeight="1">
      <c r="AW1047" s="110">
        <v>766</v>
      </c>
    </row>
    <row r="1048" spans="49:49" ht="15" customHeight="1">
      <c r="AW1048" s="110">
        <v>767</v>
      </c>
    </row>
    <row r="1049" spans="49:49" ht="15" customHeight="1">
      <c r="AW1049" s="110">
        <v>768</v>
      </c>
    </row>
    <row r="1050" spans="49:49" ht="15" customHeight="1">
      <c r="AW1050" s="110">
        <v>769</v>
      </c>
    </row>
    <row r="1051" spans="49:49" ht="15" customHeight="1">
      <c r="AW1051" s="110">
        <v>770</v>
      </c>
    </row>
    <row r="1052" spans="49:49" ht="15" customHeight="1">
      <c r="AW1052" s="110">
        <v>771</v>
      </c>
    </row>
    <row r="1053" spans="49:49" ht="15" customHeight="1">
      <c r="AW1053" s="110">
        <v>772</v>
      </c>
    </row>
    <row r="1054" spans="49:49" ht="15" customHeight="1">
      <c r="AW1054" s="110">
        <v>773</v>
      </c>
    </row>
    <row r="1055" spans="49:49" ht="15" customHeight="1">
      <c r="AW1055" s="110">
        <v>774</v>
      </c>
    </row>
    <row r="1056" spans="49:49" ht="15" customHeight="1">
      <c r="AW1056" s="110">
        <v>775</v>
      </c>
    </row>
    <row r="1057" spans="49:49" ht="15" customHeight="1">
      <c r="AW1057" s="110">
        <v>776</v>
      </c>
    </row>
    <row r="1058" spans="49:49" ht="15" customHeight="1">
      <c r="AW1058" s="110">
        <v>777</v>
      </c>
    </row>
    <row r="1059" spans="49:49" ht="15" customHeight="1">
      <c r="AW1059" s="110">
        <v>778</v>
      </c>
    </row>
    <row r="1060" spans="49:49" ht="15" customHeight="1">
      <c r="AW1060" s="110">
        <v>779</v>
      </c>
    </row>
    <row r="1061" spans="49:49" ht="15" customHeight="1">
      <c r="AW1061" s="110">
        <v>780</v>
      </c>
    </row>
    <row r="1062" spans="49:49" ht="15" customHeight="1">
      <c r="AW1062" s="110">
        <v>781</v>
      </c>
    </row>
    <row r="1063" spans="49:49" ht="15" customHeight="1">
      <c r="AW1063" s="110">
        <v>782</v>
      </c>
    </row>
    <row r="1064" spans="49:49" ht="15" customHeight="1">
      <c r="AW1064" s="110">
        <v>783</v>
      </c>
    </row>
    <row r="1065" spans="49:49" ht="15" customHeight="1">
      <c r="AW1065" s="110">
        <v>784</v>
      </c>
    </row>
    <row r="1066" spans="49:49" ht="15" customHeight="1">
      <c r="AW1066" s="110">
        <v>785</v>
      </c>
    </row>
    <row r="1067" spans="49:49" ht="15" customHeight="1">
      <c r="AW1067" s="110">
        <v>786</v>
      </c>
    </row>
    <row r="1068" spans="49:49" ht="15" customHeight="1">
      <c r="AW1068" s="110">
        <v>787</v>
      </c>
    </row>
    <row r="1069" spans="49:49" ht="15" customHeight="1">
      <c r="AW1069" s="110">
        <v>788</v>
      </c>
    </row>
    <row r="1070" spans="49:49" ht="15" customHeight="1">
      <c r="AW1070" s="110">
        <v>789</v>
      </c>
    </row>
    <row r="1071" spans="49:49" ht="15" customHeight="1">
      <c r="AW1071" s="110">
        <v>790</v>
      </c>
    </row>
    <row r="1072" spans="49:49" ht="15" customHeight="1">
      <c r="AW1072" s="110">
        <v>791</v>
      </c>
    </row>
    <row r="1073" spans="49:49" ht="15" customHeight="1">
      <c r="AW1073" s="110">
        <v>792</v>
      </c>
    </row>
    <row r="1074" spans="49:49" ht="15" customHeight="1">
      <c r="AW1074" s="110">
        <v>793</v>
      </c>
    </row>
    <row r="1075" spans="49:49" ht="15" customHeight="1">
      <c r="AW1075" s="110">
        <v>794</v>
      </c>
    </row>
    <row r="1076" spans="49:49" ht="15" customHeight="1">
      <c r="AW1076" s="110">
        <v>795</v>
      </c>
    </row>
    <row r="1077" spans="49:49" ht="15" customHeight="1">
      <c r="AW1077" s="110">
        <v>796</v>
      </c>
    </row>
    <row r="1078" spans="49:49" ht="15" customHeight="1">
      <c r="AW1078" s="110">
        <v>797</v>
      </c>
    </row>
    <row r="1079" spans="49:49" ht="15" customHeight="1">
      <c r="AW1079" s="110">
        <v>798</v>
      </c>
    </row>
    <row r="1080" spans="49:49" ht="15" customHeight="1">
      <c r="AW1080" s="110">
        <v>799</v>
      </c>
    </row>
    <row r="1081" spans="49:49" ht="15" customHeight="1">
      <c r="AW1081" s="110">
        <v>800</v>
      </c>
    </row>
    <row r="1082" spans="49:49" ht="15" customHeight="1">
      <c r="AW1082" s="110">
        <v>801</v>
      </c>
    </row>
    <row r="1083" spans="49:49" ht="15" customHeight="1">
      <c r="AW1083" s="110">
        <v>802</v>
      </c>
    </row>
    <row r="1084" spans="49:49" ht="15" customHeight="1">
      <c r="AW1084" s="110">
        <v>803</v>
      </c>
    </row>
    <row r="1085" spans="49:49" ht="15" customHeight="1">
      <c r="AW1085" s="110">
        <v>804</v>
      </c>
    </row>
    <row r="1086" spans="49:49" ht="15" customHeight="1">
      <c r="AW1086" s="110">
        <v>805</v>
      </c>
    </row>
    <row r="1087" spans="49:49" ht="15" customHeight="1">
      <c r="AW1087" s="110">
        <v>806</v>
      </c>
    </row>
    <row r="1088" spans="49:49" ht="15" customHeight="1">
      <c r="AW1088" s="110">
        <v>807</v>
      </c>
    </row>
    <row r="1089" spans="49:49" ht="15" customHeight="1">
      <c r="AW1089" s="110">
        <v>808</v>
      </c>
    </row>
    <row r="1090" spans="49:49" ht="15" customHeight="1">
      <c r="AW1090" s="110">
        <v>809</v>
      </c>
    </row>
    <row r="1091" spans="49:49" ht="15" customHeight="1">
      <c r="AW1091" s="110">
        <v>810</v>
      </c>
    </row>
    <row r="1092" spans="49:49" ht="15" customHeight="1">
      <c r="AW1092" s="110">
        <v>811</v>
      </c>
    </row>
    <row r="1093" spans="49:49" ht="15" customHeight="1">
      <c r="AW1093" s="110">
        <v>812</v>
      </c>
    </row>
    <row r="1094" spans="49:49" ht="15" customHeight="1">
      <c r="AW1094" s="110">
        <v>813</v>
      </c>
    </row>
    <row r="1095" spans="49:49" ht="15" customHeight="1">
      <c r="AW1095" s="110">
        <v>814</v>
      </c>
    </row>
    <row r="1096" spans="49:49" ht="15" customHeight="1">
      <c r="AW1096" s="110">
        <v>815</v>
      </c>
    </row>
    <row r="1097" spans="49:49" ht="15" customHeight="1">
      <c r="AW1097" s="110">
        <v>816</v>
      </c>
    </row>
    <row r="1098" spans="49:49" ht="15" customHeight="1">
      <c r="AW1098" s="110">
        <v>817</v>
      </c>
    </row>
    <row r="1099" spans="49:49" ht="15" customHeight="1">
      <c r="AW1099" s="110">
        <v>818</v>
      </c>
    </row>
    <row r="1100" spans="49:49" ht="15" customHeight="1">
      <c r="AW1100" s="110">
        <v>819</v>
      </c>
    </row>
    <row r="1101" spans="49:49" ht="15" customHeight="1">
      <c r="AW1101" s="110">
        <v>820</v>
      </c>
    </row>
    <row r="1102" spans="49:49" ht="15" customHeight="1">
      <c r="AW1102" s="110">
        <v>821</v>
      </c>
    </row>
    <row r="1103" spans="49:49" ht="15" customHeight="1">
      <c r="AW1103" s="110">
        <v>822</v>
      </c>
    </row>
    <row r="1104" spans="49:49" ht="15" customHeight="1">
      <c r="AW1104" s="110">
        <v>823</v>
      </c>
    </row>
    <row r="1105" spans="49:49" ht="15" customHeight="1">
      <c r="AW1105" s="110">
        <v>824</v>
      </c>
    </row>
    <row r="1106" spans="49:49" ht="15" customHeight="1">
      <c r="AW1106" s="110">
        <v>825</v>
      </c>
    </row>
    <row r="1107" spans="49:49" ht="15" customHeight="1">
      <c r="AW1107" s="110">
        <v>826</v>
      </c>
    </row>
    <row r="1108" spans="49:49" ht="15" customHeight="1">
      <c r="AW1108" s="110">
        <v>827</v>
      </c>
    </row>
    <row r="1109" spans="49:49" ht="15" customHeight="1">
      <c r="AW1109" s="110">
        <v>828</v>
      </c>
    </row>
    <row r="1110" spans="49:49" ht="15" customHeight="1">
      <c r="AW1110" s="110">
        <v>829</v>
      </c>
    </row>
    <row r="1111" spans="49:49" ht="15" customHeight="1">
      <c r="AW1111" s="110">
        <v>830</v>
      </c>
    </row>
    <row r="1112" spans="49:49" ht="15" customHeight="1">
      <c r="AW1112" s="110">
        <v>831</v>
      </c>
    </row>
    <row r="1113" spans="49:49" ht="15" customHeight="1">
      <c r="AW1113" s="110">
        <v>832</v>
      </c>
    </row>
    <row r="1114" spans="49:49" ht="15" customHeight="1">
      <c r="AW1114" s="110">
        <v>833</v>
      </c>
    </row>
    <row r="1115" spans="49:49" ht="15" customHeight="1">
      <c r="AW1115" s="110">
        <v>834</v>
      </c>
    </row>
    <row r="1116" spans="49:49" ht="15" customHeight="1">
      <c r="AW1116" s="110">
        <v>835</v>
      </c>
    </row>
    <row r="1117" spans="49:49" ht="15" customHeight="1">
      <c r="AW1117" s="110">
        <v>836</v>
      </c>
    </row>
    <row r="1118" spans="49:49" ht="15" customHeight="1">
      <c r="AW1118" s="110">
        <v>837</v>
      </c>
    </row>
    <row r="1119" spans="49:49" ht="15" customHeight="1">
      <c r="AW1119" s="110">
        <v>838</v>
      </c>
    </row>
    <row r="1120" spans="49:49" ht="15" customHeight="1">
      <c r="AW1120" s="110">
        <v>839</v>
      </c>
    </row>
    <row r="1121" spans="49:49" ht="15" customHeight="1">
      <c r="AW1121" s="110">
        <v>840</v>
      </c>
    </row>
    <row r="1122" spans="49:49" ht="15" customHeight="1">
      <c r="AW1122" s="110">
        <v>841</v>
      </c>
    </row>
    <row r="1123" spans="49:49" ht="15" customHeight="1">
      <c r="AW1123" s="110">
        <v>842</v>
      </c>
    </row>
    <row r="1124" spans="49:49" ht="15" customHeight="1">
      <c r="AW1124" s="110">
        <v>843</v>
      </c>
    </row>
    <row r="1125" spans="49:49" ht="15" customHeight="1">
      <c r="AW1125" s="110">
        <v>844</v>
      </c>
    </row>
    <row r="1126" spans="49:49" ht="15" customHeight="1">
      <c r="AW1126" s="110">
        <v>845</v>
      </c>
    </row>
    <row r="1127" spans="49:49" ht="15" customHeight="1">
      <c r="AW1127" s="110">
        <v>846</v>
      </c>
    </row>
    <row r="1128" spans="49:49" ht="15" customHeight="1">
      <c r="AW1128" s="110">
        <v>847</v>
      </c>
    </row>
    <row r="1129" spans="49:49" ht="15" customHeight="1">
      <c r="AW1129" s="110">
        <v>848</v>
      </c>
    </row>
    <row r="1130" spans="49:49" ht="15" customHeight="1">
      <c r="AW1130" s="110">
        <v>849</v>
      </c>
    </row>
    <row r="1131" spans="49:49" ht="15" customHeight="1">
      <c r="AW1131" s="110">
        <v>850</v>
      </c>
    </row>
    <row r="1132" spans="49:49" ht="15" customHeight="1">
      <c r="AW1132" s="110">
        <v>851</v>
      </c>
    </row>
    <row r="1133" spans="49:49" ht="15" customHeight="1">
      <c r="AW1133" s="110">
        <v>852</v>
      </c>
    </row>
    <row r="1134" spans="49:49" ht="15" customHeight="1">
      <c r="AW1134" s="110">
        <v>853</v>
      </c>
    </row>
    <row r="1135" spans="49:49" ht="15" customHeight="1">
      <c r="AW1135" s="110">
        <v>854</v>
      </c>
    </row>
    <row r="1136" spans="49:49" ht="15" customHeight="1">
      <c r="AW1136" s="110">
        <v>855</v>
      </c>
    </row>
    <row r="1137" spans="49:49" ht="15" customHeight="1">
      <c r="AW1137" s="110">
        <v>856</v>
      </c>
    </row>
    <row r="1138" spans="49:49" ht="15" customHeight="1">
      <c r="AW1138" s="110">
        <v>857</v>
      </c>
    </row>
    <row r="1139" spans="49:49" ht="15" customHeight="1">
      <c r="AW1139" s="110">
        <v>858</v>
      </c>
    </row>
    <row r="1140" spans="49:49" ht="15" customHeight="1">
      <c r="AW1140" s="110">
        <v>859</v>
      </c>
    </row>
    <row r="1141" spans="49:49" ht="15" customHeight="1">
      <c r="AW1141" s="110">
        <v>860</v>
      </c>
    </row>
    <row r="1142" spans="49:49" ht="15" customHeight="1">
      <c r="AW1142" s="110">
        <v>861</v>
      </c>
    </row>
    <row r="1143" spans="49:49" ht="15" customHeight="1">
      <c r="AW1143" s="110">
        <v>862</v>
      </c>
    </row>
    <row r="1144" spans="49:49" ht="15" customHeight="1">
      <c r="AW1144" s="110">
        <v>863</v>
      </c>
    </row>
    <row r="1145" spans="49:49" ht="15" customHeight="1">
      <c r="AW1145" s="110">
        <v>864</v>
      </c>
    </row>
    <row r="1146" spans="49:49" ht="15" customHeight="1">
      <c r="AW1146" s="110">
        <v>865</v>
      </c>
    </row>
    <row r="1147" spans="49:49" ht="15" customHeight="1">
      <c r="AW1147" s="110">
        <v>866</v>
      </c>
    </row>
    <row r="1148" spans="49:49" ht="15" customHeight="1">
      <c r="AW1148" s="110">
        <v>867</v>
      </c>
    </row>
    <row r="1149" spans="49:49" ht="15" customHeight="1">
      <c r="AW1149" s="110">
        <v>868</v>
      </c>
    </row>
    <row r="1150" spans="49:49" ht="15" customHeight="1">
      <c r="AW1150" s="110">
        <v>869</v>
      </c>
    </row>
    <row r="1151" spans="49:49" ht="15" customHeight="1">
      <c r="AW1151" s="110">
        <v>870</v>
      </c>
    </row>
    <row r="1152" spans="49:49" ht="15" customHeight="1">
      <c r="AW1152" s="110">
        <v>871</v>
      </c>
    </row>
    <row r="1153" spans="49:49" ht="15" customHeight="1">
      <c r="AW1153" s="110">
        <v>872</v>
      </c>
    </row>
    <row r="1154" spans="49:49" ht="15" customHeight="1">
      <c r="AW1154" s="110">
        <v>873</v>
      </c>
    </row>
    <row r="1155" spans="49:49" ht="15" customHeight="1">
      <c r="AW1155" s="110">
        <v>874</v>
      </c>
    </row>
    <row r="1156" spans="49:49" ht="15" customHeight="1">
      <c r="AW1156" s="110">
        <v>875</v>
      </c>
    </row>
    <row r="1157" spans="49:49" ht="15" customHeight="1">
      <c r="AW1157" s="110">
        <v>876</v>
      </c>
    </row>
    <row r="1158" spans="49:49" ht="15" customHeight="1">
      <c r="AW1158" s="110">
        <v>877</v>
      </c>
    </row>
    <row r="1159" spans="49:49" ht="15" customHeight="1">
      <c r="AW1159" s="110">
        <v>878</v>
      </c>
    </row>
    <row r="1160" spans="49:49" ht="15" customHeight="1">
      <c r="AW1160" s="110">
        <v>879</v>
      </c>
    </row>
    <row r="1161" spans="49:49" ht="15" customHeight="1">
      <c r="AW1161" s="110">
        <v>880</v>
      </c>
    </row>
    <row r="1162" spans="49:49" ht="15" customHeight="1">
      <c r="AW1162" s="110">
        <v>881</v>
      </c>
    </row>
    <row r="1163" spans="49:49" ht="15" customHeight="1">
      <c r="AW1163" s="110">
        <v>882</v>
      </c>
    </row>
    <row r="1164" spans="49:49" ht="15" customHeight="1">
      <c r="AW1164" s="110">
        <v>883</v>
      </c>
    </row>
    <row r="1165" spans="49:49" ht="15" customHeight="1">
      <c r="AW1165" s="110">
        <v>884</v>
      </c>
    </row>
    <row r="1166" spans="49:49" ht="15" customHeight="1">
      <c r="AW1166" s="110">
        <v>885</v>
      </c>
    </row>
    <row r="1167" spans="49:49" ht="15" customHeight="1">
      <c r="AW1167" s="110">
        <v>886</v>
      </c>
    </row>
    <row r="1168" spans="49:49" ht="15" customHeight="1">
      <c r="AW1168" s="110">
        <v>887</v>
      </c>
    </row>
    <row r="1169" spans="49:49" ht="15" customHeight="1">
      <c r="AW1169" s="110">
        <v>888</v>
      </c>
    </row>
    <row r="1170" spans="49:49" ht="15" customHeight="1">
      <c r="AW1170" s="110">
        <v>889</v>
      </c>
    </row>
    <row r="1171" spans="49:49" ht="15" customHeight="1">
      <c r="AW1171" s="110">
        <v>890</v>
      </c>
    </row>
    <row r="1172" spans="49:49" ht="15" customHeight="1">
      <c r="AW1172" s="110">
        <v>891</v>
      </c>
    </row>
    <row r="1173" spans="49:49" ht="15" customHeight="1">
      <c r="AW1173" s="110">
        <v>892</v>
      </c>
    </row>
    <row r="1174" spans="49:49" ht="15" customHeight="1">
      <c r="AW1174" s="110">
        <v>893</v>
      </c>
    </row>
    <row r="1175" spans="49:49" ht="15" customHeight="1">
      <c r="AW1175" s="110">
        <v>894</v>
      </c>
    </row>
    <row r="1176" spans="49:49" ht="15" customHeight="1">
      <c r="AW1176" s="110">
        <v>895</v>
      </c>
    </row>
    <row r="1177" spans="49:49" ht="15" customHeight="1">
      <c r="AW1177" s="110">
        <v>896</v>
      </c>
    </row>
    <row r="1178" spans="49:49" ht="15" customHeight="1">
      <c r="AW1178" s="110">
        <v>897</v>
      </c>
    </row>
    <row r="1179" spans="49:49" ht="15" customHeight="1">
      <c r="AW1179" s="110">
        <v>898</v>
      </c>
    </row>
    <row r="1180" spans="49:49" ht="15" customHeight="1">
      <c r="AW1180" s="110">
        <v>899</v>
      </c>
    </row>
    <row r="1181" spans="49:49" ht="15" customHeight="1">
      <c r="AW1181" s="110">
        <v>900</v>
      </c>
    </row>
    <row r="1182" spans="49:49" ht="15" customHeight="1">
      <c r="AW1182" s="110">
        <v>901</v>
      </c>
    </row>
    <row r="1183" spans="49:49" ht="15" customHeight="1">
      <c r="AW1183" s="110">
        <v>902</v>
      </c>
    </row>
    <row r="1184" spans="49:49" ht="15" customHeight="1">
      <c r="AW1184" s="110">
        <v>903</v>
      </c>
    </row>
    <row r="1185" spans="49:49" ht="15" customHeight="1">
      <c r="AW1185" s="110">
        <v>904</v>
      </c>
    </row>
    <row r="1186" spans="49:49" ht="15" customHeight="1">
      <c r="AW1186" s="110">
        <v>905</v>
      </c>
    </row>
    <row r="1187" spans="49:49" ht="15" customHeight="1">
      <c r="AW1187" s="110">
        <v>906</v>
      </c>
    </row>
    <row r="1188" spans="49:49" ht="15" customHeight="1">
      <c r="AW1188" s="110">
        <v>907</v>
      </c>
    </row>
    <row r="1189" spans="49:49" ht="15" customHeight="1">
      <c r="AW1189" s="110">
        <v>908</v>
      </c>
    </row>
    <row r="1190" spans="49:49" ht="15" customHeight="1">
      <c r="AW1190" s="110">
        <v>909</v>
      </c>
    </row>
    <row r="1191" spans="49:49" ht="15" customHeight="1">
      <c r="AW1191" s="110">
        <v>910</v>
      </c>
    </row>
    <row r="1192" spans="49:49" ht="15" customHeight="1">
      <c r="AW1192" s="110">
        <v>911</v>
      </c>
    </row>
    <row r="1193" spans="49:49" ht="15" customHeight="1">
      <c r="AW1193" s="110">
        <v>912</v>
      </c>
    </row>
    <row r="1194" spans="49:49" ht="15" customHeight="1">
      <c r="AW1194" s="110">
        <v>913</v>
      </c>
    </row>
    <row r="1195" spans="49:49" ht="15" customHeight="1">
      <c r="AW1195" s="110">
        <v>914</v>
      </c>
    </row>
    <row r="1196" spans="49:49" ht="15" customHeight="1">
      <c r="AW1196" s="110">
        <v>915</v>
      </c>
    </row>
    <row r="1197" spans="49:49" ht="15" customHeight="1">
      <c r="AW1197" s="110">
        <v>916</v>
      </c>
    </row>
    <row r="1198" spans="49:49" ht="15" customHeight="1">
      <c r="AW1198" s="110">
        <v>917</v>
      </c>
    </row>
    <row r="1199" spans="49:49" ht="15" customHeight="1">
      <c r="AW1199" s="110">
        <v>918</v>
      </c>
    </row>
    <row r="1200" spans="49:49" ht="15" customHeight="1">
      <c r="AW1200" s="110">
        <v>919</v>
      </c>
    </row>
    <row r="1201" spans="49:49" ht="15" customHeight="1">
      <c r="AW1201" s="110">
        <v>920</v>
      </c>
    </row>
    <row r="1202" spans="49:49" ht="15" customHeight="1">
      <c r="AW1202" s="110">
        <v>921</v>
      </c>
    </row>
    <row r="1203" spans="49:49" ht="15" customHeight="1">
      <c r="AW1203" s="110">
        <v>922</v>
      </c>
    </row>
    <row r="1204" spans="49:49" ht="15" customHeight="1">
      <c r="AW1204" s="110">
        <v>923</v>
      </c>
    </row>
    <row r="1205" spans="49:49" ht="15" customHeight="1">
      <c r="AW1205" s="110">
        <v>924</v>
      </c>
    </row>
    <row r="1206" spans="49:49" ht="15" customHeight="1">
      <c r="AW1206" s="110">
        <v>925</v>
      </c>
    </row>
    <row r="1207" spans="49:49" ht="15" customHeight="1">
      <c r="AW1207" s="110">
        <v>926</v>
      </c>
    </row>
    <row r="1208" spans="49:49" ht="15" customHeight="1">
      <c r="AW1208" s="110">
        <v>927</v>
      </c>
    </row>
    <row r="1209" spans="49:49" ht="15" customHeight="1">
      <c r="AW1209" s="110">
        <v>928</v>
      </c>
    </row>
    <row r="1210" spans="49:49" ht="15" customHeight="1">
      <c r="AW1210" s="110">
        <v>929</v>
      </c>
    </row>
    <row r="1211" spans="49:49" ht="15" customHeight="1">
      <c r="AW1211" s="110">
        <v>930</v>
      </c>
    </row>
    <row r="1212" spans="49:49" ht="15" customHeight="1">
      <c r="AW1212" s="110">
        <v>931</v>
      </c>
    </row>
    <row r="1213" spans="49:49" ht="15" customHeight="1">
      <c r="AW1213" s="110">
        <v>932</v>
      </c>
    </row>
    <row r="1214" spans="49:49" ht="15" customHeight="1">
      <c r="AW1214" s="110">
        <v>933</v>
      </c>
    </row>
    <row r="1215" spans="49:49" ht="15" customHeight="1">
      <c r="AW1215" s="110">
        <v>934</v>
      </c>
    </row>
    <row r="1216" spans="49:49" ht="15" customHeight="1">
      <c r="AW1216" s="110">
        <v>935</v>
      </c>
    </row>
    <row r="1217" spans="49:49" ht="15" customHeight="1">
      <c r="AW1217" s="110">
        <v>936</v>
      </c>
    </row>
    <row r="1218" spans="49:49" ht="15" customHeight="1">
      <c r="AW1218" s="110">
        <v>937</v>
      </c>
    </row>
    <row r="1219" spans="49:49" ht="15" customHeight="1">
      <c r="AW1219" s="110">
        <v>938</v>
      </c>
    </row>
    <row r="1220" spans="49:49" ht="15" customHeight="1">
      <c r="AW1220" s="110">
        <v>939</v>
      </c>
    </row>
    <row r="1221" spans="49:49" ht="15" customHeight="1">
      <c r="AW1221" s="110">
        <v>940</v>
      </c>
    </row>
    <row r="1222" spans="49:49" ht="15" customHeight="1">
      <c r="AW1222" s="110">
        <v>941</v>
      </c>
    </row>
    <row r="1223" spans="49:49" ht="15" customHeight="1">
      <c r="AW1223" s="110">
        <v>942</v>
      </c>
    </row>
    <row r="1224" spans="49:49" ht="15" customHeight="1">
      <c r="AW1224" s="110">
        <v>943</v>
      </c>
    </row>
    <row r="1225" spans="49:49" ht="15" customHeight="1">
      <c r="AW1225" s="110">
        <v>944</v>
      </c>
    </row>
    <row r="1226" spans="49:49" ht="15" customHeight="1">
      <c r="AW1226" s="110">
        <v>945</v>
      </c>
    </row>
    <row r="1227" spans="49:49" ht="15" customHeight="1">
      <c r="AW1227" s="110">
        <v>946</v>
      </c>
    </row>
    <row r="1228" spans="49:49" ht="15" customHeight="1">
      <c r="AW1228" s="110">
        <v>947</v>
      </c>
    </row>
    <row r="1229" spans="49:49" ht="15" customHeight="1">
      <c r="AW1229" s="110">
        <v>948</v>
      </c>
    </row>
    <row r="1230" spans="49:49" ht="15" customHeight="1">
      <c r="AW1230" s="110">
        <v>949</v>
      </c>
    </row>
    <row r="1231" spans="49:49" ht="15" customHeight="1">
      <c r="AW1231" s="110">
        <v>950</v>
      </c>
    </row>
    <row r="1232" spans="49:49" ht="15" customHeight="1">
      <c r="AW1232" s="110">
        <v>951</v>
      </c>
    </row>
    <row r="1233" spans="49:49" ht="15" customHeight="1">
      <c r="AW1233" s="110">
        <v>952</v>
      </c>
    </row>
    <row r="1234" spans="49:49" ht="15" customHeight="1">
      <c r="AW1234" s="110">
        <v>953</v>
      </c>
    </row>
    <row r="1235" spans="49:49" ht="15" customHeight="1">
      <c r="AW1235" s="110">
        <v>954</v>
      </c>
    </row>
    <row r="1236" spans="49:49" ht="15" customHeight="1">
      <c r="AW1236" s="110">
        <v>955</v>
      </c>
    </row>
    <row r="1237" spans="49:49" ht="15" customHeight="1">
      <c r="AW1237" s="110">
        <v>956</v>
      </c>
    </row>
    <row r="1238" spans="49:49" ht="15" customHeight="1">
      <c r="AW1238" s="110">
        <v>957</v>
      </c>
    </row>
    <row r="1239" spans="49:49" ht="15" customHeight="1">
      <c r="AW1239" s="110">
        <v>958</v>
      </c>
    </row>
    <row r="1240" spans="49:49" ht="15" customHeight="1">
      <c r="AW1240" s="110">
        <v>959</v>
      </c>
    </row>
    <row r="1241" spans="49:49" ht="15" customHeight="1">
      <c r="AW1241" s="110">
        <v>960</v>
      </c>
    </row>
    <row r="1242" spans="49:49" ht="15" customHeight="1">
      <c r="AW1242" s="110">
        <v>961</v>
      </c>
    </row>
    <row r="1243" spans="49:49" ht="15" customHeight="1">
      <c r="AW1243" s="110">
        <v>962</v>
      </c>
    </row>
    <row r="1244" spans="49:49" ht="15" customHeight="1">
      <c r="AW1244" s="110">
        <v>963</v>
      </c>
    </row>
    <row r="1245" spans="49:49" ht="15" customHeight="1">
      <c r="AW1245" s="110">
        <v>964</v>
      </c>
    </row>
    <row r="1246" spans="49:49" ht="15" customHeight="1">
      <c r="AW1246" s="110">
        <v>965</v>
      </c>
    </row>
    <row r="1247" spans="49:49" ht="15" customHeight="1">
      <c r="AW1247" s="110">
        <v>966</v>
      </c>
    </row>
    <row r="1248" spans="49:49" ht="15" customHeight="1">
      <c r="AW1248" s="110">
        <v>967</v>
      </c>
    </row>
    <row r="1249" spans="49:49" ht="15" customHeight="1">
      <c r="AW1249" s="110">
        <v>968</v>
      </c>
    </row>
    <row r="1250" spans="49:49" ht="15" customHeight="1">
      <c r="AW1250" s="110">
        <v>969</v>
      </c>
    </row>
    <row r="1251" spans="49:49" ht="15" customHeight="1">
      <c r="AW1251" s="110">
        <v>970</v>
      </c>
    </row>
    <row r="1252" spans="49:49" ht="15" customHeight="1">
      <c r="AW1252" s="110">
        <v>971</v>
      </c>
    </row>
    <row r="1253" spans="49:49" ht="15" customHeight="1">
      <c r="AW1253" s="110">
        <v>972</v>
      </c>
    </row>
    <row r="1254" spans="49:49" ht="15" customHeight="1">
      <c r="AW1254" s="110">
        <v>973</v>
      </c>
    </row>
    <row r="1255" spans="49:49" ht="15" customHeight="1">
      <c r="AW1255" s="110">
        <v>974</v>
      </c>
    </row>
    <row r="1256" spans="49:49" ht="15" customHeight="1">
      <c r="AW1256" s="110">
        <v>975</v>
      </c>
    </row>
    <row r="1257" spans="49:49" ht="15" customHeight="1">
      <c r="AW1257" s="110">
        <v>976</v>
      </c>
    </row>
    <row r="1258" spans="49:49" ht="15" customHeight="1">
      <c r="AW1258" s="110">
        <v>977</v>
      </c>
    </row>
    <row r="1259" spans="49:49" ht="15" customHeight="1">
      <c r="AW1259" s="110">
        <v>978</v>
      </c>
    </row>
    <row r="1260" spans="49:49" ht="15" customHeight="1">
      <c r="AW1260" s="110">
        <v>979</v>
      </c>
    </row>
    <row r="1261" spans="49:49" ht="15" customHeight="1">
      <c r="AW1261" s="110">
        <v>980</v>
      </c>
    </row>
    <row r="1262" spans="49:49" ht="15" customHeight="1">
      <c r="AW1262" s="110">
        <v>981</v>
      </c>
    </row>
    <row r="1263" spans="49:49" ht="15" customHeight="1">
      <c r="AW1263" s="110">
        <v>982</v>
      </c>
    </row>
    <row r="1264" spans="49:49" ht="15" customHeight="1">
      <c r="AW1264" s="110">
        <v>983</v>
      </c>
    </row>
    <row r="1265" spans="49:49" ht="15" customHeight="1">
      <c r="AW1265" s="110">
        <v>984</v>
      </c>
    </row>
    <row r="1266" spans="49:49" ht="15" customHeight="1">
      <c r="AW1266" s="110">
        <v>985</v>
      </c>
    </row>
    <row r="1267" spans="49:49" ht="15" customHeight="1">
      <c r="AW1267" s="110">
        <v>986</v>
      </c>
    </row>
    <row r="1268" spans="49:49" ht="15" customHeight="1">
      <c r="AW1268" s="110">
        <v>987</v>
      </c>
    </row>
    <row r="1269" spans="49:49" ht="15" customHeight="1">
      <c r="AW1269" s="110">
        <v>988</v>
      </c>
    </row>
    <row r="1270" spans="49:49" ht="15" customHeight="1">
      <c r="AW1270" s="110">
        <v>989</v>
      </c>
    </row>
    <row r="1271" spans="49:49" ht="15" customHeight="1">
      <c r="AW1271" s="110">
        <v>990</v>
      </c>
    </row>
    <row r="1272" spans="49:49" ht="15" customHeight="1">
      <c r="AW1272" s="110">
        <v>991</v>
      </c>
    </row>
    <row r="1273" spans="49:49" ht="15" customHeight="1">
      <c r="AW1273" s="110">
        <v>992</v>
      </c>
    </row>
    <row r="1274" spans="49:49" ht="15" customHeight="1">
      <c r="AW1274" s="110">
        <v>993</v>
      </c>
    </row>
    <row r="1275" spans="49:49" ht="15" customHeight="1">
      <c r="AW1275" s="110">
        <v>994</v>
      </c>
    </row>
    <row r="1276" spans="49:49" ht="15" customHeight="1">
      <c r="AW1276" s="110">
        <v>995</v>
      </c>
    </row>
    <row r="1277" spans="49:49" ht="15" customHeight="1">
      <c r="AW1277" s="110">
        <v>996</v>
      </c>
    </row>
    <row r="1278" spans="49:49" ht="15" customHeight="1">
      <c r="AW1278" s="110">
        <v>997</v>
      </c>
    </row>
    <row r="1279" spans="49:49" ht="15" customHeight="1">
      <c r="AW1279" s="110">
        <v>998</v>
      </c>
    </row>
    <row r="1280" spans="49:49" ht="15" customHeight="1">
      <c r="AW1280" s="110">
        <v>999</v>
      </c>
    </row>
    <row r="1281" spans="49:49" ht="15" customHeight="1">
      <c r="AW1281" s="110">
        <v>1000</v>
      </c>
    </row>
    <row r="1282" spans="49:49" ht="15" customHeight="1">
      <c r="AW1282" s="110">
        <v>1001</v>
      </c>
    </row>
    <row r="1283" spans="49:49" ht="15" customHeight="1">
      <c r="AW1283" s="110">
        <v>1002</v>
      </c>
    </row>
    <row r="1284" spans="49:49" ht="15" customHeight="1">
      <c r="AW1284" s="110">
        <v>1003</v>
      </c>
    </row>
    <row r="1285" spans="49:49" ht="15" customHeight="1">
      <c r="AW1285" s="110">
        <v>1004</v>
      </c>
    </row>
    <row r="1286" spans="49:49" ht="15" customHeight="1">
      <c r="AW1286" s="110">
        <v>1005</v>
      </c>
    </row>
    <row r="1287" spans="49:49" ht="15" customHeight="1">
      <c r="AW1287" s="110">
        <v>1006</v>
      </c>
    </row>
    <row r="1288" spans="49:49" ht="15" customHeight="1">
      <c r="AW1288" s="110">
        <v>1007</v>
      </c>
    </row>
    <row r="1289" spans="49:49" ht="15" customHeight="1">
      <c r="AW1289" s="110">
        <v>1008</v>
      </c>
    </row>
    <row r="1290" spans="49:49" ht="15" customHeight="1">
      <c r="AW1290" s="110">
        <v>1009</v>
      </c>
    </row>
    <row r="1291" spans="49:49" ht="15" customHeight="1">
      <c r="AW1291" s="110">
        <v>1010</v>
      </c>
    </row>
    <row r="1292" spans="49:49" ht="15" customHeight="1">
      <c r="AW1292" s="110">
        <v>1011</v>
      </c>
    </row>
    <row r="1293" spans="49:49" ht="15" customHeight="1">
      <c r="AW1293" s="110">
        <v>1012</v>
      </c>
    </row>
    <row r="1294" spans="49:49" ht="15" customHeight="1">
      <c r="AW1294" s="110">
        <v>1013</v>
      </c>
    </row>
    <row r="1295" spans="49:49" ht="15" customHeight="1">
      <c r="AW1295" s="110">
        <v>1014</v>
      </c>
    </row>
    <row r="1296" spans="49:49" ht="15" customHeight="1">
      <c r="AW1296" s="110">
        <v>1015</v>
      </c>
    </row>
    <row r="1297" spans="49:49" ht="15" customHeight="1">
      <c r="AW1297" s="110">
        <v>1016</v>
      </c>
    </row>
    <row r="1298" spans="49:49" ht="15" customHeight="1">
      <c r="AW1298" s="110">
        <v>1017</v>
      </c>
    </row>
    <row r="1299" spans="49:49" ht="15" customHeight="1">
      <c r="AW1299" s="110">
        <v>1018</v>
      </c>
    </row>
    <row r="1300" spans="49:49" ht="15" customHeight="1">
      <c r="AW1300" s="110">
        <v>1019</v>
      </c>
    </row>
    <row r="1301" spans="49:49" ht="15" customHeight="1">
      <c r="AW1301" s="110">
        <v>1020</v>
      </c>
    </row>
    <row r="1302" spans="49:49" ht="15" customHeight="1">
      <c r="AW1302" s="110">
        <v>1021</v>
      </c>
    </row>
    <row r="1303" spans="49:49" ht="15" customHeight="1">
      <c r="AW1303" s="110">
        <v>1022</v>
      </c>
    </row>
    <row r="1304" spans="49:49" ht="15" customHeight="1">
      <c r="AW1304" s="110">
        <v>1023</v>
      </c>
    </row>
    <row r="1305" spans="49:49" ht="15" customHeight="1">
      <c r="AW1305" s="110">
        <v>1024</v>
      </c>
    </row>
    <row r="1306" spans="49:49" ht="15" customHeight="1">
      <c r="AW1306" s="110">
        <v>1025</v>
      </c>
    </row>
    <row r="1307" spans="49:49" ht="15" customHeight="1">
      <c r="AW1307" s="110">
        <v>1026</v>
      </c>
    </row>
    <row r="1308" spans="49:49" ht="15" customHeight="1">
      <c r="AW1308" s="110">
        <v>1027</v>
      </c>
    </row>
    <row r="1309" spans="49:49" ht="15" customHeight="1">
      <c r="AW1309" s="110">
        <v>1028</v>
      </c>
    </row>
    <row r="1310" spans="49:49" ht="15" customHeight="1">
      <c r="AW1310" s="110">
        <v>1029</v>
      </c>
    </row>
    <row r="1311" spans="49:49" ht="15" customHeight="1">
      <c r="AW1311" s="110">
        <v>1030</v>
      </c>
    </row>
    <row r="1312" spans="49:49" ht="15" customHeight="1">
      <c r="AW1312" s="110">
        <v>1031</v>
      </c>
    </row>
    <row r="1313" spans="49:49" ht="15" customHeight="1">
      <c r="AW1313" s="110">
        <v>1032</v>
      </c>
    </row>
    <row r="1314" spans="49:49" ht="15" customHeight="1">
      <c r="AW1314" s="110">
        <v>1033</v>
      </c>
    </row>
    <row r="1315" spans="49:49" ht="15" customHeight="1">
      <c r="AW1315" s="110">
        <v>1034</v>
      </c>
    </row>
    <row r="1316" spans="49:49" ht="15" customHeight="1">
      <c r="AW1316" s="110">
        <v>1035</v>
      </c>
    </row>
    <row r="1317" spans="49:49" ht="15" customHeight="1">
      <c r="AW1317" s="110">
        <v>1036</v>
      </c>
    </row>
    <row r="1318" spans="49:49" ht="15" customHeight="1">
      <c r="AW1318" s="110">
        <v>1037</v>
      </c>
    </row>
    <row r="1319" spans="49:49" ht="15" customHeight="1">
      <c r="AW1319" s="110">
        <v>1038</v>
      </c>
    </row>
    <row r="1320" spans="49:49" ht="15" customHeight="1">
      <c r="AW1320" s="110">
        <v>1039</v>
      </c>
    </row>
    <row r="1321" spans="49:49" ht="15" customHeight="1">
      <c r="AW1321" s="110">
        <v>1040</v>
      </c>
    </row>
    <row r="1322" spans="49:49" ht="15" customHeight="1">
      <c r="AW1322" s="110">
        <v>1041</v>
      </c>
    </row>
    <row r="1323" spans="49:49" ht="15" customHeight="1">
      <c r="AW1323" s="110">
        <v>1042</v>
      </c>
    </row>
    <row r="1324" spans="49:49" ht="15" customHeight="1">
      <c r="AW1324" s="110">
        <v>1043</v>
      </c>
    </row>
    <row r="1325" spans="49:49" ht="15" customHeight="1">
      <c r="AW1325" s="110">
        <v>1044</v>
      </c>
    </row>
    <row r="1326" spans="49:49" ht="15" customHeight="1">
      <c r="AW1326" s="110">
        <v>1045</v>
      </c>
    </row>
    <row r="1327" spans="49:49" ht="15" customHeight="1">
      <c r="AW1327" s="110">
        <v>1046</v>
      </c>
    </row>
    <row r="1328" spans="49:49" ht="15" customHeight="1">
      <c r="AW1328" s="110">
        <v>1047</v>
      </c>
    </row>
    <row r="1329" spans="49:49" ht="15" customHeight="1">
      <c r="AW1329" s="110">
        <v>1048</v>
      </c>
    </row>
    <row r="1330" spans="49:49" ht="15" customHeight="1">
      <c r="AW1330" s="110">
        <v>1049</v>
      </c>
    </row>
    <row r="1331" spans="49:49" ht="15" customHeight="1">
      <c r="AW1331" s="110">
        <v>1050</v>
      </c>
    </row>
    <row r="1332" spans="49:49" ht="15" customHeight="1">
      <c r="AW1332" s="110">
        <v>1051</v>
      </c>
    </row>
    <row r="1333" spans="49:49" ht="15" customHeight="1">
      <c r="AW1333" s="110">
        <v>1052</v>
      </c>
    </row>
    <row r="1334" spans="49:49" ht="15" customHeight="1">
      <c r="AW1334" s="110">
        <v>1053</v>
      </c>
    </row>
    <row r="1335" spans="49:49" ht="15" customHeight="1">
      <c r="AW1335" s="110">
        <v>1054</v>
      </c>
    </row>
    <row r="1336" spans="49:49" ht="15" customHeight="1">
      <c r="AW1336" s="110">
        <v>1055</v>
      </c>
    </row>
    <row r="1337" spans="49:49" ht="15" customHeight="1">
      <c r="AW1337" s="110">
        <v>1056</v>
      </c>
    </row>
    <row r="1338" spans="49:49" ht="15" customHeight="1">
      <c r="AW1338" s="110">
        <v>1057</v>
      </c>
    </row>
    <row r="1339" spans="49:49" ht="15" customHeight="1">
      <c r="AW1339" s="110">
        <v>1058</v>
      </c>
    </row>
    <row r="1340" spans="49:49" ht="15" customHeight="1">
      <c r="AW1340" s="110">
        <v>1059</v>
      </c>
    </row>
    <row r="1341" spans="49:49" ht="15" customHeight="1">
      <c r="AW1341" s="110">
        <v>1060</v>
      </c>
    </row>
    <row r="1342" spans="49:49" ht="15" customHeight="1">
      <c r="AW1342" s="110">
        <v>1061</v>
      </c>
    </row>
    <row r="1343" spans="49:49" ht="15" customHeight="1">
      <c r="AW1343" s="110">
        <v>1062</v>
      </c>
    </row>
    <row r="1344" spans="49:49" ht="15" customHeight="1">
      <c r="AW1344" s="110">
        <v>1063</v>
      </c>
    </row>
    <row r="1345" spans="49:49" ht="15" customHeight="1">
      <c r="AW1345" s="110">
        <v>1064</v>
      </c>
    </row>
    <row r="1346" spans="49:49" ht="15" customHeight="1">
      <c r="AW1346" s="110">
        <v>1065</v>
      </c>
    </row>
    <row r="1347" spans="49:49" ht="15" customHeight="1">
      <c r="AW1347" s="110">
        <v>1066</v>
      </c>
    </row>
    <row r="1348" spans="49:49" ht="15" customHeight="1">
      <c r="AW1348" s="110">
        <v>1067</v>
      </c>
    </row>
    <row r="1349" spans="49:49" ht="15" customHeight="1">
      <c r="AW1349" s="110">
        <v>1068</v>
      </c>
    </row>
    <row r="1350" spans="49:49" ht="15" customHeight="1">
      <c r="AW1350" s="110">
        <v>1069</v>
      </c>
    </row>
    <row r="1351" spans="49:49" ht="15" customHeight="1">
      <c r="AW1351" s="110">
        <v>1070</v>
      </c>
    </row>
    <row r="1352" spans="49:49" ht="15" customHeight="1">
      <c r="AW1352" s="110">
        <v>1071</v>
      </c>
    </row>
    <row r="1353" spans="49:49" ht="15" customHeight="1">
      <c r="AW1353" s="110">
        <v>1072</v>
      </c>
    </row>
    <row r="1354" spans="49:49" ht="15" customHeight="1">
      <c r="AW1354" s="110">
        <v>1073</v>
      </c>
    </row>
    <row r="1355" spans="49:49" ht="15" customHeight="1">
      <c r="AW1355" s="110">
        <v>1074</v>
      </c>
    </row>
    <row r="1356" spans="49:49" ht="15" customHeight="1">
      <c r="AW1356" s="110">
        <v>1075</v>
      </c>
    </row>
    <row r="1357" spans="49:49" ht="15" customHeight="1">
      <c r="AW1357" s="110">
        <v>1076</v>
      </c>
    </row>
    <row r="1358" spans="49:49" ht="15" customHeight="1">
      <c r="AW1358" s="110">
        <v>1077</v>
      </c>
    </row>
    <row r="1359" spans="49:49" ht="15" customHeight="1">
      <c r="AW1359" s="110">
        <v>1078</v>
      </c>
    </row>
    <row r="1360" spans="49:49" ht="15" customHeight="1">
      <c r="AW1360" s="110">
        <v>1079</v>
      </c>
    </row>
    <row r="1361" spans="49:49" ht="15" customHeight="1">
      <c r="AW1361" s="110">
        <v>1080</v>
      </c>
    </row>
    <row r="1362" spans="49:49" ht="15" customHeight="1">
      <c r="AW1362" s="110">
        <v>1081</v>
      </c>
    </row>
    <row r="1363" spans="49:49" ht="15" customHeight="1">
      <c r="AW1363" s="110">
        <v>1082</v>
      </c>
    </row>
    <row r="1364" spans="49:49" ht="15" customHeight="1">
      <c r="AW1364" s="110">
        <v>1083</v>
      </c>
    </row>
    <row r="1365" spans="49:49" ht="15" customHeight="1">
      <c r="AW1365" s="110">
        <v>1084</v>
      </c>
    </row>
    <row r="1366" spans="49:49" ht="15" customHeight="1">
      <c r="AW1366" s="110">
        <v>1085</v>
      </c>
    </row>
    <row r="1367" spans="49:49" ht="15" customHeight="1">
      <c r="AW1367" s="110">
        <v>1086</v>
      </c>
    </row>
    <row r="1368" spans="49:49" ht="15" customHeight="1">
      <c r="AW1368" s="110">
        <v>1087</v>
      </c>
    </row>
    <row r="1369" spans="49:49" ht="15" customHeight="1">
      <c r="AW1369" s="110">
        <v>1088</v>
      </c>
    </row>
    <row r="1370" spans="49:49" ht="15" customHeight="1">
      <c r="AW1370" s="110">
        <v>1089</v>
      </c>
    </row>
    <row r="1371" spans="49:49" ht="15" customHeight="1">
      <c r="AW1371" s="110">
        <v>1090</v>
      </c>
    </row>
    <row r="1372" spans="49:49" ht="15" customHeight="1">
      <c r="AW1372" s="110">
        <v>1091</v>
      </c>
    </row>
    <row r="1373" spans="49:49" ht="15" customHeight="1">
      <c r="AW1373" s="110">
        <v>1092</v>
      </c>
    </row>
    <row r="1374" spans="49:49" ht="15" customHeight="1">
      <c r="AW1374" s="110">
        <v>1093</v>
      </c>
    </row>
    <row r="1375" spans="49:49" ht="15" customHeight="1">
      <c r="AW1375" s="110">
        <v>1094</v>
      </c>
    </row>
    <row r="1376" spans="49:49" ht="15" customHeight="1">
      <c r="AW1376" s="110">
        <v>1095</v>
      </c>
    </row>
    <row r="1377" spans="49:49" ht="15" customHeight="1">
      <c r="AW1377" s="110">
        <v>1096</v>
      </c>
    </row>
    <row r="1378" spans="49:49" ht="15" customHeight="1">
      <c r="AW1378" s="110">
        <v>1097</v>
      </c>
    </row>
    <row r="1379" spans="49:49" ht="15" customHeight="1">
      <c r="AW1379" s="110">
        <v>1098</v>
      </c>
    </row>
    <row r="1380" spans="49:49" ht="15" customHeight="1">
      <c r="AW1380" s="110">
        <v>1099</v>
      </c>
    </row>
    <row r="1381" spans="49:49" ht="15" customHeight="1">
      <c r="AW1381" s="110">
        <v>1100</v>
      </c>
    </row>
    <row r="1382" spans="49:49" ht="15" customHeight="1">
      <c r="AW1382" s="110">
        <v>1101</v>
      </c>
    </row>
    <row r="1383" spans="49:49" ht="15" customHeight="1">
      <c r="AW1383" s="110">
        <v>1102</v>
      </c>
    </row>
    <row r="1384" spans="49:49" ht="15" customHeight="1">
      <c r="AW1384" s="110">
        <v>1103</v>
      </c>
    </row>
    <row r="1385" spans="49:49" ht="15" customHeight="1">
      <c r="AW1385" s="110">
        <v>1104</v>
      </c>
    </row>
    <row r="1386" spans="49:49" ht="15" customHeight="1">
      <c r="AW1386" s="110">
        <v>1105</v>
      </c>
    </row>
    <row r="1387" spans="49:49" ht="15" customHeight="1">
      <c r="AW1387" s="110">
        <v>1106</v>
      </c>
    </row>
    <row r="1388" spans="49:49" ht="15" customHeight="1">
      <c r="AW1388" s="110">
        <v>1107</v>
      </c>
    </row>
    <row r="1389" spans="49:49" ht="15" customHeight="1">
      <c r="AW1389" s="110">
        <v>1108</v>
      </c>
    </row>
    <row r="1390" spans="49:49" ht="15" customHeight="1">
      <c r="AW1390" s="110">
        <v>1109</v>
      </c>
    </row>
    <row r="1391" spans="49:49" ht="15" customHeight="1">
      <c r="AW1391" s="110">
        <v>1110</v>
      </c>
    </row>
    <row r="1392" spans="49:49" ht="15" customHeight="1">
      <c r="AW1392" s="110">
        <v>1111</v>
      </c>
    </row>
    <row r="1393" spans="49:49" ht="15" customHeight="1">
      <c r="AW1393" s="110">
        <v>1112</v>
      </c>
    </row>
    <row r="1394" spans="49:49" ht="15" customHeight="1">
      <c r="AW1394" s="110">
        <v>1113</v>
      </c>
    </row>
    <row r="1395" spans="49:49" ht="15" customHeight="1">
      <c r="AW1395" s="110">
        <v>1114</v>
      </c>
    </row>
    <row r="1396" spans="49:49" ht="15" customHeight="1">
      <c r="AW1396" s="110">
        <v>1115</v>
      </c>
    </row>
    <row r="1397" spans="49:49" ht="15" customHeight="1">
      <c r="AW1397" s="110">
        <v>1116</v>
      </c>
    </row>
    <row r="1398" spans="49:49" ht="15" customHeight="1">
      <c r="AW1398" s="110">
        <v>1117</v>
      </c>
    </row>
    <row r="1399" spans="49:49" ht="15" customHeight="1">
      <c r="AW1399" s="110">
        <v>1118</v>
      </c>
    </row>
    <row r="1400" spans="49:49" ht="15" customHeight="1">
      <c r="AW1400" s="110">
        <v>1119</v>
      </c>
    </row>
    <row r="1401" spans="49:49" ht="15" customHeight="1">
      <c r="AW1401" s="110">
        <v>1120</v>
      </c>
    </row>
    <row r="1402" spans="49:49" ht="15" customHeight="1">
      <c r="AW1402" s="110">
        <v>1121</v>
      </c>
    </row>
    <row r="1403" spans="49:49" ht="15" customHeight="1">
      <c r="AW1403" s="110">
        <v>1122</v>
      </c>
    </row>
    <row r="1404" spans="49:49" ht="15" customHeight="1">
      <c r="AW1404" s="110">
        <v>1123</v>
      </c>
    </row>
    <row r="1405" spans="49:49" ht="15" customHeight="1">
      <c r="AW1405" s="110">
        <v>1124</v>
      </c>
    </row>
    <row r="1406" spans="49:49" ht="15" customHeight="1">
      <c r="AW1406" s="110">
        <v>1125</v>
      </c>
    </row>
    <row r="1407" spans="49:49" ht="15" customHeight="1">
      <c r="AW1407" s="110">
        <v>1126</v>
      </c>
    </row>
    <row r="1408" spans="49:49" ht="15" customHeight="1">
      <c r="AW1408" s="110">
        <v>1127</v>
      </c>
    </row>
    <row r="1409" spans="49:49" ht="15" customHeight="1">
      <c r="AW1409" s="110">
        <v>1128</v>
      </c>
    </row>
    <row r="1410" spans="49:49" ht="15" customHeight="1">
      <c r="AW1410" s="110">
        <v>1129</v>
      </c>
    </row>
    <row r="1411" spans="49:49" ht="15" customHeight="1">
      <c r="AW1411" s="110">
        <v>1130</v>
      </c>
    </row>
    <row r="1412" spans="49:49" ht="15" customHeight="1">
      <c r="AW1412" s="110">
        <v>1131</v>
      </c>
    </row>
    <row r="1413" spans="49:49" ht="15" customHeight="1">
      <c r="AW1413" s="110">
        <v>1132</v>
      </c>
    </row>
    <row r="1414" spans="49:49" ht="15" customHeight="1">
      <c r="AW1414" s="110">
        <v>1133</v>
      </c>
    </row>
    <row r="1415" spans="49:49" ht="15" customHeight="1">
      <c r="AW1415" s="110">
        <v>1134</v>
      </c>
    </row>
    <row r="1416" spans="49:49" ht="15" customHeight="1">
      <c r="AW1416" s="110">
        <v>1135</v>
      </c>
    </row>
    <row r="1417" spans="49:49" ht="15" customHeight="1">
      <c r="AW1417" s="110">
        <v>1136</v>
      </c>
    </row>
    <row r="1418" spans="49:49" ht="15" customHeight="1">
      <c r="AW1418" s="110">
        <v>1137</v>
      </c>
    </row>
    <row r="1419" spans="49:49" ht="15" customHeight="1">
      <c r="AW1419" s="110">
        <v>1138</v>
      </c>
    </row>
    <row r="1420" spans="49:49" ht="15" customHeight="1">
      <c r="AW1420" s="110">
        <v>1139</v>
      </c>
    </row>
    <row r="1421" spans="49:49" ht="15" customHeight="1">
      <c r="AW1421" s="110">
        <v>1140</v>
      </c>
    </row>
    <row r="1422" spans="49:49" ht="15" customHeight="1">
      <c r="AW1422" s="110">
        <v>1141</v>
      </c>
    </row>
    <row r="1423" spans="49:49" ht="15" customHeight="1">
      <c r="AW1423" s="110">
        <v>1142</v>
      </c>
    </row>
    <row r="1424" spans="49:49" ht="15" customHeight="1">
      <c r="AW1424" s="110">
        <v>1143</v>
      </c>
    </row>
    <row r="1425" spans="49:49" ht="15" customHeight="1">
      <c r="AW1425" s="110">
        <v>1144</v>
      </c>
    </row>
    <row r="1426" spans="49:49" ht="15" customHeight="1">
      <c r="AW1426" s="110">
        <v>1145</v>
      </c>
    </row>
    <row r="1427" spans="49:49" ht="15" customHeight="1">
      <c r="AW1427" s="110">
        <v>1146</v>
      </c>
    </row>
    <row r="1428" spans="49:49" ht="15" customHeight="1">
      <c r="AW1428" s="110">
        <v>1147</v>
      </c>
    </row>
    <row r="1429" spans="49:49" ht="15" customHeight="1">
      <c r="AW1429" s="110">
        <v>1148</v>
      </c>
    </row>
    <row r="1430" spans="49:49" ht="15" customHeight="1">
      <c r="AW1430" s="110">
        <v>1149</v>
      </c>
    </row>
    <row r="1431" spans="49:49" ht="15" customHeight="1">
      <c r="AW1431" s="110">
        <v>1150</v>
      </c>
    </row>
    <row r="1432" spans="49:49" ht="15" customHeight="1">
      <c r="AW1432" s="110">
        <v>1151</v>
      </c>
    </row>
    <row r="1433" spans="49:49" ht="15" customHeight="1">
      <c r="AW1433" s="110">
        <v>1152</v>
      </c>
    </row>
    <row r="1434" spans="49:49" ht="15" customHeight="1">
      <c r="AW1434" s="110">
        <v>1153</v>
      </c>
    </row>
    <row r="1435" spans="49:49" ht="15" customHeight="1">
      <c r="AW1435" s="110">
        <v>1154</v>
      </c>
    </row>
    <row r="1436" spans="49:49" ht="15" customHeight="1">
      <c r="AW1436" s="110">
        <v>1155</v>
      </c>
    </row>
    <row r="1437" spans="49:49" ht="15" customHeight="1">
      <c r="AW1437" s="110">
        <v>1156</v>
      </c>
    </row>
    <row r="1438" spans="49:49" ht="15" customHeight="1">
      <c r="AW1438" s="110">
        <v>1157</v>
      </c>
    </row>
    <row r="1439" spans="49:49" ht="15" customHeight="1">
      <c r="AW1439" s="110">
        <v>1158</v>
      </c>
    </row>
    <row r="1440" spans="49:49" ht="15" customHeight="1">
      <c r="AW1440" s="110">
        <v>1159</v>
      </c>
    </row>
    <row r="1441" spans="49:49" ht="15" customHeight="1">
      <c r="AW1441" s="110">
        <v>1160</v>
      </c>
    </row>
    <row r="1442" spans="49:49" ht="15" customHeight="1">
      <c r="AW1442" s="110">
        <v>1161</v>
      </c>
    </row>
    <row r="1443" spans="49:49" ht="15" customHeight="1">
      <c r="AW1443" s="110">
        <v>1162</v>
      </c>
    </row>
    <row r="1444" spans="49:49" ht="15" customHeight="1">
      <c r="AW1444" s="110">
        <v>1163</v>
      </c>
    </row>
    <row r="1445" spans="49:49" ht="15" customHeight="1">
      <c r="AW1445" s="110">
        <v>1164</v>
      </c>
    </row>
    <row r="1446" spans="49:49" ht="15" customHeight="1">
      <c r="AW1446" s="110">
        <v>1165</v>
      </c>
    </row>
    <row r="1447" spans="49:49" ht="15" customHeight="1">
      <c r="AW1447" s="110">
        <v>1166</v>
      </c>
    </row>
    <row r="1448" spans="49:49" ht="15" customHeight="1">
      <c r="AW1448" s="110">
        <v>1167</v>
      </c>
    </row>
    <row r="1449" spans="49:49" ht="15" customHeight="1">
      <c r="AW1449" s="110">
        <v>1168</v>
      </c>
    </row>
    <row r="1450" spans="49:49" ht="15" customHeight="1">
      <c r="AW1450" s="110">
        <v>1169</v>
      </c>
    </row>
    <row r="1451" spans="49:49" ht="15" customHeight="1">
      <c r="AW1451" s="110">
        <v>1170</v>
      </c>
    </row>
    <row r="1452" spans="49:49" ht="15" customHeight="1">
      <c r="AW1452" s="110">
        <v>1171</v>
      </c>
    </row>
    <row r="1453" spans="49:49" ht="15" customHeight="1">
      <c r="AW1453" s="110">
        <v>1172</v>
      </c>
    </row>
    <row r="1454" spans="49:49" ht="15" customHeight="1">
      <c r="AW1454" s="110">
        <v>1173</v>
      </c>
    </row>
    <row r="1455" spans="49:49" ht="15" customHeight="1">
      <c r="AW1455" s="110">
        <v>1174</v>
      </c>
    </row>
    <row r="1456" spans="49:49" ht="15" customHeight="1">
      <c r="AW1456" s="110">
        <v>1175</v>
      </c>
    </row>
    <row r="1457" spans="49:49" ht="15" customHeight="1">
      <c r="AW1457" s="110">
        <v>1176</v>
      </c>
    </row>
    <row r="1458" spans="49:49" ht="15" customHeight="1">
      <c r="AW1458" s="110">
        <v>1177</v>
      </c>
    </row>
    <row r="1459" spans="49:49" ht="15" customHeight="1">
      <c r="AW1459" s="110">
        <v>1178</v>
      </c>
    </row>
    <row r="1460" spans="49:49" ht="15" customHeight="1">
      <c r="AW1460" s="110">
        <v>1179</v>
      </c>
    </row>
    <row r="1461" spans="49:49" ht="15" customHeight="1">
      <c r="AW1461" s="110">
        <v>1180</v>
      </c>
    </row>
    <row r="1462" spans="49:49" ht="15" customHeight="1">
      <c r="AW1462" s="110">
        <v>1181</v>
      </c>
    </row>
    <row r="1463" spans="49:49" ht="15" customHeight="1">
      <c r="AW1463" s="110">
        <v>1182</v>
      </c>
    </row>
    <row r="1464" spans="49:49" ht="15" customHeight="1">
      <c r="AW1464" s="110">
        <v>1183</v>
      </c>
    </row>
    <row r="1465" spans="49:49" ht="15" customHeight="1">
      <c r="AW1465" s="110">
        <v>1184</v>
      </c>
    </row>
    <row r="1466" spans="49:49" ht="15" customHeight="1">
      <c r="AW1466" s="110">
        <v>1185</v>
      </c>
    </row>
    <row r="1467" spans="49:49" ht="15" customHeight="1">
      <c r="AW1467" s="110">
        <v>1186</v>
      </c>
    </row>
    <row r="1468" spans="49:49" ht="15" customHeight="1">
      <c r="AW1468" s="110">
        <v>1187</v>
      </c>
    </row>
    <row r="1469" spans="49:49" ht="15" customHeight="1">
      <c r="AW1469" s="110">
        <v>1188</v>
      </c>
    </row>
    <row r="1470" spans="49:49" ht="15" customHeight="1">
      <c r="AW1470" s="110">
        <v>1189</v>
      </c>
    </row>
    <row r="1471" spans="49:49" ht="15" customHeight="1">
      <c r="AW1471" s="110">
        <v>1190</v>
      </c>
    </row>
    <row r="1472" spans="49:49" ht="15" customHeight="1">
      <c r="AW1472" s="110">
        <v>1191</v>
      </c>
    </row>
    <row r="1473" spans="49:49" ht="15" customHeight="1">
      <c r="AW1473" s="110">
        <v>1192</v>
      </c>
    </row>
    <row r="1474" spans="49:49" ht="15" customHeight="1">
      <c r="AW1474" s="110">
        <v>1193</v>
      </c>
    </row>
    <row r="1475" spans="49:49" ht="15" customHeight="1">
      <c r="AW1475" s="110">
        <v>1194</v>
      </c>
    </row>
    <row r="1476" spans="49:49" ht="15" customHeight="1">
      <c r="AW1476" s="110">
        <v>1195</v>
      </c>
    </row>
    <row r="1477" spans="49:49" ht="15" customHeight="1">
      <c r="AW1477" s="110">
        <v>1196</v>
      </c>
    </row>
    <row r="1478" spans="49:49" ht="15" customHeight="1">
      <c r="AW1478" s="110">
        <v>1197</v>
      </c>
    </row>
    <row r="1479" spans="49:49" ht="15" customHeight="1">
      <c r="AW1479" s="110">
        <v>1198</v>
      </c>
    </row>
    <row r="1480" spans="49:49" ht="15" customHeight="1">
      <c r="AW1480" s="110">
        <v>1199</v>
      </c>
    </row>
    <row r="1481" spans="49:49" ht="15" customHeight="1">
      <c r="AW1481" s="110">
        <v>1200</v>
      </c>
    </row>
    <row r="1482" spans="49:49" ht="15" customHeight="1">
      <c r="AW1482" s="110">
        <v>1201</v>
      </c>
    </row>
    <row r="1483" spans="49:49" ht="15" customHeight="1">
      <c r="AW1483" s="110">
        <v>1202</v>
      </c>
    </row>
    <row r="1484" spans="49:49" ht="15" customHeight="1">
      <c r="AW1484" s="110">
        <v>1203</v>
      </c>
    </row>
    <row r="1485" spans="49:49" ht="15" customHeight="1">
      <c r="AW1485" s="110">
        <v>1204</v>
      </c>
    </row>
    <row r="1486" spans="49:49" ht="15" customHeight="1">
      <c r="AW1486" s="110">
        <v>1205</v>
      </c>
    </row>
    <row r="1487" spans="49:49" ht="15" customHeight="1">
      <c r="AW1487" s="110">
        <v>1206</v>
      </c>
    </row>
    <row r="1488" spans="49:49" ht="15" customHeight="1">
      <c r="AW1488" s="110">
        <v>1207</v>
      </c>
    </row>
    <row r="1489" spans="49:49" ht="15" customHeight="1">
      <c r="AW1489" s="110">
        <v>1208</v>
      </c>
    </row>
    <row r="1490" spans="49:49" ht="15" customHeight="1">
      <c r="AW1490" s="110">
        <v>1209</v>
      </c>
    </row>
    <row r="1491" spans="49:49" ht="15" customHeight="1">
      <c r="AW1491" s="110">
        <v>1210</v>
      </c>
    </row>
    <row r="1492" spans="49:49" ht="15" customHeight="1">
      <c r="AW1492" s="110">
        <v>1211</v>
      </c>
    </row>
    <row r="1493" spans="49:49" ht="15" customHeight="1">
      <c r="AW1493" s="110">
        <v>1212</v>
      </c>
    </row>
    <row r="1494" spans="49:49" ht="15" customHeight="1">
      <c r="AW1494" s="110">
        <v>1213</v>
      </c>
    </row>
    <row r="1495" spans="49:49" ht="15" customHeight="1">
      <c r="AW1495" s="110">
        <v>1214</v>
      </c>
    </row>
    <row r="1496" spans="49:49" ht="15" customHeight="1">
      <c r="AW1496" s="110">
        <v>1215</v>
      </c>
    </row>
    <row r="1497" spans="49:49" ht="15" customHeight="1">
      <c r="AW1497" s="110">
        <v>1216</v>
      </c>
    </row>
    <row r="1498" spans="49:49" ht="15" customHeight="1">
      <c r="AW1498" s="110">
        <v>1217</v>
      </c>
    </row>
    <row r="1499" spans="49:49" ht="15" customHeight="1">
      <c r="AW1499" s="110">
        <v>1218</v>
      </c>
    </row>
    <row r="1500" spans="49:49" ht="15" customHeight="1">
      <c r="AW1500" s="110">
        <v>1219</v>
      </c>
    </row>
    <row r="1501" spans="49:49" ht="15" customHeight="1">
      <c r="AW1501" s="110">
        <v>1220</v>
      </c>
    </row>
    <row r="1502" spans="49:49" ht="15" customHeight="1">
      <c r="AW1502" s="110">
        <v>1221</v>
      </c>
    </row>
    <row r="1503" spans="49:49" ht="15" customHeight="1">
      <c r="AW1503" s="110">
        <v>1222</v>
      </c>
    </row>
    <row r="1504" spans="49:49" ht="15" customHeight="1">
      <c r="AW1504" s="110">
        <v>1223</v>
      </c>
    </row>
    <row r="1505" spans="49:49" ht="15" customHeight="1">
      <c r="AW1505" s="110">
        <v>1224</v>
      </c>
    </row>
    <row r="1506" spans="49:49" ht="15" customHeight="1">
      <c r="AW1506" s="110">
        <v>1225</v>
      </c>
    </row>
    <row r="1507" spans="49:49" ht="15" customHeight="1">
      <c r="AW1507" s="110">
        <v>1226</v>
      </c>
    </row>
    <row r="1508" spans="49:49" ht="15" customHeight="1">
      <c r="AW1508" s="110">
        <v>1227</v>
      </c>
    </row>
    <row r="1509" spans="49:49" ht="15" customHeight="1">
      <c r="AW1509" s="110">
        <v>1228</v>
      </c>
    </row>
    <row r="1510" spans="49:49" ht="15" customHeight="1">
      <c r="AW1510" s="110">
        <v>1229</v>
      </c>
    </row>
    <row r="1511" spans="49:49" ht="15" customHeight="1">
      <c r="AW1511" s="110">
        <v>1230</v>
      </c>
    </row>
    <row r="1512" spans="49:49" ht="15" customHeight="1">
      <c r="AW1512" s="110">
        <v>1231</v>
      </c>
    </row>
    <row r="1513" spans="49:49" ht="15" customHeight="1">
      <c r="AW1513" s="110">
        <v>1232</v>
      </c>
    </row>
    <row r="1514" spans="49:49" ht="15" customHeight="1">
      <c r="AW1514" s="110">
        <v>1233</v>
      </c>
    </row>
    <row r="1515" spans="49:49" ht="15" customHeight="1">
      <c r="AW1515" s="110">
        <v>1234</v>
      </c>
    </row>
    <row r="1516" spans="49:49" ht="15" customHeight="1">
      <c r="AW1516" s="110">
        <v>1235</v>
      </c>
    </row>
    <row r="1517" spans="49:49" ht="15" customHeight="1">
      <c r="AW1517" s="110">
        <v>1236</v>
      </c>
    </row>
    <row r="1518" spans="49:49" ht="15" customHeight="1">
      <c r="AW1518" s="110">
        <v>1237</v>
      </c>
    </row>
    <row r="1519" spans="49:49" ht="15" customHeight="1">
      <c r="AW1519" s="110">
        <v>1238</v>
      </c>
    </row>
    <row r="1520" spans="49:49" ht="15" customHeight="1">
      <c r="AW1520" s="110">
        <v>1239</v>
      </c>
    </row>
    <row r="1521" spans="49:49" ht="15" customHeight="1">
      <c r="AW1521" s="110">
        <v>1240</v>
      </c>
    </row>
    <row r="1522" spans="49:49" ht="15" customHeight="1">
      <c r="AW1522" s="110">
        <v>1241</v>
      </c>
    </row>
    <row r="1523" spans="49:49" ht="15" customHeight="1">
      <c r="AW1523" s="110">
        <v>1242</v>
      </c>
    </row>
    <row r="1524" spans="49:49" ht="15" customHeight="1">
      <c r="AW1524" s="110">
        <v>1243</v>
      </c>
    </row>
    <row r="1525" spans="49:49" ht="15" customHeight="1">
      <c r="AW1525" s="110">
        <v>1244</v>
      </c>
    </row>
    <row r="1526" spans="49:49" ht="15" customHeight="1">
      <c r="AW1526" s="110">
        <v>1245</v>
      </c>
    </row>
    <row r="1527" spans="49:49" ht="15" customHeight="1">
      <c r="AW1527" s="110">
        <v>1246</v>
      </c>
    </row>
    <row r="1528" spans="49:49" ht="15" customHeight="1">
      <c r="AW1528" s="110">
        <v>1247</v>
      </c>
    </row>
    <row r="1529" spans="49:49" ht="15" customHeight="1">
      <c r="AW1529" s="110">
        <v>1248</v>
      </c>
    </row>
    <row r="1530" spans="49:49" ht="15" customHeight="1">
      <c r="AW1530" s="110">
        <v>1249</v>
      </c>
    </row>
    <row r="1531" spans="49:49" ht="15" customHeight="1">
      <c r="AW1531" s="110">
        <v>1250</v>
      </c>
    </row>
    <row r="1532" spans="49:49" ht="15" customHeight="1">
      <c r="AW1532" s="110">
        <v>1251</v>
      </c>
    </row>
    <row r="1533" spans="49:49" ht="15" customHeight="1">
      <c r="AW1533" s="110">
        <v>1252</v>
      </c>
    </row>
    <row r="1534" spans="49:49" ht="15" customHeight="1">
      <c r="AW1534" s="110">
        <v>1253</v>
      </c>
    </row>
    <row r="1535" spans="49:49" ht="15" customHeight="1">
      <c r="AW1535" s="110">
        <v>1254</v>
      </c>
    </row>
    <row r="1536" spans="49:49" ht="15" customHeight="1">
      <c r="AW1536" s="110">
        <v>1255</v>
      </c>
    </row>
    <row r="1537" spans="49:49" ht="15" customHeight="1">
      <c r="AW1537" s="110">
        <v>1256</v>
      </c>
    </row>
    <row r="1538" spans="49:49" ht="15" customHeight="1">
      <c r="AW1538" s="110">
        <v>1257</v>
      </c>
    </row>
    <row r="1539" spans="49:49" ht="15" customHeight="1">
      <c r="AW1539" s="110">
        <v>1258</v>
      </c>
    </row>
    <row r="1540" spans="49:49" ht="15" customHeight="1">
      <c r="AW1540" s="110">
        <v>1259</v>
      </c>
    </row>
    <row r="1541" spans="49:49" ht="15" customHeight="1">
      <c r="AW1541" s="110">
        <v>1260</v>
      </c>
    </row>
    <row r="1542" spans="49:49" ht="15" customHeight="1">
      <c r="AW1542" s="110">
        <v>1261</v>
      </c>
    </row>
    <row r="1543" spans="49:49" ht="15" customHeight="1">
      <c r="AW1543" s="110">
        <v>1262</v>
      </c>
    </row>
    <row r="1544" spans="49:49" ht="15" customHeight="1">
      <c r="AW1544" s="110">
        <v>1263</v>
      </c>
    </row>
    <row r="1545" spans="49:49" ht="15" customHeight="1">
      <c r="AW1545" s="110">
        <v>1264</v>
      </c>
    </row>
    <row r="1546" spans="49:49" ht="15" customHeight="1">
      <c r="AW1546" s="110">
        <v>1265</v>
      </c>
    </row>
    <row r="1547" spans="49:49" ht="15" customHeight="1">
      <c r="AW1547" s="110">
        <v>1266</v>
      </c>
    </row>
    <row r="1548" spans="49:49" ht="15" customHeight="1">
      <c r="AW1548" s="110">
        <v>1267</v>
      </c>
    </row>
    <row r="1549" spans="49:49" ht="15" customHeight="1">
      <c r="AW1549" s="110">
        <v>1268</v>
      </c>
    </row>
    <row r="1550" spans="49:49" ht="15" customHeight="1">
      <c r="AW1550" s="110">
        <v>1269</v>
      </c>
    </row>
    <row r="1551" spans="49:49" ht="15" customHeight="1">
      <c r="AW1551" s="110">
        <v>1270</v>
      </c>
    </row>
    <row r="1552" spans="49:49" ht="15" customHeight="1">
      <c r="AW1552" s="110">
        <v>1271</v>
      </c>
    </row>
    <row r="1553" spans="49:49" ht="15" customHeight="1">
      <c r="AW1553" s="110">
        <v>1272</v>
      </c>
    </row>
    <row r="1554" spans="49:49" ht="15" customHeight="1">
      <c r="AW1554" s="110">
        <v>1273</v>
      </c>
    </row>
    <row r="1555" spans="49:49" ht="15" customHeight="1">
      <c r="AW1555" s="110">
        <v>1274</v>
      </c>
    </row>
    <row r="1556" spans="49:49" ht="15" customHeight="1">
      <c r="AW1556" s="110">
        <v>1275</v>
      </c>
    </row>
    <row r="1557" spans="49:49" ht="15" customHeight="1">
      <c r="AW1557" s="110">
        <v>1276</v>
      </c>
    </row>
    <row r="1558" spans="49:49" ht="15" customHeight="1">
      <c r="AW1558" s="110">
        <v>1277</v>
      </c>
    </row>
    <row r="1559" spans="49:49" ht="15" customHeight="1">
      <c r="AW1559" s="110">
        <v>1278</v>
      </c>
    </row>
    <row r="1560" spans="49:49" ht="15" customHeight="1">
      <c r="AW1560" s="110">
        <v>1279</v>
      </c>
    </row>
    <row r="1561" spans="49:49" ht="15" customHeight="1">
      <c r="AW1561" s="110">
        <v>1280</v>
      </c>
    </row>
    <row r="1562" spans="49:49" ht="15" customHeight="1">
      <c r="AW1562" s="110">
        <v>1281</v>
      </c>
    </row>
    <row r="1563" spans="49:49" ht="15" customHeight="1">
      <c r="AW1563" s="110">
        <v>1282</v>
      </c>
    </row>
    <row r="1564" spans="49:49" ht="15" customHeight="1">
      <c r="AW1564" s="110">
        <v>1283</v>
      </c>
    </row>
    <row r="1565" spans="49:49" ht="15" customHeight="1">
      <c r="AW1565" s="110">
        <v>1284</v>
      </c>
    </row>
    <row r="1566" spans="49:49" ht="15" customHeight="1">
      <c r="AW1566" s="110">
        <v>1285</v>
      </c>
    </row>
    <row r="1567" spans="49:49" ht="15" customHeight="1">
      <c r="AW1567" s="110">
        <v>1286</v>
      </c>
    </row>
    <row r="1568" spans="49:49" ht="15" customHeight="1">
      <c r="AW1568" s="110">
        <v>1287</v>
      </c>
    </row>
    <row r="1569" spans="49:49" ht="15" customHeight="1">
      <c r="AW1569" s="110">
        <v>1288</v>
      </c>
    </row>
    <row r="1570" spans="49:49" ht="15" customHeight="1">
      <c r="AW1570" s="110">
        <v>1289</v>
      </c>
    </row>
    <row r="1571" spans="49:49" ht="15" customHeight="1">
      <c r="AW1571" s="110">
        <v>1290</v>
      </c>
    </row>
    <row r="1572" spans="49:49" ht="15" customHeight="1">
      <c r="AW1572" s="110">
        <v>1291</v>
      </c>
    </row>
    <row r="1573" spans="49:49" ht="15" customHeight="1">
      <c r="AW1573" s="110">
        <v>1292</v>
      </c>
    </row>
    <row r="1574" spans="49:49" ht="15" customHeight="1">
      <c r="AW1574" s="110">
        <v>1293</v>
      </c>
    </row>
    <row r="1575" spans="49:49" ht="15" customHeight="1">
      <c r="AW1575" s="110">
        <v>1294</v>
      </c>
    </row>
    <row r="1576" spans="49:49" ht="15" customHeight="1">
      <c r="AW1576" s="110">
        <v>1295</v>
      </c>
    </row>
    <row r="1577" spans="49:49" ht="15" customHeight="1">
      <c r="AW1577" s="110">
        <v>1296</v>
      </c>
    </row>
    <row r="1578" spans="49:49" ht="15" customHeight="1">
      <c r="AW1578" s="110">
        <v>1297</v>
      </c>
    </row>
    <row r="1579" spans="49:49" ht="15" customHeight="1">
      <c r="AW1579" s="110">
        <v>1298</v>
      </c>
    </row>
    <row r="1580" spans="49:49" ht="15" customHeight="1">
      <c r="AW1580" s="110">
        <v>1299</v>
      </c>
    </row>
    <row r="1581" spans="49:49" ht="15" customHeight="1">
      <c r="AW1581" s="110">
        <v>1300</v>
      </c>
    </row>
    <row r="1582" spans="49:49" ht="15" customHeight="1">
      <c r="AW1582" s="110">
        <v>1301</v>
      </c>
    </row>
    <row r="1583" spans="49:49" ht="15" customHeight="1">
      <c r="AW1583" s="110">
        <v>1302</v>
      </c>
    </row>
    <row r="1584" spans="49:49" ht="15" customHeight="1">
      <c r="AW1584" s="110">
        <v>1303</v>
      </c>
    </row>
    <row r="1585" spans="49:49" ht="15" customHeight="1">
      <c r="AW1585" s="110">
        <v>1304</v>
      </c>
    </row>
    <row r="1586" spans="49:49" ht="15" customHeight="1">
      <c r="AW1586" s="110">
        <v>1305</v>
      </c>
    </row>
    <row r="1587" spans="49:49" ht="15" customHeight="1">
      <c r="AW1587" s="110">
        <v>1306</v>
      </c>
    </row>
    <row r="1588" spans="49:49" ht="15" customHeight="1">
      <c r="AW1588" s="110">
        <v>1307</v>
      </c>
    </row>
    <row r="1589" spans="49:49" ht="15" customHeight="1">
      <c r="AW1589" s="110">
        <v>1308</v>
      </c>
    </row>
    <row r="1590" spans="49:49" ht="15" customHeight="1">
      <c r="AW1590" s="110">
        <v>1309</v>
      </c>
    </row>
    <row r="1591" spans="49:49" ht="15" customHeight="1">
      <c r="AW1591" s="110">
        <v>1310</v>
      </c>
    </row>
    <row r="1592" spans="49:49" ht="15" customHeight="1">
      <c r="AW1592" s="110">
        <v>1311</v>
      </c>
    </row>
    <row r="1593" spans="49:49" ht="15" customHeight="1">
      <c r="AW1593" s="110">
        <v>1312</v>
      </c>
    </row>
    <row r="1594" spans="49:49" ht="15" customHeight="1">
      <c r="AW1594" s="110">
        <v>1313</v>
      </c>
    </row>
    <row r="1595" spans="49:49" ht="15" customHeight="1">
      <c r="AW1595" s="110">
        <v>1314</v>
      </c>
    </row>
    <row r="1596" spans="49:49" ht="15" customHeight="1">
      <c r="AW1596" s="110">
        <v>1315</v>
      </c>
    </row>
    <row r="1597" spans="49:49" ht="15" customHeight="1">
      <c r="AW1597" s="110">
        <v>1316</v>
      </c>
    </row>
    <row r="1598" spans="49:49" ht="15" customHeight="1">
      <c r="AW1598" s="110">
        <v>1317</v>
      </c>
    </row>
    <row r="1599" spans="49:49" ht="15" customHeight="1">
      <c r="AW1599" s="110">
        <v>1318</v>
      </c>
    </row>
    <row r="1600" spans="49:49" ht="15" customHeight="1">
      <c r="AW1600" s="110">
        <v>1319</v>
      </c>
    </row>
    <row r="1601" spans="49:49" ht="15" customHeight="1">
      <c r="AW1601" s="110">
        <v>1320</v>
      </c>
    </row>
    <row r="1602" spans="49:49" ht="15" customHeight="1">
      <c r="AW1602" s="110">
        <v>1321</v>
      </c>
    </row>
    <row r="1603" spans="49:49" ht="15" customHeight="1">
      <c r="AW1603" s="110">
        <v>1322</v>
      </c>
    </row>
    <row r="1604" spans="49:49" ht="15" customHeight="1">
      <c r="AW1604" s="110">
        <v>1323</v>
      </c>
    </row>
    <row r="1605" spans="49:49" ht="15" customHeight="1">
      <c r="AW1605" s="110">
        <v>1324</v>
      </c>
    </row>
    <row r="1606" spans="49:49" ht="15" customHeight="1">
      <c r="AW1606" s="110">
        <v>1325</v>
      </c>
    </row>
    <row r="1607" spans="49:49" ht="15" customHeight="1">
      <c r="AW1607" s="110">
        <v>1326</v>
      </c>
    </row>
    <row r="1608" spans="49:49" ht="15" customHeight="1">
      <c r="AW1608" s="110">
        <v>1327</v>
      </c>
    </row>
    <row r="1609" spans="49:49" ht="15" customHeight="1">
      <c r="AW1609" s="110">
        <v>1328</v>
      </c>
    </row>
    <row r="1610" spans="49:49" ht="15" customHeight="1">
      <c r="AW1610" s="110">
        <v>1329</v>
      </c>
    </row>
    <row r="1611" spans="49:49" ht="15" customHeight="1">
      <c r="AW1611" s="110">
        <v>1330</v>
      </c>
    </row>
    <row r="1612" spans="49:49" ht="15" customHeight="1">
      <c r="AW1612" s="110">
        <v>1331</v>
      </c>
    </row>
    <row r="1613" spans="49:49" ht="15" customHeight="1">
      <c r="AW1613" s="110">
        <v>1332</v>
      </c>
    </row>
    <row r="1614" spans="49:49" ht="15" customHeight="1">
      <c r="AW1614" s="110">
        <v>1333</v>
      </c>
    </row>
    <row r="1615" spans="49:49" ht="15" customHeight="1">
      <c r="AW1615" s="110">
        <v>1334</v>
      </c>
    </row>
    <row r="1616" spans="49:49" ht="15" customHeight="1">
      <c r="AW1616" s="110">
        <v>1335</v>
      </c>
    </row>
    <row r="1617" spans="49:49" ht="15" customHeight="1">
      <c r="AW1617" s="110">
        <v>1336</v>
      </c>
    </row>
    <row r="1618" spans="49:49" ht="15" customHeight="1">
      <c r="AW1618" s="110">
        <v>1337</v>
      </c>
    </row>
    <row r="1619" spans="49:49" ht="15" customHeight="1">
      <c r="AW1619" s="110">
        <v>1338</v>
      </c>
    </row>
    <row r="1620" spans="49:49" ht="15" customHeight="1">
      <c r="AW1620" s="110">
        <v>1339</v>
      </c>
    </row>
    <row r="1621" spans="49:49" ht="15" customHeight="1">
      <c r="AW1621" s="110">
        <v>1340</v>
      </c>
    </row>
    <row r="1622" spans="49:49" ht="15" customHeight="1">
      <c r="AW1622" s="110">
        <v>1341</v>
      </c>
    </row>
    <row r="1623" spans="49:49" ht="15" customHeight="1">
      <c r="AW1623" s="110">
        <v>1342</v>
      </c>
    </row>
    <row r="1624" spans="49:49" ht="15" customHeight="1">
      <c r="AW1624" s="110">
        <v>1343</v>
      </c>
    </row>
    <row r="1625" spans="49:49" ht="15" customHeight="1">
      <c r="AW1625" s="110">
        <v>1344</v>
      </c>
    </row>
    <row r="1626" spans="49:49" ht="15" customHeight="1">
      <c r="AW1626" s="110">
        <v>1345</v>
      </c>
    </row>
    <row r="1627" spans="49:49" ht="15" customHeight="1">
      <c r="AW1627" s="110">
        <v>1346</v>
      </c>
    </row>
    <row r="1628" spans="49:49" ht="15" customHeight="1">
      <c r="AW1628" s="110">
        <v>1347</v>
      </c>
    </row>
    <row r="1629" spans="49:49" ht="15" customHeight="1">
      <c r="AW1629" s="110">
        <v>1348</v>
      </c>
    </row>
    <row r="1630" spans="49:49" ht="15" customHeight="1">
      <c r="AW1630" s="110">
        <v>1349</v>
      </c>
    </row>
    <row r="1631" spans="49:49" ht="15" customHeight="1">
      <c r="AW1631" s="110">
        <v>1350</v>
      </c>
    </row>
    <row r="1632" spans="49:49" ht="15" customHeight="1">
      <c r="AW1632" s="110">
        <v>1351</v>
      </c>
    </row>
    <row r="1633" spans="49:49" ht="15" customHeight="1">
      <c r="AW1633" s="110">
        <v>1352</v>
      </c>
    </row>
    <row r="1634" spans="49:49" ht="15" customHeight="1">
      <c r="AW1634" s="110">
        <v>1353</v>
      </c>
    </row>
    <row r="1635" spans="49:49" ht="15" customHeight="1">
      <c r="AW1635" s="110">
        <v>1354</v>
      </c>
    </row>
    <row r="1636" spans="49:49" ht="15" customHeight="1">
      <c r="AW1636" s="110">
        <v>1355</v>
      </c>
    </row>
    <row r="1637" spans="49:49" ht="15" customHeight="1">
      <c r="AW1637" s="110">
        <v>1356</v>
      </c>
    </row>
    <row r="1638" spans="49:49" ht="15" customHeight="1">
      <c r="AW1638" s="110">
        <v>1357</v>
      </c>
    </row>
    <row r="1639" spans="49:49" ht="15" customHeight="1">
      <c r="AW1639" s="110">
        <v>1358</v>
      </c>
    </row>
    <row r="1640" spans="49:49" ht="15" customHeight="1">
      <c r="AW1640" s="110">
        <v>1359</v>
      </c>
    </row>
    <row r="1641" spans="49:49" ht="15" customHeight="1">
      <c r="AW1641" s="110">
        <v>1360</v>
      </c>
    </row>
    <row r="1642" spans="49:49" ht="15" customHeight="1">
      <c r="AW1642" s="110">
        <v>1361</v>
      </c>
    </row>
    <row r="1643" spans="49:49" ht="15" customHeight="1">
      <c r="AW1643" s="110">
        <v>1362</v>
      </c>
    </row>
    <row r="1644" spans="49:49" ht="15" customHeight="1">
      <c r="AW1644" s="110">
        <v>1363</v>
      </c>
    </row>
    <row r="1645" spans="49:49" ht="15" customHeight="1">
      <c r="AW1645" s="110">
        <v>1364</v>
      </c>
    </row>
    <row r="1646" spans="49:49" ht="15" customHeight="1">
      <c r="AW1646" s="110">
        <v>1365</v>
      </c>
    </row>
    <row r="1647" spans="49:49" ht="15" customHeight="1">
      <c r="AW1647" s="110">
        <v>1366</v>
      </c>
    </row>
    <row r="1648" spans="49:49" ht="15" customHeight="1">
      <c r="AW1648" s="110">
        <v>1367</v>
      </c>
    </row>
    <row r="1649" spans="49:49" ht="15" customHeight="1">
      <c r="AW1649" s="110">
        <v>1368</v>
      </c>
    </row>
    <row r="1650" spans="49:49" ht="15" customHeight="1">
      <c r="AW1650" s="110">
        <v>1369</v>
      </c>
    </row>
    <row r="1651" spans="49:49" ht="15" customHeight="1">
      <c r="AW1651" s="110">
        <v>1370</v>
      </c>
    </row>
    <row r="1652" spans="49:49" ht="15" customHeight="1">
      <c r="AW1652" s="110">
        <v>1371</v>
      </c>
    </row>
    <row r="1653" spans="49:49" ht="15" customHeight="1">
      <c r="AW1653" s="110">
        <v>1372</v>
      </c>
    </row>
    <row r="1654" spans="49:49" ht="15" customHeight="1">
      <c r="AW1654" s="110">
        <v>1373</v>
      </c>
    </row>
    <row r="1655" spans="49:49" ht="15" customHeight="1">
      <c r="AW1655" s="110">
        <v>1374</v>
      </c>
    </row>
    <row r="1656" spans="49:49" ht="15" customHeight="1">
      <c r="AW1656" s="110">
        <v>1375</v>
      </c>
    </row>
    <row r="1657" spans="49:49" ht="15" customHeight="1">
      <c r="AW1657" s="110">
        <v>1376</v>
      </c>
    </row>
    <row r="1658" spans="49:49" ht="15" customHeight="1">
      <c r="AW1658" s="110">
        <v>1377</v>
      </c>
    </row>
    <row r="1659" spans="49:49" ht="15" customHeight="1">
      <c r="AW1659" s="110">
        <v>1378</v>
      </c>
    </row>
    <row r="1660" spans="49:49" ht="15" customHeight="1">
      <c r="AW1660" s="110">
        <v>1379</v>
      </c>
    </row>
    <row r="1661" spans="49:49" ht="15" customHeight="1">
      <c r="AW1661" s="110">
        <v>1380</v>
      </c>
    </row>
    <row r="1662" spans="49:49" ht="15" customHeight="1">
      <c r="AW1662" s="110">
        <v>1381</v>
      </c>
    </row>
    <row r="1663" spans="49:49" ht="15" customHeight="1">
      <c r="AW1663" s="110">
        <v>1382</v>
      </c>
    </row>
    <row r="1664" spans="49:49" ht="15" customHeight="1">
      <c r="AW1664" s="110">
        <v>1383</v>
      </c>
    </row>
    <row r="1665" spans="49:49" ht="15" customHeight="1">
      <c r="AW1665" s="110">
        <v>1384</v>
      </c>
    </row>
    <row r="1666" spans="49:49" ht="15" customHeight="1">
      <c r="AW1666" s="110">
        <v>1385</v>
      </c>
    </row>
    <row r="1667" spans="49:49" ht="15" customHeight="1">
      <c r="AW1667" s="110">
        <v>1386</v>
      </c>
    </row>
    <row r="1668" spans="49:49" ht="15" customHeight="1">
      <c r="AW1668" s="110">
        <v>1387</v>
      </c>
    </row>
    <row r="1669" spans="49:49" ht="15" customHeight="1">
      <c r="AW1669" s="110">
        <v>1388</v>
      </c>
    </row>
    <row r="1670" spans="49:49" ht="15" customHeight="1">
      <c r="AW1670" s="110">
        <v>1389</v>
      </c>
    </row>
    <row r="1671" spans="49:49" ht="15" customHeight="1">
      <c r="AW1671" s="110">
        <v>1390</v>
      </c>
    </row>
    <row r="1672" spans="49:49" ht="15" customHeight="1">
      <c r="AW1672" s="110">
        <v>1391</v>
      </c>
    </row>
    <row r="1673" spans="49:49" ht="15" customHeight="1">
      <c r="AW1673" s="110">
        <v>1392</v>
      </c>
    </row>
    <row r="1674" spans="49:49" ht="15" customHeight="1">
      <c r="AW1674" s="110">
        <v>1393</v>
      </c>
    </row>
    <row r="1675" spans="49:49" ht="15" customHeight="1">
      <c r="AW1675" s="110">
        <v>1394</v>
      </c>
    </row>
    <row r="1676" spans="49:49" ht="15" customHeight="1">
      <c r="AW1676" s="110">
        <v>1395</v>
      </c>
    </row>
    <row r="1677" spans="49:49" ht="15" customHeight="1">
      <c r="AW1677" s="110">
        <v>1396</v>
      </c>
    </row>
    <row r="1678" spans="49:49" ht="15" customHeight="1">
      <c r="AW1678" s="110">
        <v>1397</v>
      </c>
    </row>
    <row r="1679" spans="49:49" ht="15" customHeight="1">
      <c r="AW1679" s="110">
        <v>1398</v>
      </c>
    </row>
    <row r="1680" spans="49:49" ht="15" customHeight="1">
      <c r="AW1680" s="110">
        <v>1399</v>
      </c>
    </row>
    <row r="1681" spans="49:49" ht="15" customHeight="1">
      <c r="AW1681" s="110">
        <v>1400</v>
      </c>
    </row>
    <row r="1682" spans="49:49" ht="15" customHeight="1">
      <c r="AW1682" s="110">
        <v>1401</v>
      </c>
    </row>
    <row r="1683" spans="49:49" ht="15" customHeight="1">
      <c r="AW1683" s="110">
        <v>1402</v>
      </c>
    </row>
    <row r="1684" spans="49:49" ht="15" customHeight="1">
      <c r="AW1684" s="110">
        <v>1403</v>
      </c>
    </row>
    <row r="1685" spans="49:49" ht="15" customHeight="1">
      <c r="AW1685" s="110">
        <v>1404</v>
      </c>
    </row>
    <row r="1686" spans="49:49" ht="15" customHeight="1">
      <c r="AW1686" s="110">
        <v>1405</v>
      </c>
    </row>
    <row r="1687" spans="49:49" ht="15" customHeight="1">
      <c r="AW1687" s="110">
        <v>1406</v>
      </c>
    </row>
    <row r="1688" spans="49:49" ht="15" customHeight="1">
      <c r="AW1688" s="110">
        <v>1407</v>
      </c>
    </row>
    <row r="1689" spans="49:49" ht="15" customHeight="1">
      <c r="AW1689" s="110">
        <v>1408</v>
      </c>
    </row>
    <row r="1690" spans="49:49" ht="15" customHeight="1">
      <c r="AW1690" s="110">
        <v>1409</v>
      </c>
    </row>
    <row r="1691" spans="49:49" ht="15" customHeight="1">
      <c r="AW1691" s="110">
        <v>1410</v>
      </c>
    </row>
    <row r="1692" spans="49:49" ht="15" customHeight="1">
      <c r="AW1692" s="110">
        <v>1411</v>
      </c>
    </row>
    <row r="1693" spans="49:49" ht="15" customHeight="1">
      <c r="AW1693" s="110">
        <v>1412</v>
      </c>
    </row>
    <row r="1694" spans="49:49" ht="15" customHeight="1">
      <c r="AW1694" s="110">
        <v>1413</v>
      </c>
    </row>
    <row r="1695" spans="49:49" ht="15" customHeight="1">
      <c r="AW1695" s="110">
        <v>1414</v>
      </c>
    </row>
    <row r="1696" spans="49:49" ht="15" customHeight="1">
      <c r="AW1696" s="110">
        <v>1415</v>
      </c>
    </row>
    <row r="1697" spans="49:49" ht="15" customHeight="1">
      <c r="AW1697" s="110">
        <v>1416</v>
      </c>
    </row>
    <row r="1698" spans="49:49" ht="15" customHeight="1">
      <c r="AW1698" s="110">
        <v>1417</v>
      </c>
    </row>
    <row r="1699" spans="49:49" ht="15" customHeight="1">
      <c r="AW1699" s="110">
        <v>1418</v>
      </c>
    </row>
    <row r="1700" spans="49:49" ht="15" customHeight="1">
      <c r="AW1700" s="110">
        <v>1419</v>
      </c>
    </row>
    <row r="1701" spans="49:49" ht="15" customHeight="1">
      <c r="AW1701" s="110">
        <v>1420</v>
      </c>
    </row>
    <row r="1702" spans="49:49" ht="15" customHeight="1">
      <c r="AW1702" s="110">
        <v>1421</v>
      </c>
    </row>
    <row r="1703" spans="49:49" ht="15" customHeight="1">
      <c r="AW1703" s="110">
        <v>1422</v>
      </c>
    </row>
    <row r="1704" spans="49:49" ht="15" customHeight="1">
      <c r="AW1704" s="110">
        <v>1423</v>
      </c>
    </row>
    <row r="1705" spans="49:49" ht="15" customHeight="1">
      <c r="AW1705" s="110">
        <v>1424</v>
      </c>
    </row>
    <row r="1706" spans="49:49" ht="15" customHeight="1">
      <c r="AW1706" s="110">
        <v>1425</v>
      </c>
    </row>
    <row r="1707" spans="49:49" ht="15" customHeight="1">
      <c r="AW1707" s="110">
        <v>1426</v>
      </c>
    </row>
    <row r="1708" spans="49:49" ht="15" customHeight="1">
      <c r="AW1708" s="110">
        <v>1427</v>
      </c>
    </row>
    <row r="1709" spans="49:49" ht="15" customHeight="1">
      <c r="AW1709" s="110">
        <v>1428</v>
      </c>
    </row>
    <row r="1710" spans="49:49" ht="15" customHeight="1">
      <c r="AW1710" s="110">
        <v>1429</v>
      </c>
    </row>
    <row r="1711" spans="49:49" ht="15" customHeight="1">
      <c r="AW1711" s="110">
        <v>1430</v>
      </c>
    </row>
    <row r="1712" spans="49:49" ht="15" customHeight="1">
      <c r="AW1712" s="110">
        <v>1431</v>
      </c>
    </row>
    <row r="1713" spans="49:49" ht="15" customHeight="1">
      <c r="AW1713" s="110">
        <v>1432</v>
      </c>
    </row>
    <row r="1714" spans="49:49" ht="15" customHeight="1">
      <c r="AW1714" s="110">
        <v>1433</v>
      </c>
    </row>
    <row r="1715" spans="49:49" ht="15" customHeight="1">
      <c r="AW1715" s="110">
        <v>1434</v>
      </c>
    </row>
    <row r="1716" spans="49:49" ht="15" customHeight="1">
      <c r="AW1716" s="110">
        <v>1435</v>
      </c>
    </row>
    <row r="1717" spans="49:49" ht="15" customHeight="1">
      <c r="AW1717" s="110">
        <v>1436</v>
      </c>
    </row>
    <row r="1718" spans="49:49" ht="15" customHeight="1">
      <c r="AW1718" s="110">
        <v>1437</v>
      </c>
    </row>
    <row r="1719" spans="49:49" ht="15" customHeight="1">
      <c r="AW1719" s="110">
        <v>1438</v>
      </c>
    </row>
    <row r="1720" spans="49:49" ht="15" customHeight="1">
      <c r="AW1720" s="110">
        <v>1439</v>
      </c>
    </row>
    <row r="1721" spans="49:49" ht="15" customHeight="1">
      <c r="AW1721" s="110">
        <v>1440</v>
      </c>
    </row>
    <row r="1722" spans="49:49" ht="15" customHeight="1">
      <c r="AW1722" s="110">
        <v>1441</v>
      </c>
    </row>
    <row r="1723" spans="49:49" ht="15" customHeight="1">
      <c r="AW1723" s="110">
        <v>1442</v>
      </c>
    </row>
    <row r="1724" spans="49:49" ht="15" customHeight="1">
      <c r="AW1724" s="110">
        <v>1443</v>
      </c>
    </row>
    <row r="1725" spans="49:49" ht="15" customHeight="1">
      <c r="AW1725" s="110">
        <v>1444</v>
      </c>
    </row>
    <row r="1726" spans="49:49" ht="15" customHeight="1">
      <c r="AW1726" s="110">
        <v>1445</v>
      </c>
    </row>
    <row r="1727" spans="49:49" ht="15" customHeight="1">
      <c r="AW1727" s="110">
        <v>1446</v>
      </c>
    </row>
    <row r="1728" spans="49:49" ht="15" customHeight="1">
      <c r="AW1728" s="110">
        <v>1447</v>
      </c>
    </row>
    <row r="1729" spans="49:49" ht="15" customHeight="1">
      <c r="AW1729" s="110">
        <v>1448</v>
      </c>
    </row>
    <row r="1730" spans="49:49" ht="15" customHeight="1">
      <c r="AW1730" s="110">
        <v>1449</v>
      </c>
    </row>
    <row r="1731" spans="49:49" ht="15" customHeight="1">
      <c r="AW1731" s="110">
        <v>1450</v>
      </c>
    </row>
    <row r="1732" spans="49:49" ht="15" customHeight="1">
      <c r="AW1732" s="110">
        <v>1451</v>
      </c>
    </row>
    <row r="1733" spans="49:49" ht="15" customHeight="1">
      <c r="AW1733" s="110">
        <v>1452</v>
      </c>
    </row>
    <row r="1734" spans="49:49" ht="15" customHeight="1">
      <c r="AW1734" s="110">
        <v>1453</v>
      </c>
    </row>
    <row r="1735" spans="49:49" ht="15" customHeight="1">
      <c r="AW1735" s="110">
        <v>1454</v>
      </c>
    </row>
    <row r="1736" spans="49:49" ht="15" customHeight="1">
      <c r="AW1736" s="110">
        <v>1455</v>
      </c>
    </row>
    <row r="1737" spans="49:49" ht="15" customHeight="1">
      <c r="AW1737" s="110">
        <v>1456</v>
      </c>
    </row>
    <row r="1738" spans="49:49" ht="15" customHeight="1">
      <c r="AW1738" s="110">
        <v>1457</v>
      </c>
    </row>
    <row r="1739" spans="49:49" ht="15" customHeight="1">
      <c r="AW1739" s="110">
        <v>1458</v>
      </c>
    </row>
    <row r="1740" spans="49:49" ht="15" customHeight="1">
      <c r="AW1740" s="110">
        <v>1459</v>
      </c>
    </row>
    <row r="1741" spans="49:49" ht="15" customHeight="1">
      <c r="AW1741" s="110">
        <v>1460</v>
      </c>
    </row>
    <row r="1742" spans="49:49" ht="15" customHeight="1">
      <c r="AW1742" s="110">
        <v>1461</v>
      </c>
    </row>
    <row r="1743" spans="49:49" ht="15" customHeight="1">
      <c r="AW1743" s="110">
        <v>1462</v>
      </c>
    </row>
    <row r="1744" spans="49:49" ht="15" customHeight="1">
      <c r="AW1744" s="110">
        <v>1463</v>
      </c>
    </row>
    <row r="1745" spans="49:49" ht="15" customHeight="1">
      <c r="AW1745" s="110">
        <v>1464</v>
      </c>
    </row>
    <row r="1746" spans="49:49" ht="15" customHeight="1">
      <c r="AW1746" s="110">
        <v>1465</v>
      </c>
    </row>
    <row r="1747" spans="49:49" ht="15" customHeight="1">
      <c r="AW1747" s="110">
        <v>1466</v>
      </c>
    </row>
    <row r="1748" spans="49:49" ht="15" customHeight="1">
      <c r="AW1748" s="110">
        <v>1467</v>
      </c>
    </row>
    <row r="1749" spans="49:49" ht="15" customHeight="1">
      <c r="AW1749" s="110">
        <v>1468</v>
      </c>
    </row>
    <row r="1750" spans="49:49" ht="15" customHeight="1">
      <c r="AW1750" s="110">
        <v>1469</v>
      </c>
    </row>
    <row r="1751" spans="49:49" ht="15" customHeight="1">
      <c r="AW1751" s="110">
        <v>1470</v>
      </c>
    </row>
    <row r="1752" spans="49:49" ht="15" customHeight="1">
      <c r="AW1752" s="110">
        <v>1471</v>
      </c>
    </row>
    <row r="1753" spans="49:49" ht="15" customHeight="1">
      <c r="AW1753" s="110">
        <v>1472</v>
      </c>
    </row>
    <row r="1754" spans="49:49" ht="15" customHeight="1">
      <c r="AW1754" s="110">
        <v>1473</v>
      </c>
    </row>
    <row r="1755" spans="49:49" ht="15" customHeight="1">
      <c r="AW1755" s="110">
        <v>1474</v>
      </c>
    </row>
    <row r="1756" spans="49:49" ht="15" customHeight="1">
      <c r="AW1756" s="110">
        <v>1475</v>
      </c>
    </row>
    <row r="1757" spans="49:49" ht="15" customHeight="1">
      <c r="AW1757" s="110">
        <v>1476</v>
      </c>
    </row>
    <row r="1758" spans="49:49" ht="15" customHeight="1">
      <c r="AW1758" s="110">
        <v>1477</v>
      </c>
    </row>
    <row r="1759" spans="49:49" ht="15" customHeight="1">
      <c r="AW1759" s="110">
        <v>1478</v>
      </c>
    </row>
    <row r="1760" spans="49:49" ht="15" customHeight="1">
      <c r="AW1760" s="110">
        <v>1479</v>
      </c>
    </row>
    <row r="1761" spans="49:49" ht="15" customHeight="1">
      <c r="AW1761" s="110">
        <v>1480</v>
      </c>
    </row>
    <row r="1762" spans="49:49" ht="15" customHeight="1">
      <c r="AW1762" s="110">
        <v>1481</v>
      </c>
    </row>
    <row r="1763" spans="49:49" ht="15" customHeight="1">
      <c r="AW1763" s="110">
        <v>1482</v>
      </c>
    </row>
    <row r="1764" spans="49:49" ht="15" customHeight="1">
      <c r="AW1764" s="110">
        <v>1483</v>
      </c>
    </row>
    <row r="1765" spans="49:49" ht="15" customHeight="1">
      <c r="AW1765" s="110">
        <v>1484</v>
      </c>
    </row>
    <row r="1766" spans="49:49" ht="15" customHeight="1">
      <c r="AW1766" s="110">
        <v>1485</v>
      </c>
    </row>
    <row r="1767" spans="49:49" ht="15" customHeight="1">
      <c r="AW1767" s="110">
        <v>1486</v>
      </c>
    </row>
    <row r="1768" spans="49:49" ht="15" customHeight="1">
      <c r="AW1768" s="110">
        <v>1487</v>
      </c>
    </row>
    <row r="1769" spans="49:49" ht="15" customHeight="1">
      <c r="AW1769" s="110">
        <v>1488</v>
      </c>
    </row>
    <row r="1770" spans="49:49" ht="15" customHeight="1">
      <c r="AW1770" s="110">
        <v>1489</v>
      </c>
    </row>
    <row r="1771" spans="49:49" ht="15" customHeight="1">
      <c r="AW1771" s="110">
        <v>1490</v>
      </c>
    </row>
    <row r="1772" spans="49:49" ht="15" customHeight="1">
      <c r="AW1772" s="110">
        <v>1491</v>
      </c>
    </row>
    <row r="1773" spans="49:49" ht="15" customHeight="1">
      <c r="AW1773" s="110">
        <v>1492</v>
      </c>
    </row>
  </sheetData>
  <mergeCells count="30">
    <mergeCell ref="T8:AL8"/>
    <mergeCell ref="B280:C280"/>
    <mergeCell ref="D279:N279"/>
    <mergeCell ref="D280:N280"/>
    <mergeCell ref="B277:C277"/>
    <mergeCell ref="D277:O277"/>
    <mergeCell ref="B278:C278"/>
    <mergeCell ref="D278:O278"/>
    <mergeCell ref="D242:O242"/>
    <mergeCell ref="B242:C242"/>
    <mergeCell ref="D276:N276"/>
    <mergeCell ref="B276:C276"/>
    <mergeCell ref="D275:N275"/>
    <mergeCell ref="B275:C275"/>
    <mergeCell ref="D274:N274"/>
    <mergeCell ref="B274:C274"/>
    <mergeCell ref="D257:N257"/>
    <mergeCell ref="D258:O258"/>
    <mergeCell ref="D259:O259"/>
    <mergeCell ref="D260:N260"/>
    <mergeCell ref="F266:Q266"/>
    <mergeCell ref="F269:Q269"/>
    <mergeCell ref="F270:Q270"/>
    <mergeCell ref="F271:P271"/>
    <mergeCell ref="F262:P262"/>
    <mergeCell ref="F263:Q263"/>
    <mergeCell ref="F268:P268"/>
    <mergeCell ref="F264:P264"/>
    <mergeCell ref="F265:Q265"/>
    <mergeCell ref="F267:P267"/>
  </mergeCells>
  <conditionalFormatting sqref="AP296:AR298">
    <cfRule type="colorScale" priority="3">
      <colorScale>
        <cfvo type="formula" val="$Q$210*0.5"/>
        <cfvo type="num" val="$Q$210"/>
        <cfvo type="formula" val="$Q$210*2"/>
        <color rgb="FFF8696B"/>
        <color rgb="FFFCFCFF"/>
        <color rgb="FF63BE7B"/>
      </colorScale>
    </cfRule>
  </conditionalFormatting>
  <conditionalFormatting sqref="AP286:AT290 AP299:AT300 AP297:AR298 AS294:AT298">
    <cfRule type="colorScale" priority="2">
      <colorScale>
        <cfvo type="formula" val="$Q$210*0.5"/>
        <cfvo type="num" val="$Q$210"/>
        <cfvo type="formula" val="$Q$210*2"/>
        <color rgb="FFF8696B"/>
        <color rgb="FFFCFCFF"/>
        <color rgb="FF63BE7B"/>
      </colorScale>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T395"/>
  <sheetViews>
    <sheetView showGridLines="0" zoomScale="74" zoomScaleNormal="55" workbookViewId="0">
      <selection activeCell="H18" sqref="H18"/>
    </sheetView>
  </sheetViews>
  <sheetFormatPr defaultColWidth="8.625" defaultRowHeight="14.1"/>
  <cols>
    <col min="1" max="1" width="2.125" customWidth="1"/>
    <col min="2" max="2" width="18.125" customWidth="1"/>
    <col min="3" max="3" width="25.125" bestFit="1" customWidth="1"/>
    <col min="6" max="6" width="13.125" customWidth="1"/>
    <col min="7" max="11" width="11.125" style="26" bestFit="1" customWidth="1"/>
    <col min="12" max="17" width="10.625" style="26" customWidth="1"/>
    <col min="18" max="18" width="21.625" style="6" customWidth="1"/>
  </cols>
  <sheetData>
    <row r="2" spans="1:18" s="41" customFormat="1" ht="20.100000000000001" customHeight="1">
      <c r="B2" s="40" t="s">
        <v>514</v>
      </c>
      <c r="G2" s="199"/>
      <c r="H2" s="199"/>
      <c r="I2" s="199"/>
      <c r="J2" s="199"/>
      <c r="K2" s="199"/>
      <c r="L2" s="199"/>
      <c r="M2" s="199"/>
      <c r="N2" s="199"/>
      <c r="O2" s="199"/>
      <c r="P2" s="199"/>
      <c r="Q2" s="199"/>
      <c r="R2" s="42"/>
    </row>
    <row r="3" spans="1:18" ht="14.45">
      <c r="B3" s="72" t="s">
        <v>515</v>
      </c>
      <c r="Q3" s="236"/>
    </row>
    <row r="4" spans="1:18" ht="15.6">
      <c r="A4" t="s">
        <v>392</v>
      </c>
      <c r="B4" s="200" t="s">
        <v>271</v>
      </c>
      <c r="C4" s="56"/>
      <c r="D4" s="56"/>
      <c r="E4" s="56"/>
      <c r="F4" s="56"/>
      <c r="G4" s="201">
        <v>2014</v>
      </c>
      <c r="H4" s="201">
        <f>+G4+1</f>
        <v>2015</v>
      </c>
      <c r="I4" s="201">
        <f t="shared" ref="I4:M4" si="0">+H4+1</f>
        <v>2016</v>
      </c>
      <c r="J4" s="201">
        <f t="shared" si="0"/>
        <v>2017</v>
      </c>
      <c r="K4" s="201">
        <f t="shared" si="0"/>
        <v>2018</v>
      </c>
      <c r="L4" s="201">
        <f t="shared" si="0"/>
        <v>2019</v>
      </c>
      <c r="M4" s="201">
        <f t="shared" si="0"/>
        <v>2020</v>
      </c>
      <c r="N4" s="201">
        <f>+M4+1</f>
        <v>2021</v>
      </c>
      <c r="O4" s="201">
        <f>+N4+1</f>
        <v>2022</v>
      </c>
      <c r="P4" s="201">
        <f t="shared" ref="P4" si="1">+O4+1</f>
        <v>2023</v>
      </c>
      <c r="Q4" s="201">
        <f>+P4+1</f>
        <v>2024</v>
      </c>
      <c r="R4" s="58" t="str">
        <f>"CAGR "&amp;$G$4&amp;" - "&amp;$Q$4</f>
        <v>CAGR 2014 - 2024</v>
      </c>
    </row>
    <row r="5" spans="1:18" ht="3.95" customHeight="1">
      <c r="B5" s="53"/>
      <c r="C5" s="53"/>
      <c r="D5" s="53"/>
      <c r="E5" s="53"/>
      <c r="F5" s="53"/>
      <c r="G5" s="202"/>
      <c r="H5" s="202"/>
      <c r="I5" s="202"/>
      <c r="J5" s="202"/>
      <c r="K5" s="202"/>
      <c r="L5" s="202"/>
      <c r="M5" s="202"/>
      <c r="N5" s="202"/>
      <c r="O5" s="202"/>
      <c r="P5" s="202"/>
      <c r="Q5" s="202"/>
      <c r="R5" s="59"/>
    </row>
    <row r="6" spans="1:18">
      <c r="B6" s="1" t="s">
        <v>431</v>
      </c>
      <c r="G6" s="203">
        <v>4147</v>
      </c>
      <c r="H6" s="203">
        <v>4795</v>
      </c>
      <c r="I6" s="203">
        <v>5854</v>
      </c>
      <c r="J6" s="203">
        <v>7301</v>
      </c>
      <c r="K6" s="203">
        <v>9030</v>
      </c>
      <c r="L6" s="203">
        <v>11171</v>
      </c>
      <c r="M6" s="203">
        <v>12868</v>
      </c>
      <c r="N6" s="203">
        <v>15785</v>
      </c>
      <c r="O6" s="203">
        <v>17606</v>
      </c>
      <c r="P6" s="203">
        <v>19409</v>
      </c>
      <c r="Q6" s="203">
        <v>21505</v>
      </c>
      <c r="R6" s="61">
        <f t="shared" ref="R6:R26" si="2">IFERROR((Q6/G6)^(1/COUNT($G$4:$Q$4))-1,"")</f>
        <v>0.16140130620171278</v>
      </c>
    </row>
    <row r="7" spans="1:18">
      <c r="B7" t="s">
        <v>276</v>
      </c>
      <c r="G7" s="203">
        <v>622</v>
      </c>
      <c r="H7" s="203">
        <v>744</v>
      </c>
      <c r="I7" s="203">
        <v>820</v>
      </c>
      <c r="J7" s="203">
        <v>1010</v>
      </c>
      <c r="K7" s="203">
        <v>1194</v>
      </c>
      <c r="L7" s="203">
        <v>1673</v>
      </c>
      <c r="M7" s="203">
        <v>1722</v>
      </c>
      <c r="N7" s="203">
        <v>1865</v>
      </c>
      <c r="O7" s="203">
        <v>2165</v>
      </c>
      <c r="P7" s="203">
        <v>2354</v>
      </c>
      <c r="Q7" s="203">
        <v>2538</v>
      </c>
      <c r="R7" s="61">
        <f t="shared" si="2"/>
        <v>0.13636616414810265</v>
      </c>
    </row>
    <row r="8" spans="1:18">
      <c r="B8" s="1" t="s">
        <v>277</v>
      </c>
      <c r="G8" s="204">
        <f>G6-G7</f>
        <v>3525</v>
      </c>
      <c r="H8" s="204">
        <f t="shared" ref="H8:Q8" si="3">H6-H7</f>
        <v>4051</v>
      </c>
      <c r="I8" s="204">
        <f t="shared" si="3"/>
        <v>5034</v>
      </c>
      <c r="J8" s="204">
        <f t="shared" si="3"/>
        <v>6291</v>
      </c>
      <c r="K8" s="204">
        <f t="shared" si="3"/>
        <v>7836</v>
      </c>
      <c r="L8" s="204">
        <f t="shared" si="3"/>
        <v>9498</v>
      </c>
      <c r="M8" s="204">
        <f t="shared" si="3"/>
        <v>11146</v>
      </c>
      <c r="N8" s="204">
        <f t="shared" si="3"/>
        <v>13920</v>
      </c>
      <c r="O8" s="204">
        <f t="shared" si="3"/>
        <v>15441</v>
      </c>
      <c r="P8" s="204">
        <f t="shared" si="3"/>
        <v>17055</v>
      </c>
      <c r="Q8" s="204">
        <f t="shared" si="3"/>
        <v>18967</v>
      </c>
      <c r="R8" s="63">
        <f t="shared" si="2"/>
        <v>0.1653059303507427</v>
      </c>
    </row>
    <row r="9" spans="1:18">
      <c r="B9" t="s">
        <v>434</v>
      </c>
      <c r="G9" s="203">
        <v>1652</v>
      </c>
      <c r="H9" s="203">
        <v>1683</v>
      </c>
      <c r="I9" s="203">
        <v>1910</v>
      </c>
      <c r="J9" s="203">
        <v>2197</v>
      </c>
      <c r="K9" s="203">
        <v>2620</v>
      </c>
      <c r="L9" s="203">
        <v>3244</v>
      </c>
      <c r="M9" s="203">
        <v>3951</v>
      </c>
      <c r="N9" s="203">
        <v>4321</v>
      </c>
      <c r="O9" s="203">
        <v>5170</v>
      </c>
      <c r="P9" s="203">
        <v>6764</v>
      </c>
      <c r="Q9" s="203">
        <v>5764</v>
      </c>
      <c r="R9" s="61">
        <f t="shared" si="2"/>
        <v>0.12030849706271418</v>
      </c>
    </row>
    <row r="10" spans="1:18">
      <c r="B10" t="s">
        <v>284</v>
      </c>
      <c r="G10" s="203">
        <v>844</v>
      </c>
      <c r="H10" s="203">
        <v>862</v>
      </c>
      <c r="I10" s="203">
        <v>976</v>
      </c>
      <c r="J10" s="203">
        <v>1224</v>
      </c>
      <c r="K10" s="203">
        <v>1537</v>
      </c>
      <c r="L10" s="203">
        <v>1930</v>
      </c>
      <c r="M10" s="203">
        <v>2188</v>
      </c>
      <c r="N10" s="203">
        <v>2540</v>
      </c>
      <c r="O10" s="203">
        <v>2987</v>
      </c>
      <c r="P10" s="203">
        <v>3473</v>
      </c>
      <c r="Q10" s="203">
        <v>3944</v>
      </c>
      <c r="R10" s="61">
        <f t="shared" si="2"/>
        <v>0.15046185483222274</v>
      </c>
    </row>
    <row r="11" spans="1:18">
      <c r="B11" t="s">
        <v>435</v>
      </c>
      <c r="G11" s="203">
        <v>543</v>
      </c>
      <c r="H11" s="203">
        <v>532</v>
      </c>
      <c r="I11" s="203">
        <v>576</v>
      </c>
      <c r="J11" s="203">
        <v>624</v>
      </c>
      <c r="K11" s="203">
        <v>744</v>
      </c>
      <c r="L11" s="203">
        <v>881</v>
      </c>
      <c r="M11" s="203">
        <v>968</v>
      </c>
      <c r="N11" s="203">
        <v>1085</v>
      </c>
      <c r="O11" s="203">
        <v>1098</v>
      </c>
      <c r="P11" s="203">
        <v>0</v>
      </c>
      <c r="Q11" s="203">
        <v>1529</v>
      </c>
      <c r="R11" s="61">
        <f t="shared" si="2"/>
        <v>9.8685576762940874E-2</v>
      </c>
    </row>
    <row r="12" spans="1:18">
      <c r="B12" s="1" t="s">
        <v>223</v>
      </c>
      <c r="G12" s="205">
        <f>+G8-G9-G10-G11</f>
        <v>486</v>
      </c>
      <c r="H12" s="205">
        <f t="shared" ref="H12:Q12" si="4">+H8-H9-H10-H11</f>
        <v>974</v>
      </c>
      <c r="I12" s="205">
        <f t="shared" si="4"/>
        <v>1572</v>
      </c>
      <c r="J12" s="205">
        <f t="shared" si="4"/>
        <v>2246</v>
      </c>
      <c r="K12" s="205">
        <f t="shared" si="4"/>
        <v>2935</v>
      </c>
      <c r="L12" s="205">
        <f t="shared" si="4"/>
        <v>3443</v>
      </c>
      <c r="M12" s="205">
        <f t="shared" si="4"/>
        <v>4039</v>
      </c>
      <c r="N12" s="205">
        <f t="shared" si="4"/>
        <v>5974</v>
      </c>
      <c r="O12" s="205">
        <f t="shared" si="4"/>
        <v>6186</v>
      </c>
      <c r="P12" s="205">
        <f t="shared" si="4"/>
        <v>6818</v>
      </c>
      <c r="Q12" s="205">
        <f t="shared" si="4"/>
        <v>7730</v>
      </c>
      <c r="R12" s="63">
        <f t="shared" si="2"/>
        <v>0.28597108095722779</v>
      </c>
    </row>
    <row r="13" spans="1:18">
      <c r="B13" t="s">
        <v>436</v>
      </c>
      <c r="G13" s="219">
        <v>312</v>
      </c>
      <c r="H13" s="219">
        <v>335</v>
      </c>
      <c r="I13" s="219">
        <v>332</v>
      </c>
      <c r="J13" s="219">
        <v>325</v>
      </c>
      <c r="K13" s="219">
        <v>346</v>
      </c>
      <c r="L13" s="219">
        <v>757</v>
      </c>
      <c r="M13" s="219">
        <v>757</v>
      </c>
      <c r="N13" s="219">
        <v>788</v>
      </c>
      <c r="O13" s="219">
        <v>856</v>
      </c>
      <c r="P13" s="219">
        <v>872</v>
      </c>
      <c r="Q13" s="219">
        <v>857</v>
      </c>
      <c r="R13" s="61">
        <f t="shared" si="2"/>
        <v>9.6208823534631449E-2</v>
      </c>
    </row>
    <row r="14" spans="1:18" ht="14.45">
      <c r="B14" s="239" t="s">
        <v>438</v>
      </c>
      <c r="G14" s="240">
        <f t="shared" ref="G14:O14" si="5">G13-G15</f>
        <v>259</v>
      </c>
      <c r="H14" s="240">
        <f t="shared" si="5"/>
        <v>267</v>
      </c>
      <c r="I14" s="240">
        <f t="shared" si="5"/>
        <v>254</v>
      </c>
      <c r="J14" s="240">
        <f t="shared" si="5"/>
        <v>249</v>
      </c>
      <c r="K14" s="240">
        <f t="shared" si="5"/>
        <v>255</v>
      </c>
      <c r="L14" s="240">
        <f t="shared" si="5"/>
        <v>582</v>
      </c>
      <c r="M14" s="240">
        <f t="shared" si="5"/>
        <v>595</v>
      </c>
      <c r="N14" s="240">
        <f t="shared" si="5"/>
        <v>616</v>
      </c>
      <c r="O14" s="240">
        <f t="shared" si="5"/>
        <v>687</v>
      </c>
      <c r="P14" s="240">
        <f>P13-P15</f>
        <v>704</v>
      </c>
      <c r="Q14" s="240">
        <f>Q13-Q15</f>
        <v>690</v>
      </c>
      <c r="R14" s="61">
        <f t="shared" si="2"/>
        <v>9.3166470092737708E-2</v>
      </c>
    </row>
    <row r="15" spans="1:18" ht="14.45">
      <c r="B15" s="239" t="s">
        <v>440</v>
      </c>
      <c r="G15" s="256">
        <v>53</v>
      </c>
      <c r="H15" s="256">
        <v>68</v>
      </c>
      <c r="I15" s="256">
        <v>78</v>
      </c>
      <c r="J15" s="256">
        <v>76</v>
      </c>
      <c r="K15" s="256">
        <v>91</v>
      </c>
      <c r="L15" s="256">
        <v>175</v>
      </c>
      <c r="M15" s="256">
        <v>162</v>
      </c>
      <c r="N15" s="256">
        <v>172</v>
      </c>
      <c r="O15" s="256">
        <v>169</v>
      </c>
      <c r="P15" s="256">
        <v>168</v>
      </c>
      <c r="Q15" s="256">
        <v>167</v>
      </c>
      <c r="R15" s="61">
        <f t="shared" si="2"/>
        <v>0.10997393854510862</v>
      </c>
    </row>
    <row r="16" spans="1:18">
      <c r="B16" s="1" t="s">
        <v>278</v>
      </c>
      <c r="G16" s="205">
        <f>+G12-G13</f>
        <v>174</v>
      </c>
      <c r="H16" s="205">
        <f t="shared" ref="H16:Q16" si="6">+H12-H13</f>
        <v>639</v>
      </c>
      <c r="I16" s="205">
        <f t="shared" si="6"/>
        <v>1240</v>
      </c>
      <c r="J16" s="205">
        <f t="shared" si="6"/>
        <v>1921</v>
      </c>
      <c r="K16" s="205">
        <f t="shared" si="6"/>
        <v>2589</v>
      </c>
      <c r="L16" s="205">
        <f t="shared" si="6"/>
        <v>2686</v>
      </c>
      <c r="M16" s="205">
        <f t="shared" si="6"/>
        <v>3282</v>
      </c>
      <c r="N16" s="205">
        <v>5802</v>
      </c>
      <c r="O16" s="205">
        <v>6098</v>
      </c>
      <c r="P16" s="205">
        <f t="shared" si="6"/>
        <v>5946</v>
      </c>
      <c r="Q16" s="205">
        <f t="shared" si="6"/>
        <v>6873</v>
      </c>
      <c r="R16" s="63">
        <f t="shared" si="2"/>
        <v>0.39683526390198209</v>
      </c>
    </row>
    <row r="17" spans="1:18">
      <c r="B17" t="s">
        <v>279</v>
      </c>
      <c r="G17" s="219">
        <f>+G18-G19</f>
        <v>60</v>
      </c>
      <c r="H17" s="219">
        <f t="shared" ref="H17:Q17" si="7">+H18-H19</f>
        <v>35</v>
      </c>
      <c r="I17" s="219">
        <f t="shared" si="7"/>
        <v>23</v>
      </c>
      <c r="J17" s="219">
        <f t="shared" si="7"/>
        <v>8</v>
      </c>
      <c r="K17" s="219">
        <f t="shared" si="7"/>
        <v>-3</v>
      </c>
      <c r="L17" s="219">
        <f t="shared" si="7"/>
        <v>89</v>
      </c>
      <c r="M17" s="219">
        <f t="shared" si="7"/>
        <v>73</v>
      </c>
      <c r="N17" s="219">
        <f t="shared" si="7"/>
        <v>96</v>
      </c>
      <c r="O17" s="219">
        <f t="shared" si="7"/>
        <v>51</v>
      </c>
      <c r="P17" s="219">
        <f t="shared" si="7"/>
        <v>-156</v>
      </c>
      <c r="Q17" s="219">
        <f t="shared" si="7"/>
        <v>-172</v>
      </c>
      <c r="R17" s="61">
        <f t="shared" si="2"/>
        <v>-2.1004738957255955</v>
      </c>
    </row>
    <row r="18" spans="1:18" ht="14.45">
      <c r="B18" s="239" t="s">
        <v>443</v>
      </c>
      <c r="C18" s="72"/>
      <c r="D18" s="72"/>
      <c r="E18" s="72"/>
      <c r="G18" s="240">
        <v>60</v>
      </c>
      <c r="H18" s="240">
        <v>64</v>
      </c>
      <c r="I18" s="240">
        <v>70</v>
      </c>
      <c r="J18" s="240">
        <v>74</v>
      </c>
      <c r="K18" s="240">
        <v>89</v>
      </c>
      <c r="L18" s="240">
        <v>157</v>
      </c>
      <c r="M18" s="240">
        <v>116</v>
      </c>
      <c r="N18" s="240">
        <v>113</v>
      </c>
      <c r="O18" s="240">
        <v>112</v>
      </c>
      <c r="P18" s="240">
        <v>113</v>
      </c>
      <c r="Q18" s="240">
        <v>169</v>
      </c>
      <c r="R18" s="61">
        <f t="shared" si="2"/>
        <v>9.8714968663844882E-2</v>
      </c>
    </row>
    <row r="19" spans="1:18" ht="14.45">
      <c r="B19" s="239" t="s">
        <v>445</v>
      </c>
      <c r="C19" s="72"/>
      <c r="D19" s="72"/>
      <c r="E19" s="72"/>
      <c r="G19" s="240">
        <v>0</v>
      </c>
      <c r="H19" s="240">
        <v>29</v>
      </c>
      <c r="I19" s="240">
        <v>47</v>
      </c>
      <c r="J19" s="240">
        <v>66</v>
      </c>
      <c r="K19" s="240">
        <v>92</v>
      </c>
      <c r="L19" s="240">
        <v>68</v>
      </c>
      <c r="M19" s="240">
        <v>43</v>
      </c>
      <c r="N19" s="240">
        <v>17</v>
      </c>
      <c r="O19" s="240">
        <v>61</v>
      </c>
      <c r="P19" s="240">
        <v>269</v>
      </c>
      <c r="Q19" s="240">
        <v>341</v>
      </c>
      <c r="R19" s="61" t="str">
        <f t="shared" si="2"/>
        <v/>
      </c>
    </row>
    <row r="20" spans="1:18">
      <c r="B20" t="s">
        <v>447</v>
      </c>
      <c r="G20" s="203">
        <v>19</v>
      </c>
      <c r="H20" s="203">
        <v>20</v>
      </c>
      <c r="I20" s="203">
        <v>36</v>
      </c>
      <c r="J20" s="203">
        <v>31</v>
      </c>
      <c r="K20" s="203">
        <v>42</v>
      </c>
      <c r="L20" s="203">
        <v>26</v>
      </c>
      <c r="M20" s="203">
        <v>2</v>
      </c>
      <c r="N20" s="203">
        <v>17</v>
      </c>
      <c r="O20" s="203">
        <v>21</v>
      </c>
      <c r="P20" s="203">
        <v>17</v>
      </c>
      <c r="Q20" s="203">
        <v>29</v>
      </c>
      <c r="R20" s="61">
        <f t="shared" si="2"/>
        <v>3.9189967111233237E-2</v>
      </c>
    </row>
    <row r="21" spans="1:18">
      <c r="B21" t="s">
        <v>448</v>
      </c>
      <c r="G21" s="203">
        <f t="shared" ref="G21:L21" si="8">G22-G16-G18-G19-G20</f>
        <v>108</v>
      </c>
      <c r="H21" s="203">
        <f t="shared" si="8"/>
        <v>122</v>
      </c>
      <c r="I21" s="203">
        <f t="shared" si="8"/>
        <v>42</v>
      </c>
      <c r="J21" s="203">
        <f t="shared" si="8"/>
        <v>45</v>
      </c>
      <c r="K21" s="203">
        <f t="shared" si="8"/>
        <v>-19</v>
      </c>
      <c r="L21" s="203">
        <f t="shared" si="8"/>
        <v>268</v>
      </c>
      <c r="M21" s="203">
        <f>M22-M16-M18-M19-M20</f>
        <v>733</v>
      </c>
      <c r="N21" s="203">
        <f t="shared" ref="N21:O21" si="9">N22-N16-N18-N19-N20</f>
        <v>-244</v>
      </c>
      <c r="O21" s="203">
        <f t="shared" si="9"/>
        <v>-284</v>
      </c>
      <c r="P21" s="203">
        <f>P22-P16-P18-P19-P20</f>
        <v>454</v>
      </c>
      <c r="Q21" s="203">
        <f>Q22-Q16-Q18-Q19-Q20</f>
        <v>-481</v>
      </c>
      <c r="R21" s="61">
        <f t="shared" si="2"/>
        <v>-2.1454461201708326</v>
      </c>
    </row>
    <row r="22" spans="1:18">
      <c r="B22" s="1" t="s">
        <v>280</v>
      </c>
      <c r="D22" s="1"/>
      <c r="E22" s="1"/>
      <c r="G22" s="452">
        <v>361</v>
      </c>
      <c r="H22" s="452">
        <v>874</v>
      </c>
      <c r="I22" s="452">
        <v>1435</v>
      </c>
      <c r="J22" s="452">
        <v>2137</v>
      </c>
      <c r="K22" s="452">
        <v>2793</v>
      </c>
      <c r="L22" s="452">
        <v>3205</v>
      </c>
      <c r="M22" s="452">
        <v>4176</v>
      </c>
      <c r="N22" s="452">
        <v>5705</v>
      </c>
      <c r="O22" s="452">
        <v>6008</v>
      </c>
      <c r="P22" s="452">
        <v>6799</v>
      </c>
      <c r="Q22" s="452">
        <v>6931</v>
      </c>
      <c r="R22" s="63">
        <f t="shared" si="2"/>
        <v>0.30816525129083061</v>
      </c>
    </row>
    <row r="23" spans="1:18">
      <c r="B23" t="s">
        <v>281</v>
      </c>
      <c r="G23" s="203">
        <v>93</v>
      </c>
      <c r="H23" s="203">
        <v>244</v>
      </c>
      <c r="I23" s="203">
        <v>266</v>
      </c>
      <c r="J23" s="203">
        <v>443</v>
      </c>
      <c r="K23" s="203">
        <v>203</v>
      </c>
      <c r="L23" s="203">
        <v>254</v>
      </c>
      <c r="M23" s="203">
        <v>-1084</v>
      </c>
      <c r="N23" s="203">
        <v>883</v>
      </c>
      <c r="O23" s="203">
        <v>1252</v>
      </c>
      <c r="P23" s="203">
        <v>1371</v>
      </c>
      <c r="Q23" s="203">
        <v>1371</v>
      </c>
      <c r="R23" s="61">
        <f t="shared" si="2"/>
        <v>0.27712153425724995</v>
      </c>
    </row>
    <row r="24" spans="1:18">
      <c r="B24" s="1" t="s">
        <v>282</v>
      </c>
      <c r="G24" s="205">
        <f>+G22-G23</f>
        <v>268</v>
      </c>
      <c r="H24" s="205">
        <f t="shared" ref="H24:Q24" si="10">+H22-H23</f>
        <v>630</v>
      </c>
      <c r="I24" s="205">
        <f t="shared" si="10"/>
        <v>1169</v>
      </c>
      <c r="J24" s="205">
        <f t="shared" si="10"/>
        <v>1694</v>
      </c>
      <c r="K24" s="205">
        <f t="shared" si="10"/>
        <v>2590</v>
      </c>
      <c r="L24" s="205">
        <f t="shared" si="10"/>
        <v>2951</v>
      </c>
      <c r="M24" s="205">
        <f t="shared" si="10"/>
        <v>5260</v>
      </c>
      <c r="N24" s="205">
        <f t="shared" si="10"/>
        <v>4822</v>
      </c>
      <c r="O24" s="205">
        <f t="shared" si="10"/>
        <v>4756</v>
      </c>
      <c r="P24" s="205">
        <v>5428</v>
      </c>
      <c r="Q24" s="205">
        <f t="shared" si="10"/>
        <v>5560</v>
      </c>
      <c r="R24" s="63">
        <f t="shared" si="2"/>
        <v>0.3174126156342767</v>
      </c>
    </row>
    <row r="25" spans="1:18">
      <c r="B25" s="1" t="s">
        <v>283</v>
      </c>
      <c r="G25" s="206">
        <v>0.57999999999999996</v>
      </c>
      <c r="H25" s="206">
        <v>1.26</v>
      </c>
      <c r="I25" s="206">
        <v>2.35</v>
      </c>
      <c r="J25" s="206">
        <v>3.43</v>
      </c>
      <c r="K25" s="206">
        <v>5.28</v>
      </c>
      <c r="L25" s="206">
        <v>6.07</v>
      </c>
      <c r="M25" s="206">
        <v>10.94</v>
      </c>
      <c r="N25" s="206">
        <v>10.1</v>
      </c>
      <c r="O25" s="206">
        <v>10.130000000000001</v>
      </c>
      <c r="P25" s="206">
        <v>11.87</v>
      </c>
      <c r="Q25" s="206">
        <v>12.43</v>
      </c>
      <c r="R25" s="63">
        <f t="shared" si="2"/>
        <v>0.32130756460179954</v>
      </c>
    </row>
    <row r="26" spans="1:18">
      <c r="B26" s="1" t="s">
        <v>516</v>
      </c>
      <c r="G26" s="206">
        <v>0.56000000000000005</v>
      </c>
      <c r="H26" s="206">
        <v>1.24</v>
      </c>
      <c r="I26" s="206">
        <v>2.3199999999999998</v>
      </c>
      <c r="J26" s="206">
        <v>3.38</v>
      </c>
      <c r="K26" s="206">
        <v>5.2</v>
      </c>
      <c r="L26" s="206">
        <v>6</v>
      </c>
      <c r="M26" s="206">
        <v>10.83</v>
      </c>
      <c r="N26" s="206">
        <v>10.02</v>
      </c>
      <c r="O26" s="206">
        <v>10.1</v>
      </c>
      <c r="P26" s="206" t="s">
        <v>517</v>
      </c>
      <c r="Q26" s="206" t="s">
        <v>518</v>
      </c>
      <c r="R26" s="63">
        <f t="shared" si="2"/>
        <v>0.32484906621887188</v>
      </c>
    </row>
    <row r="27" spans="1:18">
      <c r="B27" t="s">
        <v>519</v>
      </c>
      <c r="G27" s="203">
        <v>501</v>
      </c>
      <c r="H27" s="203">
        <v>498</v>
      </c>
      <c r="I27" s="203">
        <v>498</v>
      </c>
      <c r="J27" s="203">
        <v>493</v>
      </c>
      <c r="K27" s="203">
        <v>490</v>
      </c>
      <c r="L27" s="203">
        <v>486</v>
      </c>
      <c r="M27" s="203">
        <v>481</v>
      </c>
      <c r="N27" s="203">
        <v>477</v>
      </c>
      <c r="O27" s="203">
        <v>470</v>
      </c>
      <c r="P27" s="203">
        <v>457</v>
      </c>
      <c r="Q27" s="203">
        <v>447</v>
      </c>
      <c r="R27" s="61" t="s">
        <v>520</v>
      </c>
    </row>
    <row r="28" spans="1:18">
      <c r="B28" t="s">
        <v>521</v>
      </c>
      <c r="G28" s="203">
        <v>513</v>
      </c>
      <c r="H28" s="203">
        <v>507</v>
      </c>
      <c r="I28" s="203">
        <v>504</v>
      </c>
      <c r="J28" s="203">
        <v>501</v>
      </c>
      <c r="K28" s="203">
        <v>498</v>
      </c>
      <c r="L28" s="203">
        <v>492</v>
      </c>
      <c r="M28" s="203">
        <v>485</v>
      </c>
      <c r="N28" s="203">
        <v>481</v>
      </c>
      <c r="O28" s="203">
        <v>471</v>
      </c>
      <c r="P28" s="203">
        <v>459</v>
      </c>
      <c r="Q28" s="203">
        <v>450</v>
      </c>
      <c r="R28" s="61">
        <f>IFERROR((Q28/G28)^(1/COUNT($G$4:$Q$4))-1,"")</f>
        <v>-1.1840997243581453E-2</v>
      </c>
    </row>
    <row r="29" spans="1:18" ht="3.95" customHeight="1"/>
    <row r="30" spans="1:18" ht="15.6">
      <c r="A30" t="s">
        <v>392</v>
      </c>
      <c r="B30" s="52" t="s">
        <v>285</v>
      </c>
      <c r="C30" s="56"/>
      <c r="D30" s="56"/>
      <c r="E30" s="56"/>
      <c r="F30" s="56"/>
      <c r="G30" s="201">
        <v>2014</v>
      </c>
      <c r="H30" s="201">
        <f>+G30+1</f>
        <v>2015</v>
      </c>
      <c r="I30" s="201">
        <f t="shared" ref="I30:M30" si="11">+H30+1</f>
        <v>2016</v>
      </c>
      <c r="J30" s="201">
        <f t="shared" si="11"/>
        <v>2017</v>
      </c>
      <c r="K30" s="201">
        <f t="shared" si="11"/>
        <v>2018</v>
      </c>
      <c r="L30" s="201">
        <f t="shared" si="11"/>
        <v>2019</v>
      </c>
      <c r="M30" s="201">
        <f t="shared" si="11"/>
        <v>2020</v>
      </c>
      <c r="N30" s="201">
        <f>+M30+1</f>
        <v>2021</v>
      </c>
      <c r="O30" s="201">
        <f>+N30+1</f>
        <v>2022</v>
      </c>
      <c r="P30" s="201">
        <f t="shared" ref="P30" si="12">+O30+1</f>
        <v>2023</v>
      </c>
      <c r="Q30" s="201">
        <f>+P30+1</f>
        <v>2024</v>
      </c>
      <c r="R30" s="58" t="str">
        <f>"CAGR "&amp;$G$4&amp;" - "&amp;$Q$4</f>
        <v>CAGR 2014 - 2024</v>
      </c>
    </row>
    <row r="31" spans="1:18" s="76" customFormat="1" ht="3.95" customHeight="1">
      <c r="B31" s="207"/>
      <c r="C31" s="207"/>
      <c r="D31" s="207"/>
      <c r="E31" s="207"/>
      <c r="F31" s="207"/>
      <c r="G31" s="208"/>
      <c r="H31" s="208"/>
      <c r="I31" s="208"/>
      <c r="J31" s="208"/>
      <c r="K31" s="208"/>
      <c r="L31" s="208"/>
      <c r="M31" s="208"/>
      <c r="N31" s="208"/>
      <c r="O31" s="208"/>
      <c r="P31" s="208"/>
      <c r="Q31" s="208"/>
      <c r="R31" s="59"/>
    </row>
    <row r="32" spans="1:18">
      <c r="B32" t="s">
        <v>452</v>
      </c>
      <c r="G32" s="212">
        <f>+SUM(G33:G34)</f>
        <v>3739</v>
      </c>
      <c r="H32" s="212">
        <f t="shared" ref="H32:Q32" si="13">+SUM(H33:H34)</f>
        <v>3987</v>
      </c>
      <c r="I32" s="212">
        <f t="shared" si="13"/>
        <v>4760</v>
      </c>
      <c r="J32" s="212">
        <f t="shared" si="13"/>
        <v>5819</v>
      </c>
      <c r="K32" s="212">
        <f t="shared" si="13"/>
        <v>3228</v>
      </c>
      <c r="L32" s="212">
        <f t="shared" si="13"/>
        <v>4176</v>
      </c>
      <c r="M32" s="212">
        <f t="shared" si="13"/>
        <v>5992</v>
      </c>
      <c r="N32" s="212">
        <f t="shared" si="13"/>
        <v>5798</v>
      </c>
      <c r="O32" s="212">
        <f t="shared" si="13"/>
        <v>6096</v>
      </c>
      <c r="P32" s="212">
        <f t="shared" si="13"/>
        <v>7842</v>
      </c>
      <c r="Q32" s="212">
        <f t="shared" si="13"/>
        <v>7886</v>
      </c>
      <c r="R32" s="61">
        <f t="shared" ref="R32:R44" si="14">IFERROR((Q32/G32)^(1/COUNT($G$4:$Q$4))-1,"")</f>
        <v>7.0197064116070074E-2</v>
      </c>
    </row>
    <row r="33" spans="2:20" ht="14.45">
      <c r="B33" s="239" t="s">
        <v>286</v>
      </c>
      <c r="C33" s="72"/>
      <c r="D33" s="72"/>
      <c r="E33" s="72"/>
      <c r="G33" s="240">
        <v>1117</v>
      </c>
      <c r="H33" s="240">
        <v>876</v>
      </c>
      <c r="I33" s="240">
        <v>1011</v>
      </c>
      <c r="J33" s="240">
        <v>2306</v>
      </c>
      <c r="K33" s="240">
        <v>1642</v>
      </c>
      <c r="L33" s="240">
        <v>2650</v>
      </c>
      <c r="M33" s="240">
        <v>4478</v>
      </c>
      <c r="N33" s="240">
        <v>3844</v>
      </c>
      <c r="O33" s="240">
        <v>4236</v>
      </c>
      <c r="P33" s="240">
        <v>7141</v>
      </c>
      <c r="Q33" s="240">
        <v>7613</v>
      </c>
      <c r="R33" s="61">
        <f t="shared" si="14"/>
        <v>0.19061943866582842</v>
      </c>
    </row>
    <row r="34" spans="2:20" ht="14.45">
      <c r="B34" s="239" t="s">
        <v>522</v>
      </c>
      <c r="C34" s="72"/>
      <c r="D34" s="72"/>
      <c r="E34" s="72"/>
      <c r="G34" s="240">
        <v>2622</v>
      </c>
      <c r="H34" s="240">
        <v>3111</v>
      </c>
      <c r="I34" s="240">
        <v>3749</v>
      </c>
      <c r="J34" s="240">
        <v>3513</v>
      </c>
      <c r="K34" s="240">
        <v>1586</v>
      </c>
      <c r="L34" s="240">
        <v>1526</v>
      </c>
      <c r="M34" s="240">
        <v>1514</v>
      </c>
      <c r="N34" s="240">
        <v>1954</v>
      </c>
      <c r="O34" s="240">
        <v>1860</v>
      </c>
      <c r="P34" s="240">
        <v>701</v>
      </c>
      <c r="Q34" s="240">
        <v>273</v>
      </c>
      <c r="R34" s="61">
        <f t="shared" si="14"/>
        <v>-0.18588727734667954</v>
      </c>
    </row>
    <row r="35" spans="2:20">
      <c r="B35" t="s">
        <v>287</v>
      </c>
      <c r="G35" s="203">
        <v>592</v>
      </c>
      <c r="H35" s="203">
        <v>672</v>
      </c>
      <c r="I35" s="203">
        <v>833</v>
      </c>
      <c r="J35" s="203">
        <v>1218</v>
      </c>
      <c r="K35" s="203">
        <v>1315</v>
      </c>
      <c r="L35" s="203">
        <v>1534</v>
      </c>
      <c r="M35" s="203">
        <v>1398</v>
      </c>
      <c r="N35" s="203">
        <v>1878</v>
      </c>
      <c r="O35" s="203">
        <v>2065</v>
      </c>
      <c r="P35" s="203">
        <v>2224</v>
      </c>
      <c r="Q35" s="203">
        <v>2072</v>
      </c>
      <c r="R35" s="61">
        <f t="shared" si="14"/>
        <v>0.12062609509010835</v>
      </c>
    </row>
    <row r="36" spans="2:20">
      <c r="B36" t="s">
        <v>454</v>
      </c>
      <c r="G36" s="203">
        <v>0</v>
      </c>
      <c r="H36" s="203">
        <v>0</v>
      </c>
      <c r="I36" s="203">
        <v>0</v>
      </c>
      <c r="J36" s="203">
        <v>0</v>
      </c>
      <c r="K36" s="203">
        <v>0</v>
      </c>
      <c r="L36" s="203">
        <v>0</v>
      </c>
      <c r="M36" s="203">
        <v>0</v>
      </c>
      <c r="N36" s="203">
        <v>0</v>
      </c>
      <c r="O36" s="203">
        <v>0</v>
      </c>
      <c r="P36" s="203">
        <v>0</v>
      </c>
      <c r="Q36" s="203">
        <v>0</v>
      </c>
      <c r="R36" s="61" t="str">
        <f t="shared" si="14"/>
        <v/>
      </c>
    </row>
    <row r="37" spans="2:20">
      <c r="B37" s="38" t="s">
        <v>456</v>
      </c>
      <c r="C37" s="38"/>
      <c r="D37" s="38"/>
      <c r="E37" s="38"/>
      <c r="G37" s="209">
        <f t="shared" ref="G37:Q37" si="15">+G38-G32-G35-G36</f>
        <v>271</v>
      </c>
      <c r="H37" s="209">
        <f t="shared" si="15"/>
        <v>162</v>
      </c>
      <c r="I37" s="209">
        <f t="shared" si="15"/>
        <v>247</v>
      </c>
      <c r="J37" s="209">
        <f t="shared" si="15"/>
        <v>210</v>
      </c>
      <c r="K37" s="209">
        <f t="shared" si="15"/>
        <v>314</v>
      </c>
      <c r="L37" s="209">
        <f t="shared" si="15"/>
        <v>785</v>
      </c>
      <c r="M37" s="209">
        <f t="shared" si="15"/>
        <v>756</v>
      </c>
      <c r="N37" s="209">
        <f t="shared" si="15"/>
        <v>993</v>
      </c>
      <c r="O37" s="209">
        <v>835</v>
      </c>
      <c r="P37" s="209">
        <v>1018</v>
      </c>
      <c r="Q37" s="209">
        <f t="shared" si="15"/>
        <v>1274</v>
      </c>
      <c r="R37" s="210">
        <f t="shared" si="14"/>
        <v>0.15108952911092066</v>
      </c>
      <c r="T37" s="69"/>
    </row>
    <row r="38" spans="2:20" s="1" customFormat="1">
      <c r="B38" s="70" t="s">
        <v>290</v>
      </c>
      <c r="C38" s="70"/>
      <c r="D38" s="70"/>
      <c r="E38" s="70"/>
      <c r="F38" s="574"/>
      <c r="G38" s="237">
        <v>4602</v>
      </c>
      <c r="H38" s="237">
        <v>4821</v>
      </c>
      <c r="I38" s="237">
        <v>5840</v>
      </c>
      <c r="J38" s="237">
        <v>7247</v>
      </c>
      <c r="K38" s="237">
        <v>4857</v>
      </c>
      <c r="L38" s="237">
        <v>6495</v>
      </c>
      <c r="M38" s="237">
        <v>8146</v>
      </c>
      <c r="N38" s="237">
        <v>8669</v>
      </c>
      <c r="O38" s="237">
        <v>8996</v>
      </c>
      <c r="P38" s="237">
        <v>11084</v>
      </c>
      <c r="Q38" s="237">
        <v>11232</v>
      </c>
      <c r="R38" s="211">
        <f t="shared" si="14"/>
        <v>8.4496676657136893E-2</v>
      </c>
    </row>
    <row r="39" spans="2:20">
      <c r="B39" t="s">
        <v>291</v>
      </c>
      <c r="G39" s="238">
        <f t="shared" ref="G39:Q39" si="16">+G40-G41</f>
        <v>785</v>
      </c>
      <c r="H39" s="238">
        <f t="shared" si="16"/>
        <v>787</v>
      </c>
      <c r="I39" s="238">
        <f t="shared" si="16"/>
        <v>817</v>
      </c>
      <c r="J39" s="238">
        <f t="shared" si="16"/>
        <v>937</v>
      </c>
      <c r="K39" s="238">
        <f t="shared" si="16"/>
        <v>1075</v>
      </c>
      <c r="L39" s="238">
        <f t="shared" si="16"/>
        <v>1293</v>
      </c>
      <c r="M39" s="238">
        <f t="shared" si="16"/>
        <v>1517</v>
      </c>
      <c r="N39" s="238">
        <f t="shared" si="16"/>
        <v>1673</v>
      </c>
      <c r="O39" s="238">
        <v>1908</v>
      </c>
      <c r="P39" s="238">
        <v>2030</v>
      </c>
      <c r="Q39" s="238">
        <f t="shared" si="16"/>
        <v>1936</v>
      </c>
      <c r="R39" s="61">
        <f t="shared" si="14"/>
        <v>8.5524447349315302E-2</v>
      </c>
    </row>
    <row r="40" spans="2:20" ht="14.45">
      <c r="B40" s="239" t="s">
        <v>523</v>
      </c>
      <c r="C40" s="72"/>
      <c r="D40" s="72"/>
      <c r="E40" s="72"/>
      <c r="G40" s="240">
        <v>1699</v>
      </c>
      <c r="H40" s="240">
        <v>1758</v>
      </c>
      <c r="I40" s="240">
        <v>1926</v>
      </c>
      <c r="J40" s="240">
        <v>2203</v>
      </c>
      <c r="K40" s="240">
        <v>2480</v>
      </c>
      <c r="L40" s="240">
        <v>2861</v>
      </c>
      <c r="M40" s="240">
        <v>2975</v>
      </c>
      <c r="N40" s="240">
        <v>3124</v>
      </c>
      <c r="O40" s="240">
        <v>3477</v>
      </c>
      <c r="P40" s="240">
        <v>3761</v>
      </c>
      <c r="Q40" s="240">
        <v>3591</v>
      </c>
      <c r="R40" s="61">
        <f t="shared" si="14"/>
        <v>7.0403343374715543E-2</v>
      </c>
    </row>
    <row r="41" spans="2:20" ht="14.45">
      <c r="B41" s="239" t="s">
        <v>460</v>
      </c>
      <c r="C41" s="72"/>
      <c r="D41" s="72"/>
      <c r="E41" s="72"/>
      <c r="G41" s="240">
        <v>914</v>
      </c>
      <c r="H41" s="240">
        <v>971</v>
      </c>
      <c r="I41" s="240">
        <v>1109</v>
      </c>
      <c r="J41" s="240">
        <v>1266</v>
      </c>
      <c r="K41" s="240">
        <v>1405</v>
      </c>
      <c r="L41" s="240">
        <v>1568</v>
      </c>
      <c r="M41" s="240">
        <v>1458</v>
      </c>
      <c r="N41" s="240">
        <v>1451</v>
      </c>
      <c r="O41" s="240">
        <v>1569</v>
      </c>
      <c r="P41" s="240">
        <v>1731</v>
      </c>
      <c r="Q41" s="240">
        <v>1655</v>
      </c>
      <c r="R41" s="61">
        <f t="shared" si="14"/>
        <v>5.5458284104854982E-2</v>
      </c>
    </row>
    <row r="42" spans="2:20">
      <c r="B42" t="s">
        <v>459</v>
      </c>
      <c r="G42" s="269">
        <v>0</v>
      </c>
      <c r="H42" s="269">
        <v>0</v>
      </c>
      <c r="I42" s="269">
        <v>0</v>
      </c>
      <c r="J42" s="269">
        <v>0</v>
      </c>
      <c r="K42" s="269">
        <v>0</v>
      </c>
      <c r="L42" s="269">
        <v>0</v>
      </c>
      <c r="M42" s="269">
        <v>487</v>
      </c>
      <c r="N42" s="269">
        <v>443</v>
      </c>
      <c r="O42" s="269">
        <v>358</v>
      </c>
      <c r="P42" s="269">
        <v>407</v>
      </c>
      <c r="Q42" s="269">
        <v>281</v>
      </c>
      <c r="R42" s="61" t="str">
        <f t="shared" si="14"/>
        <v/>
      </c>
    </row>
    <row r="43" spans="2:20">
      <c r="B43" t="s">
        <v>524</v>
      </c>
      <c r="G43" s="203">
        <f t="shared" ref="G43:N43" si="17">G44+G45</f>
        <v>5190</v>
      </c>
      <c r="H43" s="203">
        <f t="shared" si="17"/>
        <v>5877</v>
      </c>
      <c r="I43" s="203">
        <f t="shared" si="17"/>
        <v>5820</v>
      </c>
      <c r="J43" s="203">
        <f t="shared" si="17"/>
        <v>6207</v>
      </c>
      <c r="K43" s="203">
        <f t="shared" si="17"/>
        <v>12650</v>
      </c>
      <c r="L43" s="203">
        <f t="shared" si="17"/>
        <v>12411</v>
      </c>
      <c r="M43" s="203">
        <f t="shared" si="17"/>
        <v>12101</v>
      </c>
      <c r="N43" s="203">
        <f t="shared" si="17"/>
        <v>14488</v>
      </c>
      <c r="O43" s="203">
        <f t="shared" ref="O43" si="18">O44+O45</f>
        <v>13875</v>
      </c>
      <c r="P43" s="203">
        <f>P44+P45</f>
        <v>14304</v>
      </c>
      <c r="Q43" s="203">
        <f>Q44+Q45</f>
        <v>13893</v>
      </c>
      <c r="R43" s="61">
        <f t="shared" si="14"/>
        <v>9.36423875927892E-2</v>
      </c>
    </row>
    <row r="44" spans="2:20" ht="14.45">
      <c r="B44" s="239" t="s">
        <v>525</v>
      </c>
      <c r="C44" s="72"/>
      <c r="D44" s="72"/>
      <c r="E44" s="72"/>
      <c r="G44" s="240">
        <v>4721</v>
      </c>
      <c r="H44" s="240">
        <v>5367</v>
      </c>
      <c r="I44" s="240">
        <v>5406</v>
      </c>
      <c r="J44" s="240">
        <v>5821</v>
      </c>
      <c r="K44" s="240">
        <v>10581</v>
      </c>
      <c r="L44" s="240">
        <v>10691</v>
      </c>
      <c r="M44" s="240">
        <v>10742</v>
      </c>
      <c r="N44" s="240">
        <v>12668</v>
      </c>
      <c r="O44" s="240">
        <v>12787</v>
      </c>
      <c r="P44" s="240">
        <v>12805</v>
      </c>
      <c r="Q44" s="240">
        <v>12805</v>
      </c>
      <c r="R44" s="61">
        <f t="shared" si="14"/>
        <v>9.495192877675418E-2</v>
      </c>
    </row>
    <row r="45" spans="2:20" ht="14.45">
      <c r="B45" s="239" t="s">
        <v>461</v>
      </c>
      <c r="C45" s="72"/>
      <c r="D45" s="72"/>
      <c r="E45" s="72"/>
      <c r="G45" s="241">
        <v>469</v>
      </c>
      <c r="H45" s="241">
        <v>510</v>
      </c>
      <c r="I45" s="241">
        <v>414</v>
      </c>
      <c r="J45" s="241">
        <v>386</v>
      </c>
      <c r="K45" s="241">
        <v>2069</v>
      </c>
      <c r="L45" s="241">
        <v>1720</v>
      </c>
      <c r="M45" s="241">
        <v>1359</v>
      </c>
      <c r="N45" s="241">
        <v>1820</v>
      </c>
      <c r="O45" s="241">
        <v>1088</v>
      </c>
      <c r="P45" s="241">
        <v>1499</v>
      </c>
      <c r="Q45" s="241">
        <v>1088</v>
      </c>
      <c r="R45" s="61"/>
    </row>
    <row r="46" spans="2:20">
      <c r="B46" s="38" t="s">
        <v>526</v>
      </c>
      <c r="C46" s="38"/>
      <c r="D46" s="38"/>
      <c r="E46" s="38"/>
      <c r="G46" s="209">
        <f>G47-G43-G41-G39</f>
        <v>-706</v>
      </c>
      <c r="H46" s="209">
        <f>H47-H43-H41-H39</f>
        <v>-730</v>
      </c>
      <c r="I46" s="209">
        <f t="shared" ref="I46:M46" si="19">I47-I43-I41-I39</f>
        <v>-879</v>
      </c>
      <c r="J46" s="209">
        <f t="shared" si="19"/>
        <v>-1304</v>
      </c>
      <c r="K46" s="209">
        <f t="shared" si="19"/>
        <v>-1219</v>
      </c>
      <c r="L46" s="209">
        <f t="shared" si="19"/>
        <v>-1004</v>
      </c>
      <c r="M46" s="209">
        <f t="shared" si="19"/>
        <v>1062</v>
      </c>
      <c r="N46" s="209">
        <v>1968</v>
      </c>
      <c r="O46" s="209">
        <v>841</v>
      </c>
      <c r="P46" s="209">
        <v>1223</v>
      </c>
      <c r="Q46" s="209">
        <f>Q47-Q45-Q44-Q42-Q40</f>
        <v>1005</v>
      </c>
      <c r="R46" s="210">
        <f t="shared" ref="R46:R61" si="20">IFERROR((Q46/G46)^(1/COUNT($G$4:$Q$4))-1,"")</f>
        <v>-2.0326233515651473</v>
      </c>
    </row>
    <row r="47" spans="2:20" s="1" customFormat="1" ht="14.45" thickBot="1">
      <c r="B47" s="1" t="s">
        <v>527</v>
      </c>
      <c r="F47" s="573"/>
      <c r="G47" s="213">
        <f>G48-G38</f>
        <v>6183</v>
      </c>
      <c r="H47" s="213">
        <f t="shared" ref="H47:M47" si="21">H48-H38</f>
        <v>6905</v>
      </c>
      <c r="I47" s="213">
        <f t="shared" si="21"/>
        <v>6867</v>
      </c>
      <c r="J47" s="213">
        <f t="shared" si="21"/>
        <v>7106</v>
      </c>
      <c r="K47" s="213">
        <f t="shared" si="21"/>
        <v>13911</v>
      </c>
      <c r="L47" s="213">
        <f t="shared" si="21"/>
        <v>14268</v>
      </c>
      <c r="M47" s="213">
        <f t="shared" si="21"/>
        <v>16138</v>
      </c>
      <c r="N47" s="213">
        <f t="shared" ref="N47" si="22">N39+N42+N43+N46</f>
        <v>18572</v>
      </c>
      <c r="O47" s="213">
        <f>O39+O42+O43+O46</f>
        <v>16982</v>
      </c>
      <c r="P47" s="213">
        <f>P39+P42+P43+P46</f>
        <v>17964</v>
      </c>
      <c r="Q47" s="213">
        <f>Q48-Q38</f>
        <v>18770</v>
      </c>
      <c r="R47" s="214">
        <f t="shared" si="20"/>
        <v>0.10622195885705032</v>
      </c>
    </row>
    <row r="48" spans="2:20" s="1" customFormat="1" ht="14.45" thickBot="1">
      <c r="B48" s="215" t="s">
        <v>292</v>
      </c>
      <c r="C48" s="215"/>
      <c r="D48" s="215"/>
      <c r="E48" s="215"/>
      <c r="F48" s="575"/>
      <c r="G48" s="216">
        <v>10785</v>
      </c>
      <c r="H48" s="216">
        <v>11726</v>
      </c>
      <c r="I48" s="216">
        <v>12707</v>
      </c>
      <c r="J48" s="216">
        <v>14353</v>
      </c>
      <c r="K48" s="216">
        <v>18768</v>
      </c>
      <c r="L48" s="216">
        <v>20763</v>
      </c>
      <c r="M48" s="216">
        <v>24284</v>
      </c>
      <c r="N48" s="216">
        <v>27241</v>
      </c>
      <c r="O48" s="216">
        <v>27165</v>
      </c>
      <c r="P48" s="216">
        <v>29799</v>
      </c>
      <c r="Q48" s="216">
        <v>30002</v>
      </c>
      <c r="R48" s="217">
        <f t="shared" si="20"/>
        <v>9.7472487080097148E-2</v>
      </c>
    </row>
    <row r="49" spans="1:18">
      <c r="B49" t="s">
        <v>293</v>
      </c>
      <c r="G49" s="203">
        <v>68</v>
      </c>
      <c r="H49" s="203">
        <v>93</v>
      </c>
      <c r="I49" s="203">
        <v>88</v>
      </c>
      <c r="J49" s="203">
        <v>113</v>
      </c>
      <c r="K49" s="203">
        <v>186</v>
      </c>
      <c r="L49" s="203">
        <v>210</v>
      </c>
      <c r="M49" s="203">
        <v>306</v>
      </c>
      <c r="N49" s="203">
        <v>312</v>
      </c>
      <c r="O49" s="203">
        <v>379</v>
      </c>
      <c r="P49" s="203">
        <v>314</v>
      </c>
      <c r="Q49" s="203">
        <v>361</v>
      </c>
      <c r="R49" s="61">
        <f t="shared" si="20"/>
        <v>0.16388195636037439</v>
      </c>
    </row>
    <row r="50" spans="1:18">
      <c r="B50" t="s">
        <v>528</v>
      </c>
      <c r="G50" s="212">
        <f>+SUM(G51:G52)</f>
        <v>660</v>
      </c>
      <c r="H50" s="212">
        <f t="shared" ref="H50:N50" si="23">+SUM(H51:H52)</f>
        <v>60</v>
      </c>
      <c r="I50" s="212">
        <f t="shared" si="23"/>
        <v>60</v>
      </c>
      <c r="J50" s="212">
        <f t="shared" si="23"/>
        <v>60</v>
      </c>
      <c r="K50" s="212">
        <f t="shared" si="23"/>
        <v>60</v>
      </c>
      <c r="L50" s="212">
        <f t="shared" si="23"/>
        <v>3210</v>
      </c>
      <c r="M50" s="212">
        <f t="shared" si="23"/>
        <v>92</v>
      </c>
      <c r="N50" s="212">
        <f t="shared" si="23"/>
        <v>97</v>
      </c>
      <c r="O50" s="212">
        <v>587</v>
      </c>
      <c r="P50" s="212">
        <v>73</v>
      </c>
      <c r="Q50" s="212">
        <f>Q51+Q52</f>
        <v>1574</v>
      </c>
      <c r="R50" s="61">
        <f t="shared" si="20"/>
        <v>8.2217662185823492E-2</v>
      </c>
    </row>
    <row r="51" spans="1:18" ht="14.45">
      <c r="B51" s="239" t="s">
        <v>529</v>
      </c>
      <c r="G51" s="240">
        <v>600</v>
      </c>
      <c r="H51" s="240">
        <v>0</v>
      </c>
      <c r="I51" s="240">
        <v>0</v>
      </c>
      <c r="J51" s="240">
        <v>0</v>
      </c>
      <c r="K51" s="240">
        <v>0</v>
      </c>
      <c r="L51" s="240">
        <v>3150</v>
      </c>
      <c r="M51" s="240">
        <v>0</v>
      </c>
      <c r="N51" s="240">
        <v>0</v>
      </c>
      <c r="O51" s="240">
        <v>500</v>
      </c>
      <c r="P51" s="240">
        <v>0</v>
      </c>
      <c r="Q51" s="240">
        <v>1499</v>
      </c>
      <c r="R51" s="61">
        <f t="shared" si="20"/>
        <v>8.6801013551717654E-2</v>
      </c>
    </row>
    <row r="52" spans="1:18" ht="14.45">
      <c r="B52" s="239" t="s">
        <v>530</v>
      </c>
      <c r="G52" s="240">
        <v>60</v>
      </c>
      <c r="H52" s="240">
        <v>60</v>
      </c>
      <c r="I52" s="240">
        <v>60</v>
      </c>
      <c r="J52" s="240">
        <v>60</v>
      </c>
      <c r="K52" s="240">
        <v>60</v>
      </c>
      <c r="L52" s="240">
        <v>60</v>
      </c>
      <c r="M52" s="240">
        <v>92</v>
      </c>
      <c r="N52" s="240">
        <v>97</v>
      </c>
      <c r="O52" s="240">
        <v>87</v>
      </c>
      <c r="P52" s="240">
        <v>73</v>
      </c>
      <c r="Q52" s="240">
        <v>75</v>
      </c>
      <c r="R52" s="61">
        <f t="shared" si="20"/>
        <v>2.0492932168465039E-2</v>
      </c>
    </row>
    <row r="53" spans="1:18">
      <c r="B53" s="38" t="s">
        <v>465</v>
      </c>
      <c r="C53" s="38"/>
      <c r="D53" s="38"/>
      <c r="E53" s="38"/>
      <c r="G53" s="209">
        <f t="shared" ref="G53:P53" si="24">+G54-G49-G50</f>
        <v>1766</v>
      </c>
      <c r="H53" s="209">
        <f t="shared" si="24"/>
        <v>2060</v>
      </c>
      <c r="I53" s="209">
        <f t="shared" si="24"/>
        <v>2663</v>
      </c>
      <c r="J53" s="209">
        <f t="shared" si="24"/>
        <v>3354</v>
      </c>
      <c r="K53" s="209">
        <f t="shared" si="24"/>
        <v>4055</v>
      </c>
      <c r="L53" s="209">
        <f t="shared" si="24"/>
        <v>4771</v>
      </c>
      <c r="M53" s="209">
        <f t="shared" si="24"/>
        <v>5114</v>
      </c>
      <c r="N53" s="209">
        <f t="shared" si="24"/>
        <v>6523</v>
      </c>
      <c r="O53" s="209">
        <f t="shared" si="24"/>
        <v>7162</v>
      </c>
      <c r="P53" s="209">
        <f t="shared" si="24"/>
        <v>7864</v>
      </c>
      <c r="Q53" s="209">
        <v>2336</v>
      </c>
      <c r="R53" s="210">
        <f t="shared" si="20"/>
        <v>2.5755444606160083E-2</v>
      </c>
    </row>
    <row r="54" spans="1:18">
      <c r="B54" s="38" t="s">
        <v>294</v>
      </c>
      <c r="C54" s="38"/>
      <c r="D54" s="38"/>
      <c r="E54" s="38"/>
      <c r="F54" s="574"/>
      <c r="G54" s="203">
        <v>2494</v>
      </c>
      <c r="H54" s="203">
        <v>2213</v>
      </c>
      <c r="I54" s="203">
        <v>2811</v>
      </c>
      <c r="J54" s="203">
        <v>3527</v>
      </c>
      <c r="K54" s="203">
        <v>4301</v>
      </c>
      <c r="L54" s="203">
        <v>8191</v>
      </c>
      <c r="M54" s="203">
        <v>5512</v>
      </c>
      <c r="N54" s="203">
        <v>6932</v>
      </c>
      <c r="O54" s="203">
        <v>8128</v>
      </c>
      <c r="P54" s="203">
        <v>8251</v>
      </c>
      <c r="Q54" s="203">
        <v>10521</v>
      </c>
      <c r="R54" s="210">
        <f t="shared" si="20"/>
        <v>0.13981083021987151</v>
      </c>
    </row>
    <row r="55" spans="1:18">
      <c r="B55" t="s">
        <v>531</v>
      </c>
      <c r="G55" s="238">
        <f>+SUM(G56:G57)</f>
        <v>914</v>
      </c>
      <c r="H55" s="238">
        <f t="shared" ref="H55:Q55" si="25">+SUM(H56:H57)</f>
        <v>1907</v>
      </c>
      <c r="I55" s="238">
        <f t="shared" si="25"/>
        <v>1902</v>
      </c>
      <c r="J55" s="238">
        <f t="shared" si="25"/>
        <v>1881</v>
      </c>
      <c r="K55" s="238">
        <f t="shared" si="25"/>
        <v>4124</v>
      </c>
      <c r="L55" s="238">
        <v>988</v>
      </c>
      <c r="M55" s="238">
        <f t="shared" si="25"/>
        <v>4616</v>
      </c>
      <c r="N55" s="238">
        <f t="shared" si="25"/>
        <v>4576</v>
      </c>
      <c r="O55" s="238">
        <f t="shared" si="25"/>
        <v>4046</v>
      </c>
      <c r="P55" s="238">
        <f t="shared" si="25"/>
        <v>4007</v>
      </c>
      <c r="Q55" s="238">
        <f t="shared" si="25"/>
        <v>4482</v>
      </c>
      <c r="R55" s="61">
        <f t="shared" si="20"/>
        <v>0.15551359557233102</v>
      </c>
    </row>
    <row r="56" spans="1:18" ht="14.45">
      <c r="B56" s="239" t="s">
        <v>532</v>
      </c>
      <c r="G56" s="240">
        <v>911</v>
      </c>
      <c r="H56" s="240">
        <v>1907</v>
      </c>
      <c r="I56" s="240">
        <v>1902</v>
      </c>
      <c r="J56" s="240">
        <v>1881</v>
      </c>
      <c r="K56" s="240">
        <v>4124</v>
      </c>
      <c r="L56" s="240">
        <v>944</v>
      </c>
      <c r="M56" s="240">
        <v>4117</v>
      </c>
      <c r="N56" s="240">
        <v>4123</v>
      </c>
      <c r="O56" s="240">
        <v>3629</v>
      </c>
      <c r="P56" s="240">
        <v>3634</v>
      </c>
      <c r="Q56" s="240">
        <v>4129</v>
      </c>
      <c r="R56" s="61">
        <f t="shared" si="20"/>
        <v>0.14727107949453555</v>
      </c>
    </row>
    <row r="57" spans="1:18" ht="14.45">
      <c r="B57" s="239" t="s">
        <v>533</v>
      </c>
      <c r="G57" s="240">
        <v>3</v>
      </c>
      <c r="H57" s="240">
        <v>0</v>
      </c>
      <c r="I57" s="240">
        <v>0</v>
      </c>
      <c r="J57" s="240">
        <v>0</v>
      </c>
      <c r="K57" s="240">
        <v>0</v>
      </c>
      <c r="L57" s="240">
        <v>0</v>
      </c>
      <c r="M57" s="240">
        <v>499</v>
      </c>
      <c r="N57" s="240">
        <v>453</v>
      </c>
      <c r="O57" s="240">
        <v>417</v>
      </c>
      <c r="P57" s="240">
        <v>373</v>
      </c>
      <c r="Q57" s="240">
        <v>353</v>
      </c>
      <c r="R57" s="61">
        <f t="shared" si="20"/>
        <v>0.54255700673420781</v>
      </c>
    </row>
    <row r="58" spans="1:18">
      <c r="B58" s="38" t="s">
        <v>534</v>
      </c>
      <c r="C58" s="38"/>
      <c r="D58" s="38"/>
      <c r="E58" s="38"/>
      <c r="G58" s="218">
        <f>+G59-G55</f>
        <v>1329</v>
      </c>
      <c r="H58" s="218">
        <f t="shared" ref="H58:Q58" si="26">+H59-H55</f>
        <v>757</v>
      </c>
      <c r="I58" s="218">
        <f t="shared" si="26"/>
        <v>717</v>
      </c>
      <c r="J58" s="218">
        <f t="shared" si="26"/>
        <v>840</v>
      </c>
      <c r="K58" s="218">
        <f t="shared" si="26"/>
        <v>1227</v>
      </c>
      <c r="L58" s="218">
        <f t="shared" si="26"/>
        <v>4473</v>
      </c>
      <c r="M58" s="218">
        <f t="shared" si="26"/>
        <v>892</v>
      </c>
      <c r="N58" s="218">
        <f t="shared" si="26"/>
        <v>936</v>
      </c>
      <c r="O58" s="218">
        <f t="shared" si="26"/>
        <v>1052</v>
      </c>
      <c r="P58" s="218">
        <f t="shared" si="26"/>
        <v>869</v>
      </c>
      <c r="Q58" s="218">
        <f t="shared" si="26"/>
        <v>1505</v>
      </c>
      <c r="R58" s="210">
        <f t="shared" si="20"/>
        <v>1.137016525888912E-2</v>
      </c>
    </row>
    <row r="59" spans="1:18" s="1" customFormat="1" ht="14.45" thickBot="1">
      <c r="B59" s="1" t="s">
        <v>535</v>
      </c>
      <c r="F59" s="573"/>
      <c r="G59" s="203">
        <f t="shared" ref="G59:K59" si="27">G60-G53</f>
        <v>2243</v>
      </c>
      <c r="H59" s="203">
        <f t="shared" si="27"/>
        <v>2664</v>
      </c>
      <c r="I59" s="203">
        <f t="shared" si="27"/>
        <v>2619</v>
      </c>
      <c r="J59" s="203">
        <f t="shared" si="27"/>
        <v>2721</v>
      </c>
      <c r="K59" s="203">
        <f t="shared" si="27"/>
        <v>5351</v>
      </c>
      <c r="L59" s="203">
        <f>L60-L53</f>
        <v>5461</v>
      </c>
      <c r="M59" s="203">
        <f>11020-5512</f>
        <v>5508</v>
      </c>
      <c r="N59" s="203">
        <f>12444-6932</f>
        <v>5512</v>
      </c>
      <c r="O59" s="203">
        <v>5098</v>
      </c>
      <c r="P59" s="203">
        <v>4876</v>
      </c>
      <c r="Q59" s="203">
        <v>5987</v>
      </c>
      <c r="R59" s="63">
        <f t="shared" si="20"/>
        <v>9.3356564468158432E-2</v>
      </c>
    </row>
    <row r="60" spans="1:18" s="1" customFormat="1" ht="14.45" thickBot="1">
      <c r="B60" s="215" t="s">
        <v>416</v>
      </c>
      <c r="C60" s="215"/>
      <c r="D60" s="215"/>
      <c r="E60" s="215"/>
      <c r="F60" s="575"/>
      <c r="G60" s="216">
        <v>4009</v>
      </c>
      <c r="H60" s="216">
        <v>4724</v>
      </c>
      <c r="I60" s="216">
        <v>5282</v>
      </c>
      <c r="J60" s="216">
        <v>6075</v>
      </c>
      <c r="K60" s="216">
        <v>9406</v>
      </c>
      <c r="L60" s="216">
        <v>10232</v>
      </c>
      <c r="M60" s="216">
        <f t="shared" ref="M60:Q60" si="28">SUM(M59,M54)</f>
        <v>11020</v>
      </c>
      <c r="N60" s="216">
        <f t="shared" si="28"/>
        <v>12444</v>
      </c>
      <c r="O60" s="216">
        <f t="shared" si="28"/>
        <v>13226</v>
      </c>
      <c r="P60" s="216">
        <f t="shared" si="28"/>
        <v>13127</v>
      </c>
      <c r="Q60" s="216">
        <f t="shared" si="28"/>
        <v>16508</v>
      </c>
      <c r="R60" s="217">
        <f t="shared" si="20"/>
        <v>0.13730784987217448</v>
      </c>
    </row>
    <row r="61" spans="1:18" s="1" customFormat="1">
      <c r="B61" s="1" t="s">
        <v>297</v>
      </c>
      <c r="F61"/>
      <c r="G61" s="205">
        <f t="shared" ref="G61:Q61" si="29">G48-G60</f>
        <v>6776</v>
      </c>
      <c r="H61" s="205">
        <f t="shared" si="29"/>
        <v>7002</v>
      </c>
      <c r="I61" s="205">
        <f t="shared" si="29"/>
        <v>7425</v>
      </c>
      <c r="J61" s="205">
        <f t="shared" si="29"/>
        <v>8278</v>
      </c>
      <c r="K61" s="205">
        <f t="shared" si="29"/>
        <v>9362</v>
      </c>
      <c r="L61" s="205">
        <f t="shared" si="29"/>
        <v>10531</v>
      </c>
      <c r="M61" s="205">
        <f t="shared" si="29"/>
        <v>13264</v>
      </c>
      <c r="N61" s="205">
        <f t="shared" si="29"/>
        <v>14797</v>
      </c>
      <c r="O61" s="205">
        <f t="shared" si="29"/>
        <v>13939</v>
      </c>
      <c r="P61" s="205">
        <f t="shared" si="29"/>
        <v>16672</v>
      </c>
      <c r="Q61" s="205">
        <f t="shared" si="29"/>
        <v>13494</v>
      </c>
      <c r="R61" s="63">
        <f t="shared" si="20"/>
        <v>6.46259016008357E-2</v>
      </c>
    </row>
    <row r="62" spans="1:18" ht="14.45">
      <c r="B62" t="s">
        <v>536</v>
      </c>
      <c r="G62" s="240"/>
      <c r="H62" s="240"/>
      <c r="I62" s="240"/>
      <c r="J62" s="240"/>
      <c r="K62" s="240"/>
      <c r="L62" s="240"/>
      <c r="M62" s="240"/>
      <c r="N62" s="240"/>
      <c r="O62" s="240"/>
      <c r="P62" s="240"/>
      <c r="Q62" s="240"/>
      <c r="R62" s="61"/>
    </row>
    <row r="63" spans="1:18" ht="3.95" customHeight="1"/>
    <row r="64" spans="1:18" ht="15.6">
      <c r="A64" t="s">
        <v>392</v>
      </c>
      <c r="B64" s="52" t="s">
        <v>251</v>
      </c>
      <c r="C64" s="56"/>
      <c r="D64" s="56"/>
      <c r="E64" s="56"/>
      <c r="F64" s="56"/>
      <c r="G64" s="201">
        <v>2014</v>
      </c>
      <c r="H64" s="201">
        <f>+G64+1</f>
        <v>2015</v>
      </c>
      <c r="I64" s="201">
        <f t="shared" ref="I64:M64" si="30">+H64+1</f>
        <v>2016</v>
      </c>
      <c r="J64" s="201">
        <f t="shared" si="30"/>
        <v>2017</v>
      </c>
      <c r="K64" s="201">
        <f t="shared" si="30"/>
        <v>2018</v>
      </c>
      <c r="L64" s="201">
        <f t="shared" si="30"/>
        <v>2019</v>
      </c>
      <c r="M64" s="201">
        <f t="shared" si="30"/>
        <v>2020</v>
      </c>
      <c r="N64" s="201">
        <f>+M64+1</f>
        <v>2021</v>
      </c>
      <c r="O64" s="201">
        <f>+N64+1</f>
        <v>2022</v>
      </c>
      <c r="P64" s="201">
        <f t="shared" ref="P64" si="31">+O64+1</f>
        <v>2023</v>
      </c>
      <c r="Q64" s="201">
        <f>+P64+1</f>
        <v>2024</v>
      </c>
      <c r="R64" s="58" t="str">
        <f>"CAGR "&amp;$G$4&amp;" - "&amp;$Q$4</f>
        <v>CAGR 2014 - 2024</v>
      </c>
    </row>
    <row r="65" spans="2:18" ht="3.95" customHeight="1">
      <c r="B65" s="207"/>
      <c r="C65" s="207"/>
      <c r="D65" s="207"/>
      <c r="E65" s="207"/>
      <c r="F65" s="207"/>
      <c r="G65" s="208"/>
      <c r="H65" s="208"/>
      <c r="I65" s="208"/>
      <c r="J65" s="208"/>
      <c r="K65" s="208"/>
      <c r="L65" s="208"/>
      <c r="M65" s="208"/>
      <c r="N65" s="208"/>
      <c r="O65" s="208"/>
      <c r="P65" s="208"/>
      <c r="Q65" s="208"/>
      <c r="R65" s="59"/>
    </row>
    <row r="66" spans="2:18">
      <c r="B66" t="s">
        <v>282</v>
      </c>
      <c r="G66" s="219">
        <f>G24</f>
        <v>268</v>
      </c>
      <c r="H66" s="219">
        <f t="shared" ref="H66:Q66" si="32">H24</f>
        <v>630</v>
      </c>
      <c r="I66" s="219">
        <f t="shared" si="32"/>
        <v>1169</v>
      </c>
      <c r="J66" s="219">
        <f t="shared" si="32"/>
        <v>1694</v>
      </c>
      <c r="K66" s="219">
        <f t="shared" si="32"/>
        <v>2590</v>
      </c>
      <c r="L66" s="219">
        <f t="shared" si="32"/>
        <v>2951</v>
      </c>
      <c r="M66" s="219">
        <f t="shared" si="32"/>
        <v>5260</v>
      </c>
      <c r="N66" s="219">
        <f t="shared" si="32"/>
        <v>4822</v>
      </c>
      <c r="O66" s="219">
        <f t="shared" si="32"/>
        <v>4756</v>
      </c>
      <c r="P66" s="219">
        <f t="shared" si="32"/>
        <v>5428</v>
      </c>
      <c r="Q66" s="219">
        <f t="shared" si="32"/>
        <v>5560</v>
      </c>
      <c r="R66" s="61">
        <f>IFERROR((Q66/G66)^(1/COUNT($G$4:$Q$4))-1,"")</f>
        <v>0.3174126156342767</v>
      </c>
    </row>
    <row r="67" spans="2:18">
      <c r="B67" t="s">
        <v>537</v>
      </c>
      <c r="G67" s="212">
        <f>+G13</f>
        <v>312</v>
      </c>
      <c r="H67" s="212">
        <f t="shared" ref="H67:Q67" si="33">+H13</f>
        <v>335</v>
      </c>
      <c r="I67" s="212">
        <f t="shared" si="33"/>
        <v>332</v>
      </c>
      <c r="J67" s="212">
        <f t="shared" si="33"/>
        <v>325</v>
      </c>
      <c r="K67" s="212">
        <f t="shared" si="33"/>
        <v>346</v>
      </c>
      <c r="L67" s="212">
        <f t="shared" si="33"/>
        <v>757</v>
      </c>
      <c r="M67" s="212">
        <f t="shared" si="33"/>
        <v>757</v>
      </c>
      <c r="N67" s="212">
        <f t="shared" si="33"/>
        <v>788</v>
      </c>
      <c r="O67" s="212">
        <f t="shared" si="33"/>
        <v>856</v>
      </c>
      <c r="P67" s="212">
        <f t="shared" si="33"/>
        <v>872</v>
      </c>
      <c r="Q67" s="212">
        <f t="shared" si="33"/>
        <v>857</v>
      </c>
      <c r="R67" s="61">
        <f>IFERROR((Q67/G67)^(1/COUNT($G$4:$Q$4))-1,"")</f>
        <v>9.6208823534631449E-2</v>
      </c>
    </row>
    <row r="68" spans="2:18">
      <c r="B68" t="s">
        <v>472</v>
      </c>
      <c r="G68" s="238">
        <f t="shared" ref="G68:Q68" si="34">+SUM(G69:G72)</f>
        <v>-6</v>
      </c>
      <c r="H68" s="238">
        <f t="shared" si="34"/>
        <v>79</v>
      </c>
      <c r="I68" s="238">
        <f t="shared" si="34"/>
        <v>160</v>
      </c>
      <c r="J68" s="238">
        <f t="shared" si="34"/>
        <v>187</v>
      </c>
      <c r="K68" s="238">
        <f t="shared" si="34"/>
        <v>2</v>
      </c>
      <c r="L68" s="238">
        <f t="shared" si="34"/>
        <v>188</v>
      </c>
      <c r="M68" s="238">
        <f t="shared" si="34"/>
        <v>-106</v>
      </c>
      <c r="N68" s="238">
        <f t="shared" si="34"/>
        <v>1152</v>
      </c>
      <c r="O68" s="238">
        <f t="shared" si="34"/>
        <v>732</v>
      </c>
      <c r="P68" s="238">
        <f t="shared" si="34"/>
        <v>-37</v>
      </c>
      <c r="Q68" s="238">
        <f t="shared" si="34"/>
        <v>144</v>
      </c>
      <c r="R68" s="61">
        <f>IFERROR((Q68/G68)^(1/COUNT($G$4:$Q$4))-1,"")</f>
        <v>-2.3349768949876486</v>
      </c>
    </row>
    <row r="69" spans="2:18" ht="14.45">
      <c r="B69" s="239" t="s">
        <v>538</v>
      </c>
      <c r="G69" s="203">
        <v>-8</v>
      </c>
      <c r="H69" s="203">
        <v>79</v>
      </c>
      <c r="I69" s="203">
        <v>160</v>
      </c>
      <c r="J69" s="203">
        <v>187</v>
      </c>
      <c r="K69" s="203">
        <v>2</v>
      </c>
      <c r="L69" s="203">
        <v>188</v>
      </c>
      <c r="M69" s="203">
        <v>-106</v>
      </c>
      <c r="N69" s="203">
        <v>430</v>
      </c>
      <c r="O69" s="203">
        <v>198</v>
      </c>
      <c r="P69" s="203">
        <v>159</v>
      </c>
      <c r="Q69" s="203">
        <v>143</v>
      </c>
      <c r="R69" s="61"/>
    </row>
    <row r="70" spans="2:18" ht="14.45">
      <c r="B70" s="239" t="s">
        <v>539</v>
      </c>
      <c r="G70" s="203">
        <v>0</v>
      </c>
      <c r="H70" s="203">
        <v>0</v>
      </c>
      <c r="I70" s="203">
        <v>0</v>
      </c>
      <c r="J70" s="203">
        <v>0</v>
      </c>
      <c r="K70" s="203">
        <v>0</v>
      </c>
      <c r="L70" s="203">
        <v>0</v>
      </c>
      <c r="M70" s="203">
        <v>0</v>
      </c>
      <c r="N70" s="203">
        <v>0</v>
      </c>
      <c r="O70" s="203">
        <v>0</v>
      </c>
      <c r="P70" s="203">
        <v>0</v>
      </c>
      <c r="Q70" s="203">
        <v>0</v>
      </c>
      <c r="R70" s="61"/>
    </row>
    <row r="71" spans="2:18" ht="14.45">
      <c r="B71" s="239" t="s">
        <v>540</v>
      </c>
      <c r="G71" s="203">
        <v>0</v>
      </c>
      <c r="H71" s="203">
        <v>0</v>
      </c>
      <c r="I71" s="203">
        <v>0</v>
      </c>
      <c r="J71" s="203">
        <v>0</v>
      </c>
      <c r="K71" s="203">
        <v>0</v>
      </c>
      <c r="L71" s="203">
        <v>0</v>
      </c>
      <c r="M71" s="203">
        <v>0</v>
      </c>
      <c r="N71" s="203">
        <v>0</v>
      </c>
      <c r="O71" s="203">
        <v>0</v>
      </c>
      <c r="P71" s="203">
        <v>0</v>
      </c>
      <c r="Q71" s="203">
        <v>0</v>
      </c>
      <c r="R71" s="61"/>
    </row>
    <row r="72" spans="2:18" ht="14.45">
      <c r="B72" s="239" t="s">
        <v>541</v>
      </c>
      <c r="G72" s="203">
        <v>2</v>
      </c>
      <c r="H72" s="203"/>
      <c r="I72" s="203"/>
      <c r="J72" s="203"/>
      <c r="K72" s="203"/>
      <c r="L72" s="203"/>
      <c r="M72" s="203"/>
      <c r="N72" s="203">
        <v>722</v>
      </c>
      <c r="O72" s="203">
        <v>534</v>
      </c>
      <c r="P72" s="203">
        <v>-196</v>
      </c>
      <c r="Q72" s="203">
        <v>1</v>
      </c>
      <c r="R72" s="61"/>
    </row>
    <row r="73" spans="2:18">
      <c r="B73" t="s">
        <v>470</v>
      </c>
      <c r="G73" s="203">
        <v>333</v>
      </c>
      <c r="H73" s="203">
        <v>336</v>
      </c>
      <c r="I73" s="203">
        <v>349</v>
      </c>
      <c r="J73" s="203">
        <v>454</v>
      </c>
      <c r="K73" s="203">
        <v>609</v>
      </c>
      <c r="L73" s="203">
        <v>788</v>
      </c>
      <c r="M73" s="203">
        <v>909</v>
      </c>
      <c r="N73" s="203">
        <v>1069</v>
      </c>
      <c r="O73" s="203">
        <v>1440</v>
      </c>
      <c r="P73" s="203">
        <v>1718</v>
      </c>
      <c r="Q73" s="203">
        <v>1833</v>
      </c>
      <c r="R73" s="61"/>
    </row>
    <row r="74" spans="2:18">
      <c r="B74" t="s">
        <v>473</v>
      </c>
      <c r="G74" s="238">
        <f t="shared" ref="G74:Q74" si="35">+G75-G66-G67-G68-G73</f>
        <v>380</v>
      </c>
      <c r="H74" s="238">
        <f t="shared" si="35"/>
        <v>89</v>
      </c>
      <c r="I74" s="238">
        <f t="shared" si="35"/>
        <v>189</v>
      </c>
      <c r="J74" s="238">
        <f t="shared" si="35"/>
        <v>252</v>
      </c>
      <c r="K74" s="238">
        <f t="shared" si="35"/>
        <v>482</v>
      </c>
      <c r="L74" s="238">
        <f t="shared" si="35"/>
        <v>-262</v>
      </c>
      <c r="M74" s="238">
        <f t="shared" si="35"/>
        <v>-1093</v>
      </c>
      <c r="N74" s="238">
        <f t="shared" si="35"/>
        <v>-601</v>
      </c>
      <c r="O74" s="238">
        <f t="shared" si="35"/>
        <v>54</v>
      </c>
      <c r="P74" s="238">
        <f t="shared" si="35"/>
        <v>-679</v>
      </c>
      <c r="Q74" s="238">
        <f t="shared" si="35"/>
        <v>-338</v>
      </c>
      <c r="R74" s="61">
        <f>IFERROR((Q74/G74)^(1/COUNT($G$4:$Q$4))-1,"")</f>
        <v>-1.9894087269815004</v>
      </c>
    </row>
    <row r="75" spans="2:18" s="1" customFormat="1">
      <c r="B75" s="242" t="s">
        <v>299</v>
      </c>
      <c r="C75" s="242"/>
      <c r="D75" s="242"/>
      <c r="E75" s="242"/>
      <c r="F75" s="574"/>
      <c r="G75" s="243">
        <v>1287</v>
      </c>
      <c r="H75" s="243">
        <v>1469</v>
      </c>
      <c r="I75" s="243">
        <v>2199</v>
      </c>
      <c r="J75" s="243">
        <v>2912</v>
      </c>
      <c r="K75" s="243">
        <v>4029</v>
      </c>
      <c r="L75" s="243">
        <v>4422</v>
      </c>
      <c r="M75" s="243">
        <v>5727</v>
      </c>
      <c r="N75" s="243">
        <v>7230</v>
      </c>
      <c r="O75" s="243">
        <v>7838</v>
      </c>
      <c r="P75" s="243">
        <v>7302</v>
      </c>
      <c r="Q75" s="243">
        <v>8056</v>
      </c>
      <c r="R75" s="244">
        <f>IFERROR((Q75/G75)^(1/COUNT($G$4:$Q$4))-1,"")</f>
        <v>0.1814430995470937</v>
      </c>
    </row>
    <row r="76" spans="2:18">
      <c r="B76" t="s">
        <v>23</v>
      </c>
      <c r="G76" s="212">
        <v>-148</v>
      </c>
      <c r="H76" s="212">
        <v>-184</v>
      </c>
      <c r="I76" s="212">
        <v>-178</v>
      </c>
      <c r="J76" s="212">
        <v>-266</v>
      </c>
      <c r="K76" s="212">
        <v>-394</v>
      </c>
      <c r="L76" s="212">
        <v>-395</v>
      </c>
      <c r="M76" s="212">
        <v>-419</v>
      </c>
      <c r="N76" s="212">
        <f t="shared" ref="N76:Q76" si="36">+SUM(N77:N78)</f>
        <v>-348</v>
      </c>
      <c r="O76" s="212">
        <f t="shared" si="36"/>
        <v>-442</v>
      </c>
      <c r="P76" s="212">
        <f t="shared" si="36"/>
        <v>-360</v>
      </c>
      <c r="Q76" s="212">
        <f t="shared" si="36"/>
        <v>-183</v>
      </c>
      <c r="R76" s="61">
        <f>IFERROR((Q76/G76)^(1/COUNT($G$4:$Q$4))-1,"")</f>
        <v>1.9485028077824484E-2</v>
      </c>
    </row>
    <row r="77" spans="2:18" ht="14.45">
      <c r="B77" s="239" t="s">
        <v>475</v>
      </c>
      <c r="G77" s="240">
        <v>-148</v>
      </c>
      <c r="H77" s="240">
        <v>-184</v>
      </c>
      <c r="I77" s="240">
        <v>-178</v>
      </c>
      <c r="J77" s="240">
        <v>-266</v>
      </c>
      <c r="K77" s="240">
        <v>-394</v>
      </c>
      <c r="L77" s="240">
        <v>-395</v>
      </c>
      <c r="M77" s="240">
        <v>-419</v>
      </c>
      <c r="N77" s="240">
        <v>-348</v>
      </c>
      <c r="O77" s="240">
        <v>-442</v>
      </c>
      <c r="P77" s="240">
        <v>-360</v>
      </c>
      <c r="Q77" s="240">
        <v>-183</v>
      </c>
      <c r="R77" s="61">
        <f t="shared" ref="R77:R84" si="37">IFERROR((Q77/G77)^(1/COUNT($G$4:$Q$4))-1,"")</f>
        <v>1.9485028077824484E-2</v>
      </c>
    </row>
    <row r="78" spans="2:18" ht="14.45">
      <c r="B78" s="239" t="s">
        <v>476</v>
      </c>
      <c r="G78" s="240">
        <v>0</v>
      </c>
      <c r="H78" s="240">
        <v>0</v>
      </c>
      <c r="I78" s="240">
        <v>0</v>
      </c>
      <c r="J78" s="240">
        <v>0</v>
      </c>
      <c r="K78" s="240">
        <v>0</v>
      </c>
      <c r="L78" s="240">
        <v>0</v>
      </c>
      <c r="M78" s="240">
        <v>0</v>
      </c>
      <c r="N78" s="240">
        <v>0</v>
      </c>
      <c r="O78" s="240">
        <v>0</v>
      </c>
      <c r="P78" s="240">
        <v>0</v>
      </c>
      <c r="Q78" s="240">
        <v>0</v>
      </c>
      <c r="R78" s="61" t="str">
        <f t="shared" si="37"/>
        <v/>
      </c>
    </row>
    <row r="79" spans="2:18" ht="14.45">
      <c r="B79" s="72" t="s">
        <v>478</v>
      </c>
      <c r="G79" s="212">
        <f t="shared" ref="G79:Q79" si="38">+SUM(G80:G83)</f>
        <v>-13</v>
      </c>
      <c r="H79" s="212">
        <f t="shared" si="38"/>
        <v>-849</v>
      </c>
      <c r="I79" s="212">
        <f t="shared" si="38"/>
        <v>-106</v>
      </c>
      <c r="J79" s="212">
        <f t="shared" si="38"/>
        <v>-489</v>
      </c>
      <c r="K79" s="212">
        <f t="shared" si="38"/>
        <v>-6360</v>
      </c>
      <c r="L79" s="212">
        <f t="shared" si="38"/>
        <v>-150</v>
      </c>
      <c r="M79" s="212">
        <f>+SUM(M80:M83)</f>
        <v>-15</v>
      </c>
      <c r="N79" s="212">
        <f t="shared" si="38"/>
        <v>-2734</v>
      </c>
      <c r="O79" s="212">
        <f t="shared" si="38"/>
        <v>-172</v>
      </c>
      <c r="P79" s="212">
        <f t="shared" si="38"/>
        <v>-53</v>
      </c>
      <c r="Q79" s="212">
        <f t="shared" si="38"/>
        <v>-108</v>
      </c>
      <c r="R79" s="61">
        <f t="shared" si="37"/>
        <v>0.21224144403869416</v>
      </c>
    </row>
    <row r="80" spans="2:18" ht="14.45">
      <c r="B80" s="239" t="s">
        <v>542</v>
      </c>
      <c r="G80" s="240">
        <v>-30</v>
      </c>
      <c r="H80" s="240">
        <v>-826</v>
      </c>
      <c r="I80" s="240">
        <v>-48</v>
      </c>
      <c r="J80" s="240">
        <v>-459</v>
      </c>
      <c r="K80" s="240">
        <v>-6341</v>
      </c>
      <c r="L80" s="240">
        <v>-101</v>
      </c>
      <c r="M80" s="240">
        <v>0</v>
      </c>
      <c r="N80" s="240">
        <v>-2682</v>
      </c>
      <c r="O80" s="240">
        <v>-126</v>
      </c>
      <c r="P80" s="240">
        <v>0</v>
      </c>
      <c r="Q80" s="240">
        <v>0</v>
      </c>
      <c r="R80" s="61">
        <f t="shared" si="37"/>
        <v>-1</v>
      </c>
    </row>
    <row r="81" spans="1:18" ht="14.45">
      <c r="B81" s="239" t="s">
        <v>543</v>
      </c>
      <c r="G81" s="240">
        <v>0</v>
      </c>
      <c r="H81" s="240">
        <v>0</v>
      </c>
      <c r="I81" s="240">
        <v>0</v>
      </c>
      <c r="J81" s="240">
        <v>0</v>
      </c>
      <c r="K81" s="240">
        <v>0</v>
      </c>
      <c r="L81" s="240">
        <v>0</v>
      </c>
      <c r="M81" s="240">
        <v>0</v>
      </c>
      <c r="N81" s="240">
        <v>0</v>
      </c>
      <c r="O81" s="240">
        <v>0</v>
      </c>
      <c r="P81" s="240">
        <v>0</v>
      </c>
      <c r="Q81" s="240">
        <v>0</v>
      </c>
      <c r="R81" s="61" t="str">
        <f t="shared" si="37"/>
        <v/>
      </c>
    </row>
    <row r="82" spans="1:18" ht="14.45">
      <c r="B82" s="239" t="s">
        <v>544</v>
      </c>
      <c r="G82" s="240">
        <v>17</v>
      </c>
      <c r="H82" s="240">
        <v>-23</v>
      </c>
      <c r="I82" s="240">
        <v>-58</v>
      </c>
      <c r="J82" s="240">
        <v>-30</v>
      </c>
      <c r="K82" s="240">
        <v>-19</v>
      </c>
      <c r="L82" s="240">
        <v>-49</v>
      </c>
      <c r="M82" s="240">
        <v>-15</v>
      </c>
      <c r="N82" s="240">
        <v>-52</v>
      </c>
      <c r="O82" s="240">
        <v>-46</v>
      </c>
      <c r="P82" s="240">
        <v>-53</v>
      </c>
      <c r="Q82" s="240">
        <v>-108</v>
      </c>
      <c r="R82" s="61">
        <f t="shared" si="37"/>
        <v>-2.1830353236285647</v>
      </c>
    </row>
    <row r="83" spans="1:18" ht="14.45">
      <c r="B83" s="239" t="s">
        <v>545</v>
      </c>
      <c r="G83" s="240">
        <v>0</v>
      </c>
      <c r="H83" s="240">
        <v>0</v>
      </c>
      <c r="I83" s="240">
        <v>0</v>
      </c>
      <c r="J83" s="240">
        <v>0</v>
      </c>
      <c r="K83" s="240">
        <v>0</v>
      </c>
      <c r="L83" s="240">
        <v>0</v>
      </c>
      <c r="M83" s="240">
        <v>0</v>
      </c>
      <c r="N83" s="240">
        <v>0</v>
      </c>
      <c r="O83" s="240">
        <v>0</v>
      </c>
      <c r="P83" s="240">
        <v>0</v>
      </c>
      <c r="Q83" s="240">
        <v>0</v>
      </c>
      <c r="R83" s="61" t="str">
        <f t="shared" si="37"/>
        <v/>
      </c>
    </row>
    <row r="84" spans="1:18">
      <c r="B84" t="s">
        <v>479</v>
      </c>
      <c r="G84" s="212">
        <f>+G85-G76-G79</f>
        <v>-329</v>
      </c>
      <c r="H84" s="212">
        <f t="shared" ref="H84:Q84" si="39">+H85-H76-H79</f>
        <v>-455</v>
      </c>
      <c r="I84" s="212">
        <f t="shared" si="39"/>
        <v>-676</v>
      </c>
      <c r="J84" s="212">
        <f t="shared" si="39"/>
        <v>312</v>
      </c>
      <c r="K84" s="212">
        <f t="shared" si="39"/>
        <v>2069</v>
      </c>
      <c r="L84" s="212">
        <f t="shared" si="39"/>
        <v>89</v>
      </c>
      <c r="M84" s="212">
        <f t="shared" si="39"/>
        <v>20</v>
      </c>
      <c r="N84" s="212">
        <f t="shared" si="39"/>
        <v>-455</v>
      </c>
      <c r="O84" s="212">
        <f t="shared" si="39"/>
        <v>44</v>
      </c>
      <c r="P84" s="212">
        <f t="shared" si="39"/>
        <v>1189</v>
      </c>
      <c r="Q84" s="212">
        <f t="shared" si="39"/>
        <v>440</v>
      </c>
      <c r="R84" s="61">
        <f t="shared" si="37"/>
        <v>-2.0267811542842171</v>
      </c>
    </row>
    <row r="85" spans="1:18" s="1" customFormat="1">
      <c r="B85" s="242" t="s">
        <v>300</v>
      </c>
      <c r="C85" s="242"/>
      <c r="D85" s="242"/>
      <c r="E85" s="242"/>
      <c r="F85" s="574"/>
      <c r="G85" s="243">
        <v>-490</v>
      </c>
      <c r="H85" s="243">
        <v>-1488</v>
      </c>
      <c r="I85" s="243">
        <v>-960</v>
      </c>
      <c r="J85" s="243">
        <v>-443</v>
      </c>
      <c r="K85" s="243">
        <v>-4685</v>
      </c>
      <c r="L85" s="243">
        <v>-456</v>
      </c>
      <c r="M85" s="243">
        <v>-414</v>
      </c>
      <c r="N85" s="243">
        <v>-3537</v>
      </c>
      <c r="O85" s="243">
        <v>-570</v>
      </c>
      <c r="P85" s="243">
        <v>776</v>
      </c>
      <c r="Q85" s="243">
        <v>149</v>
      </c>
      <c r="R85" s="244">
        <f t="shared" ref="R85:R94" si="40">IFERROR((Q85/G85)^(1/COUNT($G$4:$Q$4))-1,"")</f>
        <v>-1.897426951340434</v>
      </c>
    </row>
    <row r="86" spans="1:18">
      <c r="B86" t="s">
        <v>301</v>
      </c>
      <c r="G86" s="203">
        <v>0</v>
      </c>
      <c r="H86" s="203">
        <v>990</v>
      </c>
      <c r="I86" s="203">
        <v>0</v>
      </c>
      <c r="J86" s="203"/>
      <c r="K86" s="203">
        <v>2248</v>
      </c>
      <c r="L86" s="203">
        <v>0</v>
      </c>
      <c r="M86" s="203">
        <v>3144</v>
      </c>
      <c r="N86" s="203">
        <v>0</v>
      </c>
      <c r="O86" s="203">
        <v>0</v>
      </c>
      <c r="P86" s="203">
        <v>0</v>
      </c>
      <c r="Q86" s="203">
        <v>1997</v>
      </c>
      <c r="R86" s="61" t="str">
        <f t="shared" si="40"/>
        <v/>
      </c>
    </row>
    <row r="87" spans="1:18">
      <c r="B87" t="s">
        <v>302</v>
      </c>
      <c r="G87" s="203">
        <v>-14</v>
      </c>
      <c r="H87" s="203">
        <v>-0.6</v>
      </c>
      <c r="I87" s="203">
        <v>0</v>
      </c>
      <c r="J87" s="203">
        <v>0</v>
      </c>
      <c r="K87" s="203">
        <v>0</v>
      </c>
      <c r="L87" s="203">
        <v>0</v>
      </c>
      <c r="M87" s="203">
        <v>-3150</v>
      </c>
      <c r="N87" s="203">
        <v>0</v>
      </c>
      <c r="O87" s="203">
        <v>0</v>
      </c>
      <c r="P87" s="203">
        <v>-500</v>
      </c>
      <c r="Q87" s="203">
        <v>0</v>
      </c>
      <c r="R87" s="61">
        <f t="shared" si="40"/>
        <v>-1</v>
      </c>
    </row>
    <row r="88" spans="1:18">
      <c r="B88" t="s">
        <v>483</v>
      </c>
      <c r="G88" s="203">
        <v>-170</v>
      </c>
      <c r="H88" s="203">
        <v>-230</v>
      </c>
      <c r="I88" s="203">
        <v>-108</v>
      </c>
      <c r="J88" s="203">
        <v>-1960</v>
      </c>
      <c r="K88" s="203">
        <v>-1707</v>
      </c>
      <c r="L88" s="203">
        <v>0</v>
      </c>
      <c r="M88" s="203">
        <v>0</v>
      </c>
      <c r="N88" s="203">
        <v>0</v>
      </c>
      <c r="O88" s="203">
        <v>0</v>
      </c>
      <c r="P88" s="203">
        <v>0</v>
      </c>
      <c r="Q88" s="203">
        <v>0</v>
      </c>
      <c r="R88" s="61">
        <f t="shared" si="40"/>
        <v>-1</v>
      </c>
    </row>
    <row r="89" spans="1:18">
      <c r="B89" t="s">
        <v>129</v>
      </c>
      <c r="G89" s="203">
        <v>0</v>
      </c>
      <c r="H89" s="203">
        <v>0</v>
      </c>
      <c r="I89" s="203">
        <v>0</v>
      </c>
      <c r="J89" s="203">
        <v>0</v>
      </c>
      <c r="K89" s="203">
        <v>0</v>
      </c>
      <c r="L89" s="203">
        <v>0</v>
      </c>
      <c r="M89" s="203">
        <v>0</v>
      </c>
      <c r="N89" s="203">
        <v>0</v>
      </c>
      <c r="O89" s="203">
        <v>0</v>
      </c>
      <c r="P89" s="203">
        <v>0</v>
      </c>
      <c r="Q89" s="203">
        <v>0</v>
      </c>
      <c r="R89" s="61" t="str">
        <f t="shared" si="40"/>
        <v/>
      </c>
    </row>
    <row r="90" spans="1:18">
      <c r="B90" t="s">
        <v>481</v>
      </c>
      <c r="G90" s="203">
        <f>-600+227</f>
        <v>-373</v>
      </c>
      <c r="H90" s="203">
        <f>-625+164</f>
        <v>-461</v>
      </c>
      <c r="I90" s="203">
        <f>-1075+144</f>
        <v>-931</v>
      </c>
      <c r="J90" s="203">
        <f>-1100+157</f>
        <v>-943</v>
      </c>
      <c r="K90" s="203">
        <f>-2050+191</f>
        <v>-1859</v>
      </c>
      <c r="L90" s="203">
        <f>-2750+233</f>
        <v>-2517</v>
      </c>
      <c r="M90" s="203">
        <f>-3050+270</f>
        <v>-2780</v>
      </c>
      <c r="N90" s="203">
        <f>-3950+291</f>
        <v>-3659</v>
      </c>
      <c r="O90" s="203">
        <f>-6550+278</f>
        <v>-6272</v>
      </c>
      <c r="P90" s="203">
        <f>-4440+314</f>
        <v>-4126</v>
      </c>
      <c r="Q90" s="203">
        <v>-9139</v>
      </c>
      <c r="R90" s="61">
        <f t="shared" si="40"/>
        <v>0.33748828257374996</v>
      </c>
    </row>
    <row r="91" spans="1:18">
      <c r="B91" t="s">
        <v>486</v>
      </c>
      <c r="G91" s="212">
        <f>+G92-G86-G87-G88-G89-G90</f>
        <v>50</v>
      </c>
      <c r="H91" s="212">
        <f t="shared" ref="H91:Q91" si="41">+H92-H86-H87-H88-H89-H90</f>
        <v>-498.40000000000009</v>
      </c>
      <c r="I91" s="212">
        <f t="shared" si="41"/>
        <v>-51</v>
      </c>
      <c r="J91" s="212">
        <f t="shared" si="41"/>
        <v>1719</v>
      </c>
      <c r="K91" s="212">
        <f t="shared" si="41"/>
        <v>-4250</v>
      </c>
      <c r="L91" s="212">
        <f t="shared" si="41"/>
        <v>-429</v>
      </c>
      <c r="M91" s="212">
        <f t="shared" si="41"/>
        <v>-702</v>
      </c>
      <c r="N91" s="212">
        <f t="shared" si="41"/>
        <v>-642</v>
      </c>
      <c r="O91" s="212">
        <f t="shared" si="41"/>
        <v>-553</v>
      </c>
      <c r="P91" s="212">
        <f t="shared" si="41"/>
        <v>-556</v>
      </c>
      <c r="Q91" s="212">
        <f t="shared" si="41"/>
        <v>-582</v>
      </c>
      <c r="R91" s="61">
        <f t="shared" si="40"/>
        <v>-2.2499850430266424</v>
      </c>
    </row>
    <row r="92" spans="1:18" s="1" customFormat="1">
      <c r="B92" s="242" t="s">
        <v>303</v>
      </c>
      <c r="C92" s="242"/>
      <c r="D92" s="242"/>
      <c r="E92" s="242"/>
      <c r="F92" s="574"/>
      <c r="G92" s="247">
        <v>-507</v>
      </c>
      <c r="H92" s="247">
        <v>-200</v>
      </c>
      <c r="I92" s="247">
        <v>-1090</v>
      </c>
      <c r="J92" s="247">
        <v>-1184</v>
      </c>
      <c r="K92" s="247">
        <v>-5568</v>
      </c>
      <c r="L92" s="247">
        <v>-2946</v>
      </c>
      <c r="M92" s="247">
        <v>-3488</v>
      </c>
      <c r="N92" s="247">
        <v>-4301</v>
      </c>
      <c r="O92" s="247">
        <v>-6825</v>
      </c>
      <c r="P92" s="247">
        <v>-5182</v>
      </c>
      <c r="Q92" s="247">
        <v>-7724</v>
      </c>
      <c r="R92" s="244">
        <f t="shared" si="40"/>
        <v>0.28094473045559121</v>
      </c>
    </row>
    <row r="93" spans="1:18" s="1" customFormat="1" ht="14.45" thickBot="1">
      <c r="B93" s="248" t="s">
        <v>546</v>
      </c>
      <c r="C93" s="245"/>
      <c r="D93" s="245"/>
      <c r="E93" s="245"/>
      <c r="F93" s="576"/>
      <c r="G93" s="249">
        <v>-6</v>
      </c>
      <c r="H93" s="249">
        <v>-21</v>
      </c>
      <c r="I93" s="249">
        <v>-14</v>
      </c>
      <c r="J93" s="249">
        <v>8</v>
      </c>
      <c r="K93" s="249">
        <v>-1</v>
      </c>
      <c r="L93" s="249">
        <v>-13</v>
      </c>
      <c r="M93" s="249">
        <v>3</v>
      </c>
      <c r="N93" s="249">
        <v>-26</v>
      </c>
      <c r="O93" s="249">
        <v>-51</v>
      </c>
      <c r="P93" s="249">
        <v>9</v>
      </c>
      <c r="Q93" s="249">
        <v>-9</v>
      </c>
      <c r="R93" s="246">
        <f t="shared" si="40"/>
        <v>3.7548235793918971E-2</v>
      </c>
    </row>
    <row r="94" spans="1:18" s="1" customFormat="1">
      <c r="B94" s="1" t="s">
        <v>304</v>
      </c>
      <c r="F94"/>
      <c r="G94" s="213">
        <v>282</v>
      </c>
      <c r="H94" s="213">
        <v>-240</v>
      </c>
      <c r="I94" s="213">
        <v>134</v>
      </c>
      <c r="J94" s="213">
        <v>1293</v>
      </c>
      <c r="K94" s="213">
        <v>-663</v>
      </c>
      <c r="L94" s="213">
        <v>1007</v>
      </c>
      <c r="M94" s="213">
        <v>1821</v>
      </c>
      <c r="N94" s="213">
        <v>-658</v>
      </c>
      <c r="O94" s="213">
        <v>392</v>
      </c>
      <c r="P94" s="213">
        <v>2905</v>
      </c>
      <c r="Q94" s="213">
        <v>472</v>
      </c>
      <c r="R94" s="63">
        <f t="shared" si="40"/>
        <v>4.793830984380798E-2</v>
      </c>
    </row>
    <row r="95" spans="1:18" ht="14.45">
      <c r="B95" s="72" t="s">
        <v>547</v>
      </c>
    </row>
    <row r="96" spans="1:18" ht="15.6">
      <c r="A96" t="s">
        <v>392</v>
      </c>
      <c r="B96" s="200" t="s">
        <v>548</v>
      </c>
      <c r="C96" s="56"/>
      <c r="D96" s="56"/>
      <c r="E96" s="56"/>
      <c r="F96" s="56"/>
      <c r="G96" s="455">
        <v>42004</v>
      </c>
      <c r="H96" s="455">
        <v>42369</v>
      </c>
      <c r="I96" s="455">
        <v>42735</v>
      </c>
      <c r="J96" s="455">
        <v>43100</v>
      </c>
      <c r="K96" s="455">
        <v>43465</v>
      </c>
      <c r="L96" s="455">
        <v>43830</v>
      </c>
      <c r="M96" s="455">
        <v>44196</v>
      </c>
      <c r="N96" s="455">
        <v>44561</v>
      </c>
      <c r="O96" s="455">
        <v>44926</v>
      </c>
      <c r="P96" s="455">
        <v>45291</v>
      </c>
      <c r="Q96" s="455">
        <v>45657</v>
      </c>
      <c r="R96" s="26"/>
    </row>
    <row r="97" spans="1:18" ht="3.95" customHeight="1">
      <c r="B97" s="207"/>
      <c r="C97" s="207"/>
      <c r="D97" s="207"/>
      <c r="E97" s="207"/>
      <c r="F97" s="207"/>
      <c r="G97" s="208"/>
      <c r="H97" s="208"/>
      <c r="I97" s="208"/>
      <c r="J97" s="208"/>
      <c r="K97" s="208"/>
      <c r="L97" s="208"/>
      <c r="M97" s="208"/>
      <c r="N97" s="208"/>
      <c r="O97" s="208"/>
      <c r="P97" s="208"/>
      <c r="Q97" s="208"/>
      <c r="R97" s="26"/>
    </row>
    <row r="98" spans="1:18">
      <c r="B98" t="s">
        <v>549</v>
      </c>
      <c r="G98" s="238" cm="1">
        <f t="array" aca="1" ref="G98" ca="1">(IFERROR(_xlfn.STOCKHISTORY(DCF!$R$4, G96, G96, 0, 0, 1), IFERROR(_xlfn.STOCKHISTORY("CMG", G96+1, G96+1, 0, 0, 1), _xlfn.STOCKHISTORY("CMG", G96-2, G96-2, 0, 0, 1))))*_xlfn.XLOOKUP("Basic Weighted Average Shares",$B:$B,G:G)</f>
        <v>36422.700000000004</v>
      </c>
      <c r="H98" s="238" cm="1">
        <f t="array" aca="1" ref="H98" ca="1">(IFERROR(_xlfn.STOCKHISTORY(DCF!$R$4, H96, H96, 0, 0, 1), IFERROR(_xlfn.STOCKHISTORY("CMG", H96+1, H96+1, 0, 0, 1), _xlfn.STOCKHISTORY("CMG", H96-2, H96-2, 0, 0, 1))))*_xlfn.XLOOKUP("Basic Weighted Average Shares",$B:$B,H:H)</f>
        <v>46782.119999999995</v>
      </c>
      <c r="I98" s="238" cm="1">
        <f t="array" aca="1" ref="I98" ca="1">(IFERROR(_xlfn.STOCKHISTORY(DCF!$R$4, I96, I96, 0, 0, 1), IFERROR(_xlfn.STOCKHISTORY("CMG", I96+1, I96+1, 0, 0, 1), _xlfn.STOCKHISTORY("CMG", I96-2, I96-2, 0, 0, 1))))*_xlfn.XLOOKUP("Basic Weighted Average Shares",$B:$B,I:I)</f>
        <v>3751.0355999999997</v>
      </c>
      <c r="J98" s="238" cm="1">
        <f t="array" aca="1" ref="J98" ca="1">(IFERROR(_xlfn.STOCKHISTORY(DCF!$R$4, J96, J96, 0, 0, 1), IFERROR(_xlfn.STOCKHISTORY("CMG", J96+1, J96+1, 0, 0, 1), _xlfn.STOCKHISTORY("CMG", J96-2, J96-2, 0, 0, 1))))*_xlfn.XLOOKUP("Basic Weighted Average Shares",$B:$B,J:J)</f>
        <v>2849.8357999999998</v>
      </c>
      <c r="K98" s="238" cm="1">
        <f t="array" aca="1" ref="K98" ca="1">(IFERROR(_xlfn.STOCKHISTORY(DCF!$R$4, K96, K96, 0, 0, 1), IFERROR(_xlfn.STOCKHISTORY("CMG", K96+1, K96+1, 0, 0, 1), _xlfn.STOCKHISTORY("CMG", K96-2, K96-2, 0, 0, 1))))*_xlfn.XLOOKUP("Basic Weighted Average Shares",$B:$B,K:K)</f>
        <v>110857.60000000001</v>
      </c>
      <c r="L98" s="238" cm="1">
        <f t="array" aca="1" ref="L98" ca="1">(IFERROR(_xlfn.STOCKHISTORY(DCF!$R$4, L96, L96, 0, 0, 1), IFERROR(_xlfn.STOCKHISTORY("CMG", L96+1, L96+1, 0, 0, 1), _xlfn.STOCKHISTORY("CMG", L96-2, L96-2, 0, 0, 1))))*_xlfn.XLOOKUP("Basic Weighted Average Shares",$B:$B,L:L)</f>
        <v>160287.66</v>
      </c>
      <c r="M98" s="238" cm="1">
        <f t="array" aca="1" ref="M98" ca="1">(IFERROR(_xlfn.STOCKHISTORY(DCF!$R$4, M96, M96, 0, 0, 1), IFERROR(_xlfn.STOCKHISTORY("CMG", M96+1, M96+1, 0, 0, 1), _xlfn.STOCKHISTORY("CMG", M96-2, M96-2, 0, 0, 1))))*_xlfn.XLOOKUP("Basic Weighted Average Shares",$B:$B,M:M)</f>
        <v>240557.72</v>
      </c>
      <c r="N98" s="238" cm="1">
        <f t="array" aca="1" ref="N98" ca="1">(IFERROR(_xlfn.STOCKHISTORY(DCF!$R$4, N96, N96, 0, 0, 1), IFERROR(_xlfn.STOCKHISTORY("CMG", N96+1, N96+1, 0, 0, 1), _xlfn.STOCKHISTORY("CMG", N96-2, N96-2, 0, 0, 1))))*_xlfn.XLOOKUP("Basic Weighted Average Shares",$B:$B,N:N)</f>
        <v>270487.62</v>
      </c>
      <c r="O98" s="238" cm="1">
        <f t="array" aca="1" ref="O98" ca="1">(IFERROR(_xlfn.STOCKHISTORY(DCF!$R$4, O96, O96, 0, 0, 1), IFERROR(_xlfn.STOCKHISTORY("CMG", O96+1, O96+1, 0, 0, 1), _xlfn.STOCKHISTORY("CMG", O96-2, O96-2, 0, 0, 1))))*_xlfn.XLOOKUP("Basic Weighted Average Shares",$B:$B,O:O)</f>
        <v>13206.53</v>
      </c>
      <c r="P98" s="238" cm="1">
        <f t="array" aca="1" ref="P98" ca="1">(IFERROR(_xlfn.STOCKHISTORY(DCF!$R$4, P96, P96, 0, 0, 1), IFERROR(_xlfn.STOCKHISTORY("CMG", P96+1, P96+1, 0, 0, 1), _xlfn.STOCKHISTORY("CMG", P96-2, P96-2, 0, 0, 1))))*_xlfn.XLOOKUP("Basic Weighted Average Shares",$B:$B,P:P)</f>
        <v>20902.814399999999</v>
      </c>
      <c r="Q98" s="238" cm="1">
        <f t="array" aca="1" ref="Q98" ca="1">(IFERROR(_xlfn.STOCKHISTORY(DCF!$R$4, Q96, Q96, 0, 0, 1), IFERROR(_xlfn.STOCKHISTORY("CMG", Q96+1, Q96+1, 0, 0, 1), _xlfn.STOCKHISTORY("CMG", Q96-2, Q96-2, 0, 0, 1))))*_xlfn.XLOOKUP("Basic Weighted Average Shares",$B:$B,Q:Q)</f>
        <v>198771.96</v>
      </c>
    </row>
    <row r="99" spans="1:18">
      <c r="B99" t="s">
        <v>286</v>
      </c>
      <c r="G99" s="238">
        <f>_xlfn.XLOOKUP("Cash &amp; Cash Equivalents &amp; ST Investments",$B$30:$B$62,G$30:G$62)</f>
        <v>3739</v>
      </c>
      <c r="H99" s="238">
        <f t="shared" ref="H99:Q99" si="42">_xlfn.XLOOKUP("Cash &amp; Cash Equivalents &amp; ST Investments",$B$30:$B$62,H$30:H$62)</f>
        <v>3987</v>
      </c>
      <c r="I99" s="238">
        <f t="shared" si="42"/>
        <v>4760</v>
      </c>
      <c r="J99" s="238">
        <f t="shared" si="42"/>
        <v>5819</v>
      </c>
      <c r="K99" s="238">
        <f t="shared" si="42"/>
        <v>3228</v>
      </c>
      <c r="L99" s="238">
        <f t="shared" si="42"/>
        <v>4176</v>
      </c>
      <c r="M99" s="238">
        <f t="shared" si="42"/>
        <v>5992</v>
      </c>
      <c r="N99" s="238">
        <f t="shared" si="42"/>
        <v>5798</v>
      </c>
      <c r="O99" s="238">
        <f t="shared" si="42"/>
        <v>6096</v>
      </c>
      <c r="P99" s="238">
        <f t="shared" si="42"/>
        <v>7842</v>
      </c>
      <c r="Q99" s="238">
        <f t="shared" si="42"/>
        <v>7886</v>
      </c>
    </row>
    <row r="100" spans="1:18">
      <c r="B100" t="s">
        <v>296</v>
      </c>
      <c r="G100" s="238">
        <f>(_xlfn.XLOOKUP("Short-Term Debt",$B$30:$B$62,G$30:G$62)+_xlfn.XLOOKUP("Long-Term Debt",$B$30:$B$62,G$30:G$62))</f>
        <v>1574</v>
      </c>
      <c r="H100" s="238">
        <f t="shared" ref="H100:Q100" si="43">(_xlfn.XLOOKUP("Short-Term Debt",$B$30:$B$62,H$30:H$62)+_xlfn.XLOOKUP("Long-Term Debt",$B$30:$B$62,H$30:H$62))</f>
        <v>1967</v>
      </c>
      <c r="I100" s="238">
        <f t="shared" si="43"/>
        <v>1962</v>
      </c>
      <c r="J100" s="238">
        <f t="shared" si="43"/>
        <v>1941</v>
      </c>
      <c r="K100" s="238">
        <f t="shared" si="43"/>
        <v>4184</v>
      </c>
      <c r="L100" s="238">
        <f t="shared" si="43"/>
        <v>4198</v>
      </c>
      <c r="M100" s="238">
        <f t="shared" si="43"/>
        <v>4708</v>
      </c>
      <c r="N100" s="238">
        <f t="shared" si="43"/>
        <v>4673</v>
      </c>
      <c r="O100" s="238">
        <f t="shared" si="43"/>
        <v>4633</v>
      </c>
      <c r="P100" s="238">
        <f t="shared" si="43"/>
        <v>4080</v>
      </c>
      <c r="Q100" s="238">
        <f t="shared" si="43"/>
        <v>6056</v>
      </c>
    </row>
    <row r="101" spans="1:18">
      <c r="B101" t="s">
        <v>550</v>
      </c>
      <c r="G101" s="220"/>
      <c r="H101" s="220"/>
      <c r="I101" s="220"/>
      <c r="J101" s="220"/>
      <c r="K101" s="220"/>
      <c r="L101" s="220"/>
      <c r="M101" s="220"/>
      <c r="N101" s="220"/>
      <c r="O101" s="220"/>
      <c r="P101" s="220"/>
      <c r="Q101" s="220"/>
    </row>
    <row r="102" spans="1:18">
      <c r="B102" t="s">
        <v>536</v>
      </c>
      <c r="G102" s="238">
        <f>_xlfn.XLOOKUP("Non-Controlling Interest",$B$30:$B$62,G$30:G$62)</f>
        <v>0</v>
      </c>
      <c r="H102" s="238">
        <f t="shared" ref="H102:Q102" si="44">_xlfn.XLOOKUP("Non-Controlling Interest",$B$30:$B$62,H$30:H$62)</f>
        <v>0</v>
      </c>
      <c r="I102" s="238">
        <f t="shared" si="44"/>
        <v>0</v>
      </c>
      <c r="J102" s="238">
        <f t="shared" si="44"/>
        <v>0</v>
      </c>
      <c r="K102" s="238">
        <f t="shared" si="44"/>
        <v>0</v>
      </c>
      <c r="L102" s="238">
        <f t="shared" si="44"/>
        <v>0</v>
      </c>
      <c r="M102" s="238">
        <f t="shared" si="44"/>
        <v>0</v>
      </c>
      <c r="N102" s="238">
        <f t="shared" si="44"/>
        <v>0</v>
      </c>
      <c r="O102" s="238">
        <f t="shared" si="44"/>
        <v>0</v>
      </c>
      <c r="P102" s="238">
        <f t="shared" si="44"/>
        <v>0</v>
      </c>
      <c r="Q102" s="238">
        <f t="shared" si="44"/>
        <v>0</v>
      </c>
    </row>
    <row r="103" spans="1:18">
      <c r="B103" t="s">
        <v>497</v>
      </c>
      <c r="G103" s="221">
        <f t="shared" ref="G103:M103" ca="1" si="45">+G98-G99+G100+G101+G102</f>
        <v>34257.700000000004</v>
      </c>
      <c r="H103" s="221">
        <f t="shared" ca="1" si="45"/>
        <v>44762.119999999995</v>
      </c>
      <c r="I103" s="221">
        <f t="shared" ca="1" si="45"/>
        <v>953.0355999999997</v>
      </c>
      <c r="J103" s="221">
        <f t="shared" ca="1" si="45"/>
        <v>-1028.1642000000002</v>
      </c>
      <c r="K103" s="221">
        <f t="shared" ca="1" si="45"/>
        <v>111813.6</v>
      </c>
      <c r="L103" s="221">
        <f t="shared" ca="1" si="45"/>
        <v>160309.66</v>
      </c>
      <c r="M103" s="221">
        <f t="shared" ca="1" si="45"/>
        <v>239273.72</v>
      </c>
      <c r="N103" s="221">
        <f ca="1">+N98-N99+N100+N101+N102</f>
        <v>269362.62</v>
      </c>
      <c r="O103" s="221">
        <f t="shared" ref="O103:Q103" ca="1" si="46">+O98-O99+O100+O101+O102</f>
        <v>11743.53</v>
      </c>
      <c r="P103" s="221">
        <f t="shared" ca="1" si="46"/>
        <v>17140.814399999999</v>
      </c>
      <c r="Q103" s="221">
        <f t="shared" ca="1" si="46"/>
        <v>196941.96</v>
      </c>
    </row>
    <row r="104" spans="1:18" ht="5.25" customHeight="1"/>
    <row r="105" spans="1:18" ht="15.6">
      <c r="A105" t="s">
        <v>392</v>
      </c>
      <c r="B105" s="52" t="s">
        <v>82</v>
      </c>
      <c r="C105" s="56"/>
      <c r="D105" s="56"/>
      <c r="E105" s="56"/>
      <c r="F105" s="56"/>
      <c r="G105" s="222" t="s">
        <v>551</v>
      </c>
      <c r="H105" s="201">
        <v>2025</v>
      </c>
      <c r="I105" s="201">
        <f>+H105+1</f>
        <v>2026</v>
      </c>
      <c r="J105" s="201">
        <f t="shared" ref="J105:Q105" si="47">+I105+1</f>
        <v>2027</v>
      </c>
      <c r="K105" s="201">
        <f t="shared" si="47"/>
        <v>2028</v>
      </c>
      <c r="L105" s="201">
        <f t="shared" si="47"/>
        <v>2029</v>
      </c>
      <c r="M105" s="201">
        <f t="shared" si="47"/>
        <v>2030</v>
      </c>
      <c r="N105" s="201">
        <f t="shared" si="47"/>
        <v>2031</v>
      </c>
      <c r="O105" s="201">
        <f t="shared" si="47"/>
        <v>2032</v>
      </c>
      <c r="P105" s="201">
        <f t="shared" si="47"/>
        <v>2033</v>
      </c>
      <c r="Q105" s="687">
        <f t="shared" si="47"/>
        <v>2034</v>
      </c>
    </row>
    <row r="106" spans="1:18" ht="3.95" customHeight="1">
      <c r="B106" s="207"/>
      <c r="C106" s="207"/>
      <c r="D106" s="207"/>
      <c r="E106" s="207"/>
      <c r="F106" s="207"/>
      <c r="G106" s="208"/>
      <c r="H106" s="208"/>
      <c r="I106" s="208"/>
      <c r="J106" s="208"/>
      <c r="K106" s="208"/>
      <c r="L106" s="208"/>
      <c r="M106" s="208"/>
      <c r="N106" s="208"/>
      <c r="O106" s="208"/>
      <c r="P106" s="208"/>
      <c r="Q106" s="208"/>
    </row>
    <row r="107" spans="1:18">
      <c r="B107" t="s">
        <v>551</v>
      </c>
      <c r="G107" s="686"/>
      <c r="H107" s="220"/>
      <c r="I107" s="220"/>
      <c r="J107" s="220"/>
      <c r="K107" s="220"/>
      <c r="L107" s="220"/>
      <c r="M107" s="220"/>
      <c r="N107" s="220"/>
      <c r="O107" s="220"/>
      <c r="P107" s="220"/>
      <c r="Q107" s="220"/>
    </row>
    <row r="108" spans="1:18">
      <c r="B108" t="s">
        <v>552</v>
      </c>
      <c r="G108"/>
      <c r="H108" s="220"/>
      <c r="I108" s="220"/>
      <c r="J108" s="220"/>
      <c r="K108" s="220"/>
      <c r="L108" s="220"/>
      <c r="M108" s="220"/>
      <c r="N108" s="220"/>
      <c r="O108" s="220"/>
      <c r="P108" s="220"/>
      <c r="Q108" s="220"/>
    </row>
    <row r="109" spans="1:18">
      <c r="B109" t="s">
        <v>553</v>
      </c>
      <c r="G109"/>
      <c r="H109" s="220"/>
      <c r="I109" s="220"/>
      <c r="J109" s="220"/>
      <c r="K109" s="220"/>
      <c r="L109" s="220"/>
      <c r="M109" s="220"/>
      <c r="N109" s="220"/>
      <c r="O109" s="220"/>
      <c r="P109" s="220"/>
      <c r="Q109" s="220"/>
    </row>
    <row r="110" spans="1:18" ht="3.75" customHeight="1"/>
    <row r="111" spans="1:18" ht="15.6">
      <c r="A111" t="s">
        <v>392</v>
      </c>
      <c r="B111" s="52" t="s">
        <v>554</v>
      </c>
      <c r="C111" s="56"/>
      <c r="D111" s="56"/>
      <c r="E111" s="56"/>
      <c r="F111" s="56"/>
      <c r="G111" s="201">
        <v>2014</v>
      </c>
      <c r="H111" s="201">
        <f>+G111+1</f>
        <v>2015</v>
      </c>
      <c r="I111" s="201">
        <f t="shared" ref="I111" si="48">+H111+1</f>
        <v>2016</v>
      </c>
      <c r="J111" s="201">
        <f t="shared" ref="J111" si="49">+I111+1</f>
        <v>2017</v>
      </c>
      <c r="K111" s="201">
        <f t="shared" ref="K111" si="50">+J111+1</f>
        <v>2018</v>
      </c>
      <c r="L111" s="201">
        <f t="shared" ref="L111" si="51">+K111+1</f>
        <v>2019</v>
      </c>
      <c r="M111" s="201">
        <f t="shared" ref="M111" si="52">+L111+1</f>
        <v>2020</v>
      </c>
      <c r="N111" s="201">
        <f>+M111+1</f>
        <v>2021</v>
      </c>
      <c r="O111" s="201">
        <f>+N111+1</f>
        <v>2022</v>
      </c>
      <c r="P111" s="201">
        <f t="shared" ref="P111" si="53">+O111+1</f>
        <v>2023</v>
      </c>
      <c r="Q111" s="201">
        <f>+P111+1</f>
        <v>2024</v>
      </c>
      <c r="R111" s="58" t="str">
        <f>"CAGR "&amp;$G$4&amp;" - "&amp;$Q$4</f>
        <v>CAGR 2014 - 2024</v>
      </c>
    </row>
    <row r="112" spans="1:18" ht="5.25" customHeight="1">
      <c r="B112" s="207"/>
      <c r="C112" s="207"/>
      <c r="D112" s="207"/>
      <c r="E112" s="207"/>
      <c r="F112" s="207"/>
      <c r="G112" s="208"/>
      <c r="H112" s="208"/>
      <c r="I112" s="208"/>
      <c r="J112" s="208"/>
      <c r="K112" s="208"/>
      <c r="L112" s="208"/>
      <c r="M112" s="208"/>
      <c r="N112" s="208"/>
      <c r="O112" s="208"/>
      <c r="P112" s="208"/>
      <c r="Q112" s="208"/>
      <c r="R112" s="59"/>
    </row>
    <row r="113" spans="2:18">
      <c r="B113" t="s">
        <v>296</v>
      </c>
      <c r="G113" s="219">
        <f>IFERROR(SUM(G55+G50),"")</f>
        <v>1574</v>
      </c>
      <c r="H113" s="219">
        <f t="shared" ref="H113:Q113" si="54">IFERROR(SUM(H55+H50),"")</f>
        <v>1967</v>
      </c>
      <c r="I113" s="219">
        <f t="shared" si="54"/>
        <v>1962</v>
      </c>
      <c r="J113" s="219">
        <f t="shared" si="54"/>
        <v>1941</v>
      </c>
      <c r="K113" s="219">
        <f t="shared" si="54"/>
        <v>4184</v>
      </c>
      <c r="L113" s="219">
        <f t="shared" si="54"/>
        <v>4198</v>
      </c>
      <c r="M113" s="219">
        <f t="shared" si="54"/>
        <v>4708</v>
      </c>
      <c r="N113" s="219">
        <f t="shared" si="54"/>
        <v>4673</v>
      </c>
      <c r="O113" s="219">
        <f t="shared" si="54"/>
        <v>4633</v>
      </c>
      <c r="P113" s="219">
        <f t="shared" si="54"/>
        <v>4080</v>
      </c>
      <c r="Q113" s="219">
        <f t="shared" si="54"/>
        <v>6056</v>
      </c>
      <c r="R113" s="61">
        <f t="shared" ref="R113:R121" si="55">IFERROR((Q113/G113)^(1/COUNT($G$4:$Q$4))-1,"")</f>
        <v>0.13031186202435441</v>
      </c>
    </row>
    <row r="114" spans="2:18">
      <c r="B114" t="s">
        <v>467</v>
      </c>
      <c r="G114" s="219">
        <f>IFERROR(SUM(G51,G56),"")</f>
        <v>1511</v>
      </c>
      <c r="H114" s="219">
        <f t="shared" ref="H114:Q114" si="56">IFERROR(SUM(H51,H56),"")</f>
        <v>1907</v>
      </c>
      <c r="I114" s="219">
        <f t="shared" si="56"/>
        <v>1902</v>
      </c>
      <c r="J114" s="219">
        <f t="shared" si="56"/>
        <v>1881</v>
      </c>
      <c r="K114" s="219">
        <f t="shared" si="56"/>
        <v>4124</v>
      </c>
      <c r="L114" s="219">
        <f t="shared" si="56"/>
        <v>4094</v>
      </c>
      <c r="M114" s="219">
        <f t="shared" si="56"/>
        <v>4117</v>
      </c>
      <c r="N114" s="219">
        <f t="shared" si="56"/>
        <v>4123</v>
      </c>
      <c r="O114" s="219">
        <f t="shared" si="56"/>
        <v>4129</v>
      </c>
      <c r="P114" s="219">
        <f t="shared" si="56"/>
        <v>3634</v>
      </c>
      <c r="Q114" s="219">
        <f t="shared" si="56"/>
        <v>5628</v>
      </c>
      <c r="R114" s="61">
        <f t="shared" si="55"/>
        <v>0.12698267202949487</v>
      </c>
    </row>
    <row r="115" spans="2:18">
      <c r="B115" t="s">
        <v>468</v>
      </c>
      <c r="G115" s="219">
        <f>IFERROR(SUM(G52,G57),"")</f>
        <v>63</v>
      </c>
      <c r="H115" s="219">
        <f t="shared" ref="H115:Q115" si="57">IFERROR(SUM(H52,H57),"")</f>
        <v>60</v>
      </c>
      <c r="I115" s="219">
        <f t="shared" si="57"/>
        <v>60</v>
      </c>
      <c r="J115" s="219">
        <f t="shared" si="57"/>
        <v>60</v>
      </c>
      <c r="K115" s="219">
        <f t="shared" si="57"/>
        <v>60</v>
      </c>
      <c r="L115" s="219">
        <f t="shared" si="57"/>
        <v>60</v>
      </c>
      <c r="M115" s="219">
        <f t="shared" si="57"/>
        <v>591</v>
      </c>
      <c r="N115" s="219">
        <f t="shared" si="57"/>
        <v>550</v>
      </c>
      <c r="O115" s="219">
        <f t="shared" si="57"/>
        <v>504</v>
      </c>
      <c r="P115" s="219">
        <f t="shared" si="57"/>
        <v>446</v>
      </c>
      <c r="Q115" s="219">
        <f t="shared" si="57"/>
        <v>428</v>
      </c>
      <c r="R115" s="61">
        <f t="shared" si="55"/>
        <v>0.19027071152274377</v>
      </c>
    </row>
    <row r="116" spans="2:18">
      <c r="B116" t="s">
        <v>555</v>
      </c>
      <c r="G116" s="219">
        <f t="shared" ref="G116:Q116" si="58">+G113-G32</f>
        <v>-2165</v>
      </c>
      <c r="H116" s="219">
        <f t="shared" si="58"/>
        <v>-2020</v>
      </c>
      <c r="I116" s="219">
        <f t="shared" si="58"/>
        <v>-2798</v>
      </c>
      <c r="J116" s="219">
        <f t="shared" si="58"/>
        <v>-3878</v>
      </c>
      <c r="K116" s="219">
        <f t="shared" si="58"/>
        <v>956</v>
      </c>
      <c r="L116" s="219">
        <f t="shared" si="58"/>
        <v>22</v>
      </c>
      <c r="M116" s="219">
        <f t="shared" si="58"/>
        <v>-1284</v>
      </c>
      <c r="N116" s="219">
        <f t="shared" si="58"/>
        <v>-1125</v>
      </c>
      <c r="O116" s="219">
        <f t="shared" si="58"/>
        <v>-1463</v>
      </c>
      <c r="P116" s="219">
        <f t="shared" si="58"/>
        <v>-3762</v>
      </c>
      <c r="Q116" s="219">
        <f t="shared" si="58"/>
        <v>-1830</v>
      </c>
      <c r="R116" s="61">
        <f t="shared" si="55"/>
        <v>-1.5166037187090753E-2</v>
      </c>
    </row>
    <row r="117" spans="2:18">
      <c r="B117" t="s">
        <v>556</v>
      </c>
      <c r="G117" s="233">
        <f>IFERROR(G23/G22,"")</f>
        <v>0.25761772853185594</v>
      </c>
      <c r="H117" s="233">
        <f t="shared" ref="H117:Q117" si="59">IFERROR(H23/H22,"")</f>
        <v>0.2791762013729977</v>
      </c>
      <c r="I117" s="233">
        <f t="shared" si="59"/>
        <v>0.18536585365853658</v>
      </c>
      <c r="J117" s="233">
        <f t="shared" si="59"/>
        <v>0.20729995320542818</v>
      </c>
      <c r="K117" s="233">
        <f t="shared" si="59"/>
        <v>7.2681704260651625E-2</v>
      </c>
      <c r="L117" s="233">
        <f t="shared" si="59"/>
        <v>7.9251170046801878E-2</v>
      </c>
      <c r="M117" s="233">
        <f t="shared" si="59"/>
        <v>-0.25957854406130271</v>
      </c>
      <c r="N117" s="233">
        <f t="shared" si="59"/>
        <v>0.15477651183172655</v>
      </c>
      <c r="O117" s="233">
        <f>IFERROR(O23/O22,"")</f>
        <v>0.20838881491344874</v>
      </c>
      <c r="P117" s="233">
        <f t="shared" si="59"/>
        <v>0.20164730107368731</v>
      </c>
      <c r="Q117" s="233">
        <f t="shared" si="59"/>
        <v>0.19780695426345404</v>
      </c>
      <c r="R117" s="61">
        <f t="shared" si="55"/>
        <v>-2.3730730504382569E-2</v>
      </c>
    </row>
    <row r="118" spans="2:18">
      <c r="B118" t="s">
        <v>414</v>
      </c>
      <c r="G118" s="238">
        <f t="shared" ref="G118:Q118" si="60">IFERROR(G16*(1-G117),"")</f>
        <v>129.17451523545708</v>
      </c>
      <c r="H118" s="238">
        <f t="shared" si="60"/>
        <v>460.60640732265449</v>
      </c>
      <c r="I118" s="238">
        <f t="shared" si="60"/>
        <v>1010.1463414634147</v>
      </c>
      <c r="J118" s="238">
        <f t="shared" si="60"/>
        <v>1522.7767898923726</v>
      </c>
      <c r="K118" s="238">
        <f t="shared" si="60"/>
        <v>2400.8270676691732</v>
      </c>
      <c r="L118" s="238">
        <f t="shared" si="60"/>
        <v>2473.1313572542899</v>
      </c>
      <c r="M118" s="238">
        <f t="shared" si="60"/>
        <v>4133.9367816091954</v>
      </c>
      <c r="N118" s="238">
        <f t="shared" si="60"/>
        <v>4903.9866783523221</v>
      </c>
      <c r="O118" s="238">
        <f t="shared" si="60"/>
        <v>4827.2450066577894</v>
      </c>
      <c r="P118" s="238">
        <f t="shared" si="60"/>
        <v>4747.0051478158548</v>
      </c>
      <c r="Q118" s="238">
        <f t="shared" si="60"/>
        <v>5513.4728033472802</v>
      </c>
      <c r="R118" s="61">
        <f t="shared" si="55"/>
        <v>0.40670943278112737</v>
      </c>
    </row>
    <row r="119" spans="2:18">
      <c r="B119" t="s">
        <v>453</v>
      </c>
      <c r="G119" s="456">
        <f>IFERROR(G35/G6*365,"")</f>
        <v>52.105136243067271</v>
      </c>
      <c r="H119" s="456">
        <f t="shared" ref="H119:Q119" si="61">IFERROR(H35/H6*365,"")</f>
        <v>51.153284671532852</v>
      </c>
      <c r="I119" s="456">
        <f t="shared" si="61"/>
        <v>51.937991117184836</v>
      </c>
      <c r="J119" s="456">
        <f t="shared" si="61"/>
        <v>60.891658676893577</v>
      </c>
      <c r="K119" s="456">
        <f t="shared" si="61"/>
        <v>53.153377630121817</v>
      </c>
      <c r="L119" s="456">
        <f t="shared" si="61"/>
        <v>50.12174380091308</v>
      </c>
      <c r="M119" s="456">
        <f t="shared" si="61"/>
        <v>39.654180913894933</v>
      </c>
      <c r="N119" s="456">
        <f t="shared" si="61"/>
        <v>43.425403864428255</v>
      </c>
      <c r="O119" s="456">
        <f t="shared" si="61"/>
        <v>42.810689537657616</v>
      </c>
      <c r="P119" s="456">
        <f t="shared" si="61"/>
        <v>41.823896130661034</v>
      </c>
      <c r="Q119" s="456">
        <f t="shared" si="61"/>
        <v>35.167635433620084</v>
      </c>
      <c r="R119" s="61">
        <f t="shared" si="55"/>
        <v>-3.5108632041199628E-2</v>
      </c>
    </row>
    <row r="120" spans="2:18">
      <c r="B120" t="s">
        <v>455</v>
      </c>
      <c r="G120" s="456">
        <f>IFERROR(G36/G7*365,"")</f>
        <v>0</v>
      </c>
      <c r="H120" s="456">
        <f t="shared" ref="H120:Q120" si="62">IFERROR(H36/H7*365,"")</f>
        <v>0</v>
      </c>
      <c r="I120" s="456">
        <f t="shared" si="62"/>
        <v>0</v>
      </c>
      <c r="J120" s="456">
        <f t="shared" si="62"/>
        <v>0</v>
      </c>
      <c r="K120" s="456">
        <f t="shared" si="62"/>
        <v>0</v>
      </c>
      <c r="L120" s="456">
        <f t="shared" si="62"/>
        <v>0</v>
      </c>
      <c r="M120" s="456">
        <f t="shared" si="62"/>
        <v>0</v>
      </c>
      <c r="N120" s="456">
        <f t="shared" si="62"/>
        <v>0</v>
      </c>
      <c r="O120" s="456">
        <f t="shared" si="62"/>
        <v>0</v>
      </c>
      <c r="P120" s="456">
        <f t="shared" si="62"/>
        <v>0</v>
      </c>
      <c r="Q120" s="456">
        <f t="shared" si="62"/>
        <v>0</v>
      </c>
      <c r="R120" s="61" t="str">
        <f t="shared" si="55"/>
        <v/>
      </c>
    </row>
    <row r="121" spans="2:18">
      <c r="B121" t="s">
        <v>464</v>
      </c>
      <c r="G121" s="456">
        <f>IFERROR(G49/G6*365,"")</f>
        <v>5.9850494333252948</v>
      </c>
      <c r="H121" s="456">
        <f t="shared" ref="H121:Q121" si="63">IFERROR(H49/H6*365,"")</f>
        <v>7.0792492179353497</v>
      </c>
      <c r="I121" s="456">
        <f t="shared" si="63"/>
        <v>5.4868466006149639</v>
      </c>
      <c r="J121" s="456">
        <f t="shared" si="63"/>
        <v>5.6492261334063834</v>
      </c>
      <c r="K121" s="456">
        <f t="shared" si="63"/>
        <v>7.5182724252491697</v>
      </c>
      <c r="L121" s="456">
        <f t="shared" si="63"/>
        <v>6.8615164264613737</v>
      </c>
      <c r="M121" s="456">
        <f t="shared" si="63"/>
        <v>8.6796705004662726</v>
      </c>
      <c r="N121" s="456">
        <f t="shared" si="63"/>
        <v>7.2144440924928732</v>
      </c>
      <c r="O121" s="456">
        <f t="shared" si="63"/>
        <v>7.8572645688969667</v>
      </c>
      <c r="P121" s="456">
        <f t="shared" si="63"/>
        <v>5.9049925292390126</v>
      </c>
      <c r="Q121" s="456">
        <f t="shared" si="63"/>
        <v>6.127179725645199</v>
      </c>
      <c r="R121" s="61">
        <f t="shared" si="55"/>
        <v>2.1359112870076302E-3</v>
      </c>
    </row>
    <row r="124" spans="2:18">
      <c r="O124"/>
    </row>
    <row r="125" spans="2:18">
      <c r="C125" s="542"/>
    </row>
    <row r="126" spans="2:18">
      <c r="C126" s="542"/>
    </row>
    <row r="127" spans="2:18">
      <c r="C127" s="542"/>
    </row>
    <row r="128" spans="2:18">
      <c r="C128" s="542"/>
    </row>
    <row r="129" spans="3:3">
      <c r="C129" s="542"/>
    </row>
    <row r="130" spans="3:3">
      <c r="C130" s="542"/>
    </row>
    <row r="131" spans="3:3">
      <c r="C131" s="542"/>
    </row>
    <row r="132" spans="3:3">
      <c r="C132" s="542"/>
    </row>
    <row r="133" spans="3:3">
      <c r="C133" s="542"/>
    </row>
    <row r="134" spans="3:3">
      <c r="C134" s="542"/>
    </row>
    <row r="135" spans="3:3">
      <c r="C135" s="542"/>
    </row>
    <row r="136" spans="3:3">
      <c r="C136" s="542"/>
    </row>
    <row r="137" spans="3:3">
      <c r="C137" s="542"/>
    </row>
    <row r="138" spans="3:3">
      <c r="C138" s="542"/>
    </row>
    <row r="139" spans="3:3">
      <c r="C139" s="542"/>
    </row>
    <row r="140" spans="3:3">
      <c r="C140" s="542"/>
    </row>
    <row r="141" spans="3:3">
      <c r="C141" s="542"/>
    </row>
    <row r="142" spans="3:3">
      <c r="C142" s="542"/>
    </row>
    <row r="143" spans="3:3">
      <c r="C143" s="542"/>
    </row>
    <row r="144" spans="3:3">
      <c r="C144" s="542"/>
    </row>
    <row r="145" spans="3:3">
      <c r="C145" s="542"/>
    </row>
    <row r="146" spans="3:3">
      <c r="C146" s="542"/>
    </row>
    <row r="147" spans="3:3">
      <c r="C147" s="542"/>
    </row>
    <row r="148" spans="3:3">
      <c r="C148" s="542"/>
    </row>
    <row r="149" spans="3:3">
      <c r="C149" s="542"/>
    </row>
    <row r="150" spans="3:3">
      <c r="C150" s="542"/>
    </row>
    <row r="151" spans="3:3">
      <c r="C151" s="542"/>
    </row>
    <row r="152" spans="3:3">
      <c r="C152" s="542"/>
    </row>
    <row r="153" spans="3:3">
      <c r="C153" s="542"/>
    </row>
    <row r="154" spans="3:3">
      <c r="C154" s="542"/>
    </row>
    <row r="155" spans="3:3">
      <c r="C155" s="542"/>
    </row>
    <row r="156" spans="3:3">
      <c r="C156" s="542"/>
    </row>
    <row r="157" spans="3:3">
      <c r="C157" s="542"/>
    </row>
    <row r="158" spans="3:3">
      <c r="C158" s="542"/>
    </row>
    <row r="159" spans="3:3">
      <c r="C159" s="542"/>
    </row>
    <row r="160" spans="3:3">
      <c r="C160" s="542"/>
    </row>
    <row r="161" spans="3:3">
      <c r="C161" s="542"/>
    </row>
    <row r="162" spans="3:3">
      <c r="C162" s="542"/>
    </row>
    <row r="163" spans="3:3">
      <c r="C163" s="542"/>
    </row>
    <row r="164" spans="3:3">
      <c r="C164" s="542"/>
    </row>
    <row r="165" spans="3:3">
      <c r="C165" s="542"/>
    </row>
    <row r="166" spans="3:3">
      <c r="C166" s="542"/>
    </row>
    <row r="167" spans="3:3">
      <c r="C167" s="542"/>
    </row>
    <row r="168" spans="3:3">
      <c r="C168" s="542"/>
    </row>
    <row r="169" spans="3:3">
      <c r="C169" s="542"/>
    </row>
    <row r="170" spans="3:3">
      <c r="C170" s="542"/>
    </row>
    <row r="171" spans="3:3">
      <c r="C171" s="542"/>
    </row>
    <row r="172" spans="3:3">
      <c r="C172" s="542"/>
    </row>
    <row r="173" spans="3:3">
      <c r="C173" s="542"/>
    </row>
    <row r="174" spans="3:3">
      <c r="C174" s="542"/>
    </row>
    <row r="175" spans="3:3">
      <c r="C175" s="542"/>
    </row>
    <row r="176" spans="3:3">
      <c r="C176" s="542"/>
    </row>
    <row r="177" spans="3:3">
      <c r="C177" s="542"/>
    </row>
    <row r="178" spans="3:3">
      <c r="C178" s="542"/>
    </row>
    <row r="179" spans="3:3">
      <c r="C179" s="542"/>
    </row>
    <row r="180" spans="3:3">
      <c r="C180" s="542"/>
    </row>
    <row r="181" spans="3:3">
      <c r="C181" s="542"/>
    </row>
    <row r="182" spans="3:3">
      <c r="C182" s="542"/>
    </row>
    <row r="183" spans="3:3">
      <c r="C183" s="542"/>
    </row>
    <row r="184" spans="3:3">
      <c r="C184" s="542"/>
    </row>
    <row r="185" spans="3:3">
      <c r="C185" s="542"/>
    </row>
    <row r="186" spans="3:3">
      <c r="C186" s="542"/>
    </row>
    <row r="187" spans="3:3">
      <c r="C187" s="542"/>
    </row>
    <row r="188" spans="3:3">
      <c r="C188" s="542"/>
    </row>
    <row r="189" spans="3:3">
      <c r="C189" s="542"/>
    </row>
    <row r="190" spans="3:3">
      <c r="C190" s="542"/>
    </row>
    <row r="191" spans="3:3">
      <c r="C191" s="542"/>
    </row>
    <row r="192" spans="3:3">
      <c r="C192" s="542"/>
    </row>
    <row r="193" spans="3:3">
      <c r="C193" s="542"/>
    </row>
    <row r="194" spans="3:3">
      <c r="C194" s="542"/>
    </row>
    <row r="195" spans="3:3">
      <c r="C195" s="542"/>
    </row>
    <row r="196" spans="3:3">
      <c r="C196" s="542"/>
    </row>
    <row r="197" spans="3:3">
      <c r="C197" s="542"/>
    </row>
    <row r="198" spans="3:3">
      <c r="C198" s="542"/>
    </row>
    <row r="199" spans="3:3">
      <c r="C199" s="542"/>
    </row>
    <row r="200" spans="3:3">
      <c r="C200" s="542"/>
    </row>
    <row r="201" spans="3:3">
      <c r="C201" s="542"/>
    </row>
    <row r="202" spans="3:3">
      <c r="C202" s="542"/>
    </row>
    <row r="203" spans="3:3">
      <c r="C203" s="542"/>
    </row>
    <row r="204" spans="3:3">
      <c r="C204" s="542"/>
    </row>
    <row r="205" spans="3:3">
      <c r="C205" s="542"/>
    </row>
    <row r="206" spans="3:3">
      <c r="C206" s="542"/>
    </row>
    <row r="207" spans="3:3">
      <c r="C207" s="542"/>
    </row>
    <row r="208" spans="3:3">
      <c r="C208" s="542"/>
    </row>
    <row r="209" spans="3:3">
      <c r="C209" s="542"/>
    </row>
    <row r="210" spans="3:3">
      <c r="C210" s="542"/>
    </row>
    <row r="211" spans="3:3">
      <c r="C211" s="542"/>
    </row>
    <row r="212" spans="3:3">
      <c r="C212" s="542"/>
    </row>
    <row r="213" spans="3:3">
      <c r="C213" s="542"/>
    </row>
    <row r="214" spans="3:3">
      <c r="C214" s="542"/>
    </row>
    <row r="215" spans="3:3">
      <c r="C215" s="542"/>
    </row>
    <row r="216" spans="3:3">
      <c r="C216" s="542"/>
    </row>
    <row r="217" spans="3:3">
      <c r="C217" s="542"/>
    </row>
    <row r="218" spans="3:3">
      <c r="C218" s="542"/>
    </row>
    <row r="219" spans="3:3">
      <c r="C219" s="542"/>
    </row>
    <row r="220" spans="3:3">
      <c r="C220" s="542"/>
    </row>
    <row r="221" spans="3:3">
      <c r="C221" s="542"/>
    </row>
    <row r="222" spans="3:3">
      <c r="C222" s="542"/>
    </row>
    <row r="223" spans="3:3">
      <c r="C223" s="542"/>
    </row>
    <row r="224" spans="3:3">
      <c r="C224" s="542"/>
    </row>
    <row r="225" spans="3:3">
      <c r="C225" s="542"/>
    </row>
    <row r="226" spans="3:3">
      <c r="C226" s="542"/>
    </row>
    <row r="227" spans="3:3">
      <c r="C227" s="542"/>
    </row>
    <row r="228" spans="3:3">
      <c r="C228" s="542"/>
    </row>
    <row r="229" spans="3:3">
      <c r="C229" s="542"/>
    </row>
    <row r="230" spans="3:3">
      <c r="C230" s="542"/>
    </row>
    <row r="231" spans="3:3">
      <c r="C231" s="542"/>
    </row>
    <row r="232" spans="3:3">
      <c r="C232" s="542"/>
    </row>
    <row r="233" spans="3:3">
      <c r="C233" s="542"/>
    </row>
    <row r="234" spans="3:3">
      <c r="C234" s="542"/>
    </row>
    <row r="235" spans="3:3">
      <c r="C235" s="542"/>
    </row>
    <row r="236" spans="3:3">
      <c r="C236" s="542"/>
    </row>
    <row r="237" spans="3:3">
      <c r="C237" s="542"/>
    </row>
    <row r="238" spans="3:3">
      <c r="C238" s="542"/>
    </row>
    <row r="239" spans="3:3">
      <c r="C239" s="542"/>
    </row>
    <row r="240" spans="3:3">
      <c r="C240" s="542"/>
    </row>
    <row r="241" spans="3:3">
      <c r="C241" s="542"/>
    </row>
    <row r="242" spans="3:3">
      <c r="C242" s="542"/>
    </row>
    <row r="243" spans="3:3">
      <c r="C243" s="542"/>
    </row>
    <row r="244" spans="3:3">
      <c r="C244" s="542"/>
    </row>
    <row r="245" spans="3:3">
      <c r="C245" s="542"/>
    </row>
    <row r="246" spans="3:3">
      <c r="C246" s="542"/>
    </row>
    <row r="247" spans="3:3">
      <c r="C247" s="542"/>
    </row>
    <row r="248" spans="3:3">
      <c r="C248" s="542"/>
    </row>
    <row r="249" spans="3:3">
      <c r="C249" s="542"/>
    </row>
    <row r="250" spans="3:3">
      <c r="C250" s="542"/>
    </row>
    <row r="251" spans="3:3">
      <c r="C251" s="542"/>
    </row>
    <row r="252" spans="3:3">
      <c r="C252" s="542"/>
    </row>
    <row r="253" spans="3:3">
      <c r="C253" s="542"/>
    </row>
    <row r="254" spans="3:3">
      <c r="C254" s="542"/>
    </row>
    <row r="255" spans="3:3">
      <c r="C255" s="542"/>
    </row>
    <row r="256" spans="3:3">
      <c r="C256" s="542"/>
    </row>
    <row r="257" spans="3:3">
      <c r="C257" s="542"/>
    </row>
    <row r="258" spans="3:3">
      <c r="C258" s="542"/>
    </row>
    <row r="259" spans="3:3">
      <c r="C259" s="542"/>
    </row>
    <row r="260" spans="3:3">
      <c r="C260" s="542"/>
    </row>
    <row r="261" spans="3:3">
      <c r="C261" s="542"/>
    </row>
    <row r="262" spans="3:3">
      <c r="C262" s="542"/>
    </row>
    <row r="263" spans="3:3">
      <c r="C263" s="542"/>
    </row>
    <row r="264" spans="3:3">
      <c r="C264" s="542"/>
    </row>
    <row r="265" spans="3:3">
      <c r="C265" s="542"/>
    </row>
    <row r="266" spans="3:3">
      <c r="C266" s="542"/>
    </row>
    <row r="267" spans="3:3">
      <c r="C267" s="542"/>
    </row>
    <row r="268" spans="3:3">
      <c r="C268" s="542"/>
    </row>
    <row r="269" spans="3:3">
      <c r="C269" s="542"/>
    </row>
    <row r="270" spans="3:3">
      <c r="C270" s="542"/>
    </row>
    <row r="271" spans="3:3">
      <c r="C271" s="542"/>
    </row>
    <row r="272" spans="3:3">
      <c r="C272" s="542"/>
    </row>
    <row r="273" spans="3:3">
      <c r="C273" s="542"/>
    </row>
    <row r="274" spans="3:3">
      <c r="C274" s="542"/>
    </row>
    <row r="275" spans="3:3">
      <c r="C275" s="542"/>
    </row>
    <row r="276" spans="3:3">
      <c r="C276" s="542"/>
    </row>
    <row r="277" spans="3:3">
      <c r="C277" s="542"/>
    </row>
    <row r="278" spans="3:3">
      <c r="C278" s="542"/>
    </row>
    <row r="279" spans="3:3">
      <c r="C279" s="542"/>
    </row>
    <row r="280" spans="3:3">
      <c r="C280" s="542"/>
    </row>
    <row r="281" spans="3:3">
      <c r="C281" s="542"/>
    </row>
    <row r="282" spans="3:3">
      <c r="C282" s="542"/>
    </row>
    <row r="283" spans="3:3">
      <c r="C283" s="542"/>
    </row>
    <row r="284" spans="3:3">
      <c r="C284" s="542"/>
    </row>
    <row r="285" spans="3:3">
      <c r="C285" s="542"/>
    </row>
    <row r="286" spans="3:3">
      <c r="C286" s="542"/>
    </row>
    <row r="287" spans="3:3">
      <c r="C287" s="542"/>
    </row>
    <row r="288" spans="3:3">
      <c r="C288" s="542"/>
    </row>
    <row r="289" spans="3:3">
      <c r="C289" s="542"/>
    </row>
    <row r="290" spans="3:3">
      <c r="C290" s="542"/>
    </row>
    <row r="291" spans="3:3">
      <c r="C291" s="542"/>
    </row>
    <row r="292" spans="3:3">
      <c r="C292" s="542"/>
    </row>
    <row r="293" spans="3:3">
      <c r="C293" s="542"/>
    </row>
    <row r="294" spans="3:3">
      <c r="C294" s="542"/>
    </row>
    <row r="295" spans="3:3">
      <c r="C295" s="542"/>
    </row>
    <row r="296" spans="3:3">
      <c r="C296" s="542"/>
    </row>
    <row r="297" spans="3:3">
      <c r="C297" s="542"/>
    </row>
    <row r="298" spans="3:3">
      <c r="C298" s="542"/>
    </row>
    <row r="299" spans="3:3">
      <c r="C299" s="542"/>
    </row>
    <row r="300" spans="3:3">
      <c r="C300" s="542"/>
    </row>
    <row r="301" spans="3:3">
      <c r="C301" s="542"/>
    </row>
    <row r="302" spans="3:3">
      <c r="C302" s="542"/>
    </row>
    <row r="303" spans="3:3">
      <c r="C303" s="542"/>
    </row>
    <row r="304" spans="3:3">
      <c r="C304" s="542"/>
    </row>
    <row r="305" spans="3:3">
      <c r="C305" s="542"/>
    </row>
    <row r="306" spans="3:3">
      <c r="C306" s="542"/>
    </row>
    <row r="307" spans="3:3">
      <c r="C307" s="542"/>
    </row>
    <row r="308" spans="3:3">
      <c r="C308" s="542"/>
    </row>
    <row r="309" spans="3:3">
      <c r="C309" s="542"/>
    </row>
    <row r="310" spans="3:3">
      <c r="C310" s="542"/>
    </row>
    <row r="311" spans="3:3">
      <c r="C311" s="542"/>
    </row>
    <row r="312" spans="3:3">
      <c r="C312" s="542"/>
    </row>
    <row r="313" spans="3:3">
      <c r="C313" s="542"/>
    </row>
    <row r="314" spans="3:3">
      <c r="C314" s="542"/>
    </row>
    <row r="315" spans="3:3">
      <c r="C315" s="542"/>
    </row>
    <row r="316" spans="3:3">
      <c r="C316" s="542"/>
    </row>
    <row r="317" spans="3:3">
      <c r="C317" s="542"/>
    </row>
    <row r="318" spans="3:3">
      <c r="C318" s="542"/>
    </row>
    <row r="319" spans="3:3">
      <c r="C319" s="542"/>
    </row>
    <row r="320" spans="3:3">
      <c r="C320" s="542"/>
    </row>
    <row r="321" spans="3:3">
      <c r="C321" s="542"/>
    </row>
    <row r="322" spans="3:3">
      <c r="C322" s="542"/>
    </row>
    <row r="323" spans="3:3">
      <c r="C323" s="542"/>
    </row>
    <row r="324" spans="3:3">
      <c r="C324" s="542"/>
    </row>
    <row r="325" spans="3:3">
      <c r="C325" s="542"/>
    </row>
    <row r="326" spans="3:3">
      <c r="C326" s="542"/>
    </row>
    <row r="327" spans="3:3">
      <c r="C327" s="542"/>
    </row>
    <row r="328" spans="3:3">
      <c r="C328" s="542"/>
    </row>
    <row r="329" spans="3:3">
      <c r="C329" s="542"/>
    </row>
    <row r="330" spans="3:3">
      <c r="C330" s="542"/>
    </row>
    <row r="331" spans="3:3">
      <c r="C331" s="542"/>
    </row>
    <row r="332" spans="3:3">
      <c r="C332" s="542"/>
    </row>
    <row r="333" spans="3:3">
      <c r="C333" s="542"/>
    </row>
    <row r="334" spans="3:3">
      <c r="C334" s="542"/>
    </row>
    <row r="335" spans="3:3">
      <c r="C335" s="542"/>
    </row>
    <row r="336" spans="3:3">
      <c r="C336" s="542"/>
    </row>
    <row r="337" spans="3:3">
      <c r="C337" s="542"/>
    </row>
    <row r="338" spans="3:3">
      <c r="C338" s="542"/>
    </row>
    <row r="339" spans="3:3">
      <c r="C339" s="542"/>
    </row>
    <row r="340" spans="3:3">
      <c r="C340" s="542"/>
    </row>
    <row r="341" spans="3:3">
      <c r="C341" s="542"/>
    </row>
    <row r="342" spans="3:3">
      <c r="C342" s="542"/>
    </row>
    <row r="343" spans="3:3">
      <c r="C343" s="542"/>
    </row>
    <row r="344" spans="3:3">
      <c r="C344" s="542"/>
    </row>
    <row r="345" spans="3:3">
      <c r="C345" s="542"/>
    </row>
    <row r="346" spans="3:3">
      <c r="C346" s="542"/>
    </row>
    <row r="347" spans="3:3">
      <c r="C347" s="542"/>
    </row>
    <row r="348" spans="3:3">
      <c r="C348" s="542"/>
    </row>
    <row r="349" spans="3:3">
      <c r="C349" s="542"/>
    </row>
    <row r="350" spans="3:3">
      <c r="C350" s="542"/>
    </row>
    <row r="351" spans="3:3">
      <c r="C351" s="542"/>
    </row>
    <row r="352" spans="3:3">
      <c r="C352" s="542"/>
    </row>
    <row r="353" spans="3:3">
      <c r="C353" s="542"/>
    </row>
    <row r="354" spans="3:3">
      <c r="C354" s="542"/>
    </row>
    <row r="355" spans="3:3">
      <c r="C355" s="542"/>
    </row>
    <row r="356" spans="3:3">
      <c r="C356" s="542"/>
    </row>
    <row r="357" spans="3:3">
      <c r="C357" s="542"/>
    </row>
    <row r="358" spans="3:3">
      <c r="C358" s="542"/>
    </row>
    <row r="359" spans="3:3">
      <c r="C359" s="542"/>
    </row>
    <row r="360" spans="3:3">
      <c r="C360" s="542"/>
    </row>
    <row r="361" spans="3:3">
      <c r="C361" s="542"/>
    </row>
    <row r="362" spans="3:3">
      <c r="C362" s="542"/>
    </row>
    <row r="363" spans="3:3">
      <c r="C363" s="542"/>
    </row>
    <row r="364" spans="3:3">
      <c r="C364" s="542"/>
    </row>
    <row r="365" spans="3:3">
      <c r="C365" s="542"/>
    </row>
    <row r="366" spans="3:3">
      <c r="C366" s="542"/>
    </row>
    <row r="367" spans="3:3">
      <c r="C367" s="542"/>
    </row>
    <row r="368" spans="3:3">
      <c r="C368" s="542"/>
    </row>
    <row r="369" spans="3:3">
      <c r="C369" s="542"/>
    </row>
    <row r="370" spans="3:3">
      <c r="C370" s="542"/>
    </row>
    <row r="371" spans="3:3">
      <c r="C371" s="542"/>
    </row>
    <row r="372" spans="3:3">
      <c r="C372" s="542"/>
    </row>
    <row r="373" spans="3:3">
      <c r="C373" s="542"/>
    </row>
    <row r="374" spans="3:3">
      <c r="C374" s="542"/>
    </row>
    <row r="375" spans="3:3">
      <c r="C375" s="542"/>
    </row>
    <row r="376" spans="3:3">
      <c r="C376" s="542"/>
    </row>
    <row r="377" spans="3:3">
      <c r="C377" s="542"/>
    </row>
    <row r="378" spans="3:3">
      <c r="C378" s="542"/>
    </row>
    <row r="379" spans="3:3">
      <c r="C379" s="542"/>
    </row>
    <row r="380" spans="3:3">
      <c r="C380" s="542"/>
    </row>
    <row r="381" spans="3:3">
      <c r="C381" s="542"/>
    </row>
    <row r="382" spans="3:3">
      <c r="C382" s="542"/>
    </row>
    <row r="383" spans="3:3">
      <c r="C383" s="542"/>
    </row>
    <row r="384" spans="3:3">
      <c r="C384" s="542"/>
    </row>
    <row r="385" spans="3:3">
      <c r="C385" s="542"/>
    </row>
    <row r="386" spans="3:3">
      <c r="C386" s="542"/>
    </row>
    <row r="387" spans="3:3">
      <c r="C387" s="542"/>
    </row>
    <row r="388" spans="3:3">
      <c r="C388" s="542"/>
    </row>
    <row r="389" spans="3:3">
      <c r="C389" s="542"/>
    </row>
    <row r="390" spans="3:3">
      <c r="C390" s="542"/>
    </row>
    <row r="391" spans="3:3">
      <c r="C391" s="542"/>
    </row>
    <row r="392" spans="3:3">
      <c r="C392" s="542"/>
    </row>
    <row r="393" spans="3:3">
      <c r="C393" s="542"/>
    </row>
    <row r="394" spans="3:3">
      <c r="C394" s="542"/>
    </row>
    <row r="395" spans="3:3">
      <c r="C395" s="542"/>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zoomScale="65" zoomScaleNormal="115" workbookViewId="0">
      <selection activeCell="G25" sqref="G25"/>
    </sheetView>
  </sheetViews>
  <sheetFormatPr defaultColWidth="8.625" defaultRowHeight="14.1"/>
  <cols>
    <col min="1" max="1" width="2.125" customWidth="1"/>
    <col min="6" max="6" width="8.125" customWidth="1"/>
    <col min="7" max="7" width="12.5" bestFit="1" customWidth="1"/>
    <col min="9" max="9" width="15.125" customWidth="1"/>
    <col min="10" max="10" width="7.5" customWidth="1"/>
    <col min="13" max="13" width="33" customWidth="1"/>
    <col min="14" max="14" width="14" customWidth="1"/>
    <col min="16" max="16" width="26.625" bestFit="1" customWidth="1"/>
    <col min="17" max="17" width="10.375" bestFit="1" customWidth="1"/>
    <col min="18" max="18" width="12.125" bestFit="1" customWidth="1"/>
  </cols>
  <sheetData>
    <row r="2" spans="2:14" s="37" customFormat="1" ht="20.100000000000001">
      <c r="B2" s="40" t="s">
        <v>421</v>
      </c>
    </row>
    <row r="4" spans="2:14">
      <c r="B4" t="s">
        <v>557</v>
      </c>
    </row>
    <row r="5" spans="2:14">
      <c r="B5" t="s">
        <v>558</v>
      </c>
    </row>
    <row r="7" spans="2:14">
      <c r="B7" s="2" t="s">
        <v>421</v>
      </c>
      <c r="C7" s="3"/>
      <c r="D7" s="3"/>
      <c r="E7" s="3"/>
      <c r="F7" s="3"/>
      <c r="G7" s="95"/>
      <c r="I7" s="2" t="s">
        <v>559</v>
      </c>
      <c r="J7" s="96" t="s">
        <v>102</v>
      </c>
      <c r="K7" s="96" t="s">
        <v>560</v>
      </c>
      <c r="M7" s="636" t="s">
        <v>201</v>
      </c>
      <c r="N7" s="637" t="s">
        <v>561</v>
      </c>
    </row>
    <row r="8" spans="2:14" ht="3.95" customHeight="1">
      <c r="B8" s="97"/>
      <c r="C8" s="98"/>
      <c r="D8" s="98"/>
      <c r="E8" s="98"/>
      <c r="F8" s="98"/>
      <c r="G8" s="99"/>
      <c r="I8" s="98"/>
      <c r="J8" s="100"/>
      <c r="K8" s="101"/>
      <c r="M8" s="638" t="s">
        <v>562</v>
      </c>
      <c r="N8" s="638"/>
    </row>
    <row r="9" spans="2:14">
      <c r="B9" s="102" t="s">
        <v>563</v>
      </c>
      <c r="G9" s="103" cm="1">
        <f t="array" aca="1" ref="G9" ca="1">+_FV(DCF!R4,"Market cap",TRUE)/1000000</f>
        <v>155214.79999999999</v>
      </c>
      <c r="I9" t="s">
        <v>564</v>
      </c>
      <c r="J9" s="104">
        <f>Segments!D6</f>
        <v>0.59944199023482914</v>
      </c>
      <c r="K9" s="105">
        <v>5.1700000000000003E-2</v>
      </c>
      <c r="M9" s="102" t="str">
        <f ca="1">+Peers!B7</f>
        <v>SALESFORCE, INC.</v>
      </c>
      <c r="N9" s="640">
        <f ca="1">+Peers!E74</f>
        <v>1.0431501362369942</v>
      </c>
    </row>
    <row r="10" spans="2:14">
      <c r="B10" t="s">
        <v>565</v>
      </c>
      <c r="G10" s="17">
        <f ca="1">IFERROR(G9/G23,"")</f>
        <v>0.96244825473675333</v>
      </c>
      <c r="I10" t="s">
        <v>104</v>
      </c>
      <c r="J10" s="104">
        <f>Segments!D7</f>
        <v>0.14229249011857709</v>
      </c>
      <c r="K10" s="105">
        <v>5.8500000000000003E-2</v>
      </c>
      <c r="M10" s="102" t="str">
        <f ca="1">+Peers!B8</f>
        <v>INTUIT INC.</v>
      </c>
      <c r="N10" s="640">
        <f ca="1">+Peers!F74</f>
        <v>0.9683143675155087</v>
      </c>
    </row>
    <row r="11" spans="2:14">
      <c r="B11" t="s">
        <v>566</v>
      </c>
      <c r="G11" s="32">
        <f ca="1">IFERROR(G12+G14*G15,"")</f>
        <v>9.3755709928855457E-2</v>
      </c>
      <c r="I11" t="s">
        <v>105</v>
      </c>
      <c r="J11" s="104">
        <f>Segments!D8</f>
        <v>0.25826551964659383</v>
      </c>
      <c r="K11" s="105">
        <v>6.1699999999999998E-2</v>
      </c>
      <c r="M11" s="102" t="str">
        <f ca="1">+Peers!B9</f>
        <v>WORKDAY, INC.</v>
      </c>
      <c r="N11" s="640">
        <f ca="1">+Peers!G74</f>
        <v>0.84097318730596393</v>
      </c>
    </row>
    <row r="12" spans="2:14">
      <c r="B12" t="s">
        <v>567</v>
      </c>
      <c r="G12" s="106">
        <v>4.41E-2</v>
      </c>
      <c r="I12" t="s">
        <v>162</v>
      </c>
      <c r="J12" s="32">
        <f>1-SUM(J9:J11)</f>
        <v>0</v>
      </c>
      <c r="K12" s="32">
        <f>MAX(K9:K11)</f>
        <v>6.1699999999999998E-2</v>
      </c>
      <c r="M12" s="102" t="str">
        <f ca="1">+Peers!B10</f>
        <v>DATADOG, INC.</v>
      </c>
      <c r="N12" s="640">
        <f ca="1">+Peers!H74</f>
        <v>0.75141261595547315</v>
      </c>
    </row>
    <row r="13" spans="2:14">
      <c r="B13" t="s">
        <v>568</v>
      </c>
      <c r="G13" s="107">
        <f ca="1">+N19</f>
        <v>0.86509315520884567</v>
      </c>
      <c r="J13" s="104"/>
      <c r="M13" s="102" t="str">
        <f ca="1">+Peers!B11</f>
        <v>HUBSPOT, INC.</v>
      </c>
      <c r="N13" s="640">
        <f ca="1">+Peers!I74</f>
        <v>1.5023597880014221</v>
      </c>
    </row>
    <row r="14" spans="2:14">
      <c r="B14" t="s">
        <v>32</v>
      </c>
      <c r="G14" s="699">
        <f ca="1">+IFERROR(G13*(1+(1-G21)*(G18/G9)),"")</f>
        <v>0.89874190985786506</v>
      </c>
      <c r="H14" t="s">
        <v>569</v>
      </c>
      <c r="M14" s="102" t="str">
        <f ca="1">+Peers!B12</f>
        <v>Sap Se</v>
      </c>
      <c r="N14" s="640">
        <f ca="1">+Peers!J74</f>
        <v>1.1095378093253281</v>
      </c>
    </row>
    <row r="15" spans="2:14">
      <c r="B15" t="s">
        <v>570</v>
      </c>
      <c r="G15" s="370">
        <f>SUMPRODUCT(J9:J14,K9:K14)</f>
        <v>5.525024412927227E-2</v>
      </c>
      <c r="J15" s="32"/>
      <c r="M15" s="102" t="str">
        <f ca="1">+Peers!B13</f>
        <v>SERVICENOW, INC.</v>
      </c>
      <c r="N15" s="640">
        <f ca="1">+Peers!K74</f>
        <v>0.77969866658161735</v>
      </c>
    </row>
    <row r="16" spans="2:14">
      <c r="B16" s="1" t="s">
        <v>571</v>
      </c>
      <c r="G16" s="32">
        <f ca="1">IFERROR(+G12+G13*G15,"")</f>
        <v>9.1896608019851153E-2</v>
      </c>
      <c r="J16" s="32"/>
      <c r="M16" s="102" t="str">
        <f ca="1">+Peers!B14</f>
        <v>AUTODESK, INC.</v>
      </c>
      <c r="N16" s="640">
        <f ca="1">+Peers!L74</f>
        <v>0.838291833861882</v>
      </c>
    </row>
    <row r="17" spans="2:14">
      <c r="M17" s="102" t="str">
        <f ca="1">+Peers!B15</f>
        <v>SNOWFLAKE INC.</v>
      </c>
      <c r="N17" s="640">
        <f ca="1">+Peers!M74</f>
        <v>0.63953470253069833</v>
      </c>
    </row>
    <row r="18" spans="2:14">
      <c r="B18" s="102" t="s">
        <v>572</v>
      </c>
      <c r="G18" s="108">
        <f>Inputs!Q113</f>
        <v>6056</v>
      </c>
      <c r="M18" s="102" t="str">
        <f ca="1">+Peers!B16</f>
        <v>ATLASSIAN CORPORATION</v>
      </c>
      <c r="N18" s="640">
        <f ca="1">+Peers!N74</f>
        <v>0.17765844477357004</v>
      </c>
    </row>
    <row r="19" spans="2:14">
      <c r="B19" t="s">
        <v>444</v>
      </c>
      <c r="G19" s="17">
        <f ca="1">IFERROR(G18/G23,"")</f>
        <v>3.7551745263246665E-2</v>
      </c>
      <c r="M19" s="639" t="s">
        <v>213</v>
      </c>
      <c r="N19" s="641">
        <f ca="1">IFERROR(+AVERAGEIF(N9:N18,"&gt;0"),"")</f>
        <v>0.86509315520884567</v>
      </c>
    </row>
    <row r="20" spans="2:14">
      <c r="B20" t="s">
        <v>573</v>
      </c>
      <c r="G20" s="106">
        <f>Inputs!Q18/WACC!G18</f>
        <v>2.7906208718626157E-2</v>
      </c>
    </row>
    <row r="21" spans="2:14">
      <c r="B21" t="s">
        <v>574</v>
      </c>
      <c r="G21" s="106">
        <f>+DCF!H79</f>
        <v>3.0958984551524202E-3</v>
      </c>
    </row>
    <row r="23" spans="2:14">
      <c r="B23" t="s">
        <v>106</v>
      </c>
      <c r="G23" s="27">
        <f ca="1">+G9+G18</f>
        <v>161270.79999999999</v>
      </c>
    </row>
    <row r="25" spans="2:14">
      <c r="B25" s="1" t="s">
        <v>421</v>
      </c>
      <c r="G25" s="109">
        <f ca="1">IFERROR(G10*G11+G19*G20*(1-G21),"")</f>
        <v>9.1279701958608711E-2</v>
      </c>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zoomScale="63" zoomScaleNormal="100" workbookViewId="0">
      <selection activeCell="E16" sqref="E16"/>
    </sheetView>
  </sheetViews>
  <sheetFormatPr defaultColWidth="8.625" defaultRowHeight="14.1"/>
  <cols>
    <col min="1" max="1" width="1.625" customWidth="1"/>
    <col min="2" max="2" width="15.625" style="8" customWidth="1"/>
    <col min="4" max="4" width="16.125" customWidth="1"/>
    <col min="5" max="13" width="13.375" customWidth="1"/>
    <col min="14" max="17" width="12.625" style="26" customWidth="1"/>
    <col min="18" max="18" width="12.625" customWidth="1"/>
  </cols>
  <sheetData>
    <row r="1" spans="2:19">
      <c r="R1" s="26"/>
    </row>
    <row r="2" spans="2:19" s="226" customFormat="1" ht="20.100000000000001" customHeight="1">
      <c r="B2" s="225" t="s">
        <v>575</v>
      </c>
      <c r="C2" s="453"/>
      <c r="D2" s="453"/>
      <c r="E2" s="453"/>
      <c r="F2" s="453"/>
      <c r="G2" s="453"/>
      <c r="H2" s="453"/>
      <c r="I2" s="453"/>
      <c r="J2" s="453"/>
      <c r="K2" s="453"/>
      <c r="L2" s="453"/>
      <c r="M2" s="453"/>
      <c r="N2" s="454"/>
      <c r="O2" s="454"/>
      <c r="P2" s="454"/>
      <c r="Q2" s="227"/>
      <c r="R2" s="227"/>
      <c r="S2" s="453"/>
    </row>
    <row r="3" spans="2:19">
      <c r="R3" s="26"/>
    </row>
    <row r="4" spans="2:19" ht="15.6">
      <c r="B4" s="7" t="s">
        <v>576</v>
      </c>
      <c r="C4" s="56"/>
      <c r="D4" s="58"/>
      <c r="E4" s="58"/>
      <c r="F4" s="351">
        <v>2014</v>
      </c>
      <c r="G4" s="351">
        <f t="shared" ref="G4:J4" si="0">+F4+1</f>
        <v>2015</v>
      </c>
      <c r="H4" s="351">
        <f t="shared" si="0"/>
        <v>2016</v>
      </c>
      <c r="I4" s="351">
        <f t="shared" si="0"/>
        <v>2017</v>
      </c>
      <c r="J4" s="351">
        <f t="shared" si="0"/>
        <v>2018</v>
      </c>
      <c r="K4" s="351">
        <f t="shared" ref="K4" si="1">+J4+1</f>
        <v>2019</v>
      </c>
      <c r="L4" s="351">
        <f t="shared" ref="L4" si="2">+K4+1</f>
        <v>2020</v>
      </c>
      <c r="M4" s="351">
        <f t="shared" ref="M4" si="3">+L4+1</f>
        <v>2021</v>
      </c>
      <c r="N4" s="351">
        <v>2022</v>
      </c>
      <c r="O4" s="351">
        <f t="shared" ref="O4" si="4">+N4+1</f>
        <v>2023</v>
      </c>
      <c r="P4" s="352">
        <f>+O4+1</f>
        <v>2024</v>
      </c>
      <c r="Q4" s="350">
        <f>+P4+1</f>
        <v>2025</v>
      </c>
      <c r="R4" s="350">
        <f>+Q4+1</f>
        <v>2026</v>
      </c>
    </row>
    <row r="5" spans="2:19" ht="3.95" customHeight="1">
      <c r="B5" s="228"/>
      <c r="C5" s="53"/>
      <c r="D5" s="59"/>
      <c r="E5" s="59"/>
      <c r="F5" s="59"/>
      <c r="G5" s="59"/>
      <c r="H5" s="59"/>
      <c r="I5" s="59"/>
      <c r="J5" s="59"/>
      <c r="K5" s="59"/>
      <c r="L5" s="59"/>
      <c r="M5" s="59"/>
      <c r="N5" s="202"/>
      <c r="O5" s="202"/>
      <c r="P5" s="332"/>
      <c r="Q5" s="202"/>
      <c r="R5" s="202"/>
    </row>
    <row r="6" spans="2:19" ht="15.6">
      <c r="B6" s="15" t="s">
        <v>11</v>
      </c>
      <c r="F6" s="16">
        <f ca="1">IFERROR(_xlfn.XLOOKUP("Enterprise Value",Inputs!$B:$B,Inputs!G:G)/_xlfn.XLOOKUP("Revenue (Sales)",Inputs!$B:$B,Inputs!G:G),"")</f>
        <v>8.2608391608391614</v>
      </c>
      <c r="G6" s="16">
        <f ca="1">IFERROR(_xlfn.XLOOKUP("Enterprise Value",Inputs!$B:$B,Inputs!H:H)/_xlfn.XLOOKUP("Revenue (Sales)",Inputs!$B:$B,Inputs!H:H),"")</f>
        <v>9.3351657977059421</v>
      </c>
      <c r="H6" s="16">
        <f ca="1">IFERROR(_xlfn.XLOOKUP("Enterprise Value",Inputs!$B:$B,Inputs!I:I)/_xlfn.XLOOKUP("Revenue (Sales)",Inputs!$B:$B,Inputs!I:I),"")</f>
        <v>0.16280075162282195</v>
      </c>
      <c r="I6" s="16">
        <f ca="1">IFERROR(_xlfn.XLOOKUP("Enterprise Value",Inputs!$B:$B,Inputs!J:J)/_xlfn.XLOOKUP("Revenue (Sales)",Inputs!$B:$B,Inputs!J:J),"")</f>
        <v>-0.14082511984659637</v>
      </c>
      <c r="J6" s="16">
        <f ca="1">IFERROR(_xlfn.XLOOKUP("Enterprise Value",Inputs!$B:$B,Inputs!K:K)/_xlfn.XLOOKUP("Revenue (Sales)",Inputs!$B:$B,Inputs!K:K),"")</f>
        <v>12.382458471760797</v>
      </c>
      <c r="K6" s="16">
        <f ca="1">IFERROR(_xlfn.XLOOKUP("Enterprise Value",Inputs!$B:$B,Inputs!L:L)/_xlfn.XLOOKUP("Revenue (Sales)",Inputs!$B:$B,Inputs!L:L),"")</f>
        <v>14.350520096678901</v>
      </c>
      <c r="L6" s="16">
        <f ca="1">IFERROR(_xlfn.XLOOKUP("Enterprise Value",Inputs!$B:$B,Inputs!M:M)/_xlfn.XLOOKUP("Revenue (Sales)",Inputs!$B:$B,Inputs!M:M),"")</f>
        <v>18.594476220080821</v>
      </c>
      <c r="M6" s="16">
        <f ca="1">IFERROR(_xlfn.XLOOKUP("Enterprise Value",Inputs!$B:$B,Inputs!N:N)/_xlfn.XLOOKUP("Revenue (Sales)",Inputs!$B:$B,Inputs!N:N),"")</f>
        <v>17.064467532467532</v>
      </c>
      <c r="N6" s="16">
        <f ca="1">IFERROR(_xlfn.XLOOKUP("Enterprise Value",Inputs!$B:$B,Inputs!O:O)/_xlfn.XLOOKUP("Revenue (Sales)",Inputs!$B:$B,Inputs!O:O),"")</f>
        <v>0.66701863001249573</v>
      </c>
      <c r="O6" s="16">
        <f ca="1">IFERROR(_xlfn.XLOOKUP("Enterprise Value",Inputs!$B:$B,Inputs!P:P)/_xlfn.XLOOKUP("Revenue (Sales)",Inputs!$B:$B,Inputs!P:P),"")</f>
        <v>0.88313743108867016</v>
      </c>
      <c r="P6" s="330">
        <f ca="1">IFERROR(_xlfn.XLOOKUP("Enterprise Value",Inputs!$B:$B,Inputs!Q:Q)/_xlfn.XLOOKUP("Revenue (Sales)",Inputs!$B:$B,Inputs!Q:Q),"")</f>
        <v>9.1579614043245758</v>
      </c>
      <c r="Q6" s="337">
        <f ca="1">IFERROR(_xlfn.XLOOKUP("Enterprise Value",DCF!$B:$B,DCF!R:R)/_xlfn.XLOOKUP("Revenue (Sales)",DCF!$B:$B,DCF!H:H),"")</f>
        <v>12.668341715532716</v>
      </c>
      <c r="R6" s="337">
        <f ca="1">IFERROR(_xlfn.XLOOKUP("Enterprise Value",DCF!$B:$B,DCF!S:S)/_xlfn.XLOOKUP("Revenue (Sales)",DCF!$B:$B,DCF!I:I),"")</f>
        <v>12.303307436861214</v>
      </c>
    </row>
    <row r="7" spans="2:19" ht="15.6">
      <c r="B7" s="18" t="s">
        <v>12</v>
      </c>
      <c r="F7" s="16">
        <f ca="1">IFERROR(_xlfn.XLOOKUP("Market Capitalization",Inputs!$B:$B,Inputs!G:G)/_xlfn.XLOOKUP("Revenue (Sales)",Inputs!$B:$B,Inputs!G:G),"")</f>
        <v>8.7829033035929598</v>
      </c>
      <c r="G7" s="16">
        <f ca="1">IFERROR(_xlfn.XLOOKUP("Market Capitalization",Inputs!$B:$B,Inputs!H:H)/_xlfn.XLOOKUP("Revenue (Sales)",Inputs!$B:$B,Inputs!H:H),"")</f>
        <v>9.7564379562043779</v>
      </c>
      <c r="H7" s="16">
        <f ca="1">IFERROR(_xlfn.XLOOKUP("Market Capitalization",Inputs!$B:$B,Inputs!I:I)/_xlfn.XLOOKUP("Revenue (Sales)",Inputs!$B:$B,Inputs!I:I),"")</f>
        <v>0.64076453706867098</v>
      </c>
      <c r="I7" s="16">
        <f ca="1">IFERROR(_xlfn.XLOOKUP("Market Capitalization",Inputs!$B:$B,Inputs!J:J)/_xlfn.XLOOKUP("Revenue (Sales)",Inputs!$B:$B,Inputs!J:J),"")</f>
        <v>0.39033499520613613</v>
      </c>
      <c r="J7" s="16">
        <f ca="1">IFERROR(_xlfn.XLOOKUP("Market Capitalization",Inputs!$B:$B,Inputs!K:K)/_xlfn.XLOOKUP("Revenue (Sales)",Inputs!$B:$B,Inputs!K:K),"")</f>
        <v>12.276589147286822</v>
      </c>
      <c r="K7" s="16">
        <f ca="1">IFERROR(_xlfn.XLOOKUP("Market Capitalization",Inputs!$B:$B,Inputs!L:L)/_xlfn.XLOOKUP("Revenue (Sales)",Inputs!$B:$B,Inputs!L:L),"")</f>
        <v>14.34855071166413</v>
      </c>
      <c r="L7" s="16">
        <f ca="1">IFERROR(_xlfn.XLOOKUP("Market Capitalization",Inputs!$B:$B,Inputs!M:M)/_xlfn.XLOOKUP("Revenue (Sales)",Inputs!$B:$B,Inputs!M:M),"")</f>
        <v>18.694258626049113</v>
      </c>
      <c r="M7" s="16">
        <f ca="1">IFERROR(_xlfn.XLOOKUP("Market Capitalization",Inputs!$B:$B,Inputs!N:N)/_xlfn.XLOOKUP("Revenue (Sales)",Inputs!$B:$B,Inputs!N:N),"")</f>
        <v>17.135737725688944</v>
      </c>
      <c r="N7" s="16">
        <f ca="1">IFERROR(_xlfn.XLOOKUP("Market Capitalization",Inputs!$B:$B,Inputs!O:O)/_xlfn.XLOOKUP("Revenue (Sales)",Inputs!$B:$B,Inputs!O:O),"")</f>
        <v>0.75011530160172668</v>
      </c>
      <c r="O7" s="16">
        <f ca="1">IFERROR(_xlfn.XLOOKUP("Market Capitalization",Inputs!$B:$B,Inputs!P:P)/_xlfn.XLOOKUP("Revenue (Sales)",Inputs!$B:$B,Inputs!P:P),"")</f>
        <v>1.0769650368385799</v>
      </c>
      <c r="P7" s="330">
        <f ca="1">IFERROR(_xlfn.XLOOKUP("Market Capitalization",Inputs!$B:$B,Inputs!Q:Q)/_xlfn.XLOOKUP("Revenue (Sales)",Inputs!$B:$B,Inputs!Q:Q),"")</f>
        <v>9.2430578935131358</v>
      </c>
      <c r="Q7" s="337">
        <f ca="1">IFERROR(_xlfn.XLOOKUP("Equity Value",DCF!$B:$B,DCF!R:R)/_xlfn.XLOOKUP("Revenue (Sales)",DCF!$B:$B,DCF!H:H),"")</f>
        <v>13.509842241604398</v>
      </c>
      <c r="R7" s="337">
        <f ca="1">IFERROR(_xlfn.XLOOKUP("Equity Value",DCF!$B:$B,DCF!S:S)/_xlfn.XLOOKUP("Revenue (Sales)",DCF!$B:$B,DCF!I:I),"")</f>
        <v>13.65886088417056</v>
      </c>
    </row>
    <row r="8" spans="2:19" ht="15.6">
      <c r="B8" s="229" t="s">
        <v>13</v>
      </c>
      <c r="F8" s="16">
        <f ca="1">IFERROR(_xlfn.XLOOKUP("Enterprise Value",Inputs!$B:$B,Inputs!G:G)/_xlfn.XLOOKUP("EBITDA",Inputs!$B:$B,Inputs!G:G),"")</f>
        <v>70.489094650205772</v>
      </c>
      <c r="G8" s="16">
        <f ca="1">IFERROR(_xlfn.XLOOKUP("Enterprise Value",Inputs!$B:$B,Inputs!H:H)/_xlfn.XLOOKUP("EBITDA",Inputs!$B:$B,Inputs!H:H),"")</f>
        <v>45.957002053388088</v>
      </c>
      <c r="H8" s="16">
        <f ca="1">IFERROR(_xlfn.XLOOKUP("Enterprise Value",Inputs!$B:$B,Inputs!I:I)/_xlfn.XLOOKUP("EBITDA",Inputs!$B:$B,Inputs!I:I),"")</f>
        <v>0.6062567430025444</v>
      </c>
      <c r="I8" s="16">
        <f ca="1">IFERROR(_xlfn.XLOOKUP("Enterprise Value",Inputs!$B:$B,Inputs!J:J)/_xlfn.XLOOKUP("EBITDA",Inputs!$B:$B,Inputs!J:J),"")</f>
        <v>-0.45777569011576141</v>
      </c>
      <c r="J8" s="16">
        <f ca="1">IFERROR(_xlfn.XLOOKUP("Enterprise Value",Inputs!$B:$B,Inputs!K:K)/_xlfn.XLOOKUP("EBITDA",Inputs!$B:$B,Inputs!K:K),"")</f>
        <v>38.096626916524706</v>
      </c>
      <c r="K8" s="16">
        <f ca="1">IFERROR(_xlfn.XLOOKUP("Enterprise Value",Inputs!$B:$B,Inputs!L:L)/_xlfn.XLOOKUP("EBITDA",Inputs!$B:$B,Inputs!L:L),"")</f>
        <v>46.561039790880045</v>
      </c>
      <c r="L8" s="16">
        <f ca="1">IFERROR(_xlfn.XLOOKUP("Enterprise Value",Inputs!$B:$B,Inputs!M:M)/_xlfn.XLOOKUP("EBITDA",Inputs!$B:$B,Inputs!M:M),"")</f>
        <v>59.240831889081456</v>
      </c>
      <c r="M8" s="16">
        <f ca="1">IFERROR(_xlfn.XLOOKUP("Enterprise Value",Inputs!$B:$B,Inputs!N:N)/_xlfn.XLOOKUP("EBITDA",Inputs!$B:$B,Inputs!N:N),"")</f>
        <v>45.08915634415802</v>
      </c>
      <c r="N8" s="16">
        <f ca="1">IFERROR(_xlfn.XLOOKUP("Enterprise Value",Inputs!$B:$B,Inputs!O:O)/_xlfn.XLOOKUP("EBITDA",Inputs!$B:$B,Inputs!O:O),"")</f>
        <v>1.8984044616876821</v>
      </c>
      <c r="O8" s="16">
        <f ca="1">IFERROR(_xlfn.XLOOKUP("Enterprise Value",Inputs!$B:$B,Inputs!P:P)/_xlfn.XLOOKUP("EBITDA",Inputs!$B:$B,Inputs!P:P),"")</f>
        <v>2.5140531534174242</v>
      </c>
      <c r="P8" s="330">
        <f ca="1">IFERROR(_xlfn.XLOOKUP("Enterprise Value",Inputs!$B:$B,Inputs!Q:Q)/_xlfn.XLOOKUP("EBITDA",Inputs!$B:$B,Inputs!Q:Q),"")</f>
        <v>25.47761448900388</v>
      </c>
      <c r="Q8" s="337">
        <f ca="1">IFERROR(_xlfn.XLOOKUP("Enterprise Value",DCF!$B:$B,DCF!R:R)/_xlfn.XLOOKUP("EBITDA",DCF!$B:$B,DCF!H:H),"")</f>
        <v>22.205969718193877</v>
      </c>
      <c r="R8" s="337">
        <f ca="1">IFERROR(_xlfn.XLOOKUP("Enterprise Value",DCF!$B:$B,DCF!S:S)/_xlfn.XLOOKUP("EBITDA",DCF!$B:$B,DCF!I:I),"")</f>
        <v>21.351840393138328</v>
      </c>
    </row>
    <row r="9" spans="2:19" ht="15.6">
      <c r="B9" s="229" t="s">
        <v>15</v>
      </c>
      <c r="F9" s="16">
        <f ca="1">IFERROR(_xlfn.XLOOKUP("Enterprise Value",Inputs!$B:$B,Inputs!G:G)/_xlfn.XLOOKUP("Operating Income (EBIT)",Inputs!$B:$B,Inputs!G:G),"")</f>
        <v>196.88333333333335</v>
      </c>
      <c r="G9" s="16">
        <f ca="1">IFERROR(_xlfn.XLOOKUP("Enterprise Value",Inputs!$B:$B,Inputs!H:H)/_xlfn.XLOOKUP("Operating Income (EBIT)",Inputs!$B:$B,Inputs!H:H),"")</f>
        <v>70.05026604068857</v>
      </c>
      <c r="H9" s="16">
        <f ca="1">IFERROR(_xlfn.XLOOKUP("Enterprise Value",Inputs!$B:$B,Inputs!I:I)/_xlfn.XLOOKUP("Operating Income (EBIT)",Inputs!$B:$B,Inputs!I:I),"")</f>
        <v>0.76857709677419328</v>
      </c>
      <c r="I9" s="16">
        <f ca="1">IFERROR(_xlfn.XLOOKUP("Enterprise Value",Inputs!$B:$B,Inputs!J:J)/_xlfn.XLOOKUP("Operating Income (EBIT)",Inputs!$B:$B,Inputs!J:J),"")</f>
        <v>-0.53522342529932332</v>
      </c>
      <c r="J9" s="16">
        <f ca="1">IFERROR(_xlfn.XLOOKUP("Enterprise Value",Inputs!$B:$B,Inputs!K:K)/_xlfn.XLOOKUP("Operating Income (EBIT)",Inputs!$B:$B,Inputs!K:K),"")</f>
        <v>43.187949015063737</v>
      </c>
      <c r="K9" s="16">
        <f ca="1">IFERROR(_xlfn.XLOOKUP("Enterprise Value",Inputs!$B:$B,Inputs!L:L)/_xlfn.XLOOKUP("Operating Income (EBIT)",Inputs!$B:$B,Inputs!L:L),"")</f>
        <v>59.683417721518985</v>
      </c>
      <c r="L9" s="16">
        <f ca="1">IFERROR(_xlfn.XLOOKUP("Enterprise Value",Inputs!$B:$B,Inputs!M:M)/_xlfn.XLOOKUP("Operating Income (EBIT)",Inputs!$B:$B,Inputs!M:M),"")</f>
        <v>72.904850700792196</v>
      </c>
      <c r="M9" s="16">
        <f ca="1">IFERROR(_xlfn.XLOOKUP("Enterprise Value",Inputs!$B:$B,Inputs!N:N)/_xlfn.XLOOKUP("Operating Income (EBIT)",Inputs!$B:$B,Inputs!N:N),"")</f>
        <v>46.425822130299899</v>
      </c>
      <c r="N9" s="16">
        <f ca="1">IFERROR(_xlfn.XLOOKUP("Enterprise Value",Inputs!$B:$B,Inputs!O:O)/_xlfn.XLOOKUP("Operating Income (EBIT)",Inputs!$B:$B,Inputs!O:O),"")</f>
        <v>1.9258002623811086</v>
      </c>
      <c r="O9" s="16">
        <f ca="1">IFERROR(_xlfn.XLOOKUP("Enterprise Value",Inputs!$B:$B,Inputs!P:P)/_xlfn.XLOOKUP("Operating Income (EBIT)",Inputs!$B:$B,Inputs!P:P),"")</f>
        <v>2.8827471241170533</v>
      </c>
      <c r="P9" s="330">
        <f ca="1">IFERROR(_xlfn.XLOOKUP("Enterprise Value",Inputs!$B:$B,Inputs!Q:Q)/_xlfn.XLOOKUP("Operating Income (EBIT)",Inputs!$B:$B,Inputs!Q:Q),"")</f>
        <v>28.654439109559142</v>
      </c>
      <c r="Q9" s="337">
        <f ca="1">IFERROR(_xlfn.XLOOKUP("Enterprise Value",DCF!$B:$B,DCF!R:R)/_xlfn.XLOOKUP("Operating Income (EBIT)",DCF!$B:$B,DCF!H:H),"")</f>
        <v>23.694590715555318</v>
      </c>
      <c r="R9" s="337">
        <f ca="1">IFERROR(_xlfn.XLOOKUP("Enterprise Value",DCF!$B:$B,DCF!S:S)/_xlfn.XLOOKUP("Operating Income (EBIT)",DCF!$B:$B,DCF!I:I),"")</f>
        <v>23.074833842794266</v>
      </c>
    </row>
    <row r="10" spans="2:19" ht="15.6">
      <c r="B10" s="18" t="s">
        <v>16</v>
      </c>
      <c r="F10" s="16">
        <f ca="1">IFERROR(_xlfn.XLOOKUP("Market Capitalization",Inputs!$B:$B,Inputs!G:G)/_xlfn.XLOOKUP("Net Income",Inputs!$B:$B,Inputs!G:G),"")</f>
        <v>135.90559701492538</v>
      </c>
      <c r="G10" s="16">
        <f ca="1">IFERROR(_xlfn.XLOOKUP("Market Capitalization",Inputs!$B:$B,Inputs!H:H)/_xlfn.XLOOKUP("Net Income",Inputs!$B:$B,Inputs!H:H),"")</f>
        <v>74.257333333333321</v>
      </c>
      <c r="H10" s="16">
        <f ca="1">IFERROR(_xlfn.XLOOKUP("Market Capitalization",Inputs!$B:$B,Inputs!I:I)/_xlfn.XLOOKUP("Net Income",Inputs!$B:$B,Inputs!I:I),"")</f>
        <v>3.2087558597091528</v>
      </c>
      <c r="I10" s="16">
        <f ca="1">IFERROR(_xlfn.XLOOKUP("Market Capitalization",Inputs!$B:$B,Inputs!J:J)/_xlfn.XLOOKUP("Net Income",Inputs!$B:$B,Inputs!J:J),"")</f>
        <v>1.6823115702479339</v>
      </c>
      <c r="J10" s="16">
        <f ca="1">IFERROR(_xlfn.XLOOKUP("Market Capitalization",Inputs!$B:$B,Inputs!K:K)/_xlfn.XLOOKUP("Net Income",Inputs!$B:$B,Inputs!K:K),"")</f>
        <v>42.802162162162162</v>
      </c>
      <c r="K10" s="16">
        <f ca="1">IFERROR(_xlfn.XLOOKUP("Market Capitalization",Inputs!$B:$B,Inputs!L:L)/_xlfn.XLOOKUP("Net Income",Inputs!$B:$B,Inputs!L:L),"")</f>
        <v>54.316387665198242</v>
      </c>
      <c r="L10" s="16">
        <f ca="1">IFERROR(_xlfn.XLOOKUP("Market Capitalization",Inputs!$B:$B,Inputs!M:M)/_xlfn.XLOOKUP("Net Income",Inputs!$B:$B,Inputs!M:M),"")</f>
        <v>45.733406844106462</v>
      </c>
      <c r="M10" s="16">
        <f ca="1">IFERROR(_xlfn.XLOOKUP("Market Capitalization",Inputs!$B:$B,Inputs!N:N)/_xlfn.XLOOKUP("Net Income",Inputs!$B:$B,Inputs!N:N),"")</f>
        <v>56.094487764413103</v>
      </c>
      <c r="N10" s="16">
        <f ca="1">IFERROR(_xlfn.XLOOKUP("Market Capitalization",Inputs!$B:$B,Inputs!O:O)/_xlfn.XLOOKUP("Net Income",Inputs!$B:$B,Inputs!O:O),"")</f>
        <v>2.7768145500420522</v>
      </c>
      <c r="O10" s="16">
        <f ca="1">IFERROR(_xlfn.XLOOKUP("Market Capitalization",Inputs!$B:$B,Inputs!P:P)/_xlfn.XLOOKUP("Net Income",Inputs!$B:$B,Inputs!P:P),"")</f>
        <v>3.8509238025055268</v>
      </c>
      <c r="P10" s="330">
        <f ca="1">IFERROR(_xlfn.XLOOKUP("Market Capitalization",Inputs!$B:$B,Inputs!Q:Q)/_xlfn.XLOOKUP("Net Income",Inputs!$B:$B,Inputs!Q:Q),"")</f>
        <v>35.750352517985611</v>
      </c>
      <c r="Q10" s="337">
        <f ca="1">IFERROR(_xlfn.XLOOKUP("Equity Value",DCF!$B:$B,DCF!R:R)/_xlfn.XLOOKUP("Net Income",DCF!$B:$B,DCF!H:H),"")</f>
        <v>25.119795311217569</v>
      </c>
      <c r="R10" s="337">
        <f ca="1">IFERROR(_xlfn.XLOOKUP("Equity Value",DCF!$B:$B,DCF!S:S)/_xlfn.XLOOKUP("Net Income",DCF!$B:$B,DCF!I:I),"")</f>
        <v>25.59731138075156</v>
      </c>
    </row>
    <row r="11" spans="2:19" ht="15.6">
      <c r="B11" s="229" t="s">
        <v>17</v>
      </c>
      <c r="F11" s="16">
        <f ca="1">IFERROR(_xlfn.XLOOKUP("Market Capitalization",Inputs!$B:$B,Inputs!G:G)/_xlfn.XLOOKUP("Shareholder's Equity",Inputs!$B:$B,Inputs!G:G),"")</f>
        <v>5.3752508854781587</v>
      </c>
      <c r="G11" s="16">
        <f ca="1">IFERROR(_xlfn.XLOOKUP("Market Capitalization",Inputs!$B:$B,Inputs!H:H)/_xlfn.XLOOKUP("Shareholder's Equity",Inputs!$B:$B,Inputs!H:H),"")</f>
        <v>6.6812510711225359</v>
      </c>
      <c r="H11" s="16">
        <f ca="1">IFERROR(_xlfn.XLOOKUP("Market Capitalization",Inputs!$B:$B,Inputs!I:I)/_xlfn.XLOOKUP("Shareholder's Equity",Inputs!$B:$B,Inputs!I:I),"")</f>
        <v>0.50518997979797975</v>
      </c>
      <c r="I11" s="16">
        <f ca="1">IFERROR(_xlfn.XLOOKUP("Market Capitalization",Inputs!$B:$B,Inputs!J:J)/_xlfn.XLOOKUP("Shareholder's Equity",Inputs!$B:$B,Inputs!J:J),"")</f>
        <v>0.34426622372553756</v>
      </c>
      <c r="J11" s="16">
        <f ca="1">IFERROR(_xlfn.XLOOKUP("Market Capitalization",Inputs!$B:$B,Inputs!K:K)/_xlfn.XLOOKUP("Shareholder's Equity",Inputs!$B:$B,Inputs!K:K),"")</f>
        <v>11.841230506302074</v>
      </c>
      <c r="K11" s="16">
        <f ca="1">IFERROR(_xlfn.XLOOKUP("Market Capitalization",Inputs!$B:$B,Inputs!L:L)/_xlfn.XLOOKUP("Shareholder's Equity",Inputs!$B:$B,Inputs!L:L),"")</f>
        <v>15.220554553223815</v>
      </c>
      <c r="L11" s="16">
        <f ca="1">IFERROR(_xlfn.XLOOKUP("Market Capitalization",Inputs!$B:$B,Inputs!M:M)/_xlfn.XLOOKUP("Shareholder's Equity",Inputs!$B:$B,Inputs!M:M),"")</f>
        <v>18.136136911942099</v>
      </c>
      <c r="M11" s="16">
        <f ca="1">IFERROR(_xlfn.XLOOKUP("Market Capitalization",Inputs!$B:$B,Inputs!N:N)/_xlfn.XLOOKUP("Shareholder's Equity",Inputs!$B:$B,Inputs!N:N),"")</f>
        <v>18.279895924849633</v>
      </c>
      <c r="N11" s="16">
        <f ca="1">IFERROR(_xlfn.XLOOKUP("Market Capitalization",Inputs!$B:$B,Inputs!O:O)/_xlfn.XLOOKUP("Shareholder's Equity",Inputs!$B:$B,Inputs!O:O),"")</f>
        <v>0.94745175407131077</v>
      </c>
      <c r="O11" s="16">
        <f ca="1">IFERROR(_xlfn.XLOOKUP("Market Capitalization",Inputs!$B:$B,Inputs!P:P)/_xlfn.XLOOKUP("Shareholder's Equity",Inputs!$B:$B,Inputs!P:P),"")</f>
        <v>1.2537676583493282</v>
      </c>
      <c r="P11" s="330">
        <f ca="1">IFERROR(_xlfn.XLOOKUP("Market Capitalization",Inputs!$B:$B,Inputs!Q:Q)/_xlfn.XLOOKUP("Shareholder's Equity",Inputs!$B:$B,Inputs!Q:Q),"")</f>
        <v>14.730395731436193</v>
      </c>
      <c r="Q11" s="337" t="str">
        <f ca="1">IFERROR(+_xlfn.XLOOKUP("Equity Value",DCF!$B:$B,DCF!R:R)/(_xlfn.XLOOKUP("Shareholder's Equity",Inputs!$B:$B,Inputs!$Q:$Q)+_xlfn.XLOOKUP("Net Income",DCF!$B:$B,DCF!H:H)+_xlfn.XLOOKUP("Total Payout",DCF!$B:$B,DCF!H:H)),"")</f>
        <v/>
      </c>
      <c r="R11" s="337" t="str">
        <f ca="1">IFERROR(+_xlfn.XLOOKUP("Equity Value",DCF!$B:$B,DCF!S:S)/(_xlfn.XLOOKUP("Shareholder's Equity",Inputs!$B:$B,Inputs!$Q:$Q)+_xlfn.XLOOKUP("Net Income",DCF!$B:$B,DCF!I:I)+_xlfn.XLOOKUP("Total Payout",DCF!$B:$B,DCF!I:I)),"")</f>
        <v/>
      </c>
    </row>
    <row r="12" spans="2:19" ht="8.1" customHeight="1">
      <c r="B12" s="230"/>
      <c r="N12" s="231"/>
      <c r="O12" s="231"/>
      <c r="P12" s="333"/>
      <c r="Q12" s="338"/>
      <c r="R12" s="338"/>
    </row>
    <row r="13" spans="2:19" ht="15.6">
      <c r="B13" s="7" t="s">
        <v>232</v>
      </c>
      <c r="C13" s="56"/>
      <c r="D13" s="58"/>
      <c r="E13" s="58"/>
      <c r="F13" s="351">
        <v>2014</v>
      </c>
      <c r="G13" s="351">
        <f t="shared" ref="G13" si="5">+F13+1</f>
        <v>2015</v>
      </c>
      <c r="H13" s="351">
        <f t="shared" ref="H13" si="6">+G13+1</f>
        <v>2016</v>
      </c>
      <c r="I13" s="351">
        <f t="shared" ref="I13" si="7">+H13+1</f>
        <v>2017</v>
      </c>
      <c r="J13" s="351">
        <f t="shared" ref="J13" si="8">+I13+1</f>
        <v>2018</v>
      </c>
      <c r="K13" s="351">
        <f t="shared" ref="K13" si="9">+J13+1</f>
        <v>2019</v>
      </c>
      <c r="L13" s="351">
        <f t="shared" ref="L13" si="10">+K13+1</f>
        <v>2020</v>
      </c>
      <c r="M13" s="351">
        <f t="shared" ref="M13" si="11">+L13+1</f>
        <v>2021</v>
      </c>
      <c r="N13" s="351">
        <v>2022</v>
      </c>
      <c r="O13" s="351">
        <f t="shared" ref="O13" si="12">+N13+1</f>
        <v>2023</v>
      </c>
      <c r="P13" s="352">
        <f>+O13+1</f>
        <v>2024</v>
      </c>
      <c r="Q13" s="350">
        <f>+P13+1</f>
        <v>2025</v>
      </c>
      <c r="R13" s="350">
        <f>+Q13+1</f>
        <v>2026</v>
      </c>
    </row>
    <row r="14" spans="2:19" ht="3.95" customHeight="1">
      <c r="B14" s="228"/>
      <c r="C14" s="53"/>
      <c r="D14" s="59"/>
      <c r="E14" s="59"/>
      <c r="F14" s="59"/>
      <c r="G14" s="59"/>
      <c r="H14" s="59"/>
      <c r="I14" s="59"/>
      <c r="J14" s="59"/>
      <c r="K14" s="59"/>
      <c r="L14" s="59"/>
      <c r="M14" s="59"/>
      <c r="N14" s="202"/>
      <c r="O14" s="202"/>
      <c r="P14" s="332"/>
      <c r="Q14" s="202"/>
      <c r="R14" s="202"/>
    </row>
    <row r="15" spans="2:19" ht="15.6">
      <c r="B15" s="229" t="s">
        <v>25</v>
      </c>
      <c r="F15" s="233">
        <f>+IFERROR(_xlfn.XLOOKUP("Net Income",Inputs!$B:$B,Inputs!G:G)/_xlfn.XLOOKUP("Total Assets",Inputs!$B:$B,Inputs!G:G),"")</f>
        <v>2.4849327770050996E-2</v>
      </c>
      <c r="G15" s="233">
        <f>+IFERROR(_xlfn.XLOOKUP("Net Income",Inputs!$B:$B,Inputs!H:H)/_xlfn.XLOOKUP("Total Assets",Inputs!$B:$B,Inputs!H:H),"")</f>
        <v>5.3726761043834212E-2</v>
      </c>
      <c r="H15" s="233">
        <f>+IFERROR(_xlfn.XLOOKUP("Net Income",Inputs!$B:$B,Inputs!I:I)/_xlfn.XLOOKUP("Total Assets",Inputs!$B:$B,Inputs!I:I),"")</f>
        <v>9.1996537341622733E-2</v>
      </c>
      <c r="I15" s="233">
        <f>+IFERROR(_xlfn.XLOOKUP("Net Income",Inputs!$B:$B,Inputs!J:J)/_xlfn.XLOOKUP("Total Assets",Inputs!$B:$B,Inputs!J:J),"")</f>
        <v>0.11802410645858009</v>
      </c>
      <c r="J15" s="233">
        <f>+IFERROR(_xlfn.XLOOKUP("Net Income",Inputs!$B:$B,Inputs!K:K)/_xlfn.XLOOKUP("Total Assets",Inputs!$B:$B,Inputs!K:K),"")</f>
        <v>0.138000852514919</v>
      </c>
      <c r="K15" s="233">
        <f>+IFERROR(_xlfn.XLOOKUP("Net Income",Inputs!$B:$B,Inputs!L:L)/_xlfn.XLOOKUP("Total Assets",Inputs!$B:$B,Inputs!L:L),"")</f>
        <v>0.14212782353224485</v>
      </c>
      <c r="L15" s="233">
        <f>+IFERROR(_xlfn.XLOOKUP("Net Income",Inputs!$B:$B,Inputs!M:M)/_xlfn.XLOOKUP("Total Assets",Inputs!$B:$B,Inputs!M:M),"")</f>
        <v>0.2166035249547027</v>
      </c>
      <c r="M15" s="233">
        <f>+IFERROR(_xlfn.XLOOKUP("Net Income",Inputs!$B:$B,Inputs!N:N)/_xlfn.XLOOKUP("Total Assets",Inputs!$B:$B,Inputs!N:N),"")</f>
        <v>0.1770125913145626</v>
      </c>
      <c r="N15" s="233">
        <f>+IFERROR(_xlfn.XLOOKUP("Net Income",Inputs!$B:$B,Inputs!O:O)/_xlfn.XLOOKUP("Total Assets",Inputs!$B:$B,Inputs!O:O),"")</f>
        <v>0.17507822565801584</v>
      </c>
      <c r="O15" s="233">
        <f>+IFERROR(_xlfn.XLOOKUP("Net Income",Inputs!$B:$B,Inputs!P:P)/_xlfn.XLOOKUP("Total Assets",Inputs!$B:$B,Inputs!P:P),"")</f>
        <v>0.18215376354911239</v>
      </c>
      <c r="P15" s="334">
        <f>+IFERROR(_xlfn.XLOOKUP("Net Income",Inputs!$B:$B,Inputs!Q:Q)/_xlfn.XLOOKUP("Total Assets",Inputs!$B:$B,Inputs!Q:Q),"")</f>
        <v>0.18532097860142657</v>
      </c>
      <c r="Q15" s="339">
        <f>IFERROR(_xlfn.XLOOKUP("Net Income",DCF!$B:$B,DCF!H:H)/_xlfn.XLOOKUP("Total assets",DCF!$6:$6,DCF!10:10),"")</f>
        <v>0.2573039405256165</v>
      </c>
      <c r="R15" s="339">
        <f>IFERROR(_xlfn.XLOOKUP("Net Income",DCF!$B:$B,DCF!I:I)/_xlfn.XLOOKUP("Total assets",DCF!$6:$6,DCF!10:10),"")</f>
        <v>0.27311255875600698</v>
      </c>
      <c r="S15" s="22"/>
    </row>
    <row r="16" spans="2:19" ht="15.6">
      <c r="B16" s="229" t="s">
        <v>27</v>
      </c>
      <c r="F16" s="233">
        <f>IFERROR(_xlfn.XLOOKUP("Net Income",Inputs!$B:$B,Inputs!G:G)/_xlfn.XLOOKUP("Shareholder's Equity",Inputs!$B:$B,Inputs!G:G),"")</f>
        <v>3.9551357733175918E-2</v>
      </c>
      <c r="G16" s="233">
        <f>IFERROR(_xlfn.XLOOKUP("Net Income",Inputs!$B:$B,Inputs!H:H)/_xlfn.XLOOKUP("Shareholder's Equity",Inputs!$B:$B,Inputs!H:H),"")</f>
        <v>8.9974293059125965E-2</v>
      </c>
      <c r="H16" s="233">
        <f>IFERROR(_xlfn.XLOOKUP("Net Income",Inputs!$B:$B,Inputs!I:I)/_xlfn.XLOOKUP("Shareholder's Equity",Inputs!$B:$B,Inputs!I:I),"")</f>
        <v>0.15744107744107744</v>
      </c>
      <c r="I16" s="233">
        <f>IFERROR(_xlfn.XLOOKUP("Net Income",Inputs!$B:$B,Inputs!J:J)/_xlfn.XLOOKUP("Shareholder's Equity",Inputs!$B:$B,Inputs!J:J),"")</f>
        <v>0.2046388016429089</v>
      </c>
      <c r="J16" s="233">
        <f>IFERROR(_xlfn.XLOOKUP("Net Income",Inputs!$B:$B,Inputs!K:K)/_xlfn.XLOOKUP("Shareholder's Equity",Inputs!$B:$B,Inputs!K:K),"")</f>
        <v>0.27665028839991457</v>
      </c>
      <c r="K16" s="233">
        <f>IFERROR(_xlfn.XLOOKUP("Net Income",Inputs!$B:$B,Inputs!L:L)/_xlfn.XLOOKUP("Shareholder's Equity",Inputs!$B:$B,Inputs!L:L),"")</f>
        <v>0.28022030196562531</v>
      </c>
      <c r="L16" s="233">
        <f>IFERROR(_xlfn.XLOOKUP("Net Income",Inputs!$B:$B,Inputs!M:M)/_xlfn.XLOOKUP("Shareholder's Equity",Inputs!$B:$B,Inputs!M:M),"")</f>
        <v>0.39656212303980698</v>
      </c>
      <c r="M16" s="233">
        <f>IFERROR(_xlfn.XLOOKUP("Net Income",Inputs!$B:$B,Inputs!N:N)/_xlfn.XLOOKUP("Shareholder's Equity",Inputs!$B:$B,Inputs!N:N),"")</f>
        <v>0.3258768669324863</v>
      </c>
      <c r="N16" s="233">
        <f>IFERROR(_xlfn.XLOOKUP("Net Income",Inputs!$B:$B,Inputs!O:O)/_xlfn.XLOOKUP("Shareholder's Equity",Inputs!$B:$B,Inputs!O:O),"")</f>
        <v>0.34120094698328429</v>
      </c>
      <c r="O16" s="233">
        <f>IFERROR(_xlfn.XLOOKUP("Net Income",Inputs!$B:$B,Inputs!P:P)/_xlfn.XLOOKUP("Shareholder's Equity",Inputs!$B:$B,Inputs!P:P),"")</f>
        <v>0.32557581573896355</v>
      </c>
      <c r="P16" s="334">
        <f>IFERROR(_xlfn.XLOOKUP("Net Income",Inputs!$B:$B,Inputs!Q:Q)/_xlfn.XLOOKUP("Shareholder's Equity",Inputs!$B:$B,Inputs!Q:Q),"")</f>
        <v>0.41203497850896698</v>
      </c>
      <c r="Q16" s="339">
        <f>IFERROR(_xlfn.XLOOKUP("Net Income",DCF!$B:$B,DCF!H:H)/_xlfn.XLOOKUP("Shareholder's Equity",DCF!$6:$6,DCF!10:10),"")</f>
        <v>-1.1107671019197793E-11</v>
      </c>
      <c r="R16" s="339">
        <f>IFERROR(_xlfn.XLOOKUP("Net Income",DCF!$B:$B,DCF!I:I)/_xlfn.XLOOKUP("Shareholder's Equity",DCF!$6:$6,DCF!10:10),"")</f>
        <v>-1.1790120460945804E-11</v>
      </c>
      <c r="S16" s="22"/>
    </row>
    <row r="17" spans="2:19" ht="15.6">
      <c r="B17" s="229" t="s">
        <v>28</v>
      </c>
      <c r="F17" s="233">
        <f>IFERROR(_xlfn.XLOOKUP("NOPAT",Inputs!$B:$B,Inputs!G:G)/(_xlfn.XLOOKUP("Shareholder's Equity",Inputs!$B:$B,Inputs!G:G)+_xlfn.XLOOKUP("Total Debt",Inputs!$B:$B,Inputs!G:G,,,-1)),"")</f>
        <v>1.5470001824605638E-2</v>
      </c>
      <c r="G17" s="233">
        <f>IFERROR(_xlfn.XLOOKUP("NOPAT",Inputs!$B:$B,Inputs!H:H)/(_xlfn.XLOOKUP("Shareholder's Equity",Inputs!$B:$B,Inputs!H:H)+_xlfn.XLOOKUP("Total Debt",Inputs!$B:$B,Inputs!H:H,,,-1)),"")</f>
        <v>5.1355380457426075E-2</v>
      </c>
      <c r="H17" s="233">
        <f>IFERROR(_xlfn.XLOOKUP("NOPAT",Inputs!$B:$B,Inputs!I:I)/(_xlfn.XLOOKUP("Shareholder's Equity",Inputs!$B:$B,Inputs!I:I)+_xlfn.XLOOKUP("Total Debt",Inputs!$B:$B,Inputs!I:I,,,-1)),"")</f>
        <v>0.10761120075246774</v>
      </c>
      <c r="I17" s="233">
        <f>IFERROR(_xlfn.XLOOKUP("NOPAT",Inputs!$B:$B,Inputs!J:J)/(_xlfn.XLOOKUP("Shareholder's Equity",Inputs!$B:$B,Inputs!J:J)+_xlfn.XLOOKUP("Total Debt",Inputs!$B:$B,Inputs!J:J,,,-1)),"")</f>
        <v>0.14901426655175384</v>
      </c>
      <c r="J17" s="233">
        <f>IFERROR(_xlfn.XLOOKUP("NOPAT",Inputs!$B:$B,Inputs!K:K)/(_xlfn.XLOOKUP("Shareholder's Equity",Inputs!$B:$B,Inputs!K:K)+_xlfn.XLOOKUP("Total Debt",Inputs!$B:$B,Inputs!K:K,,,-1)),"")</f>
        <v>0.17723512975558639</v>
      </c>
      <c r="K17" s="233">
        <f>IFERROR(_xlfn.XLOOKUP("NOPAT",Inputs!$B:$B,Inputs!L:L)/(_xlfn.XLOOKUP("Shareholder's Equity",Inputs!$B:$B,Inputs!L:L)+_xlfn.XLOOKUP("Total Debt",Inputs!$B:$B,Inputs!L:L,,,-1)),"")</f>
        <v>0.16790897937770996</v>
      </c>
      <c r="L17" s="233">
        <f>IFERROR(_xlfn.XLOOKUP("NOPAT",Inputs!$B:$B,Inputs!M:M)/(_xlfn.XLOOKUP("Shareholder's Equity",Inputs!$B:$B,Inputs!M:M)+_xlfn.XLOOKUP("Total Debt",Inputs!$B:$B,Inputs!M:M,,,-1)),"")</f>
        <v>0.23002096492372553</v>
      </c>
      <c r="M17" s="233">
        <f>IFERROR(_xlfn.XLOOKUP("NOPAT",Inputs!$B:$B,Inputs!N:N)/(_xlfn.XLOOKUP("Shareholder's Equity",Inputs!$B:$B,Inputs!N:N)+_xlfn.XLOOKUP("Total Debt",Inputs!$B:$B,Inputs!N:N,,,-1)),"")</f>
        <v>0.2518739947792667</v>
      </c>
      <c r="N17" s="233">
        <f>IFERROR(_xlfn.XLOOKUP("NOPAT",Inputs!$B:$B,Inputs!O:O)/(_xlfn.XLOOKUP("Shareholder's Equity",Inputs!$B:$B,Inputs!O:O)+_xlfn.XLOOKUP("Total Debt",Inputs!$B:$B,Inputs!O:O,,,-1)),"")</f>
        <v>0.25992057972527405</v>
      </c>
      <c r="O17" s="233">
        <f>IFERROR(_xlfn.XLOOKUP("NOPAT",Inputs!$B:$B,Inputs!P:P)/(_xlfn.XLOOKUP("Shareholder's Equity",Inputs!$B:$B,Inputs!P:P)+_xlfn.XLOOKUP("Total Debt",Inputs!$B:$B,Inputs!P:P,,,-1)),"")</f>
        <v>0.22874928430107241</v>
      </c>
      <c r="P17" s="334">
        <f>IFERROR(_xlfn.XLOOKUP("NOPAT",Inputs!$B:$B,Inputs!Q:Q)/(_xlfn.XLOOKUP("Shareholder's Equity",Inputs!$B:$B,Inputs!Q:Q)+_xlfn.XLOOKUP("Total Debt",Inputs!$B:$B,Inputs!Q:Q,,,-1)),"")</f>
        <v>0.28201906922492481</v>
      </c>
      <c r="Q17" s="339">
        <f ca="1">+IFERROR(_xlfn.XLOOKUP("NOPAT",DCF!$B:$B,DCF!H:H)/(_xlfn.XLOOKUP("Shareholder's Equity",DCF!$6:$6,DCF!10:10)+_xlfn.XLOOKUP("Total Borrowings",DCF!$B:$B,DCF!H:H)+_xlfn.XLOOKUP("Total Leases",DCF!$B:$B,DCF!H:H)),"")</f>
        <v>-1.1008110187869773E-11</v>
      </c>
      <c r="R17" s="339">
        <f ca="1">+IFERROR(_xlfn.XLOOKUP("NOPAT",DCF!$B:$B,DCF!I:I)/(_xlfn.XLOOKUP("Shareholder's Equity",DCF!$6:$6,DCF!10:10)+_xlfn.XLOOKUP("Total Borrowings",DCF!$B:$B,DCF!I:I)+_xlfn.XLOOKUP("Total Leases",DCF!$B:$B,DCF!I:I)),"")</f>
        <v>-1.1745970960830717E-11</v>
      </c>
      <c r="S17" s="110"/>
    </row>
    <row r="18" spans="2:19" ht="15.6">
      <c r="B18" s="232" t="s">
        <v>29</v>
      </c>
      <c r="F18" s="233">
        <f>+IFERROR(_xlfn.XLOOKUP("EBITDA",Inputs!$B:$B,Inputs!G:G)/_xlfn.XLOOKUP("Revenue (Sales)",Inputs!$B:$B,Inputs!G:G),"")</f>
        <v>0.1171931516759103</v>
      </c>
      <c r="G18" s="233">
        <f>+IFERROR(_xlfn.XLOOKUP("EBITDA",Inputs!$B:$B,Inputs!H:H)/_xlfn.XLOOKUP("Revenue (Sales)",Inputs!$B:$B,Inputs!H:H),"")</f>
        <v>0.20312825860271116</v>
      </c>
      <c r="H18" s="233">
        <f>+IFERROR(_xlfn.XLOOKUP("EBITDA",Inputs!$B:$B,Inputs!I:I)/_xlfn.XLOOKUP("Revenue (Sales)",Inputs!$B:$B,Inputs!I:I),"")</f>
        <v>0.26853433549709599</v>
      </c>
      <c r="I18" s="233">
        <f>+IFERROR(_xlfn.XLOOKUP("EBITDA",Inputs!$B:$B,Inputs!J:J)/_xlfn.XLOOKUP("Revenue (Sales)",Inputs!$B:$B,Inputs!J:J),"")</f>
        <v>0.30762909190521848</v>
      </c>
      <c r="J18" s="233">
        <f>+IFERROR(_xlfn.XLOOKUP("EBITDA",Inputs!$B:$B,Inputs!K:K)/_xlfn.XLOOKUP("Revenue (Sales)",Inputs!$B:$B,Inputs!K:K),"")</f>
        <v>0.32502768549280175</v>
      </c>
      <c r="K18" s="233">
        <f>+IFERROR(_xlfn.XLOOKUP("EBITDA",Inputs!$B:$B,Inputs!L:L)/_xlfn.XLOOKUP("Revenue (Sales)",Inputs!$B:$B,Inputs!L:L),"")</f>
        <v>0.30820875481156568</v>
      </c>
      <c r="L18" s="233">
        <f>+IFERROR(_xlfn.XLOOKUP("EBITDA",Inputs!$B:$B,Inputs!M:M)/_xlfn.XLOOKUP("Revenue (Sales)",Inputs!$B:$B,Inputs!M:M),"")</f>
        <v>0.31387939073671123</v>
      </c>
      <c r="M18" s="233">
        <f>+IFERROR(_xlfn.XLOOKUP("EBITDA",Inputs!$B:$B,Inputs!N:N)/_xlfn.XLOOKUP("Revenue (Sales)",Inputs!$B:$B,Inputs!N:N),"")</f>
        <v>0.37846056382641746</v>
      </c>
      <c r="N18" s="233">
        <f>+IFERROR(_xlfn.XLOOKUP("EBITDA",Inputs!$B:$B,Inputs!O:O)/_xlfn.XLOOKUP("Revenue (Sales)",Inputs!$B:$B,Inputs!O:O),"")</f>
        <v>0.3513574917641713</v>
      </c>
      <c r="O18" s="233">
        <f>+IFERROR(_xlfn.XLOOKUP("EBITDA",Inputs!$B:$B,Inputs!P:P)/_xlfn.XLOOKUP("Revenue (Sales)",Inputs!$B:$B,Inputs!P:P),"")</f>
        <v>0.35128033386573237</v>
      </c>
      <c r="P18" s="334">
        <f>+IFERROR(_xlfn.XLOOKUP("EBITDA",Inputs!$B:$B,Inputs!Q:Q)/_xlfn.XLOOKUP("Revenue (Sales)",Inputs!$B:$B,Inputs!Q:Q),"")</f>
        <v>0.35945129039758195</v>
      </c>
      <c r="Q18" s="339">
        <f>+_xlfn.XLOOKUP("EBITDA Margin",DCF!$B:$B,DCF!H:H)</f>
        <v>0.57049261420694641</v>
      </c>
      <c r="R18" s="339">
        <f>+_xlfn.XLOOKUP("EBITDA Margin",DCF!$B:$B,DCF!I:I)</f>
        <v>0.57621765666696501</v>
      </c>
      <c r="S18" s="31"/>
    </row>
    <row r="19" spans="2:19" ht="15.6">
      <c r="B19" s="18" t="s">
        <v>21</v>
      </c>
      <c r="F19" s="233">
        <f>IFERROR(_xlfn.XLOOKUP("Operating Income (EBIT)",Inputs!$B:$B,Inputs!G:G)/_xlfn.XLOOKUP("Revenue (Sales)",Inputs!$B:$B,Inputs!G:G),"")</f>
        <v>4.195804195804196E-2</v>
      </c>
      <c r="G19" s="233">
        <f>IFERROR(_xlfn.XLOOKUP("Operating Income (EBIT)",Inputs!$B:$B,Inputs!H:H)/_xlfn.XLOOKUP("Revenue (Sales)",Inputs!$B:$B,Inputs!H:H),"")</f>
        <v>0.13326381647549532</v>
      </c>
      <c r="H19" s="233">
        <f>IFERROR(_xlfn.XLOOKUP("Operating Income (EBIT)",Inputs!$B:$B,Inputs!I:I)/_xlfn.XLOOKUP("Revenue (Sales)",Inputs!$B:$B,Inputs!I:I),"")</f>
        <v>0.2118209771096686</v>
      </c>
      <c r="I19" s="233">
        <f>IFERROR(_xlfn.XLOOKUP("Operating Income (EBIT)",Inputs!$B:$B,Inputs!J:J)/_xlfn.XLOOKUP("Revenue (Sales)",Inputs!$B:$B,Inputs!J:J),"")</f>
        <v>0.26311464182988631</v>
      </c>
      <c r="J19" s="233">
        <f>IFERROR(_xlfn.XLOOKUP("Operating Income (EBIT)",Inputs!$B:$B,Inputs!K:K)/_xlfn.XLOOKUP("Revenue (Sales)",Inputs!$B:$B,Inputs!K:K),"")</f>
        <v>0.28671096345514951</v>
      </c>
      <c r="K19" s="233">
        <f>IFERROR(_xlfn.XLOOKUP("Operating Income (EBIT)",Inputs!$B:$B,Inputs!L:L)/_xlfn.XLOOKUP("Revenue (Sales)",Inputs!$B:$B,Inputs!L:L),"")</f>
        <v>0.24044400680333006</v>
      </c>
      <c r="L19" s="233">
        <f>IFERROR(_xlfn.XLOOKUP("Operating Income (EBIT)",Inputs!$B:$B,Inputs!M:M)/_xlfn.XLOOKUP("Revenue (Sales)",Inputs!$B:$B,Inputs!M:M),"")</f>
        <v>0.25505129002175941</v>
      </c>
      <c r="M19" s="233">
        <f>IFERROR(_xlfn.XLOOKUP("Operating Income (EBIT)",Inputs!$B:$B,Inputs!N:N)/_xlfn.XLOOKUP("Revenue (Sales)",Inputs!$B:$B,Inputs!N:N),"")</f>
        <v>0.36756414317389929</v>
      </c>
      <c r="N19" s="233">
        <f>IFERROR(_xlfn.XLOOKUP("Operating Income (EBIT)",Inputs!$B:$B,Inputs!O:O)/_xlfn.XLOOKUP("Revenue (Sales)",Inputs!$B:$B,Inputs!O:O),"")</f>
        <v>0.34635919572872886</v>
      </c>
      <c r="O19" s="233">
        <f>IFERROR(_xlfn.XLOOKUP("Operating Income (EBIT)",Inputs!$B:$B,Inputs!P:P)/_xlfn.XLOOKUP("Revenue (Sales)",Inputs!$B:$B,Inputs!P:P),"")</f>
        <v>0.30635272296357358</v>
      </c>
      <c r="P19" s="334">
        <f>IFERROR(_xlfn.XLOOKUP("Operating Income (EBIT)",Inputs!$B:$B,Inputs!Q:Q)/_xlfn.XLOOKUP("Revenue (Sales)",Inputs!$B:$B,Inputs!Q:Q),"")</f>
        <v>0.31960009300162751</v>
      </c>
      <c r="Q19" s="339">
        <f>+_xlfn.XLOOKUP("Operating Margin",DCF!$B:$B,DCF!H:H)</f>
        <v>0.53465121502250923</v>
      </c>
      <c r="R19" s="339">
        <f>+_xlfn.XLOOKUP("Operating Margin",DCF!$B:$B,DCF!I:I)</f>
        <v>0.53319159395391491</v>
      </c>
      <c r="S19" s="18"/>
    </row>
    <row r="20" spans="2:19" ht="15.6">
      <c r="B20" s="18" t="s">
        <v>577</v>
      </c>
      <c r="F20" s="233">
        <f>IFERROR(_xlfn.XLOOKUP("Pre-Tax Income (EBT)",Inputs!$B:$B,Inputs!G:G)/_xlfn.XLOOKUP("Revenue (Sales)",Inputs!$B:$B,Inputs!G:G),"")</f>
        <v>8.7050880154328436E-2</v>
      </c>
      <c r="G20" s="233">
        <f>IFERROR(_xlfn.XLOOKUP("Pre-Tax Income (EBT)",Inputs!$B:$B,Inputs!H:H)/_xlfn.XLOOKUP("Revenue (Sales)",Inputs!$B:$B,Inputs!H:H),"")</f>
        <v>0.18227320125130345</v>
      </c>
      <c r="H20" s="233">
        <f>IFERROR(_xlfn.XLOOKUP("Pre-Tax Income (EBT)",Inputs!$B:$B,Inputs!I:I)/_xlfn.XLOOKUP("Revenue (Sales)",Inputs!$B:$B,Inputs!I:I),"")</f>
        <v>0.24513153399385035</v>
      </c>
      <c r="I20" s="233">
        <f>IFERROR(_xlfn.XLOOKUP("Pre-Tax Income (EBT)",Inputs!$B:$B,Inputs!J:J)/_xlfn.XLOOKUP("Revenue (Sales)",Inputs!$B:$B,Inputs!J:J),"")</f>
        <v>0.29269963018764555</v>
      </c>
      <c r="J20" s="233">
        <f>IFERROR(_xlfn.XLOOKUP("Pre-Tax Income (EBT)",Inputs!$B:$B,Inputs!K:K)/_xlfn.XLOOKUP("Revenue (Sales)",Inputs!$B:$B,Inputs!K:K),"")</f>
        <v>0.30930232558139537</v>
      </c>
      <c r="K20" s="233">
        <f>IFERROR(_xlfn.XLOOKUP("Pre-Tax Income (EBT)",Inputs!$B:$B,Inputs!L:L)/_xlfn.XLOOKUP("Revenue (Sales)",Inputs!$B:$B,Inputs!L:L),"")</f>
        <v>0.28690358965177692</v>
      </c>
      <c r="L20" s="233">
        <f>IFERROR(_xlfn.XLOOKUP("Pre-Tax Income (EBT)",Inputs!$B:$B,Inputs!M:M)/_xlfn.XLOOKUP("Revenue (Sales)",Inputs!$B:$B,Inputs!M:M),"")</f>
        <v>0.32452595585949645</v>
      </c>
      <c r="M20" s="233">
        <f>IFERROR(_xlfn.XLOOKUP("Pre-Tax Income (EBT)",Inputs!$B:$B,Inputs!N:N)/_xlfn.XLOOKUP("Revenue (Sales)",Inputs!$B:$B,Inputs!N:N),"")</f>
        <v>0.36141906873614188</v>
      </c>
      <c r="N20" s="233">
        <f>IFERROR(_xlfn.XLOOKUP("Pre-Tax Income (EBT)",Inputs!$B:$B,Inputs!O:O)/_xlfn.XLOOKUP("Revenue (Sales)",Inputs!$B:$B,Inputs!O:O),"")</f>
        <v>0.34124730205611725</v>
      </c>
      <c r="O20" s="233">
        <f>IFERROR(_xlfn.XLOOKUP("Pre-Tax Income (EBT)",Inputs!$B:$B,Inputs!P:P)/_xlfn.XLOOKUP("Revenue (Sales)",Inputs!$B:$B,Inputs!P:P),"")</f>
        <v>0.35030140656396519</v>
      </c>
      <c r="P20" s="334">
        <f>IFERROR(_xlfn.XLOOKUP("Pre-Tax Income (EBT)",Inputs!$B:$B,Inputs!Q:Q)/_xlfn.XLOOKUP("Revenue (Sales)",Inputs!$B:$B,Inputs!Q:Q),"")</f>
        <v>0.32229714019995348</v>
      </c>
      <c r="Q20" s="339">
        <f>IFERROR(_xlfn.XLOOKUP("Pre-Tax Income (EBT)",DCF!$B:$B,DCF!H:H)/_xlfn.XLOOKUP("Revenue (Sales)",DCF!$B:$B,DCF!H:H),"")</f>
        <v>0.5394717993827356</v>
      </c>
      <c r="R20" s="339">
        <f>IFERROR(_xlfn.XLOOKUP("Pre-Tax Income (EBT)",DCF!$B:$B,DCF!I:I)/_xlfn.XLOOKUP("Revenue (Sales)",DCF!$B:$B,DCF!I:I),"")</f>
        <v>0.53518974207588099</v>
      </c>
      <c r="S20" s="18"/>
    </row>
    <row r="21" spans="2:19" ht="15.6">
      <c r="B21" s="18" t="s">
        <v>31</v>
      </c>
      <c r="F21" s="233">
        <f>IFERROR(_xlfn.XLOOKUP("Gross Profit",Inputs!$B:$B,Inputs!G:G)/_xlfn.XLOOKUP("Revenue (Sales)",Inputs!$B:$B,Inputs!G:G),"")</f>
        <v>0.85001205690860859</v>
      </c>
      <c r="G21" s="233">
        <f>IFERROR(_xlfn.XLOOKUP("Gross Profit",Inputs!$B:$B,Inputs!H:H)/_xlfn.XLOOKUP("Revenue (Sales)",Inputs!$B:$B,Inputs!H:H),"")</f>
        <v>0.84483837330552658</v>
      </c>
      <c r="H21" s="233">
        <f>IFERROR(_xlfn.XLOOKUP("Gross Profit",Inputs!$B:$B,Inputs!I:I)/_xlfn.XLOOKUP("Revenue (Sales)",Inputs!$B:$B,Inputs!I:I),"")</f>
        <v>0.85992483771779982</v>
      </c>
      <c r="I21" s="233">
        <f>IFERROR(_xlfn.XLOOKUP("Gross Profit",Inputs!$B:$B,Inputs!J:J)/_xlfn.XLOOKUP("Revenue (Sales)",Inputs!$B:$B,Inputs!J:J),"")</f>
        <v>0.861662785919737</v>
      </c>
      <c r="J21" s="233">
        <f>IFERROR(_xlfn.XLOOKUP("Gross Profit",Inputs!$B:$B,Inputs!K:K)/_xlfn.XLOOKUP("Revenue (Sales)",Inputs!$B:$B,Inputs!K:K),"")</f>
        <v>0.86777408637873754</v>
      </c>
      <c r="K21" s="233">
        <f>IFERROR(_xlfn.XLOOKUP("Gross Profit",Inputs!$B:$B,Inputs!L:L)/_xlfn.XLOOKUP("Revenue (Sales)",Inputs!$B:$B,Inputs!L:L),"")</f>
        <v>0.85023722137677915</v>
      </c>
      <c r="L21" s="233">
        <f>IFERROR(_xlfn.XLOOKUP("Gross Profit",Inputs!$B:$B,Inputs!M:M)/_xlfn.XLOOKUP("Revenue (Sales)",Inputs!$B:$B,Inputs!M:M),"")</f>
        <v>0.86617967050046629</v>
      </c>
      <c r="M21" s="233">
        <f>IFERROR(_xlfn.XLOOKUP("Gross Profit",Inputs!$B:$B,Inputs!N:N)/_xlfn.XLOOKUP("Revenue (Sales)",Inputs!$B:$B,Inputs!N:N),"")</f>
        <v>0.88184985745961353</v>
      </c>
      <c r="N21" s="233">
        <f>IFERROR(_xlfn.XLOOKUP("Gross Profit",Inputs!$B:$B,Inputs!O:O)/_xlfn.XLOOKUP("Revenue (Sales)",Inputs!$B:$B,Inputs!O:O),"")</f>
        <v>0.87703055776439853</v>
      </c>
      <c r="O21" s="233">
        <f>IFERROR(_xlfn.XLOOKUP("Gross Profit",Inputs!$B:$B,Inputs!P:P)/_xlfn.XLOOKUP("Revenue (Sales)",Inputs!$B:$B,Inputs!P:P),"")</f>
        <v>0.87871605955999799</v>
      </c>
      <c r="P21" s="334">
        <f>IFERROR(_xlfn.XLOOKUP("Gross Profit",Inputs!$B:$B,Inputs!Q:Q)/_xlfn.XLOOKUP("Revenue (Sales)",Inputs!$B:$B,Inputs!Q:Q),"")</f>
        <v>0.88198093466635663</v>
      </c>
      <c r="Q21" s="339">
        <f>+_xlfn.XLOOKUP("Gross Profit Margin",DCF!$B:$B,DCF!H:H)</f>
        <v>0.87924251733025105</v>
      </c>
      <c r="R21" s="339">
        <f>+_xlfn.XLOOKUP("Gross Profit Margin",DCF!$B:$B,DCF!I:I)</f>
        <v>0.8799798371855353</v>
      </c>
      <c r="S21" s="18"/>
    </row>
    <row r="22" spans="2:19" ht="15.6">
      <c r="B22" s="18" t="s">
        <v>33</v>
      </c>
      <c r="F22" s="233">
        <f>IFERROR(+_xlfn.XLOOKUP("SG&amp;A (Selling, General &amp; Administrative)",Inputs!$B:$B,Inputs!G:G)/_xlfn.XLOOKUP("Revenue (Sales)",Inputs!$B:$B,Inputs!G:G),"")</f>
        <v>0.39836026042922595</v>
      </c>
      <c r="G22" s="233">
        <f>IFERROR(+_xlfn.XLOOKUP("SG&amp;A (Selling, General &amp; Administrative)",Inputs!$B:$B,Inputs!H:H)/_xlfn.XLOOKUP("Revenue (Sales)",Inputs!$B:$B,Inputs!H:H),"")</f>
        <v>0.35099061522419189</v>
      </c>
      <c r="H22" s="233">
        <f>IFERROR(+_xlfn.XLOOKUP("SG&amp;A (Selling, General &amp; Administrative)",Inputs!$B:$B,Inputs!I:I)/_xlfn.XLOOKUP("Revenue (Sales)",Inputs!$B:$B,Inputs!I:I),"")</f>
        <v>0.32627263409634438</v>
      </c>
      <c r="I22" s="233">
        <f>IFERROR(+_xlfn.XLOOKUP("SG&amp;A (Selling, General &amp; Administrative)",Inputs!$B:$B,Inputs!J:J)/_xlfn.XLOOKUP("Revenue (Sales)",Inputs!$B:$B,Inputs!J:J),"")</f>
        <v>0.30091768250924533</v>
      </c>
      <c r="J22" s="233">
        <f>IFERROR(+_xlfn.XLOOKUP("SG&amp;A (Selling, General &amp; Administrative)",Inputs!$B:$B,Inputs!K:K)/_xlfn.XLOOKUP("Revenue (Sales)",Inputs!$B:$B,Inputs!K:K),"")</f>
        <v>0.29014396456256919</v>
      </c>
      <c r="K22" s="233">
        <f>IFERROR(+_xlfn.XLOOKUP("SG&amp;A (Selling, General &amp; Administrative)",Inputs!$B:$B,Inputs!L:L)/_xlfn.XLOOKUP("Revenue (Sales)",Inputs!$B:$B,Inputs!L:L),"")</f>
        <v>0.29039477217796078</v>
      </c>
      <c r="L22" s="233">
        <f>IFERROR(+_xlfn.XLOOKUP("SG&amp;A (Selling, General &amp; Administrative)",Inputs!$B:$B,Inputs!M:M)/_xlfn.XLOOKUP("Revenue (Sales)",Inputs!$B:$B,Inputs!M:M),"")</f>
        <v>0.30704072116879078</v>
      </c>
      <c r="M22" s="233">
        <f>IFERROR(+_xlfn.XLOOKUP("SG&amp;A (Selling, General &amp; Administrative)",Inputs!$B:$B,Inputs!N:N)/_xlfn.XLOOKUP("Revenue (Sales)",Inputs!$B:$B,Inputs!N:N),"")</f>
        <v>0.27374089325308837</v>
      </c>
      <c r="N22" s="233">
        <f>IFERROR(+_xlfn.XLOOKUP("SG&amp;A (Selling, General &amp; Administrative)",Inputs!$B:$B,Inputs!O:O)/_xlfn.XLOOKUP("Revenue (Sales)",Inputs!$B:$B,Inputs!O:O),"")</f>
        <v>0.29364989208224468</v>
      </c>
      <c r="O22" s="233">
        <f>IFERROR(+_xlfn.XLOOKUP("SG&amp;A (Selling, General &amp; Administrative)",Inputs!$B:$B,Inputs!P:P)/_xlfn.XLOOKUP("Revenue (Sales)",Inputs!$B:$B,Inputs!P:P),"")</f>
        <v>0.34849811942913084</v>
      </c>
      <c r="P22" s="334">
        <f>IFERROR(+_xlfn.XLOOKUP("SG&amp;A (Selling, General &amp; Administrative)",Inputs!$B:$B,Inputs!Q:Q)/_xlfn.XLOOKUP("Revenue (Sales)",Inputs!$B:$B,Inputs!Q:Q),"")</f>
        <v>0.26803069053708439</v>
      </c>
      <c r="Q22" s="339">
        <f>+_xlfn.XLOOKUP("SG&amp;A Margin",DCF!$B:$B,DCF!H:H)</f>
        <v>0.17</v>
      </c>
      <c r="R22" s="339">
        <f>+_xlfn.XLOOKUP("SG&amp;A Margin",DCF!$B:$B,DCF!I:I)</f>
        <v>0.26217626998873839</v>
      </c>
    </row>
    <row r="23" spans="2:19" ht="15.6">
      <c r="B23" s="18" t="s">
        <v>35</v>
      </c>
      <c r="F23" s="233">
        <f>IFERROR(_xlfn.XLOOKUP("Net Income",Inputs!$B:$B,Inputs!G:G)/_xlfn.XLOOKUP("Revenue (Sales)",Inputs!$B:$B,Inputs!G:G),"")</f>
        <v>6.4625030142271528E-2</v>
      </c>
      <c r="G23" s="233">
        <f>IFERROR(_xlfn.XLOOKUP("Net Income",Inputs!$B:$B,Inputs!H:H)/_xlfn.XLOOKUP("Revenue (Sales)",Inputs!$B:$B,Inputs!H:H),"")</f>
        <v>0.13138686131386862</v>
      </c>
      <c r="H23" s="233">
        <f>IFERROR(_xlfn.XLOOKUP("Net Income",Inputs!$B:$B,Inputs!I:I)/_xlfn.XLOOKUP("Revenue (Sales)",Inputs!$B:$B,Inputs!I:I),"")</f>
        <v>0.19969251793645371</v>
      </c>
      <c r="I23" s="233">
        <f>IFERROR(_xlfn.XLOOKUP("Net Income",Inputs!$B:$B,Inputs!J:J)/_xlfn.XLOOKUP("Revenue (Sales)",Inputs!$B:$B,Inputs!J:J),"")</f>
        <v>0.23202301054650049</v>
      </c>
      <c r="J23" s="233">
        <f>IFERROR(_xlfn.XLOOKUP("Net Income",Inputs!$B:$B,Inputs!K:K)/_xlfn.XLOOKUP("Revenue (Sales)",Inputs!$B:$B,Inputs!K:K),"")</f>
        <v>0.2868217054263566</v>
      </c>
      <c r="K23" s="233">
        <f>IFERROR(_xlfn.XLOOKUP("Net Income",Inputs!$B:$B,Inputs!L:L)/_xlfn.XLOOKUP("Revenue (Sales)",Inputs!$B:$B,Inputs!L:L),"")</f>
        <v>0.26416614448124609</v>
      </c>
      <c r="L23" s="233">
        <f>IFERROR(_xlfn.XLOOKUP("Net Income",Inputs!$B:$B,Inputs!M:M)/_xlfn.XLOOKUP("Revenue (Sales)",Inputs!$B:$B,Inputs!M:M),"")</f>
        <v>0.40876593099160707</v>
      </c>
      <c r="M23" s="233">
        <f>IFERROR(_xlfn.XLOOKUP("Net Income",Inputs!$B:$B,Inputs!N:N)/_xlfn.XLOOKUP("Revenue (Sales)",Inputs!$B:$B,Inputs!N:N),"")</f>
        <v>0.30547988596769082</v>
      </c>
      <c r="N23" s="233">
        <f>IFERROR(_xlfn.XLOOKUP("Net Income",Inputs!$B:$B,Inputs!O:O)/_xlfn.XLOOKUP("Revenue (Sales)",Inputs!$B:$B,Inputs!O:O),"")</f>
        <v>0.27013518118823127</v>
      </c>
      <c r="O23" s="233">
        <f>IFERROR(_xlfn.XLOOKUP("Net Income",Inputs!$B:$B,Inputs!P:P)/_xlfn.XLOOKUP("Revenue (Sales)",Inputs!$B:$B,Inputs!P:P),"")</f>
        <v>0.27966407336802512</v>
      </c>
      <c r="P23" s="334">
        <f>IFERROR(_xlfn.XLOOKUP("Net Income",Inputs!$B:$B,Inputs!Q:Q)/_xlfn.XLOOKUP("Revenue (Sales)",Inputs!$B:$B,Inputs!Q:Q),"")</f>
        <v>0.25854452452917925</v>
      </c>
      <c r="Q23" s="339">
        <f>+_xlfn.XLOOKUP("Net Income Margin",DCF!$B:$B,DCF!H:H)</f>
        <v>0.53781657351210199</v>
      </c>
      <c r="R23" s="339">
        <f>+_xlfn.XLOOKUP("Net Income Margin",DCF!$B:$B,DCF!I:I)</f>
        <v>0.53360529475144924</v>
      </c>
    </row>
    <row r="24" spans="2:19" ht="8.1" customHeight="1">
      <c r="N24" s="234"/>
      <c r="O24" s="234"/>
      <c r="P24" s="335"/>
      <c r="Q24" s="340"/>
      <c r="R24" s="340"/>
    </row>
    <row r="25" spans="2:19" ht="15.6">
      <c r="B25" s="7" t="s">
        <v>243</v>
      </c>
      <c r="C25" s="56"/>
      <c r="D25" s="58"/>
      <c r="E25" s="58"/>
      <c r="F25" s="351">
        <v>2014</v>
      </c>
      <c r="G25" s="351">
        <f t="shared" ref="G25" si="13">+F25+1</f>
        <v>2015</v>
      </c>
      <c r="H25" s="351">
        <f t="shared" ref="H25" si="14">+G25+1</f>
        <v>2016</v>
      </c>
      <c r="I25" s="351">
        <f t="shared" ref="I25" si="15">+H25+1</f>
        <v>2017</v>
      </c>
      <c r="J25" s="351">
        <f t="shared" ref="J25" si="16">+I25+1</f>
        <v>2018</v>
      </c>
      <c r="K25" s="351">
        <f t="shared" ref="K25" si="17">+J25+1</f>
        <v>2019</v>
      </c>
      <c r="L25" s="351">
        <f t="shared" ref="L25" si="18">+K25+1</f>
        <v>2020</v>
      </c>
      <c r="M25" s="351">
        <f t="shared" ref="M25" si="19">+L25+1</f>
        <v>2021</v>
      </c>
      <c r="N25" s="351">
        <v>2022</v>
      </c>
      <c r="O25" s="351">
        <f t="shared" ref="O25" si="20">+N25+1</f>
        <v>2023</v>
      </c>
      <c r="P25" s="352">
        <f>+O25+1</f>
        <v>2024</v>
      </c>
      <c r="Q25" s="350">
        <f>+P25+1</f>
        <v>2025</v>
      </c>
      <c r="R25" s="350">
        <f>+Q25+1</f>
        <v>2026</v>
      </c>
    </row>
    <row r="26" spans="2:19" ht="3.95" customHeight="1">
      <c r="B26" s="228"/>
      <c r="C26" s="53"/>
      <c r="D26" s="59"/>
      <c r="E26" s="59"/>
      <c r="F26" s="59"/>
      <c r="G26" s="59"/>
      <c r="H26" s="59"/>
      <c r="I26" s="59"/>
      <c r="J26" s="59"/>
      <c r="K26" s="59"/>
      <c r="L26" s="59"/>
      <c r="M26" s="59"/>
      <c r="N26" s="202"/>
      <c r="O26" s="202"/>
      <c r="P26" s="332"/>
      <c r="Q26" s="202"/>
      <c r="R26" s="202"/>
    </row>
    <row r="27" spans="2:19" ht="15" customHeight="1">
      <c r="B27" s="33" t="s">
        <v>43</v>
      </c>
      <c r="C27" s="110"/>
      <c r="D27" s="223"/>
      <c r="F27" s="16">
        <f>+IFERROR(_xlfn.XLOOKUP("Cash &amp; Cash Equivalents",Inputs!$B:$B,Inputs!G:G)/_xlfn.XLOOKUP("Current Liabilities",Inputs!$B:$B,Inputs!G:G),"")</f>
        <v>0.44787489975942263</v>
      </c>
      <c r="G27" s="16">
        <f>+IFERROR(_xlfn.XLOOKUP("Cash &amp; Cash Equivalents",Inputs!$B:$B,Inputs!H:H)/_xlfn.XLOOKUP("Current Liabilities",Inputs!$B:$B,Inputs!H:H),"")</f>
        <v>0.3958427474017171</v>
      </c>
      <c r="H27" s="16">
        <f>+IFERROR(_xlfn.XLOOKUP("Cash &amp; Cash Equivalents",Inputs!$B:$B,Inputs!I:I)/_xlfn.XLOOKUP("Current Liabilities",Inputs!$B:$B,Inputs!I:I),"")</f>
        <v>0.35965848452508004</v>
      </c>
      <c r="I27" s="16">
        <f>+IFERROR(_xlfn.XLOOKUP("Cash &amp; Cash Equivalents",Inputs!$B:$B,Inputs!J:J)/_xlfn.XLOOKUP("Current Liabilities",Inputs!$B:$B,Inputs!J:J),"")</f>
        <v>0.65381343918344204</v>
      </c>
      <c r="J27" s="16">
        <f>+IFERROR(_xlfn.XLOOKUP("Cash &amp; Cash Equivalents",Inputs!$B:$B,Inputs!K:K)/_xlfn.XLOOKUP("Current Liabilities",Inputs!$B:$B,Inputs!K:K),"")</f>
        <v>0.38177168100441755</v>
      </c>
      <c r="K27" s="16">
        <f>+IFERROR(_xlfn.XLOOKUP("Cash &amp; Cash Equivalents",Inputs!$B:$B,Inputs!L:L)/_xlfn.XLOOKUP("Current Liabilities",Inputs!$B:$B,Inputs!L:L),"")</f>
        <v>0.32352582102307409</v>
      </c>
      <c r="L27" s="16">
        <f>+IFERROR(_xlfn.XLOOKUP("Cash &amp; Cash Equivalents",Inputs!$B:$B,Inputs!M:M)/_xlfn.XLOOKUP("Current Liabilities",Inputs!$B:$B,Inputs!M:M),"")</f>
        <v>0.81240928882438312</v>
      </c>
      <c r="M27" s="16">
        <f>+IFERROR(_xlfn.XLOOKUP("Cash &amp; Cash Equivalents",Inputs!$B:$B,Inputs!N:N)/_xlfn.XLOOKUP("Current Liabilities",Inputs!$B:$B,Inputs!N:N),"")</f>
        <v>0.5545297172533179</v>
      </c>
      <c r="N27" s="16">
        <f>+IFERROR(_xlfn.XLOOKUP("Cash &amp; Cash Equivalents",Inputs!$B:$B,Inputs!O:O)/_xlfn.XLOOKUP("Current Liabilities",Inputs!$B:$B,Inputs!O:O),"")</f>
        <v>0.52116141732283461</v>
      </c>
      <c r="O27" s="16">
        <f>+IFERROR(_xlfn.XLOOKUP("Cash &amp; Cash Equivalents",Inputs!$B:$B,Inputs!P:P)/_xlfn.XLOOKUP("Current Liabilities",Inputs!$B:$B,Inputs!P:P),"")</f>
        <v>0.86547085201793716</v>
      </c>
      <c r="P27" s="330">
        <f>+IFERROR(_xlfn.XLOOKUP("Cash &amp; Cash Equivalents",Inputs!$B:$B,Inputs!Q:Q)/_xlfn.XLOOKUP("Current Liabilities",Inputs!$B:$B,Inputs!Q:Q),"")</f>
        <v>0.72360041821119669</v>
      </c>
      <c r="Q27" s="337">
        <f>+IFERROR((_xlfn.XLOOKUP("Cash &amp; Cash Equivalents &amp; ST Investments",DCF!$B:$B,DCF!H:H)-_xlfn.XLOOKUP("Short-Term Investments",Inputs!$B:$B,Inputs!$Q:$Q))/_xlfn.XLOOKUP("Current Liabilities",DCF!$6:$6,DCF!10:10),"")</f>
        <v>1.7122453546437217</v>
      </c>
      <c r="R27" s="337">
        <f>+IFERROR((_xlfn.XLOOKUP("Cash &amp; Cash Equivalents &amp; ST Investments",DCF!$B:$B,DCF!I:I)-_xlfn.XLOOKUP("Short-Term Investments",Inputs!$B:$B,Inputs!$Q:$Q))/_xlfn.XLOOKUP("Current Liabilities",DCF!$6:$6,DCF!10:10),"")</f>
        <v>2.6823802979479918</v>
      </c>
    </row>
    <row r="28" spans="2:19" ht="15.6">
      <c r="B28" s="18" t="s">
        <v>46</v>
      </c>
      <c r="F28" s="16">
        <f>IFERROR((_xlfn.XLOOKUP("Cash &amp; Cash Equivalents &amp; ST Investments",Inputs!$B:$B,Inputs!G:G)+_xlfn.XLOOKUP("Accounts Receivable",Inputs!$B:$B,Inputs!G:G))/_xlfn.XLOOKUP("Current Liabilities",Inputs!$B:$B,Inputs!G:G),"")</f>
        <v>1.7365677626303127</v>
      </c>
      <c r="G28" s="16">
        <f>IFERROR((_xlfn.XLOOKUP("Cash &amp; Cash Equivalents &amp; ST Investments",Inputs!$B:$B,Inputs!H:H)+_xlfn.XLOOKUP("Accounts Receivable",Inputs!$B:$B,Inputs!H:H))/_xlfn.XLOOKUP("Current Liabilities",Inputs!$B:$B,Inputs!H:H),"")</f>
        <v>2.105286940804338</v>
      </c>
      <c r="H28" s="16">
        <f>IFERROR((_xlfn.XLOOKUP("Cash &amp; Cash Equivalents &amp; ST Investments",Inputs!$B:$B,Inputs!I:I)+_xlfn.XLOOKUP("Accounts Receivable",Inputs!$B:$B,Inputs!I:I))/_xlfn.XLOOKUP("Current Liabilities",Inputs!$B:$B,Inputs!I:I),"")</f>
        <v>1.9896833866951262</v>
      </c>
      <c r="I28" s="16">
        <f>IFERROR((_xlfn.XLOOKUP("Cash &amp; Cash Equivalents &amp; ST Investments",Inputs!$B:$B,Inputs!J:J)+_xlfn.XLOOKUP("Accounts Receivable",Inputs!$B:$B,Inputs!J:J))/_xlfn.XLOOKUP("Current Liabilities",Inputs!$B:$B,Inputs!J:J),"")</f>
        <v>1.9951800396937907</v>
      </c>
      <c r="J28" s="16">
        <f>IFERROR((_xlfn.XLOOKUP("Cash &amp; Cash Equivalents &amp; ST Investments",Inputs!$B:$B,Inputs!K:K)+_xlfn.XLOOKUP("Accounts Receivable",Inputs!$B:$B,Inputs!K:K))/_xlfn.XLOOKUP("Current Liabilities",Inputs!$B:$B,Inputs!K:K),"")</f>
        <v>1.0562659846547315</v>
      </c>
      <c r="K28" s="16">
        <f>IFERROR((_xlfn.XLOOKUP("Cash &amp; Cash Equivalents &amp; ST Investments",Inputs!$B:$B,Inputs!L:L)+_xlfn.XLOOKUP("Accounts Receivable",Inputs!$B:$B,Inputs!L:L))/_xlfn.XLOOKUP("Current Liabilities",Inputs!$B:$B,Inputs!L:L),"")</f>
        <v>0.69710658039311435</v>
      </c>
      <c r="L28" s="16">
        <f>IFERROR((_xlfn.XLOOKUP("Cash &amp; Cash Equivalents &amp; ST Investments",Inputs!$B:$B,Inputs!M:M)+_xlfn.XLOOKUP("Accounts Receivable",Inputs!$B:$B,Inputs!M:M))/_xlfn.XLOOKUP("Current Liabilities",Inputs!$B:$B,Inputs!M:M),"")</f>
        <v>1.3407111756168359</v>
      </c>
      <c r="M28" s="16">
        <f>IFERROR((_xlfn.XLOOKUP("Cash &amp; Cash Equivalents &amp; ST Investments",Inputs!$B:$B,Inputs!N:N)+_xlfn.XLOOKUP("Accounts Receivable",Inputs!$B:$B,Inputs!N:N))/_xlfn.XLOOKUP("Current Liabilities",Inputs!$B:$B,Inputs!N:N),"")</f>
        <v>1.1073283323716099</v>
      </c>
      <c r="N28" s="16">
        <f>IFERROR((_xlfn.XLOOKUP("Cash &amp; Cash Equivalents &amp; ST Investments",Inputs!$B:$B,Inputs!O:O)+_xlfn.XLOOKUP("Accounts Receivable",Inputs!$B:$B,Inputs!O:O))/_xlfn.XLOOKUP("Current Liabilities",Inputs!$B:$B,Inputs!O:O),"")</f>
        <v>1.0040600393700787</v>
      </c>
      <c r="O28" s="16">
        <f>IFERROR((_xlfn.XLOOKUP("Cash &amp; Cash Equivalents &amp; ST Investments",Inputs!$B:$B,Inputs!P:P)+_xlfn.XLOOKUP("Accounts Receivable",Inputs!$B:$B,Inputs!P:P))/_xlfn.XLOOKUP("Current Liabilities",Inputs!$B:$B,Inputs!P:P),"")</f>
        <v>1.2199733365652647</v>
      </c>
      <c r="P28" s="330">
        <f>IFERROR((_xlfn.XLOOKUP("Cash &amp; Cash Equivalents &amp; ST Investments",Inputs!$B:$B,Inputs!Q:Q)+_xlfn.XLOOKUP("Accounts Receivable",Inputs!$B:$B,Inputs!Q:Q))/_xlfn.XLOOKUP("Current Liabilities",Inputs!$B:$B,Inputs!Q:Q),"")</f>
        <v>0.94648797642809623</v>
      </c>
      <c r="Q28" s="337">
        <f>+IFERROR((_xlfn.XLOOKUP("Cash &amp; Cash Equivalents &amp; ST Investments",DCF!$B:$B,DCF!H:H)+_xlfn.XLOOKUP("Accounts Receivable",DCF!$B:$B,DCF!H:H))/_xlfn.XLOOKUP("Current Liabilities",DCF!$6:$6,DCF!10:10),"")</f>
        <v>1.9056776350602522</v>
      </c>
      <c r="R28" s="337">
        <f>+IFERROR((_xlfn.XLOOKUP("Cash &amp; Cash Equivalents &amp; ST Investments",DCF!$B:$B,DCF!I:I)+_xlfn.XLOOKUP("Accounts Receivable",DCF!$B:$B,DCF!I:I))/_xlfn.XLOOKUP("Current Liabilities",DCF!$6:$6,DCF!10:10),"")</f>
        <v>2.8835673330166149</v>
      </c>
    </row>
    <row r="29" spans="2:19" ht="15.6">
      <c r="B29" s="18" t="s">
        <v>48</v>
      </c>
      <c r="F29" s="16">
        <f>IFERROR(_xlfn.XLOOKUP("Current Assets",Inputs!$B:$B,Inputs!G:G)/+_xlfn.XLOOKUP("Current Liabilities",Inputs!$B:$B,Inputs!G:G),"")</f>
        <v>1.8452285485164395</v>
      </c>
      <c r="G29" s="16">
        <f>IFERROR(_xlfn.XLOOKUP("Current Assets",Inputs!$B:$B,Inputs!H:H)/+_xlfn.XLOOKUP("Current Liabilities",Inputs!$B:$B,Inputs!H:H),"")</f>
        <v>2.1784907365567103</v>
      </c>
      <c r="H29" s="16">
        <f>IFERROR(_xlfn.XLOOKUP("Current Assets",Inputs!$B:$B,Inputs!I:I)/+_xlfn.XLOOKUP("Current Liabilities",Inputs!$B:$B,Inputs!I:I),"")</f>
        <v>2.0775524724297405</v>
      </c>
      <c r="I29" s="16">
        <f>IFERROR(_xlfn.XLOOKUP("Current Assets",Inputs!$B:$B,Inputs!J:J)/+_xlfn.XLOOKUP("Current Liabilities",Inputs!$B:$B,Inputs!J:J),"")</f>
        <v>2.0547207258293168</v>
      </c>
      <c r="J29" s="16">
        <f>IFERROR(_xlfn.XLOOKUP("Current Assets",Inputs!$B:$B,Inputs!K:K)/+_xlfn.XLOOKUP("Current Liabilities",Inputs!$B:$B,Inputs!K:K),"")</f>
        <v>1.1292722622645897</v>
      </c>
      <c r="K29" s="16">
        <f>IFERROR(_xlfn.XLOOKUP("Current Assets",Inputs!$B:$B,Inputs!L:L)/+_xlfn.XLOOKUP("Current Liabilities",Inputs!$B:$B,Inputs!L:L),"")</f>
        <v>0.79294347454523262</v>
      </c>
      <c r="L29" s="16">
        <f>IFERROR(_xlfn.XLOOKUP("Current Assets",Inputs!$B:$B,Inputs!M:M)/+_xlfn.XLOOKUP("Current Liabilities",Inputs!$B:$B,Inputs!M:M),"")</f>
        <v>1.4778664731494919</v>
      </c>
      <c r="M29" s="16">
        <f>IFERROR(_xlfn.XLOOKUP("Current Assets",Inputs!$B:$B,Inputs!N:N)/+_xlfn.XLOOKUP("Current Liabilities",Inputs!$B:$B,Inputs!N:N),"")</f>
        <v>1.2505770340450086</v>
      </c>
      <c r="N29" s="16">
        <f>IFERROR(_xlfn.XLOOKUP("Current Assets",Inputs!$B:$B,Inputs!O:O)/+_xlfn.XLOOKUP("Current Liabilities",Inputs!$B:$B,Inputs!O:O),"")</f>
        <v>1.1067913385826771</v>
      </c>
      <c r="O29" s="16">
        <f>IFERROR(_xlfn.XLOOKUP("Current Assets",Inputs!$B:$B,Inputs!P:P)/+_xlfn.XLOOKUP("Current Liabilities",Inputs!$B:$B,Inputs!P:P),"")</f>
        <v>1.3433523209307963</v>
      </c>
      <c r="P29" s="330">
        <f>IFERROR(_xlfn.XLOOKUP("Current Assets",Inputs!$B:$B,Inputs!Q:Q)/+_xlfn.XLOOKUP("Current Liabilities",Inputs!$B:$B,Inputs!Q:Q),"")</f>
        <v>1.0675791274593669</v>
      </c>
      <c r="Q29" s="337">
        <f>+IFERROR(_xlfn.XLOOKUP("Current Assets",DCF!$6:$6,DCF!10:10)/_xlfn.XLOOKUP("Current Liabilities",DCF!$6:$6,DCF!10:10),"")</f>
        <v>1.9829280986764994</v>
      </c>
      <c r="R29" s="337">
        <f>+IFERROR(_xlfn.XLOOKUP("Current Assets",DCF!$6:$6,DCF!10:10)/_xlfn.XLOOKUP("Current Liabilities",DCF!$6:$6,DCF!10:10),"")</f>
        <v>1.9829280986764994</v>
      </c>
    </row>
    <row r="30" spans="2:19" ht="8.1" customHeight="1">
      <c r="N30" s="16"/>
      <c r="O30" s="16"/>
      <c r="P30" s="330"/>
      <c r="Q30" s="337"/>
      <c r="R30" s="337"/>
    </row>
    <row r="31" spans="2:19" ht="15.6">
      <c r="B31" s="7" t="s">
        <v>578</v>
      </c>
      <c r="C31" s="56"/>
      <c r="D31" s="58"/>
      <c r="E31" s="58"/>
      <c r="F31" s="351">
        <v>2014</v>
      </c>
      <c r="G31" s="351">
        <f t="shared" ref="G31" si="21">+F31+1</f>
        <v>2015</v>
      </c>
      <c r="H31" s="351">
        <f t="shared" ref="H31" si="22">+G31+1</f>
        <v>2016</v>
      </c>
      <c r="I31" s="351">
        <f t="shared" ref="I31" si="23">+H31+1</f>
        <v>2017</v>
      </c>
      <c r="J31" s="351">
        <f t="shared" ref="J31" si="24">+I31+1</f>
        <v>2018</v>
      </c>
      <c r="K31" s="351">
        <f t="shared" ref="K31" si="25">+J31+1</f>
        <v>2019</v>
      </c>
      <c r="L31" s="351">
        <f t="shared" ref="L31" si="26">+K31+1</f>
        <v>2020</v>
      </c>
      <c r="M31" s="351">
        <f t="shared" ref="M31" si="27">+L31+1</f>
        <v>2021</v>
      </c>
      <c r="N31" s="351">
        <v>2022</v>
      </c>
      <c r="O31" s="351">
        <f t="shared" ref="O31" si="28">+N31+1</f>
        <v>2023</v>
      </c>
      <c r="P31" s="352">
        <f>+O31+1</f>
        <v>2024</v>
      </c>
      <c r="Q31" s="350">
        <f>+P31+1</f>
        <v>2025</v>
      </c>
      <c r="R31" s="350">
        <f>+Q31+1</f>
        <v>2026</v>
      </c>
    </row>
    <row r="32" spans="2:19" ht="3.95" customHeight="1">
      <c r="B32" s="228"/>
      <c r="C32" s="53"/>
      <c r="D32" s="59"/>
      <c r="E32" s="59"/>
      <c r="F32" s="59"/>
      <c r="G32" s="59"/>
      <c r="H32" s="59"/>
      <c r="I32" s="59"/>
      <c r="J32" s="59"/>
      <c r="K32" s="59"/>
      <c r="L32" s="59"/>
      <c r="M32" s="59"/>
      <c r="N32" s="202"/>
      <c r="O32" s="202"/>
      <c r="P32" s="332"/>
      <c r="Q32" s="202"/>
      <c r="R32" s="202"/>
    </row>
    <row r="33" spans="2:18" ht="15.6">
      <c r="B33" s="18" t="s">
        <v>579</v>
      </c>
      <c r="F33" s="235">
        <f>+_xlfn.XLOOKUP("DSO",Inputs!$B:$B,Inputs!G:G)</f>
        <v>52.105136243067271</v>
      </c>
      <c r="G33" s="235">
        <f>+_xlfn.XLOOKUP("DSO",Inputs!$B:$B,Inputs!H:H)</f>
        <v>51.153284671532852</v>
      </c>
      <c r="H33" s="235">
        <f>+_xlfn.XLOOKUP("DSO",Inputs!$B:$B,Inputs!I:I)</f>
        <v>51.937991117184836</v>
      </c>
      <c r="I33" s="235">
        <f>+_xlfn.XLOOKUP("DSO",Inputs!$B:$B,Inputs!J:J)</f>
        <v>60.891658676893577</v>
      </c>
      <c r="J33" s="235">
        <f>+_xlfn.XLOOKUP("DSO",Inputs!$B:$B,Inputs!K:K)</f>
        <v>53.153377630121817</v>
      </c>
      <c r="K33" s="235">
        <f>+_xlfn.XLOOKUP("DSO",Inputs!$B:$B,Inputs!L:L)</f>
        <v>50.12174380091308</v>
      </c>
      <c r="L33" s="235">
        <f>+_xlfn.XLOOKUP("DSO",Inputs!$B:$B,Inputs!M:M)</f>
        <v>39.654180913894933</v>
      </c>
      <c r="M33" s="235">
        <f>+_xlfn.XLOOKUP("DSO",Inputs!$B:$B,Inputs!N:N)</f>
        <v>43.425403864428255</v>
      </c>
      <c r="N33" s="235">
        <f>+_xlfn.XLOOKUP("DSO",Inputs!$B:$B,Inputs!O:O)</f>
        <v>42.810689537657616</v>
      </c>
      <c r="O33" s="235">
        <f>+_xlfn.XLOOKUP("DSO",Inputs!$B:$B,Inputs!P:P)</f>
        <v>41.823896130661034</v>
      </c>
      <c r="P33" s="336">
        <f>+_xlfn.XLOOKUP("DSO",Inputs!$B:$B,Inputs!Q:Q)</f>
        <v>35.167635433620084</v>
      </c>
      <c r="Q33" s="341">
        <f>+_xlfn.XLOOKUP("DSO",DCF!$B:$B,DCF!H:H)</f>
        <v>39.966190262686077</v>
      </c>
      <c r="R33" s="341">
        <f>+_xlfn.XLOOKUP("DSO",DCF!$B:$B,DCF!I:I)</f>
        <v>39.018023837695573</v>
      </c>
    </row>
    <row r="34" spans="2:18" ht="15.6">
      <c r="B34" s="229" t="s">
        <v>580</v>
      </c>
      <c r="F34" s="235">
        <f>+_xlfn.XLOOKUP("DPO",Inputs!$B:$B,Inputs!G:G)</f>
        <v>5.9850494333252948</v>
      </c>
      <c r="G34" s="235">
        <f>+_xlfn.XLOOKUP("DPO",Inputs!$B:$B,Inputs!H:H)</f>
        <v>7.0792492179353497</v>
      </c>
      <c r="H34" s="235">
        <f>+_xlfn.XLOOKUP("DPO",Inputs!$B:$B,Inputs!I:I)</f>
        <v>5.4868466006149639</v>
      </c>
      <c r="I34" s="235">
        <f>+_xlfn.XLOOKUP("DPO",Inputs!$B:$B,Inputs!J:J)</f>
        <v>5.6492261334063834</v>
      </c>
      <c r="J34" s="235">
        <f>+_xlfn.XLOOKUP("DPO",Inputs!$B:$B,Inputs!K:K)</f>
        <v>7.5182724252491697</v>
      </c>
      <c r="K34" s="235">
        <f>+_xlfn.XLOOKUP("DPO",Inputs!$B:$B,Inputs!L:L)</f>
        <v>6.8615164264613737</v>
      </c>
      <c r="L34" s="235">
        <f>+_xlfn.XLOOKUP("DPO",Inputs!$B:$B,Inputs!M:M)</f>
        <v>8.6796705004662726</v>
      </c>
      <c r="M34" s="235">
        <f>+_xlfn.XLOOKUP("DPO",Inputs!$B:$B,Inputs!N:N)</f>
        <v>7.2144440924928732</v>
      </c>
      <c r="N34" s="235">
        <f>+_xlfn.XLOOKUP("DPO",Inputs!$B:$B,Inputs!O:O)</f>
        <v>7.8572645688969667</v>
      </c>
      <c r="O34" s="235">
        <f>+_xlfn.XLOOKUP("DPO",Inputs!$B:$B,Inputs!P:P)</f>
        <v>5.9049925292390126</v>
      </c>
      <c r="P34" s="336">
        <f>+_xlfn.XLOOKUP("DPO",Inputs!$B:$B,Inputs!Q:Q)</f>
        <v>6.127179725645199</v>
      </c>
      <c r="Q34" s="341">
        <f>+_xlfn.XLOOKUP("DPO",DCF!$B:$B,DCF!H:H)</f>
        <v>54.88083875151171</v>
      </c>
      <c r="R34" s="341">
        <f>+_xlfn.XLOOKUP("DPO",DCF!$B:$B,DCF!I:I)</f>
        <v>51.875760367681515</v>
      </c>
    </row>
    <row r="35" spans="2:18" ht="15.6">
      <c r="B35" s="229" t="s">
        <v>581</v>
      </c>
      <c r="F35" s="235">
        <f>+_xlfn.XLOOKUP("DIH",Inputs!$B:$B,Inputs!G:G)</f>
        <v>0</v>
      </c>
      <c r="G35" s="235">
        <f>+_xlfn.XLOOKUP("DIH",Inputs!$B:$B,Inputs!H:H)</f>
        <v>0</v>
      </c>
      <c r="H35" s="235">
        <f>+_xlfn.XLOOKUP("DIH",Inputs!$B:$B,Inputs!I:I)</f>
        <v>0</v>
      </c>
      <c r="I35" s="235">
        <f>+_xlfn.XLOOKUP("DIH",Inputs!$B:$B,Inputs!J:J)</f>
        <v>0</v>
      </c>
      <c r="J35" s="235">
        <f>+_xlfn.XLOOKUP("DIH",Inputs!$B:$B,Inputs!K:K)</f>
        <v>0</v>
      </c>
      <c r="K35" s="235">
        <f>+_xlfn.XLOOKUP("DIH",Inputs!$B:$B,Inputs!L:L)</f>
        <v>0</v>
      </c>
      <c r="L35" s="235">
        <f>+_xlfn.XLOOKUP("DIH",Inputs!$B:$B,Inputs!M:M)</f>
        <v>0</v>
      </c>
      <c r="M35" s="235">
        <f>+_xlfn.XLOOKUP("DIH",Inputs!$B:$B,Inputs!N:N)</f>
        <v>0</v>
      </c>
      <c r="N35" s="235">
        <f>+_xlfn.XLOOKUP("DIH",Inputs!$B:$B,Inputs!O:O)</f>
        <v>0</v>
      </c>
      <c r="O35" s="235">
        <f>+_xlfn.XLOOKUP("DIH",Inputs!$B:$B,Inputs!P:P)</f>
        <v>0</v>
      </c>
      <c r="P35" s="336">
        <f>+_xlfn.XLOOKUP("DIH",Inputs!$B:$B,Inputs!Q:Q)</f>
        <v>0</v>
      </c>
      <c r="Q35" s="341">
        <f>+_xlfn.XLOOKUP("DIH",DCF!$B:$B,DCF!H:H)</f>
        <v>0</v>
      </c>
      <c r="R35" s="341">
        <f>+_xlfn.XLOOKUP("DIH",DCF!$B:$B,DCF!I:I)</f>
        <v>0</v>
      </c>
    </row>
    <row r="36" spans="2:18" ht="15.6">
      <c r="B36" s="229" t="s">
        <v>57</v>
      </c>
      <c r="F36" s="235">
        <f>IFERROR(F35+F33-F34,"")</f>
        <v>46.120086809741977</v>
      </c>
      <c r="G36" s="235">
        <f t="shared" ref="G36:P36" si="29">IFERROR(G35+G33-G34,"")</f>
        <v>44.074035453597503</v>
      </c>
      <c r="H36" s="235">
        <f t="shared" si="29"/>
        <v>46.451144516569869</v>
      </c>
      <c r="I36" s="235">
        <f t="shared" si="29"/>
        <v>55.242432543487197</v>
      </c>
      <c r="J36" s="235">
        <f t="shared" si="29"/>
        <v>45.635105204872644</v>
      </c>
      <c r="K36" s="235">
        <f t="shared" si="29"/>
        <v>43.260227374451709</v>
      </c>
      <c r="L36" s="235">
        <f t="shared" si="29"/>
        <v>30.974510413428661</v>
      </c>
      <c r="M36" s="235">
        <f t="shared" si="29"/>
        <v>36.210959771935379</v>
      </c>
      <c r="N36" s="235">
        <f t="shared" si="29"/>
        <v>34.95342496876065</v>
      </c>
      <c r="O36" s="235">
        <f t="shared" si="29"/>
        <v>35.918903601422024</v>
      </c>
      <c r="P36" s="336">
        <f t="shared" si="29"/>
        <v>29.040455707974886</v>
      </c>
      <c r="Q36" s="341">
        <f>IFERROR(Q35+Q33-Q34,"")</f>
        <v>-14.914648488825634</v>
      </c>
      <c r="R36" s="341">
        <f t="shared" ref="R36" si="30">IFERROR(R35+R33-R34,"")</f>
        <v>-12.857736529985942</v>
      </c>
    </row>
    <row r="37" spans="2:18" ht="8.1" customHeight="1">
      <c r="N37" s="231"/>
      <c r="O37" s="231"/>
      <c r="P37" s="333"/>
      <c r="Q37" s="338"/>
      <c r="R37" s="338"/>
    </row>
    <row r="38" spans="2:18" ht="15.6">
      <c r="B38" s="7" t="s">
        <v>582</v>
      </c>
      <c r="C38" s="56"/>
      <c r="D38" s="58"/>
      <c r="E38" s="58"/>
      <c r="F38" s="351">
        <v>2014</v>
      </c>
      <c r="G38" s="351">
        <f t="shared" ref="G38" si="31">+F38+1</f>
        <v>2015</v>
      </c>
      <c r="H38" s="351">
        <f t="shared" ref="H38" si="32">+G38+1</f>
        <v>2016</v>
      </c>
      <c r="I38" s="351">
        <f t="shared" ref="I38" si="33">+H38+1</f>
        <v>2017</v>
      </c>
      <c r="J38" s="351">
        <f t="shared" ref="J38" si="34">+I38+1</f>
        <v>2018</v>
      </c>
      <c r="K38" s="351">
        <f t="shared" ref="K38" si="35">+J38+1</f>
        <v>2019</v>
      </c>
      <c r="L38" s="351">
        <f t="shared" ref="L38" si="36">+K38+1</f>
        <v>2020</v>
      </c>
      <c r="M38" s="351">
        <f t="shared" ref="M38" si="37">+L38+1</f>
        <v>2021</v>
      </c>
      <c r="N38" s="351">
        <v>2022</v>
      </c>
      <c r="O38" s="351">
        <f t="shared" ref="O38" si="38">+N38+1</f>
        <v>2023</v>
      </c>
      <c r="P38" s="352">
        <f>+O38+1</f>
        <v>2024</v>
      </c>
      <c r="Q38" s="350">
        <f>+P38+1</f>
        <v>2025</v>
      </c>
      <c r="R38" s="350">
        <f>+Q38+1</f>
        <v>2026</v>
      </c>
    </row>
    <row r="39" spans="2:18" ht="3.95" customHeight="1">
      <c r="B39" s="228"/>
      <c r="C39" s="53"/>
      <c r="D39" s="59"/>
      <c r="E39" s="59"/>
      <c r="F39" s="59"/>
      <c r="G39" s="59"/>
      <c r="H39" s="59"/>
      <c r="I39" s="59"/>
      <c r="J39" s="59"/>
      <c r="K39" s="59"/>
      <c r="L39" s="59"/>
      <c r="M39" s="59"/>
      <c r="N39" s="202"/>
      <c r="O39" s="202"/>
      <c r="P39" s="332"/>
      <c r="Q39" s="202"/>
      <c r="R39" s="202"/>
    </row>
    <row r="40" spans="2:18" ht="15.6">
      <c r="B40" s="18" t="s">
        <v>68</v>
      </c>
      <c r="F40" s="16">
        <f>+IFERROR(_xlfn.XLOOKUP("Total Debt",Inputs!$B:$B,Inputs!G:G)*1000/+_xlfn.XLOOKUP("Shareholder's Equity",Inputs!$B:$B,Inputs!G:G),"")</f>
        <v>232.29043683589137</v>
      </c>
      <c r="G40" s="16">
        <f>+IFERROR(_xlfn.XLOOKUP("Total Debt",Inputs!$B:$B,Inputs!H:H)*1000/+_xlfn.XLOOKUP("Shareholder's Equity",Inputs!$B:$B,Inputs!H:H),"")</f>
        <v>280.91973721793772</v>
      </c>
      <c r="H40" s="16">
        <f>+IFERROR(_xlfn.XLOOKUP("Total Debt",Inputs!$B:$B,Inputs!I:I)*1000/+_xlfn.XLOOKUP("Shareholder's Equity",Inputs!$B:$B,Inputs!I:I),"")</f>
        <v>264.24242424242425</v>
      </c>
      <c r="I40" s="16">
        <f>+IFERROR(_xlfn.XLOOKUP("Total Debt",Inputs!$B:$B,Inputs!J:J)*1000/+_xlfn.XLOOKUP("Shareholder's Equity",Inputs!$B:$B,Inputs!J:J),"")</f>
        <v>234.47692679391156</v>
      </c>
      <c r="J40" s="16">
        <f>+IFERROR(_xlfn.XLOOKUP("Total Debt",Inputs!$B:$B,Inputs!K:K)*1000/+_xlfn.XLOOKUP("Shareholder's Equity",Inputs!$B:$B,Inputs!K:K),"")</f>
        <v>446.91305276650286</v>
      </c>
      <c r="K40" s="16">
        <f>+IFERROR(_xlfn.XLOOKUP("Total Debt",Inputs!$B:$B,Inputs!L:L)*1000/+_xlfn.XLOOKUP("Shareholder's Equity",Inputs!$B:$B,Inputs!L:L),"")</f>
        <v>398.63260848922232</v>
      </c>
      <c r="L40" s="16">
        <f>+IFERROR(_xlfn.XLOOKUP("Total Debt",Inputs!$B:$B,Inputs!M:M)*1000/+_xlfn.XLOOKUP("Shareholder's Equity",Inputs!$B:$B,Inputs!M:M),"")</f>
        <v>354.94571773220747</v>
      </c>
      <c r="M40" s="16">
        <f>+IFERROR(_xlfn.XLOOKUP("Total Debt",Inputs!$B:$B,Inputs!N:N)*1000/+_xlfn.XLOOKUP("Shareholder's Equity",Inputs!$B:$B,Inputs!N:N),"")</f>
        <v>315.80725822801918</v>
      </c>
      <c r="N40" s="16">
        <f>+IFERROR(_xlfn.XLOOKUP("Total Debt",Inputs!$B:$B,Inputs!O:O)*1000/+_xlfn.XLOOKUP("Shareholder's Equity",Inputs!$B:$B,Inputs!O:O),"")</f>
        <v>332.37678456130283</v>
      </c>
      <c r="O40" s="16">
        <f>+IFERROR(_xlfn.XLOOKUP("Total Debt",Inputs!$B:$B,Inputs!P:P)*1000/+_xlfn.XLOOKUP("Shareholder's Equity",Inputs!$B:$B,Inputs!P:P),"")</f>
        <v>244.72168905950096</v>
      </c>
      <c r="P40" s="330">
        <f>+IFERROR(_xlfn.XLOOKUP("Total Debt",Inputs!$B:$B,Inputs!Q:Q)*1000/+_xlfn.XLOOKUP("Shareholder's Equity",Inputs!$B:$B,Inputs!Q:Q),"")</f>
        <v>448.79205572847189</v>
      </c>
      <c r="Q40" s="337">
        <f>IFERROR((_xlfn.XLOOKUP("Total Borrowings",DCF!$B:$B,DCF!G:G)+_xlfn.XLOOKUP("Total Leases",DCF!$B:$B,DCF!G:G))/_xlfn.XLOOKUP("Shareholder's Equity",DCF!$6:$6,DCF!10:10),"")</f>
        <v>-5.4378501495136452E-12</v>
      </c>
      <c r="R40" s="337">
        <f>IFERROR((_xlfn.XLOOKUP("Total Borrowings",DCF!$B:$B,DCF!H:H)+_xlfn.XLOOKUP("Total Leases",DCF!$B:$B,DCF!H:H))/_xlfn.XLOOKUP("Shareholder's Equity",DCF!$6:$6,DCF!10:10),"")</f>
        <v>-5.5458283272653781E-12</v>
      </c>
    </row>
    <row r="41" spans="2:18" ht="15.6">
      <c r="B41" s="229" t="s">
        <v>70</v>
      </c>
      <c r="F41" s="16">
        <f>+IFERROR(_xlfn.XLOOKUP("Total Debt",Inputs!$B:$B,Inputs!G:G)*1000/(+_xlfn.XLOOKUP("Shareholder's Equity",Inputs!$B:$B,Inputs!G:G)+_xlfn.XLOOKUP("Total Debt",Inputs!$B:$B,Inputs!G:G)*1000),"")</f>
        <v>0.99571349767455986</v>
      </c>
      <c r="G41" s="16">
        <f>+IFERROR(_xlfn.XLOOKUP("Total Debt",Inputs!$B:$B,Inputs!H:H)*1000/(+_xlfn.XLOOKUP("Shareholder's Equity",Inputs!$B:$B,Inputs!H:H)+_xlfn.XLOOKUP("Total Debt",Inputs!$B:$B,Inputs!H:H)*1000),"")</f>
        <v>0.99645289113182256</v>
      </c>
      <c r="H41" s="16">
        <f>+IFERROR(_xlfn.XLOOKUP("Total Debt",Inputs!$B:$B,Inputs!I:I)*1000/(+_xlfn.XLOOKUP("Shareholder's Equity",Inputs!$B:$B,Inputs!I:I)+_xlfn.XLOOKUP("Total Debt",Inputs!$B:$B,Inputs!I:I)*1000),"")</f>
        <v>0.99622986404661262</v>
      </c>
      <c r="I41" s="16">
        <f>+IFERROR(_xlfn.XLOOKUP("Total Debt",Inputs!$B:$B,Inputs!J:J)*1000/(+_xlfn.XLOOKUP("Shareholder's Equity",Inputs!$B:$B,Inputs!J:J)+_xlfn.XLOOKUP("Total Debt",Inputs!$B:$B,Inputs!J:J)*1000),"")</f>
        <v>0.99575329942676216</v>
      </c>
      <c r="J41" s="16">
        <f>+IFERROR(_xlfn.XLOOKUP("Total Debt",Inputs!$B:$B,Inputs!K:K)*1000/(+_xlfn.XLOOKUP("Shareholder's Equity",Inputs!$B:$B,Inputs!K:K)+_xlfn.XLOOKUP("Total Debt",Inputs!$B:$B,Inputs!K:K)*1000),"")</f>
        <v>0.99776742384749995</v>
      </c>
      <c r="K41" s="16">
        <f>+IFERROR(_xlfn.XLOOKUP("Total Debt",Inputs!$B:$B,Inputs!L:L)*1000/(+_xlfn.XLOOKUP("Shareholder's Equity",Inputs!$B:$B,Inputs!L:L)+_xlfn.XLOOKUP("Total Debt",Inputs!$B:$B,Inputs!L:L)*1000),"")</f>
        <v>0.99749770169211061</v>
      </c>
      <c r="L41" s="16">
        <f>+IFERROR(_xlfn.XLOOKUP("Total Debt",Inputs!$B:$B,Inputs!M:M)*1000/(+_xlfn.XLOOKUP("Shareholder's Equity",Inputs!$B:$B,Inputs!M:M)+_xlfn.XLOOKUP("Total Debt",Inputs!$B:$B,Inputs!M:M)*1000),"")</f>
        <v>0.99719058286086104</v>
      </c>
      <c r="M41" s="16">
        <f>+IFERROR(_xlfn.XLOOKUP("Total Debt",Inputs!$B:$B,Inputs!N:N)*1000/(+_xlfn.XLOOKUP("Shareholder's Equity",Inputs!$B:$B,Inputs!N:N)+_xlfn.XLOOKUP("Total Debt",Inputs!$B:$B,Inputs!N:N)*1000),"")</f>
        <v>0.99684350666208454</v>
      </c>
      <c r="N41" s="16">
        <f>+IFERROR(_xlfn.XLOOKUP("Total Debt",Inputs!$B:$B,Inputs!O:O)*1000/(+_xlfn.XLOOKUP("Shareholder's Equity",Inputs!$B:$B,Inputs!O:O)+_xlfn.XLOOKUP("Total Debt",Inputs!$B:$B,Inputs!O:O)*1000),"")</f>
        <v>0.99700039101008209</v>
      </c>
      <c r="O41" s="16">
        <f>+IFERROR(_xlfn.XLOOKUP("Total Debt",Inputs!$B:$B,Inputs!P:P)*1000/(+_xlfn.XLOOKUP("Shareholder's Equity",Inputs!$B:$B,Inputs!P:P)+_xlfn.XLOOKUP("Total Debt",Inputs!$B:$B,Inputs!P:P)*1000),"")</f>
        <v>0.99593035517610395</v>
      </c>
      <c r="P41" s="330">
        <f>+IFERROR(_xlfn.XLOOKUP("Total Debt",Inputs!$B:$B,Inputs!Q:Q)*1000/(+_xlfn.XLOOKUP("Shareholder's Equity",Inputs!$B:$B,Inputs!Q:Q)+_xlfn.XLOOKUP("Total Debt",Inputs!$B:$B,Inputs!Q:Q)*1000),"")</f>
        <v>0.99777675041774483</v>
      </c>
      <c r="Q41" s="337">
        <f>IFERROR((_xlfn.XLOOKUP("Total Borrowings",DCF!$B:$B,DCF!G:G)+_xlfn.XLOOKUP("Total Leases",DCF!$B:$B,DCF!G:G))/(_xlfn.XLOOKUP("Shareholder's Equity",DCF!$6:$6,DCF!10:10)+_xlfn.XLOOKUP("Total Borrowings",DCF!$B:$B,DCF!G:G)+_xlfn.XLOOKUP("Total Leases",DCF!$B:$B,DCF!G:G)),"")</f>
        <v>-5.4378501495432153E-12</v>
      </c>
      <c r="R41" s="337">
        <f>IFERROR((_xlfn.XLOOKUP("Total Borrowings",DCF!$B:$B,DCF!H:H)+_xlfn.XLOOKUP("Total Leases",DCF!$B:$B,DCF!H:H))/(_xlfn.XLOOKUP("Shareholder's Equity",DCF!$6:$6,DCF!10:10)+_xlfn.XLOOKUP("Total Borrowings",DCF!$B:$B,DCF!H:H)+_xlfn.XLOOKUP("Total Leases",DCF!$B:$B,DCF!H:H)),"")</f>
        <v>-5.5458283272961349E-12</v>
      </c>
    </row>
    <row r="42" spans="2:18" ht="15.6">
      <c r="B42" s="229" t="s">
        <v>72</v>
      </c>
      <c r="F42" s="16">
        <f>IFERROR(_xlfn.XLOOKUP("Total Liabilities",Inputs!$B:$B,Inputs!G:G)/_xlfn.XLOOKUP("Total Assets",Inputs!$B:$B,Inputs!G:G),"")</f>
        <v>0.37171998145572555</v>
      </c>
      <c r="G42" s="16">
        <f>IFERROR(_xlfn.XLOOKUP("Total Liabilities",Inputs!$B:$B,Inputs!H:H)/_xlfn.XLOOKUP("Total Assets",Inputs!$B:$B,Inputs!H:H),"")</f>
        <v>0.40286542725567115</v>
      </c>
      <c r="H42" s="16">
        <f>IFERROR(_xlfn.XLOOKUP("Total Liabilities",Inputs!$B:$B,Inputs!I:I)/_xlfn.XLOOKUP("Total Assets",Inputs!$B:$B,Inputs!I:I),"")</f>
        <v>0.41567639883528762</v>
      </c>
      <c r="I42" s="16">
        <f>IFERROR(_xlfn.XLOOKUP("Total Liabilities",Inputs!$B:$B,Inputs!J:J)/_xlfn.XLOOKUP("Total Assets",Inputs!$B:$B,Inputs!J:J),"")</f>
        <v>0.42325646206368006</v>
      </c>
      <c r="J42" s="16">
        <f>IFERROR(_xlfn.XLOOKUP("Total Liabilities",Inputs!$B:$B,Inputs!K:K)/_xlfn.XLOOKUP("Total Assets",Inputs!$B:$B,Inputs!K:K),"")</f>
        <v>0.50117220801364026</v>
      </c>
      <c r="K42" s="16">
        <f>IFERROR(_xlfn.XLOOKUP("Total Liabilities",Inputs!$B:$B,Inputs!L:L)/_xlfn.XLOOKUP("Total Assets",Inputs!$B:$B,Inputs!L:L),"")</f>
        <v>0.49279969175937965</v>
      </c>
      <c r="L42" s="16">
        <f>IFERROR(_xlfn.XLOOKUP("Total Liabilities",Inputs!$B:$B,Inputs!M:M)/_xlfn.XLOOKUP("Total Assets",Inputs!$B:$B,Inputs!M:M),"")</f>
        <v>0.45379673859331249</v>
      </c>
      <c r="M42" s="16">
        <f>IFERROR(_xlfn.XLOOKUP("Total Liabilities",Inputs!$B:$B,Inputs!N:N)/_xlfn.XLOOKUP("Total Assets",Inputs!$B:$B,Inputs!N:N),"")</f>
        <v>0.45681142395653612</v>
      </c>
      <c r="N42" s="16">
        <f>IFERROR(_xlfn.XLOOKUP("Total Liabilities",Inputs!$B:$B,Inputs!O:O)/_xlfn.XLOOKUP("Total Assets",Inputs!$B:$B,Inputs!O:O),"")</f>
        <v>0.48687649549052087</v>
      </c>
      <c r="O42" s="16">
        <f>IFERROR(_xlfn.XLOOKUP("Total Liabilities",Inputs!$B:$B,Inputs!P:P)/_xlfn.XLOOKUP("Total Assets",Inputs!$B:$B,Inputs!P:P),"")</f>
        <v>0.44051813819255681</v>
      </c>
      <c r="P42" s="330">
        <f>IFERROR(_xlfn.XLOOKUP("Total Liabilities",Inputs!$B:$B,Inputs!Q:Q)/_xlfn.XLOOKUP("Total Assets",Inputs!$B:$B,Inputs!Q:Q),"")</f>
        <v>0.5502299846676888</v>
      </c>
      <c r="Q42" s="337">
        <f>IFERROR(+_xlfn.XLOOKUP("Total Liabilities",DCF!$6:$6,DCF!10:10)/_xlfn.XLOOKUP("Total Assets",DCF!$6:$6,DCF!10:10),"")</f>
        <v>23164526577.355091</v>
      </c>
      <c r="R42" s="337">
        <f>IFERROR(+_xlfn.XLOOKUP("Total Liabilities",DCF!$6:$6,DCF!10:10)/_xlfn.XLOOKUP("Total Assets",DCF!$6:$6,DCF!10:10),"")</f>
        <v>23164526577.355091</v>
      </c>
    </row>
    <row r="43" spans="2:18" ht="15.6">
      <c r="B43" s="18" t="s">
        <v>73</v>
      </c>
      <c r="F43" s="16">
        <f>+IFERROR(_xlfn.XLOOKUP("Total Debt",Inputs!$B:$B,Inputs!G:G,,,-1)/_xlfn.XLOOKUP("EBITDA",Inputs!$B:$B,Inputs!G:G),"")</f>
        <v>3.2386831275720165</v>
      </c>
      <c r="G43" s="16">
        <f>+IFERROR(_xlfn.XLOOKUP("Total Debt",Inputs!$B:$B,Inputs!H:H,,,-1)/_xlfn.XLOOKUP("EBITDA",Inputs!$B:$B,Inputs!H:H),"")</f>
        <v>2.0195071868583163</v>
      </c>
      <c r="H43" s="16">
        <f>+IFERROR(_xlfn.XLOOKUP("Total Debt",Inputs!$B:$B,Inputs!I:I,,,-1)/_xlfn.XLOOKUP("EBITDA",Inputs!$B:$B,Inputs!I:I),"")</f>
        <v>1.248091603053435</v>
      </c>
      <c r="I43" s="16">
        <f>+IFERROR(_xlfn.XLOOKUP("Total Debt",Inputs!$B:$B,Inputs!J:J,,,-1)/_xlfn.XLOOKUP("EBITDA",Inputs!$B:$B,Inputs!J:J),"")</f>
        <v>0.86420302760463041</v>
      </c>
      <c r="J43" s="16">
        <f>+IFERROR(_xlfn.XLOOKUP("Total Debt",Inputs!$B:$B,Inputs!K:K,,,-1)/_xlfn.XLOOKUP("EBITDA",Inputs!$B:$B,Inputs!K:K),"")</f>
        <v>1.4255536626916525</v>
      </c>
      <c r="K43" s="16">
        <f>+IFERROR(_xlfn.XLOOKUP("Total Debt",Inputs!$B:$B,Inputs!L:L,,,-1)/_xlfn.XLOOKUP("EBITDA",Inputs!$B:$B,Inputs!L:L),"")</f>
        <v>1.2192855068254429</v>
      </c>
      <c r="L43" s="16">
        <f>+IFERROR(_xlfn.XLOOKUP("Total Debt",Inputs!$B:$B,Inputs!M:M,,,-1)/_xlfn.XLOOKUP("EBITDA",Inputs!$B:$B,Inputs!M:M),"")</f>
        <v>1.1656350581827184</v>
      </c>
      <c r="M43" s="16">
        <f>+IFERROR(_xlfn.XLOOKUP("Total Debt",Inputs!$B:$B,Inputs!N:N,,,-1)/_xlfn.XLOOKUP("EBITDA",Inputs!$B:$B,Inputs!N:N),"")</f>
        <v>0.78222296618680953</v>
      </c>
      <c r="N43" s="16">
        <f>+IFERROR(_xlfn.XLOOKUP("Total Debt",Inputs!$B:$B,Inputs!O:O,,,-1)/_xlfn.XLOOKUP("EBITDA",Inputs!$B:$B,Inputs!O:O),"")</f>
        <v>0.74894924021985132</v>
      </c>
      <c r="O43" s="16">
        <f>+IFERROR(_xlfn.XLOOKUP("Total Debt",Inputs!$B:$B,Inputs!P:P,,,-1)/_xlfn.XLOOKUP("EBITDA",Inputs!$B:$B,Inputs!P:P),"")</f>
        <v>0.59841595775887357</v>
      </c>
      <c r="P43" s="330">
        <f>+IFERROR(_xlfn.XLOOKUP("Total Debt",Inputs!$B:$B,Inputs!Q:Q,,,-1)/_xlfn.XLOOKUP("EBITDA",Inputs!$B:$B,Inputs!Q:Q),"")</f>
        <v>0.78344113842173346</v>
      </c>
      <c r="Q43" s="337">
        <f>IFERROR((_xlfn.XLOOKUP("Total Borrowings",DCF!$B:$B,DCF!G:G)+_xlfn.XLOOKUP("Total Leases",DCF!$B:$B,DCF!G:G))/_xlfn.XLOOKUP("EBITDA",DCF!$B:$B,DCF!H:H),"")</f>
        <v>0.46151772185267859</v>
      </c>
      <c r="R43" s="337">
        <f>IFERROR((_xlfn.XLOOKUP("Total Borrowings",DCF!$B:$B,DCF!H:H)+_xlfn.XLOOKUP("Total Leases",DCF!$B:$B,DCF!H:H))/_xlfn.XLOOKUP("EBITDA",DCF!$B:$B,DCF!I:I),"")</f>
        <v>0.43559385824310659</v>
      </c>
    </row>
    <row r="44" spans="2:18" ht="15.6">
      <c r="B44" s="18" t="s">
        <v>75</v>
      </c>
      <c r="F44" s="16">
        <f>IFERROR(_xlfn.XLOOKUP("Total Debt",Inputs!$B:$B,Inputs!G:G,,,-1)/(_xlfn.XLOOKUP("EBITDA",Inputs!$B:$B,Inputs!G:G)+_xlfn.XLOOKUP("Net Capex",Inputs!$B:$B,Inputs!G:G)),"")</f>
        <v>4.6568047337278102</v>
      </c>
      <c r="G44" s="16">
        <f>IFERROR(_xlfn.XLOOKUP("Total Debt",Inputs!$B:$B,Inputs!H:H,,,-1)/(_xlfn.XLOOKUP("EBITDA",Inputs!$B:$B,Inputs!H:H)+_xlfn.XLOOKUP("Net Capex",Inputs!$B:$B,Inputs!H:H)),"")</f>
        <v>2.4898734177215189</v>
      </c>
      <c r="H44" s="16">
        <f>IFERROR(_xlfn.XLOOKUP("Total Debt",Inputs!$B:$B,Inputs!I:I,,,-1)/(_xlfn.XLOOKUP("EBITDA",Inputs!$B:$B,Inputs!I:I)+_xlfn.XLOOKUP("Net Capex",Inputs!$B:$B,Inputs!I:I)),"")</f>
        <v>1.4074605451936872</v>
      </c>
      <c r="I44" s="16">
        <f>IFERROR(_xlfn.XLOOKUP("Total Debt",Inputs!$B:$B,Inputs!J:J,,,-1)/(_xlfn.XLOOKUP("EBITDA",Inputs!$B:$B,Inputs!J:J)+_xlfn.XLOOKUP("Net Capex",Inputs!$B:$B,Inputs!J:J)),"")</f>
        <v>0.98030303030303034</v>
      </c>
      <c r="J44" s="16">
        <f>IFERROR(_xlfn.XLOOKUP("Total Debt",Inputs!$B:$B,Inputs!K:K,,,-1)/(_xlfn.XLOOKUP("EBITDA",Inputs!$B:$B,Inputs!K:K)+_xlfn.XLOOKUP("Net Capex",Inputs!$B:$B,Inputs!K:K)),"")</f>
        <v>1.6465958284140103</v>
      </c>
      <c r="K44" s="16">
        <f>IFERROR(_xlfn.XLOOKUP("Total Debt",Inputs!$B:$B,Inputs!L:L,,,-1)/(_xlfn.XLOOKUP("EBITDA",Inputs!$B:$B,Inputs!L:L)+_xlfn.XLOOKUP("Net Capex",Inputs!$B:$B,Inputs!L:L)),"")</f>
        <v>1.3772965879265091</v>
      </c>
      <c r="L44" s="16">
        <f>IFERROR(_xlfn.XLOOKUP("Total Debt",Inputs!$B:$B,Inputs!M:M,,,-1)/(_xlfn.XLOOKUP("EBITDA",Inputs!$B:$B,Inputs!M:M)+_xlfn.XLOOKUP("Net Capex",Inputs!$B:$B,Inputs!M:M)),"")</f>
        <v>1.3005524861878452</v>
      </c>
      <c r="M44" s="16">
        <f>IFERROR(_xlfn.XLOOKUP("Total Debt",Inputs!$B:$B,Inputs!N:N,,,-1)/(_xlfn.XLOOKUP("EBITDA",Inputs!$B:$B,Inputs!N:N)+_xlfn.XLOOKUP("Net Capex",Inputs!$B:$B,Inputs!N:N)),"")</f>
        <v>0.83060789193032347</v>
      </c>
      <c r="N44" s="16">
        <f>IFERROR(_xlfn.XLOOKUP("Total Debt",Inputs!$B:$B,Inputs!O:O,,,-1)/(_xlfn.XLOOKUP("EBITDA",Inputs!$B:$B,Inputs!O:O)+_xlfn.XLOOKUP("Net Capex",Inputs!$B:$B,Inputs!O:O)),"")</f>
        <v>0.80658077994428967</v>
      </c>
      <c r="O44" s="16">
        <f>IFERROR(_xlfn.XLOOKUP("Total Debt",Inputs!$B:$B,Inputs!P:P,,,-1)/(_xlfn.XLOOKUP("EBITDA",Inputs!$B:$B,Inputs!P:P)+_xlfn.XLOOKUP("Net Capex",Inputs!$B:$B,Inputs!P:P)),"")</f>
        <v>0.63177454320222981</v>
      </c>
      <c r="P44" s="330">
        <f>IFERROR(_xlfn.XLOOKUP("Total Debt",Inputs!$B:$B,Inputs!Q:Q,,,-1)/(_xlfn.XLOOKUP("EBITDA",Inputs!$B:$B,Inputs!Q:Q)+_xlfn.XLOOKUP("Net Capex",Inputs!$B:$B,Inputs!Q:Q)),"")</f>
        <v>0.80243805485623432</v>
      </c>
      <c r="Q44" s="337">
        <f>IFERROR((_xlfn.XLOOKUP("Total Borrowings",DCF!$B:$B,DCF!G:G)+_xlfn.XLOOKUP("Total Leases",DCF!$B:$B,DCF!G:G))/(_xlfn.XLOOKUP("EBITDA",DCF!$B:$B,DCF!H:H)+_xlfn.XLOOKUP("Net Capex",DCF!$B:$B,DCF!H:H)),"")</f>
        <v>0.50978155376498424</v>
      </c>
      <c r="R44" s="337">
        <f>IFERROR((_xlfn.XLOOKUP("Total Borrowings",DCF!$B:$B,DCF!H:H)+_xlfn.XLOOKUP("Total Leases",DCF!$B:$B,DCF!H:H))/(_xlfn.XLOOKUP("EBITDA",DCF!$B:$B,DCF!I:I)+_xlfn.XLOOKUP("Net Capex",DCF!$B:$B,DCF!I:I)),"")</f>
        <v>0.48080601396680334</v>
      </c>
    </row>
    <row r="45" spans="2:18" ht="15.6">
      <c r="B45" s="18" t="s">
        <v>77</v>
      </c>
      <c r="F45" s="16">
        <f>+IFERROR(_xlfn.XLOOKUP("Net Debt",Inputs!$B:$B,Inputs!G:G,,,-1)/_xlfn.XLOOKUP("EBITDA",Inputs!$B:$B,Inputs!G:G),"")</f>
        <v>-4.4547325102880659</v>
      </c>
      <c r="G45" s="16">
        <f>+IFERROR(_xlfn.XLOOKUP("Net Debt",Inputs!$B:$B,Inputs!H:H,,,-1)/_xlfn.XLOOKUP("EBITDA",Inputs!$B:$B,Inputs!H:H),"")</f>
        <v>-2.0739219712525667</v>
      </c>
      <c r="H45" s="16">
        <f>+IFERROR(_xlfn.XLOOKUP("Net Debt",Inputs!$B:$B,Inputs!I:I,,,-1)/_xlfn.XLOOKUP("EBITDA",Inputs!$B:$B,Inputs!I:I),"")</f>
        <v>-1.7798982188295165</v>
      </c>
      <c r="I45" s="16">
        <f>+IFERROR(_xlfn.XLOOKUP("Net Debt",Inputs!$B:$B,Inputs!J:J,,,-1)/_xlfn.XLOOKUP("EBITDA",Inputs!$B:$B,Inputs!J:J),"")</f>
        <v>-1.7266251113089939</v>
      </c>
      <c r="J45" s="16">
        <f>+IFERROR(_xlfn.XLOOKUP("Net Debt",Inputs!$B:$B,Inputs!K:K,,,-1)/_xlfn.XLOOKUP("EBITDA",Inputs!$B:$B,Inputs!K:K),"")</f>
        <v>0.32572402044293014</v>
      </c>
      <c r="K45" s="16">
        <f>+IFERROR(_xlfn.XLOOKUP("Net Debt",Inputs!$B:$B,Inputs!L:L,,,-1)/_xlfn.XLOOKUP("EBITDA",Inputs!$B:$B,Inputs!L:L),"")</f>
        <v>6.3897763578274758E-3</v>
      </c>
      <c r="L45" s="16">
        <f>+IFERROR(_xlfn.XLOOKUP("Net Debt",Inputs!$B:$B,Inputs!M:M,,,-1)/_xlfn.XLOOKUP("EBITDA",Inputs!$B:$B,Inputs!M:M),"")</f>
        <v>-0.31790047041346869</v>
      </c>
      <c r="M45" s="16">
        <f>+IFERROR(_xlfn.XLOOKUP("Net Debt",Inputs!$B:$B,Inputs!N:N,,,-1)/_xlfn.XLOOKUP("EBITDA",Inputs!$B:$B,Inputs!N:N),"")</f>
        <v>-0.18831603615667894</v>
      </c>
      <c r="N45" s="16">
        <f>+IFERROR(_xlfn.XLOOKUP("Net Debt",Inputs!$B:$B,Inputs!O:O,,,-1)/_xlfn.XLOOKUP("EBITDA",Inputs!$B:$B,Inputs!O:O),"")</f>
        <v>-0.2365017782088587</v>
      </c>
      <c r="O45" s="16">
        <f>+IFERROR(_xlfn.XLOOKUP("Net Debt",Inputs!$B:$B,Inputs!P:P,,,-1)/_xlfn.XLOOKUP("EBITDA",Inputs!$B:$B,Inputs!P:P),"")</f>
        <v>-0.5517747139923731</v>
      </c>
      <c r="P45" s="330">
        <f>+IFERROR(_xlfn.XLOOKUP("Net Debt",Inputs!$B:$B,Inputs!Q:Q,,,-1)/_xlfn.XLOOKUP("EBITDA",Inputs!$B:$B,Inputs!Q:Q),"")</f>
        <v>-0.23673997412677877</v>
      </c>
      <c r="Q45" s="337">
        <f>IFERROR((_xlfn.XLOOKUP("Total Borrowings",DCF!$B:$B,DCF!G:G)+_xlfn.XLOOKUP("Total Leases",DCF!$B:$B,DCF!G:G)-_xlfn.XLOOKUP("Cash &amp; Cash Equivalents &amp; ST Investments",DCF!$B:$B,DCF!G:G))/_xlfn.XLOOKUP("EBITDA",DCF!$B:$B,DCF!H:H),"")</f>
        <v>-0.13946126667609013</v>
      </c>
      <c r="R45" s="337">
        <f>IFERROR((_xlfn.XLOOKUP("Total Borrowings",DCF!$B:$B,DCF!H:H)+_xlfn.XLOOKUP("Total Leases",DCF!$B:$B,DCF!H:H)-_xlfn.XLOOKUP("Cash &amp; Cash Equivalents &amp; ST Investments",DCF!$B:$B,DCF!H:H))/_xlfn.XLOOKUP("EBITDA",DCF!$B:$B,DCF!I:I),"")</f>
        <v>-1.3264146581367755</v>
      </c>
    </row>
    <row r="46" spans="2:18" ht="8.1" customHeight="1">
      <c r="B46" s="229"/>
      <c r="N46" s="231"/>
      <c r="O46" s="231"/>
      <c r="P46" s="333"/>
      <c r="Q46" s="338"/>
      <c r="R46" s="338"/>
    </row>
    <row r="47" spans="2:18" ht="15.6">
      <c r="B47" s="7" t="s">
        <v>583</v>
      </c>
      <c r="C47" s="56"/>
      <c r="D47" s="58"/>
      <c r="E47" s="58"/>
      <c r="F47" s="351">
        <v>2014</v>
      </c>
      <c r="G47" s="351">
        <f t="shared" ref="G47" si="39">+F47+1</f>
        <v>2015</v>
      </c>
      <c r="H47" s="351">
        <f t="shared" ref="H47" si="40">+G47+1</f>
        <v>2016</v>
      </c>
      <c r="I47" s="351">
        <f t="shared" ref="I47" si="41">+H47+1</f>
        <v>2017</v>
      </c>
      <c r="J47" s="351">
        <f t="shared" ref="J47" si="42">+I47+1</f>
        <v>2018</v>
      </c>
      <c r="K47" s="351">
        <f t="shared" ref="K47" si="43">+J47+1</f>
        <v>2019</v>
      </c>
      <c r="L47" s="351">
        <f t="shared" ref="L47" si="44">+K47+1</f>
        <v>2020</v>
      </c>
      <c r="M47" s="351">
        <f t="shared" ref="M47" si="45">+L47+1</f>
        <v>2021</v>
      </c>
      <c r="N47" s="351">
        <v>2022</v>
      </c>
      <c r="O47" s="351">
        <f t="shared" ref="O47" si="46">+N47+1</f>
        <v>2023</v>
      </c>
      <c r="P47" s="352">
        <f>+O47+1</f>
        <v>2024</v>
      </c>
      <c r="Q47" s="350">
        <f>+P47+1</f>
        <v>2025</v>
      </c>
      <c r="R47" s="350">
        <f>+Q47+1</f>
        <v>2026</v>
      </c>
    </row>
    <row r="48" spans="2:18" ht="3.95" customHeight="1">
      <c r="B48" s="228"/>
      <c r="C48" s="53"/>
      <c r="D48" s="59"/>
      <c r="E48" s="59"/>
      <c r="F48" s="59"/>
      <c r="G48" s="59"/>
      <c r="H48" s="59"/>
      <c r="I48" s="59"/>
      <c r="J48" s="59"/>
      <c r="K48" s="59"/>
      <c r="L48" s="59"/>
      <c r="M48" s="59"/>
      <c r="N48" s="202"/>
      <c r="O48" s="202"/>
      <c r="P48" s="332"/>
      <c r="Q48" s="202"/>
      <c r="R48" s="202"/>
    </row>
    <row r="49" spans="2:18" ht="15.6">
      <c r="B49" s="229" t="s">
        <v>79</v>
      </c>
      <c r="F49" s="16">
        <f>IFERROR(_xlfn.XLOOKUP("Operating Income (EBIT)",Inputs!$B:$B,Inputs!G:G)/_xlfn.XLOOKUP("Interest Expense",Inputs!$B:$B,Inputs!G:G),"N/A")</f>
        <v>2.9</v>
      </c>
      <c r="G49" s="16">
        <f>IFERROR(_xlfn.XLOOKUP("Operating Income (EBIT)",Inputs!$B:$B,Inputs!H:H)/_xlfn.XLOOKUP("Interest Expense",Inputs!$B:$B,Inputs!H:H),"N/A")</f>
        <v>9.984375</v>
      </c>
      <c r="H49" s="16">
        <f>IFERROR(_xlfn.XLOOKUP("Operating Income (EBIT)",Inputs!$B:$B,Inputs!I:I)/_xlfn.XLOOKUP("Interest Expense",Inputs!$B:$B,Inputs!I:I),"N/A")</f>
        <v>17.714285714285715</v>
      </c>
      <c r="I49" s="16">
        <f>IFERROR(_xlfn.XLOOKUP("Operating Income (EBIT)",Inputs!$B:$B,Inputs!J:J)/_xlfn.XLOOKUP("Interest Expense",Inputs!$B:$B,Inputs!J:J),"N/A")</f>
        <v>25.95945945945946</v>
      </c>
      <c r="J49" s="16">
        <f>IFERROR(_xlfn.XLOOKUP("Operating Income (EBIT)",Inputs!$B:$B,Inputs!K:K)/_xlfn.XLOOKUP("Interest Expense",Inputs!$B:$B,Inputs!K:K),"N/A")</f>
        <v>29.089887640449437</v>
      </c>
      <c r="K49" s="16">
        <f>IFERROR(_xlfn.XLOOKUP("Operating Income (EBIT)",Inputs!$B:$B,Inputs!L:L)/_xlfn.XLOOKUP("Interest Expense",Inputs!$B:$B,Inputs!L:L),"N/A")</f>
        <v>17.108280254777071</v>
      </c>
      <c r="L49" s="16">
        <f>IFERROR(_xlfn.XLOOKUP("Operating Income (EBIT)",Inputs!$B:$B,Inputs!M:M)/_xlfn.XLOOKUP("Interest Expense",Inputs!$B:$B,Inputs!M:M),"N/A")</f>
        <v>28.293103448275861</v>
      </c>
      <c r="M49" s="16">
        <f>IFERROR(_xlfn.XLOOKUP("Operating Income (EBIT)",Inputs!$B:$B,Inputs!N:N)/_xlfn.XLOOKUP("Interest Expense",Inputs!$B:$B,Inputs!N:N),"N/A")</f>
        <v>51.345132743362832</v>
      </c>
      <c r="N49" s="16">
        <f>IFERROR(_xlfn.XLOOKUP("Operating Income (EBIT)",Inputs!$B:$B,Inputs!O:O)/_xlfn.XLOOKUP("Interest Expense",Inputs!$B:$B,Inputs!O:O),"N/A")</f>
        <v>54.446428571428569</v>
      </c>
      <c r="O49" s="16">
        <f>IFERROR(_xlfn.XLOOKUP("Operating Income (EBIT)",Inputs!$B:$B,Inputs!P:P)/_xlfn.XLOOKUP("Interest Expense",Inputs!$B:$B,Inputs!P:P),"N/A")</f>
        <v>52.619469026548671</v>
      </c>
      <c r="P49" s="330">
        <f>IFERROR(_xlfn.XLOOKUP("Operating Income (EBIT)",Inputs!$B:$B,Inputs!Q:Q)/_xlfn.XLOOKUP("Interest Expense",Inputs!$B:$B,Inputs!Q:Q),"N/A")</f>
        <v>40.668639053254438</v>
      </c>
      <c r="Q49" s="337" t="str">
        <f>IFERROR(_xlfn.XLOOKUP("EBIT",DCF!$B:$B,DCF!H:H)/_xlfn.XLOOKUP("Interest Expense",DCF!$B:$B,DCF!H:H),"N/A")</f>
        <v>N/A</v>
      </c>
      <c r="R49" s="337" t="str">
        <f>IFERROR(_xlfn.XLOOKUP("EBIT",DCF!$B:$B,DCF!I:I)/_xlfn.XLOOKUP("Interest Expense",DCF!$B:$B,DCF!I:I),"N/A")</f>
        <v>N/A</v>
      </c>
    </row>
    <row r="50" spans="2:18" ht="15.6">
      <c r="B50" s="18" t="s">
        <v>80</v>
      </c>
      <c r="F50" s="16">
        <f>IFERROR(_xlfn.XLOOKUP("EBITDA",Inputs!$B:$B,Inputs!G:G)/_xlfn.XLOOKUP("Interest Expense",Inputs!$B:$B,Inputs!G:G),"N/A")</f>
        <v>8.1</v>
      </c>
      <c r="G50" s="16">
        <f>IFERROR(_xlfn.XLOOKUP("EBITDA",Inputs!$B:$B,Inputs!H:H)/_xlfn.XLOOKUP("Interest Expense",Inputs!$B:$B,Inputs!H:H),"N/A")</f>
        <v>15.21875</v>
      </c>
      <c r="H50" s="16">
        <f>IFERROR(_xlfn.XLOOKUP("EBITDA",Inputs!$B:$B,Inputs!I:I)/_xlfn.XLOOKUP("Interest Expense",Inputs!$B:$B,Inputs!I:I),"N/A")</f>
        <v>22.457142857142856</v>
      </c>
      <c r="I50" s="16">
        <f>IFERROR(_xlfn.XLOOKUP("EBITDA",Inputs!$B:$B,Inputs!J:J)/_xlfn.XLOOKUP("Interest Expense",Inputs!$B:$B,Inputs!J:J),"N/A")</f>
        <v>30.351351351351351</v>
      </c>
      <c r="J50" s="16">
        <f>IFERROR(_xlfn.XLOOKUP("EBITDA",Inputs!$B:$B,Inputs!K:K)/_xlfn.XLOOKUP("Interest Expense",Inputs!$B:$B,Inputs!K:K),"N/A")</f>
        <v>32.977528089887642</v>
      </c>
      <c r="K50" s="16">
        <f>IFERROR(_xlfn.XLOOKUP("EBITDA",Inputs!$B:$B,Inputs!L:L)/_xlfn.XLOOKUP("Interest Expense",Inputs!$B:$B,Inputs!L:L),"N/A")</f>
        <v>21.929936305732483</v>
      </c>
      <c r="L50" s="16">
        <f>IFERROR(_xlfn.XLOOKUP("EBITDA",Inputs!$B:$B,Inputs!M:M)/_xlfn.XLOOKUP("Interest Expense",Inputs!$B:$B,Inputs!M:M),"N/A")</f>
        <v>34.818965517241381</v>
      </c>
      <c r="M50" s="16">
        <f>IFERROR(_xlfn.XLOOKUP("EBITDA",Inputs!$B:$B,Inputs!N:N)/_xlfn.XLOOKUP("Interest Expense",Inputs!$B:$B,Inputs!N:N),"N/A")</f>
        <v>52.86725663716814</v>
      </c>
      <c r="N50" s="16">
        <f>IFERROR(_xlfn.XLOOKUP("EBITDA",Inputs!$B:$B,Inputs!O:O)/_xlfn.XLOOKUP("Interest Expense",Inputs!$B:$B,Inputs!O:O),"N/A")</f>
        <v>55.232142857142854</v>
      </c>
      <c r="O50" s="16">
        <f>IFERROR(_xlfn.XLOOKUP("EBITDA",Inputs!$B:$B,Inputs!P:P)/_xlfn.XLOOKUP("Interest Expense",Inputs!$B:$B,Inputs!P:P),"N/A")</f>
        <v>60.336283185840706</v>
      </c>
      <c r="P50" s="330">
        <f>IFERROR(_xlfn.XLOOKUP("EBITDA",Inputs!$B:$B,Inputs!Q:Q)/_xlfn.XLOOKUP("Interest Expense",Inputs!$B:$B,Inputs!Q:Q),"N/A")</f>
        <v>45.739644970414204</v>
      </c>
      <c r="Q50" s="337" t="str">
        <f>IFERROR(_xlfn.XLOOKUP("EBITDA",DCF!$B:$B,DCF!H:H)/_xlfn.XLOOKUP("Interest Expense",DCF!$B:$B,DCF!H:H),"N/A")</f>
        <v>N/A</v>
      </c>
      <c r="R50" s="337" t="str">
        <f>IFERROR(_xlfn.XLOOKUP("EBITDA",DCF!$B:$B,DCF!I:I)/_xlfn.XLOOKUP("Interest Expense",DCF!$B:$B,DCF!I:I),"N/A")</f>
        <v>N/A</v>
      </c>
    </row>
    <row r="51" spans="2:18" ht="15.6">
      <c r="B51" s="18" t="s">
        <v>81</v>
      </c>
      <c r="F51" s="16">
        <f>IFERROR((_xlfn.XLOOKUP("EBITDA",Inputs!$B:$B,Inputs!G:G)-_xlfn.XLOOKUP("Net Capex",Inputs!$B:$B,Inputs!G:G))/_xlfn.XLOOKUP("Interest Expense",Inputs!$B:$B,Inputs!G:G),"N/A")</f>
        <v>10.566666666666666</v>
      </c>
      <c r="G51" s="16">
        <f>IFERROR((_xlfn.XLOOKUP("EBITDA",Inputs!$B:$B,Inputs!H:H)-_xlfn.XLOOKUP("Net Capex",Inputs!$B:$B,Inputs!H:H))/_xlfn.XLOOKUP("Interest Expense",Inputs!$B:$B,Inputs!H:H),"N/A")</f>
        <v>18.09375</v>
      </c>
      <c r="H51" s="16">
        <f>IFERROR((_xlfn.XLOOKUP("EBITDA",Inputs!$B:$B,Inputs!I:I)-_xlfn.XLOOKUP("Net Capex",Inputs!$B:$B,Inputs!I:I))/_xlfn.XLOOKUP("Interest Expense",Inputs!$B:$B,Inputs!I:I),"N/A")</f>
        <v>25</v>
      </c>
      <c r="I51" s="16">
        <f>IFERROR((_xlfn.XLOOKUP("EBITDA",Inputs!$B:$B,Inputs!J:J)-_xlfn.XLOOKUP("Net Capex",Inputs!$B:$B,Inputs!J:J))/_xlfn.XLOOKUP("Interest Expense",Inputs!$B:$B,Inputs!J:J),"N/A")</f>
        <v>33.945945945945944</v>
      </c>
      <c r="J51" s="16">
        <f>IFERROR((_xlfn.XLOOKUP("EBITDA",Inputs!$B:$B,Inputs!K:K)-_xlfn.XLOOKUP("Net Capex",Inputs!$B:$B,Inputs!K:K))/_xlfn.XLOOKUP("Interest Expense",Inputs!$B:$B,Inputs!K:K),"N/A")</f>
        <v>37.40449438202247</v>
      </c>
      <c r="K51" s="16">
        <f>IFERROR((_xlfn.XLOOKUP("EBITDA",Inputs!$B:$B,Inputs!L:L)-_xlfn.XLOOKUP("Net Capex",Inputs!$B:$B,Inputs!L:L))/_xlfn.XLOOKUP("Interest Expense",Inputs!$B:$B,Inputs!L:L),"N/A")</f>
        <v>24.445859872611464</v>
      </c>
      <c r="L51" s="16">
        <f>IFERROR((_xlfn.XLOOKUP("EBITDA",Inputs!$B:$B,Inputs!M:M)-_xlfn.XLOOKUP("Net Capex",Inputs!$B:$B,Inputs!M:M))/_xlfn.XLOOKUP("Interest Expense",Inputs!$B:$B,Inputs!M:M),"N/A")</f>
        <v>38.431034482758619</v>
      </c>
      <c r="M51" s="16">
        <f>IFERROR((_xlfn.XLOOKUP("EBITDA",Inputs!$B:$B,Inputs!N:N)-_xlfn.XLOOKUP("Net Capex",Inputs!$B:$B,Inputs!N:N))/_xlfn.XLOOKUP("Interest Expense",Inputs!$B:$B,Inputs!N:N),"N/A")</f>
        <v>55.946902654867259</v>
      </c>
      <c r="N51" s="16">
        <f>IFERROR((_xlfn.XLOOKUP("EBITDA",Inputs!$B:$B,Inputs!O:O)-_xlfn.XLOOKUP("Net Capex",Inputs!$B:$B,Inputs!O:O))/_xlfn.XLOOKUP("Interest Expense",Inputs!$B:$B,Inputs!O:O),"N/A")</f>
        <v>59.178571428571431</v>
      </c>
      <c r="O51" s="16">
        <f>IFERROR((_xlfn.XLOOKUP("EBITDA",Inputs!$B:$B,Inputs!P:P)-_xlfn.XLOOKUP("Net Capex",Inputs!$B:$B,Inputs!P:P))/_xlfn.XLOOKUP("Interest Expense",Inputs!$B:$B,Inputs!P:P),"N/A")</f>
        <v>63.522123893805308</v>
      </c>
      <c r="P51" s="330">
        <f>IFERROR((_xlfn.XLOOKUP("EBITDA",Inputs!$B:$B,Inputs!Q:Q)-_xlfn.XLOOKUP("Net Capex",Inputs!$B:$B,Inputs!Q:Q))/_xlfn.XLOOKUP("Interest Expense",Inputs!$B:$B,Inputs!Q:Q),"N/A")</f>
        <v>46.822485207100591</v>
      </c>
      <c r="Q51" s="337" t="str">
        <f>IFERROR((_xlfn.XLOOKUP("EBITDA",DCF!$B:$B,DCF!H:H)-_xlfn.XLOOKUP("Net Capex",DCF!$B:$B,DCF!H:H))/_xlfn.XLOOKUP("Interest Expense",DCF!$B:$B,DCF!H:H),"N/A")</f>
        <v>N/A</v>
      </c>
      <c r="R51" s="337" t="str">
        <f>IFERROR((_xlfn.XLOOKUP("EBITDA",DCF!$B:$B,DCF!I:I)-_xlfn.XLOOKUP("Net Capex",DCF!$B:$B,DCF!I:I))/_xlfn.XLOOKUP("Interest Expense",DCF!$B:$B,DCF!I:I),"N/A")</f>
        <v>N/A</v>
      </c>
    </row>
    <row r="52" spans="2:18">
      <c r="P52" s="331"/>
      <c r="Q52" s="342"/>
      <c r="R52" s="342"/>
    </row>
    <row r="53" spans="2:18" ht="15.6">
      <c r="B53" s="7" t="s">
        <v>53</v>
      </c>
      <c r="C53" s="56"/>
      <c r="D53" s="58"/>
      <c r="E53" s="58"/>
      <c r="F53" s="351">
        <v>2014</v>
      </c>
      <c r="G53" s="351">
        <f t="shared" ref="G53" si="47">+F53+1</f>
        <v>2015</v>
      </c>
      <c r="H53" s="351">
        <f t="shared" ref="H53" si="48">+G53+1</f>
        <v>2016</v>
      </c>
      <c r="I53" s="351">
        <f t="shared" ref="I53" si="49">+H53+1</f>
        <v>2017</v>
      </c>
      <c r="J53" s="351">
        <f t="shared" ref="J53" si="50">+I53+1</f>
        <v>2018</v>
      </c>
      <c r="K53" s="351">
        <f t="shared" ref="K53" si="51">+J53+1</f>
        <v>2019</v>
      </c>
      <c r="L53" s="351">
        <f t="shared" ref="L53" si="52">+K53+1</f>
        <v>2020</v>
      </c>
      <c r="M53" s="351">
        <f t="shared" ref="M53" si="53">+L53+1</f>
        <v>2021</v>
      </c>
      <c r="N53" s="351">
        <v>2022</v>
      </c>
      <c r="O53" s="351">
        <f t="shared" ref="O53" si="54">+N53+1</f>
        <v>2023</v>
      </c>
      <c r="P53" s="352">
        <f>+O53+1</f>
        <v>2024</v>
      </c>
      <c r="Q53" s="350">
        <f>+P53+1</f>
        <v>2025</v>
      </c>
      <c r="R53" s="350">
        <f>+Q53+1</f>
        <v>2026</v>
      </c>
    </row>
    <row r="54" spans="2:18" ht="3.75" customHeight="1">
      <c r="B54" s="228"/>
      <c r="C54" s="53"/>
      <c r="D54" s="59"/>
      <c r="E54" s="59"/>
      <c r="F54" s="59"/>
      <c r="G54" s="59"/>
      <c r="H54" s="59"/>
      <c r="I54" s="59"/>
      <c r="J54" s="59"/>
      <c r="K54" s="59"/>
      <c r="L54" s="59"/>
      <c r="M54" s="59"/>
      <c r="N54" s="202"/>
      <c r="O54" s="202"/>
      <c r="P54" s="332"/>
      <c r="Q54" s="202"/>
      <c r="R54" s="202"/>
    </row>
    <row r="55" spans="2:18" ht="15.6">
      <c r="B55" s="18" t="s">
        <v>252</v>
      </c>
      <c r="F55" s="347">
        <f>+IFERROR(_xlfn.XLOOKUP("Operating Cash Flow",Inputs!$B:$B,Inputs!G:G,,,-1)/_xlfn.XLOOKUP("Revenue (Sales)",Inputs!$B:$B,Inputs!G:G),"")</f>
        <v>0.31034482758620691</v>
      </c>
      <c r="G55" s="347">
        <f>+IFERROR(_xlfn.XLOOKUP("Operating Cash Flow",Inputs!$B:$B,Inputs!H:H,,,-1)/_xlfn.XLOOKUP("Revenue (Sales)",Inputs!$B:$B,Inputs!H:H),"")</f>
        <v>0.30636079249217935</v>
      </c>
      <c r="H55" s="347">
        <f>+IFERROR(_xlfn.XLOOKUP("Operating Cash Flow",Inputs!$B:$B,Inputs!I:I,,,-1)/_xlfn.XLOOKUP("Revenue (Sales)",Inputs!$B:$B,Inputs!I:I),"")</f>
        <v>0.37564058763238811</v>
      </c>
      <c r="I55" s="347">
        <f>+IFERROR(_xlfn.XLOOKUP("Operating Cash Flow",Inputs!$B:$B,Inputs!J:J,,,-1)/_xlfn.XLOOKUP("Revenue (Sales)",Inputs!$B:$B,Inputs!J:J),"")</f>
        <v>0.39884947267497606</v>
      </c>
      <c r="J55" s="347">
        <f>+IFERROR(_xlfn.XLOOKUP("Operating Cash Flow",Inputs!$B:$B,Inputs!K:K,,,-1)/_xlfn.XLOOKUP("Revenue (Sales)",Inputs!$B:$B,Inputs!K:K),"")</f>
        <v>0.44617940199335548</v>
      </c>
      <c r="K55" s="347">
        <f>+IFERROR(_xlfn.XLOOKUP("Operating Cash Flow",Inputs!$B:$B,Inputs!L:L,,,-1)/_xlfn.XLOOKUP("Revenue (Sales)",Inputs!$B:$B,Inputs!L:L),"")</f>
        <v>0.39584638796884791</v>
      </c>
      <c r="L55" s="347">
        <f>+IFERROR(_xlfn.XLOOKUP("Operating Cash Flow",Inputs!$B:$B,Inputs!M:M,,,-1)/_xlfn.XLOOKUP("Revenue (Sales)",Inputs!$B:$B,Inputs!M:M),"")</f>
        <v>0.44505750699409385</v>
      </c>
      <c r="M55" s="347">
        <f>+IFERROR(_xlfn.XLOOKUP("Operating Cash Flow",Inputs!$B:$B,Inputs!N:N,,,-1)/_xlfn.XLOOKUP("Revenue (Sales)",Inputs!$B:$B,Inputs!N:N),"")</f>
        <v>0.45802977510294585</v>
      </c>
      <c r="N55" s="347">
        <f>+IFERROR(_xlfn.XLOOKUP("Operating Cash Flow",Inputs!$B:$B,Inputs!O:O,,,-1)/_xlfn.XLOOKUP("Revenue (Sales)",Inputs!$B:$B,Inputs!O:O),"")</f>
        <v>0.44518914006588661</v>
      </c>
      <c r="O55" s="347">
        <f>+IFERROR(_xlfn.XLOOKUP("Operating Cash Flow",Inputs!$B:$B,Inputs!P:P,,,-1)/_xlfn.XLOOKUP("Revenue (Sales)",Inputs!$B:$B,Inputs!P:P),"")</f>
        <v>0.37621721881601317</v>
      </c>
      <c r="P55" s="348">
        <f>+IFERROR(_xlfn.XLOOKUP("Operating Cash Flow",Inputs!$B:$B,Inputs!Q:Q,,,-1)/_xlfn.XLOOKUP("Revenue (Sales)",Inputs!$B:$B,Inputs!Q:Q),"")</f>
        <v>0.37461055568472446</v>
      </c>
      <c r="Q55" s="349">
        <f>IFERROR(_xlfn.XLOOKUP("Operating Cash Flow",DCF!$B:$B,DCF!H:H)/_xlfn.XLOOKUP("Revenue (Sales)",DCF!$B:$B,DCF!H:H),"")</f>
        <v>0.7922435706255615</v>
      </c>
      <c r="R55" s="349">
        <f>IFERROR(_xlfn.XLOOKUP("Operating Cash Flow",DCF!$B:$B,DCF!I:I)/_xlfn.XLOOKUP("Revenue (Sales)",DCF!$B:$B,DCF!I:I),"")</f>
        <v>0.61079488042094299</v>
      </c>
    </row>
    <row r="56" spans="2:18" ht="15.6">
      <c r="B56" s="18" t="s">
        <v>253</v>
      </c>
      <c r="F56" s="347">
        <f>IFERROR(_xlfn.XLOOKUP("Net Changes in Cash",Inputs!$B:$B,Inputs!G:G,,,-1)/_xlfn.XLOOKUP("Net Income",Inputs!$B:$B,Inputs!G:G),"")</f>
        <v>1.0522388059701493</v>
      </c>
      <c r="G56" s="347">
        <f>IFERROR(_xlfn.XLOOKUP("Net Changes in Cash",Inputs!$B:$B,Inputs!H:H,,,-1)/_xlfn.XLOOKUP("Net Income",Inputs!$B:$B,Inputs!H:H),"")</f>
        <v>-0.38095238095238093</v>
      </c>
      <c r="H56" s="347">
        <f>IFERROR(_xlfn.XLOOKUP("Net Changes in Cash",Inputs!$B:$B,Inputs!I:I,,,-1)/_xlfn.XLOOKUP("Net Income",Inputs!$B:$B,Inputs!I:I),"")</f>
        <v>0.1146278870829769</v>
      </c>
      <c r="I56" s="347">
        <f>IFERROR(_xlfn.XLOOKUP("Net Changes in Cash",Inputs!$B:$B,Inputs!J:J,,,-1)/_xlfn.XLOOKUP("Net Income",Inputs!$B:$B,Inputs!J:J),"")</f>
        <v>0.76328217237308149</v>
      </c>
      <c r="J56" s="347">
        <f>IFERROR(_xlfn.XLOOKUP("Net Changes in Cash",Inputs!$B:$B,Inputs!K:K,,,-1)/_xlfn.XLOOKUP("Net Income",Inputs!$B:$B,Inputs!K:K),"")</f>
        <v>-0.25598455598455599</v>
      </c>
      <c r="K56" s="347">
        <f>IFERROR(_xlfn.XLOOKUP("Net Changes in Cash",Inputs!$B:$B,Inputs!L:L,,,-1)/_xlfn.XLOOKUP("Net Income",Inputs!$B:$B,Inputs!L:L),"")</f>
        <v>0.34124025753981702</v>
      </c>
      <c r="L56" s="347">
        <f>IFERROR(_xlfn.XLOOKUP("Net Changes in Cash",Inputs!$B:$B,Inputs!M:M,,,-1)/_xlfn.XLOOKUP("Net Income",Inputs!$B:$B,Inputs!M:M),"")</f>
        <v>0.34619771863117871</v>
      </c>
      <c r="M56" s="347">
        <f>IFERROR(_xlfn.XLOOKUP("Net Changes in Cash",Inputs!$B:$B,Inputs!N:N,,,-1)/_xlfn.XLOOKUP("Net Income",Inputs!$B:$B,Inputs!N:N),"")</f>
        <v>-0.13645790128577354</v>
      </c>
      <c r="N56" s="347">
        <f>IFERROR(_xlfn.XLOOKUP("Net Changes in Cash",Inputs!$B:$B,Inputs!O:O,,,-1)/_xlfn.XLOOKUP("Net Income",Inputs!$B:$B,Inputs!O:O),"")</f>
        <v>8.2422203532380153E-2</v>
      </c>
      <c r="O56" s="347">
        <f>IFERROR(_xlfn.XLOOKUP("Net Changes in Cash",Inputs!$B:$B,Inputs!P:P,,,-1)/_xlfn.XLOOKUP("Net Income",Inputs!$B:$B,Inputs!P:P),"")</f>
        <v>0.53518791451731762</v>
      </c>
      <c r="P56" s="348">
        <f>IFERROR(_xlfn.XLOOKUP("Net Changes in Cash",Inputs!$B:$B,Inputs!Q:Q,,,-1)/_xlfn.XLOOKUP("Net Income",Inputs!$B:$B,Inputs!Q:Q),"")</f>
        <v>8.4892086330935257E-2</v>
      </c>
      <c r="Q56" s="349">
        <f>IFERROR(_xlfn.XLOOKUP("Net Changes in Cash",DCF!$B:$B,DCF!H:H)/_xlfn.XLOOKUP("Net Income",DCF!$B:$B,DCF!H:H),"")</f>
        <v>1.38212744859484</v>
      </c>
      <c r="R56" s="349">
        <f>IFERROR(_xlfn.XLOOKUP("Net Changes in Cash",DCF!$B:$B,DCF!I:I)/_xlfn.XLOOKUP("Net Income",DCF!$B:$B,DCF!I:I),"")</f>
        <v>1.066273995400616</v>
      </c>
    </row>
    <row r="57" spans="2:18" ht="15.6">
      <c r="B57" s="18" t="s">
        <v>254</v>
      </c>
      <c r="F57" s="347">
        <f>IFERROR(_xlfn.XLOOKUP("Operating Cash Flow",Inputs!$B:$B,Inputs!G:G,,,-1)/_xlfn.XLOOKUP("Net Income",Inputs!$B:$B,Inputs!G:G),"")</f>
        <v>4.8022388059701493</v>
      </c>
      <c r="G57" s="347">
        <f>IFERROR(_xlfn.XLOOKUP("Operating Cash Flow",Inputs!$B:$B,Inputs!H:H,,,-1)/_xlfn.XLOOKUP("Net Income",Inputs!$B:$B,Inputs!H:H),"")</f>
        <v>2.3317460317460319</v>
      </c>
      <c r="H57" s="347">
        <f>IFERROR(_xlfn.XLOOKUP("Operating Cash Flow",Inputs!$B:$B,Inputs!I:I,,,-1)/_xlfn.XLOOKUP("Net Income",Inputs!$B:$B,Inputs!I:I),"")</f>
        <v>1.8810949529512404</v>
      </c>
      <c r="I57" s="347">
        <f>IFERROR(_xlfn.XLOOKUP("Operating Cash Flow",Inputs!$B:$B,Inputs!J:J,,,-1)/_xlfn.XLOOKUP("Net Income",Inputs!$B:$B,Inputs!J:J),"")</f>
        <v>1.71900826446281</v>
      </c>
      <c r="J57" s="347">
        <f>IFERROR(_xlfn.XLOOKUP("Operating Cash Flow",Inputs!$B:$B,Inputs!K:K,,,-1)/_xlfn.XLOOKUP("Net Income",Inputs!$B:$B,Inputs!K:K),"")</f>
        <v>1.5555984555984557</v>
      </c>
      <c r="K57" s="347">
        <f>IFERROR(_xlfn.XLOOKUP("Operating Cash Flow",Inputs!$B:$B,Inputs!L:L,,,-1)/_xlfn.XLOOKUP("Net Income",Inputs!$B:$B,Inputs!L:L),"")</f>
        <v>1.4984750931887496</v>
      </c>
      <c r="L57" s="347">
        <f>IFERROR(_xlfn.XLOOKUP("Operating Cash Flow",Inputs!$B:$B,Inputs!M:M,,,-1)/_xlfn.XLOOKUP("Net Income",Inputs!$B:$B,Inputs!M:M),"")</f>
        <v>1.0887832699619773</v>
      </c>
      <c r="M57" s="347">
        <f>IFERROR(_xlfn.XLOOKUP("Operating Cash Flow",Inputs!$B:$B,Inputs!N:N,,,-1)/_xlfn.XLOOKUP("Net Income",Inputs!$B:$B,Inputs!N:N),"")</f>
        <v>1.4993778515138947</v>
      </c>
      <c r="N57" s="347">
        <f>IFERROR(_xlfn.XLOOKUP("Operating Cash Flow",Inputs!$B:$B,Inputs!O:O,,,-1)/_xlfn.XLOOKUP("Net Income",Inputs!$B:$B,Inputs!O:O),"")</f>
        <v>1.6480235492010094</v>
      </c>
      <c r="O57" s="347">
        <f>IFERROR(_xlfn.XLOOKUP("Operating Cash Flow",Inputs!$B:$B,Inputs!P:P,,,-1)/_xlfn.XLOOKUP("Net Income",Inputs!$B:$B,Inputs!P:P),"")</f>
        <v>1.3452468680913781</v>
      </c>
      <c r="P57" s="348">
        <f>IFERROR(_xlfn.XLOOKUP("Operating Cash Flow",Inputs!$B:$B,Inputs!Q:Q,,,-1)/_xlfn.XLOOKUP("Net Income",Inputs!$B:$B,Inputs!Q:Q),"")</f>
        <v>1.4489208633093524</v>
      </c>
      <c r="Q57" s="349">
        <f>IFERROR(_xlfn.XLOOKUP("Operating Cash Flow",DCF!$B:$B,DCF!H:H)/_xlfn.XLOOKUP("Net Income",DCF!$B:$B,DCF!H:H),"")</f>
        <v>1.4730739245389477</v>
      </c>
      <c r="R57" s="349">
        <f>IFERROR(_xlfn.XLOOKUP("Operating Cash Flow",DCF!$B:$B,DCF!I:I)/_xlfn.XLOOKUP("Net Income",DCF!$B:$B,DCF!I:I),"")</f>
        <v>1.1446567086734931</v>
      </c>
    </row>
    <row r="58" spans="2:18" ht="15.6">
      <c r="B58" s="18" t="s">
        <v>255</v>
      </c>
      <c r="F58" s="347">
        <f>IFERROR(_xlfn.XLOOKUP("Net Capex",Inputs!$B:$B,Inputs!G:G,,,-1)/_xlfn.XLOOKUP("Operating Cash Flow",Inputs!$B:$B,Inputs!G:G),"")</f>
        <v>-0.11499611499611499</v>
      </c>
      <c r="G58" s="347">
        <f>IFERROR(_xlfn.XLOOKUP("Net Capex",Inputs!$B:$B,Inputs!H:H,,,-1)/_xlfn.XLOOKUP("Operating Cash Flow",Inputs!$B:$B,Inputs!H:H),"")</f>
        <v>-0.12525527569775358</v>
      </c>
      <c r="H58" s="347">
        <f>IFERROR(_xlfn.XLOOKUP("Net Capex",Inputs!$B:$B,Inputs!I:I,,,-1)/_xlfn.XLOOKUP("Operating Cash Flow",Inputs!$B:$B,Inputs!I:I),"")</f>
        <v>-8.0945884492951342E-2</v>
      </c>
      <c r="I58" s="347">
        <f>IFERROR(_xlfn.XLOOKUP("Net Capex",Inputs!$B:$B,Inputs!J:J,,,-1)/_xlfn.XLOOKUP("Operating Cash Flow",Inputs!$B:$B,Inputs!J:J),"")</f>
        <v>-9.1346153846153841E-2</v>
      </c>
      <c r="J58" s="347">
        <f>IFERROR(_xlfn.XLOOKUP("Net Capex",Inputs!$B:$B,Inputs!K:K,,,-1)/_xlfn.XLOOKUP("Operating Cash Flow",Inputs!$B:$B,Inputs!K:K),"")</f>
        <v>-9.7791015140233306E-2</v>
      </c>
      <c r="K58" s="347">
        <f>IFERROR(_xlfn.XLOOKUP("Net Capex",Inputs!$B:$B,Inputs!L:L,,,-1)/_xlfn.XLOOKUP("Operating Cash Flow",Inputs!$B:$B,Inputs!L:L),"")</f>
        <v>-8.9326096788783352E-2</v>
      </c>
      <c r="L58" s="347">
        <f>IFERROR(_xlfn.XLOOKUP("Net Capex",Inputs!$B:$B,Inputs!M:M,,,-1)/_xlfn.XLOOKUP("Operating Cash Flow",Inputs!$B:$B,Inputs!M:M),"")</f>
        <v>-7.3162214073686047E-2</v>
      </c>
      <c r="M58" s="347">
        <f>IFERROR(_xlfn.XLOOKUP("Net Capex",Inputs!$B:$B,Inputs!N:N,,,-1)/_xlfn.XLOOKUP("Operating Cash Flow",Inputs!$B:$B,Inputs!N:N),"")</f>
        <v>-4.8132780082987554E-2</v>
      </c>
      <c r="N58" s="347">
        <f>IFERROR(_xlfn.XLOOKUP("Net Capex",Inputs!$B:$B,Inputs!O:O,,,-1)/_xlfn.XLOOKUP("Operating Cash Flow",Inputs!$B:$B,Inputs!O:O),"")</f>
        <v>-5.6391936718550653E-2</v>
      </c>
      <c r="O58" s="347">
        <f>IFERROR(_xlfn.XLOOKUP("Net Capex",Inputs!$B:$B,Inputs!P:P,,,-1)/_xlfn.XLOOKUP("Operating Cash Flow",Inputs!$B:$B,Inputs!P:P),"")</f>
        <v>-4.9301561216105176E-2</v>
      </c>
      <c r="P58" s="348">
        <f>IFERROR(_xlfn.XLOOKUP("Net Capex",Inputs!$B:$B,Inputs!Q:Q,,,-1)/_xlfn.XLOOKUP("Operating Cash Flow",Inputs!$B:$B,Inputs!Q:Q),"")</f>
        <v>-2.2715988083416086E-2</v>
      </c>
      <c r="Q58" s="349">
        <f>IFERROR(_xlfn.XLOOKUP("Net Capex",DCF!$B:$B,DCF!H:H)/_xlfn.XLOOKUP("Operating Cash Flow",DCF!$B:$B,DCF!H:H),"")</f>
        <v>-6.8175602706561936E-2</v>
      </c>
      <c r="R58" s="349">
        <f>IFERROR(_xlfn.XLOOKUP("Net Capex",DCF!$B:$B,DCF!I:I)/_xlfn.XLOOKUP("Operating Cash Flow",DCF!$B:$B,DCF!I:I),"")</f>
        <v>-8.8710800310318083E-2</v>
      </c>
    </row>
    <row r="59" spans="2:18" ht="15.6">
      <c r="B59" s="18" t="s">
        <v>256</v>
      </c>
      <c r="F59" s="347">
        <f>IFERROR(_xlfn.XLOOKUP("Investing Cash Flow",Inputs!$B:$B,Inputs!G:G,,,-1)/_xlfn.XLOOKUP("Operating Cash Flow",Inputs!$B:$B,Inputs!G:G),"")</f>
        <v>-0.38073038073038074</v>
      </c>
      <c r="G59" s="347">
        <f>IFERROR(_xlfn.XLOOKUP("Investing Cash Flow",Inputs!$B:$B,Inputs!H:H,,,-1)/_xlfn.XLOOKUP("Operating Cash Flow",Inputs!$B:$B,Inputs!H:H),"")</f>
        <v>-1.0129339686861811</v>
      </c>
      <c r="H59" s="347">
        <f>IFERROR(_xlfn.XLOOKUP("Investing Cash Flow",Inputs!$B:$B,Inputs!I:I,,,-1)/_xlfn.XLOOKUP("Operating Cash Flow",Inputs!$B:$B,Inputs!I:I),"")</f>
        <v>-0.43656207366984995</v>
      </c>
      <c r="I59" s="347">
        <f>IFERROR(_xlfn.XLOOKUP("Investing Cash Flow",Inputs!$B:$B,Inputs!J:J,,,-1)/_xlfn.XLOOKUP("Operating Cash Flow",Inputs!$B:$B,Inputs!J:J),"")</f>
        <v>-0.15212912087912087</v>
      </c>
      <c r="J59" s="347">
        <f>IFERROR(_xlfn.XLOOKUP("Investing Cash Flow",Inputs!$B:$B,Inputs!K:K,,,-1)/_xlfn.XLOOKUP("Operating Cash Flow",Inputs!$B:$B,Inputs!K:K),"")</f>
        <v>-1.1628195582030281</v>
      </c>
      <c r="K59" s="347">
        <f>IFERROR(_xlfn.XLOOKUP("Investing Cash Flow",Inputs!$B:$B,Inputs!L:L,,,-1)/_xlfn.XLOOKUP("Operating Cash Flow",Inputs!$B:$B,Inputs!L:L),"")</f>
        <v>-0.10312075983717775</v>
      </c>
      <c r="L59" s="347">
        <f>IFERROR(_xlfn.XLOOKUP("Investing Cash Flow",Inputs!$B:$B,Inputs!M:M,,,-1)/_xlfn.XLOOKUP("Operating Cash Flow",Inputs!$B:$B,Inputs!M:M),"")</f>
        <v>-7.2289156626506021E-2</v>
      </c>
      <c r="M59" s="347">
        <f>IFERROR(_xlfn.XLOOKUP("Investing Cash Flow",Inputs!$B:$B,Inputs!N:N,,,-1)/_xlfn.XLOOKUP("Operating Cash Flow",Inputs!$B:$B,Inputs!N:N),"")</f>
        <v>-0.48921161825726139</v>
      </c>
      <c r="N59" s="347">
        <f>IFERROR(_xlfn.XLOOKUP("Investing Cash Flow",Inputs!$B:$B,Inputs!O:O,,,-1)/_xlfn.XLOOKUP("Operating Cash Flow",Inputs!$B:$B,Inputs!O:O),"")</f>
        <v>-7.2722633324827757E-2</v>
      </c>
      <c r="O59" s="347">
        <f>IFERROR(_xlfn.XLOOKUP("Investing Cash Flow",Inputs!$B:$B,Inputs!P:P,,,-1)/_xlfn.XLOOKUP("Operating Cash Flow",Inputs!$B:$B,Inputs!P:P),"")</f>
        <v>0.10627225417693782</v>
      </c>
      <c r="P59" s="348">
        <f>IFERROR(_xlfn.XLOOKUP("Investing Cash Flow",Inputs!$B:$B,Inputs!Q:Q,,,-1)/_xlfn.XLOOKUP("Operating Cash Flow",Inputs!$B:$B,Inputs!Q:Q),"")</f>
        <v>1.8495531281032769E-2</v>
      </c>
      <c r="Q59" s="349">
        <f>IFERROR(_xlfn.XLOOKUP("Investing Cash Flow",DCF!$B:$B,DCF!H:H)/_xlfn.XLOOKUP("Operating Cash Flow",DCF!$B:$B,DCF!H:H),"")</f>
        <v>-3.5443303233666762E-2</v>
      </c>
      <c r="R59" s="349">
        <f>IFERROR(_xlfn.XLOOKUP("Investing Cash Flow",DCF!$B:$B,DCF!I:I)/_xlfn.XLOOKUP("Operating Cash Flow",DCF!$B:$B,DCF!I:I),"")</f>
        <v>-3.5908108867005427E-2</v>
      </c>
    </row>
    <row r="60" spans="2:18" ht="15.6">
      <c r="B60" s="18" t="s">
        <v>257</v>
      </c>
      <c r="F60" s="347">
        <f>IFERROR((_xlfn.XLOOKUP("Debt Borrowing",Inputs!$B:$B,Inputs!G:G,,,-1)-_xlfn.XLOOKUP("Debt Repayment",Inputs!$B:$B,Inputs!G:G))/_xlfn.XLOOKUP("Operating Cash Flow",Inputs!$B:$B,Inputs!G:G),"")</f>
        <v>1.0878010878010878E-2</v>
      </c>
      <c r="G60" s="347">
        <f>IFERROR((_xlfn.XLOOKUP("Debt Borrowing",Inputs!$B:$B,Inputs!H:H,,,-1)-_xlfn.XLOOKUP("Debt Repayment",Inputs!$B:$B,Inputs!H:H))/_xlfn.XLOOKUP("Operating Cash Flow",Inputs!$B:$B,Inputs!H:H),"")</f>
        <v>0.67433628318584071</v>
      </c>
      <c r="H60" s="347">
        <f>IFERROR((_xlfn.XLOOKUP("Debt Borrowing",Inputs!$B:$B,Inputs!I:I,,,-1)-_xlfn.XLOOKUP("Debt Repayment",Inputs!$B:$B,Inputs!I:I))/_xlfn.XLOOKUP("Operating Cash Flow",Inputs!$B:$B,Inputs!I:I),"")</f>
        <v>0</v>
      </c>
      <c r="I60" s="347">
        <f>IFERROR((_xlfn.XLOOKUP("Debt Borrowing",Inputs!$B:$B,Inputs!J:J,,,-1)-_xlfn.XLOOKUP("Debt Repayment",Inputs!$B:$B,Inputs!J:J))/_xlfn.XLOOKUP("Operating Cash Flow",Inputs!$B:$B,Inputs!J:J),"")</f>
        <v>0</v>
      </c>
      <c r="J60" s="347">
        <f>IFERROR((_xlfn.XLOOKUP("Debt Borrowing",Inputs!$B:$B,Inputs!K:K,,,-1)-_xlfn.XLOOKUP("Debt Repayment",Inputs!$B:$B,Inputs!K:K))/_xlfn.XLOOKUP("Operating Cash Flow",Inputs!$B:$B,Inputs!K:K),"")</f>
        <v>0.55795482750062053</v>
      </c>
      <c r="K60" s="347">
        <f>IFERROR((_xlfn.XLOOKUP("Debt Borrowing",Inputs!$B:$B,Inputs!L:L,,,-1)-_xlfn.XLOOKUP("Debt Repayment",Inputs!$B:$B,Inputs!L:L))/_xlfn.XLOOKUP("Operating Cash Flow",Inputs!$B:$B,Inputs!L:L),"")</f>
        <v>0</v>
      </c>
      <c r="L60" s="347">
        <f>IFERROR((_xlfn.XLOOKUP("Debt Borrowing",Inputs!$B:$B,Inputs!M:M,,,-1)-_xlfn.XLOOKUP("Debt Repayment",Inputs!$B:$B,Inputs!M:M))/_xlfn.XLOOKUP("Operating Cash Flow",Inputs!$B:$B,Inputs!M:M),"")</f>
        <v>1.0990047145102149</v>
      </c>
      <c r="M60" s="347">
        <f>IFERROR((_xlfn.XLOOKUP("Debt Borrowing",Inputs!$B:$B,Inputs!N:N,,,-1)-_xlfn.XLOOKUP("Debt Repayment",Inputs!$B:$B,Inputs!N:N))/_xlfn.XLOOKUP("Operating Cash Flow",Inputs!$B:$B,Inputs!N:N),"")</f>
        <v>0</v>
      </c>
      <c r="N60" s="347">
        <f>IFERROR((_xlfn.XLOOKUP("Debt Borrowing",Inputs!$B:$B,Inputs!O:O,,,-1)-_xlfn.XLOOKUP("Debt Repayment",Inputs!$B:$B,Inputs!O:O))/_xlfn.XLOOKUP("Operating Cash Flow",Inputs!$B:$B,Inputs!O:O),"")</f>
        <v>0</v>
      </c>
      <c r="O60" s="347">
        <f>IFERROR((_xlfn.XLOOKUP("Debt Borrowing",Inputs!$B:$B,Inputs!P:P,,,-1)-_xlfn.XLOOKUP("Debt Repayment",Inputs!$B:$B,Inputs!P:P))/_xlfn.XLOOKUP("Operating Cash Flow",Inputs!$B:$B,Inputs!P:P),"")</f>
        <v>6.8474390577923858E-2</v>
      </c>
      <c r="P60" s="348">
        <f>IFERROR((_xlfn.XLOOKUP("Debt Borrowing",Inputs!$B:$B,Inputs!Q:Q,,,-1)-_xlfn.XLOOKUP("Debt Repayment",Inputs!$B:$B,Inputs!Q:Q))/_xlfn.XLOOKUP("Operating Cash Flow",Inputs!$B:$B,Inputs!Q:Q),"")</f>
        <v>0.24788977159880834</v>
      </c>
      <c r="Q60" s="349">
        <f>IFERROR((_xlfn.XLOOKUP("Debt Borrowing",DCF!$B:$B,DCF!H:H)-_xlfn.XLOOKUP("Debt Repayment",DCF!$B:$B,DCF!H:H))/_xlfn.XLOOKUP("Operating Cash Flow",DCF!$B:$B,DCF!H:H),"")</f>
        <v>0</v>
      </c>
      <c r="R60" s="349">
        <f>IFERROR((_xlfn.XLOOKUP("Debt Borrowing",DCF!$B:$B,DCF!I:I)-_xlfn.XLOOKUP("Debt Repayment",DCF!$B:$B,DCF!I:I))/_xlfn.XLOOKUP("Operating Cash Flow",DCF!$B:$B,DCF!I:I),"")</f>
        <v>0</v>
      </c>
    </row>
    <row r="61" spans="2:18" ht="15.6">
      <c r="B61" s="18" t="s">
        <v>584</v>
      </c>
      <c r="F61" s="347" t="str">
        <f>IFERROR(-_xlfn.XLOOKUP("Debt Repayment",Inputs!$B:$B,Inputs!G:G,,,-1)/_xlfn.XLOOKUP("Debt Borrowing",Inputs!$B:$B,Inputs!G:G),"")</f>
        <v/>
      </c>
      <c r="G61" s="347">
        <f>IFERROR(-_xlfn.XLOOKUP("Debt Repayment",Inputs!$B:$B,Inputs!H:H,,,-1)/_xlfn.XLOOKUP("Debt Borrowing",Inputs!$B:$B,Inputs!H:H),"")</f>
        <v>6.0606060606060606E-4</v>
      </c>
      <c r="H61" s="347" t="str">
        <f>IFERROR(-_xlfn.XLOOKUP("Debt Repayment",Inputs!$B:$B,Inputs!I:I,,,-1)/_xlfn.XLOOKUP("Debt Borrowing",Inputs!$B:$B,Inputs!I:I),"")</f>
        <v/>
      </c>
      <c r="I61" s="347" t="str">
        <f>IFERROR(-_xlfn.XLOOKUP("Debt Repayment",Inputs!$B:$B,Inputs!J:J,,,-1)/_xlfn.XLOOKUP("Debt Borrowing",Inputs!$B:$B,Inputs!J:J),"")</f>
        <v/>
      </c>
      <c r="J61" s="347">
        <f>IFERROR(-_xlfn.XLOOKUP("Debt Repayment",Inputs!$B:$B,Inputs!K:K,,,-1)/_xlfn.XLOOKUP("Debt Borrowing",Inputs!$B:$B,Inputs!K:K),"")</f>
        <v>0</v>
      </c>
      <c r="K61" s="347" t="str">
        <f>IFERROR(-_xlfn.XLOOKUP("Debt Repayment",Inputs!$B:$B,Inputs!L:L,,,-1)/_xlfn.XLOOKUP("Debt Borrowing",Inputs!$B:$B,Inputs!L:L),"")</f>
        <v/>
      </c>
      <c r="L61" s="347">
        <f>IFERROR(-_xlfn.XLOOKUP("Debt Repayment",Inputs!$B:$B,Inputs!M:M,,,-1)/_xlfn.XLOOKUP("Debt Borrowing",Inputs!$B:$B,Inputs!M:M),"")</f>
        <v>1.001908396946565</v>
      </c>
      <c r="M61" s="347" t="str">
        <f>IFERROR(-_xlfn.XLOOKUP("Debt Repayment",Inputs!$B:$B,Inputs!N:N,,,-1)/_xlfn.XLOOKUP("Debt Borrowing",Inputs!$B:$B,Inputs!N:N),"")</f>
        <v/>
      </c>
      <c r="N61" s="347" t="str">
        <f>IFERROR(-_xlfn.XLOOKUP("Debt Repayment",Inputs!$B:$B,Inputs!O:O,,,-1)/_xlfn.XLOOKUP("Debt Borrowing",Inputs!$B:$B,Inputs!O:O),"")</f>
        <v/>
      </c>
      <c r="O61" s="347" t="str">
        <f>IFERROR(-_xlfn.XLOOKUP("Debt Repayment",Inputs!$B:$B,Inputs!P:P,,,-1)/_xlfn.XLOOKUP("Debt Borrowing",Inputs!$B:$B,Inputs!P:P),"")</f>
        <v/>
      </c>
      <c r="P61" s="348">
        <f>IFERROR(-_xlfn.XLOOKUP("Debt Repayment",Inputs!$B:$B,Inputs!Q:Q,,,-1)/_xlfn.XLOOKUP("Debt Borrowing",Inputs!$B:$B,Inputs!Q:Q),"")</f>
        <v>0</v>
      </c>
      <c r="Q61" s="349" t="str">
        <f>IFERROR(-_xlfn.XLOOKUP("Debt Repayment",DCF!$B:$B,DCF!H:H)/_xlfn.XLOOKUP("Debt Borrowing",DCF!$B:$B,DCF!H:H),"")</f>
        <v/>
      </c>
      <c r="R61" s="349" t="str">
        <f>IFERROR(-_xlfn.XLOOKUP("Debt Repayment",DCF!$B:$B,DCF!I:I)/_xlfn.XLOOKUP("Debt Borrowing",DCF!$B:$B,DCF!I:I),"")</f>
        <v/>
      </c>
    </row>
    <row r="62" spans="2:18" ht="15.6">
      <c r="B62" s="18" t="s">
        <v>259</v>
      </c>
      <c r="F62" s="347">
        <f>IFERROR(_xlfn.XLOOKUP("Financing Cash Flow",Inputs!$B:$B,Inputs!G:G,,,-1)/_xlfn.XLOOKUP("Operating Cash Flow",Inputs!$B:$B,Inputs!G:G),"")</f>
        <v>-0.39393939393939392</v>
      </c>
      <c r="G62" s="347">
        <f>IFERROR(_xlfn.XLOOKUP("Financing Cash Flow",Inputs!$B:$B,Inputs!H:H,,,-1)/_xlfn.XLOOKUP("Operating Cash Flow",Inputs!$B:$B,Inputs!H:H),"")</f>
        <v>-0.13614703880190607</v>
      </c>
      <c r="H62" s="347">
        <f>IFERROR(_xlfn.XLOOKUP("Financing Cash Flow",Inputs!$B:$B,Inputs!I:I,,,-1)/_xlfn.XLOOKUP("Operating Cash Flow",Inputs!$B:$B,Inputs!I:I),"")</f>
        <v>-0.49567985447930879</v>
      </c>
      <c r="I62" s="347">
        <f>IFERROR(_xlfn.XLOOKUP("Financing Cash Flow",Inputs!$B:$B,Inputs!J:J,,,-1)/_xlfn.XLOOKUP("Operating Cash Flow",Inputs!$B:$B,Inputs!J:J),"")</f>
        <v>-0.40659340659340659</v>
      </c>
      <c r="J62" s="347">
        <f>IFERROR(_xlfn.XLOOKUP("Financing Cash Flow",Inputs!$B:$B,Inputs!K:K,,,-1)/_xlfn.XLOOKUP("Operating Cash Flow",Inputs!$B:$B,Inputs!K:K),"")</f>
        <v>-1.3819806403574089</v>
      </c>
      <c r="K62" s="347">
        <f>IFERROR(_xlfn.XLOOKUP("Financing Cash Flow",Inputs!$B:$B,Inputs!L:L,,,-1)/_xlfn.XLOOKUP("Operating Cash Flow",Inputs!$B:$B,Inputs!L:L),"")</f>
        <v>-0.66621438263229305</v>
      </c>
      <c r="L62" s="347">
        <f>IFERROR(_xlfn.XLOOKUP("Financing Cash Flow",Inputs!$B:$B,Inputs!M:M,,,-1)/_xlfn.XLOOKUP("Operating Cash Flow",Inputs!$B:$B,Inputs!M:M),"")</f>
        <v>-0.60904487515278505</v>
      </c>
      <c r="M62" s="347">
        <f>IFERROR(_xlfn.XLOOKUP("Financing Cash Flow",Inputs!$B:$B,Inputs!N:N,,,-1)/_xlfn.XLOOKUP("Operating Cash Flow",Inputs!$B:$B,Inputs!N:N),"")</f>
        <v>-0.59488243430152143</v>
      </c>
      <c r="N62" s="347">
        <f>IFERROR(_xlfn.XLOOKUP("Financing Cash Flow",Inputs!$B:$B,Inputs!O:O,,,-1)/_xlfn.XLOOKUP("Operating Cash Flow",Inputs!$B:$B,Inputs!O:O),"")</f>
        <v>-0.87075784638938503</v>
      </c>
      <c r="O62" s="347">
        <f>IFERROR(_xlfn.XLOOKUP("Financing Cash Flow",Inputs!$B:$B,Inputs!P:P,,,-1)/_xlfn.XLOOKUP("Operating Cash Flow",Inputs!$B:$B,Inputs!P:P),"")</f>
        <v>-0.70966858394960286</v>
      </c>
      <c r="P62" s="348">
        <f>IFERROR(_xlfn.XLOOKUP("Financing Cash Flow",Inputs!$B:$B,Inputs!Q:Q,,,-1)/_xlfn.XLOOKUP("Operating Cash Flow",Inputs!$B:$B,Inputs!Q:Q),"")</f>
        <v>-0.95878848063555111</v>
      </c>
      <c r="Q62" s="349">
        <f>IFERROR(_xlfn.XLOOKUP("Financing Cash Flow",DCF!$B:$B,DCF!H:H)/_xlfn.XLOOKUP("Operating Cash Flow",DCF!$B:$B,DCF!H:H),"")</f>
        <v>-2.6295944491169999E-2</v>
      </c>
      <c r="R62" s="349">
        <f>IFERROR(_xlfn.XLOOKUP("Financing Cash Flow",DCF!$B:$B,DCF!I:I)/_xlfn.XLOOKUP("Operating Cash Flow",DCF!$B:$B,DCF!I:I),"")</f>
        <v>-3.2568939910101097E-2</v>
      </c>
    </row>
    <row r="63" spans="2:18" ht="15.6">
      <c r="B63" s="18" t="s">
        <v>59</v>
      </c>
      <c r="F63" s="347">
        <f>IFERROR(_xlfn.XLOOKUP("Net Income",Inputs!$B:$B,Inputs!G:G,,,-1)/_xlfn.XLOOKUP("Operating Cash Flow",Inputs!$B:$B,Inputs!G:G),"")</f>
        <v>0.20823620823620823</v>
      </c>
      <c r="G63" s="347">
        <f>IFERROR(_xlfn.XLOOKUP("Net Income",Inputs!$B:$B,Inputs!H:H,,,-1)/_xlfn.XLOOKUP("Operating Cash Flow",Inputs!$B:$B,Inputs!H:H),"")</f>
        <v>0.42886317222600406</v>
      </c>
      <c r="H63" s="347">
        <f>IFERROR(_xlfn.XLOOKUP("Net Income",Inputs!$B:$B,Inputs!I:I,,,-1)/_xlfn.XLOOKUP("Operating Cash Flow",Inputs!$B:$B,Inputs!I:I),"")</f>
        <v>0.53160527512505684</v>
      </c>
      <c r="I63" s="347">
        <f>IFERROR(_xlfn.XLOOKUP("Net Income",Inputs!$B:$B,Inputs!J:J,,,-1)/_xlfn.XLOOKUP("Operating Cash Flow",Inputs!$B:$B,Inputs!J:J),"")</f>
        <v>0.58173076923076927</v>
      </c>
      <c r="J63" s="347">
        <f>IFERROR(_xlfn.XLOOKUP("Net Income",Inputs!$B:$B,Inputs!K:K,,,-1)/_xlfn.XLOOKUP("Operating Cash Flow",Inputs!$B:$B,Inputs!K:K),"")</f>
        <v>0.64283941424671132</v>
      </c>
      <c r="K63" s="347">
        <f>IFERROR(_xlfn.XLOOKUP("Net Income",Inputs!$B:$B,Inputs!L:L,,,-1)/_xlfn.XLOOKUP("Operating Cash Flow",Inputs!$B:$B,Inputs!L:L),"")</f>
        <v>0.66734509271822706</v>
      </c>
      <c r="L63" s="347">
        <f>IFERROR(_xlfn.XLOOKUP("Net Income",Inputs!$B:$B,Inputs!M:M,,,-1)/_xlfn.XLOOKUP("Operating Cash Flow",Inputs!$B:$B,Inputs!M:M),"")</f>
        <v>0.91845643443338576</v>
      </c>
      <c r="M63" s="347">
        <f>IFERROR(_xlfn.XLOOKUP("Net Income",Inputs!$B:$B,Inputs!N:N,,,-1)/_xlfn.XLOOKUP("Operating Cash Flow",Inputs!$B:$B,Inputs!N:N),"")</f>
        <v>0.66694329183955736</v>
      </c>
      <c r="N63" s="347">
        <f>IFERROR(_xlfn.XLOOKUP("Net Income",Inputs!$B:$B,Inputs!O:O,,,-1)/_xlfn.XLOOKUP("Operating Cash Flow",Inputs!$B:$B,Inputs!O:O),"")</f>
        <v>0.60678744577698396</v>
      </c>
      <c r="O63" s="347">
        <f>IFERROR(_xlfn.XLOOKUP("Net Income",Inputs!$B:$B,Inputs!P:P,,,-1)/_xlfn.XLOOKUP("Operating Cash Flow",Inputs!$B:$B,Inputs!P:P),"")</f>
        <v>0.74335798411394138</v>
      </c>
      <c r="P63" s="348">
        <f>IFERROR(_xlfn.XLOOKUP("Net Income",Inputs!$B:$B,Inputs!Q:Q,,,-1)/_xlfn.XLOOKUP("Operating Cash Flow",Inputs!$B:$B,Inputs!Q:Q),"")</f>
        <v>0.69016881827209531</v>
      </c>
      <c r="Q63" s="349">
        <f>IFERROR(_xlfn.XLOOKUP("Net Income",DCF!$B:$B,DCF!H:H)/_xlfn.XLOOKUP("Operating Cash Flow",DCF!$B:$B,DCF!H:H),"")</f>
        <v>0.67885255678053391</v>
      </c>
      <c r="R63" s="349">
        <f>IFERROR(_xlfn.XLOOKUP("Net Income",DCF!$B:$B,DCF!I:I)/_xlfn.XLOOKUP("Operating Cash Flow",DCF!$B:$B,DCF!I:I),"")</f>
        <v>0.87362437351096189</v>
      </c>
    </row>
    <row r="64" spans="2:18" ht="15.6">
      <c r="B64" s="33" t="s">
        <v>61</v>
      </c>
      <c r="F64" s="347">
        <f>IFERROR(_xlfn.XLOOKUP("Net Changes in Cash",Inputs!$B:$B,Inputs!G:G,,,-1)/_xlfn.XLOOKUP("Operating Cash Flow",Inputs!$B:$B,Inputs!G:G),"")</f>
        <v>0.21911421911421911</v>
      </c>
      <c r="G64" s="347">
        <f>IFERROR(_xlfn.XLOOKUP("Net Changes in Cash",Inputs!$B:$B,Inputs!H:H,,,-1)/_xlfn.XLOOKUP("Operating Cash Flow",Inputs!$B:$B,Inputs!H:H),"")</f>
        <v>-0.16337644656228728</v>
      </c>
      <c r="H64" s="347">
        <f>IFERROR(_xlfn.XLOOKUP("Net Changes in Cash",Inputs!$B:$B,Inputs!I:I,,,-1)/_xlfn.XLOOKUP("Operating Cash Flow",Inputs!$B:$B,Inputs!I:I),"")</f>
        <v>6.0936789449749888E-2</v>
      </c>
      <c r="I64" s="347">
        <f>IFERROR(_xlfn.XLOOKUP("Net Changes in Cash",Inputs!$B:$B,Inputs!J:J,,,-1)/_xlfn.XLOOKUP("Operating Cash Flow",Inputs!$B:$B,Inputs!J:J),"")</f>
        <v>0.44402472527472525</v>
      </c>
      <c r="J64" s="347">
        <f>IFERROR(_xlfn.XLOOKUP("Net Changes in Cash",Inputs!$B:$B,Inputs!K:K,,,-1)/_xlfn.XLOOKUP("Operating Cash Flow",Inputs!$B:$B,Inputs!K:K),"")</f>
        <v>-0.16455696202531644</v>
      </c>
      <c r="K64" s="347">
        <f>IFERROR(_xlfn.XLOOKUP("Net Changes in Cash",Inputs!$B:$B,Inputs!L:L,,,-1)/_xlfn.XLOOKUP("Operating Cash Flow",Inputs!$B:$B,Inputs!L:L),"")</f>
        <v>0.22772501130710085</v>
      </c>
      <c r="L64" s="347">
        <f>IFERROR(_xlfn.XLOOKUP("Net Changes in Cash",Inputs!$B:$B,Inputs!M:M,,,-1)/_xlfn.XLOOKUP("Operating Cash Flow",Inputs!$B:$B,Inputs!M:M),"")</f>
        <v>0.31796752226296493</v>
      </c>
      <c r="M64" s="347">
        <f>IFERROR(_xlfn.XLOOKUP("Net Changes in Cash",Inputs!$B:$B,Inputs!N:N,,,-1)/_xlfn.XLOOKUP("Operating Cash Flow",Inputs!$B:$B,Inputs!N:N),"")</f>
        <v>-9.1009681881051172E-2</v>
      </c>
      <c r="N64" s="347">
        <f>IFERROR(_xlfn.XLOOKUP("Net Changes in Cash",Inputs!$B:$B,Inputs!O:O,,,-1)/_xlfn.XLOOKUP("Operating Cash Flow",Inputs!$B:$B,Inputs!O:O),"")</f>
        <v>5.0012758356723655E-2</v>
      </c>
      <c r="O64" s="347">
        <f>IFERROR(_xlfn.XLOOKUP("Net Changes in Cash",Inputs!$B:$B,Inputs!P:P,,,-1)/_xlfn.XLOOKUP("Operating Cash Flow",Inputs!$B:$B,Inputs!P:P),"")</f>
        <v>0.39783620925773761</v>
      </c>
      <c r="P64" s="348">
        <f>IFERROR(_xlfn.XLOOKUP("Net Changes in Cash",Inputs!$B:$B,Inputs!Q:Q,,,-1)/_xlfn.XLOOKUP("Operating Cash Flow",Inputs!$B:$B,Inputs!Q:Q),"")</f>
        <v>5.8589870903674283E-2</v>
      </c>
      <c r="Q64" s="349">
        <f>IFERROR(_xlfn.XLOOKUP("Net Changes in Cash",DCF!$B:$B,DCF!H:H)/_xlfn.XLOOKUP("Operating Cash Flow",DCF!$B:$B,DCF!H:H),"")</f>
        <v>0.93826075227516315</v>
      </c>
      <c r="R64" s="349">
        <f>IFERROR(_xlfn.XLOOKUP("Net Changes in Cash",DCF!$B:$B,DCF!I:I)/_xlfn.XLOOKUP("Operating Cash Flow",DCF!$B:$B,DCF!I:I),"")</f>
        <v>0.93152295122289341</v>
      </c>
    </row>
    <row r="67" spans="2:20" ht="20.100000000000001" customHeight="1">
      <c r="T67" s="1" t="s">
        <v>511</v>
      </c>
    </row>
    <row r="69" spans="2:20">
      <c r="B69" s="373"/>
    </row>
    <row r="70" spans="2:20">
      <c r="B70" s="373"/>
    </row>
    <row r="71" spans="2:20">
      <c r="B71" s="373"/>
    </row>
    <row r="72" spans="2:20">
      <c r="B72" s="373"/>
    </row>
    <row r="73" spans="2:20">
      <c r="B73" s="373"/>
    </row>
    <row r="74" spans="2:20">
      <c r="B74" s="373"/>
    </row>
    <row r="75" spans="2:20">
      <c r="B75" s="373"/>
    </row>
    <row r="76" spans="2:20">
      <c r="B76" s="373"/>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B2:L10055"/>
  <sheetViews>
    <sheetView showGridLines="0" zoomScale="85" zoomScaleNormal="85" workbookViewId="0">
      <selection activeCell="K15" sqref="K15"/>
    </sheetView>
  </sheetViews>
  <sheetFormatPr defaultColWidth="8.625" defaultRowHeight="14.1"/>
  <cols>
    <col min="1" max="1" width="4" customWidth="1"/>
    <col min="3" max="7" width="8.625" customWidth="1"/>
    <col min="10" max="10" width="15.375" customWidth="1"/>
  </cols>
  <sheetData>
    <row r="2" spans="2:12" s="37" customFormat="1" ht="20.100000000000001" customHeight="1">
      <c r="B2" s="40" t="s">
        <v>585</v>
      </c>
    </row>
    <row r="4" spans="2:12">
      <c r="B4" s="584" t="str">
        <f ca="1">IFERROR(Peers!C6&amp;" Fair Value - Blended Discount Rate and Terminal Growth Rate","")</f>
        <v>ADBE Fair Value - Blended Discount Rate and Terminal Growth Rate</v>
      </c>
      <c r="J4" s="584" t="str">
        <f ca="1">IFERROR(Peers!C6&amp;" Fair Value - Monte-Carlo Simulations Discount Rate and Terminal Growth Rate","")</f>
        <v>ADBE Fair Value - Monte-Carlo Simulations Discount Rate and Terminal Growth Rate</v>
      </c>
    </row>
    <row r="5" spans="2:12" ht="14.45" thickBot="1">
      <c r="B5" t="s">
        <v>512</v>
      </c>
      <c r="F5" s="73" t="s">
        <v>421</v>
      </c>
    </row>
    <row r="6" spans="2:12" ht="14.45" thickBot="1">
      <c r="B6" s="576"/>
      <c r="C6" s="581"/>
      <c r="D6" s="587">
        <f>DCF!AP285</f>
        <v>0</v>
      </c>
      <c r="E6" s="587">
        <f>DCF!AQ285</f>
        <v>0</v>
      </c>
      <c r="F6" s="587">
        <f>DCF!AR285</f>
        <v>0</v>
      </c>
      <c r="G6" s="587">
        <f>DCF!AS285</f>
        <v>0</v>
      </c>
      <c r="H6" s="587">
        <f>DCF!AT285</f>
        <v>0</v>
      </c>
      <c r="J6" s="691" t="s">
        <v>586</v>
      </c>
      <c r="K6" s="691" t="s">
        <v>213</v>
      </c>
      <c r="L6" s="691" t="s">
        <v>587</v>
      </c>
    </row>
    <row r="7" spans="2:12">
      <c r="C7" s="579">
        <f>DCF!AO286</f>
        <v>0.01</v>
      </c>
      <c r="D7" s="680">
        <f ca="1">IFERROR(DCF!AP286/DCF!$Q$210-1,"")</f>
        <v>-1</v>
      </c>
      <c r="E7" s="680">
        <f ca="1">IFERROR(DCF!AQ286/DCF!$Q$210-1,"")</f>
        <v>-1</v>
      </c>
      <c r="F7" s="680">
        <f ca="1">IFERROR(DCF!AR286/DCF!$Q$210-1,"")</f>
        <v>-1</v>
      </c>
      <c r="G7" s="680">
        <f ca="1">IFERROR(DCF!AS286/DCF!$Q$210-1,"")</f>
        <v>-1</v>
      </c>
      <c r="H7" s="680">
        <f ca="1">IFERROR(DCF!AT286/DCF!$Q$210-1,"")</f>
        <v>-1</v>
      </c>
      <c r="J7" t="s">
        <v>421</v>
      </c>
      <c r="K7" s="17">
        <v>0.1009</v>
      </c>
      <c r="L7" s="17">
        <v>0.01</v>
      </c>
    </row>
    <row r="8" spans="2:12">
      <c r="C8" s="579">
        <f>DCF!AO287</f>
        <v>0.02</v>
      </c>
      <c r="D8" s="680">
        <f ca="1">IFERROR(DCF!AP287/DCF!$Q$210-1,"")</f>
        <v>-1</v>
      </c>
      <c r="E8" s="680">
        <f ca="1">IFERROR(DCF!AQ287/DCF!$Q$210-1,"")</f>
        <v>-1</v>
      </c>
      <c r="F8" s="680">
        <f ca="1">IFERROR(DCF!AR287/DCF!$Q$210-1,"")</f>
        <v>-1</v>
      </c>
      <c r="G8" s="680">
        <f ca="1">IFERROR(DCF!AS287/DCF!$Q$210-1,"")</f>
        <v>-1</v>
      </c>
      <c r="H8" s="680">
        <f ca="1">IFERROR(DCF!AT287/DCF!$Q$210-1,"")</f>
        <v>-1</v>
      </c>
      <c r="J8" t="s">
        <v>198</v>
      </c>
      <c r="K8" s="17">
        <f>+DCF!I7</f>
        <v>0</v>
      </c>
      <c r="L8" s="32">
        <f>+DCF!L7</f>
        <v>0.02</v>
      </c>
    </row>
    <row r="9" spans="2:12" ht="14.45" thickBot="1">
      <c r="B9" s="24" t="s">
        <v>424</v>
      </c>
      <c r="C9" s="579">
        <f>DCF!AO288</f>
        <v>0.03</v>
      </c>
      <c r="D9" s="680">
        <f ca="1">IFERROR(DCF!AP288/DCF!$Q$210-1,"")</f>
        <v>-1</v>
      </c>
      <c r="E9" s="680">
        <f ca="1">IFERROR(DCF!AQ288/DCF!$Q$210-1,"")</f>
        <v>-1</v>
      </c>
      <c r="F9" s="680">
        <f ca="1">IFERROR(DCF!AR288/DCF!$Q$210-1,"")</f>
        <v>-1</v>
      </c>
      <c r="G9" s="680">
        <f ca="1">IFERROR(DCF!AS288/DCF!$Q$210-1,"")</f>
        <v>-1</v>
      </c>
      <c r="H9" s="680">
        <f ca="1">IFERROR(DCF!AT288/DCF!$Q$210-1,"")</f>
        <v>-1</v>
      </c>
      <c r="J9" s="576" t="s">
        <v>21</v>
      </c>
      <c r="K9" s="587">
        <f>+DCF!I8</f>
        <v>0</v>
      </c>
      <c r="L9" s="587">
        <f>+DCF!L8</f>
        <v>0.01</v>
      </c>
    </row>
    <row r="10" spans="2:12" ht="14.45" thickBot="1">
      <c r="C10" s="579">
        <f>DCF!AO289</f>
        <v>0.04</v>
      </c>
      <c r="D10" s="680">
        <f ca="1">IFERROR(DCF!AP289/DCF!$Q$210-1,"")</f>
        <v>-1</v>
      </c>
      <c r="E10" s="680">
        <f ca="1">IFERROR(DCF!AQ289/DCF!$Q$210-1,"")</f>
        <v>-1</v>
      </c>
      <c r="F10" s="680">
        <f ca="1">IFERROR(DCF!AR289/DCF!$Q$210-1,"")</f>
        <v>-1</v>
      </c>
      <c r="G10" s="680">
        <f ca="1">IFERROR(DCF!AS289/DCF!$Q$210-1,"")</f>
        <v>-1</v>
      </c>
      <c r="H10" s="680">
        <f ca="1">IFERROR(DCF!AT289/DCF!$Q$210-1,"")</f>
        <v>-1</v>
      </c>
      <c r="L10" s="692"/>
    </row>
    <row r="11" spans="2:12" ht="14.45" thickBot="1">
      <c r="B11" s="576"/>
      <c r="C11" s="580">
        <f>DCF!AO290</f>
        <v>0.05</v>
      </c>
      <c r="D11" s="681">
        <f ca="1">IFERROR(DCF!AP290/DCF!$Q$210-1,"")</f>
        <v>-1</v>
      </c>
      <c r="E11" s="681">
        <f ca="1">IFERROR(DCF!AQ290/DCF!$Q$210-1,"")</f>
        <v>-1</v>
      </c>
      <c r="F11" s="681">
        <f ca="1">IFERROR(DCF!AR290/DCF!$Q$210-1,"")</f>
        <v>-1</v>
      </c>
      <c r="G11" s="681">
        <f ca="1">IFERROR(DCF!AS290/DCF!$Q$210-1,"")</f>
        <v>-1</v>
      </c>
      <c r="H11" s="681">
        <f ca="1">IFERROR(DCF!AT290/DCF!$Q$210-1,"")</f>
        <v>-1</v>
      </c>
      <c r="J11" s="691" t="s">
        <v>588</v>
      </c>
      <c r="K11" s="575"/>
      <c r="L11" s="575" t="s">
        <v>589</v>
      </c>
    </row>
    <row r="12" spans="2:12">
      <c r="J12" s="583" t="s">
        <v>590</v>
      </c>
      <c r="K12" s="690">
        <f>MIN(B56:B10055)</f>
        <v>0</v>
      </c>
      <c r="L12" s="62">
        <f ca="1">IFERROR(K12/DCF!$Q$210-1,"")</f>
        <v>-1</v>
      </c>
    </row>
    <row r="13" spans="2:12">
      <c r="B13" s="584" t="str">
        <f ca="1">IFERROR(Peers!C6&amp;" Fair Value - Blended Revenue Growth and Operating Margin","")</f>
        <v>ADBE Fair Value - Blended Revenue Growth and Operating Margin</v>
      </c>
      <c r="J13" s="695" t="s">
        <v>591</v>
      </c>
      <c r="K13" s="696" t="e">
        <f>AVERAGE(B56:B10055)</f>
        <v>#DIV/0!</v>
      </c>
      <c r="L13" s="64" t="str">
        <f ca="1">IFERROR(K13/DCF!$Q$210-1,"")</f>
        <v/>
      </c>
    </row>
    <row r="14" spans="2:12" ht="14.45" thickBot="1">
      <c r="B14" t="s">
        <v>512</v>
      </c>
      <c r="J14" s="693" t="s">
        <v>592</v>
      </c>
      <c r="K14" s="690" t="e">
        <f>MEDIAN(B56:B10055)</f>
        <v>#NUM!</v>
      </c>
      <c r="L14" s="697" t="str">
        <f ca="1">IFERROR(K14/DCF!$Q$210-1,"")</f>
        <v/>
      </c>
    </row>
    <row r="15" spans="2:12">
      <c r="B15" s="582"/>
      <c r="C15" s="583"/>
      <c r="D15" s="582"/>
      <c r="E15" s="588" t="s">
        <v>222</v>
      </c>
      <c r="F15" s="582"/>
      <c r="J15" s="693" t="s">
        <v>593</v>
      </c>
      <c r="K15" s="690">
        <f>MAX(B56:B10055)</f>
        <v>0</v>
      </c>
      <c r="L15" s="62">
        <f ca="1">IFERROR(K15/DCF!$Q$210-1,"")</f>
        <v>-1</v>
      </c>
    </row>
    <row r="16" spans="2:12" ht="14.45" thickBot="1">
      <c r="B16" s="576"/>
      <c r="C16" s="581"/>
      <c r="D16" s="587">
        <f>DCF!F7</f>
        <v>-0.02</v>
      </c>
      <c r="E16" s="587">
        <f>DCF!I7</f>
        <v>0</v>
      </c>
      <c r="F16" s="587">
        <f>DCF!L7</f>
        <v>0.02</v>
      </c>
      <c r="J16" s="581" t="s">
        <v>594</v>
      </c>
      <c r="K16" s="694" t="e">
        <f>_xlfn.STDEV.P(B56:B10055)</f>
        <v>#DIV/0!</v>
      </c>
      <c r="L16" s="682"/>
    </row>
    <row r="17" spans="2:8">
      <c r="C17" s="589">
        <f>DCF!F8</f>
        <v>-0.01</v>
      </c>
      <c r="D17" s="62">
        <f ca="1">IFERROR(DCF!AP296/DCF!$Q$210-1,"")</f>
        <v>-1</v>
      </c>
      <c r="E17" s="62">
        <f ca="1">IFERROR(DCF!AQ296/DCF!$Q$210-1,"")</f>
        <v>-1</v>
      </c>
      <c r="F17" s="62">
        <f ca="1">IFERROR(DCF!AR296/DCF!$Q$210-1,"")</f>
        <v>-1</v>
      </c>
    </row>
    <row r="18" spans="2:8">
      <c r="B18" s="24" t="s">
        <v>418</v>
      </c>
      <c r="C18" s="589">
        <f>DCF!I8</f>
        <v>0</v>
      </c>
      <c r="D18" s="62">
        <f ca="1">IFERROR(DCF!AP297/DCF!$Q$210-1,"")</f>
        <v>-1</v>
      </c>
      <c r="E18" s="62">
        <f ca="1">IFERROR(DCF!AQ297/DCF!$Q$210-1,"")</f>
        <v>-1</v>
      </c>
      <c r="F18" s="62">
        <f ca="1">IFERROR(DCF!AR297/DCF!$Q$210-1,"")</f>
        <v>-1</v>
      </c>
    </row>
    <row r="19" spans="2:8" ht="14.45" thickBot="1">
      <c r="B19" s="576"/>
      <c r="C19" s="590">
        <f>DCF!L8</f>
        <v>0.01</v>
      </c>
      <c r="D19" s="682">
        <f ca="1">IFERROR(DCF!AP298/DCF!$Q$210-1,"")</f>
        <v>-1</v>
      </c>
      <c r="E19" s="682">
        <f ca="1">IFERROR(DCF!AQ298/DCF!$Q$210-1,"")</f>
        <v>-1</v>
      </c>
      <c r="F19" s="682">
        <f ca="1">IFERROR(DCF!AR298/DCF!$Q$210-1,"")</f>
        <v>-1</v>
      </c>
    </row>
    <row r="22" spans="2:8">
      <c r="B22" s="592" t="s">
        <v>513</v>
      </c>
      <c r="C22" s="37"/>
      <c r="D22" s="37"/>
      <c r="E22" s="37"/>
      <c r="F22" s="37"/>
      <c r="G22" s="37"/>
      <c r="H22" s="37"/>
    </row>
    <row r="26" spans="2:8">
      <c r="E26" s="692"/>
    </row>
    <row r="42" spans="2:2">
      <c r="B42" s="1"/>
    </row>
    <row r="43" spans="2:2">
      <c r="B43" s="1"/>
    </row>
    <row r="44" spans="2:2">
      <c r="B44" s="1"/>
    </row>
    <row r="45" spans="2:2">
      <c r="B45" s="1"/>
    </row>
    <row r="46" spans="2:2">
      <c r="B46" s="1"/>
    </row>
    <row r="47" spans="2:2">
      <c r="B47" s="1"/>
    </row>
    <row r="48" spans="2:2">
      <c r="B48" s="1"/>
    </row>
    <row r="49" spans="2:6">
      <c r="B49" s="1"/>
    </row>
    <row r="50" spans="2:6">
      <c r="B50" s="1"/>
    </row>
    <row r="51" spans="2:6">
      <c r="B51" s="1"/>
    </row>
    <row r="52" spans="2:6">
      <c r="B52" s="1"/>
    </row>
    <row r="53" spans="2:6">
      <c r="B53" s="1"/>
    </row>
    <row r="54" spans="2:6">
      <c r="B54" s="1"/>
    </row>
    <row r="55" spans="2:6">
      <c r="B55" s="1" t="s">
        <v>595</v>
      </c>
      <c r="E55" s="32"/>
      <c r="F55" s="32"/>
    </row>
    <row r="56" spans="2:6" ht="15.6">
      <c r="B56" s="154"/>
      <c r="E56" s="32"/>
      <c r="F56" s="32"/>
    </row>
    <row r="57" spans="2:6" ht="15.6">
      <c r="B57" s="154"/>
      <c r="E57" s="32"/>
      <c r="F57" s="591"/>
    </row>
    <row r="58" spans="2:6" ht="15.6">
      <c r="B58" s="154"/>
      <c r="E58" s="32"/>
      <c r="F58" s="591"/>
    </row>
    <row r="59" spans="2:6" ht="15.6">
      <c r="B59" s="154"/>
    </row>
    <row r="60" spans="2:6" ht="15.6">
      <c r="B60" s="154"/>
    </row>
    <row r="61" spans="2:6" ht="15.6">
      <c r="B61" s="154"/>
    </row>
    <row r="62" spans="2:6" ht="15.6">
      <c r="B62" s="154"/>
    </row>
    <row r="63" spans="2:6" ht="15.6">
      <c r="B63" s="154"/>
    </row>
    <row r="64" spans="2:6" ht="15.6">
      <c r="B64" s="154"/>
    </row>
    <row r="65" spans="2:2" ht="15.6">
      <c r="B65" s="154"/>
    </row>
    <row r="66" spans="2:2" ht="15.6">
      <c r="B66" s="154"/>
    </row>
    <row r="67" spans="2:2" ht="15.6">
      <c r="B67" s="154"/>
    </row>
    <row r="68" spans="2:2" ht="15.6">
      <c r="B68" s="154"/>
    </row>
    <row r="69" spans="2:2" ht="15.6">
      <c r="B69" s="154"/>
    </row>
    <row r="70" spans="2:2" ht="15.6">
      <c r="B70" s="154"/>
    </row>
    <row r="71" spans="2:2" ht="15.6">
      <c r="B71" s="154"/>
    </row>
    <row r="72" spans="2:2" ht="15.6">
      <c r="B72" s="154"/>
    </row>
    <row r="73" spans="2:2" ht="15.6">
      <c r="B73" s="154"/>
    </row>
    <row r="74" spans="2:2" ht="15.6">
      <c r="B74" s="154"/>
    </row>
    <row r="75" spans="2:2" ht="15.6">
      <c r="B75" s="154"/>
    </row>
    <row r="76" spans="2:2" ht="15.6">
      <c r="B76" s="154"/>
    </row>
    <row r="77" spans="2:2" ht="15.6">
      <c r="B77" s="154"/>
    </row>
    <row r="78" spans="2:2" ht="15.6">
      <c r="B78" s="154"/>
    </row>
    <row r="79" spans="2:2" ht="15.6">
      <c r="B79" s="154"/>
    </row>
    <row r="80" spans="2:2" ht="15.6">
      <c r="B80" s="154"/>
    </row>
    <row r="81" spans="2:2" ht="15.6">
      <c r="B81" s="154"/>
    </row>
    <row r="82" spans="2:2" ht="15.6">
      <c r="B82" s="154"/>
    </row>
    <row r="83" spans="2:2" ht="15.6">
      <c r="B83" s="154"/>
    </row>
    <row r="84" spans="2:2" ht="15.6">
      <c r="B84" s="154"/>
    </row>
    <row r="85" spans="2:2" ht="15.6">
      <c r="B85" s="154"/>
    </row>
    <row r="86" spans="2:2" ht="15.6">
      <c r="B86" s="154"/>
    </row>
    <row r="87" spans="2:2" ht="15.6">
      <c r="B87" s="154"/>
    </row>
    <row r="88" spans="2:2" ht="15.6">
      <c r="B88" s="154"/>
    </row>
    <row r="89" spans="2:2" ht="15.6">
      <c r="B89" s="154"/>
    </row>
    <row r="90" spans="2:2" ht="15.6">
      <c r="B90" s="154"/>
    </row>
    <row r="91" spans="2:2" ht="15.6">
      <c r="B91" s="154"/>
    </row>
    <row r="92" spans="2:2" ht="15.6">
      <c r="B92" s="154"/>
    </row>
    <row r="93" spans="2:2" ht="15.6">
      <c r="B93" s="154"/>
    </row>
    <row r="94" spans="2:2" ht="15.6">
      <c r="B94" s="154"/>
    </row>
    <row r="95" spans="2:2" ht="15.6">
      <c r="B95" s="154"/>
    </row>
    <row r="96" spans="2:2" ht="15.6">
      <c r="B96" s="154"/>
    </row>
    <row r="97" spans="2:2" ht="15.6">
      <c r="B97" s="154"/>
    </row>
    <row r="98" spans="2:2" ht="15.6">
      <c r="B98" s="154"/>
    </row>
    <row r="99" spans="2:2" ht="15.6">
      <c r="B99" s="154"/>
    </row>
    <row r="100" spans="2:2" ht="15.6">
      <c r="B100" s="154"/>
    </row>
    <row r="101" spans="2:2" ht="15.6">
      <c r="B101" s="154"/>
    </row>
    <row r="102" spans="2:2" ht="15.6">
      <c r="B102" s="154"/>
    </row>
    <row r="103" spans="2:2" ht="15.6">
      <c r="B103" s="154"/>
    </row>
    <row r="104" spans="2:2" ht="15.6">
      <c r="B104" s="154"/>
    </row>
    <row r="105" spans="2:2" ht="15.6">
      <c r="B105" s="154"/>
    </row>
    <row r="106" spans="2:2" ht="15.6">
      <c r="B106" s="154"/>
    </row>
    <row r="107" spans="2:2" ht="15.6">
      <c r="B107" s="154"/>
    </row>
    <row r="108" spans="2:2" ht="15.6">
      <c r="B108" s="154"/>
    </row>
    <row r="109" spans="2:2" ht="15.6">
      <c r="B109" s="154"/>
    </row>
    <row r="110" spans="2:2" ht="15.6">
      <c r="B110" s="154"/>
    </row>
    <row r="111" spans="2:2" ht="15.6">
      <c r="B111" s="154"/>
    </row>
    <row r="112" spans="2:2" ht="15.6">
      <c r="B112" s="154"/>
    </row>
    <row r="113" spans="2:2" ht="15.6">
      <c r="B113" s="154"/>
    </row>
    <row r="114" spans="2:2" ht="15.6">
      <c r="B114" s="154"/>
    </row>
    <row r="115" spans="2:2" ht="15.6">
      <c r="B115" s="154"/>
    </row>
    <row r="116" spans="2:2" ht="15.6">
      <c r="B116" s="154"/>
    </row>
    <row r="117" spans="2:2" ht="15.6">
      <c r="B117" s="154"/>
    </row>
    <row r="118" spans="2:2" ht="15.6">
      <c r="B118" s="154"/>
    </row>
    <row r="119" spans="2:2" ht="15.6">
      <c r="B119" s="154"/>
    </row>
    <row r="120" spans="2:2" ht="15.6">
      <c r="B120" s="154"/>
    </row>
    <row r="121" spans="2:2" ht="15.6">
      <c r="B121" s="154"/>
    </row>
    <row r="122" spans="2:2" ht="15.6">
      <c r="B122" s="154"/>
    </row>
    <row r="123" spans="2:2" ht="15.6">
      <c r="B123" s="154"/>
    </row>
    <row r="124" spans="2:2" ht="15.6">
      <c r="B124" s="154"/>
    </row>
    <row r="125" spans="2:2" ht="15.6">
      <c r="B125" s="154"/>
    </row>
    <row r="126" spans="2:2" ht="15.6">
      <c r="B126" s="154"/>
    </row>
    <row r="127" spans="2:2" ht="15.6">
      <c r="B127" s="154"/>
    </row>
    <row r="128" spans="2:2" ht="15.6">
      <c r="B128" s="154"/>
    </row>
    <row r="129" spans="2:2" ht="15.6">
      <c r="B129" s="154"/>
    </row>
    <row r="130" spans="2:2" ht="15.6">
      <c r="B130" s="154"/>
    </row>
    <row r="131" spans="2:2" ht="15.6">
      <c r="B131" s="154"/>
    </row>
    <row r="132" spans="2:2" ht="15.6">
      <c r="B132" s="154"/>
    </row>
    <row r="133" spans="2:2" ht="15.6">
      <c r="B133" s="154"/>
    </row>
    <row r="134" spans="2:2" ht="15.6">
      <c r="B134" s="154"/>
    </row>
    <row r="135" spans="2:2" ht="15.6">
      <c r="B135" s="154"/>
    </row>
    <row r="136" spans="2:2" ht="15.6">
      <c r="B136" s="154"/>
    </row>
    <row r="137" spans="2:2" ht="15.6">
      <c r="B137" s="154"/>
    </row>
    <row r="138" spans="2:2" ht="15.6">
      <c r="B138" s="154"/>
    </row>
    <row r="139" spans="2:2" ht="15.6">
      <c r="B139" s="154"/>
    </row>
    <row r="140" spans="2:2" ht="15.6">
      <c r="B140" s="154"/>
    </row>
    <row r="141" spans="2:2" ht="15.6">
      <c r="B141" s="154"/>
    </row>
    <row r="142" spans="2:2" ht="15.6">
      <c r="B142" s="154"/>
    </row>
    <row r="143" spans="2:2" ht="15.6">
      <c r="B143" s="154"/>
    </row>
    <row r="144" spans="2:2" ht="15.6">
      <c r="B144" s="154"/>
    </row>
    <row r="145" spans="2:2" ht="15.6">
      <c r="B145" s="154"/>
    </row>
    <row r="146" spans="2:2" ht="15.6">
      <c r="B146" s="154"/>
    </row>
    <row r="147" spans="2:2" ht="15.6">
      <c r="B147" s="154"/>
    </row>
    <row r="148" spans="2:2" ht="15.6">
      <c r="B148" s="154"/>
    </row>
    <row r="149" spans="2:2" ht="15.6">
      <c r="B149" s="154"/>
    </row>
    <row r="150" spans="2:2" ht="15.6">
      <c r="B150" s="154"/>
    </row>
    <row r="151" spans="2:2" ht="15.6">
      <c r="B151" s="154"/>
    </row>
    <row r="152" spans="2:2" ht="15.6">
      <c r="B152" s="154"/>
    </row>
    <row r="153" spans="2:2" ht="15.6">
      <c r="B153" s="154"/>
    </row>
    <row r="154" spans="2:2" ht="15.6">
      <c r="B154" s="154"/>
    </row>
    <row r="155" spans="2:2" ht="15.6">
      <c r="B155" s="154"/>
    </row>
    <row r="156" spans="2:2" ht="15.6">
      <c r="B156" s="154"/>
    </row>
    <row r="157" spans="2:2" ht="15.6">
      <c r="B157" s="154"/>
    </row>
    <row r="158" spans="2:2" ht="15.6">
      <c r="B158" s="154"/>
    </row>
    <row r="159" spans="2:2" ht="15.6">
      <c r="B159" s="154"/>
    </row>
    <row r="160" spans="2:2" ht="15.6">
      <c r="B160" s="154"/>
    </row>
    <row r="161" spans="2:2" ht="15.6">
      <c r="B161" s="154"/>
    </row>
    <row r="162" spans="2:2" ht="15.6">
      <c r="B162" s="154"/>
    </row>
    <row r="163" spans="2:2" ht="15.6">
      <c r="B163" s="154"/>
    </row>
    <row r="164" spans="2:2" ht="15.6">
      <c r="B164" s="154"/>
    </row>
    <row r="165" spans="2:2" ht="15.6">
      <c r="B165" s="154"/>
    </row>
    <row r="166" spans="2:2" ht="15.6">
      <c r="B166" s="154"/>
    </row>
    <row r="167" spans="2:2" ht="15.6">
      <c r="B167" s="154"/>
    </row>
    <row r="168" spans="2:2" ht="15.6">
      <c r="B168" s="154"/>
    </row>
    <row r="169" spans="2:2" ht="15.6">
      <c r="B169" s="154"/>
    </row>
    <row r="170" spans="2:2" ht="15.6">
      <c r="B170" s="154"/>
    </row>
    <row r="171" spans="2:2" ht="15.6">
      <c r="B171" s="154"/>
    </row>
    <row r="172" spans="2:2" ht="15.6">
      <c r="B172" s="154"/>
    </row>
    <row r="173" spans="2:2" ht="15.6">
      <c r="B173" s="154"/>
    </row>
    <row r="174" spans="2:2" ht="15.6">
      <c r="B174" s="154"/>
    </row>
    <row r="175" spans="2:2" ht="15.6">
      <c r="B175" s="154"/>
    </row>
    <row r="176" spans="2:2" ht="15.6">
      <c r="B176" s="154"/>
    </row>
    <row r="177" spans="2:2" ht="15.6">
      <c r="B177" s="154"/>
    </row>
    <row r="178" spans="2:2" ht="15.6">
      <c r="B178" s="154"/>
    </row>
    <row r="179" spans="2:2" ht="15.6">
      <c r="B179" s="154"/>
    </row>
    <row r="180" spans="2:2" ht="15.6">
      <c r="B180" s="154"/>
    </row>
    <row r="181" spans="2:2" ht="15.6">
      <c r="B181" s="154"/>
    </row>
    <row r="182" spans="2:2" ht="15.6">
      <c r="B182" s="154"/>
    </row>
    <row r="183" spans="2:2" ht="15.6">
      <c r="B183" s="154"/>
    </row>
    <row r="184" spans="2:2" ht="15.6">
      <c r="B184" s="154"/>
    </row>
    <row r="185" spans="2:2" ht="15.6">
      <c r="B185" s="154"/>
    </row>
    <row r="186" spans="2:2" ht="15.6">
      <c r="B186" s="154"/>
    </row>
    <row r="187" spans="2:2" ht="15.6">
      <c r="B187" s="154"/>
    </row>
    <row r="188" spans="2:2" ht="15.6">
      <c r="B188" s="154"/>
    </row>
    <row r="189" spans="2:2" ht="15.6">
      <c r="B189" s="154"/>
    </row>
    <row r="190" spans="2:2" ht="15.6">
      <c r="B190" s="154"/>
    </row>
    <row r="191" spans="2:2" ht="15.6">
      <c r="B191" s="154"/>
    </row>
    <row r="192" spans="2:2" ht="15.6">
      <c r="B192" s="154"/>
    </row>
    <row r="193" spans="2:2" ht="15.6">
      <c r="B193" s="154"/>
    </row>
    <row r="194" spans="2:2" ht="15.6">
      <c r="B194" s="154"/>
    </row>
    <row r="195" spans="2:2" ht="15.6">
      <c r="B195" s="154"/>
    </row>
    <row r="196" spans="2:2" ht="15.6">
      <c r="B196" s="154"/>
    </row>
    <row r="197" spans="2:2" ht="15.6">
      <c r="B197" s="154"/>
    </row>
    <row r="198" spans="2:2" ht="15.6">
      <c r="B198" s="154"/>
    </row>
    <row r="199" spans="2:2" ht="15.6">
      <c r="B199" s="154"/>
    </row>
    <row r="200" spans="2:2" ht="15.6">
      <c r="B200" s="154"/>
    </row>
    <row r="201" spans="2:2" ht="15.6">
      <c r="B201" s="154"/>
    </row>
    <row r="202" spans="2:2" ht="15.6">
      <c r="B202" s="154"/>
    </row>
    <row r="203" spans="2:2" ht="15.6">
      <c r="B203" s="154"/>
    </row>
    <row r="204" spans="2:2" ht="15.6">
      <c r="B204" s="154"/>
    </row>
    <row r="205" spans="2:2" ht="15.6">
      <c r="B205" s="154"/>
    </row>
    <row r="206" spans="2:2" ht="15.6">
      <c r="B206" s="154"/>
    </row>
    <row r="207" spans="2:2" ht="15.6">
      <c r="B207" s="154"/>
    </row>
    <row r="208" spans="2:2" ht="15.6">
      <c r="B208" s="154"/>
    </row>
    <row r="209" spans="2:2" ht="15.6">
      <c r="B209" s="154"/>
    </row>
    <row r="210" spans="2:2" ht="15.6">
      <c r="B210" s="154"/>
    </row>
    <row r="211" spans="2:2" ht="15.6">
      <c r="B211" s="154"/>
    </row>
    <row r="212" spans="2:2" ht="15.6">
      <c r="B212" s="154"/>
    </row>
    <row r="213" spans="2:2" ht="15.6">
      <c r="B213" s="154"/>
    </row>
    <row r="214" spans="2:2" ht="15.6">
      <c r="B214" s="154"/>
    </row>
    <row r="215" spans="2:2" ht="15.6">
      <c r="B215" s="154"/>
    </row>
    <row r="216" spans="2:2" ht="15.6">
      <c r="B216" s="154"/>
    </row>
    <row r="217" spans="2:2" ht="15.6">
      <c r="B217" s="154"/>
    </row>
    <row r="218" spans="2:2" ht="15.6">
      <c r="B218" s="154"/>
    </row>
    <row r="219" spans="2:2" ht="15.6">
      <c r="B219" s="154"/>
    </row>
    <row r="220" spans="2:2" ht="15.6">
      <c r="B220" s="154"/>
    </row>
    <row r="221" spans="2:2" ht="15.6">
      <c r="B221" s="154"/>
    </row>
    <row r="222" spans="2:2" ht="15.6">
      <c r="B222" s="154"/>
    </row>
    <row r="223" spans="2:2" ht="15.6">
      <c r="B223" s="154"/>
    </row>
    <row r="224" spans="2:2" ht="15.6">
      <c r="B224" s="154"/>
    </row>
    <row r="225" spans="2:2" ht="15.6">
      <c r="B225" s="154"/>
    </row>
    <row r="226" spans="2:2" ht="15.6">
      <c r="B226" s="154"/>
    </row>
    <row r="227" spans="2:2" ht="15.6">
      <c r="B227" s="154"/>
    </row>
    <row r="228" spans="2:2" ht="15.6">
      <c r="B228" s="154"/>
    </row>
    <row r="229" spans="2:2" ht="15.6">
      <c r="B229" s="154"/>
    </row>
    <row r="230" spans="2:2" ht="15.6">
      <c r="B230" s="154"/>
    </row>
    <row r="231" spans="2:2" ht="15.6">
      <c r="B231" s="154"/>
    </row>
    <row r="232" spans="2:2" ht="15.6">
      <c r="B232" s="154"/>
    </row>
    <row r="233" spans="2:2" ht="15.6">
      <c r="B233" s="154"/>
    </row>
    <row r="234" spans="2:2" ht="15.6">
      <c r="B234" s="154"/>
    </row>
    <row r="235" spans="2:2" ht="15.6">
      <c r="B235" s="154"/>
    </row>
    <row r="236" spans="2:2" ht="15.6">
      <c r="B236" s="154"/>
    </row>
    <row r="237" spans="2:2" ht="15.6">
      <c r="B237" s="154"/>
    </row>
    <row r="238" spans="2:2" ht="15.6">
      <c r="B238" s="154"/>
    </row>
    <row r="239" spans="2:2" ht="15.6">
      <c r="B239" s="154"/>
    </row>
    <row r="240" spans="2:2" ht="15.6">
      <c r="B240" s="154"/>
    </row>
    <row r="241" spans="2:2" ht="15.6">
      <c r="B241" s="154"/>
    </row>
    <row r="242" spans="2:2" ht="15.6">
      <c r="B242" s="154"/>
    </row>
    <row r="243" spans="2:2" ht="15.6">
      <c r="B243" s="154"/>
    </row>
    <row r="244" spans="2:2" ht="15.6">
      <c r="B244" s="154"/>
    </row>
    <row r="245" spans="2:2" ht="15.6">
      <c r="B245" s="154"/>
    </row>
    <row r="246" spans="2:2" ht="15.6">
      <c r="B246" s="154"/>
    </row>
    <row r="247" spans="2:2" ht="15.6">
      <c r="B247" s="154"/>
    </row>
    <row r="248" spans="2:2" ht="15.6">
      <c r="B248" s="154"/>
    </row>
    <row r="249" spans="2:2" ht="15.6">
      <c r="B249" s="154"/>
    </row>
    <row r="250" spans="2:2" ht="15.6">
      <c r="B250" s="154"/>
    </row>
    <row r="251" spans="2:2" ht="15.6">
      <c r="B251" s="154"/>
    </row>
    <row r="252" spans="2:2" ht="15.6">
      <c r="B252" s="154"/>
    </row>
    <row r="253" spans="2:2" ht="15.6">
      <c r="B253" s="154"/>
    </row>
    <row r="254" spans="2:2" ht="15.6">
      <c r="B254" s="154"/>
    </row>
    <row r="255" spans="2:2" ht="15.6">
      <c r="B255" s="154"/>
    </row>
    <row r="256" spans="2:2" ht="15.6">
      <c r="B256" s="154"/>
    </row>
    <row r="257" spans="2:2" ht="15.6">
      <c r="B257" s="154"/>
    </row>
    <row r="258" spans="2:2" ht="15.6">
      <c r="B258" s="154"/>
    </row>
    <row r="259" spans="2:2" ht="15.6">
      <c r="B259" s="154"/>
    </row>
    <row r="260" spans="2:2" ht="15.6">
      <c r="B260" s="154"/>
    </row>
    <row r="261" spans="2:2" ht="15.6">
      <c r="B261" s="154"/>
    </row>
    <row r="262" spans="2:2" ht="15.6">
      <c r="B262" s="154"/>
    </row>
    <row r="263" spans="2:2" ht="15.6">
      <c r="B263" s="154"/>
    </row>
    <row r="264" spans="2:2" ht="15.6">
      <c r="B264" s="154"/>
    </row>
    <row r="265" spans="2:2" ht="15.6">
      <c r="B265" s="154"/>
    </row>
    <row r="266" spans="2:2" ht="15.6">
      <c r="B266" s="154"/>
    </row>
    <row r="267" spans="2:2" ht="15.6">
      <c r="B267" s="154"/>
    </row>
    <row r="268" spans="2:2" ht="15.6">
      <c r="B268" s="154"/>
    </row>
    <row r="269" spans="2:2" ht="15.6">
      <c r="B269" s="154"/>
    </row>
    <row r="270" spans="2:2" ht="15.6">
      <c r="B270" s="154"/>
    </row>
    <row r="271" spans="2:2" ht="15.6">
      <c r="B271" s="154"/>
    </row>
    <row r="272" spans="2:2" ht="15.6">
      <c r="B272" s="154"/>
    </row>
    <row r="273" spans="2:2" ht="15.6">
      <c r="B273" s="154"/>
    </row>
    <row r="274" spans="2:2" ht="15.6">
      <c r="B274" s="154"/>
    </row>
    <row r="275" spans="2:2" ht="15.6">
      <c r="B275" s="154"/>
    </row>
    <row r="276" spans="2:2" ht="15.6">
      <c r="B276" s="154"/>
    </row>
    <row r="277" spans="2:2" ht="15.6">
      <c r="B277" s="154"/>
    </row>
    <row r="278" spans="2:2" ht="15.6">
      <c r="B278" s="154"/>
    </row>
    <row r="279" spans="2:2" ht="15.6">
      <c r="B279" s="154"/>
    </row>
    <row r="280" spans="2:2" ht="15.6">
      <c r="B280" s="154"/>
    </row>
    <row r="281" spans="2:2" ht="15.6">
      <c r="B281" s="154"/>
    </row>
    <row r="282" spans="2:2" ht="15.6">
      <c r="B282" s="154"/>
    </row>
    <row r="283" spans="2:2" ht="15.6">
      <c r="B283" s="154"/>
    </row>
    <row r="284" spans="2:2" ht="15.6">
      <c r="B284" s="154"/>
    </row>
    <row r="285" spans="2:2" ht="15.6">
      <c r="B285" s="154"/>
    </row>
    <row r="286" spans="2:2" ht="15.6">
      <c r="B286" s="154"/>
    </row>
    <row r="287" spans="2:2" ht="15.6">
      <c r="B287" s="154"/>
    </row>
    <row r="288" spans="2:2" ht="15.6">
      <c r="B288" s="154"/>
    </row>
    <row r="289" spans="2:2" ht="15.6">
      <c r="B289" s="154"/>
    </row>
    <row r="290" spans="2:2" ht="15.6">
      <c r="B290" s="154"/>
    </row>
    <row r="291" spans="2:2" ht="15.6">
      <c r="B291" s="154"/>
    </row>
    <row r="292" spans="2:2" ht="15.6">
      <c r="B292" s="154"/>
    </row>
    <row r="293" spans="2:2" ht="15.6">
      <c r="B293" s="154"/>
    </row>
    <row r="294" spans="2:2" ht="15.6">
      <c r="B294" s="154"/>
    </row>
    <row r="295" spans="2:2" ht="15.6">
      <c r="B295" s="154"/>
    </row>
    <row r="296" spans="2:2" ht="15.6">
      <c r="B296" s="154"/>
    </row>
    <row r="297" spans="2:2" ht="15.6">
      <c r="B297" s="154"/>
    </row>
    <row r="298" spans="2:2" ht="15.6">
      <c r="B298" s="154"/>
    </row>
    <row r="299" spans="2:2" ht="15.6">
      <c r="B299" s="154"/>
    </row>
    <row r="300" spans="2:2" ht="15.6">
      <c r="B300" s="154"/>
    </row>
    <row r="301" spans="2:2" ht="15.6">
      <c r="B301" s="154"/>
    </row>
    <row r="302" spans="2:2" ht="15.6">
      <c r="B302" s="154"/>
    </row>
    <row r="303" spans="2:2" ht="15.6">
      <c r="B303" s="154"/>
    </row>
    <row r="304" spans="2:2" ht="15.6">
      <c r="B304" s="154"/>
    </row>
    <row r="305" spans="2:2" ht="15.6">
      <c r="B305" s="154"/>
    </row>
    <row r="306" spans="2:2" ht="15.6">
      <c r="B306" s="154"/>
    </row>
    <row r="307" spans="2:2" ht="15.6">
      <c r="B307" s="154"/>
    </row>
    <row r="308" spans="2:2" ht="15.6">
      <c r="B308" s="154"/>
    </row>
    <row r="309" spans="2:2" ht="15.6">
      <c r="B309" s="154"/>
    </row>
    <row r="310" spans="2:2" ht="15.6">
      <c r="B310" s="154"/>
    </row>
    <row r="311" spans="2:2" ht="15.6">
      <c r="B311" s="154"/>
    </row>
    <row r="312" spans="2:2" ht="15.6">
      <c r="B312" s="154"/>
    </row>
    <row r="313" spans="2:2" ht="15.6">
      <c r="B313" s="154"/>
    </row>
    <row r="314" spans="2:2" ht="15.6">
      <c r="B314" s="154"/>
    </row>
    <row r="315" spans="2:2" ht="15.6">
      <c r="B315" s="154"/>
    </row>
    <row r="316" spans="2:2" ht="15.6">
      <c r="B316" s="154"/>
    </row>
    <row r="317" spans="2:2" ht="15.6">
      <c r="B317" s="154"/>
    </row>
    <row r="318" spans="2:2" ht="15.6">
      <c r="B318" s="154"/>
    </row>
    <row r="319" spans="2:2" ht="15.6">
      <c r="B319" s="154"/>
    </row>
    <row r="320" spans="2:2" ht="15.6">
      <c r="B320" s="154"/>
    </row>
    <row r="321" spans="2:2" ht="15.6">
      <c r="B321" s="154"/>
    </row>
    <row r="322" spans="2:2" ht="15.6">
      <c r="B322" s="154"/>
    </row>
    <row r="323" spans="2:2" ht="15.6">
      <c r="B323" s="154"/>
    </row>
    <row r="324" spans="2:2" ht="15.6">
      <c r="B324" s="154"/>
    </row>
    <row r="325" spans="2:2" ht="15.6">
      <c r="B325" s="154"/>
    </row>
    <row r="326" spans="2:2" ht="15.6">
      <c r="B326" s="154"/>
    </row>
    <row r="327" spans="2:2" ht="15.6">
      <c r="B327" s="154"/>
    </row>
    <row r="328" spans="2:2" ht="15.6">
      <c r="B328" s="154"/>
    </row>
    <row r="329" spans="2:2" ht="15.6">
      <c r="B329" s="154"/>
    </row>
    <row r="330" spans="2:2" ht="15.6">
      <c r="B330" s="154"/>
    </row>
    <row r="331" spans="2:2" ht="15.6">
      <c r="B331" s="154"/>
    </row>
    <row r="332" spans="2:2" ht="15.6">
      <c r="B332" s="154"/>
    </row>
    <row r="333" spans="2:2" ht="15.6">
      <c r="B333" s="154"/>
    </row>
    <row r="334" spans="2:2" ht="15.6">
      <c r="B334" s="154"/>
    </row>
    <row r="335" spans="2:2" ht="15.6">
      <c r="B335" s="154"/>
    </row>
    <row r="336" spans="2:2" ht="15.6">
      <c r="B336" s="154"/>
    </row>
    <row r="337" spans="2:2" ht="15.6">
      <c r="B337" s="154"/>
    </row>
    <row r="338" spans="2:2" ht="15.6">
      <c r="B338" s="154"/>
    </row>
    <row r="339" spans="2:2" ht="15.6">
      <c r="B339" s="154"/>
    </row>
    <row r="340" spans="2:2" ht="15.6">
      <c r="B340" s="154"/>
    </row>
    <row r="341" spans="2:2" ht="15.6">
      <c r="B341" s="154"/>
    </row>
    <row r="342" spans="2:2" ht="15.6">
      <c r="B342" s="154"/>
    </row>
    <row r="343" spans="2:2" ht="15.6">
      <c r="B343" s="154"/>
    </row>
    <row r="344" spans="2:2" ht="15.6">
      <c r="B344" s="154"/>
    </row>
    <row r="345" spans="2:2" ht="15.6">
      <c r="B345" s="154"/>
    </row>
    <row r="346" spans="2:2" ht="15.6">
      <c r="B346" s="154"/>
    </row>
    <row r="347" spans="2:2" ht="15.6">
      <c r="B347" s="154"/>
    </row>
    <row r="348" spans="2:2" ht="15.6">
      <c r="B348" s="154"/>
    </row>
    <row r="349" spans="2:2" ht="15.6">
      <c r="B349" s="154"/>
    </row>
    <row r="350" spans="2:2" ht="15.6">
      <c r="B350" s="154"/>
    </row>
    <row r="351" spans="2:2" ht="15.6">
      <c r="B351" s="154"/>
    </row>
    <row r="352" spans="2:2" ht="15.6">
      <c r="B352" s="154"/>
    </row>
    <row r="353" spans="2:2" ht="15.6">
      <c r="B353" s="154"/>
    </row>
    <row r="354" spans="2:2" ht="15.6">
      <c r="B354" s="154"/>
    </row>
    <row r="355" spans="2:2" ht="15.6">
      <c r="B355" s="154"/>
    </row>
    <row r="356" spans="2:2" ht="15.6">
      <c r="B356" s="154"/>
    </row>
    <row r="357" spans="2:2" ht="15.6">
      <c r="B357" s="154"/>
    </row>
    <row r="358" spans="2:2" ht="15.6">
      <c r="B358" s="154"/>
    </row>
    <row r="359" spans="2:2" ht="15.6">
      <c r="B359" s="154"/>
    </row>
    <row r="360" spans="2:2" ht="15.6">
      <c r="B360" s="154"/>
    </row>
    <row r="361" spans="2:2" ht="15.6">
      <c r="B361" s="154"/>
    </row>
    <row r="362" spans="2:2" ht="15.6">
      <c r="B362" s="154"/>
    </row>
    <row r="363" spans="2:2" ht="15.6">
      <c r="B363" s="154"/>
    </row>
    <row r="364" spans="2:2" ht="15.6">
      <c r="B364" s="154"/>
    </row>
    <row r="365" spans="2:2" ht="15.6">
      <c r="B365" s="154"/>
    </row>
    <row r="366" spans="2:2" ht="15.6">
      <c r="B366" s="154"/>
    </row>
    <row r="367" spans="2:2" ht="15.6">
      <c r="B367" s="154"/>
    </row>
    <row r="368" spans="2:2" ht="15.6">
      <c r="B368" s="154"/>
    </row>
    <row r="369" spans="2:2" ht="15.6">
      <c r="B369" s="154"/>
    </row>
    <row r="370" spans="2:2" ht="15.6">
      <c r="B370" s="154"/>
    </row>
    <row r="371" spans="2:2" ht="15.6">
      <c r="B371" s="154"/>
    </row>
    <row r="372" spans="2:2" ht="15.6">
      <c r="B372" s="154"/>
    </row>
    <row r="373" spans="2:2" ht="15.6">
      <c r="B373" s="154"/>
    </row>
    <row r="374" spans="2:2" ht="15.6">
      <c r="B374" s="154"/>
    </row>
    <row r="375" spans="2:2" ht="15.6">
      <c r="B375" s="154"/>
    </row>
    <row r="376" spans="2:2" ht="15.6">
      <c r="B376" s="154"/>
    </row>
    <row r="377" spans="2:2" ht="15.6">
      <c r="B377" s="154"/>
    </row>
    <row r="378" spans="2:2" ht="15.6">
      <c r="B378" s="154"/>
    </row>
    <row r="379" spans="2:2" ht="15.6">
      <c r="B379" s="154"/>
    </row>
    <row r="380" spans="2:2" ht="15.6">
      <c r="B380" s="154"/>
    </row>
    <row r="381" spans="2:2" ht="15.6">
      <c r="B381" s="154"/>
    </row>
    <row r="382" spans="2:2" ht="15.6">
      <c r="B382" s="154"/>
    </row>
    <row r="383" spans="2:2" ht="15.6">
      <c r="B383" s="154"/>
    </row>
    <row r="384" spans="2:2" ht="15.6">
      <c r="B384" s="154"/>
    </row>
    <row r="385" spans="2:2" ht="15.6">
      <c r="B385" s="154"/>
    </row>
    <row r="386" spans="2:2" ht="15.6">
      <c r="B386" s="154"/>
    </row>
    <row r="387" spans="2:2" ht="15.6">
      <c r="B387" s="154"/>
    </row>
    <row r="388" spans="2:2" ht="15.6">
      <c r="B388" s="154"/>
    </row>
    <row r="389" spans="2:2" ht="15.6">
      <c r="B389" s="154"/>
    </row>
    <row r="390" spans="2:2" ht="15.6">
      <c r="B390" s="154"/>
    </row>
    <row r="391" spans="2:2" ht="15.6">
      <c r="B391" s="154"/>
    </row>
    <row r="392" spans="2:2" ht="15.6">
      <c r="B392" s="154"/>
    </row>
    <row r="393" spans="2:2" ht="15.6">
      <c r="B393" s="154"/>
    </row>
    <row r="394" spans="2:2" ht="15.6">
      <c r="B394" s="154"/>
    </row>
    <row r="395" spans="2:2" ht="15.6">
      <c r="B395" s="154"/>
    </row>
    <row r="396" spans="2:2" ht="15.6">
      <c r="B396" s="154"/>
    </row>
    <row r="397" spans="2:2" ht="15.6">
      <c r="B397" s="154"/>
    </row>
    <row r="398" spans="2:2" ht="15.6">
      <c r="B398" s="154"/>
    </row>
    <row r="399" spans="2:2" ht="15.6">
      <c r="B399" s="154"/>
    </row>
    <row r="400" spans="2:2" ht="15.6">
      <c r="B400" s="154"/>
    </row>
    <row r="401" spans="2:2" ht="15.6">
      <c r="B401" s="154"/>
    </row>
    <row r="402" spans="2:2" ht="15.6">
      <c r="B402" s="154"/>
    </row>
    <row r="403" spans="2:2" ht="15.6">
      <c r="B403" s="154"/>
    </row>
    <row r="404" spans="2:2" ht="15.6">
      <c r="B404" s="154"/>
    </row>
    <row r="405" spans="2:2" ht="15.6">
      <c r="B405" s="154"/>
    </row>
    <row r="406" spans="2:2" ht="15.6">
      <c r="B406" s="154"/>
    </row>
    <row r="407" spans="2:2" ht="15.6">
      <c r="B407" s="154"/>
    </row>
    <row r="408" spans="2:2" ht="15.6">
      <c r="B408" s="154"/>
    </row>
    <row r="409" spans="2:2" ht="15.6">
      <c r="B409" s="154"/>
    </row>
    <row r="410" spans="2:2" ht="15.6">
      <c r="B410" s="154"/>
    </row>
    <row r="411" spans="2:2" ht="15.6">
      <c r="B411" s="154"/>
    </row>
    <row r="412" spans="2:2" ht="15.6">
      <c r="B412" s="154"/>
    </row>
    <row r="413" spans="2:2" ht="15.6">
      <c r="B413" s="154"/>
    </row>
    <row r="414" spans="2:2" ht="15.6">
      <c r="B414" s="154"/>
    </row>
    <row r="415" spans="2:2" ht="15.6">
      <c r="B415" s="154"/>
    </row>
    <row r="416" spans="2:2" ht="15.6">
      <c r="B416" s="154"/>
    </row>
    <row r="417" spans="2:2" ht="15.6">
      <c r="B417" s="154"/>
    </row>
    <row r="418" spans="2:2" ht="15.6">
      <c r="B418" s="154"/>
    </row>
    <row r="419" spans="2:2" ht="15.6">
      <c r="B419" s="154"/>
    </row>
    <row r="420" spans="2:2" ht="15.6">
      <c r="B420" s="154"/>
    </row>
    <row r="421" spans="2:2" ht="15.6">
      <c r="B421" s="154"/>
    </row>
    <row r="422" spans="2:2" ht="15.6">
      <c r="B422" s="154"/>
    </row>
    <row r="423" spans="2:2" ht="15.6">
      <c r="B423" s="154"/>
    </row>
    <row r="424" spans="2:2" ht="15.6">
      <c r="B424" s="154"/>
    </row>
    <row r="425" spans="2:2" ht="15.6">
      <c r="B425" s="154"/>
    </row>
    <row r="426" spans="2:2" ht="15.6">
      <c r="B426" s="154"/>
    </row>
    <row r="427" spans="2:2" ht="15.6">
      <c r="B427" s="154"/>
    </row>
    <row r="428" spans="2:2" ht="15.6">
      <c r="B428" s="154"/>
    </row>
    <row r="429" spans="2:2" ht="15.6">
      <c r="B429" s="154"/>
    </row>
    <row r="430" spans="2:2" ht="15.6">
      <c r="B430" s="154"/>
    </row>
    <row r="431" spans="2:2" ht="15.6">
      <c r="B431" s="154"/>
    </row>
    <row r="432" spans="2:2" ht="15.6">
      <c r="B432" s="154"/>
    </row>
    <row r="433" spans="2:2" ht="15.6">
      <c r="B433" s="154"/>
    </row>
    <row r="434" spans="2:2" ht="15.6">
      <c r="B434" s="154"/>
    </row>
    <row r="435" spans="2:2" ht="15.6">
      <c r="B435" s="154"/>
    </row>
    <row r="436" spans="2:2" ht="15.6">
      <c r="B436" s="154"/>
    </row>
    <row r="437" spans="2:2" ht="15.6">
      <c r="B437" s="154"/>
    </row>
    <row r="438" spans="2:2" ht="15.6">
      <c r="B438" s="154"/>
    </row>
    <row r="439" spans="2:2" ht="15.6">
      <c r="B439" s="154"/>
    </row>
    <row r="440" spans="2:2" ht="15.6">
      <c r="B440" s="154"/>
    </row>
    <row r="441" spans="2:2" ht="15.6">
      <c r="B441" s="154"/>
    </row>
    <row r="442" spans="2:2" ht="15.6">
      <c r="B442" s="154"/>
    </row>
    <row r="443" spans="2:2" ht="15.6">
      <c r="B443" s="154"/>
    </row>
    <row r="444" spans="2:2" ht="15.6">
      <c r="B444" s="154"/>
    </row>
    <row r="445" spans="2:2" ht="15.6">
      <c r="B445" s="154"/>
    </row>
    <row r="446" spans="2:2" ht="15.6">
      <c r="B446" s="154"/>
    </row>
    <row r="447" spans="2:2" ht="15.6">
      <c r="B447" s="154"/>
    </row>
    <row r="448" spans="2:2" ht="15.6">
      <c r="B448" s="154"/>
    </row>
    <row r="449" spans="2:2" ht="15.6">
      <c r="B449" s="154"/>
    </row>
    <row r="450" spans="2:2" ht="15.6">
      <c r="B450" s="154"/>
    </row>
    <row r="451" spans="2:2" ht="15.6">
      <c r="B451" s="154"/>
    </row>
    <row r="452" spans="2:2" ht="15.6">
      <c r="B452" s="154"/>
    </row>
    <row r="453" spans="2:2" ht="15.6">
      <c r="B453" s="154"/>
    </row>
    <row r="454" spans="2:2" ht="15.6">
      <c r="B454" s="154"/>
    </row>
    <row r="455" spans="2:2" ht="15.6">
      <c r="B455" s="154"/>
    </row>
    <row r="456" spans="2:2" ht="15.6">
      <c r="B456" s="154"/>
    </row>
    <row r="457" spans="2:2" ht="15.6">
      <c r="B457" s="154"/>
    </row>
    <row r="458" spans="2:2" ht="15.6">
      <c r="B458" s="154"/>
    </row>
    <row r="459" spans="2:2" ht="15.6">
      <c r="B459" s="154"/>
    </row>
    <row r="460" spans="2:2" ht="15.6">
      <c r="B460" s="154"/>
    </row>
    <row r="461" spans="2:2" ht="15.6">
      <c r="B461" s="154"/>
    </row>
    <row r="462" spans="2:2" ht="15.6">
      <c r="B462" s="154"/>
    </row>
    <row r="463" spans="2:2" ht="15.6">
      <c r="B463" s="154"/>
    </row>
    <row r="464" spans="2:2" ht="15.6">
      <c r="B464" s="154"/>
    </row>
    <row r="465" spans="2:2" ht="15.6">
      <c r="B465" s="154"/>
    </row>
    <row r="466" spans="2:2" ht="15.6">
      <c r="B466" s="154"/>
    </row>
    <row r="467" spans="2:2" ht="15.6">
      <c r="B467" s="154"/>
    </row>
    <row r="468" spans="2:2" ht="15.6">
      <c r="B468" s="154"/>
    </row>
    <row r="469" spans="2:2" ht="15.6">
      <c r="B469" s="154"/>
    </row>
    <row r="470" spans="2:2" ht="15.6">
      <c r="B470" s="154"/>
    </row>
    <row r="471" spans="2:2" ht="15.6">
      <c r="B471" s="154"/>
    </row>
    <row r="472" spans="2:2" ht="15.6">
      <c r="B472" s="154"/>
    </row>
    <row r="473" spans="2:2" ht="15.6">
      <c r="B473" s="154"/>
    </row>
    <row r="474" spans="2:2" ht="15.6">
      <c r="B474" s="154"/>
    </row>
    <row r="475" spans="2:2" ht="15.6">
      <c r="B475" s="154"/>
    </row>
    <row r="476" spans="2:2" ht="15.6">
      <c r="B476" s="154"/>
    </row>
    <row r="477" spans="2:2" ht="15.6">
      <c r="B477" s="154"/>
    </row>
    <row r="478" spans="2:2" ht="15.6">
      <c r="B478" s="154"/>
    </row>
    <row r="479" spans="2:2" ht="15.6">
      <c r="B479" s="154"/>
    </row>
    <row r="480" spans="2:2" ht="15.6">
      <c r="B480" s="154"/>
    </row>
    <row r="481" spans="2:2" ht="15.6">
      <c r="B481" s="154"/>
    </row>
    <row r="482" spans="2:2" ht="15.6">
      <c r="B482" s="154"/>
    </row>
    <row r="483" spans="2:2" ht="15.6">
      <c r="B483" s="154"/>
    </row>
    <row r="484" spans="2:2" ht="15.6">
      <c r="B484" s="154"/>
    </row>
    <row r="485" spans="2:2" ht="15.6">
      <c r="B485" s="154"/>
    </row>
    <row r="486" spans="2:2" ht="15.6">
      <c r="B486" s="154"/>
    </row>
    <row r="487" spans="2:2" ht="15.6">
      <c r="B487" s="154"/>
    </row>
    <row r="488" spans="2:2" ht="15.6">
      <c r="B488" s="154"/>
    </row>
    <row r="489" spans="2:2" ht="15.6">
      <c r="B489" s="154"/>
    </row>
    <row r="490" spans="2:2" ht="15.6">
      <c r="B490" s="154"/>
    </row>
    <row r="491" spans="2:2" ht="15.6">
      <c r="B491" s="154"/>
    </row>
    <row r="492" spans="2:2" ht="15.6">
      <c r="B492" s="154"/>
    </row>
    <row r="493" spans="2:2" ht="15.6">
      <c r="B493" s="154"/>
    </row>
    <row r="494" spans="2:2" ht="15.6">
      <c r="B494" s="154"/>
    </row>
    <row r="495" spans="2:2" ht="15.6">
      <c r="B495" s="154"/>
    </row>
    <row r="496" spans="2:2" ht="15.6">
      <c r="B496" s="154"/>
    </row>
    <row r="497" spans="2:2" ht="15.6">
      <c r="B497" s="154"/>
    </row>
    <row r="498" spans="2:2" ht="15.6">
      <c r="B498" s="154"/>
    </row>
    <row r="499" spans="2:2" ht="15.6">
      <c r="B499" s="154"/>
    </row>
    <row r="500" spans="2:2" ht="15.6">
      <c r="B500" s="154"/>
    </row>
    <row r="501" spans="2:2" ht="15.6">
      <c r="B501" s="154"/>
    </row>
    <row r="502" spans="2:2" ht="15.6">
      <c r="B502" s="154"/>
    </row>
    <row r="503" spans="2:2" ht="15.6">
      <c r="B503" s="154"/>
    </row>
    <row r="504" spans="2:2" ht="15.6">
      <c r="B504" s="154"/>
    </row>
    <row r="505" spans="2:2" ht="15.6">
      <c r="B505" s="154"/>
    </row>
    <row r="506" spans="2:2" ht="15.6">
      <c r="B506" s="154"/>
    </row>
    <row r="507" spans="2:2" ht="15.6">
      <c r="B507" s="154"/>
    </row>
    <row r="508" spans="2:2" ht="15.6">
      <c r="B508" s="154"/>
    </row>
    <row r="509" spans="2:2" ht="15.6">
      <c r="B509" s="154"/>
    </row>
    <row r="510" spans="2:2" ht="15.6">
      <c r="B510" s="154"/>
    </row>
    <row r="511" spans="2:2" ht="15.6">
      <c r="B511" s="154"/>
    </row>
    <row r="512" spans="2:2" ht="15.6">
      <c r="B512" s="154"/>
    </row>
    <row r="513" spans="2:2" ht="15.6">
      <c r="B513" s="154"/>
    </row>
    <row r="514" spans="2:2" ht="15.6">
      <c r="B514" s="154"/>
    </row>
    <row r="515" spans="2:2" ht="15.6">
      <c r="B515" s="154"/>
    </row>
    <row r="516" spans="2:2" ht="15.6">
      <c r="B516" s="154"/>
    </row>
    <row r="517" spans="2:2" ht="15.6">
      <c r="B517" s="154"/>
    </row>
    <row r="518" spans="2:2" ht="15.6">
      <c r="B518" s="154"/>
    </row>
    <row r="519" spans="2:2" ht="15.6">
      <c r="B519" s="154"/>
    </row>
    <row r="520" spans="2:2" ht="15.6">
      <c r="B520" s="154"/>
    </row>
    <row r="521" spans="2:2" ht="15.6">
      <c r="B521" s="154"/>
    </row>
    <row r="522" spans="2:2" ht="15.6">
      <c r="B522" s="154"/>
    </row>
    <row r="523" spans="2:2" ht="15.6">
      <c r="B523" s="154"/>
    </row>
    <row r="524" spans="2:2" ht="15.6">
      <c r="B524" s="154"/>
    </row>
    <row r="525" spans="2:2" ht="15.6">
      <c r="B525" s="154"/>
    </row>
    <row r="526" spans="2:2" ht="15.6">
      <c r="B526" s="154"/>
    </row>
    <row r="527" spans="2:2" ht="15.6">
      <c r="B527" s="154"/>
    </row>
    <row r="528" spans="2:2" ht="15.6">
      <c r="B528" s="154"/>
    </row>
    <row r="529" spans="2:2" ht="15.6">
      <c r="B529" s="154"/>
    </row>
    <row r="530" spans="2:2" ht="15.6">
      <c r="B530" s="154"/>
    </row>
    <row r="531" spans="2:2" ht="15.6">
      <c r="B531" s="154"/>
    </row>
    <row r="532" spans="2:2" ht="15.6">
      <c r="B532" s="154"/>
    </row>
    <row r="533" spans="2:2" ht="15.6">
      <c r="B533" s="154"/>
    </row>
    <row r="534" spans="2:2" ht="15.6">
      <c r="B534" s="154"/>
    </row>
    <row r="535" spans="2:2" ht="15.6">
      <c r="B535" s="154"/>
    </row>
    <row r="536" spans="2:2" ht="15.6">
      <c r="B536" s="154"/>
    </row>
    <row r="537" spans="2:2" ht="15.6">
      <c r="B537" s="154"/>
    </row>
    <row r="538" spans="2:2" ht="15.6">
      <c r="B538" s="154"/>
    </row>
    <row r="539" spans="2:2" ht="15.6">
      <c r="B539" s="154"/>
    </row>
    <row r="540" spans="2:2" ht="15.6">
      <c r="B540" s="154"/>
    </row>
    <row r="541" spans="2:2" ht="15.6">
      <c r="B541" s="154"/>
    </row>
    <row r="542" spans="2:2" ht="15.6">
      <c r="B542" s="154"/>
    </row>
    <row r="543" spans="2:2" ht="15.6">
      <c r="B543" s="154"/>
    </row>
    <row r="544" spans="2:2" ht="15.6">
      <c r="B544" s="154"/>
    </row>
    <row r="545" spans="2:2" ht="15.6">
      <c r="B545" s="154"/>
    </row>
    <row r="546" spans="2:2" ht="15.6">
      <c r="B546" s="154"/>
    </row>
    <row r="547" spans="2:2" ht="15.6">
      <c r="B547" s="154"/>
    </row>
    <row r="548" spans="2:2" ht="15.6">
      <c r="B548" s="154"/>
    </row>
    <row r="549" spans="2:2" ht="15.6">
      <c r="B549" s="154"/>
    </row>
    <row r="550" spans="2:2" ht="15.6">
      <c r="B550" s="154"/>
    </row>
    <row r="551" spans="2:2" ht="15.6">
      <c r="B551" s="154"/>
    </row>
    <row r="552" spans="2:2" ht="15.6">
      <c r="B552" s="154"/>
    </row>
    <row r="553" spans="2:2" ht="15.6">
      <c r="B553" s="154"/>
    </row>
    <row r="554" spans="2:2" ht="15.6">
      <c r="B554" s="154"/>
    </row>
    <row r="555" spans="2:2" ht="15.6">
      <c r="B555" s="154"/>
    </row>
    <row r="556" spans="2:2" ht="15.6">
      <c r="B556" s="154"/>
    </row>
    <row r="557" spans="2:2" ht="15.6">
      <c r="B557" s="154"/>
    </row>
    <row r="558" spans="2:2" ht="15.6">
      <c r="B558" s="154"/>
    </row>
    <row r="559" spans="2:2" ht="15.6">
      <c r="B559" s="154"/>
    </row>
    <row r="560" spans="2:2" ht="15.6">
      <c r="B560" s="154"/>
    </row>
    <row r="561" spans="2:2" ht="15.6">
      <c r="B561" s="154"/>
    </row>
    <row r="562" spans="2:2" ht="15.6">
      <c r="B562" s="154"/>
    </row>
    <row r="563" spans="2:2" ht="15.6">
      <c r="B563" s="154"/>
    </row>
    <row r="564" spans="2:2" ht="15.6">
      <c r="B564" s="154"/>
    </row>
    <row r="565" spans="2:2" ht="15.6">
      <c r="B565" s="154"/>
    </row>
    <row r="566" spans="2:2" ht="15.6">
      <c r="B566" s="154"/>
    </row>
    <row r="567" spans="2:2" ht="15.6">
      <c r="B567" s="154"/>
    </row>
    <row r="568" spans="2:2" ht="15.6">
      <c r="B568" s="154"/>
    </row>
    <row r="569" spans="2:2" ht="15.6">
      <c r="B569" s="154"/>
    </row>
    <row r="570" spans="2:2" ht="15.6">
      <c r="B570" s="154"/>
    </row>
    <row r="571" spans="2:2" ht="15.6">
      <c r="B571" s="154"/>
    </row>
    <row r="572" spans="2:2" ht="15.6">
      <c r="B572" s="154"/>
    </row>
    <row r="573" spans="2:2" ht="15.6">
      <c r="B573" s="154"/>
    </row>
    <row r="574" spans="2:2" ht="15.6">
      <c r="B574" s="154"/>
    </row>
    <row r="575" spans="2:2" ht="15.6">
      <c r="B575" s="154"/>
    </row>
    <row r="576" spans="2:2" ht="15.6">
      <c r="B576" s="154"/>
    </row>
    <row r="577" spans="2:2" ht="15.6">
      <c r="B577" s="154"/>
    </row>
    <row r="578" spans="2:2" ht="15.6">
      <c r="B578" s="154"/>
    </row>
    <row r="579" spans="2:2" ht="15.6">
      <c r="B579" s="154"/>
    </row>
    <row r="580" spans="2:2" ht="15.6">
      <c r="B580" s="154"/>
    </row>
    <row r="581" spans="2:2" ht="15.6">
      <c r="B581" s="154"/>
    </row>
    <row r="582" spans="2:2" ht="15.6">
      <c r="B582" s="154"/>
    </row>
    <row r="583" spans="2:2" ht="15.6">
      <c r="B583" s="154"/>
    </row>
    <row r="584" spans="2:2" ht="15.6">
      <c r="B584" s="154"/>
    </row>
    <row r="585" spans="2:2" ht="15.6">
      <c r="B585" s="154"/>
    </row>
    <row r="586" spans="2:2" ht="15.6">
      <c r="B586" s="154"/>
    </row>
    <row r="587" spans="2:2" ht="15.6">
      <c r="B587" s="154"/>
    </row>
    <row r="588" spans="2:2" ht="15.6">
      <c r="B588" s="154"/>
    </row>
    <row r="589" spans="2:2" ht="15.6">
      <c r="B589" s="154"/>
    </row>
    <row r="590" spans="2:2" ht="15.6">
      <c r="B590" s="154"/>
    </row>
    <row r="591" spans="2:2" ht="15.6">
      <c r="B591" s="154"/>
    </row>
    <row r="592" spans="2:2" ht="15.6">
      <c r="B592" s="154"/>
    </row>
    <row r="593" spans="2:2" ht="15.6">
      <c r="B593" s="154"/>
    </row>
    <row r="594" spans="2:2" ht="15.6">
      <c r="B594" s="154"/>
    </row>
    <row r="595" spans="2:2" ht="15.6">
      <c r="B595" s="154"/>
    </row>
    <row r="596" spans="2:2" ht="15.6">
      <c r="B596" s="154"/>
    </row>
    <row r="597" spans="2:2" ht="15.6">
      <c r="B597" s="154"/>
    </row>
    <row r="598" spans="2:2" ht="15.6">
      <c r="B598" s="154"/>
    </row>
    <row r="599" spans="2:2" ht="15.6">
      <c r="B599" s="154"/>
    </row>
    <row r="600" spans="2:2" ht="15.6">
      <c r="B600" s="154"/>
    </row>
    <row r="601" spans="2:2" ht="15.6">
      <c r="B601" s="154"/>
    </row>
    <row r="602" spans="2:2" ht="15.6">
      <c r="B602" s="154"/>
    </row>
    <row r="603" spans="2:2" ht="15.6">
      <c r="B603" s="154"/>
    </row>
    <row r="604" spans="2:2" ht="15.6">
      <c r="B604" s="154"/>
    </row>
    <row r="605" spans="2:2" ht="15.6">
      <c r="B605" s="154"/>
    </row>
    <row r="606" spans="2:2" ht="15.6">
      <c r="B606" s="154"/>
    </row>
    <row r="607" spans="2:2" ht="15.6">
      <c r="B607" s="154"/>
    </row>
    <row r="608" spans="2:2" ht="15.6">
      <c r="B608" s="154"/>
    </row>
    <row r="609" spans="2:2" ht="15.6">
      <c r="B609" s="154"/>
    </row>
    <row r="610" spans="2:2" ht="15.6">
      <c r="B610" s="154"/>
    </row>
    <row r="611" spans="2:2" ht="15.6">
      <c r="B611" s="154"/>
    </row>
    <row r="612" spans="2:2" ht="15.6">
      <c r="B612" s="154"/>
    </row>
    <row r="613" spans="2:2" ht="15.6">
      <c r="B613" s="154"/>
    </row>
    <row r="614" spans="2:2" ht="15.6">
      <c r="B614" s="154"/>
    </row>
    <row r="615" spans="2:2" ht="15.6">
      <c r="B615" s="154"/>
    </row>
    <row r="616" spans="2:2" ht="15.6">
      <c r="B616" s="154"/>
    </row>
    <row r="617" spans="2:2" ht="15.6">
      <c r="B617" s="154"/>
    </row>
    <row r="618" spans="2:2" ht="15.6">
      <c r="B618" s="154"/>
    </row>
    <row r="619" spans="2:2" ht="15.6">
      <c r="B619" s="154"/>
    </row>
    <row r="620" spans="2:2" ht="15.6">
      <c r="B620" s="154"/>
    </row>
    <row r="621" spans="2:2" ht="15.6">
      <c r="B621" s="154"/>
    </row>
    <row r="622" spans="2:2" ht="15.6">
      <c r="B622" s="154"/>
    </row>
    <row r="623" spans="2:2" ht="15.6">
      <c r="B623" s="154"/>
    </row>
    <row r="624" spans="2:2" ht="15.6">
      <c r="B624" s="154"/>
    </row>
    <row r="625" spans="2:2" ht="15.6">
      <c r="B625" s="154"/>
    </row>
    <row r="626" spans="2:2" ht="15.6">
      <c r="B626" s="154"/>
    </row>
    <row r="627" spans="2:2" ht="15.6">
      <c r="B627" s="154"/>
    </row>
    <row r="628" spans="2:2" ht="15.6">
      <c r="B628" s="154"/>
    </row>
    <row r="629" spans="2:2" ht="15.6">
      <c r="B629" s="154"/>
    </row>
    <row r="630" spans="2:2" ht="15.6">
      <c r="B630" s="154"/>
    </row>
    <row r="631" spans="2:2" ht="15.6">
      <c r="B631" s="154"/>
    </row>
    <row r="632" spans="2:2" ht="15.6">
      <c r="B632" s="154"/>
    </row>
    <row r="633" spans="2:2" ht="15.6">
      <c r="B633" s="154"/>
    </row>
    <row r="634" spans="2:2" ht="15.6">
      <c r="B634" s="154"/>
    </row>
    <row r="635" spans="2:2" ht="15.6">
      <c r="B635" s="154"/>
    </row>
    <row r="636" spans="2:2" ht="15.6">
      <c r="B636" s="154"/>
    </row>
    <row r="637" spans="2:2" ht="15.6">
      <c r="B637" s="154"/>
    </row>
    <row r="638" spans="2:2" ht="15.6">
      <c r="B638" s="154"/>
    </row>
    <row r="639" spans="2:2" ht="15.6">
      <c r="B639" s="154"/>
    </row>
    <row r="640" spans="2:2" ht="15.6">
      <c r="B640" s="154"/>
    </row>
    <row r="641" spans="2:2" ht="15.6">
      <c r="B641" s="154"/>
    </row>
    <row r="642" spans="2:2" ht="15.6">
      <c r="B642" s="154"/>
    </row>
    <row r="643" spans="2:2" ht="15.6">
      <c r="B643" s="154"/>
    </row>
    <row r="644" spans="2:2" ht="15.6">
      <c r="B644" s="154"/>
    </row>
    <row r="645" spans="2:2" ht="15.6">
      <c r="B645" s="154"/>
    </row>
    <row r="646" spans="2:2" ht="15.6">
      <c r="B646" s="154"/>
    </row>
    <row r="647" spans="2:2" ht="15.6">
      <c r="B647" s="154"/>
    </row>
    <row r="648" spans="2:2" ht="15.6">
      <c r="B648" s="154"/>
    </row>
    <row r="649" spans="2:2" ht="15.6">
      <c r="B649" s="154"/>
    </row>
    <row r="650" spans="2:2" ht="15.6">
      <c r="B650" s="154"/>
    </row>
    <row r="651" spans="2:2" ht="15.6">
      <c r="B651" s="154"/>
    </row>
    <row r="652" spans="2:2" ht="15.6">
      <c r="B652" s="154"/>
    </row>
    <row r="653" spans="2:2" ht="15.6">
      <c r="B653" s="154"/>
    </row>
    <row r="654" spans="2:2" ht="15.6">
      <c r="B654" s="154"/>
    </row>
    <row r="655" spans="2:2" ht="15.6">
      <c r="B655" s="154"/>
    </row>
    <row r="656" spans="2:2" ht="15.6">
      <c r="B656" s="154"/>
    </row>
    <row r="657" spans="2:2" ht="15.6">
      <c r="B657" s="154"/>
    </row>
    <row r="658" spans="2:2" ht="15.6">
      <c r="B658" s="154"/>
    </row>
    <row r="659" spans="2:2" ht="15.6">
      <c r="B659" s="154"/>
    </row>
    <row r="660" spans="2:2" ht="15.6">
      <c r="B660" s="154"/>
    </row>
    <row r="661" spans="2:2" ht="15.6">
      <c r="B661" s="154"/>
    </row>
    <row r="662" spans="2:2" ht="15.6">
      <c r="B662" s="154"/>
    </row>
    <row r="663" spans="2:2" ht="15.6">
      <c r="B663" s="154"/>
    </row>
    <row r="664" spans="2:2" ht="15.6">
      <c r="B664" s="154"/>
    </row>
    <row r="665" spans="2:2" ht="15.6">
      <c r="B665" s="154"/>
    </row>
    <row r="666" spans="2:2" ht="15.6">
      <c r="B666" s="154"/>
    </row>
    <row r="667" spans="2:2" ht="15.6">
      <c r="B667" s="154"/>
    </row>
    <row r="668" spans="2:2" ht="15.6">
      <c r="B668" s="154"/>
    </row>
    <row r="669" spans="2:2" ht="15.6">
      <c r="B669" s="154"/>
    </row>
    <row r="670" spans="2:2" ht="15.6">
      <c r="B670" s="154"/>
    </row>
    <row r="671" spans="2:2" ht="15.6">
      <c r="B671" s="154"/>
    </row>
    <row r="672" spans="2:2" ht="15.6">
      <c r="B672" s="154"/>
    </row>
    <row r="673" spans="2:2" ht="15.6">
      <c r="B673" s="154"/>
    </row>
    <row r="674" spans="2:2" ht="15.6">
      <c r="B674" s="154"/>
    </row>
    <row r="675" spans="2:2" ht="15.6">
      <c r="B675" s="154"/>
    </row>
    <row r="676" spans="2:2" ht="15.6">
      <c r="B676" s="154"/>
    </row>
    <row r="677" spans="2:2" ht="15.6">
      <c r="B677" s="154"/>
    </row>
    <row r="678" spans="2:2" ht="15.6">
      <c r="B678" s="154"/>
    </row>
    <row r="679" spans="2:2" ht="15.6">
      <c r="B679" s="154"/>
    </row>
    <row r="680" spans="2:2" ht="15.6">
      <c r="B680" s="154"/>
    </row>
    <row r="681" spans="2:2" ht="15.6">
      <c r="B681" s="154"/>
    </row>
    <row r="682" spans="2:2" ht="15.6">
      <c r="B682" s="154"/>
    </row>
    <row r="683" spans="2:2" ht="15.6">
      <c r="B683" s="154"/>
    </row>
    <row r="684" spans="2:2" ht="15.6">
      <c r="B684" s="154"/>
    </row>
    <row r="685" spans="2:2" ht="15.6">
      <c r="B685" s="154"/>
    </row>
    <row r="686" spans="2:2" ht="15.6">
      <c r="B686" s="154"/>
    </row>
    <row r="687" spans="2:2" ht="15.6">
      <c r="B687" s="154"/>
    </row>
    <row r="688" spans="2:2" ht="15.6">
      <c r="B688" s="154"/>
    </row>
    <row r="689" spans="2:2" ht="15.6">
      <c r="B689" s="154"/>
    </row>
    <row r="690" spans="2:2" ht="15.6">
      <c r="B690" s="154"/>
    </row>
    <row r="691" spans="2:2" ht="15.6">
      <c r="B691" s="154"/>
    </row>
    <row r="692" spans="2:2" ht="15.6">
      <c r="B692" s="154"/>
    </row>
    <row r="693" spans="2:2" ht="15.6">
      <c r="B693" s="154"/>
    </row>
    <row r="694" spans="2:2" ht="15.6">
      <c r="B694" s="154"/>
    </row>
    <row r="695" spans="2:2" ht="15.6">
      <c r="B695" s="154"/>
    </row>
    <row r="696" spans="2:2" ht="15.6">
      <c r="B696" s="154"/>
    </row>
    <row r="697" spans="2:2" ht="15.6">
      <c r="B697" s="154"/>
    </row>
    <row r="698" spans="2:2" ht="15.6">
      <c r="B698" s="154"/>
    </row>
    <row r="699" spans="2:2" ht="15.6">
      <c r="B699" s="154"/>
    </row>
    <row r="700" spans="2:2" ht="15.6">
      <c r="B700" s="154"/>
    </row>
    <row r="701" spans="2:2" ht="15.6">
      <c r="B701" s="154"/>
    </row>
    <row r="702" spans="2:2" ht="15.6">
      <c r="B702" s="154"/>
    </row>
    <row r="703" spans="2:2" ht="15.6">
      <c r="B703" s="154"/>
    </row>
    <row r="704" spans="2:2" ht="15.6">
      <c r="B704" s="154"/>
    </row>
    <row r="705" spans="2:2" ht="15.6">
      <c r="B705" s="154"/>
    </row>
    <row r="706" spans="2:2" ht="15.6">
      <c r="B706" s="154"/>
    </row>
    <row r="707" spans="2:2" ht="15.6">
      <c r="B707" s="154"/>
    </row>
    <row r="708" spans="2:2" ht="15.6">
      <c r="B708" s="154"/>
    </row>
    <row r="709" spans="2:2" ht="15.6">
      <c r="B709" s="154"/>
    </row>
    <row r="710" spans="2:2" ht="15.6">
      <c r="B710" s="154"/>
    </row>
    <row r="711" spans="2:2" ht="15.6">
      <c r="B711" s="154"/>
    </row>
    <row r="712" spans="2:2" ht="15.6">
      <c r="B712" s="154"/>
    </row>
    <row r="713" spans="2:2" ht="15.6">
      <c r="B713" s="154"/>
    </row>
    <row r="714" spans="2:2" ht="15.6">
      <c r="B714" s="154"/>
    </row>
    <row r="715" spans="2:2" ht="15.6">
      <c r="B715" s="154"/>
    </row>
    <row r="716" spans="2:2" ht="15.6">
      <c r="B716" s="154"/>
    </row>
    <row r="717" spans="2:2" ht="15.6">
      <c r="B717" s="154"/>
    </row>
    <row r="718" spans="2:2" ht="15.6">
      <c r="B718" s="154"/>
    </row>
    <row r="719" spans="2:2" ht="15.6">
      <c r="B719" s="154"/>
    </row>
    <row r="720" spans="2:2" ht="15.6">
      <c r="B720" s="154"/>
    </row>
    <row r="721" spans="2:2" ht="15.6">
      <c r="B721" s="154"/>
    </row>
    <row r="722" spans="2:2" ht="15.6">
      <c r="B722" s="154"/>
    </row>
    <row r="723" spans="2:2" ht="15.6">
      <c r="B723" s="154"/>
    </row>
    <row r="724" spans="2:2" ht="15.6">
      <c r="B724" s="154"/>
    </row>
    <row r="725" spans="2:2" ht="15.6">
      <c r="B725" s="154"/>
    </row>
    <row r="726" spans="2:2" ht="15.6">
      <c r="B726" s="154"/>
    </row>
    <row r="727" spans="2:2" ht="15.6">
      <c r="B727" s="154"/>
    </row>
    <row r="728" spans="2:2" ht="15.6">
      <c r="B728" s="154"/>
    </row>
    <row r="729" spans="2:2" ht="15.6">
      <c r="B729" s="154"/>
    </row>
    <row r="730" spans="2:2" ht="15.6">
      <c r="B730" s="154"/>
    </row>
    <row r="731" spans="2:2" ht="15.6">
      <c r="B731" s="154"/>
    </row>
    <row r="732" spans="2:2" ht="15.6">
      <c r="B732" s="154"/>
    </row>
    <row r="733" spans="2:2" ht="15.6">
      <c r="B733" s="154"/>
    </row>
    <row r="734" spans="2:2" ht="15.6">
      <c r="B734" s="154"/>
    </row>
    <row r="735" spans="2:2" ht="15.6">
      <c r="B735" s="154"/>
    </row>
    <row r="736" spans="2:2" ht="15.6">
      <c r="B736" s="154"/>
    </row>
    <row r="737" spans="2:2" ht="15.6">
      <c r="B737" s="154"/>
    </row>
    <row r="738" spans="2:2" ht="15.6">
      <c r="B738" s="154"/>
    </row>
    <row r="739" spans="2:2" ht="15.6">
      <c r="B739" s="154"/>
    </row>
    <row r="740" spans="2:2" ht="15.6">
      <c r="B740" s="154"/>
    </row>
    <row r="741" spans="2:2" ht="15.6">
      <c r="B741" s="154"/>
    </row>
    <row r="742" spans="2:2" ht="15.6">
      <c r="B742" s="154"/>
    </row>
    <row r="743" spans="2:2" ht="15.6">
      <c r="B743" s="154"/>
    </row>
    <row r="744" spans="2:2" ht="15.6">
      <c r="B744" s="154"/>
    </row>
    <row r="745" spans="2:2" ht="15.6">
      <c r="B745" s="154"/>
    </row>
    <row r="746" spans="2:2" ht="15.6">
      <c r="B746" s="154"/>
    </row>
    <row r="747" spans="2:2" ht="15.6">
      <c r="B747" s="154"/>
    </row>
    <row r="748" spans="2:2" ht="15.6">
      <c r="B748" s="154"/>
    </row>
    <row r="749" spans="2:2" ht="15.6">
      <c r="B749" s="154"/>
    </row>
    <row r="750" spans="2:2" ht="15.6">
      <c r="B750" s="154"/>
    </row>
    <row r="751" spans="2:2" ht="15.6">
      <c r="B751" s="154"/>
    </row>
    <row r="752" spans="2:2" ht="15.6">
      <c r="B752" s="154"/>
    </row>
    <row r="753" spans="2:2" ht="15.6">
      <c r="B753" s="154"/>
    </row>
    <row r="754" spans="2:2" ht="15.6">
      <c r="B754" s="154"/>
    </row>
    <row r="755" spans="2:2" ht="15.6">
      <c r="B755" s="154"/>
    </row>
    <row r="756" spans="2:2" ht="15.6">
      <c r="B756" s="154"/>
    </row>
    <row r="757" spans="2:2" ht="15.6">
      <c r="B757" s="154"/>
    </row>
    <row r="758" spans="2:2" ht="15.6">
      <c r="B758" s="154"/>
    </row>
    <row r="759" spans="2:2" ht="15.6">
      <c r="B759" s="154"/>
    </row>
    <row r="760" spans="2:2" ht="15.6">
      <c r="B760" s="154"/>
    </row>
    <row r="761" spans="2:2" ht="15.6">
      <c r="B761" s="154"/>
    </row>
    <row r="762" spans="2:2" ht="15.6">
      <c r="B762" s="154"/>
    </row>
    <row r="763" spans="2:2" ht="15.6">
      <c r="B763" s="154"/>
    </row>
    <row r="764" spans="2:2" ht="15.6">
      <c r="B764" s="154"/>
    </row>
    <row r="765" spans="2:2" ht="15.6">
      <c r="B765" s="154"/>
    </row>
    <row r="766" spans="2:2" ht="15.6">
      <c r="B766" s="154"/>
    </row>
    <row r="767" spans="2:2" ht="15.6">
      <c r="B767" s="154"/>
    </row>
    <row r="768" spans="2:2" ht="15.6">
      <c r="B768" s="154"/>
    </row>
    <row r="769" spans="2:2" ht="15.6">
      <c r="B769" s="154"/>
    </row>
    <row r="770" spans="2:2" ht="15.6">
      <c r="B770" s="154"/>
    </row>
    <row r="771" spans="2:2" ht="15.6">
      <c r="B771" s="154"/>
    </row>
    <row r="772" spans="2:2" ht="15.6">
      <c r="B772" s="154"/>
    </row>
    <row r="773" spans="2:2" ht="15.6">
      <c r="B773" s="154"/>
    </row>
    <row r="774" spans="2:2" ht="15.6">
      <c r="B774" s="154"/>
    </row>
    <row r="775" spans="2:2" ht="15.6">
      <c r="B775" s="154"/>
    </row>
    <row r="776" spans="2:2" ht="15.6">
      <c r="B776" s="154"/>
    </row>
    <row r="777" spans="2:2" ht="15.6">
      <c r="B777" s="154"/>
    </row>
    <row r="778" spans="2:2" ht="15.6">
      <c r="B778" s="154"/>
    </row>
    <row r="779" spans="2:2" ht="15.6">
      <c r="B779" s="154"/>
    </row>
    <row r="780" spans="2:2" ht="15.6">
      <c r="B780" s="154"/>
    </row>
    <row r="781" spans="2:2" ht="15.6">
      <c r="B781" s="154"/>
    </row>
    <row r="782" spans="2:2" ht="15.6">
      <c r="B782" s="154"/>
    </row>
    <row r="783" spans="2:2" ht="15.6">
      <c r="B783" s="154"/>
    </row>
    <row r="784" spans="2:2" ht="15.6">
      <c r="B784" s="154"/>
    </row>
    <row r="785" spans="2:2" ht="15.6">
      <c r="B785" s="154"/>
    </row>
    <row r="786" spans="2:2" ht="15.6">
      <c r="B786" s="154"/>
    </row>
    <row r="787" spans="2:2" ht="15.6">
      <c r="B787" s="154"/>
    </row>
    <row r="788" spans="2:2" ht="15.6">
      <c r="B788" s="154"/>
    </row>
    <row r="789" spans="2:2" ht="15.6">
      <c r="B789" s="154"/>
    </row>
    <row r="790" spans="2:2" ht="15.6">
      <c r="B790" s="154"/>
    </row>
    <row r="791" spans="2:2" ht="15.6">
      <c r="B791" s="154"/>
    </row>
    <row r="792" spans="2:2" ht="15.6">
      <c r="B792" s="154"/>
    </row>
    <row r="793" spans="2:2" ht="15.6">
      <c r="B793" s="154"/>
    </row>
    <row r="794" spans="2:2" ht="15.6">
      <c r="B794" s="154"/>
    </row>
    <row r="795" spans="2:2" ht="15.6">
      <c r="B795" s="154"/>
    </row>
    <row r="796" spans="2:2" ht="15.6">
      <c r="B796" s="154"/>
    </row>
    <row r="797" spans="2:2" ht="15.6">
      <c r="B797" s="154"/>
    </row>
    <row r="798" spans="2:2" ht="15.6">
      <c r="B798" s="154"/>
    </row>
    <row r="799" spans="2:2" ht="15.6">
      <c r="B799" s="154"/>
    </row>
    <row r="800" spans="2:2" ht="15.6">
      <c r="B800" s="154"/>
    </row>
    <row r="801" spans="2:2" ht="15.6">
      <c r="B801" s="154"/>
    </row>
    <row r="802" spans="2:2" ht="15.6">
      <c r="B802" s="154"/>
    </row>
    <row r="803" spans="2:2" ht="15.6">
      <c r="B803" s="154"/>
    </row>
    <row r="804" spans="2:2" ht="15.6">
      <c r="B804" s="154"/>
    </row>
    <row r="805" spans="2:2" ht="15.6">
      <c r="B805" s="154"/>
    </row>
    <row r="806" spans="2:2" ht="15.6">
      <c r="B806" s="154"/>
    </row>
    <row r="807" spans="2:2" ht="15.6">
      <c r="B807" s="154"/>
    </row>
    <row r="808" spans="2:2" ht="15.6">
      <c r="B808" s="154"/>
    </row>
    <row r="809" spans="2:2" ht="15.6">
      <c r="B809" s="154"/>
    </row>
    <row r="810" spans="2:2" ht="15.6">
      <c r="B810" s="154"/>
    </row>
    <row r="811" spans="2:2" ht="15.6">
      <c r="B811" s="154"/>
    </row>
    <row r="812" spans="2:2" ht="15.6">
      <c r="B812" s="154"/>
    </row>
    <row r="813" spans="2:2" ht="15.6">
      <c r="B813" s="154"/>
    </row>
    <row r="814" spans="2:2" ht="15.6">
      <c r="B814" s="154"/>
    </row>
    <row r="815" spans="2:2" ht="15.6">
      <c r="B815" s="154"/>
    </row>
    <row r="816" spans="2:2" ht="15.6">
      <c r="B816" s="154"/>
    </row>
    <row r="817" spans="2:2" ht="15.6">
      <c r="B817" s="154"/>
    </row>
    <row r="818" spans="2:2" ht="15.6">
      <c r="B818" s="154"/>
    </row>
    <row r="819" spans="2:2" ht="15.6">
      <c r="B819" s="154"/>
    </row>
    <row r="820" spans="2:2" ht="15.6">
      <c r="B820" s="154"/>
    </row>
    <row r="821" spans="2:2" ht="15.6">
      <c r="B821" s="154"/>
    </row>
    <row r="822" spans="2:2" ht="15.6">
      <c r="B822" s="154"/>
    </row>
    <row r="823" spans="2:2" ht="15.6">
      <c r="B823" s="154"/>
    </row>
    <row r="824" spans="2:2" ht="15.6">
      <c r="B824" s="154"/>
    </row>
    <row r="825" spans="2:2" ht="15.6">
      <c r="B825" s="154"/>
    </row>
    <row r="826" spans="2:2" ht="15.6">
      <c r="B826" s="154"/>
    </row>
    <row r="827" spans="2:2" ht="15.6">
      <c r="B827" s="154"/>
    </row>
    <row r="828" spans="2:2" ht="15.6">
      <c r="B828" s="154"/>
    </row>
    <row r="829" spans="2:2" ht="15.6">
      <c r="B829" s="154"/>
    </row>
    <row r="830" spans="2:2" ht="15.6">
      <c r="B830" s="154"/>
    </row>
    <row r="831" spans="2:2" ht="15.6">
      <c r="B831" s="154"/>
    </row>
    <row r="832" spans="2:2" ht="15.6">
      <c r="B832" s="154"/>
    </row>
    <row r="833" spans="2:2" ht="15.6">
      <c r="B833" s="154"/>
    </row>
    <row r="834" spans="2:2" ht="15.6">
      <c r="B834" s="154"/>
    </row>
    <row r="835" spans="2:2" ht="15.6">
      <c r="B835" s="154"/>
    </row>
    <row r="836" spans="2:2" ht="15.6">
      <c r="B836" s="154"/>
    </row>
    <row r="837" spans="2:2" ht="15.6">
      <c r="B837" s="154"/>
    </row>
    <row r="838" spans="2:2" ht="15.6">
      <c r="B838" s="154"/>
    </row>
    <row r="839" spans="2:2" ht="15.6">
      <c r="B839" s="154"/>
    </row>
    <row r="840" spans="2:2" ht="15.6">
      <c r="B840" s="154"/>
    </row>
    <row r="841" spans="2:2" ht="15.6">
      <c r="B841" s="154"/>
    </row>
    <row r="842" spans="2:2" ht="15.6">
      <c r="B842" s="154"/>
    </row>
    <row r="843" spans="2:2" ht="15.6">
      <c r="B843" s="154"/>
    </row>
    <row r="844" spans="2:2" ht="15.6">
      <c r="B844" s="154"/>
    </row>
    <row r="845" spans="2:2" ht="15.6">
      <c r="B845" s="154"/>
    </row>
    <row r="846" spans="2:2" ht="15.6">
      <c r="B846" s="154"/>
    </row>
    <row r="847" spans="2:2" ht="15.6">
      <c r="B847" s="154"/>
    </row>
    <row r="848" spans="2:2" ht="15.6">
      <c r="B848" s="154"/>
    </row>
    <row r="849" spans="2:2" ht="15.6">
      <c r="B849" s="154"/>
    </row>
    <row r="850" spans="2:2" ht="15.6">
      <c r="B850" s="154"/>
    </row>
    <row r="851" spans="2:2" ht="15.6">
      <c r="B851" s="154"/>
    </row>
    <row r="852" spans="2:2" ht="15.6">
      <c r="B852" s="154"/>
    </row>
    <row r="853" spans="2:2" ht="15.6">
      <c r="B853" s="154"/>
    </row>
    <row r="854" spans="2:2" ht="15.6">
      <c r="B854" s="154"/>
    </row>
    <row r="855" spans="2:2" ht="15.6">
      <c r="B855" s="154"/>
    </row>
    <row r="856" spans="2:2" ht="15.6">
      <c r="B856" s="154"/>
    </row>
    <row r="857" spans="2:2" ht="15.6">
      <c r="B857" s="154"/>
    </row>
    <row r="858" spans="2:2" ht="15.6">
      <c r="B858" s="154"/>
    </row>
    <row r="859" spans="2:2" ht="15.6">
      <c r="B859" s="154"/>
    </row>
    <row r="860" spans="2:2" ht="15.6">
      <c r="B860" s="154"/>
    </row>
    <row r="861" spans="2:2" ht="15.6">
      <c r="B861" s="154"/>
    </row>
    <row r="862" spans="2:2" ht="15.6">
      <c r="B862" s="154"/>
    </row>
    <row r="863" spans="2:2" ht="15.6">
      <c r="B863" s="154"/>
    </row>
    <row r="864" spans="2:2" ht="15.6">
      <c r="B864" s="154"/>
    </row>
    <row r="865" spans="2:2" ht="15.6">
      <c r="B865" s="154"/>
    </row>
    <row r="866" spans="2:2" ht="15.6">
      <c r="B866" s="154"/>
    </row>
    <row r="867" spans="2:2" ht="15.6">
      <c r="B867" s="154"/>
    </row>
    <row r="868" spans="2:2" ht="15.6">
      <c r="B868" s="154"/>
    </row>
    <row r="869" spans="2:2" ht="15.6">
      <c r="B869" s="154"/>
    </row>
    <row r="870" spans="2:2" ht="15.6">
      <c r="B870" s="154"/>
    </row>
    <row r="871" spans="2:2" ht="15.6">
      <c r="B871" s="154"/>
    </row>
    <row r="872" spans="2:2" ht="15.6">
      <c r="B872" s="154"/>
    </row>
    <row r="873" spans="2:2" ht="15.6">
      <c r="B873" s="154"/>
    </row>
    <row r="874" spans="2:2" ht="15.6">
      <c r="B874" s="154"/>
    </row>
    <row r="875" spans="2:2" ht="15.6">
      <c r="B875" s="154"/>
    </row>
    <row r="876" spans="2:2" ht="15.6">
      <c r="B876" s="154"/>
    </row>
    <row r="877" spans="2:2" ht="15.6">
      <c r="B877" s="154"/>
    </row>
    <row r="878" spans="2:2" ht="15.6">
      <c r="B878" s="154"/>
    </row>
    <row r="879" spans="2:2" ht="15.6">
      <c r="B879" s="154"/>
    </row>
    <row r="880" spans="2:2" ht="15.6">
      <c r="B880" s="154"/>
    </row>
    <row r="881" spans="2:2" ht="15.6">
      <c r="B881" s="154"/>
    </row>
    <row r="882" spans="2:2" ht="15.6">
      <c r="B882" s="154"/>
    </row>
    <row r="883" spans="2:2" ht="15.6">
      <c r="B883" s="154"/>
    </row>
    <row r="884" spans="2:2" ht="15.6">
      <c r="B884" s="154"/>
    </row>
    <row r="885" spans="2:2" ht="15.6">
      <c r="B885" s="154"/>
    </row>
    <row r="886" spans="2:2" ht="15.6">
      <c r="B886" s="154"/>
    </row>
    <row r="887" spans="2:2" ht="15.6">
      <c r="B887" s="154"/>
    </row>
    <row r="888" spans="2:2" ht="15.6">
      <c r="B888" s="154"/>
    </row>
    <row r="889" spans="2:2" ht="15.6">
      <c r="B889" s="154"/>
    </row>
    <row r="890" spans="2:2" ht="15.6">
      <c r="B890" s="154"/>
    </row>
    <row r="891" spans="2:2" ht="15.6">
      <c r="B891" s="154"/>
    </row>
    <row r="892" spans="2:2" ht="15.6">
      <c r="B892" s="154"/>
    </row>
    <row r="893" spans="2:2" ht="15.6">
      <c r="B893" s="154"/>
    </row>
    <row r="894" spans="2:2" ht="15.6">
      <c r="B894" s="154"/>
    </row>
    <row r="895" spans="2:2" ht="15.6">
      <c r="B895" s="154"/>
    </row>
    <row r="896" spans="2:2" ht="15.6">
      <c r="B896" s="154"/>
    </row>
    <row r="897" spans="2:2" ht="15.6">
      <c r="B897" s="154"/>
    </row>
    <row r="898" spans="2:2" ht="15.6">
      <c r="B898" s="154"/>
    </row>
    <row r="899" spans="2:2" ht="15.6">
      <c r="B899" s="154"/>
    </row>
    <row r="900" spans="2:2" ht="15.6">
      <c r="B900" s="154"/>
    </row>
    <row r="901" spans="2:2" ht="15.6">
      <c r="B901" s="154"/>
    </row>
    <row r="902" spans="2:2" ht="15.6">
      <c r="B902" s="154"/>
    </row>
    <row r="903" spans="2:2" ht="15.6">
      <c r="B903" s="154"/>
    </row>
    <row r="904" spans="2:2" ht="15.6">
      <c r="B904" s="154"/>
    </row>
    <row r="905" spans="2:2" ht="15.6">
      <c r="B905" s="154"/>
    </row>
    <row r="906" spans="2:2" ht="15.6">
      <c r="B906" s="154"/>
    </row>
    <row r="907" spans="2:2" ht="15.6">
      <c r="B907" s="154"/>
    </row>
    <row r="908" spans="2:2" ht="15.6">
      <c r="B908" s="154"/>
    </row>
    <row r="909" spans="2:2" ht="15.6">
      <c r="B909" s="154"/>
    </row>
    <row r="910" spans="2:2" ht="15.6">
      <c r="B910" s="154"/>
    </row>
    <row r="911" spans="2:2" ht="15.6">
      <c r="B911" s="154"/>
    </row>
    <row r="912" spans="2:2" ht="15.6">
      <c r="B912" s="154"/>
    </row>
    <row r="913" spans="2:2" ht="15.6">
      <c r="B913" s="154"/>
    </row>
    <row r="914" spans="2:2" ht="15.6">
      <c r="B914" s="154"/>
    </row>
    <row r="915" spans="2:2" ht="15.6">
      <c r="B915" s="154"/>
    </row>
    <row r="916" spans="2:2" ht="15.6">
      <c r="B916" s="154"/>
    </row>
    <row r="917" spans="2:2" ht="15.6">
      <c r="B917" s="154"/>
    </row>
    <row r="918" spans="2:2" ht="15.6">
      <c r="B918" s="154"/>
    </row>
    <row r="919" spans="2:2" ht="15.6">
      <c r="B919" s="154"/>
    </row>
    <row r="920" spans="2:2" ht="15.6">
      <c r="B920" s="154"/>
    </row>
    <row r="921" spans="2:2" ht="15.6">
      <c r="B921" s="154"/>
    </row>
    <row r="922" spans="2:2" ht="15.6">
      <c r="B922" s="154"/>
    </row>
    <row r="923" spans="2:2" ht="15.6">
      <c r="B923" s="154"/>
    </row>
    <row r="924" spans="2:2" ht="15.6">
      <c r="B924" s="154"/>
    </row>
    <row r="925" spans="2:2" ht="15.6">
      <c r="B925" s="154"/>
    </row>
    <row r="926" spans="2:2" ht="15.6">
      <c r="B926" s="154"/>
    </row>
    <row r="927" spans="2:2" ht="15.6">
      <c r="B927" s="154"/>
    </row>
    <row r="928" spans="2:2" ht="15.6">
      <c r="B928" s="154"/>
    </row>
    <row r="929" spans="2:2" ht="15.6">
      <c r="B929" s="154"/>
    </row>
    <row r="930" spans="2:2" ht="15.6">
      <c r="B930" s="154"/>
    </row>
    <row r="931" spans="2:2" ht="15.6">
      <c r="B931" s="154"/>
    </row>
    <row r="932" spans="2:2" ht="15.6">
      <c r="B932" s="154"/>
    </row>
    <row r="933" spans="2:2" ht="15.6">
      <c r="B933" s="154"/>
    </row>
    <row r="934" spans="2:2" ht="15.6">
      <c r="B934" s="154"/>
    </row>
    <row r="935" spans="2:2" ht="15.6">
      <c r="B935" s="154"/>
    </row>
    <row r="936" spans="2:2" ht="15.6">
      <c r="B936" s="154"/>
    </row>
    <row r="937" spans="2:2" ht="15.6">
      <c r="B937" s="154"/>
    </row>
    <row r="938" spans="2:2" ht="15.6">
      <c r="B938" s="154"/>
    </row>
    <row r="939" spans="2:2" ht="15.6">
      <c r="B939" s="154"/>
    </row>
    <row r="940" spans="2:2" ht="15.6">
      <c r="B940" s="154"/>
    </row>
    <row r="941" spans="2:2" ht="15.6">
      <c r="B941" s="154"/>
    </row>
    <row r="942" spans="2:2" ht="15.6">
      <c r="B942" s="154"/>
    </row>
    <row r="943" spans="2:2" ht="15.6">
      <c r="B943" s="154"/>
    </row>
    <row r="944" spans="2:2" ht="15.6">
      <c r="B944" s="154"/>
    </row>
    <row r="945" spans="2:2" ht="15.6">
      <c r="B945" s="154"/>
    </row>
    <row r="946" spans="2:2" ht="15.6">
      <c r="B946" s="154"/>
    </row>
    <row r="947" spans="2:2" ht="15.6">
      <c r="B947" s="154"/>
    </row>
    <row r="948" spans="2:2" ht="15.6">
      <c r="B948" s="154"/>
    </row>
    <row r="949" spans="2:2" ht="15.6">
      <c r="B949" s="154"/>
    </row>
    <row r="950" spans="2:2" ht="15.6">
      <c r="B950" s="154"/>
    </row>
    <row r="951" spans="2:2" ht="15.6">
      <c r="B951" s="154"/>
    </row>
    <row r="952" spans="2:2" ht="15.6">
      <c r="B952" s="154"/>
    </row>
    <row r="953" spans="2:2" ht="15.6">
      <c r="B953" s="154"/>
    </row>
    <row r="954" spans="2:2" ht="15.6">
      <c r="B954" s="154"/>
    </row>
    <row r="955" spans="2:2" ht="15.6">
      <c r="B955" s="154"/>
    </row>
    <row r="956" spans="2:2" ht="15.6">
      <c r="B956" s="154"/>
    </row>
    <row r="957" spans="2:2" ht="15.6">
      <c r="B957" s="154"/>
    </row>
    <row r="958" spans="2:2" ht="15.6">
      <c r="B958" s="154"/>
    </row>
    <row r="959" spans="2:2" ht="15.6">
      <c r="B959" s="154"/>
    </row>
    <row r="960" spans="2:2" ht="15.6">
      <c r="B960" s="154"/>
    </row>
    <row r="961" spans="2:2" ht="15.6">
      <c r="B961" s="154"/>
    </row>
    <row r="962" spans="2:2" ht="15.6">
      <c r="B962" s="154"/>
    </row>
    <row r="963" spans="2:2" ht="15.6">
      <c r="B963" s="154"/>
    </row>
    <row r="964" spans="2:2" ht="15.6">
      <c r="B964" s="154"/>
    </row>
    <row r="965" spans="2:2" ht="15.6">
      <c r="B965" s="154"/>
    </row>
    <row r="966" spans="2:2" ht="15.6">
      <c r="B966" s="154"/>
    </row>
    <row r="967" spans="2:2" ht="15.6">
      <c r="B967" s="154"/>
    </row>
    <row r="968" spans="2:2" ht="15.6">
      <c r="B968" s="154"/>
    </row>
    <row r="969" spans="2:2" ht="15.6">
      <c r="B969" s="154"/>
    </row>
    <row r="970" spans="2:2" ht="15.6">
      <c r="B970" s="154"/>
    </row>
    <row r="971" spans="2:2" ht="15.6">
      <c r="B971" s="154"/>
    </row>
    <row r="972" spans="2:2" ht="15.6">
      <c r="B972" s="154"/>
    </row>
    <row r="973" spans="2:2" ht="15.6">
      <c r="B973" s="154"/>
    </row>
    <row r="974" spans="2:2" ht="15.6">
      <c r="B974" s="154"/>
    </row>
    <row r="975" spans="2:2" ht="15.6">
      <c r="B975" s="154"/>
    </row>
    <row r="976" spans="2:2" ht="15.6">
      <c r="B976" s="154"/>
    </row>
    <row r="977" spans="2:2" ht="15.6">
      <c r="B977" s="154"/>
    </row>
    <row r="978" spans="2:2" ht="15.6">
      <c r="B978" s="154"/>
    </row>
    <row r="979" spans="2:2" ht="15.6">
      <c r="B979" s="154"/>
    </row>
    <row r="980" spans="2:2" ht="15.6">
      <c r="B980" s="154"/>
    </row>
    <row r="981" spans="2:2" ht="15.6">
      <c r="B981" s="154"/>
    </row>
    <row r="982" spans="2:2" ht="15.6">
      <c r="B982" s="154"/>
    </row>
    <row r="983" spans="2:2" ht="15.6">
      <c r="B983" s="154"/>
    </row>
    <row r="984" spans="2:2" ht="15.6">
      <c r="B984" s="154"/>
    </row>
    <row r="985" spans="2:2" ht="15.6">
      <c r="B985" s="154"/>
    </row>
    <row r="986" spans="2:2" ht="15.6">
      <c r="B986" s="154"/>
    </row>
    <row r="987" spans="2:2" ht="15.6">
      <c r="B987" s="154"/>
    </row>
    <row r="988" spans="2:2" ht="15.6">
      <c r="B988" s="154"/>
    </row>
    <row r="989" spans="2:2" ht="15.6">
      <c r="B989" s="154"/>
    </row>
    <row r="990" spans="2:2" ht="15.6">
      <c r="B990" s="154"/>
    </row>
    <row r="991" spans="2:2" ht="15.6">
      <c r="B991" s="154"/>
    </row>
    <row r="992" spans="2:2" ht="15.6">
      <c r="B992" s="154"/>
    </row>
    <row r="993" spans="2:2" ht="15.6">
      <c r="B993" s="154"/>
    </row>
    <row r="994" spans="2:2" ht="15.6">
      <c r="B994" s="154"/>
    </row>
    <row r="995" spans="2:2" ht="15.6">
      <c r="B995" s="154"/>
    </row>
    <row r="996" spans="2:2" ht="15.6">
      <c r="B996" s="154"/>
    </row>
    <row r="997" spans="2:2" ht="15.6">
      <c r="B997" s="154"/>
    </row>
    <row r="998" spans="2:2" ht="15.6">
      <c r="B998" s="154"/>
    </row>
    <row r="999" spans="2:2" ht="15.6">
      <c r="B999" s="154"/>
    </row>
    <row r="1000" spans="2:2" ht="15.6">
      <c r="B1000" s="154"/>
    </row>
    <row r="1001" spans="2:2" ht="15.6">
      <c r="B1001" s="154"/>
    </row>
    <row r="1002" spans="2:2" ht="15.6">
      <c r="B1002" s="154"/>
    </row>
    <row r="1003" spans="2:2" ht="15.6">
      <c r="B1003" s="154"/>
    </row>
    <row r="1004" spans="2:2" ht="15.6">
      <c r="B1004" s="154"/>
    </row>
    <row r="1005" spans="2:2" ht="15.6">
      <c r="B1005" s="154"/>
    </row>
    <row r="1006" spans="2:2" ht="15.6">
      <c r="B1006" s="154"/>
    </row>
    <row r="1007" spans="2:2" ht="15.6">
      <c r="B1007" s="154"/>
    </row>
    <row r="1008" spans="2:2" ht="15.6">
      <c r="B1008" s="154"/>
    </row>
    <row r="1009" spans="2:2" ht="15.6">
      <c r="B1009" s="154"/>
    </row>
    <row r="1010" spans="2:2" ht="15.6">
      <c r="B1010" s="154"/>
    </row>
    <row r="1011" spans="2:2" ht="15.6">
      <c r="B1011" s="154"/>
    </row>
    <row r="1012" spans="2:2" ht="15.6">
      <c r="B1012" s="154"/>
    </row>
    <row r="1013" spans="2:2" ht="15.6">
      <c r="B1013" s="154"/>
    </row>
    <row r="1014" spans="2:2" ht="15.6">
      <c r="B1014" s="154"/>
    </row>
    <row r="1015" spans="2:2" ht="15.6">
      <c r="B1015" s="154"/>
    </row>
    <row r="1016" spans="2:2" ht="15.6">
      <c r="B1016" s="154"/>
    </row>
    <row r="1017" spans="2:2" ht="15.6">
      <c r="B1017" s="154"/>
    </row>
    <row r="1018" spans="2:2" ht="15.6">
      <c r="B1018" s="154"/>
    </row>
    <row r="1019" spans="2:2" ht="15.6">
      <c r="B1019" s="154"/>
    </row>
    <row r="1020" spans="2:2" ht="15.6">
      <c r="B1020" s="154"/>
    </row>
    <row r="1021" spans="2:2" ht="15.6">
      <c r="B1021" s="154"/>
    </row>
    <row r="1022" spans="2:2" ht="15.6">
      <c r="B1022" s="154"/>
    </row>
    <row r="1023" spans="2:2" ht="15.6">
      <c r="B1023" s="154"/>
    </row>
    <row r="1024" spans="2:2" ht="15.6">
      <c r="B1024" s="154"/>
    </row>
    <row r="1025" spans="2:2" ht="15.6">
      <c r="B1025" s="154"/>
    </row>
    <row r="1026" spans="2:2" ht="15.6">
      <c r="B1026" s="154"/>
    </row>
    <row r="1027" spans="2:2" ht="15.6">
      <c r="B1027" s="154"/>
    </row>
    <row r="1028" spans="2:2" ht="15.6">
      <c r="B1028" s="154"/>
    </row>
    <row r="1029" spans="2:2" ht="15.6">
      <c r="B1029" s="154"/>
    </row>
    <row r="1030" spans="2:2" ht="15.6">
      <c r="B1030" s="154"/>
    </row>
    <row r="1031" spans="2:2" ht="15.6">
      <c r="B1031" s="154"/>
    </row>
    <row r="1032" spans="2:2" ht="15.6">
      <c r="B1032" s="154"/>
    </row>
    <row r="1033" spans="2:2" ht="15.6">
      <c r="B1033" s="154"/>
    </row>
    <row r="1034" spans="2:2" ht="15.6">
      <c r="B1034" s="154"/>
    </row>
    <row r="1035" spans="2:2" ht="15.6">
      <c r="B1035" s="154"/>
    </row>
    <row r="1036" spans="2:2" ht="15.6">
      <c r="B1036" s="154"/>
    </row>
    <row r="1037" spans="2:2" ht="15.6">
      <c r="B1037" s="154"/>
    </row>
    <row r="1038" spans="2:2" ht="15.6">
      <c r="B1038" s="154"/>
    </row>
    <row r="1039" spans="2:2" ht="15.6">
      <c r="B1039" s="154"/>
    </row>
    <row r="1040" spans="2:2" ht="15.6">
      <c r="B1040" s="154"/>
    </row>
    <row r="1041" spans="2:2" ht="15.6">
      <c r="B1041" s="154"/>
    </row>
    <row r="1042" spans="2:2" ht="15.6">
      <c r="B1042" s="154"/>
    </row>
    <row r="1043" spans="2:2" ht="15.6">
      <c r="B1043" s="154"/>
    </row>
    <row r="1044" spans="2:2" ht="15.6">
      <c r="B1044" s="154"/>
    </row>
    <row r="1045" spans="2:2" ht="15.6">
      <c r="B1045" s="154"/>
    </row>
    <row r="1046" spans="2:2" ht="15.6">
      <c r="B1046" s="154"/>
    </row>
    <row r="1047" spans="2:2" ht="15.6">
      <c r="B1047" s="154"/>
    </row>
    <row r="1048" spans="2:2" ht="15.6">
      <c r="B1048" s="154"/>
    </row>
    <row r="1049" spans="2:2" ht="15.6">
      <c r="B1049" s="154"/>
    </row>
    <row r="1050" spans="2:2" ht="15.6">
      <c r="B1050" s="154"/>
    </row>
    <row r="1051" spans="2:2" ht="15.6">
      <c r="B1051" s="154"/>
    </row>
    <row r="1052" spans="2:2" ht="15.6">
      <c r="B1052" s="154"/>
    </row>
    <row r="1053" spans="2:2" ht="15.6">
      <c r="B1053" s="154"/>
    </row>
    <row r="1054" spans="2:2" ht="15.6">
      <c r="B1054" s="154"/>
    </row>
    <row r="1055" spans="2:2" ht="15.6">
      <c r="B1055" s="154"/>
    </row>
    <row r="1056" spans="2:2" ht="15.6">
      <c r="B1056" s="154"/>
    </row>
    <row r="1057" spans="2:2" ht="15.6">
      <c r="B1057" s="154"/>
    </row>
    <row r="1058" spans="2:2" ht="15.6">
      <c r="B1058" s="154"/>
    </row>
    <row r="1059" spans="2:2" ht="15.6">
      <c r="B1059" s="154"/>
    </row>
    <row r="1060" spans="2:2" ht="15.6">
      <c r="B1060" s="154"/>
    </row>
    <row r="1061" spans="2:2" ht="15.6">
      <c r="B1061" s="154"/>
    </row>
    <row r="1062" spans="2:2" ht="15.6">
      <c r="B1062" s="154"/>
    </row>
    <row r="1063" spans="2:2" ht="15.6">
      <c r="B1063" s="154"/>
    </row>
    <row r="1064" spans="2:2" ht="15.6">
      <c r="B1064" s="154"/>
    </row>
    <row r="1065" spans="2:2" ht="15.6">
      <c r="B1065" s="154"/>
    </row>
    <row r="1066" spans="2:2" ht="15.6">
      <c r="B1066" s="154"/>
    </row>
    <row r="1067" spans="2:2" ht="15.6">
      <c r="B1067" s="154"/>
    </row>
    <row r="1068" spans="2:2" ht="15.6">
      <c r="B1068" s="154"/>
    </row>
    <row r="1069" spans="2:2" ht="15.6">
      <c r="B1069" s="154"/>
    </row>
    <row r="1070" spans="2:2" ht="15.6">
      <c r="B1070" s="154"/>
    </row>
    <row r="1071" spans="2:2" ht="15.6">
      <c r="B1071" s="154"/>
    </row>
    <row r="1072" spans="2:2" ht="15.6">
      <c r="B1072" s="154"/>
    </row>
    <row r="1073" spans="2:2" ht="15.6">
      <c r="B1073" s="154"/>
    </row>
    <row r="1074" spans="2:2" ht="15.6">
      <c r="B1074" s="154"/>
    </row>
    <row r="1075" spans="2:2" ht="15.6">
      <c r="B1075" s="154"/>
    </row>
    <row r="1076" spans="2:2" ht="15.6">
      <c r="B1076" s="154"/>
    </row>
    <row r="1077" spans="2:2" ht="15.6">
      <c r="B1077" s="154"/>
    </row>
    <row r="1078" spans="2:2" ht="15.6">
      <c r="B1078" s="154"/>
    </row>
    <row r="1079" spans="2:2" ht="15.6">
      <c r="B1079" s="154"/>
    </row>
    <row r="1080" spans="2:2" ht="15.6">
      <c r="B1080" s="154"/>
    </row>
    <row r="1081" spans="2:2" ht="15.6">
      <c r="B1081" s="154"/>
    </row>
    <row r="1082" spans="2:2" ht="15.6">
      <c r="B1082" s="154"/>
    </row>
    <row r="1083" spans="2:2" ht="15.6">
      <c r="B1083" s="154"/>
    </row>
    <row r="1084" spans="2:2" ht="15.6">
      <c r="B1084" s="154"/>
    </row>
    <row r="1085" spans="2:2" ht="15.6">
      <c r="B1085" s="154"/>
    </row>
    <row r="1086" spans="2:2" ht="15.6">
      <c r="B1086" s="154"/>
    </row>
    <row r="1087" spans="2:2" ht="15.6">
      <c r="B1087" s="154"/>
    </row>
    <row r="1088" spans="2:2" ht="15.6">
      <c r="B1088" s="154"/>
    </row>
    <row r="1089" spans="2:2" ht="15.6">
      <c r="B1089" s="154"/>
    </row>
    <row r="1090" spans="2:2" ht="15.6">
      <c r="B1090" s="154"/>
    </row>
    <row r="1091" spans="2:2" ht="15.6">
      <c r="B1091" s="154"/>
    </row>
    <row r="1092" spans="2:2" ht="15.6">
      <c r="B1092" s="154"/>
    </row>
    <row r="1093" spans="2:2" ht="15.6">
      <c r="B1093" s="154"/>
    </row>
    <row r="1094" spans="2:2" ht="15.6">
      <c r="B1094" s="154"/>
    </row>
    <row r="1095" spans="2:2" ht="15.6">
      <c r="B1095" s="154"/>
    </row>
    <row r="1096" spans="2:2" ht="15.6">
      <c r="B1096" s="154"/>
    </row>
    <row r="1097" spans="2:2" ht="15.6">
      <c r="B1097" s="154"/>
    </row>
    <row r="1098" spans="2:2" ht="15.6">
      <c r="B1098" s="154"/>
    </row>
    <row r="1099" spans="2:2" ht="15.6">
      <c r="B1099" s="154"/>
    </row>
    <row r="1100" spans="2:2" ht="15.6">
      <c r="B1100" s="154"/>
    </row>
    <row r="1101" spans="2:2" ht="15.6">
      <c r="B1101" s="154"/>
    </row>
    <row r="1102" spans="2:2" ht="15.6">
      <c r="B1102" s="154"/>
    </row>
    <row r="1103" spans="2:2" ht="15.6">
      <c r="B1103" s="154"/>
    </row>
    <row r="1104" spans="2:2" ht="15.6">
      <c r="B1104" s="154"/>
    </row>
    <row r="1105" spans="2:2" ht="15.6">
      <c r="B1105" s="154"/>
    </row>
    <row r="1106" spans="2:2" ht="15.6">
      <c r="B1106" s="154"/>
    </row>
    <row r="1107" spans="2:2" ht="15.6">
      <c r="B1107" s="154"/>
    </row>
    <row r="1108" spans="2:2" ht="15.6">
      <c r="B1108" s="154"/>
    </row>
    <row r="1109" spans="2:2" ht="15.6">
      <c r="B1109" s="154"/>
    </row>
    <row r="1110" spans="2:2" ht="15.6">
      <c r="B1110" s="154"/>
    </row>
    <row r="1111" spans="2:2" ht="15.6">
      <c r="B1111" s="154"/>
    </row>
    <row r="1112" spans="2:2" ht="15.6">
      <c r="B1112" s="154"/>
    </row>
    <row r="1113" spans="2:2" ht="15.6">
      <c r="B1113" s="154"/>
    </row>
    <row r="1114" spans="2:2" ht="15.6">
      <c r="B1114" s="154"/>
    </row>
    <row r="1115" spans="2:2" ht="15.6">
      <c r="B1115" s="154"/>
    </row>
    <row r="1116" spans="2:2" ht="15.6">
      <c r="B1116" s="154"/>
    </row>
    <row r="1117" spans="2:2" ht="15.6">
      <c r="B1117" s="154"/>
    </row>
    <row r="1118" spans="2:2" ht="15.6">
      <c r="B1118" s="154"/>
    </row>
    <row r="1119" spans="2:2" ht="15.6">
      <c r="B1119" s="154"/>
    </row>
    <row r="1120" spans="2:2" ht="15.6">
      <c r="B1120" s="154"/>
    </row>
    <row r="1121" spans="2:2" ht="15.6">
      <c r="B1121" s="154"/>
    </row>
    <row r="1122" spans="2:2" ht="15.6">
      <c r="B1122" s="154"/>
    </row>
    <row r="1123" spans="2:2" ht="15.6">
      <c r="B1123" s="154"/>
    </row>
    <row r="1124" spans="2:2" ht="15.6">
      <c r="B1124" s="154"/>
    </row>
    <row r="1125" spans="2:2" ht="15.6">
      <c r="B1125" s="154"/>
    </row>
    <row r="1126" spans="2:2" ht="15.6">
      <c r="B1126" s="154"/>
    </row>
    <row r="1127" spans="2:2" ht="15.6">
      <c r="B1127" s="154"/>
    </row>
    <row r="1128" spans="2:2" ht="15.6">
      <c r="B1128" s="154"/>
    </row>
    <row r="1129" spans="2:2" ht="15.6">
      <c r="B1129" s="154"/>
    </row>
    <row r="1130" spans="2:2" ht="15.6">
      <c r="B1130" s="154"/>
    </row>
    <row r="1131" spans="2:2" ht="15.6">
      <c r="B1131" s="154"/>
    </row>
    <row r="1132" spans="2:2" ht="15.6">
      <c r="B1132" s="154"/>
    </row>
    <row r="1133" spans="2:2" ht="15.6">
      <c r="B1133" s="154"/>
    </row>
    <row r="1134" spans="2:2" ht="15.6">
      <c r="B1134" s="154"/>
    </row>
    <row r="1135" spans="2:2" ht="15.6">
      <c r="B1135" s="154"/>
    </row>
    <row r="1136" spans="2:2" ht="15.6">
      <c r="B1136" s="154"/>
    </row>
    <row r="1137" spans="2:2" ht="15.6">
      <c r="B1137" s="154"/>
    </row>
    <row r="1138" spans="2:2" ht="15.6">
      <c r="B1138" s="154"/>
    </row>
    <row r="1139" spans="2:2" ht="15.6">
      <c r="B1139" s="154"/>
    </row>
    <row r="1140" spans="2:2" ht="15.6">
      <c r="B1140" s="154"/>
    </row>
    <row r="1141" spans="2:2" ht="15.6">
      <c r="B1141" s="154"/>
    </row>
    <row r="1142" spans="2:2" ht="15.6">
      <c r="B1142" s="154"/>
    </row>
    <row r="1143" spans="2:2" ht="15.6">
      <c r="B1143" s="154"/>
    </row>
    <row r="1144" spans="2:2" ht="15.6">
      <c r="B1144" s="154"/>
    </row>
    <row r="1145" spans="2:2" ht="15.6">
      <c r="B1145" s="154"/>
    </row>
    <row r="1146" spans="2:2" ht="15.6">
      <c r="B1146" s="154"/>
    </row>
    <row r="1147" spans="2:2" ht="15.6">
      <c r="B1147" s="154"/>
    </row>
    <row r="1148" spans="2:2" ht="15.6">
      <c r="B1148" s="154"/>
    </row>
    <row r="1149" spans="2:2" ht="15.6">
      <c r="B1149" s="154"/>
    </row>
    <row r="1150" spans="2:2" ht="15.6">
      <c r="B1150" s="154"/>
    </row>
    <row r="1151" spans="2:2" ht="15.6">
      <c r="B1151" s="154"/>
    </row>
    <row r="1152" spans="2:2" ht="15.6">
      <c r="B1152" s="154"/>
    </row>
    <row r="1153" spans="2:2" ht="15.6">
      <c r="B1153" s="154"/>
    </row>
    <row r="1154" spans="2:2" ht="15.6">
      <c r="B1154" s="154"/>
    </row>
    <row r="1155" spans="2:2" ht="15.6">
      <c r="B1155" s="154"/>
    </row>
    <row r="1156" spans="2:2" ht="15.6">
      <c r="B1156" s="154"/>
    </row>
    <row r="1157" spans="2:2" ht="15.6">
      <c r="B1157" s="154"/>
    </row>
    <row r="1158" spans="2:2" ht="15.6">
      <c r="B1158" s="154"/>
    </row>
    <row r="1159" spans="2:2" ht="15.6">
      <c r="B1159" s="154"/>
    </row>
    <row r="1160" spans="2:2" ht="15.6">
      <c r="B1160" s="154"/>
    </row>
    <row r="1161" spans="2:2" ht="15.6">
      <c r="B1161" s="154"/>
    </row>
    <row r="1162" spans="2:2" ht="15.6">
      <c r="B1162" s="154"/>
    </row>
    <row r="1163" spans="2:2" ht="15.6">
      <c r="B1163" s="154"/>
    </row>
    <row r="1164" spans="2:2" ht="15.6">
      <c r="B1164" s="154"/>
    </row>
    <row r="1165" spans="2:2" ht="15.6">
      <c r="B1165" s="154"/>
    </row>
    <row r="1166" spans="2:2" ht="15.6">
      <c r="B1166" s="154"/>
    </row>
    <row r="1167" spans="2:2" ht="15.6">
      <c r="B1167" s="154"/>
    </row>
    <row r="1168" spans="2:2" ht="15.6">
      <c r="B1168" s="154"/>
    </row>
    <row r="1169" spans="2:2" ht="15.6">
      <c r="B1169" s="154"/>
    </row>
    <row r="1170" spans="2:2" ht="15.6">
      <c r="B1170" s="154"/>
    </row>
    <row r="1171" spans="2:2" ht="15.6">
      <c r="B1171" s="154"/>
    </row>
    <row r="1172" spans="2:2" ht="15.6">
      <c r="B1172" s="154"/>
    </row>
    <row r="1173" spans="2:2" ht="15.6">
      <c r="B1173" s="154"/>
    </row>
    <row r="1174" spans="2:2" ht="15.6">
      <c r="B1174" s="154"/>
    </row>
    <row r="1175" spans="2:2" ht="15.6">
      <c r="B1175" s="154"/>
    </row>
    <row r="1176" spans="2:2" ht="15.6">
      <c r="B1176" s="154"/>
    </row>
    <row r="1177" spans="2:2" ht="15.6">
      <c r="B1177" s="154"/>
    </row>
    <row r="1178" spans="2:2" ht="15.6">
      <c r="B1178" s="154"/>
    </row>
    <row r="1179" spans="2:2" ht="15.6">
      <c r="B1179" s="154"/>
    </row>
    <row r="1180" spans="2:2" ht="15.6">
      <c r="B1180" s="154"/>
    </row>
    <row r="1181" spans="2:2" ht="15.6">
      <c r="B1181" s="154"/>
    </row>
    <row r="1182" spans="2:2" ht="15.6">
      <c r="B1182" s="154"/>
    </row>
    <row r="1183" spans="2:2" ht="15.6">
      <c r="B1183" s="154"/>
    </row>
    <row r="1184" spans="2:2" ht="15.6">
      <c r="B1184" s="154"/>
    </row>
    <row r="1185" spans="2:2" ht="15.6">
      <c r="B1185" s="154"/>
    </row>
    <row r="1186" spans="2:2" ht="15.6">
      <c r="B1186" s="154"/>
    </row>
    <row r="1187" spans="2:2" ht="15.6">
      <c r="B1187" s="154"/>
    </row>
    <row r="1188" spans="2:2" ht="15.6">
      <c r="B1188" s="154"/>
    </row>
    <row r="1189" spans="2:2" ht="15.6">
      <c r="B1189" s="154"/>
    </row>
    <row r="1190" spans="2:2" ht="15.6">
      <c r="B1190" s="154"/>
    </row>
    <row r="1191" spans="2:2" ht="15.6">
      <c r="B1191" s="154"/>
    </row>
    <row r="1192" spans="2:2" ht="15.6">
      <c r="B1192" s="154"/>
    </row>
    <row r="1193" spans="2:2" ht="15.6">
      <c r="B1193" s="154"/>
    </row>
    <row r="1194" spans="2:2" ht="15.6">
      <c r="B1194" s="154"/>
    </row>
    <row r="1195" spans="2:2" ht="15.6">
      <c r="B1195" s="154"/>
    </row>
    <row r="1196" spans="2:2" ht="15.6">
      <c r="B1196" s="154"/>
    </row>
    <row r="1197" spans="2:2" ht="15.6">
      <c r="B1197" s="154"/>
    </row>
    <row r="1198" spans="2:2" ht="15.6">
      <c r="B1198" s="154"/>
    </row>
    <row r="1199" spans="2:2" ht="15.6">
      <c r="B1199" s="154"/>
    </row>
    <row r="1200" spans="2:2" ht="15.6">
      <c r="B1200" s="154"/>
    </row>
    <row r="1201" spans="2:2" ht="15.6">
      <c r="B1201" s="154"/>
    </row>
    <row r="1202" spans="2:2" ht="15.6">
      <c r="B1202" s="154"/>
    </row>
    <row r="1203" spans="2:2" ht="15.6">
      <c r="B1203" s="154"/>
    </row>
    <row r="1204" spans="2:2" ht="15.6">
      <c r="B1204" s="154"/>
    </row>
    <row r="1205" spans="2:2" ht="15.6">
      <c r="B1205" s="154"/>
    </row>
    <row r="1206" spans="2:2" ht="15.6">
      <c r="B1206" s="154"/>
    </row>
    <row r="1207" spans="2:2" ht="15.6">
      <c r="B1207" s="154"/>
    </row>
    <row r="1208" spans="2:2" ht="15.6">
      <c r="B1208" s="154"/>
    </row>
    <row r="1209" spans="2:2" ht="15.6">
      <c r="B1209" s="154"/>
    </row>
    <row r="1210" spans="2:2" ht="15.6">
      <c r="B1210" s="154"/>
    </row>
    <row r="1211" spans="2:2" ht="15.6">
      <c r="B1211" s="154"/>
    </row>
    <row r="1212" spans="2:2" ht="15.6">
      <c r="B1212" s="154"/>
    </row>
    <row r="1213" spans="2:2" ht="15.6">
      <c r="B1213" s="154"/>
    </row>
    <row r="1214" spans="2:2" ht="15.6">
      <c r="B1214" s="154"/>
    </row>
    <row r="1215" spans="2:2" ht="15.6">
      <c r="B1215" s="154"/>
    </row>
    <row r="1216" spans="2:2" ht="15.6">
      <c r="B1216" s="154"/>
    </row>
    <row r="1217" spans="2:2" ht="15.6">
      <c r="B1217" s="154"/>
    </row>
    <row r="1218" spans="2:2" ht="15.6">
      <c r="B1218" s="154"/>
    </row>
    <row r="1219" spans="2:2" ht="15.6">
      <c r="B1219" s="154"/>
    </row>
    <row r="1220" spans="2:2" ht="15.6">
      <c r="B1220" s="154"/>
    </row>
    <row r="1221" spans="2:2" ht="15.6">
      <c r="B1221" s="154"/>
    </row>
    <row r="1222" spans="2:2" ht="15.6">
      <c r="B1222" s="154"/>
    </row>
    <row r="1223" spans="2:2" ht="15.6">
      <c r="B1223" s="154"/>
    </row>
    <row r="1224" spans="2:2" ht="15.6">
      <c r="B1224" s="154"/>
    </row>
    <row r="1225" spans="2:2" ht="15.6">
      <c r="B1225" s="154"/>
    </row>
    <row r="1226" spans="2:2" ht="15.6">
      <c r="B1226" s="154"/>
    </row>
    <row r="1227" spans="2:2" ht="15.6">
      <c r="B1227" s="154"/>
    </row>
    <row r="1228" spans="2:2" ht="15.6">
      <c r="B1228" s="154"/>
    </row>
    <row r="1229" spans="2:2" ht="15.6">
      <c r="B1229" s="154"/>
    </row>
    <row r="1230" spans="2:2" ht="15.6">
      <c r="B1230" s="154"/>
    </row>
    <row r="1231" spans="2:2" ht="15.6">
      <c r="B1231" s="154"/>
    </row>
    <row r="1232" spans="2:2" ht="15.6">
      <c r="B1232" s="154"/>
    </row>
    <row r="1233" spans="2:2" ht="15.6">
      <c r="B1233" s="154"/>
    </row>
    <row r="1234" spans="2:2" ht="15.6">
      <c r="B1234" s="154"/>
    </row>
    <row r="1235" spans="2:2" ht="15.6">
      <c r="B1235" s="154"/>
    </row>
    <row r="1236" spans="2:2" ht="15.6">
      <c r="B1236" s="154"/>
    </row>
    <row r="1237" spans="2:2" ht="15.6">
      <c r="B1237" s="154"/>
    </row>
    <row r="1238" spans="2:2" ht="15.6">
      <c r="B1238" s="154"/>
    </row>
    <row r="1239" spans="2:2" ht="15.6">
      <c r="B1239" s="154"/>
    </row>
    <row r="1240" spans="2:2" ht="15.6">
      <c r="B1240" s="154"/>
    </row>
    <row r="1241" spans="2:2" ht="15.6">
      <c r="B1241" s="154"/>
    </row>
    <row r="1242" spans="2:2" ht="15.6">
      <c r="B1242" s="154"/>
    </row>
    <row r="1243" spans="2:2" ht="15.6">
      <c r="B1243" s="154"/>
    </row>
    <row r="1244" spans="2:2" ht="15.6">
      <c r="B1244" s="154"/>
    </row>
    <row r="1245" spans="2:2" ht="15.6">
      <c r="B1245" s="154"/>
    </row>
    <row r="1246" spans="2:2" ht="15.6">
      <c r="B1246" s="154"/>
    </row>
    <row r="1247" spans="2:2" ht="15.6">
      <c r="B1247" s="154"/>
    </row>
    <row r="1248" spans="2:2" ht="15.6">
      <c r="B1248" s="154"/>
    </row>
    <row r="1249" spans="2:2" ht="15.6">
      <c r="B1249" s="154"/>
    </row>
    <row r="1250" spans="2:2" ht="15.6">
      <c r="B1250" s="154"/>
    </row>
    <row r="1251" spans="2:2" ht="15.6">
      <c r="B1251" s="154"/>
    </row>
    <row r="1252" spans="2:2" ht="15.6">
      <c r="B1252" s="154"/>
    </row>
    <row r="1253" spans="2:2" ht="15.6">
      <c r="B1253" s="154"/>
    </row>
    <row r="1254" spans="2:2" ht="15.6">
      <c r="B1254" s="154"/>
    </row>
    <row r="1255" spans="2:2" ht="15.6">
      <c r="B1255" s="154"/>
    </row>
    <row r="1256" spans="2:2" ht="15.6">
      <c r="B1256" s="154"/>
    </row>
    <row r="1257" spans="2:2" ht="15.6">
      <c r="B1257" s="154"/>
    </row>
    <row r="1258" spans="2:2" ht="15.6">
      <c r="B1258" s="154"/>
    </row>
    <row r="1259" spans="2:2" ht="15.6">
      <c r="B1259" s="154"/>
    </row>
    <row r="1260" spans="2:2" ht="15.6">
      <c r="B1260" s="154"/>
    </row>
    <row r="1261" spans="2:2" ht="15.6">
      <c r="B1261" s="154"/>
    </row>
    <row r="1262" spans="2:2" ht="15.6">
      <c r="B1262" s="154"/>
    </row>
    <row r="1263" spans="2:2" ht="15.6">
      <c r="B1263" s="154"/>
    </row>
    <row r="1264" spans="2:2" ht="15.6">
      <c r="B1264" s="154"/>
    </row>
    <row r="1265" spans="2:2" ht="15.6">
      <c r="B1265" s="154"/>
    </row>
    <row r="1266" spans="2:2" ht="15.6">
      <c r="B1266" s="154"/>
    </row>
    <row r="1267" spans="2:2" ht="15.6">
      <c r="B1267" s="154"/>
    </row>
    <row r="1268" spans="2:2" ht="15.6">
      <c r="B1268" s="154"/>
    </row>
    <row r="1269" spans="2:2" ht="15.6">
      <c r="B1269" s="154"/>
    </row>
    <row r="1270" spans="2:2" ht="15.6">
      <c r="B1270" s="154"/>
    </row>
    <row r="1271" spans="2:2" ht="15.6">
      <c r="B1271" s="154"/>
    </row>
    <row r="1272" spans="2:2" ht="15.6">
      <c r="B1272" s="154"/>
    </row>
    <row r="1273" spans="2:2" ht="15.6">
      <c r="B1273" s="154"/>
    </row>
    <row r="1274" spans="2:2" ht="15.6">
      <c r="B1274" s="154"/>
    </row>
    <row r="1275" spans="2:2" ht="15.6">
      <c r="B1275" s="154"/>
    </row>
    <row r="1276" spans="2:2" ht="15.6">
      <c r="B1276" s="154"/>
    </row>
    <row r="1277" spans="2:2" ht="15.6">
      <c r="B1277" s="154"/>
    </row>
    <row r="1278" spans="2:2" ht="15.6">
      <c r="B1278" s="154"/>
    </row>
    <row r="1279" spans="2:2" ht="15.6">
      <c r="B1279" s="154"/>
    </row>
    <row r="1280" spans="2:2" ht="15.6">
      <c r="B1280" s="154"/>
    </row>
    <row r="1281" spans="2:2" ht="15.6">
      <c r="B1281" s="154"/>
    </row>
    <row r="1282" spans="2:2" ht="15.6">
      <c r="B1282" s="154"/>
    </row>
    <row r="1283" spans="2:2" ht="15.6">
      <c r="B1283" s="154"/>
    </row>
    <row r="1284" spans="2:2" ht="15.6">
      <c r="B1284" s="154"/>
    </row>
    <row r="1285" spans="2:2" ht="15.6">
      <c r="B1285" s="154"/>
    </row>
    <row r="1286" spans="2:2" ht="15.6">
      <c r="B1286" s="154"/>
    </row>
    <row r="1287" spans="2:2" ht="15.6">
      <c r="B1287" s="154"/>
    </row>
    <row r="1288" spans="2:2" ht="15.6">
      <c r="B1288" s="154"/>
    </row>
    <row r="1289" spans="2:2" ht="15.6">
      <c r="B1289" s="154"/>
    </row>
    <row r="1290" spans="2:2" ht="15.6">
      <c r="B1290" s="154"/>
    </row>
    <row r="1291" spans="2:2" ht="15.6">
      <c r="B1291" s="154"/>
    </row>
    <row r="1292" spans="2:2" ht="15.6">
      <c r="B1292" s="154"/>
    </row>
    <row r="1293" spans="2:2" ht="15.6">
      <c r="B1293" s="154"/>
    </row>
    <row r="1294" spans="2:2" ht="15.6">
      <c r="B1294" s="154"/>
    </row>
    <row r="1295" spans="2:2" ht="15.6">
      <c r="B1295" s="154"/>
    </row>
    <row r="1296" spans="2:2" ht="15.6">
      <c r="B1296" s="154"/>
    </row>
    <row r="1297" spans="2:2" ht="15.6">
      <c r="B1297" s="154"/>
    </row>
    <row r="1298" spans="2:2" ht="15.6">
      <c r="B1298" s="154"/>
    </row>
    <row r="1299" spans="2:2" ht="15.6">
      <c r="B1299" s="154"/>
    </row>
    <row r="1300" spans="2:2" ht="15.6">
      <c r="B1300" s="154"/>
    </row>
    <row r="1301" spans="2:2" ht="15.6">
      <c r="B1301" s="154"/>
    </row>
    <row r="1302" spans="2:2" ht="15.6">
      <c r="B1302" s="154"/>
    </row>
    <row r="1303" spans="2:2" ht="15.6">
      <c r="B1303" s="154"/>
    </row>
    <row r="1304" spans="2:2" ht="15.6">
      <c r="B1304" s="154"/>
    </row>
    <row r="1305" spans="2:2" ht="15.6">
      <c r="B1305" s="154"/>
    </row>
    <row r="1306" spans="2:2" ht="15.6">
      <c r="B1306" s="154"/>
    </row>
    <row r="1307" spans="2:2" ht="15.6">
      <c r="B1307" s="154"/>
    </row>
    <row r="1308" spans="2:2" ht="15.6">
      <c r="B1308" s="154"/>
    </row>
    <row r="1309" spans="2:2" ht="15.6">
      <c r="B1309" s="154"/>
    </row>
    <row r="1310" spans="2:2" ht="15.6">
      <c r="B1310" s="154"/>
    </row>
    <row r="1311" spans="2:2" ht="15.6">
      <c r="B1311" s="154"/>
    </row>
    <row r="1312" spans="2:2" ht="15.6">
      <c r="B1312" s="154"/>
    </row>
    <row r="1313" spans="2:2" ht="15.6">
      <c r="B1313" s="154"/>
    </row>
    <row r="1314" spans="2:2" ht="15.6">
      <c r="B1314" s="154"/>
    </row>
    <row r="1315" spans="2:2" ht="15.6">
      <c r="B1315" s="154"/>
    </row>
    <row r="1316" spans="2:2" ht="15.6">
      <c r="B1316" s="154"/>
    </row>
    <row r="1317" spans="2:2" ht="15.6">
      <c r="B1317" s="154"/>
    </row>
    <row r="1318" spans="2:2" ht="15.6">
      <c r="B1318" s="154"/>
    </row>
    <row r="1319" spans="2:2" ht="15.6">
      <c r="B1319" s="154"/>
    </row>
    <row r="1320" spans="2:2" ht="15.6">
      <c r="B1320" s="154"/>
    </row>
    <row r="1321" spans="2:2" ht="15.6">
      <c r="B1321" s="154"/>
    </row>
    <row r="1322" spans="2:2" ht="15.6">
      <c r="B1322" s="154"/>
    </row>
    <row r="1323" spans="2:2" ht="15.6">
      <c r="B1323" s="154"/>
    </row>
    <row r="1324" spans="2:2" ht="15.6">
      <c r="B1324" s="154"/>
    </row>
    <row r="1325" spans="2:2" ht="15.6">
      <c r="B1325" s="154"/>
    </row>
    <row r="1326" spans="2:2" ht="15.6">
      <c r="B1326" s="154"/>
    </row>
    <row r="1327" spans="2:2" ht="15.6">
      <c r="B1327" s="154"/>
    </row>
    <row r="1328" spans="2:2" ht="15.6">
      <c r="B1328" s="154"/>
    </row>
    <row r="1329" spans="2:2" ht="15.6">
      <c r="B1329" s="154"/>
    </row>
    <row r="1330" spans="2:2" ht="15.6">
      <c r="B1330" s="154"/>
    </row>
    <row r="1331" spans="2:2" ht="15.6">
      <c r="B1331" s="154"/>
    </row>
    <row r="1332" spans="2:2" ht="15.6">
      <c r="B1332" s="154"/>
    </row>
    <row r="1333" spans="2:2" ht="15.6">
      <c r="B1333" s="154"/>
    </row>
    <row r="1334" spans="2:2" ht="15.6">
      <c r="B1334" s="154"/>
    </row>
    <row r="1335" spans="2:2" ht="15.6">
      <c r="B1335" s="154"/>
    </row>
    <row r="1336" spans="2:2" ht="15.6">
      <c r="B1336" s="154"/>
    </row>
    <row r="1337" spans="2:2" ht="15.6">
      <c r="B1337" s="154"/>
    </row>
    <row r="1338" spans="2:2" ht="15.6">
      <c r="B1338" s="154"/>
    </row>
    <row r="1339" spans="2:2" ht="15.6">
      <c r="B1339" s="154"/>
    </row>
    <row r="1340" spans="2:2" ht="15.6">
      <c r="B1340" s="154"/>
    </row>
    <row r="1341" spans="2:2" ht="15.6">
      <c r="B1341" s="154"/>
    </row>
    <row r="1342" spans="2:2" ht="15.6">
      <c r="B1342" s="154"/>
    </row>
    <row r="1343" spans="2:2" ht="15.6">
      <c r="B1343" s="154"/>
    </row>
    <row r="1344" spans="2:2" ht="15.6">
      <c r="B1344" s="154"/>
    </row>
    <row r="1345" spans="2:2" ht="15.6">
      <c r="B1345" s="154"/>
    </row>
    <row r="1346" spans="2:2" ht="15.6">
      <c r="B1346" s="154"/>
    </row>
    <row r="1347" spans="2:2" ht="15.6">
      <c r="B1347" s="154"/>
    </row>
    <row r="1348" spans="2:2" ht="15.6">
      <c r="B1348" s="154"/>
    </row>
    <row r="1349" spans="2:2" ht="15.6">
      <c r="B1349" s="154"/>
    </row>
    <row r="1350" spans="2:2" ht="15.6">
      <c r="B1350" s="154"/>
    </row>
    <row r="1351" spans="2:2" ht="15.6">
      <c r="B1351" s="154"/>
    </row>
    <row r="1352" spans="2:2" ht="15.6">
      <c r="B1352" s="154"/>
    </row>
    <row r="1353" spans="2:2" ht="15.6">
      <c r="B1353" s="154"/>
    </row>
    <row r="1354" spans="2:2" ht="15.6">
      <c r="B1354" s="154"/>
    </row>
    <row r="1355" spans="2:2" ht="15.6">
      <c r="B1355" s="154"/>
    </row>
    <row r="1356" spans="2:2" ht="15.6">
      <c r="B1356" s="154"/>
    </row>
    <row r="1357" spans="2:2" ht="15.6">
      <c r="B1357" s="154"/>
    </row>
    <row r="1358" spans="2:2" ht="15.6">
      <c r="B1358" s="154"/>
    </row>
    <row r="1359" spans="2:2" ht="15.6">
      <c r="B1359" s="154"/>
    </row>
    <row r="1360" spans="2:2" ht="15.6">
      <c r="B1360" s="154"/>
    </row>
    <row r="1361" spans="2:2" ht="15.6">
      <c r="B1361" s="154"/>
    </row>
    <row r="1362" spans="2:2" ht="15.6">
      <c r="B1362" s="154"/>
    </row>
    <row r="1363" spans="2:2" ht="15.6">
      <c r="B1363" s="154"/>
    </row>
    <row r="1364" spans="2:2" ht="15.6">
      <c r="B1364" s="154"/>
    </row>
    <row r="1365" spans="2:2" ht="15.6">
      <c r="B1365" s="154"/>
    </row>
    <row r="1366" spans="2:2" ht="15.6">
      <c r="B1366" s="154"/>
    </row>
    <row r="1367" spans="2:2" ht="15.6">
      <c r="B1367" s="154"/>
    </row>
    <row r="1368" spans="2:2" ht="15.6">
      <c r="B1368" s="154"/>
    </row>
    <row r="1369" spans="2:2" ht="15.6">
      <c r="B1369" s="154"/>
    </row>
    <row r="1370" spans="2:2" ht="15.6">
      <c r="B1370" s="154"/>
    </row>
    <row r="1371" spans="2:2" ht="15.6">
      <c r="B1371" s="154"/>
    </row>
    <row r="1372" spans="2:2" ht="15.6">
      <c r="B1372" s="154"/>
    </row>
    <row r="1373" spans="2:2" ht="15.6">
      <c r="B1373" s="154"/>
    </row>
    <row r="1374" spans="2:2" ht="15.6">
      <c r="B1374" s="154"/>
    </row>
    <row r="1375" spans="2:2" ht="15.6">
      <c r="B1375" s="154"/>
    </row>
    <row r="1376" spans="2:2" ht="15.6">
      <c r="B1376" s="154"/>
    </row>
    <row r="1377" spans="2:2" ht="15.6">
      <c r="B1377" s="154"/>
    </row>
    <row r="1378" spans="2:2" ht="15.6">
      <c r="B1378" s="154"/>
    </row>
    <row r="1379" spans="2:2" ht="15.6">
      <c r="B1379" s="154"/>
    </row>
    <row r="1380" spans="2:2" ht="15.6">
      <c r="B1380" s="154"/>
    </row>
    <row r="1381" spans="2:2" ht="15.6">
      <c r="B1381" s="154"/>
    </row>
    <row r="1382" spans="2:2" ht="15.6">
      <c r="B1382" s="154"/>
    </row>
    <row r="1383" spans="2:2" ht="15.6">
      <c r="B1383" s="154"/>
    </row>
    <row r="1384" spans="2:2" ht="15.6">
      <c r="B1384" s="154"/>
    </row>
    <row r="1385" spans="2:2" ht="15.6">
      <c r="B1385" s="154"/>
    </row>
    <row r="1386" spans="2:2" ht="15.6">
      <c r="B1386" s="154"/>
    </row>
    <row r="1387" spans="2:2" ht="15.6">
      <c r="B1387" s="154"/>
    </row>
    <row r="1388" spans="2:2" ht="15.6">
      <c r="B1388" s="154"/>
    </row>
    <row r="1389" spans="2:2" ht="15.6">
      <c r="B1389" s="154"/>
    </row>
    <row r="1390" spans="2:2" ht="15.6">
      <c r="B1390" s="154"/>
    </row>
    <row r="1391" spans="2:2" ht="15.6">
      <c r="B1391" s="154"/>
    </row>
    <row r="1392" spans="2:2" ht="15.6">
      <c r="B1392" s="154"/>
    </row>
    <row r="1393" spans="2:2" ht="15.6">
      <c r="B1393" s="154"/>
    </row>
    <row r="1394" spans="2:2" ht="15.6">
      <c r="B1394" s="154"/>
    </row>
    <row r="1395" spans="2:2" ht="15.6">
      <c r="B1395" s="154"/>
    </row>
    <row r="1396" spans="2:2" ht="15.6">
      <c r="B1396" s="154"/>
    </row>
    <row r="1397" spans="2:2" ht="15.6">
      <c r="B1397" s="154"/>
    </row>
    <row r="1398" spans="2:2" ht="15.6">
      <c r="B1398" s="154"/>
    </row>
    <row r="1399" spans="2:2" ht="15.6">
      <c r="B1399" s="154"/>
    </row>
    <row r="1400" spans="2:2" ht="15.6">
      <c r="B1400" s="154"/>
    </row>
    <row r="1401" spans="2:2" ht="15.6">
      <c r="B1401" s="154"/>
    </row>
    <row r="1402" spans="2:2" ht="15.6">
      <c r="B1402" s="154"/>
    </row>
    <row r="1403" spans="2:2" ht="15.6">
      <c r="B1403" s="154"/>
    </row>
    <row r="1404" spans="2:2" ht="15.6">
      <c r="B1404" s="154"/>
    </row>
    <row r="1405" spans="2:2" ht="15.6">
      <c r="B1405" s="154"/>
    </row>
    <row r="1406" spans="2:2" ht="15.6">
      <c r="B1406" s="154"/>
    </row>
    <row r="1407" spans="2:2" ht="15.6">
      <c r="B1407" s="154"/>
    </row>
    <row r="1408" spans="2:2" ht="15.6">
      <c r="B1408" s="154"/>
    </row>
    <row r="1409" spans="2:2" ht="15.6">
      <c r="B1409" s="154"/>
    </row>
    <row r="1410" spans="2:2" ht="15.6">
      <c r="B1410" s="154"/>
    </row>
    <row r="1411" spans="2:2" ht="15.6">
      <c r="B1411" s="154"/>
    </row>
    <row r="1412" spans="2:2" ht="15.6">
      <c r="B1412" s="154"/>
    </row>
    <row r="1413" spans="2:2" ht="15.6">
      <c r="B1413" s="154"/>
    </row>
    <row r="1414" spans="2:2" ht="15.6">
      <c r="B1414" s="154"/>
    </row>
    <row r="1415" spans="2:2" ht="15.6">
      <c r="B1415" s="154"/>
    </row>
    <row r="1416" spans="2:2" ht="15.6">
      <c r="B1416" s="154"/>
    </row>
    <row r="1417" spans="2:2" ht="15.6">
      <c r="B1417" s="154"/>
    </row>
    <row r="1418" spans="2:2" ht="15.6">
      <c r="B1418" s="154"/>
    </row>
    <row r="1419" spans="2:2" ht="15.6">
      <c r="B1419" s="154"/>
    </row>
    <row r="1420" spans="2:2" ht="15.6">
      <c r="B1420" s="154"/>
    </row>
    <row r="1421" spans="2:2" ht="15.6">
      <c r="B1421" s="154"/>
    </row>
    <row r="1422" spans="2:2" ht="15.6">
      <c r="B1422" s="154"/>
    </row>
    <row r="1423" spans="2:2" ht="15.6">
      <c r="B1423" s="154"/>
    </row>
    <row r="1424" spans="2:2" ht="15.6">
      <c r="B1424" s="154"/>
    </row>
    <row r="1425" spans="2:2" ht="15.6">
      <c r="B1425" s="154"/>
    </row>
    <row r="1426" spans="2:2" ht="15.6">
      <c r="B1426" s="154"/>
    </row>
    <row r="1427" spans="2:2" ht="15.6">
      <c r="B1427" s="154"/>
    </row>
    <row r="1428" spans="2:2" ht="15.6">
      <c r="B1428" s="154"/>
    </row>
    <row r="1429" spans="2:2" ht="15.6">
      <c r="B1429" s="154"/>
    </row>
    <row r="1430" spans="2:2" ht="15.6">
      <c r="B1430" s="154"/>
    </row>
    <row r="1431" spans="2:2" ht="15.6">
      <c r="B1431" s="154"/>
    </row>
    <row r="1432" spans="2:2" ht="15.6">
      <c r="B1432" s="154"/>
    </row>
    <row r="1433" spans="2:2" ht="15.6">
      <c r="B1433" s="154"/>
    </row>
    <row r="1434" spans="2:2" ht="15.6">
      <c r="B1434" s="154"/>
    </row>
    <row r="1435" spans="2:2" ht="15.6">
      <c r="B1435" s="154"/>
    </row>
    <row r="1436" spans="2:2" ht="15.6">
      <c r="B1436" s="154"/>
    </row>
    <row r="1437" spans="2:2" ht="15.6">
      <c r="B1437" s="154"/>
    </row>
    <row r="1438" spans="2:2" ht="15.6">
      <c r="B1438" s="154"/>
    </row>
    <row r="1439" spans="2:2" ht="15.6">
      <c r="B1439" s="154"/>
    </row>
    <row r="1440" spans="2:2" ht="15.6">
      <c r="B1440" s="154"/>
    </row>
    <row r="1441" spans="2:2" ht="15.6">
      <c r="B1441" s="154"/>
    </row>
    <row r="1442" spans="2:2" ht="15.6">
      <c r="B1442" s="154"/>
    </row>
    <row r="1443" spans="2:2" ht="15.6">
      <c r="B1443" s="154"/>
    </row>
    <row r="1444" spans="2:2" ht="15.6">
      <c r="B1444" s="154"/>
    </row>
    <row r="1445" spans="2:2" ht="15.6">
      <c r="B1445" s="154"/>
    </row>
    <row r="1446" spans="2:2" ht="15.6">
      <c r="B1446" s="154"/>
    </row>
    <row r="1447" spans="2:2" ht="15.6">
      <c r="B1447" s="154"/>
    </row>
    <row r="1448" spans="2:2" ht="15.6">
      <c r="B1448" s="154"/>
    </row>
    <row r="1449" spans="2:2" ht="15.6">
      <c r="B1449" s="154"/>
    </row>
    <row r="1450" spans="2:2" ht="15.6">
      <c r="B1450" s="154"/>
    </row>
    <row r="1451" spans="2:2" ht="15.6">
      <c r="B1451" s="154"/>
    </row>
    <row r="1452" spans="2:2" ht="15.6">
      <c r="B1452" s="154"/>
    </row>
    <row r="1453" spans="2:2" ht="15.6">
      <c r="B1453" s="154"/>
    </row>
    <row r="1454" spans="2:2" ht="15.6">
      <c r="B1454" s="154"/>
    </row>
    <row r="1455" spans="2:2" ht="15.6">
      <c r="B1455" s="154"/>
    </row>
    <row r="1456" spans="2:2" ht="15.6">
      <c r="B1456" s="154"/>
    </row>
    <row r="1457" spans="2:2" ht="15.6">
      <c r="B1457" s="154"/>
    </row>
    <row r="1458" spans="2:2" ht="15.6">
      <c r="B1458" s="154"/>
    </row>
    <row r="1459" spans="2:2" ht="15.6">
      <c r="B1459" s="154"/>
    </row>
    <row r="1460" spans="2:2" ht="15.6">
      <c r="B1460" s="154"/>
    </row>
    <row r="1461" spans="2:2" ht="15.6">
      <c r="B1461" s="154"/>
    </row>
    <row r="1462" spans="2:2" ht="15.6">
      <c r="B1462" s="154"/>
    </row>
    <row r="1463" spans="2:2" ht="15.6">
      <c r="B1463" s="154"/>
    </row>
    <row r="1464" spans="2:2" ht="15.6">
      <c r="B1464" s="154"/>
    </row>
    <row r="1465" spans="2:2" ht="15.6">
      <c r="B1465" s="154"/>
    </row>
    <row r="1466" spans="2:2" ht="15.6">
      <c r="B1466" s="154"/>
    </row>
    <row r="1467" spans="2:2" ht="15.6">
      <c r="B1467" s="154"/>
    </row>
    <row r="1468" spans="2:2" ht="15.6">
      <c r="B1468" s="154"/>
    </row>
    <row r="1469" spans="2:2" ht="15.6">
      <c r="B1469" s="154"/>
    </row>
    <row r="1470" spans="2:2" ht="15.6">
      <c r="B1470" s="154"/>
    </row>
    <row r="1471" spans="2:2" ht="15.6">
      <c r="B1471" s="154"/>
    </row>
    <row r="1472" spans="2:2" ht="15.6">
      <c r="B1472" s="154"/>
    </row>
    <row r="1473" spans="2:2" ht="15.6">
      <c r="B1473" s="154"/>
    </row>
    <row r="1474" spans="2:2" ht="15.6">
      <c r="B1474" s="154"/>
    </row>
    <row r="1475" spans="2:2" ht="15.6">
      <c r="B1475" s="154"/>
    </row>
    <row r="1476" spans="2:2" ht="15.6">
      <c r="B1476" s="154"/>
    </row>
    <row r="1477" spans="2:2" ht="15.6">
      <c r="B1477" s="154"/>
    </row>
    <row r="1478" spans="2:2" ht="15.6">
      <c r="B1478" s="154"/>
    </row>
    <row r="1479" spans="2:2" ht="15.6">
      <c r="B1479" s="154"/>
    </row>
    <row r="1480" spans="2:2" ht="15.6">
      <c r="B1480" s="154"/>
    </row>
    <row r="1481" spans="2:2" ht="15.6">
      <c r="B1481" s="154"/>
    </row>
    <row r="1482" spans="2:2" ht="15.6">
      <c r="B1482" s="154"/>
    </row>
    <row r="1483" spans="2:2" ht="15.6">
      <c r="B1483" s="154"/>
    </row>
    <row r="1484" spans="2:2" ht="15.6">
      <c r="B1484" s="154"/>
    </row>
    <row r="1485" spans="2:2" ht="15.6">
      <c r="B1485" s="154"/>
    </row>
    <row r="1486" spans="2:2" ht="15.6">
      <c r="B1486" s="154"/>
    </row>
    <row r="1487" spans="2:2" ht="15.6">
      <c r="B1487" s="154"/>
    </row>
    <row r="1488" spans="2:2" ht="15.6">
      <c r="B1488" s="154"/>
    </row>
    <row r="1489" spans="2:2" ht="15.6">
      <c r="B1489" s="154"/>
    </row>
    <row r="1490" spans="2:2" ht="15.6">
      <c r="B1490" s="154"/>
    </row>
    <row r="1491" spans="2:2" ht="15.6">
      <c r="B1491" s="154"/>
    </row>
    <row r="1492" spans="2:2" ht="15.6">
      <c r="B1492" s="154"/>
    </row>
    <row r="1493" spans="2:2" ht="15.6">
      <c r="B1493" s="154"/>
    </row>
    <row r="1494" spans="2:2" ht="15.6">
      <c r="B1494" s="154"/>
    </row>
    <row r="1495" spans="2:2" ht="15.6">
      <c r="B1495" s="154"/>
    </row>
    <row r="1496" spans="2:2" ht="15.6">
      <c r="B1496" s="154"/>
    </row>
    <row r="1497" spans="2:2" ht="15.6">
      <c r="B1497" s="154"/>
    </row>
    <row r="1498" spans="2:2" ht="15.6">
      <c r="B1498" s="154"/>
    </row>
    <row r="1499" spans="2:2" ht="15.6">
      <c r="B1499" s="154"/>
    </row>
    <row r="1500" spans="2:2" ht="15.6">
      <c r="B1500" s="154"/>
    </row>
    <row r="1501" spans="2:2" ht="15.6">
      <c r="B1501" s="154"/>
    </row>
    <row r="1502" spans="2:2" ht="15.6">
      <c r="B1502" s="154"/>
    </row>
    <row r="1503" spans="2:2" ht="15.6">
      <c r="B1503" s="154"/>
    </row>
    <row r="1504" spans="2:2" ht="15.6">
      <c r="B1504" s="154"/>
    </row>
    <row r="1505" spans="2:2" ht="15.6">
      <c r="B1505" s="154"/>
    </row>
    <row r="1506" spans="2:2" ht="15.6">
      <c r="B1506" s="154"/>
    </row>
    <row r="1507" spans="2:2" ht="15.6">
      <c r="B1507" s="154"/>
    </row>
    <row r="1508" spans="2:2" ht="15.6">
      <c r="B1508" s="154"/>
    </row>
    <row r="1509" spans="2:2" ht="15.6">
      <c r="B1509" s="154"/>
    </row>
    <row r="1510" spans="2:2" ht="15.6">
      <c r="B1510" s="154"/>
    </row>
    <row r="1511" spans="2:2" ht="15.6">
      <c r="B1511" s="154"/>
    </row>
    <row r="1512" spans="2:2" ht="15.6">
      <c r="B1512" s="154"/>
    </row>
    <row r="1513" spans="2:2" ht="15.6">
      <c r="B1513" s="154"/>
    </row>
    <row r="1514" spans="2:2" ht="15.6">
      <c r="B1514" s="154"/>
    </row>
    <row r="1515" spans="2:2" ht="15.6">
      <c r="B1515" s="154"/>
    </row>
    <row r="1516" spans="2:2" ht="15.6">
      <c r="B1516" s="154"/>
    </row>
    <row r="1517" spans="2:2" ht="15.6">
      <c r="B1517" s="154"/>
    </row>
    <row r="1518" spans="2:2" ht="15.6">
      <c r="B1518" s="154"/>
    </row>
    <row r="1519" spans="2:2" ht="15.6">
      <c r="B1519" s="154"/>
    </row>
    <row r="1520" spans="2:2" ht="15.6">
      <c r="B1520" s="154"/>
    </row>
    <row r="1521" spans="2:2" ht="15.6">
      <c r="B1521" s="154"/>
    </row>
    <row r="1522" spans="2:2" ht="15.6">
      <c r="B1522" s="154"/>
    </row>
    <row r="1523" spans="2:2" ht="15.6">
      <c r="B1523" s="154"/>
    </row>
    <row r="1524" spans="2:2" ht="15.6">
      <c r="B1524" s="154"/>
    </row>
    <row r="1525" spans="2:2" ht="15.6">
      <c r="B1525" s="154"/>
    </row>
    <row r="1526" spans="2:2" ht="15.6">
      <c r="B1526" s="154"/>
    </row>
    <row r="1527" spans="2:2" ht="15.6">
      <c r="B1527" s="154"/>
    </row>
    <row r="1528" spans="2:2" ht="15.6">
      <c r="B1528" s="154"/>
    </row>
    <row r="1529" spans="2:2" ht="15.6">
      <c r="B1529" s="154"/>
    </row>
    <row r="1530" spans="2:2" ht="15.6">
      <c r="B1530" s="154"/>
    </row>
    <row r="1531" spans="2:2" ht="15.6">
      <c r="B1531" s="154"/>
    </row>
    <row r="1532" spans="2:2" ht="15.6">
      <c r="B1532" s="154"/>
    </row>
    <row r="1533" spans="2:2" ht="15.6">
      <c r="B1533" s="154"/>
    </row>
    <row r="1534" spans="2:2" ht="15.6">
      <c r="B1534" s="154"/>
    </row>
    <row r="1535" spans="2:2" ht="15.6">
      <c r="B1535" s="154"/>
    </row>
    <row r="1536" spans="2:2" ht="15.6">
      <c r="B1536" s="154"/>
    </row>
    <row r="1537" spans="2:2" ht="15.6">
      <c r="B1537" s="154"/>
    </row>
    <row r="1538" spans="2:2" ht="15.6">
      <c r="B1538" s="154"/>
    </row>
    <row r="1539" spans="2:2" ht="15.6">
      <c r="B1539" s="154"/>
    </row>
    <row r="1540" spans="2:2" ht="15.6">
      <c r="B1540" s="154"/>
    </row>
    <row r="1541" spans="2:2" ht="15.6">
      <c r="B1541" s="154"/>
    </row>
    <row r="1542" spans="2:2" ht="15.6">
      <c r="B1542" s="154"/>
    </row>
    <row r="1543" spans="2:2" ht="15.6">
      <c r="B1543" s="154"/>
    </row>
    <row r="1544" spans="2:2" ht="15.6">
      <c r="B1544" s="154"/>
    </row>
    <row r="1545" spans="2:2" ht="15.6">
      <c r="B1545" s="154"/>
    </row>
    <row r="1546" spans="2:2" ht="15.6">
      <c r="B1546" s="154"/>
    </row>
    <row r="1547" spans="2:2" ht="15.6">
      <c r="B1547" s="154"/>
    </row>
    <row r="1548" spans="2:2" ht="15.6">
      <c r="B1548" s="154"/>
    </row>
    <row r="1549" spans="2:2" ht="15.6">
      <c r="B1549" s="154"/>
    </row>
    <row r="1550" spans="2:2" ht="15.6">
      <c r="B1550" s="154"/>
    </row>
    <row r="1551" spans="2:2" ht="15.6">
      <c r="B1551" s="154"/>
    </row>
    <row r="1552" spans="2:2" ht="15.6">
      <c r="B1552" s="154"/>
    </row>
    <row r="1553" spans="2:2" ht="15.6">
      <c r="B1553" s="154"/>
    </row>
    <row r="1554" spans="2:2" ht="15.6">
      <c r="B1554" s="154"/>
    </row>
    <row r="1555" spans="2:2" ht="15.6">
      <c r="B1555" s="154"/>
    </row>
    <row r="1556" spans="2:2" ht="15.6">
      <c r="B1556" s="154"/>
    </row>
    <row r="1557" spans="2:2" ht="15.6">
      <c r="B1557" s="154"/>
    </row>
    <row r="1558" spans="2:2" ht="15.6">
      <c r="B1558" s="154"/>
    </row>
    <row r="1559" spans="2:2" ht="15.6">
      <c r="B1559" s="154"/>
    </row>
    <row r="1560" spans="2:2" ht="15.6">
      <c r="B1560" s="154"/>
    </row>
    <row r="1561" spans="2:2" ht="15.6">
      <c r="B1561" s="154"/>
    </row>
    <row r="1562" spans="2:2" ht="15.6">
      <c r="B1562" s="154"/>
    </row>
    <row r="1563" spans="2:2" ht="15.6">
      <c r="B1563" s="154"/>
    </row>
    <row r="1564" spans="2:2" ht="15.6">
      <c r="B1564" s="154"/>
    </row>
    <row r="1565" spans="2:2" ht="15.6">
      <c r="B1565" s="154"/>
    </row>
    <row r="1566" spans="2:2" ht="15.6">
      <c r="B1566" s="154"/>
    </row>
    <row r="1567" spans="2:2" ht="15.6">
      <c r="B1567" s="154"/>
    </row>
    <row r="1568" spans="2:2" ht="15.6">
      <c r="B1568" s="154"/>
    </row>
    <row r="1569" spans="2:2" ht="15.6">
      <c r="B1569" s="154"/>
    </row>
    <row r="1570" spans="2:2" ht="15.6">
      <c r="B1570" s="154"/>
    </row>
    <row r="1571" spans="2:2" ht="15.6">
      <c r="B1571" s="154"/>
    </row>
    <row r="1572" spans="2:2" ht="15.6">
      <c r="B1572" s="154"/>
    </row>
    <row r="1573" spans="2:2" ht="15.6">
      <c r="B1573" s="154"/>
    </row>
    <row r="1574" spans="2:2" ht="15.6">
      <c r="B1574" s="154"/>
    </row>
    <row r="1575" spans="2:2" ht="15.6">
      <c r="B1575" s="154"/>
    </row>
    <row r="1576" spans="2:2" ht="15.6">
      <c r="B1576" s="154"/>
    </row>
    <row r="1577" spans="2:2" ht="15.6">
      <c r="B1577" s="154"/>
    </row>
    <row r="1578" spans="2:2" ht="15.6">
      <c r="B1578" s="154"/>
    </row>
    <row r="1579" spans="2:2" ht="15.6">
      <c r="B1579" s="154"/>
    </row>
    <row r="1580" spans="2:2" ht="15.6">
      <c r="B1580" s="154"/>
    </row>
    <row r="1581" spans="2:2" ht="15.6">
      <c r="B1581" s="154"/>
    </row>
    <row r="1582" spans="2:2" ht="15.6">
      <c r="B1582" s="154"/>
    </row>
    <row r="1583" spans="2:2" ht="15.6">
      <c r="B1583" s="154"/>
    </row>
    <row r="1584" spans="2:2" ht="15.6">
      <c r="B1584" s="154"/>
    </row>
    <row r="1585" spans="2:2" ht="15.6">
      <c r="B1585" s="154"/>
    </row>
    <row r="1586" spans="2:2" ht="15.6">
      <c r="B1586" s="154"/>
    </row>
    <row r="1587" spans="2:2" ht="15.6">
      <c r="B1587" s="154"/>
    </row>
    <row r="1588" spans="2:2" ht="15.6">
      <c r="B1588" s="154"/>
    </row>
    <row r="1589" spans="2:2" ht="15.6">
      <c r="B1589" s="154"/>
    </row>
    <row r="1590" spans="2:2" ht="15.6">
      <c r="B1590" s="154"/>
    </row>
    <row r="1591" spans="2:2" ht="15.6">
      <c r="B1591" s="154"/>
    </row>
    <row r="1592" spans="2:2" ht="15.6">
      <c r="B1592" s="154"/>
    </row>
    <row r="1593" spans="2:2" ht="15.6">
      <c r="B1593" s="154"/>
    </row>
    <row r="1594" spans="2:2" ht="15.6">
      <c r="B1594" s="154"/>
    </row>
    <row r="1595" spans="2:2" ht="15.6">
      <c r="B1595" s="154"/>
    </row>
    <row r="1596" spans="2:2" ht="15.6">
      <c r="B1596" s="154"/>
    </row>
    <row r="1597" spans="2:2" ht="15.6">
      <c r="B1597" s="154"/>
    </row>
    <row r="1598" spans="2:2" ht="15.6">
      <c r="B1598" s="154"/>
    </row>
    <row r="1599" spans="2:2" ht="15.6">
      <c r="B1599" s="154"/>
    </row>
    <row r="1600" spans="2:2" ht="15.6">
      <c r="B1600" s="154"/>
    </row>
    <row r="1601" spans="2:2" ht="15.6">
      <c r="B1601" s="154"/>
    </row>
    <row r="1602" spans="2:2" ht="15.6">
      <c r="B1602" s="154"/>
    </row>
    <row r="1603" spans="2:2" ht="15.6">
      <c r="B1603" s="154"/>
    </row>
    <row r="1604" spans="2:2" ht="15.6">
      <c r="B1604" s="154"/>
    </row>
    <row r="1605" spans="2:2" ht="15.6">
      <c r="B1605" s="154"/>
    </row>
    <row r="1606" spans="2:2" ht="15.6">
      <c r="B1606" s="154"/>
    </row>
    <row r="1607" spans="2:2" ht="15.6">
      <c r="B1607" s="154"/>
    </row>
    <row r="1608" spans="2:2" ht="15.6">
      <c r="B1608" s="154"/>
    </row>
    <row r="1609" spans="2:2" ht="15.6">
      <c r="B1609" s="154"/>
    </row>
    <row r="1610" spans="2:2" ht="15.6">
      <c r="B1610" s="154"/>
    </row>
    <row r="1611" spans="2:2" ht="15.6">
      <c r="B1611" s="154"/>
    </row>
    <row r="1612" spans="2:2" ht="15.6">
      <c r="B1612" s="154"/>
    </row>
    <row r="1613" spans="2:2" ht="15.6">
      <c r="B1613" s="154"/>
    </row>
    <row r="1614" spans="2:2" ht="15.6">
      <c r="B1614" s="154"/>
    </row>
    <row r="1615" spans="2:2" ht="15.6">
      <c r="B1615" s="154"/>
    </row>
    <row r="1616" spans="2:2" ht="15.6">
      <c r="B1616" s="154"/>
    </row>
    <row r="1617" spans="2:2" ht="15.6">
      <c r="B1617" s="154"/>
    </row>
    <row r="1618" spans="2:2" ht="15.6">
      <c r="B1618" s="154"/>
    </row>
    <row r="1619" spans="2:2" ht="15.6">
      <c r="B1619" s="154"/>
    </row>
    <row r="1620" spans="2:2" ht="15.6">
      <c r="B1620" s="154"/>
    </row>
    <row r="1621" spans="2:2" ht="15.6">
      <c r="B1621" s="154"/>
    </row>
    <row r="1622" spans="2:2" ht="15.6">
      <c r="B1622" s="154"/>
    </row>
    <row r="1623" spans="2:2" ht="15.6">
      <c r="B1623" s="154"/>
    </row>
    <row r="1624" spans="2:2" ht="15.6">
      <c r="B1624" s="154"/>
    </row>
    <row r="1625" spans="2:2" ht="15.6">
      <c r="B1625" s="154"/>
    </row>
    <row r="1626" spans="2:2" ht="15.6">
      <c r="B1626" s="154"/>
    </row>
    <row r="1627" spans="2:2" ht="15.6">
      <c r="B1627" s="154"/>
    </row>
    <row r="1628" spans="2:2" ht="15.6">
      <c r="B1628" s="154"/>
    </row>
    <row r="1629" spans="2:2" ht="15.6">
      <c r="B1629" s="154"/>
    </row>
    <row r="1630" spans="2:2" ht="15.6">
      <c r="B1630" s="154"/>
    </row>
    <row r="1631" spans="2:2" ht="15.6">
      <c r="B1631" s="154"/>
    </row>
    <row r="1632" spans="2:2" ht="15.6">
      <c r="B1632" s="154"/>
    </row>
    <row r="1633" spans="2:2" ht="15.6">
      <c r="B1633" s="154"/>
    </row>
    <row r="1634" spans="2:2" ht="15.6">
      <c r="B1634" s="154"/>
    </row>
    <row r="1635" spans="2:2" ht="15.6">
      <c r="B1635" s="154"/>
    </row>
    <row r="1636" spans="2:2" ht="15.6">
      <c r="B1636" s="154"/>
    </row>
    <row r="1637" spans="2:2" ht="15.6">
      <c r="B1637" s="154"/>
    </row>
    <row r="1638" spans="2:2" ht="15.6">
      <c r="B1638" s="154"/>
    </row>
    <row r="1639" spans="2:2" ht="15.6">
      <c r="B1639" s="154"/>
    </row>
    <row r="1640" spans="2:2" ht="15.6">
      <c r="B1640" s="154"/>
    </row>
    <row r="1641" spans="2:2" ht="15.6">
      <c r="B1641" s="154"/>
    </row>
    <row r="1642" spans="2:2" ht="15.6">
      <c r="B1642" s="154"/>
    </row>
    <row r="1643" spans="2:2" ht="15.6">
      <c r="B1643" s="154"/>
    </row>
    <row r="1644" spans="2:2" ht="15.6">
      <c r="B1644" s="154"/>
    </row>
    <row r="1645" spans="2:2" ht="15.6">
      <c r="B1645" s="154"/>
    </row>
    <row r="1646" spans="2:2" ht="15.6">
      <c r="B1646" s="154"/>
    </row>
    <row r="1647" spans="2:2" ht="15.6">
      <c r="B1647" s="154"/>
    </row>
    <row r="1648" spans="2:2" ht="15.6">
      <c r="B1648" s="154"/>
    </row>
    <row r="1649" spans="2:2" ht="15.6">
      <c r="B1649" s="154"/>
    </row>
    <row r="1650" spans="2:2" ht="15.6">
      <c r="B1650" s="154"/>
    </row>
    <row r="1651" spans="2:2" ht="15.6">
      <c r="B1651" s="154"/>
    </row>
    <row r="1652" spans="2:2" ht="15.6">
      <c r="B1652" s="154"/>
    </row>
    <row r="1653" spans="2:2" ht="15.6">
      <c r="B1653" s="154"/>
    </row>
    <row r="1654" spans="2:2" ht="15.6">
      <c r="B1654" s="154"/>
    </row>
    <row r="1655" spans="2:2" ht="15.6">
      <c r="B1655" s="154"/>
    </row>
    <row r="1656" spans="2:2" ht="15.6">
      <c r="B1656" s="154"/>
    </row>
    <row r="1657" spans="2:2" ht="15.6">
      <c r="B1657" s="154"/>
    </row>
    <row r="1658" spans="2:2" ht="15.6">
      <c r="B1658" s="154"/>
    </row>
    <row r="1659" spans="2:2" ht="15.6">
      <c r="B1659" s="154"/>
    </row>
    <row r="1660" spans="2:2" ht="15.6">
      <c r="B1660" s="154"/>
    </row>
    <row r="1661" spans="2:2" ht="15.6">
      <c r="B1661" s="154"/>
    </row>
    <row r="1662" spans="2:2" ht="15.6">
      <c r="B1662" s="154"/>
    </row>
    <row r="1663" spans="2:2" ht="15.6">
      <c r="B1663" s="154"/>
    </row>
    <row r="1664" spans="2:2" ht="15.6">
      <c r="B1664" s="154"/>
    </row>
    <row r="1665" spans="2:2" ht="15.6">
      <c r="B1665" s="154"/>
    </row>
    <row r="1666" spans="2:2" ht="15.6">
      <c r="B1666" s="154"/>
    </row>
    <row r="1667" spans="2:2" ht="15.6">
      <c r="B1667" s="154"/>
    </row>
    <row r="1668" spans="2:2" ht="15.6">
      <c r="B1668" s="154"/>
    </row>
    <row r="1669" spans="2:2" ht="15.6">
      <c r="B1669" s="154"/>
    </row>
    <row r="1670" spans="2:2" ht="15.6">
      <c r="B1670" s="154"/>
    </row>
    <row r="1671" spans="2:2" ht="15.6">
      <c r="B1671" s="154"/>
    </row>
    <row r="1672" spans="2:2" ht="15.6">
      <c r="B1672" s="154"/>
    </row>
    <row r="1673" spans="2:2" ht="15.6">
      <c r="B1673" s="154"/>
    </row>
    <row r="1674" spans="2:2" ht="15.6">
      <c r="B1674" s="154"/>
    </row>
    <row r="1675" spans="2:2" ht="15.6">
      <c r="B1675" s="154"/>
    </row>
    <row r="1676" spans="2:2" ht="15.6">
      <c r="B1676" s="154"/>
    </row>
    <row r="1677" spans="2:2" ht="15.6">
      <c r="B1677" s="154"/>
    </row>
    <row r="1678" spans="2:2" ht="15.6">
      <c r="B1678" s="154"/>
    </row>
    <row r="1679" spans="2:2" ht="15.6">
      <c r="B1679" s="154"/>
    </row>
    <row r="1680" spans="2:2" ht="15.6">
      <c r="B1680" s="154"/>
    </row>
    <row r="1681" spans="2:2" ht="15.6">
      <c r="B1681" s="154"/>
    </row>
    <row r="1682" spans="2:2" ht="15.6">
      <c r="B1682" s="154"/>
    </row>
    <row r="1683" spans="2:2" ht="15.6">
      <c r="B1683" s="154"/>
    </row>
    <row r="1684" spans="2:2" ht="15.6">
      <c r="B1684" s="154"/>
    </row>
    <row r="1685" spans="2:2" ht="15.6">
      <c r="B1685" s="154"/>
    </row>
    <row r="1686" spans="2:2" ht="15.6">
      <c r="B1686" s="154"/>
    </row>
    <row r="1687" spans="2:2" ht="15.6">
      <c r="B1687" s="154"/>
    </row>
    <row r="1688" spans="2:2" ht="15.6">
      <c r="B1688" s="154"/>
    </row>
    <row r="1689" spans="2:2" ht="15.6">
      <c r="B1689" s="154"/>
    </row>
    <row r="1690" spans="2:2" ht="15.6">
      <c r="B1690" s="154"/>
    </row>
    <row r="1691" spans="2:2" ht="15.6">
      <c r="B1691" s="154"/>
    </row>
    <row r="1692" spans="2:2" ht="15.6">
      <c r="B1692" s="154"/>
    </row>
    <row r="1693" spans="2:2" ht="15.6">
      <c r="B1693" s="154"/>
    </row>
    <row r="1694" spans="2:2" ht="15.6">
      <c r="B1694" s="154"/>
    </row>
    <row r="1695" spans="2:2" ht="15.6">
      <c r="B1695" s="154"/>
    </row>
    <row r="1696" spans="2:2" ht="15.6">
      <c r="B1696" s="154"/>
    </row>
    <row r="1697" spans="2:2" ht="15.6">
      <c r="B1697" s="154"/>
    </row>
    <row r="1698" spans="2:2" ht="15.6">
      <c r="B1698" s="154"/>
    </row>
    <row r="1699" spans="2:2" ht="15.6">
      <c r="B1699" s="154"/>
    </row>
    <row r="1700" spans="2:2" ht="15.6">
      <c r="B1700" s="154"/>
    </row>
    <row r="1701" spans="2:2" ht="15.6">
      <c r="B1701" s="154"/>
    </row>
    <row r="1702" spans="2:2" ht="15.6">
      <c r="B1702" s="154"/>
    </row>
    <row r="1703" spans="2:2" ht="15.6">
      <c r="B1703" s="154"/>
    </row>
    <row r="1704" spans="2:2" ht="15.6">
      <c r="B1704" s="154"/>
    </row>
    <row r="1705" spans="2:2" ht="15.6">
      <c r="B1705" s="154"/>
    </row>
    <row r="1706" spans="2:2" ht="15.6">
      <c r="B1706" s="154"/>
    </row>
    <row r="1707" spans="2:2" ht="15.6">
      <c r="B1707" s="154"/>
    </row>
    <row r="1708" spans="2:2" ht="15.6">
      <c r="B1708" s="154"/>
    </row>
    <row r="1709" spans="2:2" ht="15.6">
      <c r="B1709" s="154"/>
    </row>
    <row r="1710" spans="2:2" ht="15.6">
      <c r="B1710" s="154"/>
    </row>
    <row r="1711" spans="2:2" ht="15.6">
      <c r="B1711" s="154"/>
    </row>
    <row r="1712" spans="2:2" ht="15.6">
      <c r="B1712" s="154"/>
    </row>
    <row r="1713" spans="2:2" ht="15.6">
      <c r="B1713" s="154"/>
    </row>
    <row r="1714" spans="2:2" ht="15.6">
      <c r="B1714" s="154"/>
    </row>
    <row r="1715" spans="2:2" ht="15.6">
      <c r="B1715" s="154"/>
    </row>
    <row r="1716" spans="2:2" ht="15.6">
      <c r="B1716" s="154"/>
    </row>
    <row r="1717" spans="2:2" ht="15.6">
      <c r="B1717" s="154"/>
    </row>
    <row r="1718" spans="2:2" ht="15.6">
      <c r="B1718" s="154"/>
    </row>
    <row r="1719" spans="2:2" ht="15.6">
      <c r="B1719" s="154"/>
    </row>
    <row r="1720" spans="2:2" ht="15.6">
      <c r="B1720" s="154"/>
    </row>
    <row r="1721" spans="2:2" ht="15.6">
      <c r="B1721" s="154"/>
    </row>
    <row r="1722" spans="2:2" ht="15.6">
      <c r="B1722" s="154"/>
    </row>
    <row r="1723" spans="2:2" ht="15.6">
      <c r="B1723" s="154"/>
    </row>
    <row r="1724" spans="2:2" ht="15.6">
      <c r="B1724" s="154"/>
    </row>
    <row r="1725" spans="2:2" ht="15.6">
      <c r="B1725" s="154"/>
    </row>
    <row r="1726" spans="2:2" ht="15.6">
      <c r="B1726" s="154"/>
    </row>
    <row r="1727" spans="2:2" ht="15.6">
      <c r="B1727" s="154"/>
    </row>
    <row r="1728" spans="2:2" ht="15.6">
      <c r="B1728" s="154"/>
    </row>
    <row r="1729" spans="2:2" ht="15.6">
      <c r="B1729" s="154"/>
    </row>
    <row r="1730" spans="2:2" ht="15.6">
      <c r="B1730" s="154"/>
    </row>
    <row r="1731" spans="2:2" ht="15.6">
      <c r="B1731" s="154"/>
    </row>
    <row r="1732" spans="2:2" ht="15.6">
      <c r="B1732" s="154"/>
    </row>
    <row r="1733" spans="2:2" ht="15.6">
      <c r="B1733" s="154"/>
    </row>
    <row r="1734" spans="2:2" ht="15.6">
      <c r="B1734" s="154"/>
    </row>
    <row r="1735" spans="2:2" ht="15.6">
      <c r="B1735" s="154"/>
    </row>
    <row r="1736" spans="2:2" ht="15.6">
      <c r="B1736" s="154"/>
    </row>
    <row r="1737" spans="2:2" ht="15.6">
      <c r="B1737" s="154"/>
    </row>
    <row r="1738" spans="2:2" ht="15.6">
      <c r="B1738" s="154"/>
    </row>
    <row r="1739" spans="2:2" ht="15.6">
      <c r="B1739" s="154"/>
    </row>
    <row r="1740" spans="2:2" ht="15.6">
      <c r="B1740" s="154"/>
    </row>
    <row r="1741" spans="2:2" ht="15.6">
      <c r="B1741" s="154"/>
    </row>
    <row r="1742" spans="2:2" ht="15.6">
      <c r="B1742" s="154"/>
    </row>
    <row r="1743" spans="2:2" ht="15.6">
      <c r="B1743" s="154"/>
    </row>
    <row r="1744" spans="2:2" ht="15.6">
      <c r="B1744" s="154"/>
    </row>
    <row r="1745" spans="2:2" ht="15.6">
      <c r="B1745" s="154"/>
    </row>
    <row r="1746" spans="2:2" ht="15.6">
      <c r="B1746" s="154"/>
    </row>
    <row r="1747" spans="2:2" ht="15.6">
      <c r="B1747" s="154"/>
    </row>
    <row r="1748" spans="2:2" ht="15.6">
      <c r="B1748" s="154"/>
    </row>
    <row r="1749" spans="2:2" ht="15.6">
      <c r="B1749" s="154"/>
    </row>
    <row r="1750" spans="2:2" ht="15.6">
      <c r="B1750" s="154"/>
    </row>
    <row r="1751" spans="2:2" ht="15.6">
      <c r="B1751" s="154"/>
    </row>
    <row r="1752" spans="2:2" ht="15.6">
      <c r="B1752" s="154"/>
    </row>
    <row r="1753" spans="2:2" ht="15.6">
      <c r="B1753" s="154"/>
    </row>
    <row r="1754" spans="2:2" ht="15.6">
      <c r="B1754" s="154"/>
    </row>
    <row r="1755" spans="2:2" ht="15.6">
      <c r="B1755" s="154"/>
    </row>
    <row r="1756" spans="2:2" ht="15.6">
      <c r="B1756" s="154"/>
    </row>
    <row r="1757" spans="2:2" ht="15.6">
      <c r="B1757" s="154"/>
    </row>
    <row r="1758" spans="2:2" ht="15.6">
      <c r="B1758" s="154"/>
    </row>
    <row r="1759" spans="2:2" ht="15.6">
      <c r="B1759" s="154"/>
    </row>
    <row r="1760" spans="2:2" ht="15.6">
      <c r="B1760" s="154"/>
    </row>
    <row r="1761" spans="2:2" ht="15.6">
      <c r="B1761" s="154"/>
    </row>
    <row r="1762" spans="2:2" ht="15.6">
      <c r="B1762" s="154"/>
    </row>
    <row r="1763" spans="2:2" ht="15.6">
      <c r="B1763" s="154"/>
    </row>
    <row r="1764" spans="2:2" ht="15.6">
      <c r="B1764" s="154"/>
    </row>
    <row r="1765" spans="2:2" ht="15.6">
      <c r="B1765" s="154"/>
    </row>
    <row r="1766" spans="2:2" ht="15.6">
      <c r="B1766" s="154"/>
    </row>
    <row r="1767" spans="2:2" ht="15.6">
      <c r="B1767" s="154"/>
    </row>
    <row r="1768" spans="2:2" ht="15.6">
      <c r="B1768" s="154"/>
    </row>
    <row r="1769" spans="2:2" ht="15.6">
      <c r="B1769" s="154"/>
    </row>
    <row r="1770" spans="2:2" ht="15.6">
      <c r="B1770" s="154"/>
    </row>
    <row r="1771" spans="2:2" ht="15.6">
      <c r="B1771" s="154"/>
    </row>
    <row r="1772" spans="2:2" ht="15.6">
      <c r="B1772" s="154"/>
    </row>
    <row r="1773" spans="2:2" ht="15.6">
      <c r="B1773" s="154"/>
    </row>
    <row r="1774" spans="2:2" ht="15.6">
      <c r="B1774" s="154"/>
    </row>
    <row r="1775" spans="2:2" ht="15.6">
      <c r="B1775" s="154"/>
    </row>
    <row r="1776" spans="2:2" ht="15.6">
      <c r="B1776" s="154"/>
    </row>
    <row r="1777" spans="2:2" ht="15.6">
      <c r="B1777" s="154"/>
    </row>
    <row r="1778" spans="2:2" ht="15.6">
      <c r="B1778" s="154"/>
    </row>
    <row r="1779" spans="2:2" ht="15.6">
      <c r="B1779" s="154"/>
    </row>
    <row r="1780" spans="2:2" ht="15.6">
      <c r="B1780" s="154"/>
    </row>
    <row r="1781" spans="2:2" ht="15.6">
      <c r="B1781" s="154"/>
    </row>
    <row r="1782" spans="2:2" ht="15.6">
      <c r="B1782" s="154"/>
    </row>
    <row r="1783" spans="2:2" ht="15.6">
      <c r="B1783" s="154"/>
    </row>
    <row r="1784" spans="2:2" ht="15.6">
      <c r="B1784" s="154"/>
    </row>
    <row r="1785" spans="2:2" ht="15.6">
      <c r="B1785" s="154"/>
    </row>
    <row r="1786" spans="2:2" ht="15.6">
      <c r="B1786" s="154"/>
    </row>
    <row r="1787" spans="2:2" ht="15.6">
      <c r="B1787" s="154"/>
    </row>
    <row r="1788" spans="2:2" ht="15.6">
      <c r="B1788" s="154"/>
    </row>
    <row r="1789" spans="2:2" ht="15.6">
      <c r="B1789" s="154"/>
    </row>
    <row r="1790" spans="2:2" ht="15.6">
      <c r="B1790" s="154"/>
    </row>
    <row r="1791" spans="2:2" ht="15.6">
      <c r="B1791" s="154"/>
    </row>
    <row r="1792" spans="2:2" ht="15.6">
      <c r="B1792" s="154"/>
    </row>
    <row r="1793" spans="2:2" ht="15.6">
      <c r="B1793" s="154"/>
    </row>
    <row r="1794" spans="2:2" ht="15.6">
      <c r="B1794" s="154"/>
    </row>
    <row r="1795" spans="2:2" ht="15.6">
      <c r="B1795" s="154"/>
    </row>
    <row r="1796" spans="2:2" ht="15.6">
      <c r="B1796" s="154"/>
    </row>
    <row r="1797" spans="2:2" ht="15.6">
      <c r="B1797" s="154"/>
    </row>
    <row r="1798" spans="2:2" ht="15.6">
      <c r="B1798" s="154"/>
    </row>
    <row r="1799" spans="2:2" ht="15.6">
      <c r="B1799" s="154"/>
    </row>
    <row r="1800" spans="2:2" ht="15.6">
      <c r="B1800" s="154"/>
    </row>
    <row r="1801" spans="2:2" ht="15.6">
      <c r="B1801" s="154"/>
    </row>
    <row r="1802" spans="2:2" ht="15.6">
      <c r="B1802" s="154"/>
    </row>
    <row r="1803" spans="2:2" ht="15.6">
      <c r="B1803" s="154"/>
    </row>
    <row r="1804" spans="2:2" ht="15.6">
      <c r="B1804" s="154"/>
    </row>
    <row r="1805" spans="2:2" ht="15.6">
      <c r="B1805" s="154"/>
    </row>
    <row r="1806" spans="2:2" ht="15.6">
      <c r="B1806" s="154"/>
    </row>
    <row r="1807" spans="2:2" ht="15.6">
      <c r="B1807" s="154"/>
    </row>
    <row r="1808" spans="2:2" ht="15.6">
      <c r="B1808" s="154"/>
    </row>
    <row r="1809" spans="2:2" ht="15.6">
      <c r="B1809" s="154"/>
    </row>
    <row r="1810" spans="2:2" ht="15.6">
      <c r="B1810" s="154"/>
    </row>
    <row r="1811" spans="2:2" ht="15.6">
      <c r="B1811" s="154"/>
    </row>
    <row r="1812" spans="2:2" ht="15.6">
      <c r="B1812" s="154"/>
    </row>
    <row r="1813" spans="2:2" ht="15.6">
      <c r="B1813" s="154"/>
    </row>
    <row r="1814" spans="2:2" ht="15.6">
      <c r="B1814" s="154"/>
    </row>
    <row r="1815" spans="2:2" ht="15.6">
      <c r="B1815" s="154"/>
    </row>
    <row r="1816" spans="2:2" ht="15.6">
      <c r="B1816" s="154"/>
    </row>
    <row r="1817" spans="2:2" ht="15.6">
      <c r="B1817" s="154"/>
    </row>
    <row r="1818" spans="2:2" ht="15.6">
      <c r="B1818" s="154"/>
    </row>
    <row r="1819" spans="2:2" ht="15.6">
      <c r="B1819" s="154"/>
    </row>
    <row r="1820" spans="2:2" ht="15.6">
      <c r="B1820" s="154"/>
    </row>
    <row r="1821" spans="2:2" ht="15.6">
      <c r="B1821" s="154"/>
    </row>
    <row r="1822" spans="2:2" ht="15.6">
      <c r="B1822" s="154"/>
    </row>
    <row r="1823" spans="2:2" ht="15.6">
      <c r="B1823" s="154"/>
    </row>
    <row r="1824" spans="2:2" ht="15.6">
      <c r="B1824" s="154"/>
    </row>
    <row r="1825" spans="2:2" ht="15.6">
      <c r="B1825" s="154"/>
    </row>
    <row r="1826" spans="2:2" ht="15.6">
      <c r="B1826" s="154"/>
    </row>
    <row r="1827" spans="2:2" ht="15.6">
      <c r="B1827" s="154"/>
    </row>
    <row r="1828" spans="2:2" ht="15.6">
      <c r="B1828" s="154"/>
    </row>
    <row r="1829" spans="2:2" ht="15.6">
      <c r="B1829" s="154"/>
    </row>
    <row r="1830" spans="2:2" ht="15.6">
      <c r="B1830" s="154"/>
    </row>
    <row r="1831" spans="2:2" ht="15.6">
      <c r="B1831" s="154"/>
    </row>
    <row r="1832" spans="2:2" ht="15.6">
      <c r="B1832" s="154"/>
    </row>
    <row r="1833" spans="2:2" ht="15.6">
      <c r="B1833" s="154"/>
    </row>
    <row r="1834" spans="2:2" ht="15.6">
      <c r="B1834" s="154"/>
    </row>
    <row r="1835" spans="2:2" ht="15.6">
      <c r="B1835" s="154"/>
    </row>
    <row r="1836" spans="2:2" ht="15.6">
      <c r="B1836" s="154"/>
    </row>
    <row r="1837" spans="2:2" ht="15.6">
      <c r="B1837" s="154"/>
    </row>
    <row r="1838" spans="2:2" ht="15.6">
      <c r="B1838" s="154"/>
    </row>
    <row r="1839" spans="2:2" ht="15.6">
      <c r="B1839" s="154"/>
    </row>
    <row r="1840" spans="2:2" ht="15.6">
      <c r="B1840" s="154"/>
    </row>
    <row r="1841" spans="2:2" ht="15.6">
      <c r="B1841" s="154"/>
    </row>
    <row r="1842" spans="2:2" ht="15.6">
      <c r="B1842" s="154"/>
    </row>
    <row r="1843" spans="2:2" ht="15.6">
      <c r="B1843" s="154"/>
    </row>
    <row r="1844" spans="2:2" ht="15.6">
      <c r="B1844" s="154"/>
    </row>
    <row r="1845" spans="2:2" ht="15.6">
      <c r="B1845" s="154"/>
    </row>
    <row r="1846" spans="2:2" ht="15.6">
      <c r="B1846" s="154"/>
    </row>
    <row r="1847" spans="2:2" ht="15.6">
      <c r="B1847" s="154"/>
    </row>
    <row r="1848" spans="2:2" ht="15.6">
      <c r="B1848" s="154"/>
    </row>
    <row r="1849" spans="2:2" ht="15.6">
      <c r="B1849" s="154"/>
    </row>
    <row r="1850" spans="2:2" ht="15.6">
      <c r="B1850" s="154"/>
    </row>
    <row r="1851" spans="2:2" ht="15.6">
      <c r="B1851" s="154"/>
    </row>
    <row r="1852" spans="2:2" ht="15.6">
      <c r="B1852" s="154"/>
    </row>
    <row r="1853" spans="2:2" ht="15.6">
      <c r="B1853" s="154"/>
    </row>
    <row r="1854" spans="2:2" ht="15.6">
      <c r="B1854" s="154"/>
    </row>
    <row r="1855" spans="2:2" ht="15.6">
      <c r="B1855" s="154"/>
    </row>
    <row r="1856" spans="2:2" ht="15.6">
      <c r="B1856" s="154"/>
    </row>
    <row r="1857" spans="2:2" ht="15.6">
      <c r="B1857" s="154"/>
    </row>
    <row r="1858" spans="2:2" ht="15.6">
      <c r="B1858" s="154"/>
    </row>
    <row r="1859" spans="2:2" ht="15.6">
      <c r="B1859" s="154"/>
    </row>
    <row r="1860" spans="2:2" ht="15.6">
      <c r="B1860" s="154"/>
    </row>
    <row r="1861" spans="2:2" ht="15.6">
      <c r="B1861" s="154"/>
    </row>
    <row r="1862" spans="2:2" ht="15.6">
      <c r="B1862" s="154"/>
    </row>
    <row r="1863" spans="2:2" ht="15.6">
      <c r="B1863" s="154"/>
    </row>
    <row r="1864" spans="2:2" ht="15.6">
      <c r="B1864" s="154"/>
    </row>
    <row r="1865" spans="2:2" ht="15.6">
      <c r="B1865" s="154"/>
    </row>
    <row r="1866" spans="2:2" ht="15.6">
      <c r="B1866" s="154"/>
    </row>
    <row r="1867" spans="2:2" ht="15.6">
      <c r="B1867" s="154"/>
    </row>
    <row r="1868" spans="2:2" ht="15.6">
      <c r="B1868" s="154"/>
    </row>
    <row r="1869" spans="2:2" ht="15.6">
      <c r="B1869" s="154"/>
    </row>
    <row r="1870" spans="2:2" ht="15.6">
      <c r="B1870" s="154"/>
    </row>
    <row r="1871" spans="2:2" ht="15.6">
      <c r="B1871" s="154"/>
    </row>
    <row r="1872" spans="2:2" ht="15.6">
      <c r="B1872" s="154"/>
    </row>
    <row r="1873" spans="2:2" ht="15.6">
      <c r="B1873" s="154"/>
    </row>
    <row r="1874" spans="2:2" ht="15.6">
      <c r="B1874" s="154"/>
    </row>
    <row r="1875" spans="2:2" ht="15.6">
      <c r="B1875" s="154"/>
    </row>
    <row r="1876" spans="2:2" ht="15.6">
      <c r="B1876" s="154"/>
    </row>
    <row r="1877" spans="2:2" ht="15.6">
      <c r="B1877" s="154"/>
    </row>
    <row r="1878" spans="2:2" ht="15.6">
      <c r="B1878" s="154"/>
    </row>
    <row r="1879" spans="2:2" ht="15.6">
      <c r="B1879" s="154"/>
    </row>
    <row r="1880" spans="2:2" ht="15.6">
      <c r="B1880" s="154"/>
    </row>
    <row r="1881" spans="2:2" ht="15.6">
      <c r="B1881" s="154"/>
    </row>
    <row r="1882" spans="2:2" ht="15.6">
      <c r="B1882" s="154"/>
    </row>
    <row r="1883" spans="2:2" ht="15.6">
      <c r="B1883" s="154"/>
    </row>
    <row r="1884" spans="2:2" ht="15.6">
      <c r="B1884" s="154"/>
    </row>
    <row r="1885" spans="2:2" ht="15.6">
      <c r="B1885" s="154"/>
    </row>
    <row r="1886" spans="2:2" ht="15.6">
      <c r="B1886" s="154"/>
    </row>
    <row r="1887" spans="2:2" ht="15.6">
      <c r="B1887" s="154"/>
    </row>
    <row r="1888" spans="2:2" ht="15.6">
      <c r="B1888" s="154"/>
    </row>
    <row r="1889" spans="2:2" ht="15.6">
      <c r="B1889" s="154"/>
    </row>
    <row r="1890" spans="2:2" ht="15.6">
      <c r="B1890" s="154"/>
    </row>
    <row r="1891" spans="2:2" ht="15.6">
      <c r="B1891" s="154"/>
    </row>
    <row r="1892" spans="2:2" ht="15.6">
      <c r="B1892" s="154"/>
    </row>
    <row r="1893" spans="2:2" ht="15.6">
      <c r="B1893" s="154"/>
    </row>
    <row r="1894" spans="2:2" ht="15.6">
      <c r="B1894" s="154"/>
    </row>
    <row r="1895" spans="2:2" ht="15.6">
      <c r="B1895" s="154"/>
    </row>
    <row r="1896" spans="2:2" ht="15.6">
      <c r="B1896" s="154"/>
    </row>
    <row r="1897" spans="2:2" ht="15.6">
      <c r="B1897" s="154"/>
    </row>
    <row r="1898" spans="2:2" ht="15.6">
      <c r="B1898" s="154"/>
    </row>
    <row r="1899" spans="2:2" ht="15.6">
      <c r="B1899" s="154"/>
    </row>
    <row r="1900" spans="2:2" ht="15.6">
      <c r="B1900" s="154"/>
    </row>
    <row r="1901" spans="2:2" ht="15.6">
      <c r="B1901" s="154"/>
    </row>
    <row r="1902" spans="2:2" ht="15.6">
      <c r="B1902" s="154"/>
    </row>
    <row r="1903" spans="2:2" ht="15.6">
      <c r="B1903" s="154"/>
    </row>
    <row r="1904" spans="2:2" ht="15.6">
      <c r="B1904" s="154"/>
    </row>
    <row r="1905" spans="2:2" ht="15.6">
      <c r="B1905" s="154"/>
    </row>
    <row r="1906" spans="2:2" ht="15.6">
      <c r="B1906" s="154"/>
    </row>
    <row r="1907" spans="2:2" ht="15.6">
      <c r="B1907" s="154"/>
    </row>
    <row r="1908" spans="2:2" ht="15.6">
      <c r="B1908" s="154"/>
    </row>
    <row r="1909" spans="2:2" ht="15.6">
      <c r="B1909" s="154"/>
    </row>
    <row r="1910" spans="2:2" ht="15.6">
      <c r="B1910" s="154"/>
    </row>
    <row r="1911" spans="2:2" ht="15.6">
      <c r="B1911" s="154"/>
    </row>
    <row r="1912" spans="2:2" ht="15.6">
      <c r="B1912" s="154"/>
    </row>
    <row r="1913" spans="2:2" ht="15.6">
      <c r="B1913" s="154"/>
    </row>
    <row r="1914" spans="2:2" ht="15.6">
      <c r="B1914" s="154"/>
    </row>
    <row r="1915" spans="2:2" ht="15.6">
      <c r="B1915" s="154"/>
    </row>
    <row r="1916" spans="2:2" ht="15.6">
      <c r="B1916" s="154"/>
    </row>
    <row r="1917" spans="2:2" ht="15.6">
      <c r="B1917" s="154"/>
    </row>
    <row r="1918" spans="2:2" ht="15.6">
      <c r="B1918" s="154"/>
    </row>
    <row r="1919" spans="2:2" ht="15.6">
      <c r="B1919" s="154"/>
    </row>
    <row r="1920" spans="2:2" ht="15.6">
      <c r="B1920" s="154"/>
    </row>
    <row r="1921" spans="2:2" ht="15.6">
      <c r="B1921" s="154"/>
    </row>
    <row r="1922" spans="2:2" ht="15.6">
      <c r="B1922" s="154"/>
    </row>
    <row r="1923" spans="2:2" ht="15.6">
      <c r="B1923" s="154"/>
    </row>
    <row r="1924" spans="2:2" ht="15.6">
      <c r="B1924" s="154"/>
    </row>
    <row r="1925" spans="2:2" ht="15.6">
      <c r="B1925" s="154"/>
    </row>
    <row r="1926" spans="2:2" ht="15.6">
      <c r="B1926" s="154"/>
    </row>
    <row r="1927" spans="2:2" ht="15.6">
      <c r="B1927" s="154"/>
    </row>
    <row r="1928" spans="2:2" ht="15.6">
      <c r="B1928" s="154"/>
    </row>
    <row r="1929" spans="2:2" ht="15.6">
      <c r="B1929" s="154"/>
    </row>
    <row r="1930" spans="2:2" ht="15.6">
      <c r="B1930" s="154"/>
    </row>
    <row r="1931" spans="2:2" ht="15.6">
      <c r="B1931" s="154"/>
    </row>
    <row r="1932" spans="2:2" ht="15.6">
      <c r="B1932" s="154"/>
    </row>
    <row r="1933" spans="2:2" ht="15.6">
      <c r="B1933" s="154"/>
    </row>
    <row r="1934" spans="2:2" ht="15.6">
      <c r="B1934" s="154"/>
    </row>
    <row r="1935" spans="2:2" ht="15.6">
      <c r="B1935" s="154"/>
    </row>
    <row r="1936" spans="2:2" ht="15.6">
      <c r="B1936" s="154"/>
    </row>
    <row r="1937" spans="2:2" ht="15.6">
      <c r="B1937" s="154"/>
    </row>
    <row r="1938" spans="2:2" ht="15.6">
      <c r="B1938" s="154"/>
    </row>
    <row r="1939" spans="2:2" ht="15.6">
      <c r="B1939" s="154"/>
    </row>
    <row r="1940" spans="2:2" ht="15.6">
      <c r="B1940" s="154"/>
    </row>
    <row r="1941" spans="2:2" ht="15.6">
      <c r="B1941" s="154"/>
    </row>
    <row r="1942" spans="2:2" ht="15.6">
      <c r="B1942" s="154"/>
    </row>
    <row r="1943" spans="2:2" ht="15.6">
      <c r="B1943" s="154"/>
    </row>
    <row r="1944" spans="2:2" ht="15.6">
      <c r="B1944" s="154"/>
    </row>
    <row r="1945" spans="2:2" ht="15.6">
      <c r="B1945" s="154"/>
    </row>
    <row r="1946" spans="2:2" ht="15.6">
      <c r="B1946" s="154"/>
    </row>
    <row r="1947" spans="2:2" ht="15.6">
      <c r="B1947" s="154"/>
    </row>
    <row r="1948" spans="2:2" ht="15.6">
      <c r="B1948" s="154"/>
    </row>
    <row r="1949" spans="2:2" ht="15.6">
      <c r="B1949" s="154"/>
    </row>
    <row r="1950" spans="2:2" ht="15.6">
      <c r="B1950" s="154"/>
    </row>
    <row r="1951" spans="2:2" ht="15.6">
      <c r="B1951" s="154"/>
    </row>
    <row r="1952" spans="2:2" ht="15.6">
      <c r="B1952" s="154"/>
    </row>
    <row r="1953" spans="2:2" ht="15.6">
      <c r="B1953" s="154"/>
    </row>
    <row r="1954" spans="2:2" ht="15.6">
      <c r="B1954" s="154"/>
    </row>
    <row r="1955" spans="2:2" ht="15.6">
      <c r="B1955" s="154"/>
    </row>
    <row r="1956" spans="2:2" ht="15.6">
      <c r="B1956" s="154"/>
    </row>
    <row r="1957" spans="2:2" ht="15.6">
      <c r="B1957" s="154"/>
    </row>
    <row r="1958" spans="2:2" ht="15.6">
      <c r="B1958" s="154"/>
    </row>
    <row r="1959" spans="2:2" ht="15.6">
      <c r="B1959" s="154"/>
    </row>
    <row r="1960" spans="2:2" ht="15.6">
      <c r="B1960" s="154"/>
    </row>
    <row r="1961" spans="2:2" ht="15.6">
      <c r="B1961" s="154"/>
    </row>
    <row r="1962" spans="2:2" ht="15.6">
      <c r="B1962" s="154"/>
    </row>
    <row r="1963" spans="2:2" ht="15.6">
      <c r="B1963" s="154"/>
    </row>
    <row r="1964" spans="2:2" ht="15.6">
      <c r="B1964" s="154"/>
    </row>
    <row r="1965" spans="2:2" ht="15.6">
      <c r="B1965" s="154"/>
    </row>
    <row r="1966" spans="2:2" ht="15.6">
      <c r="B1966" s="154"/>
    </row>
    <row r="1967" spans="2:2" ht="15.6">
      <c r="B1967" s="154"/>
    </row>
    <row r="1968" spans="2:2" ht="15.6">
      <c r="B1968" s="154"/>
    </row>
    <row r="1969" spans="2:2" ht="15.6">
      <c r="B1969" s="154"/>
    </row>
    <row r="1970" spans="2:2" ht="15.6">
      <c r="B1970" s="154"/>
    </row>
    <row r="1971" spans="2:2" ht="15.6">
      <c r="B1971" s="154"/>
    </row>
    <row r="1972" spans="2:2" ht="15.6">
      <c r="B1972" s="154"/>
    </row>
    <row r="1973" spans="2:2" ht="15.6">
      <c r="B1973" s="154"/>
    </row>
    <row r="1974" spans="2:2" ht="15.6">
      <c r="B1974" s="154"/>
    </row>
    <row r="1975" spans="2:2" ht="15.6">
      <c r="B1975" s="154"/>
    </row>
    <row r="1976" spans="2:2" ht="15.6">
      <c r="B1976" s="154"/>
    </row>
    <row r="1977" spans="2:2" ht="15.6">
      <c r="B1977" s="154"/>
    </row>
    <row r="1978" spans="2:2" ht="15.6">
      <c r="B1978" s="154"/>
    </row>
    <row r="1979" spans="2:2" ht="15.6">
      <c r="B1979" s="154"/>
    </row>
    <row r="1980" spans="2:2" ht="15.6">
      <c r="B1980" s="154"/>
    </row>
    <row r="1981" spans="2:2" ht="15.6">
      <c r="B1981" s="154"/>
    </row>
    <row r="1982" spans="2:2" ht="15.6">
      <c r="B1982" s="154"/>
    </row>
    <row r="1983" spans="2:2" ht="15.6">
      <c r="B1983" s="154"/>
    </row>
    <row r="1984" spans="2:2" ht="15.6">
      <c r="B1984" s="154"/>
    </row>
    <row r="1985" spans="2:2" ht="15.6">
      <c r="B1985" s="154"/>
    </row>
    <row r="1986" spans="2:2" ht="15.6">
      <c r="B1986" s="154"/>
    </row>
    <row r="1987" spans="2:2" ht="15.6">
      <c r="B1987" s="154"/>
    </row>
    <row r="1988" spans="2:2" ht="15.6">
      <c r="B1988" s="154"/>
    </row>
    <row r="1989" spans="2:2" ht="15.6">
      <c r="B1989" s="154"/>
    </row>
    <row r="1990" spans="2:2" ht="15.6">
      <c r="B1990" s="154"/>
    </row>
    <row r="1991" spans="2:2" ht="15.6">
      <c r="B1991" s="154"/>
    </row>
    <row r="1992" spans="2:2" ht="15.6">
      <c r="B1992" s="154"/>
    </row>
    <row r="1993" spans="2:2" ht="15.6">
      <c r="B1993" s="154"/>
    </row>
    <row r="1994" spans="2:2" ht="15.6">
      <c r="B1994" s="154"/>
    </row>
    <row r="1995" spans="2:2" ht="15.6">
      <c r="B1995" s="154"/>
    </row>
    <row r="1996" spans="2:2" ht="15.6">
      <c r="B1996" s="154"/>
    </row>
    <row r="1997" spans="2:2" ht="15.6">
      <c r="B1997" s="154"/>
    </row>
    <row r="1998" spans="2:2" ht="15.6">
      <c r="B1998" s="154"/>
    </row>
    <row r="1999" spans="2:2" ht="15.6">
      <c r="B1999" s="154"/>
    </row>
    <row r="2000" spans="2:2" ht="15.6">
      <c r="B2000" s="154"/>
    </row>
    <row r="2001" spans="2:2" ht="15.6">
      <c r="B2001" s="154"/>
    </row>
    <row r="2002" spans="2:2" ht="15.6">
      <c r="B2002" s="154"/>
    </row>
    <row r="2003" spans="2:2" ht="15.6">
      <c r="B2003" s="154"/>
    </row>
    <row r="2004" spans="2:2" ht="15.6">
      <c r="B2004" s="154"/>
    </row>
    <row r="2005" spans="2:2" ht="15.6">
      <c r="B2005" s="154"/>
    </row>
    <row r="2006" spans="2:2" ht="15.6">
      <c r="B2006" s="154"/>
    </row>
    <row r="2007" spans="2:2" ht="15.6">
      <c r="B2007" s="154"/>
    </row>
    <row r="2008" spans="2:2" ht="15.6">
      <c r="B2008" s="154"/>
    </row>
    <row r="2009" spans="2:2" ht="15.6">
      <c r="B2009" s="154"/>
    </row>
    <row r="2010" spans="2:2" ht="15.6">
      <c r="B2010" s="154"/>
    </row>
    <row r="2011" spans="2:2" ht="15.6">
      <c r="B2011" s="154"/>
    </row>
    <row r="2012" spans="2:2" ht="15.6">
      <c r="B2012" s="154"/>
    </row>
    <row r="2013" spans="2:2" ht="15.6">
      <c r="B2013" s="154"/>
    </row>
    <row r="2014" spans="2:2" ht="15.6">
      <c r="B2014" s="154"/>
    </row>
    <row r="2015" spans="2:2" ht="15.6">
      <c r="B2015" s="154"/>
    </row>
    <row r="2016" spans="2:2" ht="15.6">
      <c r="B2016" s="154"/>
    </row>
    <row r="2017" spans="2:2" ht="15.6">
      <c r="B2017" s="154"/>
    </row>
    <row r="2018" spans="2:2" ht="15.6">
      <c r="B2018" s="154"/>
    </row>
    <row r="2019" spans="2:2" ht="15.6">
      <c r="B2019" s="154"/>
    </row>
    <row r="2020" spans="2:2" ht="15.6">
      <c r="B2020" s="154"/>
    </row>
    <row r="2021" spans="2:2" ht="15.6">
      <c r="B2021" s="154"/>
    </row>
    <row r="2022" spans="2:2" ht="15.6">
      <c r="B2022" s="154"/>
    </row>
    <row r="2023" spans="2:2" ht="15.6">
      <c r="B2023" s="154"/>
    </row>
    <row r="2024" spans="2:2" ht="15.6">
      <c r="B2024" s="154"/>
    </row>
    <row r="2025" spans="2:2" ht="15.6">
      <c r="B2025" s="154"/>
    </row>
    <row r="2026" spans="2:2" ht="15.6">
      <c r="B2026" s="154"/>
    </row>
    <row r="2027" spans="2:2" ht="15.6">
      <c r="B2027" s="154"/>
    </row>
    <row r="2028" spans="2:2" ht="15.6">
      <c r="B2028" s="154"/>
    </row>
    <row r="2029" spans="2:2" ht="15.6">
      <c r="B2029" s="154"/>
    </row>
    <row r="2030" spans="2:2" ht="15.6">
      <c r="B2030" s="154"/>
    </row>
    <row r="2031" spans="2:2" ht="15.6">
      <c r="B2031" s="154"/>
    </row>
    <row r="2032" spans="2:2" ht="15.6">
      <c r="B2032" s="154"/>
    </row>
    <row r="2033" spans="2:2" ht="15.6">
      <c r="B2033" s="154"/>
    </row>
    <row r="2034" spans="2:2" ht="15.6">
      <c r="B2034" s="154"/>
    </row>
    <row r="2035" spans="2:2" ht="15.6">
      <c r="B2035" s="154"/>
    </row>
    <row r="2036" spans="2:2" ht="15.6">
      <c r="B2036" s="154"/>
    </row>
    <row r="2037" spans="2:2" ht="15.6">
      <c r="B2037" s="154"/>
    </row>
    <row r="2038" spans="2:2" ht="15.6">
      <c r="B2038" s="154"/>
    </row>
    <row r="2039" spans="2:2" ht="15.6">
      <c r="B2039" s="154"/>
    </row>
    <row r="2040" spans="2:2" ht="15.6">
      <c r="B2040" s="154"/>
    </row>
    <row r="2041" spans="2:2" ht="15.6">
      <c r="B2041" s="154"/>
    </row>
    <row r="2042" spans="2:2" ht="15.6">
      <c r="B2042" s="154"/>
    </row>
    <row r="2043" spans="2:2" ht="15.6">
      <c r="B2043" s="154"/>
    </row>
    <row r="2044" spans="2:2" ht="15.6">
      <c r="B2044" s="154"/>
    </row>
    <row r="2045" spans="2:2" ht="15.6">
      <c r="B2045" s="154"/>
    </row>
    <row r="2046" spans="2:2" ht="15.6">
      <c r="B2046" s="154"/>
    </row>
    <row r="2047" spans="2:2" ht="15.6">
      <c r="B2047" s="154"/>
    </row>
    <row r="2048" spans="2:2" ht="15.6">
      <c r="B2048" s="154"/>
    </row>
    <row r="2049" spans="2:2" ht="15.6">
      <c r="B2049" s="154"/>
    </row>
    <row r="2050" spans="2:2" ht="15.6">
      <c r="B2050" s="154"/>
    </row>
    <row r="2051" spans="2:2" ht="15.6">
      <c r="B2051" s="154"/>
    </row>
    <row r="2052" spans="2:2" ht="15.6">
      <c r="B2052" s="154"/>
    </row>
    <row r="2053" spans="2:2" ht="15.6">
      <c r="B2053" s="154"/>
    </row>
    <row r="2054" spans="2:2" ht="15.6">
      <c r="B2054" s="154"/>
    </row>
    <row r="2055" spans="2:2" ht="15.6">
      <c r="B2055" s="154"/>
    </row>
    <row r="2056" spans="2:2" ht="15.6">
      <c r="B2056" s="154"/>
    </row>
    <row r="2057" spans="2:2" ht="15.6">
      <c r="B2057" s="154"/>
    </row>
    <row r="2058" spans="2:2" ht="15.6">
      <c r="B2058" s="154"/>
    </row>
    <row r="2059" spans="2:2" ht="15.6">
      <c r="B2059" s="154"/>
    </row>
    <row r="2060" spans="2:2" ht="15.6">
      <c r="B2060" s="154"/>
    </row>
    <row r="2061" spans="2:2" ht="15.6">
      <c r="B2061" s="154"/>
    </row>
    <row r="2062" spans="2:2" ht="15.6">
      <c r="B2062" s="154"/>
    </row>
    <row r="2063" spans="2:2" ht="15.6">
      <c r="B2063" s="154"/>
    </row>
    <row r="2064" spans="2:2" ht="15.6">
      <c r="B2064" s="154"/>
    </row>
    <row r="2065" spans="2:2" ht="15.6">
      <c r="B2065" s="154"/>
    </row>
    <row r="2066" spans="2:2" ht="15.6">
      <c r="B2066" s="154"/>
    </row>
    <row r="2067" spans="2:2" ht="15.6">
      <c r="B2067" s="154"/>
    </row>
    <row r="2068" spans="2:2" ht="15.6">
      <c r="B2068" s="154"/>
    </row>
    <row r="2069" spans="2:2" ht="15.6">
      <c r="B2069" s="154"/>
    </row>
    <row r="2070" spans="2:2" ht="15.6">
      <c r="B2070" s="154"/>
    </row>
    <row r="2071" spans="2:2" ht="15.6">
      <c r="B2071" s="154"/>
    </row>
    <row r="2072" spans="2:2" ht="15.6">
      <c r="B2072" s="154"/>
    </row>
    <row r="2073" spans="2:2" ht="15.6">
      <c r="B2073" s="154"/>
    </row>
    <row r="2074" spans="2:2" ht="15.6">
      <c r="B2074" s="154"/>
    </row>
    <row r="2075" spans="2:2" ht="15.6">
      <c r="B2075" s="154"/>
    </row>
    <row r="2076" spans="2:2" ht="15.6">
      <c r="B2076" s="154"/>
    </row>
    <row r="2077" spans="2:2" ht="15.6">
      <c r="B2077" s="154"/>
    </row>
    <row r="2078" spans="2:2" ht="15.6">
      <c r="B2078" s="154"/>
    </row>
    <row r="2079" spans="2:2" ht="15.6">
      <c r="B2079" s="154"/>
    </row>
    <row r="2080" spans="2:2" ht="15.6">
      <c r="B2080" s="154"/>
    </row>
    <row r="2081" spans="2:2" ht="15.6">
      <c r="B2081" s="154"/>
    </row>
    <row r="2082" spans="2:2" ht="15.6">
      <c r="B2082" s="154"/>
    </row>
    <row r="2083" spans="2:2" ht="15.6">
      <c r="B2083" s="154"/>
    </row>
    <row r="2084" spans="2:2" ht="15.6">
      <c r="B2084" s="154"/>
    </row>
    <row r="2085" spans="2:2" ht="15.6">
      <c r="B2085" s="154"/>
    </row>
    <row r="2086" spans="2:2" ht="15.6">
      <c r="B2086" s="154"/>
    </row>
    <row r="2087" spans="2:2" ht="15.6">
      <c r="B2087" s="154"/>
    </row>
    <row r="2088" spans="2:2" ht="15.6">
      <c r="B2088" s="154"/>
    </row>
    <row r="2089" spans="2:2" ht="15.6">
      <c r="B2089" s="154"/>
    </row>
    <row r="2090" spans="2:2" ht="15.6">
      <c r="B2090" s="154"/>
    </row>
    <row r="2091" spans="2:2" ht="15.6">
      <c r="B2091" s="154"/>
    </row>
    <row r="2092" spans="2:2" ht="15.6">
      <c r="B2092" s="154"/>
    </row>
    <row r="2093" spans="2:2" ht="15.6">
      <c r="B2093" s="154"/>
    </row>
    <row r="2094" spans="2:2" ht="15.6">
      <c r="B2094" s="154"/>
    </row>
    <row r="2095" spans="2:2" ht="15.6">
      <c r="B2095" s="154"/>
    </row>
    <row r="2096" spans="2:2" ht="15.6">
      <c r="B2096" s="154"/>
    </row>
    <row r="2097" spans="2:2" ht="15.6">
      <c r="B2097" s="154"/>
    </row>
    <row r="2098" spans="2:2" ht="15.6">
      <c r="B2098" s="154"/>
    </row>
    <row r="2099" spans="2:2" ht="15.6">
      <c r="B2099" s="154"/>
    </row>
    <row r="2100" spans="2:2" ht="15.6">
      <c r="B2100" s="154"/>
    </row>
    <row r="2101" spans="2:2" ht="15.6">
      <c r="B2101" s="154"/>
    </row>
    <row r="2102" spans="2:2" ht="15.6">
      <c r="B2102" s="154"/>
    </row>
    <row r="2103" spans="2:2" ht="15.6">
      <c r="B2103" s="154"/>
    </row>
    <row r="2104" spans="2:2" ht="15.6">
      <c r="B2104" s="154"/>
    </row>
    <row r="2105" spans="2:2" ht="15.6">
      <c r="B2105" s="154"/>
    </row>
    <row r="2106" spans="2:2" ht="15.6">
      <c r="B2106" s="154"/>
    </row>
    <row r="2107" spans="2:2" ht="15.6">
      <c r="B2107" s="154"/>
    </row>
    <row r="2108" spans="2:2" ht="15.6">
      <c r="B2108" s="154"/>
    </row>
    <row r="2109" spans="2:2" ht="15.6">
      <c r="B2109" s="154"/>
    </row>
    <row r="2110" spans="2:2" ht="15.6">
      <c r="B2110" s="154"/>
    </row>
    <row r="2111" spans="2:2" ht="15.6">
      <c r="B2111" s="154"/>
    </row>
    <row r="2112" spans="2:2" ht="15.6">
      <c r="B2112" s="154"/>
    </row>
    <row r="2113" spans="2:2" ht="15.6">
      <c r="B2113" s="154"/>
    </row>
    <row r="2114" spans="2:2" ht="15.6">
      <c r="B2114" s="154"/>
    </row>
    <row r="2115" spans="2:2" ht="15.6">
      <c r="B2115" s="154"/>
    </row>
    <row r="2116" spans="2:2" ht="15.6">
      <c r="B2116" s="154"/>
    </row>
    <row r="2117" spans="2:2" ht="15.6">
      <c r="B2117" s="154"/>
    </row>
    <row r="2118" spans="2:2" ht="15.6">
      <c r="B2118" s="154"/>
    </row>
    <row r="2119" spans="2:2" ht="15.6">
      <c r="B2119" s="154"/>
    </row>
    <row r="2120" spans="2:2" ht="15.6">
      <c r="B2120" s="154"/>
    </row>
    <row r="2121" spans="2:2" ht="15.6">
      <c r="B2121" s="154"/>
    </row>
    <row r="2122" spans="2:2" ht="15.6">
      <c r="B2122" s="154"/>
    </row>
    <row r="2123" spans="2:2" ht="15.6">
      <c r="B2123" s="154"/>
    </row>
    <row r="2124" spans="2:2" ht="15.6">
      <c r="B2124" s="154"/>
    </row>
    <row r="2125" spans="2:2" ht="15.6">
      <c r="B2125" s="154"/>
    </row>
    <row r="2126" spans="2:2" ht="15.6">
      <c r="B2126" s="154"/>
    </row>
    <row r="2127" spans="2:2" ht="15.6">
      <c r="B2127" s="154"/>
    </row>
    <row r="2128" spans="2:2" ht="15.6">
      <c r="B2128" s="154"/>
    </row>
    <row r="2129" spans="2:2" ht="15.6">
      <c r="B2129" s="154"/>
    </row>
    <row r="2130" spans="2:2" ht="15.6">
      <c r="B2130" s="154"/>
    </row>
    <row r="2131" spans="2:2" ht="15.6">
      <c r="B2131" s="154"/>
    </row>
    <row r="2132" spans="2:2" ht="15.6">
      <c r="B2132" s="154"/>
    </row>
    <row r="2133" spans="2:2" ht="15.6">
      <c r="B2133" s="154"/>
    </row>
    <row r="2134" spans="2:2" ht="15.6">
      <c r="B2134" s="154"/>
    </row>
    <row r="2135" spans="2:2" ht="15.6">
      <c r="B2135" s="154"/>
    </row>
    <row r="2136" spans="2:2" ht="15.6">
      <c r="B2136" s="154"/>
    </row>
    <row r="2137" spans="2:2" ht="15.6">
      <c r="B2137" s="154"/>
    </row>
    <row r="2138" spans="2:2" ht="15.6">
      <c r="B2138" s="154"/>
    </row>
    <row r="2139" spans="2:2" ht="15.6">
      <c r="B2139" s="154"/>
    </row>
    <row r="2140" spans="2:2" ht="15.6">
      <c r="B2140" s="154"/>
    </row>
    <row r="2141" spans="2:2" ht="15.6">
      <c r="B2141" s="154"/>
    </row>
    <row r="2142" spans="2:2" ht="15.6">
      <c r="B2142" s="154"/>
    </row>
    <row r="2143" spans="2:2" ht="15.6">
      <c r="B2143" s="154"/>
    </row>
    <row r="2144" spans="2:2" ht="15.6">
      <c r="B2144" s="154"/>
    </row>
    <row r="2145" spans="2:2" ht="15.6">
      <c r="B2145" s="154"/>
    </row>
    <row r="2146" spans="2:2" ht="15.6">
      <c r="B2146" s="154"/>
    </row>
    <row r="2147" spans="2:2" ht="15.6">
      <c r="B2147" s="154"/>
    </row>
    <row r="2148" spans="2:2" ht="15.6">
      <c r="B2148" s="154"/>
    </row>
    <row r="2149" spans="2:2" ht="15.6">
      <c r="B2149" s="154"/>
    </row>
    <row r="2150" spans="2:2" ht="15.6">
      <c r="B2150" s="154"/>
    </row>
    <row r="2151" spans="2:2" ht="15.6">
      <c r="B2151" s="154"/>
    </row>
    <row r="2152" spans="2:2" ht="15.6">
      <c r="B2152" s="154"/>
    </row>
    <row r="2153" spans="2:2" ht="15.6">
      <c r="B2153" s="154"/>
    </row>
    <row r="2154" spans="2:2" ht="15.6">
      <c r="B2154" s="154"/>
    </row>
    <row r="2155" spans="2:2" ht="15.6">
      <c r="B2155" s="154"/>
    </row>
    <row r="2156" spans="2:2" ht="15.6">
      <c r="B2156" s="154"/>
    </row>
    <row r="2157" spans="2:2" ht="15.6">
      <c r="B2157" s="154"/>
    </row>
    <row r="2158" spans="2:2" ht="15.6">
      <c r="B2158" s="154"/>
    </row>
    <row r="2159" spans="2:2" ht="15.6">
      <c r="B2159" s="154"/>
    </row>
    <row r="2160" spans="2:2" ht="15.6">
      <c r="B2160" s="154"/>
    </row>
    <row r="2161" spans="2:2" ht="15.6">
      <c r="B2161" s="154"/>
    </row>
    <row r="2162" spans="2:2" ht="15.6">
      <c r="B2162" s="154"/>
    </row>
    <row r="2163" spans="2:2" ht="15.6">
      <c r="B2163" s="154"/>
    </row>
    <row r="2164" spans="2:2" ht="15.6">
      <c r="B2164" s="154"/>
    </row>
    <row r="2165" spans="2:2" ht="15.6">
      <c r="B2165" s="154"/>
    </row>
    <row r="2166" spans="2:2" ht="15.6">
      <c r="B2166" s="154"/>
    </row>
    <row r="2167" spans="2:2" ht="15.6">
      <c r="B2167" s="154"/>
    </row>
    <row r="2168" spans="2:2" ht="15.6">
      <c r="B2168" s="154"/>
    </row>
    <row r="2169" spans="2:2" ht="15.6">
      <c r="B2169" s="154"/>
    </row>
    <row r="2170" spans="2:2" ht="15.6">
      <c r="B2170" s="154"/>
    </row>
    <row r="2171" spans="2:2" ht="15.6">
      <c r="B2171" s="154"/>
    </row>
    <row r="2172" spans="2:2" ht="15.6">
      <c r="B2172" s="154"/>
    </row>
    <row r="2173" spans="2:2" ht="15.6">
      <c r="B2173" s="154"/>
    </row>
    <row r="2174" spans="2:2" ht="15.6">
      <c r="B2174" s="154"/>
    </row>
    <row r="2175" spans="2:2" ht="15.6">
      <c r="B2175" s="154"/>
    </row>
    <row r="2176" spans="2:2" ht="15.6">
      <c r="B2176" s="154"/>
    </row>
    <row r="2177" spans="2:2" ht="15.6">
      <c r="B2177" s="154"/>
    </row>
    <row r="2178" spans="2:2" ht="15.6">
      <c r="B2178" s="154"/>
    </row>
    <row r="2179" spans="2:2" ht="15.6">
      <c r="B2179" s="154"/>
    </row>
    <row r="2180" spans="2:2" ht="15.6">
      <c r="B2180" s="154"/>
    </row>
    <row r="2181" spans="2:2" ht="15.6">
      <c r="B2181" s="154"/>
    </row>
    <row r="2182" spans="2:2" ht="15.6">
      <c r="B2182" s="154"/>
    </row>
    <row r="2183" spans="2:2" ht="15.6">
      <c r="B2183" s="154"/>
    </row>
    <row r="2184" spans="2:2" ht="15.6">
      <c r="B2184" s="154"/>
    </row>
    <row r="2185" spans="2:2" ht="15.6">
      <c r="B2185" s="154"/>
    </row>
    <row r="2186" spans="2:2" ht="15.6">
      <c r="B2186" s="154"/>
    </row>
    <row r="2187" spans="2:2" ht="15.6">
      <c r="B2187" s="154"/>
    </row>
    <row r="2188" spans="2:2" ht="15.6">
      <c r="B2188" s="154"/>
    </row>
    <row r="2189" spans="2:2" ht="15.6">
      <c r="B2189" s="154"/>
    </row>
    <row r="2190" spans="2:2" ht="15.6">
      <c r="B2190" s="154"/>
    </row>
    <row r="2191" spans="2:2" ht="15.6">
      <c r="B2191" s="154"/>
    </row>
    <row r="2192" spans="2:2" ht="15.6">
      <c r="B2192" s="154"/>
    </row>
    <row r="2193" spans="2:2" ht="15.6">
      <c r="B2193" s="154"/>
    </row>
    <row r="2194" spans="2:2" ht="15.6">
      <c r="B2194" s="154"/>
    </row>
    <row r="2195" spans="2:2" ht="15.6">
      <c r="B2195" s="154"/>
    </row>
    <row r="2196" spans="2:2" ht="15.6">
      <c r="B2196" s="154"/>
    </row>
    <row r="2197" spans="2:2" ht="15.6">
      <c r="B2197" s="154"/>
    </row>
    <row r="2198" spans="2:2" ht="15.6">
      <c r="B2198" s="154"/>
    </row>
    <row r="2199" spans="2:2" ht="15.6">
      <c r="B2199" s="154"/>
    </row>
    <row r="2200" spans="2:2" ht="15.6">
      <c r="B2200" s="154"/>
    </row>
    <row r="2201" spans="2:2" ht="15.6">
      <c r="B2201" s="154"/>
    </row>
    <row r="2202" spans="2:2" ht="15.6">
      <c r="B2202" s="154"/>
    </row>
    <row r="2203" spans="2:2" ht="15.6">
      <c r="B2203" s="154"/>
    </row>
    <row r="2204" spans="2:2" ht="15.6">
      <c r="B2204" s="154"/>
    </row>
    <row r="2205" spans="2:2" ht="15.6">
      <c r="B2205" s="154"/>
    </row>
    <row r="2206" spans="2:2" ht="15.6">
      <c r="B2206" s="154"/>
    </row>
    <row r="2207" spans="2:2" ht="15.6">
      <c r="B2207" s="154"/>
    </row>
    <row r="2208" spans="2:2" ht="15.6">
      <c r="B2208" s="154"/>
    </row>
    <row r="2209" spans="2:2" ht="15.6">
      <c r="B2209" s="154"/>
    </row>
    <row r="2210" spans="2:2" ht="15.6">
      <c r="B2210" s="154"/>
    </row>
    <row r="2211" spans="2:2" ht="15.6">
      <c r="B2211" s="154"/>
    </row>
    <row r="2212" spans="2:2" ht="15.6">
      <c r="B2212" s="154"/>
    </row>
    <row r="2213" spans="2:2" ht="15.6">
      <c r="B2213" s="154"/>
    </row>
    <row r="2214" spans="2:2" ht="15.6">
      <c r="B2214" s="154"/>
    </row>
    <row r="2215" spans="2:2" ht="15.6">
      <c r="B2215" s="154"/>
    </row>
    <row r="2216" spans="2:2" ht="15.6">
      <c r="B2216" s="154"/>
    </row>
    <row r="2217" spans="2:2" ht="15.6">
      <c r="B2217" s="154"/>
    </row>
    <row r="2218" spans="2:2" ht="15.6">
      <c r="B2218" s="154"/>
    </row>
    <row r="2219" spans="2:2" ht="15.6">
      <c r="B2219" s="154"/>
    </row>
    <row r="2220" spans="2:2" ht="15.6">
      <c r="B2220" s="154"/>
    </row>
    <row r="2221" spans="2:2" ht="15.6">
      <c r="B2221" s="154"/>
    </row>
    <row r="2222" spans="2:2" ht="15.6">
      <c r="B2222" s="154"/>
    </row>
    <row r="2223" spans="2:2" ht="15.6">
      <c r="B2223" s="154"/>
    </row>
    <row r="2224" spans="2:2" ht="15.6">
      <c r="B2224" s="154"/>
    </row>
    <row r="2225" spans="2:2" ht="15.6">
      <c r="B2225" s="154"/>
    </row>
    <row r="2226" spans="2:2" ht="15.6">
      <c r="B2226" s="154"/>
    </row>
    <row r="2227" spans="2:2" ht="15.6">
      <c r="B2227" s="154"/>
    </row>
    <row r="2228" spans="2:2" ht="15.6">
      <c r="B2228" s="154"/>
    </row>
    <row r="2229" spans="2:2" ht="15.6">
      <c r="B2229" s="154"/>
    </row>
    <row r="2230" spans="2:2" ht="15.6">
      <c r="B2230" s="154"/>
    </row>
    <row r="2231" spans="2:2" ht="15.6">
      <c r="B2231" s="154"/>
    </row>
    <row r="2232" spans="2:2" ht="15.6">
      <c r="B2232" s="154"/>
    </row>
    <row r="2233" spans="2:2" ht="15.6">
      <c r="B2233" s="154"/>
    </row>
    <row r="2234" spans="2:2" ht="15.6">
      <c r="B2234" s="154"/>
    </row>
    <row r="2235" spans="2:2" ht="15.6">
      <c r="B2235" s="154"/>
    </row>
    <row r="2236" spans="2:2" ht="15.6">
      <c r="B2236" s="154"/>
    </row>
    <row r="2237" spans="2:2" ht="15.6">
      <c r="B2237" s="154"/>
    </row>
    <row r="2238" spans="2:2" ht="15.6">
      <c r="B2238" s="154"/>
    </row>
    <row r="2239" spans="2:2" ht="15.6">
      <c r="B2239" s="154"/>
    </row>
    <row r="2240" spans="2:2" ht="15.6">
      <c r="B2240" s="154"/>
    </row>
    <row r="2241" spans="2:2" ht="15.6">
      <c r="B2241" s="154"/>
    </row>
    <row r="2242" spans="2:2" ht="15.6">
      <c r="B2242" s="154"/>
    </row>
    <row r="2243" spans="2:2" ht="15.6">
      <c r="B2243" s="154"/>
    </row>
    <row r="2244" spans="2:2" ht="15.6">
      <c r="B2244" s="154"/>
    </row>
    <row r="2245" spans="2:2" ht="15.6">
      <c r="B2245" s="154"/>
    </row>
    <row r="2246" spans="2:2" ht="15.6">
      <c r="B2246" s="154"/>
    </row>
    <row r="2247" spans="2:2" ht="15.6">
      <c r="B2247" s="154"/>
    </row>
    <row r="2248" spans="2:2" ht="15.6">
      <c r="B2248" s="154"/>
    </row>
    <row r="2249" spans="2:2" ht="15.6">
      <c r="B2249" s="154"/>
    </row>
    <row r="2250" spans="2:2" ht="15.6">
      <c r="B2250" s="154"/>
    </row>
    <row r="2251" spans="2:2" ht="15.6">
      <c r="B2251" s="154"/>
    </row>
    <row r="2252" spans="2:2" ht="15.6">
      <c r="B2252" s="154"/>
    </row>
    <row r="2253" spans="2:2" ht="15.6">
      <c r="B2253" s="154"/>
    </row>
    <row r="2254" spans="2:2" ht="15.6">
      <c r="B2254" s="154"/>
    </row>
    <row r="2255" spans="2:2" ht="15.6">
      <c r="B2255" s="154"/>
    </row>
    <row r="2256" spans="2:2" ht="15.6">
      <c r="B2256" s="154"/>
    </row>
    <row r="2257" spans="2:2" ht="15.6">
      <c r="B2257" s="154"/>
    </row>
    <row r="2258" spans="2:2" ht="15.6">
      <c r="B2258" s="154"/>
    </row>
    <row r="2259" spans="2:2" ht="15.6">
      <c r="B2259" s="154"/>
    </row>
    <row r="2260" spans="2:2" ht="15.6">
      <c r="B2260" s="154"/>
    </row>
    <row r="2261" spans="2:2" ht="15.6">
      <c r="B2261" s="154"/>
    </row>
    <row r="2262" spans="2:2" ht="15.6">
      <c r="B2262" s="154"/>
    </row>
    <row r="2263" spans="2:2" ht="15.6">
      <c r="B2263" s="154"/>
    </row>
    <row r="2264" spans="2:2" ht="15.6">
      <c r="B2264" s="154"/>
    </row>
    <row r="2265" spans="2:2" ht="15.6">
      <c r="B2265" s="154"/>
    </row>
    <row r="2266" spans="2:2" ht="15.6">
      <c r="B2266" s="154"/>
    </row>
    <row r="2267" spans="2:2" ht="15.6">
      <c r="B2267" s="154"/>
    </row>
    <row r="2268" spans="2:2" ht="15.6">
      <c r="B2268" s="154"/>
    </row>
    <row r="2269" spans="2:2" ht="15.6">
      <c r="B2269" s="154"/>
    </row>
    <row r="2270" spans="2:2" ht="15.6">
      <c r="B2270" s="154"/>
    </row>
    <row r="2271" spans="2:2" ht="15.6">
      <c r="B2271" s="154"/>
    </row>
    <row r="2272" spans="2:2" ht="15.6">
      <c r="B2272" s="154"/>
    </row>
    <row r="2273" spans="2:2" ht="15.6">
      <c r="B2273" s="154"/>
    </row>
    <row r="2274" spans="2:2" ht="15.6">
      <c r="B2274" s="154"/>
    </row>
    <row r="2275" spans="2:2" ht="15.6">
      <c r="B2275" s="154"/>
    </row>
    <row r="2276" spans="2:2" ht="15.6">
      <c r="B2276" s="154"/>
    </row>
    <row r="2277" spans="2:2" ht="15.6">
      <c r="B2277" s="154"/>
    </row>
    <row r="2278" spans="2:2" ht="15.6">
      <c r="B2278" s="154"/>
    </row>
    <row r="2279" spans="2:2" ht="15.6">
      <c r="B2279" s="154"/>
    </row>
    <row r="2280" spans="2:2" ht="15.6">
      <c r="B2280" s="154"/>
    </row>
    <row r="2281" spans="2:2" ht="15.6">
      <c r="B2281" s="154"/>
    </row>
    <row r="2282" spans="2:2" ht="15.6">
      <c r="B2282" s="154"/>
    </row>
    <row r="2283" spans="2:2" ht="15.6">
      <c r="B2283" s="154"/>
    </row>
    <row r="2284" spans="2:2" ht="15.6">
      <c r="B2284" s="154"/>
    </row>
    <row r="2285" spans="2:2" ht="15.6">
      <c r="B2285" s="154"/>
    </row>
    <row r="2286" spans="2:2" ht="15.6">
      <c r="B2286" s="154"/>
    </row>
    <row r="2287" spans="2:2" ht="15.6">
      <c r="B2287" s="154"/>
    </row>
    <row r="2288" spans="2:2" ht="15.6">
      <c r="B2288" s="154"/>
    </row>
    <row r="2289" spans="2:2" ht="15.6">
      <c r="B2289" s="154"/>
    </row>
    <row r="2290" spans="2:2" ht="15.6">
      <c r="B2290" s="154"/>
    </row>
    <row r="2291" spans="2:2" ht="15.6">
      <c r="B2291" s="154"/>
    </row>
    <row r="2292" spans="2:2" ht="15.6">
      <c r="B2292" s="154"/>
    </row>
    <row r="2293" spans="2:2" ht="15.6">
      <c r="B2293" s="154"/>
    </row>
    <row r="2294" spans="2:2" ht="15.6">
      <c r="B2294" s="154"/>
    </row>
    <row r="2295" spans="2:2" ht="15.6">
      <c r="B2295" s="154"/>
    </row>
    <row r="2296" spans="2:2" ht="15.6">
      <c r="B2296" s="154"/>
    </row>
    <row r="2297" spans="2:2" ht="15.6">
      <c r="B2297" s="154"/>
    </row>
    <row r="2298" spans="2:2" ht="15.6">
      <c r="B2298" s="154"/>
    </row>
    <row r="2299" spans="2:2" ht="15.6">
      <c r="B2299" s="154"/>
    </row>
    <row r="2300" spans="2:2" ht="15.6">
      <c r="B2300" s="154"/>
    </row>
    <row r="2301" spans="2:2" ht="15.6">
      <c r="B2301" s="154"/>
    </row>
    <row r="2302" spans="2:2" ht="15.6">
      <c r="B2302" s="154"/>
    </row>
    <row r="2303" spans="2:2" ht="15.6">
      <c r="B2303" s="154"/>
    </row>
    <row r="2304" spans="2:2" ht="15.6">
      <c r="B2304" s="154"/>
    </row>
    <row r="2305" spans="2:2" ht="15.6">
      <c r="B2305" s="154"/>
    </row>
    <row r="2306" spans="2:2" ht="15.6">
      <c r="B2306" s="154"/>
    </row>
    <row r="2307" spans="2:2" ht="15.6">
      <c r="B2307" s="154"/>
    </row>
    <row r="2308" spans="2:2" ht="15.6">
      <c r="B2308" s="154"/>
    </row>
    <row r="2309" spans="2:2" ht="15.6">
      <c r="B2309" s="154"/>
    </row>
    <row r="2310" spans="2:2" ht="15.6">
      <c r="B2310" s="154"/>
    </row>
    <row r="2311" spans="2:2" ht="15.6">
      <c r="B2311" s="154"/>
    </row>
    <row r="2312" spans="2:2" ht="15.6">
      <c r="B2312" s="154"/>
    </row>
    <row r="2313" spans="2:2" ht="15.6">
      <c r="B2313" s="154"/>
    </row>
    <row r="2314" spans="2:2" ht="15.6">
      <c r="B2314" s="154"/>
    </row>
    <row r="2315" spans="2:2" ht="15.6">
      <c r="B2315" s="154"/>
    </row>
    <row r="2316" spans="2:2" ht="15.6">
      <c r="B2316" s="154"/>
    </row>
    <row r="2317" spans="2:2" ht="15.6">
      <c r="B2317" s="154"/>
    </row>
    <row r="2318" spans="2:2" ht="15.6">
      <c r="B2318" s="154"/>
    </row>
    <row r="2319" spans="2:2" ht="15.6">
      <c r="B2319" s="154"/>
    </row>
    <row r="2320" spans="2:2" ht="15.6">
      <c r="B2320" s="154"/>
    </row>
    <row r="2321" spans="2:2" ht="15.6">
      <c r="B2321" s="154"/>
    </row>
    <row r="2322" spans="2:2" ht="15.6">
      <c r="B2322" s="154"/>
    </row>
    <row r="2323" spans="2:2" ht="15.6">
      <c r="B2323" s="154"/>
    </row>
    <row r="2324" spans="2:2" ht="15.6">
      <c r="B2324" s="154"/>
    </row>
    <row r="2325" spans="2:2" ht="15.6">
      <c r="B2325" s="154"/>
    </row>
    <row r="2326" spans="2:2" ht="15.6">
      <c r="B2326" s="154"/>
    </row>
    <row r="2327" spans="2:2" ht="15.6">
      <c r="B2327" s="154"/>
    </row>
    <row r="2328" spans="2:2" ht="15.6">
      <c r="B2328" s="154"/>
    </row>
    <row r="2329" spans="2:2" ht="15.6">
      <c r="B2329" s="154"/>
    </row>
    <row r="2330" spans="2:2" ht="15.6">
      <c r="B2330" s="154"/>
    </row>
    <row r="2331" spans="2:2" ht="15.6">
      <c r="B2331" s="154"/>
    </row>
    <row r="2332" spans="2:2" ht="15.6">
      <c r="B2332" s="154"/>
    </row>
    <row r="2333" spans="2:2" ht="15.6">
      <c r="B2333" s="154"/>
    </row>
    <row r="2334" spans="2:2" ht="15.6">
      <c r="B2334" s="154"/>
    </row>
    <row r="2335" spans="2:2" ht="15.6">
      <c r="B2335" s="154"/>
    </row>
    <row r="2336" spans="2:2" ht="15.6">
      <c r="B2336" s="154"/>
    </row>
    <row r="2337" spans="2:2" ht="15.6">
      <c r="B2337" s="154"/>
    </row>
    <row r="2338" spans="2:2" ht="15.6">
      <c r="B2338" s="154"/>
    </row>
    <row r="2339" spans="2:2" ht="15.6">
      <c r="B2339" s="154"/>
    </row>
    <row r="2340" spans="2:2" ht="15.6">
      <c r="B2340" s="154"/>
    </row>
    <row r="2341" spans="2:2" ht="15.6">
      <c r="B2341" s="154"/>
    </row>
    <row r="2342" spans="2:2" ht="15.6">
      <c r="B2342" s="154"/>
    </row>
    <row r="2343" spans="2:2" ht="15.6">
      <c r="B2343" s="154"/>
    </row>
    <row r="2344" spans="2:2" ht="15.6">
      <c r="B2344" s="154"/>
    </row>
    <row r="2345" spans="2:2" ht="15.6">
      <c r="B2345" s="154"/>
    </row>
    <row r="2346" spans="2:2" ht="15.6">
      <c r="B2346" s="154"/>
    </row>
    <row r="2347" spans="2:2" ht="15.6">
      <c r="B2347" s="154"/>
    </row>
    <row r="2348" spans="2:2" ht="15.6">
      <c r="B2348" s="154"/>
    </row>
    <row r="2349" spans="2:2" ht="15.6">
      <c r="B2349" s="154"/>
    </row>
    <row r="2350" spans="2:2" ht="15.6">
      <c r="B2350" s="154"/>
    </row>
    <row r="2351" spans="2:2" ht="15.6">
      <c r="B2351" s="154"/>
    </row>
    <row r="2352" spans="2:2" ht="15.6">
      <c r="B2352" s="154"/>
    </row>
    <row r="2353" spans="2:2" ht="15.6">
      <c r="B2353" s="154"/>
    </row>
    <row r="2354" spans="2:2" ht="15.6">
      <c r="B2354" s="154"/>
    </row>
    <row r="2355" spans="2:2" ht="15.6">
      <c r="B2355" s="154"/>
    </row>
    <row r="2356" spans="2:2" ht="15.6">
      <c r="B2356" s="154"/>
    </row>
    <row r="2357" spans="2:2" ht="15.6">
      <c r="B2357" s="154"/>
    </row>
    <row r="2358" spans="2:2" ht="15.6">
      <c r="B2358" s="154"/>
    </row>
    <row r="2359" spans="2:2" ht="15.6">
      <c r="B2359" s="154"/>
    </row>
    <row r="2360" spans="2:2" ht="15.6">
      <c r="B2360" s="154"/>
    </row>
    <row r="2361" spans="2:2" ht="15.6">
      <c r="B2361" s="154"/>
    </row>
    <row r="2362" spans="2:2" ht="15.6">
      <c r="B2362" s="154"/>
    </row>
    <row r="2363" spans="2:2" ht="15.6">
      <c r="B2363" s="154"/>
    </row>
    <row r="2364" spans="2:2" ht="15.6">
      <c r="B2364" s="154"/>
    </row>
    <row r="2365" spans="2:2" ht="15.6">
      <c r="B2365" s="154"/>
    </row>
    <row r="2366" spans="2:2" ht="15.6">
      <c r="B2366" s="154"/>
    </row>
    <row r="2367" spans="2:2" ht="15.6">
      <c r="B2367" s="154"/>
    </row>
    <row r="2368" spans="2:2" ht="15.6">
      <c r="B2368" s="154"/>
    </row>
    <row r="2369" spans="2:2" ht="15.6">
      <c r="B2369" s="154"/>
    </row>
    <row r="2370" spans="2:2" ht="15.6">
      <c r="B2370" s="154"/>
    </row>
    <row r="2371" spans="2:2" ht="15.6">
      <c r="B2371" s="154"/>
    </row>
    <row r="2372" spans="2:2" ht="15.6">
      <c r="B2372" s="154"/>
    </row>
    <row r="2373" spans="2:2" ht="15.6">
      <c r="B2373" s="154"/>
    </row>
    <row r="2374" spans="2:2" ht="15.6">
      <c r="B2374" s="154"/>
    </row>
    <row r="2375" spans="2:2" ht="15.6">
      <c r="B2375" s="154"/>
    </row>
    <row r="2376" spans="2:2" ht="15.6">
      <c r="B2376" s="154"/>
    </row>
    <row r="2377" spans="2:2" ht="15.6">
      <c r="B2377" s="154"/>
    </row>
    <row r="2378" spans="2:2" ht="15.6">
      <c r="B2378" s="154"/>
    </row>
    <row r="2379" spans="2:2" ht="15.6">
      <c r="B2379" s="154"/>
    </row>
    <row r="2380" spans="2:2" ht="15.6">
      <c r="B2380" s="154"/>
    </row>
    <row r="2381" spans="2:2" ht="15.6">
      <c r="B2381" s="154"/>
    </row>
    <row r="2382" spans="2:2" ht="15.6">
      <c r="B2382" s="154"/>
    </row>
    <row r="2383" spans="2:2" ht="15.6">
      <c r="B2383" s="154"/>
    </row>
    <row r="2384" spans="2:2" ht="15.6">
      <c r="B2384" s="154"/>
    </row>
    <row r="2385" spans="2:2" ht="15.6">
      <c r="B2385" s="154"/>
    </row>
    <row r="2386" spans="2:2" ht="15.6">
      <c r="B2386" s="154"/>
    </row>
    <row r="2387" spans="2:2" ht="15.6">
      <c r="B2387" s="154"/>
    </row>
    <row r="2388" spans="2:2" ht="15.6">
      <c r="B2388" s="154"/>
    </row>
    <row r="2389" spans="2:2" ht="15.6">
      <c r="B2389" s="154"/>
    </row>
    <row r="2390" spans="2:2" ht="15.6">
      <c r="B2390" s="154"/>
    </row>
    <row r="2391" spans="2:2" ht="15.6">
      <c r="B2391" s="154"/>
    </row>
    <row r="2392" spans="2:2" ht="15.6">
      <c r="B2392" s="154"/>
    </row>
    <row r="2393" spans="2:2" ht="15.6">
      <c r="B2393" s="154"/>
    </row>
    <row r="2394" spans="2:2" ht="15.6">
      <c r="B2394" s="154"/>
    </row>
    <row r="2395" spans="2:2" ht="15.6">
      <c r="B2395" s="154"/>
    </row>
    <row r="2396" spans="2:2" ht="15.6">
      <c r="B2396" s="154"/>
    </row>
    <row r="2397" spans="2:2" ht="15.6">
      <c r="B2397" s="154"/>
    </row>
    <row r="2398" spans="2:2" ht="15.6">
      <c r="B2398" s="154"/>
    </row>
    <row r="2399" spans="2:2" ht="15.6">
      <c r="B2399" s="154"/>
    </row>
    <row r="2400" spans="2:2" ht="15.6">
      <c r="B2400" s="154"/>
    </row>
    <row r="2401" spans="2:2" ht="15.6">
      <c r="B2401" s="154"/>
    </row>
    <row r="2402" spans="2:2" ht="15.6">
      <c r="B2402" s="154"/>
    </row>
    <row r="2403" spans="2:2" ht="15.6">
      <c r="B2403" s="154"/>
    </row>
    <row r="2404" spans="2:2" ht="15.6">
      <c r="B2404" s="154"/>
    </row>
    <row r="2405" spans="2:2" ht="15.6">
      <c r="B2405" s="154"/>
    </row>
    <row r="2406" spans="2:2" ht="15.6">
      <c r="B2406" s="154"/>
    </row>
    <row r="2407" spans="2:2" ht="15.6">
      <c r="B2407" s="154"/>
    </row>
    <row r="2408" spans="2:2" ht="15.6">
      <c r="B2408" s="154"/>
    </row>
    <row r="2409" spans="2:2" ht="15.6">
      <c r="B2409" s="154"/>
    </row>
    <row r="2410" spans="2:2" ht="15.6">
      <c r="B2410" s="154"/>
    </row>
    <row r="2411" spans="2:2" ht="15.6">
      <c r="B2411" s="154"/>
    </row>
    <row r="2412" spans="2:2" ht="15.6">
      <c r="B2412" s="154"/>
    </row>
    <row r="2413" spans="2:2" ht="15.6">
      <c r="B2413" s="154"/>
    </row>
    <row r="2414" spans="2:2" ht="15.6">
      <c r="B2414" s="154"/>
    </row>
    <row r="2415" spans="2:2" ht="15.6">
      <c r="B2415" s="154"/>
    </row>
    <row r="2416" spans="2:2" ht="15.6">
      <c r="B2416" s="154"/>
    </row>
    <row r="2417" spans="2:2" ht="15.6">
      <c r="B2417" s="154"/>
    </row>
    <row r="2418" spans="2:2" ht="15.6">
      <c r="B2418" s="154"/>
    </row>
    <row r="2419" spans="2:2" ht="15.6">
      <c r="B2419" s="154"/>
    </row>
    <row r="2420" spans="2:2" ht="15.6">
      <c r="B2420" s="154"/>
    </row>
    <row r="2421" spans="2:2" ht="15.6">
      <c r="B2421" s="154"/>
    </row>
    <row r="2422" spans="2:2" ht="15.6">
      <c r="B2422" s="154"/>
    </row>
    <row r="2423" spans="2:2" ht="15.6">
      <c r="B2423" s="154"/>
    </row>
    <row r="2424" spans="2:2" ht="15.6">
      <c r="B2424" s="154"/>
    </row>
    <row r="2425" spans="2:2" ht="15.6">
      <c r="B2425" s="154"/>
    </row>
    <row r="2426" spans="2:2" ht="15.6">
      <c r="B2426" s="154"/>
    </row>
    <row r="2427" spans="2:2" ht="15.6">
      <c r="B2427" s="154"/>
    </row>
    <row r="2428" spans="2:2" ht="15.6">
      <c r="B2428" s="154"/>
    </row>
    <row r="2429" spans="2:2" ht="15.6">
      <c r="B2429" s="154"/>
    </row>
    <row r="2430" spans="2:2" ht="15.6">
      <c r="B2430" s="154"/>
    </row>
    <row r="2431" spans="2:2" ht="15.6">
      <c r="B2431" s="154"/>
    </row>
    <row r="2432" spans="2:2" ht="15.6">
      <c r="B2432" s="154"/>
    </row>
    <row r="2433" spans="2:2" ht="15.6">
      <c r="B2433" s="154"/>
    </row>
    <row r="2434" spans="2:2" ht="15.6">
      <c r="B2434" s="154"/>
    </row>
    <row r="2435" spans="2:2" ht="15.6">
      <c r="B2435" s="154"/>
    </row>
    <row r="2436" spans="2:2" ht="15.6">
      <c r="B2436" s="154"/>
    </row>
    <row r="2437" spans="2:2" ht="15.6">
      <c r="B2437" s="154"/>
    </row>
    <row r="2438" spans="2:2" ht="15.6">
      <c r="B2438" s="154"/>
    </row>
    <row r="2439" spans="2:2" ht="15.6">
      <c r="B2439" s="154"/>
    </row>
    <row r="2440" spans="2:2" ht="15.6">
      <c r="B2440" s="154"/>
    </row>
    <row r="2441" spans="2:2" ht="15.6">
      <c r="B2441" s="154"/>
    </row>
    <row r="2442" spans="2:2" ht="15.6">
      <c r="B2442" s="154"/>
    </row>
    <row r="2443" spans="2:2" ht="15.6">
      <c r="B2443" s="154"/>
    </row>
    <row r="2444" spans="2:2" ht="15.6">
      <c r="B2444" s="154"/>
    </row>
    <row r="2445" spans="2:2" ht="15.6">
      <c r="B2445" s="154"/>
    </row>
    <row r="2446" spans="2:2" ht="15.6">
      <c r="B2446" s="154"/>
    </row>
    <row r="2447" spans="2:2" ht="15.6">
      <c r="B2447" s="154"/>
    </row>
    <row r="2448" spans="2:2" ht="15.6">
      <c r="B2448" s="154"/>
    </row>
    <row r="2449" spans="2:2" ht="15.6">
      <c r="B2449" s="154"/>
    </row>
    <row r="2450" spans="2:2" ht="15.6">
      <c r="B2450" s="154"/>
    </row>
    <row r="2451" spans="2:2" ht="15.6">
      <c r="B2451" s="154"/>
    </row>
    <row r="2452" spans="2:2" ht="15.6">
      <c r="B2452" s="154"/>
    </row>
    <row r="2453" spans="2:2" ht="15.6">
      <c r="B2453" s="154"/>
    </row>
    <row r="2454" spans="2:2" ht="15.6">
      <c r="B2454" s="154"/>
    </row>
    <row r="2455" spans="2:2" ht="15.6">
      <c r="B2455" s="154"/>
    </row>
    <row r="2456" spans="2:2" ht="15.6">
      <c r="B2456" s="154"/>
    </row>
    <row r="2457" spans="2:2" ht="15.6">
      <c r="B2457" s="154"/>
    </row>
    <row r="2458" spans="2:2" ht="15.6">
      <c r="B2458" s="154"/>
    </row>
    <row r="2459" spans="2:2" ht="15.6">
      <c r="B2459" s="154"/>
    </row>
    <row r="2460" spans="2:2" ht="15.6">
      <c r="B2460" s="154"/>
    </row>
    <row r="2461" spans="2:2" ht="15.6">
      <c r="B2461" s="154"/>
    </row>
    <row r="2462" spans="2:2" ht="15.6">
      <c r="B2462" s="154"/>
    </row>
    <row r="2463" spans="2:2" ht="15.6">
      <c r="B2463" s="154"/>
    </row>
    <row r="2464" spans="2:2" ht="15.6">
      <c r="B2464" s="154"/>
    </row>
    <row r="2465" spans="2:2" ht="15.6">
      <c r="B2465" s="154"/>
    </row>
    <row r="2466" spans="2:2" ht="15.6">
      <c r="B2466" s="154"/>
    </row>
    <row r="2467" spans="2:2" ht="15.6">
      <c r="B2467" s="154"/>
    </row>
    <row r="2468" spans="2:2" ht="15.6">
      <c r="B2468" s="154"/>
    </row>
    <row r="2469" spans="2:2" ht="15.6">
      <c r="B2469" s="154"/>
    </row>
    <row r="2470" spans="2:2" ht="15.6">
      <c r="B2470" s="154"/>
    </row>
    <row r="2471" spans="2:2" ht="15.6">
      <c r="B2471" s="154"/>
    </row>
    <row r="2472" spans="2:2" ht="15.6">
      <c r="B2472" s="154"/>
    </row>
    <row r="2473" spans="2:2" ht="15.6">
      <c r="B2473" s="154"/>
    </row>
    <row r="2474" spans="2:2" ht="15.6">
      <c r="B2474" s="154"/>
    </row>
    <row r="2475" spans="2:2" ht="15.6">
      <c r="B2475" s="154"/>
    </row>
    <row r="2476" spans="2:2" ht="15.6">
      <c r="B2476" s="154"/>
    </row>
    <row r="2477" spans="2:2" ht="15.6">
      <c r="B2477" s="154"/>
    </row>
    <row r="2478" spans="2:2" ht="15.6">
      <c r="B2478" s="154"/>
    </row>
    <row r="2479" spans="2:2" ht="15.6">
      <c r="B2479" s="154"/>
    </row>
    <row r="2480" spans="2:2" ht="15.6">
      <c r="B2480" s="154"/>
    </row>
    <row r="2481" spans="2:2" ht="15.6">
      <c r="B2481" s="154"/>
    </row>
    <row r="2482" spans="2:2" ht="15.6">
      <c r="B2482" s="154"/>
    </row>
    <row r="2483" spans="2:2" ht="15.6">
      <c r="B2483" s="154"/>
    </row>
    <row r="2484" spans="2:2" ht="15.6">
      <c r="B2484" s="154"/>
    </row>
    <row r="2485" spans="2:2" ht="15.6">
      <c r="B2485" s="154"/>
    </row>
    <row r="2486" spans="2:2" ht="15.6">
      <c r="B2486" s="154"/>
    </row>
    <row r="2487" spans="2:2" ht="15.6">
      <c r="B2487" s="154"/>
    </row>
    <row r="2488" spans="2:2" ht="15.6">
      <c r="B2488" s="154"/>
    </row>
    <row r="2489" spans="2:2" ht="15.6">
      <c r="B2489" s="154"/>
    </row>
    <row r="2490" spans="2:2" ht="15.6">
      <c r="B2490" s="154"/>
    </row>
    <row r="2491" spans="2:2" ht="15.6">
      <c r="B2491" s="154"/>
    </row>
    <row r="2492" spans="2:2" ht="15.6">
      <c r="B2492" s="154"/>
    </row>
    <row r="2493" spans="2:2" ht="15.6">
      <c r="B2493" s="154"/>
    </row>
    <row r="2494" spans="2:2" ht="15.6">
      <c r="B2494" s="154"/>
    </row>
    <row r="2495" spans="2:2" ht="15.6">
      <c r="B2495" s="154"/>
    </row>
    <row r="2496" spans="2:2" ht="15.6">
      <c r="B2496" s="154"/>
    </row>
    <row r="2497" spans="2:2" ht="15.6">
      <c r="B2497" s="154"/>
    </row>
    <row r="2498" spans="2:2" ht="15.6">
      <c r="B2498" s="154"/>
    </row>
    <row r="2499" spans="2:2" ht="15.6">
      <c r="B2499" s="154"/>
    </row>
    <row r="2500" spans="2:2" ht="15.6">
      <c r="B2500" s="154"/>
    </row>
    <row r="2501" spans="2:2" ht="15.6">
      <c r="B2501" s="154"/>
    </row>
    <row r="2502" spans="2:2" ht="15.6">
      <c r="B2502" s="154"/>
    </row>
    <row r="2503" spans="2:2" ht="15.6">
      <c r="B2503" s="154"/>
    </row>
    <row r="2504" spans="2:2" ht="15.6">
      <c r="B2504" s="154"/>
    </row>
    <row r="2505" spans="2:2" ht="15.6">
      <c r="B2505" s="154"/>
    </row>
    <row r="2506" spans="2:2" ht="15.6">
      <c r="B2506" s="154"/>
    </row>
    <row r="2507" spans="2:2" ht="15.6">
      <c r="B2507" s="154"/>
    </row>
    <row r="2508" spans="2:2" ht="15.6">
      <c r="B2508" s="154"/>
    </row>
    <row r="2509" spans="2:2" ht="15.6">
      <c r="B2509" s="154"/>
    </row>
    <row r="2510" spans="2:2" ht="15.6">
      <c r="B2510" s="154"/>
    </row>
    <row r="2511" spans="2:2" ht="15.6">
      <c r="B2511" s="154"/>
    </row>
    <row r="2512" spans="2:2" ht="15.6">
      <c r="B2512" s="154"/>
    </row>
    <row r="2513" spans="2:2" ht="15.6">
      <c r="B2513" s="154"/>
    </row>
    <row r="2514" spans="2:2" ht="15.6">
      <c r="B2514" s="154"/>
    </row>
    <row r="2515" spans="2:2" ht="15.6">
      <c r="B2515" s="154"/>
    </row>
    <row r="2516" spans="2:2" ht="15.6">
      <c r="B2516" s="154"/>
    </row>
    <row r="2517" spans="2:2" ht="15.6">
      <c r="B2517" s="154"/>
    </row>
    <row r="2518" spans="2:2" ht="15.6">
      <c r="B2518" s="154"/>
    </row>
    <row r="2519" spans="2:2" ht="15.6">
      <c r="B2519" s="154"/>
    </row>
    <row r="2520" spans="2:2" ht="15.6">
      <c r="B2520" s="154"/>
    </row>
    <row r="2521" spans="2:2" ht="15.6">
      <c r="B2521" s="154"/>
    </row>
    <row r="2522" spans="2:2" ht="15.6">
      <c r="B2522" s="154"/>
    </row>
    <row r="2523" spans="2:2" ht="15.6">
      <c r="B2523" s="154"/>
    </row>
    <row r="2524" spans="2:2" ht="15.6">
      <c r="B2524" s="154"/>
    </row>
    <row r="2525" spans="2:2" ht="15.6">
      <c r="B2525" s="154"/>
    </row>
    <row r="2526" spans="2:2" ht="15.6">
      <c r="B2526" s="154"/>
    </row>
    <row r="2527" spans="2:2" ht="15.6">
      <c r="B2527" s="154"/>
    </row>
    <row r="2528" spans="2:2" ht="15.6">
      <c r="B2528" s="154"/>
    </row>
    <row r="2529" spans="2:2" ht="15.6">
      <c r="B2529" s="154"/>
    </row>
    <row r="2530" spans="2:2" ht="15.6">
      <c r="B2530" s="154"/>
    </row>
    <row r="2531" spans="2:2" ht="15.6">
      <c r="B2531" s="154"/>
    </row>
    <row r="2532" spans="2:2" ht="15.6">
      <c r="B2532" s="154"/>
    </row>
    <row r="2533" spans="2:2" ht="15.6">
      <c r="B2533" s="154"/>
    </row>
    <row r="2534" spans="2:2" ht="15.6">
      <c r="B2534" s="154"/>
    </row>
    <row r="2535" spans="2:2" ht="15.6">
      <c r="B2535" s="154"/>
    </row>
    <row r="2536" spans="2:2" ht="15.6">
      <c r="B2536" s="154"/>
    </row>
    <row r="2537" spans="2:2" ht="15.6">
      <c r="B2537" s="154"/>
    </row>
    <row r="2538" spans="2:2" ht="15.6">
      <c r="B2538" s="154"/>
    </row>
    <row r="2539" spans="2:2" ht="15.6">
      <c r="B2539" s="154"/>
    </row>
    <row r="2540" spans="2:2" ht="15.6">
      <c r="B2540" s="154"/>
    </row>
    <row r="2541" spans="2:2" ht="15.6">
      <c r="B2541" s="154"/>
    </row>
    <row r="2542" spans="2:2" ht="15.6">
      <c r="B2542" s="154"/>
    </row>
    <row r="2543" spans="2:2" ht="15.6">
      <c r="B2543" s="154"/>
    </row>
    <row r="2544" spans="2:2" ht="15.6">
      <c r="B2544" s="154"/>
    </row>
    <row r="2545" spans="2:2" ht="15.6">
      <c r="B2545" s="154"/>
    </row>
    <row r="2546" spans="2:2" ht="15.6">
      <c r="B2546" s="154"/>
    </row>
    <row r="2547" spans="2:2" ht="15.6">
      <c r="B2547" s="154"/>
    </row>
    <row r="2548" spans="2:2" ht="15.6">
      <c r="B2548" s="154"/>
    </row>
    <row r="2549" spans="2:2" ht="15.6">
      <c r="B2549" s="154"/>
    </row>
    <row r="2550" spans="2:2" ht="15.6">
      <c r="B2550" s="154"/>
    </row>
    <row r="2551" spans="2:2" ht="15.6">
      <c r="B2551" s="154"/>
    </row>
    <row r="2552" spans="2:2" ht="15.6">
      <c r="B2552" s="154"/>
    </row>
    <row r="2553" spans="2:2" ht="15.6">
      <c r="B2553" s="154"/>
    </row>
    <row r="2554" spans="2:2" ht="15.6">
      <c r="B2554" s="154"/>
    </row>
    <row r="2555" spans="2:2" ht="15.6">
      <c r="B2555" s="154"/>
    </row>
    <row r="2556" spans="2:2" ht="15.6">
      <c r="B2556" s="154"/>
    </row>
    <row r="2557" spans="2:2" ht="15.6">
      <c r="B2557" s="154"/>
    </row>
    <row r="2558" spans="2:2" ht="15.6">
      <c r="B2558" s="154"/>
    </row>
    <row r="2559" spans="2:2" ht="15.6">
      <c r="B2559" s="154"/>
    </row>
    <row r="2560" spans="2:2" ht="15.6">
      <c r="B2560" s="154"/>
    </row>
    <row r="2561" spans="2:2" ht="15.6">
      <c r="B2561" s="154"/>
    </row>
    <row r="2562" spans="2:2" ht="15.6">
      <c r="B2562" s="154"/>
    </row>
    <row r="2563" spans="2:2" ht="15.6">
      <c r="B2563" s="154"/>
    </row>
    <row r="2564" spans="2:2" ht="15.6">
      <c r="B2564" s="154"/>
    </row>
    <row r="2565" spans="2:2" ht="15.6">
      <c r="B2565" s="154"/>
    </row>
    <row r="2566" spans="2:2" ht="15.6">
      <c r="B2566" s="154"/>
    </row>
    <row r="2567" spans="2:2" ht="15.6">
      <c r="B2567" s="154"/>
    </row>
    <row r="2568" spans="2:2" ht="15.6">
      <c r="B2568" s="154"/>
    </row>
    <row r="2569" spans="2:2" ht="15.6">
      <c r="B2569" s="154"/>
    </row>
    <row r="2570" spans="2:2" ht="15.6">
      <c r="B2570" s="154"/>
    </row>
    <row r="2571" spans="2:2" ht="15.6">
      <c r="B2571" s="154"/>
    </row>
    <row r="2572" spans="2:2" ht="15.6">
      <c r="B2572" s="154"/>
    </row>
    <row r="2573" spans="2:2" ht="15.6">
      <c r="B2573" s="154"/>
    </row>
    <row r="2574" spans="2:2" ht="15.6">
      <c r="B2574" s="154"/>
    </row>
    <row r="2575" spans="2:2" ht="15.6">
      <c r="B2575" s="154"/>
    </row>
    <row r="2576" spans="2:2" ht="15.6">
      <c r="B2576" s="154"/>
    </row>
    <row r="2577" spans="2:2" ht="15.6">
      <c r="B2577" s="154"/>
    </row>
    <row r="2578" spans="2:2" ht="15.6">
      <c r="B2578" s="154"/>
    </row>
    <row r="2579" spans="2:2" ht="15.6">
      <c r="B2579" s="154"/>
    </row>
    <row r="2580" spans="2:2" ht="15.6">
      <c r="B2580" s="154"/>
    </row>
    <row r="2581" spans="2:2" ht="15.6">
      <c r="B2581" s="154"/>
    </row>
    <row r="2582" spans="2:2" ht="15.6">
      <c r="B2582" s="154"/>
    </row>
    <row r="2583" spans="2:2" ht="15.6">
      <c r="B2583" s="154"/>
    </row>
    <row r="2584" spans="2:2" ht="15.6">
      <c r="B2584" s="154"/>
    </row>
    <row r="2585" spans="2:2" ht="15.6">
      <c r="B2585" s="154"/>
    </row>
    <row r="2586" spans="2:2" ht="15.6">
      <c r="B2586" s="154"/>
    </row>
    <row r="2587" spans="2:2" ht="15.6">
      <c r="B2587" s="154"/>
    </row>
    <row r="2588" spans="2:2" ht="15.6">
      <c r="B2588" s="154"/>
    </row>
    <row r="2589" spans="2:2" ht="15.6">
      <c r="B2589" s="154"/>
    </row>
    <row r="2590" spans="2:2" ht="15.6">
      <c r="B2590" s="154"/>
    </row>
    <row r="2591" spans="2:2" ht="15.6">
      <c r="B2591" s="154"/>
    </row>
    <row r="2592" spans="2:2" ht="15.6">
      <c r="B2592" s="154"/>
    </row>
    <row r="2593" spans="2:2" ht="15.6">
      <c r="B2593" s="154"/>
    </row>
    <row r="2594" spans="2:2" ht="15.6">
      <c r="B2594" s="154"/>
    </row>
    <row r="2595" spans="2:2" ht="15.6">
      <c r="B2595" s="154"/>
    </row>
    <row r="2596" spans="2:2" ht="15.6">
      <c r="B2596" s="154"/>
    </row>
    <row r="2597" spans="2:2" ht="15.6">
      <c r="B2597" s="154"/>
    </row>
    <row r="2598" spans="2:2" ht="15.6">
      <c r="B2598" s="154"/>
    </row>
    <row r="2599" spans="2:2" ht="15.6">
      <c r="B2599" s="154"/>
    </row>
    <row r="2600" spans="2:2" ht="15.6">
      <c r="B2600" s="154"/>
    </row>
    <row r="2601" spans="2:2" ht="15.6">
      <c r="B2601" s="154"/>
    </row>
    <row r="2602" spans="2:2" ht="15.6">
      <c r="B2602" s="154"/>
    </row>
    <row r="2603" spans="2:2" ht="15.6">
      <c r="B2603" s="154"/>
    </row>
    <row r="2604" spans="2:2" ht="15.6">
      <c r="B2604" s="154"/>
    </row>
    <row r="2605" spans="2:2" ht="15.6">
      <c r="B2605" s="154"/>
    </row>
    <row r="2606" spans="2:2" ht="15.6">
      <c r="B2606" s="154"/>
    </row>
    <row r="2607" spans="2:2" ht="15.6">
      <c r="B2607" s="154"/>
    </row>
    <row r="2608" spans="2:2" ht="15.6">
      <c r="B2608" s="154"/>
    </row>
    <row r="2609" spans="2:2" ht="15.6">
      <c r="B2609" s="154"/>
    </row>
    <row r="2610" spans="2:2" ht="15.6">
      <c r="B2610" s="154"/>
    </row>
    <row r="2611" spans="2:2" ht="15.6">
      <c r="B2611" s="154"/>
    </row>
    <row r="2612" spans="2:2" ht="15.6">
      <c r="B2612" s="154"/>
    </row>
    <row r="2613" spans="2:2" ht="15.6">
      <c r="B2613" s="154"/>
    </row>
    <row r="2614" spans="2:2" ht="15.6">
      <c r="B2614" s="154"/>
    </row>
    <row r="2615" spans="2:2" ht="15.6">
      <c r="B2615" s="154"/>
    </row>
    <row r="2616" spans="2:2" ht="15.6">
      <c r="B2616" s="154"/>
    </row>
    <row r="2617" spans="2:2" ht="15.6">
      <c r="B2617" s="154"/>
    </row>
    <row r="2618" spans="2:2" ht="15.6">
      <c r="B2618" s="154"/>
    </row>
    <row r="2619" spans="2:2" ht="15.6">
      <c r="B2619" s="154"/>
    </row>
    <row r="2620" spans="2:2" ht="15.6">
      <c r="B2620" s="154"/>
    </row>
    <row r="2621" spans="2:2" ht="15.6">
      <c r="B2621" s="154"/>
    </row>
    <row r="2622" spans="2:2" ht="15.6">
      <c r="B2622" s="154"/>
    </row>
    <row r="2623" spans="2:2" ht="15.6">
      <c r="B2623" s="154"/>
    </row>
    <row r="2624" spans="2:2" ht="15.6">
      <c r="B2624" s="154"/>
    </row>
    <row r="2625" spans="2:2" ht="15.6">
      <c r="B2625" s="154"/>
    </row>
    <row r="2626" spans="2:2" ht="15.6">
      <c r="B2626" s="154"/>
    </row>
    <row r="2627" spans="2:2" ht="15.6">
      <c r="B2627" s="154"/>
    </row>
    <row r="2628" spans="2:2" ht="15.6">
      <c r="B2628" s="154"/>
    </row>
    <row r="2629" spans="2:2" ht="15.6">
      <c r="B2629" s="154"/>
    </row>
    <row r="2630" spans="2:2" ht="15.6">
      <c r="B2630" s="154"/>
    </row>
    <row r="2631" spans="2:2" ht="15.6">
      <c r="B2631" s="154"/>
    </row>
    <row r="2632" spans="2:2" ht="15.6">
      <c r="B2632" s="154"/>
    </row>
    <row r="2633" spans="2:2" ht="15.6">
      <c r="B2633" s="154"/>
    </row>
    <row r="2634" spans="2:2" ht="15.6">
      <c r="B2634" s="154"/>
    </row>
    <row r="2635" spans="2:2" ht="15.6">
      <c r="B2635" s="154"/>
    </row>
    <row r="2636" spans="2:2" ht="15.6">
      <c r="B2636" s="154"/>
    </row>
    <row r="2637" spans="2:2" ht="15.6">
      <c r="B2637" s="154"/>
    </row>
    <row r="2638" spans="2:2" ht="15.6">
      <c r="B2638" s="154"/>
    </row>
    <row r="2639" spans="2:2" ht="15.6">
      <c r="B2639" s="154"/>
    </row>
    <row r="2640" spans="2:2" ht="15.6">
      <c r="B2640" s="154"/>
    </row>
    <row r="2641" spans="2:2" ht="15.6">
      <c r="B2641" s="154"/>
    </row>
    <row r="2642" spans="2:2" ht="15.6">
      <c r="B2642" s="154"/>
    </row>
    <row r="2643" spans="2:2" ht="15.6">
      <c r="B2643" s="154"/>
    </row>
    <row r="2644" spans="2:2" ht="15.6">
      <c r="B2644" s="154"/>
    </row>
    <row r="2645" spans="2:2" ht="15.6">
      <c r="B2645" s="154"/>
    </row>
    <row r="2646" spans="2:2" ht="15.6">
      <c r="B2646" s="154"/>
    </row>
    <row r="2647" spans="2:2" ht="15.6">
      <c r="B2647" s="154"/>
    </row>
    <row r="2648" spans="2:2" ht="15.6">
      <c r="B2648" s="154"/>
    </row>
    <row r="2649" spans="2:2" ht="15.6">
      <c r="B2649" s="154"/>
    </row>
    <row r="2650" spans="2:2" ht="15.6">
      <c r="B2650" s="154"/>
    </row>
    <row r="2651" spans="2:2" ht="15.6">
      <c r="B2651" s="154"/>
    </row>
    <row r="2652" spans="2:2" ht="15.6">
      <c r="B2652" s="154"/>
    </row>
    <row r="2653" spans="2:2" ht="15.6">
      <c r="B2653" s="154"/>
    </row>
    <row r="2654" spans="2:2" ht="15.6">
      <c r="B2654" s="154"/>
    </row>
    <row r="2655" spans="2:2" ht="15.6">
      <c r="B2655" s="154"/>
    </row>
    <row r="2656" spans="2:2" ht="15.6">
      <c r="B2656" s="154"/>
    </row>
    <row r="2657" spans="2:2" ht="15.6">
      <c r="B2657" s="154"/>
    </row>
    <row r="2658" spans="2:2" ht="15.6">
      <c r="B2658" s="154"/>
    </row>
    <row r="2659" spans="2:2" ht="15.6">
      <c r="B2659" s="154"/>
    </row>
    <row r="2660" spans="2:2" ht="15.6">
      <c r="B2660" s="154"/>
    </row>
    <row r="2661" spans="2:2" ht="15.6">
      <c r="B2661" s="154"/>
    </row>
    <row r="2662" spans="2:2" ht="15.6">
      <c r="B2662" s="154"/>
    </row>
    <row r="2663" spans="2:2" ht="15.6">
      <c r="B2663" s="154"/>
    </row>
    <row r="2664" spans="2:2" ht="15.6">
      <c r="B2664" s="154"/>
    </row>
    <row r="2665" spans="2:2" ht="15.6">
      <c r="B2665" s="154"/>
    </row>
    <row r="2666" spans="2:2" ht="15.6">
      <c r="B2666" s="154"/>
    </row>
    <row r="2667" spans="2:2" ht="15.6">
      <c r="B2667" s="154"/>
    </row>
    <row r="2668" spans="2:2" ht="15.6">
      <c r="B2668" s="154"/>
    </row>
    <row r="2669" spans="2:2" ht="15.6">
      <c r="B2669" s="154"/>
    </row>
    <row r="2670" spans="2:2" ht="15.6">
      <c r="B2670" s="154"/>
    </row>
    <row r="2671" spans="2:2" ht="15.6">
      <c r="B2671" s="154"/>
    </row>
    <row r="2672" spans="2:2" ht="15.6">
      <c r="B2672" s="154"/>
    </row>
    <row r="2673" spans="2:2" ht="15.6">
      <c r="B2673" s="154"/>
    </row>
    <row r="2674" spans="2:2" ht="15.6">
      <c r="B2674" s="154"/>
    </row>
    <row r="2675" spans="2:2" ht="15.6">
      <c r="B2675" s="154"/>
    </row>
    <row r="2676" spans="2:2" ht="15.6">
      <c r="B2676" s="154"/>
    </row>
    <row r="2677" spans="2:2" ht="15.6">
      <c r="B2677" s="154"/>
    </row>
    <row r="2678" spans="2:2" ht="15.6">
      <c r="B2678" s="154"/>
    </row>
    <row r="2679" spans="2:2" ht="15.6">
      <c r="B2679" s="154"/>
    </row>
    <row r="2680" spans="2:2" ht="15.6">
      <c r="B2680" s="154"/>
    </row>
    <row r="2681" spans="2:2" ht="15.6">
      <c r="B2681" s="154"/>
    </row>
    <row r="2682" spans="2:2" ht="15.6">
      <c r="B2682" s="154"/>
    </row>
    <row r="2683" spans="2:2" ht="15.6">
      <c r="B2683" s="154"/>
    </row>
    <row r="2684" spans="2:2" ht="15.6">
      <c r="B2684" s="154"/>
    </row>
    <row r="2685" spans="2:2" ht="15.6">
      <c r="B2685" s="154"/>
    </row>
    <row r="2686" spans="2:2" ht="15.6">
      <c r="B2686" s="154"/>
    </row>
    <row r="2687" spans="2:2" ht="15.6">
      <c r="B2687" s="154"/>
    </row>
    <row r="2688" spans="2:2" ht="15.6">
      <c r="B2688" s="154"/>
    </row>
    <row r="2689" spans="2:2" ht="15.6">
      <c r="B2689" s="154"/>
    </row>
    <row r="2690" spans="2:2" ht="15.6">
      <c r="B2690" s="154"/>
    </row>
    <row r="2691" spans="2:2" ht="15.6">
      <c r="B2691" s="154"/>
    </row>
    <row r="2692" spans="2:2" ht="15.6">
      <c r="B2692" s="154"/>
    </row>
    <row r="2693" spans="2:2" ht="15.6">
      <c r="B2693" s="154"/>
    </row>
    <row r="2694" spans="2:2" ht="15.6">
      <c r="B2694" s="154"/>
    </row>
    <row r="2695" spans="2:2" ht="15.6">
      <c r="B2695" s="154"/>
    </row>
    <row r="2696" spans="2:2" ht="15.6">
      <c r="B2696" s="154"/>
    </row>
    <row r="2697" spans="2:2" ht="15.6">
      <c r="B2697" s="154"/>
    </row>
    <row r="2698" spans="2:2" ht="15.6">
      <c r="B2698" s="154"/>
    </row>
    <row r="2699" spans="2:2" ht="15.6">
      <c r="B2699" s="154"/>
    </row>
    <row r="2700" spans="2:2" ht="15.6">
      <c r="B2700" s="154"/>
    </row>
    <row r="2701" spans="2:2" ht="15.6">
      <c r="B2701" s="154"/>
    </row>
    <row r="2702" spans="2:2" ht="15.6">
      <c r="B2702" s="154"/>
    </row>
    <row r="2703" spans="2:2" ht="15.6">
      <c r="B2703" s="154"/>
    </row>
    <row r="2704" spans="2:2" ht="15.6">
      <c r="B2704" s="154"/>
    </row>
    <row r="2705" spans="2:2" ht="15.6">
      <c r="B2705" s="154"/>
    </row>
    <row r="2706" spans="2:2" ht="15.6">
      <c r="B2706" s="154"/>
    </row>
    <row r="2707" spans="2:2" ht="15.6">
      <c r="B2707" s="154"/>
    </row>
    <row r="2708" spans="2:2" ht="15.6">
      <c r="B2708" s="154"/>
    </row>
    <row r="2709" spans="2:2" ht="15.6">
      <c r="B2709" s="154"/>
    </row>
    <row r="2710" spans="2:2" ht="15.6">
      <c r="B2710" s="154"/>
    </row>
    <row r="2711" spans="2:2" ht="15.6">
      <c r="B2711" s="154"/>
    </row>
    <row r="2712" spans="2:2" ht="15.6">
      <c r="B2712" s="154"/>
    </row>
    <row r="2713" spans="2:2" ht="15.6">
      <c r="B2713" s="154"/>
    </row>
    <row r="2714" spans="2:2" ht="15.6">
      <c r="B2714" s="154"/>
    </row>
    <row r="2715" spans="2:2" ht="15.6">
      <c r="B2715" s="154"/>
    </row>
    <row r="2716" spans="2:2" ht="15.6">
      <c r="B2716" s="154"/>
    </row>
    <row r="2717" spans="2:2" ht="15.6">
      <c r="B2717" s="154"/>
    </row>
    <row r="2718" spans="2:2" ht="15.6">
      <c r="B2718" s="154"/>
    </row>
    <row r="2719" spans="2:2" ht="15.6">
      <c r="B2719" s="154"/>
    </row>
    <row r="2720" spans="2:2" ht="15.6">
      <c r="B2720" s="154"/>
    </row>
    <row r="2721" spans="2:2" ht="15.6">
      <c r="B2721" s="154"/>
    </row>
    <row r="2722" spans="2:2" ht="15.6">
      <c r="B2722" s="154"/>
    </row>
    <row r="2723" spans="2:2" ht="15.6">
      <c r="B2723" s="154"/>
    </row>
    <row r="2724" spans="2:2" ht="15.6">
      <c r="B2724" s="154"/>
    </row>
    <row r="2725" spans="2:2" ht="15.6">
      <c r="B2725" s="154"/>
    </row>
    <row r="2726" spans="2:2" ht="15.6">
      <c r="B2726" s="154"/>
    </row>
    <row r="2727" spans="2:2" ht="15.6">
      <c r="B2727" s="154"/>
    </row>
    <row r="2728" spans="2:2" ht="15.6">
      <c r="B2728" s="154"/>
    </row>
    <row r="2729" spans="2:2" ht="15.6">
      <c r="B2729" s="154"/>
    </row>
    <row r="2730" spans="2:2" ht="15.6">
      <c r="B2730" s="154"/>
    </row>
    <row r="2731" spans="2:2" ht="15.6">
      <c r="B2731" s="154"/>
    </row>
    <row r="2732" spans="2:2" ht="15.6">
      <c r="B2732" s="154"/>
    </row>
    <row r="2733" spans="2:2" ht="15.6">
      <c r="B2733" s="154"/>
    </row>
    <row r="2734" spans="2:2" ht="15.6">
      <c r="B2734" s="154"/>
    </row>
    <row r="2735" spans="2:2" ht="15.6">
      <c r="B2735" s="154"/>
    </row>
    <row r="2736" spans="2:2" ht="15.6">
      <c r="B2736" s="154"/>
    </row>
    <row r="2737" spans="2:2" ht="15.6">
      <c r="B2737" s="154"/>
    </row>
    <row r="2738" spans="2:2" ht="15.6">
      <c r="B2738" s="154"/>
    </row>
    <row r="2739" spans="2:2" ht="15.6">
      <c r="B2739" s="154"/>
    </row>
    <row r="2740" spans="2:2" ht="15.6">
      <c r="B2740" s="154"/>
    </row>
    <row r="2741" spans="2:2" ht="15.6">
      <c r="B2741" s="154"/>
    </row>
    <row r="2742" spans="2:2" ht="15.6">
      <c r="B2742" s="154"/>
    </row>
    <row r="2743" spans="2:2" ht="15.6">
      <c r="B2743" s="154"/>
    </row>
    <row r="2744" spans="2:2" ht="15.6">
      <c r="B2744" s="154"/>
    </row>
    <row r="2745" spans="2:2" ht="15.6">
      <c r="B2745" s="154"/>
    </row>
    <row r="2746" spans="2:2" ht="15.6">
      <c r="B2746" s="154"/>
    </row>
    <row r="2747" spans="2:2" ht="15.6">
      <c r="B2747" s="154"/>
    </row>
    <row r="2748" spans="2:2" ht="15.6">
      <c r="B2748" s="154"/>
    </row>
    <row r="2749" spans="2:2" ht="15.6">
      <c r="B2749" s="154"/>
    </row>
    <row r="2750" spans="2:2" ht="15.6">
      <c r="B2750" s="154"/>
    </row>
    <row r="2751" spans="2:2" ht="15.6">
      <c r="B2751" s="154"/>
    </row>
    <row r="2752" spans="2:2" ht="15.6">
      <c r="B2752" s="154"/>
    </row>
    <row r="2753" spans="2:2" ht="15.6">
      <c r="B2753" s="154"/>
    </row>
    <row r="2754" spans="2:2" ht="15.6">
      <c r="B2754" s="154"/>
    </row>
    <row r="2755" spans="2:2" ht="15.6">
      <c r="B2755" s="154"/>
    </row>
    <row r="2756" spans="2:2" ht="15.6">
      <c r="B2756" s="154"/>
    </row>
    <row r="2757" spans="2:2" ht="15.6">
      <c r="B2757" s="154"/>
    </row>
    <row r="2758" spans="2:2" ht="15.6">
      <c r="B2758" s="154"/>
    </row>
    <row r="2759" spans="2:2" ht="15.6">
      <c r="B2759" s="154"/>
    </row>
    <row r="2760" spans="2:2" ht="15.6">
      <c r="B2760" s="154"/>
    </row>
    <row r="2761" spans="2:2" ht="15.6">
      <c r="B2761" s="154"/>
    </row>
    <row r="2762" spans="2:2" ht="15.6">
      <c r="B2762" s="154"/>
    </row>
    <row r="2763" spans="2:2" ht="15.6">
      <c r="B2763" s="154"/>
    </row>
    <row r="2764" spans="2:2" ht="15.6">
      <c r="B2764" s="154"/>
    </row>
    <row r="2765" spans="2:2" ht="15.6">
      <c r="B2765" s="154"/>
    </row>
    <row r="2766" spans="2:2" ht="15.6">
      <c r="B2766" s="154"/>
    </row>
    <row r="2767" spans="2:2" ht="15.6">
      <c r="B2767" s="154"/>
    </row>
    <row r="2768" spans="2:2" ht="15.6">
      <c r="B2768" s="154"/>
    </row>
    <row r="2769" spans="2:2" ht="15.6">
      <c r="B2769" s="154"/>
    </row>
    <row r="2770" spans="2:2" ht="15.6">
      <c r="B2770" s="154"/>
    </row>
    <row r="2771" spans="2:2" ht="15.6">
      <c r="B2771" s="154"/>
    </row>
    <row r="2772" spans="2:2" ht="15.6">
      <c r="B2772" s="154"/>
    </row>
    <row r="2773" spans="2:2" ht="15.6">
      <c r="B2773" s="154"/>
    </row>
    <row r="2774" spans="2:2" ht="15.6">
      <c r="B2774" s="154"/>
    </row>
    <row r="2775" spans="2:2" ht="15.6">
      <c r="B2775" s="154"/>
    </row>
    <row r="2776" spans="2:2" ht="15.6">
      <c r="B2776" s="154"/>
    </row>
    <row r="2777" spans="2:2" ht="15.6">
      <c r="B2777" s="154"/>
    </row>
    <row r="2778" spans="2:2" ht="15.6">
      <c r="B2778" s="154"/>
    </row>
    <row r="2779" spans="2:2" ht="15.6">
      <c r="B2779" s="154"/>
    </row>
    <row r="2780" spans="2:2" ht="15.6">
      <c r="B2780" s="154"/>
    </row>
    <row r="2781" spans="2:2" ht="15.6">
      <c r="B2781" s="154"/>
    </row>
    <row r="2782" spans="2:2" ht="15.6">
      <c r="B2782" s="154"/>
    </row>
    <row r="2783" spans="2:2" ht="15.6">
      <c r="B2783" s="154"/>
    </row>
    <row r="2784" spans="2:2" ht="15.6">
      <c r="B2784" s="154"/>
    </row>
    <row r="2785" spans="2:2" ht="15.6">
      <c r="B2785" s="154"/>
    </row>
    <row r="2786" spans="2:2" ht="15.6">
      <c r="B2786" s="154"/>
    </row>
    <row r="2787" spans="2:2" ht="15.6">
      <c r="B2787" s="154"/>
    </row>
    <row r="2788" spans="2:2" ht="15.6">
      <c r="B2788" s="154"/>
    </row>
    <row r="2789" spans="2:2" ht="15.6">
      <c r="B2789" s="154"/>
    </row>
    <row r="2790" spans="2:2" ht="15.6">
      <c r="B2790" s="154"/>
    </row>
    <row r="2791" spans="2:2" ht="15.6">
      <c r="B2791" s="154"/>
    </row>
    <row r="2792" spans="2:2" ht="15.6">
      <c r="B2792" s="154"/>
    </row>
    <row r="2793" spans="2:2" ht="15.6">
      <c r="B2793" s="154"/>
    </row>
    <row r="2794" spans="2:2" ht="15.6">
      <c r="B2794" s="154"/>
    </row>
    <row r="2795" spans="2:2" ht="15.6">
      <c r="B2795" s="154"/>
    </row>
    <row r="2796" spans="2:2" ht="15.6">
      <c r="B2796" s="154"/>
    </row>
    <row r="2797" spans="2:2" ht="15.6">
      <c r="B2797" s="154"/>
    </row>
    <row r="2798" spans="2:2" ht="15.6">
      <c r="B2798" s="154"/>
    </row>
    <row r="2799" spans="2:2" ht="15.6">
      <c r="B2799" s="154"/>
    </row>
    <row r="2800" spans="2:2" ht="15.6">
      <c r="B2800" s="154"/>
    </row>
    <row r="2801" spans="2:2" ht="15.6">
      <c r="B2801" s="154"/>
    </row>
    <row r="2802" spans="2:2" ht="15.6">
      <c r="B2802" s="154"/>
    </row>
    <row r="2803" spans="2:2" ht="15.6">
      <c r="B2803" s="154"/>
    </row>
    <row r="2804" spans="2:2" ht="15.6">
      <c r="B2804" s="154"/>
    </row>
    <row r="2805" spans="2:2" ht="15.6">
      <c r="B2805" s="154"/>
    </row>
    <row r="2806" spans="2:2" ht="15.6">
      <c r="B2806" s="154"/>
    </row>
    <row r="2807" spans="2:2" ht="15.6">
      <c r="B2807" s="154"/>
    </row>
    <row r="2808" spans="2:2" ht="15.6">
      <c r="B2808" s="154"/>
    </row>
    <row r="2809" spans="2:2" ht="15.6">
      <c r="B2809" s="154"/>
    </row>
    <row r="2810" spans="2:2" ht="15.6">
      <c r="B2810" s="154"/>
    </row>
    <row r="2811" spans="2:2" ht="15.6">
      <c r="B2811" s="154"/>
    </row>
    <row r="2812" spans="2:2" ht="15.6">
      <c r="B2812" s="154"/>
    </row>
    <row r="2813" spans="2:2" ht="15.6">
      <c r="B2813" s="154"/>
    </row>
    <row r="2814" spans="2:2" ht="15.6">
      <c r="B2814" s="154"/>
    </row>
    <row r="2815" spans="2:2" ht="15.6">
      <c r="B2815" s="154"/>
    </row>
    <row r="2816" spans="2:2" ht="15.6">
      <c r="B2816" s="154"/>
    </row>
    <row r="2817" spans="2:2" ht="15.6">
      <c r="B2817" s="154"/>
    </row>
    <row r="2818" spans="2:2" ht="15.6">
      <c r="B2818" s="154"/>
    </row>
    <row r="2819" spans="2:2" ht="15.6">
      <c r="B2819" s="154"/>
    </row>
    <row r="2820" spans="2:2" ht="15.6">
      <c r="B2820" s="154"/>
    </row>
    <row r="2821" spans="2:2" ht="15.6">
      <c r="B2821" s="154"/>
    </row>
    <row r="2822" spans="2:2" ht="15.6">
      <c r="B2822" s="154"/>
    </row>
    <row r="2823" spans="2:2" ht="15.6">
      <c r="B2823" s="154"/>
    </row>
    <row r="2824" spans="2:2" ht="15.6">
      <c r="B2824" s="154"/>
    </row>
    <row r="2825" spans="2:2" ht="15.6">
      <c r="B2825" s="154"/>
    </row>
    <row r="2826" spans="2:2" ht="15.6">
      <c r="B2826" s="154"/>
    </row>
    <row r="2827" spans="2:2" ht="15.6">
      <c r="B2827" s="154"/>
    </row>
    <row r="2828" spans="2:2" ht="15.6">
      <c r="B2828" s="154"/>
    </row>
    <row r="2829" spans="2:2" ht="15.6">
      <c r="B2829" s="154"/>
    </row>
    <row r="2830" spans="2:2" ht="15.6">
      <c r="B2830" s="154"/>
    </row>
    <row r="2831" spans="2:2" ht="15.6">
      <c r="B2831" s="154"/>
    </row>
    <row r="2832" spans="2:2" ht="15.6">
      <c r="B2832" s="154"/>
    </row>
    <row r="2833" spans="2:2" ht="15.6">
      <c r="B2833" s="154"/>
    </row>
    <row r="2834" spans="2:2" ht="15.6">
      <c r="B2834" s="154"/>
    </row>
    <row r="2835" spans="2:2" ht="15.6">
      <c r="B2835" s="154"/>
    </row>
    <row r="2836" spans="2:2" ht="15.6">
      <c r="B2836" s="154"/>
    </row>
    <row r="2837" spans="2:2" ht="15.6">
      <c r="B2837" s="154"/>
    </row>
    <row r="2838" spans="2:2" ht="15.6">
      <c r="B2838" s="154"/>
    </row>
    <row r="2839" spans="2:2" ht="15.6">
      <c r="B2839" s="154"/>
    </row>
    <row r="2840" spans="2:2" ht="15.6">
      <c r="B2840" s="154"/>
    </row>
    <row r="2841" spans="2:2" ht="15.6">
      <c r="B2841" s="154"/>
    </row>
    <row r="2842" spans="2:2" ht="15.6">
      <c r="B2842" s="154"/>
    </row>
    <row r="2843" spans="2:2" ht="15.6">
      <c r="B2843" s="154"/>
    </row>
    <row r="2844" spans="2:2" ht="15.6">
      <c r="B2844" s="154"/>
    </row>
    <row r="2845" spans="2:2" ht="15.6">
      <c r="B2845" s="154"/>
    </row>
    <row r="2846" spans="2:2" ht="15.6">
      <c r="B2846" s="154"/>
    </row>
    <row r="2847" spans="2:2" ht="15.6">
      <c r="B2847" s="154"/>
    </row>
    <row r="2848" spans="2:2" ht="15.6">
      <c r="B2848" s="154"/>
    </row>
    <row r="2849" spans="2:2" ht="15.6">
      <c r="B2849" s="154"/>
    </row>
    <row r="2850" spans="2:2" ht="15.6">
      <c r="B2850" s="154"/>
    </row>
    <row r="2851" spans="2:2" ht="15.6">
      <c r="B2851" s="154"/>
    </row>
    <row r="2852" spans="2:2" ht="15.6">
      <c r="B2852" s="154"/>
    </row>
    <row r="2853" spans="2:2" ht="15.6">
      <c r="B2853" s="154"/>
    </row>
    <row r="2854" spans="2:2" ht="15.6">
      <c r="B2854" s="154"/>
    </row>
    <row r="2855" spans="2:2" ht="15.6">
      <c r="B2855" s="154"/>
    </row>
    <row r="2856" spans="2:2" ht="15.6">
      <c r="B2856" s="154"/>
    </row>
    <row r="2857" spans="2:2" ht="15.6">
      <c r="B2857" s="154"/>
    </row>
    <row r="2858" spans="2:2" ht="15.6">
      <c r="B2858" s="154"/>
    </row>
    <row r="2859" spans="2:2" ht="15.6">
      <c r="B2859" s="154"/>
    </row>
    <row r="2860" spans="2:2" ht="15.6">
      <c r="B2860" s="154"/>
    </row>
    <row r="2861" spans="2:2" ht="15.6">
      <c r="B2861" s="154"/>
    </row>
    <row r="2862" spans="2:2" ht="15.6">
      <c r="B2862" s="154"/>
    </row>
    <row r="2863" spans="2:2" ht="15.6">
      <c r="B2863" s="154"/>
    </row>
    <row r="2864" spans="2:2" ht="15.6">
      <c r="B2864" s="154"/>
    </row>
    <row r="2865" spans="2:2" ht="15.6">
      <c r="B2865" s="154"/>
    </row>
    <row r="2866" spans="2:2" ht="15.6">
      <c r="B2866" s="154"/>
    </row>
    <row r="2867" spans="2:2" ht="15.6">
      <c r="B2867" s="154"/>
    </row>
    <row r="2868" spans="2:2" ht="15.6">
      <c r="B2868" s="154"/>
    </row>
    <row r="2869" spans="2:2" ht="15.6">
      <c r="B2869" s="154"/>
    </row>
    <row r="2870" spans="2:2" ht="15.6">
      <c r="B2870" s="154"/>
    </row>
    <row r="2871" spans="2:2" ht="15.6">
      <c r="B2871" s="154"/>
    </row>
    <row r="2872" spans="2:2" ht="15.6">
      <c r="B2872" s="154"/>
    </row>
    <row r="2873" spans="2:2" ht="15.6">
      <c r="B2873" s="154"/>
    </row>
    <row r="2874" spans="2:2" ht="15.6">
      <c r="B2874" s="154"/>
    </row>
    <row r="2875" spans="2:2" ht="15.6">
      <c r="B2875" s="154"/>
    </row>
    <row r="2876" spans="2:2" ht="15.6">
      <c r="B2876" s="154"/>
    </row>
    <row r="2877" spans="2:2" ht="15.6">
      <c r="B2877" s="154"/>
    </row>
    <row r="2878" spans="2:2" ht="15.6">
      <c r="B2878" s="154"/>
    </row>
    <row r="2879" spans="2:2" ht="15.6">
      <c r="B2879" s="154"/>
    </row>
    <row r="2880" spans="2:2" ht="15.6">
      <c r="B2880" s="154"/>
    </row>
    <row r="2881" spans="2:2" ht="15.6">
      <c r="B2881" s="154"/>
    </row>
    <row r="2882" spans="2:2" ht="15.6">
      <c r="B2882" s="154"/>
    </row>
    <row r="2883" spans="2:2" ht="15.6">
      <c r="B2883" s="154"/>
    </row>
    <row r="2884" spans="2:2" ht="15.6">
      <c r="B2884" s="154"/>
    </row>
    <row r="2885" spans="2:2" ht="15.6">
      <c r="B2885" s="154"/>
    </row>
    <row r="2886" spans="2:2" ht="15.6">
      <c r="B2886" s="154"/>
    </row>
    <row r="2887" spans="2:2" ht="15.6">
      <c r="B2887" s="154"/>
    </row>
    <row r="2888" spans="2:2" ht="15.6">
      <c r="B2888" s="154"/>
    </row>
    <row r="2889" spans="2:2" ht="15.6">
      <c r="B2889" s="154"/>
    </row>
    <row r="2890" spans="2:2" ht="15.6">
      <c r="B2890" s="154"/>
    </row>
    <row r="2891" spans="2:2" ht="15.6">
      <c r="B2891" s="154"/>
    </row>
    <row r="2892" spans="2:2" ht="15.6">
      <c r="B2892" s="154"/>
    </row>
    <row r="2893" spans="2:2" ht="15.6">
      <c r="B2893" s="154"/>
    </row>
    <row r="2894" spans="2:2" ht="15.6">
      <c r="B2894" s="154"/>
    </row>
    <row r="2895" spans="2:2" ht="15.6">
      <c r="B2895" s="154"/>
    </row>
    <row r="2896" spans="2:2" ht="15.6">
      <c r="B2896" s="154"/>
    </row>
    <row r="2897" spans="2:2" ht="15.6">
      <c r="B2897" s="154"/>
    </row>
    <row r="2898" spans="2:2" ht="15.6">
      <c r="B2898" s="154"/>
    </row>
    <row r="2899" spans="2:2" ht="15.6">
      <c r="B2899" s="154"/>
    </row>
    <row r="2900" spans="2:2" ht="15.6">
      <c r="B2900" s="154"/>
    </row>
    <row r="2901" spans="2:2" ht="15.6">
      <c r="B2901" s="154"/>
    </row>
    <row r="2902" spans="2:2" ht="15.6">
      <c r="B2902" s="154"/>
    </row>
    <row r="2903" spans="2:2" ht="15.6">
      <c r="B2903" s="154"/>
    </row>
    <row r="2904" spans="2:2" ht="15.6">
      <c r="B2904" s="154"/>
    </row>
    <row r="2905" spans="2:2" ht="15.6">
      <c r="B2905" s="154"/>
    </row>
    <row r="2906" spans="2:2" ht="15.6">
      <c r="B2906" s="154"/>
    </row>
    <row r="2907" spans="2:2" ht="15.6">
      <c r="B2907" s="154"/>
    </row>
    <row r="2908" spans="2:2" ht="15.6">
      <c r="B2908" s="154"/>
    </row>
    <row r="2909" spans="2:2" ht="15.6">
      <c r="B2909" s="154"/>
    </row>
    <row r="2910" spans="2:2" ht="15.6">
      <c r="B2910" s="154"/>
    </row>
    <row r="2911" spans="2:2" ht="15.6">
      <c r="B2911" s="154"/>
    </row>
    <row r="2912" spans="2:2" ht="15.6">
      <c r="B2912" s="154"/>
    </row>
    <row r="2913" spans="2:2" ht="15.6">
      <c r="B2913" s="154"/>
    </row>
    <row r="2914" spans="2:2" ht="15.6">
      <c r="B2914" s="154"/>
    </row>
    <row r="2915" spans="2:2" ht="15.6">
      <c r="B2915" s="154"/>
    </row>
    <row r="2916" spans="2:2" ht="15.6">
      <c r="B2916" s="154"/>
    </row>
    <row r="2917" spans="2:2" ht="15.6">
      <c r="B2917" s="154"/>
    </row>
    <row r="2918" spans="2:2" ht="15.6">
      <c r="B2918" s="154"/>
    </row>
    <row r="2919" spans="2:2" ht="15.6">
      <c r="B2919" s="154"/>
    </row>
    <row r="2920" spans="2:2" ht="15.6">
      <c r="B2920" s="154"/>
    </row>
    <row r="2921" spans="2:2" ht="15.6">
      <c r="B2921" s="154"/>
    </row>
    <row r="2922" spans="2:2" ht="15.6">
      <c r="B2922" s="154"/>
    </row>
    <row r="2923" spans="2:2" ht="15.6">
      <c r="B2923" s="154"/>
    </row>
    <row r="2924" spans="2:2" ht="15.6">
      <c r="B2924" s="154"/>
    </row>
    <row r="2925" spans="2:2" ht="15.6">
      <c r="B2925" s="154"/>
    </row>
    <row r="2926" spans="2:2" ht="15.6">
      <c r="B2926" s="154"/>
    </row>
    <row r="2927" spans="2:2" ht="15.6">
      <c r="B2927" s="154"/>
    </row>
    <row r="2928" spans="2:2" ht="15.6">
      <c r="B2928" s="154"/>
    </row>
    <row r="2929" spans="2:2" ht="15.6">
      <c r="B2929" s="154"/>
    </row>
    <row r="2930" spans="2:2" ht="15.6">
      <c r="B2930" s="154"/>
    </row>
    <row r="2931" spans="2:2" ht="15.6">
      <c r="B2931" s="154"/>
    </row>
    <row r="2932" spans="2:2" ht="15.6">
      <c r="B2932" s="154"/>
    </row>
    <row r="2933" spans="2:2" ht="15.6">
      <c r="B2933" s="154"/>
    </row>
    <row r="2934" spans="2:2" ht="15.6">
      <c r="B2934" s="154"/>
    </row>
    <row r="2935" spans="2:2" ht="15.6">
      <c r="B2935" s="154"/>
    </row>
    <row r="2936" spans="2:2" ht="15.6">
      <c r="B2936" s="154"/>
    </row>
    <row r="2937" spans="2:2" ht="15.6">
      <c r="B2937" s="154"/>
    </row>
    <row r="2938" spans="2:2" ht="15.6">
      <c r="B2938" s="154"/>
    </row>
    <row r="2939" spans="2:2" ht="15.6">
      <c r="B2939" s="154"/>
    </row>
    <row r="2940" spans="2:2" ht="15.6">
      <c r="B2940" s="154"/>
    </row>
    <row r="2941" spans="2:2" ht="15.6">
      <c r="B2941" s="154"/>
    </row>
    <row r="2942" spans="2:2" ht="15.6">
      <c r="B2942" s="154"/>
    </row>
    <row r="2943" spans="2:2" ht="15.6">
      <c r="B2943" s="154"/>
    </row>
    <row r="2944" spans="2:2" ht="15.6">
      <c r="B2944" s="154"/>
    </row>
    <row r="2945" spans="2:2" ht="15.6">
      <c r="B2945" s="154"/>
    </row>
    <row r="2946" spans="2:2" ht="15.6">
      <c r="B2946" s="154"/>
    </row>
    <row r="2947" spans="2:2" ht="15.6">
      <c r="B2947" s="154"/>
    </row>
    <row r="2948" spans="2:2" ht="15.6">
      <c r="B2948" s="154"/>
    </row>
    <row r="2949" spans="2:2" ht="15.6">
      <c r="B2949" s="154"/>
    </row>
    <row r="2950" spans="2:2" ht="15.6">
      <c r="B2950" s="154"/>
    </row>
    <row r="2951" spans="2:2" ht="15.6">
      <c r="B2951" s="154"/>
    </row>
    <row r="2952" spans="2:2" ht="15.6">
      <c r="B2952" s="154"/>
    </row>
    <row r="2953" spans="2:2" ht="15.6">
      <c r="B2953" s="154"/>
    </row>
    <row r="2954" spans="2:2" ht="15.6">
      <c r="B2954" s="154"/>
    </row>
    <row r="2955" spans="2:2" ht="15.6">
      <c r="B2955" s="154"/>
    </row>
    <row r="2956" spans="2:2" ht="15.6">
      <c r="B2956" s="154"/>
    </row>
    <row r="2957" spans="2:2" ht="15.6">
      <c r="B2957" s="154"/>
    </row>
    <row r="2958" spans="2:2" ht="15.6">
      <c r="B2958" s="154"/>
    </row>
    <row r="2959" spans="2:2" ht="15.6">
      <c r="B2959" s="154"/>
    </row>
    <row r="2960" spans="2:2" ht="15.6">
      <c r="B2960" s="154"/>
    </row>
    <row r="2961" spans="2:2" ht="15.6">
      <c r="B2961" s="154"/>
    </row>
    <row r="2962" spans="2:2" ht="15.6">
      <c r="B2962" s="154"/>
    </row>
    <row r="2963" spans="2:2" ht="15.6">
      <c r="B2963" s="154"/>
    </row>
    <row r="2964" spans="2:2" ht="15.6">
      <c r="B2964" s="154"/>
    </row>
    <row r="2965" spans="2:2" ht="15.6">
      <c r="B2965" s="154"/>
    </row>
    <row r="2966" spans="2:2" ht="15.6">
      <c r="B2966" s="154"/>
    </row>
    <row r="2967" spans="2:2" ht="15.6">
      <c r="B2967" s="154"/>
    </row>
    <row r="2968" spans="2:2" ht="15.6">
      <c r="B2968" s="154"/>
    </row>
    <row r="2969" spans="2:2" ht="15.6">
      <c r="B2969" s="154"/>
    </row>
    <row r="2970" spans="2:2" ht="15.6">
      <c r="B2970" s="154"/>
    </row>
    <row r="2971" spans="2:2" ht="15.6">
      <c r="B2971" s="154"/>
    </row>
    <row r="2972" spans="2:2" ht="15.6">
      <c r="B2972" s="154"/>
    </row>
    <row r="2973" spans="2:2" ht="15.6">
      <c r="B2973" s="154"/>
    </row>
    <row r="2974" spans="2:2" ht="15.6">
      <c r="B2974" s="154"/>
    </row>
    <row r="2975" spans="2:2" ht="15.6">
      <c r="B2975" s="154"/>
    </row>
    <row r="2976" spans="2:2" ht="15.6">
      <c r="B2976" s="154"/>
    </row>
    <row r="2977" spans="2:2" ht="15.6">
      <c r="B2977" s="154"/>
    </row>
    <row r="2978" spans="2:2" ht="15.6">
      <c r="B2978" s="154"/>
    </row>
    <row r="2979" spans="2:2" ht="15.6">
      <c r="B2979" s="154"/>
    </row>
    <row r="2980" spans="2:2" ht="15.6">
      <c r="B2980" s="154"/>
    </row>
    <row r="2981" spans="2:2" ht="15.6">
      <c r="B2981" s="154"/>
    </row>
    <row r="2982" spans="2:2" ht="15.6">
      <c r="B2982" s="154"/>
    </row>
    <row r="2983" spans="2:2" ht="15.6">
      <c r="B2983" s="154"/>
    </row>
    <row r="2984" spans="2:2" ht="15.6">
      <c r="B2984" s="154"/>
    </row>
    <row r="2985" spans="2:2" ht="15.6">
      <c r="B2985" s="154"/>
    </row>
    <row r="2986" spans="2:2" ht="15.6">
      <c r="B2986" s="154"/>
    </row>
    <row r="2987" spans="2:2" ht="15.6">
      <c r="B2987" s="154"/>
    </row>
    <row r="2988" spans="2:2" ht="15.6">
      <c r="B2988" s="154"/>
    </row>
    <row r="2989" spans="2:2" ht="15.6">
      <c r="B2989" s="154"/>
    </row>
    <row r="2990" spans="2:2" ht="15.6">
      <c r="B2990" s="154"/>
    </row>
    <row r="2991" spans="2:2" ht="15.6">
      <c r="B2991" s="154"/>
    </row>
    <row r="2992" spans="2:2" ht="15.6">
      <c r="B2992" s="154"/>
    </row>
    <row r="2993" spans="2:2" ht="15.6">
      <c r="B2993" s="154"/>
    </row>
    <row r="2994" spans="2:2" ht="15.6">
      <c r="B2994" s="154"/>
    </row>
    <row r="2995" spans="2:2" ht="15.6">
      <c r="B2995" s="154"/>
    </row>
    <row r="2996" spans="2:2" ht="15.6">
      <c r="B2996" s="154"/>
    </row>
    <row r="2997" spans="2:2" ht="15.6">
      <c r="B2997" s="154"/>
    </row>
    <row r="2998" spans="2:2" ht="15.6">
      <c r="B2998" s="154"/>
    </row>
    <row r="2999" spans="2:2" ht="15.6">
      <c r="B2999" s="154"/>
    </row>
    <row r="3000" spans="2:2" ht="15.6">
      <c r="B3000" s="154"/>
    </row>
    <row r="3001" spans="2:2" ht="15.6">
      <c r="B3001" s="154"/>
    </row>
    <row r="3002" spans="2:2" ht="15.6">
      <c r="B3002" s="154"/>
    </row>
    <row r="3003" spans="2:2" ht="15.6">
      <c r="B3003" s="154"/>
    </row>
    <row r="3004" spans="2:2" ht="15.6">
      <c r="B3004" s="154"/>
    </row>
    <row r="3005" spans="2:2" ht="15.6">
      <c r="B3005" s="154"/>
    </row>
    <row r="3006" spans="2:2" ht="15.6">
      <c r="B3006" s="154"/>
    </row>
    <row r="3007" spans="2:2" ht="15.6">
      <c r="B3007" s="154"/>
    </row>
    <row r="3008" spans="2:2" ht="15.6">
      <c r="B3008" s="154"/>
    </row>
    <row r="3009" spans="2:2" ht="15.6">
      <c r="B3009" s="154"/>
    </row>
    <row r="3010" spans="2:2" ht="15.6">
      <c r="B3010" s="154"/>
    </row>
    <row r="3011" spans="2:2" ht="15.6">
      <c r="B3011" s="154"/>
    </row>
    <row r="3012" spans="2:2" ht="15.6">
      <c r="B3012" s="154"/>
    </row>
    <row r="3013" spans="2:2" ht="15.6">
      <c r="B3013" s="154"/>
    </row>
    <row r="3014" spans="2:2" ht="15.6">
      <c r="B3014" s="154"/>
    </row>
    <row r="3015" spans="2:2" ht="15.6">
      <c r="B3015" s="154"/>
    </row>
    <row r="3016" spans="2:2" ht="15.6">
      <c r="B3016" s="154"/>
    </row>
    <row r="3017" spans="2:2" ht="15.6">
      <c r="B3017" s="154"/>
    </row>
    <row r="3018" spans="2:2" ht="15.6">
      <c r="B3018" s="154"/>
    </row>
    <row r="3019" spans="2:2" ht="15.6">
      <c r="B3019" s="154"/>
    </row>
    <row r="3020" spans="2:2" ht="15.6">
      <c r="B3020" s="154"/>
    </row>
    <row r="3021" spans="2:2" ht="15.6">
      <c r="B3021" s="154"/>
    </row>
    <row r="3022" spans="2:2" ht="15.6">
      <c r="B3022" s="154"/>
    </row>
    <row r="3023" spans="2:2" ht="15.6">
      <c r="B3023" s="154"/>
    </row>
    <row r="3024" spans="2:2" ht="15.6">
      <c r="B3024" s="154"/>
    </row>
    <row r="3025" spans="2:2" ht="15.6">
      <c r="B3025" s="154"/>
    </row>
    <row r="3026" spans="2:2" ht="15.6">
      <c r="B3026" s="154"/>
    </row>
    <row r="3027" spans="2:2" ht="15.6">
      <c r="B3027" s="154"/>
    </row>
    <row r="3028" spans="2:2" ht="15.6">
      <c r="B3028" s="154"/>
    </row>
    <row r="3029" spans="2:2" ht="15.6">
      <c r="B3029" s="154"/>
    </row>
    <row r="3030" spans="2:2" ht="15.6">
      <c r="B3030" s="154"/>
    </row>
    <row r="3031" spans="2:2" ht="15.6">
      <c r="B3031" s="154"/>
    </row>
    <row r="3032" spans="2:2" ht="15.6">
      <c r="B3032" s="154"/>
    </row>
    <row r="3033" spans="2:2" ht="15.6">
      <c r="B3033" s="154"/>
    </row>
    <row r="3034" spans="2:2" ht="15.6">
      <c r="B3034" s="154"/>
    </row>
    <row r="3035" spans="2:2" ht="15.6">
      <c r="B3035" s="154"/>
    </row>
    <row r="3036" spans="2:2" ht="15.6">
      <c r="B3036" s="154"/>
    </row>
    <row r="3037" spans="2:2" ht="15.6">
      <c r="B3037" s="154"/>
    </row>
    <row r="3038" spans="2:2" ht="15.6">
      <c r="B3038" s="154"/>
    </row>
    <row r="3039" spans="2:2" ht="15.6">
      <c r="B3039" s="154"/>
    </row>
    <row r="3040" spans="2:2" ht="15.6">
      <c r="B3040" s="154"/>
    </row>
    <row r="3041" spans="2:2" ht="15.6">
      <c r="B3041" s="154"/>
    </row>
    <row r="3042" spans="2:2" ht="15.6">
      <c r="B3042" s="154"/>
    </row>
    <row r="3043" spans="2:2" ht="15.6">
      <c r="B3043" s="154"/>
    </row>
    <row r="3044" spans="2:2" ht="15.6">
      <c r="B3044" s="154"/>
    </row>
    <row r="3045" spans="2:2" ht="15.6">
      <c r="B3045" s="154"/>
    </row>
    <row r="3046" spans="2:2" ht="15.6">
      <c r="B3046" s="154"/>
    </row>
    <row r="3047" spans="2:2" ht="15.6">
      <c r="B3047" s="154"/>
    </row>
    <row r="3048" spans="2:2" ht="15.6">
      <c r="B3048" s="154"/>
    </row>
    <row r="3049" spans="2:2" ht="15.6">
      <c r="B3049" s="154"/>
    </row>
    <row r="3050" spans="2:2" ht="15.6">
      <c r="B3050" s="154"/>
    </row>
    <row r="3051" spans="2:2" ht="15.6">
      <c r="B3051" s="154"/>
    </row>
    <row r="3052" spans="2:2" ht="15.6">
      <c r="B3052" s="154"/>
    </row>
    <row r="3053" spans="2:2" ht="15.6">
      <c r="B3053" s="154"/>
    </row>
    <row r="3054" spans="2:2" ht="15.6">
      <c r="B3054" s="154"/>
    </row>
    <row r="3055" spans="2:2" ht="15.6">
      <c r="B3055" s="154"/>
    </row>
    <row r="3056" spans="2:2" ht="15.6">
      <c r="B3056" s="154"/>
    </row>
    <row r="3057" spans="2:2" ht="15.6">
      <c r="B3057" s="154"/>
    </row>
    <row r="3058" spans="2:2" ht="15.6">
      <c r="B3058" s="154"/>
    </row>
    <row r="3059" spans="2:2" ht="15.6">
      <c r="B3059" s="154"/>
    </row>
    <row r="3060" spans="2:2" ht="15.6">
      <c r="B3060" s="154"/>
    </row>
    <row r="3061" spans="2:2" ht="15.6">
      <c r="B3061" s="154"/>
    </row>
    <row r="3062" spans="2:2" ht="15.6">
      <c r="B3062" s="154"/>
    </row>
    <row r="3063" spans="2:2" ht="15.6">
      <c r="B3063" s="154"/>
    </row>
    <row r="3064" spans="2:2" ht="15.6">
      <c r="B3064" s="154"/>
    </row>
    <row r="3065" spans="2:2" ht="15.6">
      <c r="B3065" s="154"/>
    </row>
    <row r="3066" spans="2:2" ht="15.6">
      <c r="B3066" s="154"/>
    </row>
    <row r="3067" spans="2:2" ht="15.6">
      <c r="B3067" s="154"/>
    </row>
    <row r="3068" spans="2:2" ht="15.6">
      <c r="B3068" s="154"/>
    </row>
    <row r="3069" spans="2:2" ht="15.6">
      <c r="B3069" s="154"/>
    </row>
    <row r="3070" spans="2:2" ht="15.6">
      <c r="B3070" s="154"/>
    </row>
    <row r="3071" spans="2:2" ht="15.6">
      <c r="B3071" s="154"/>
    </row>
    <row r="3072" spans="2:2" ht="15.6">
      <c r="B3072" s="154"/>
    </row>
    <row r="3073" spans="2:2" ht="15.6">
      <c r="B3073" s="154"/>
    </row>
    <row r="3074" spans="2:2" ht="15.6">
      <c r="B3074" s="154"/>
    </row>
    <row r="3075" spans="2:2" ht="15.6">
      <c r="B3075" s="154"/>
    </row>
    <row r="3076" spans="2:2" ht="15.6">
      <c r="B3076" s="154"/>
    </row>
    <row r="3077" spans="2:2" ht="15.6">
      <c r="B3077" s="154"/>
    </row>
    <row r="3078" spans="2:2" ht="15.6">
      <c r="B3078" s="154"/>
    </row>
    <row r="3079" spans="2:2" ht="15.6">
      <c r="B3079" s="154"/>
    </row>
    <row r="3080" spans="2:2" ht="15.6">
      <c r="B3080" s="154"/>
    </row>
    <row r="3081" spans="2:2" ht="15.6">
      <c r="B3081" s="154"/>
    </row>
    <row r="3082" spans="2:2" ht="15.6">
      <c r="B3082" s="154"/>
    </row>
    <row r="3083" spans="2:2" ht="15.6">
      <c r="B3083" s="154"/>
    </row>
    <row r="3084" spans="2:2" ht="15.6">
      <c r="B3084" s="154"/>
    </row>
    <row r="3085" spans="2:2" ht="15.6">
      <c r="B3085" s="154"/>
    </row>
    <row r="3086" spans="2:2" ht="15.6">
      <c r="B3086" s="154"/>
    </row>
    <row r="3087" spans="2:2" ht="15.6">
      <c r="B3087" s="154"/>
    </row>
    <row r="3088" spans="2:2" ht="15.6">
      <c r="B3088" s="154"/>
    </row>
    <row r="3089" spans="2:2" ht="15.6">
      <c r="B3089" s="154"/>
    </row>
    <row r="3090" spans="2:2" ht="15.6">
      <c r="B3090" s="154"/>
    </row>
    <row r="3091" spans="2:2" ht="15.6">
      <c r="B3091" s="154"/>
    </row>
    <row r="3092" spans="2:2" ht="15.6">
      <c r="B3092" s="154"/>
    </row>
    <row r="3093" spans="2:2" ht="15.6">
      <c r="B3093" s="154"/>
    </row>
    <row r="3094" spans="2:2" ht="15.6">
      <c r="B3094" s="154"/>
    </row>
    <row r="3095" spans="2:2" ht="15.6">
      <c r="B3095" s="154"/>
    </row>
    <row r="3096" spans="2:2" ht="15.6">
      <c r="B3096" s="154"/>
    </row>
    <row r="3097" spans="2:2" ht="15.6">
      <c r="B3097" s="154"/>
    </row>
    <row r="3098" spans="2:2" ht="15.6">
      <c r="B3098" s="154"/>
    </row>
    <row r="3099" spans="2:2" ht="15.6">
      <c r="B3099" s="154"/>
    </row>
    <row r="3100" spans="2:2" ht="15.6">
      <c r="B3100" s="154"/>
    </row>
    <row r="3101" spans="2:2" ht="15.6">
      <c r="B3101" s="154"/>
    </row>
    <row r="3102" spans="2:2" ht="15.6">
      <c r="B3102" s="154"/>
    </row>
    <row r="3103" spans="2:2" ht="15.6">
      <c r="B3103" s="154"/>
    </row>
    <row r="3104" spans="2:2" ht="15.6">
      <c r="B3104" s="154"/>
    </row>
    <row r="3105" spans="2:2" ht="15.6">
      <c r="B3105" s="154"/>
    </row>
    <row r="3106" spans="2:2" ht="15.6">
      <c r="B3106" s="154"/>
    </row>
    <row r="3107" spans="2:2" ht="15.6">
      <c r="B3107" s="154"/>
    </row>
    <row r="3108" spans="2:2" ht="15.6">
      <c r="B3108" s="154"/>
    </row>
    <row r="3109" spans="2:2" ht="15.6">
      <c r="B3109" s="154"/>
    </row>
    <row r="3110" spans="2:2" ht="15.6">
      <c r="B3110" s="154"/>
    </row>
    <row r="3111" spans="2:2" ht="15.6">
      <c r="B3111" s="154"/>
    </row>
    <row r="3112" spans="2:2" ht="15.6">
      <c r="B3112" s="154"/>
    </row>
    <row r="3113" spans="2:2" ht="15.6">
      <c r="B3113" s="154"/>
    </row>
    <row r="3114" spans="2:2" ht="15.6">
      <c r="B3114" s="154"/>
    </row>
    <row r="3115" spans="2:2" ht="15.6">
      <c r="B3115" s="154"/>
    </row>
    <row r="3116" spans="2:2" ht="15.6">
      <c r="B3116" s="154"/>
    </row>
    <row r="3117" spans="2:2" ht="15.6">
      <c r="B3117" s="154"/>
    </row>
    <row r="3118" spans="2:2" ht="15.6">
      <c r="B3118" s="154"/>
    </row>
    <row r="3119" spans="2:2" ht="15.6">
      <c r="B3119" s="154"/>
    </row>
    <row r="3120" spans="2:2" ht="15.6">
      <c r="B3120" s="154"/>
    </row>
    <row r="3121" spans="2:2" ht="15.6">
      <c r="B3121" s="154"/>
    </row>
    <row r="3122" spans="2:2" ht="15.6">
      <c r="B3122" s="154"/>
    </row>
    <row r="3123" spans="2:2" ht="15.6">
      <c r="B3123" s="154"/>
    </row>
    <row r="3124" spans="2:2" ht="15.6">
      <c r="B3124" s="154"/>
    </row>
    <row r="3125" spans="2:2" ht="15.6">
      <c r="B3125" s="154"/>
    </row>
    <row r="3126" spans="2:2" ht="15.6">
      <c r="B3126" s="154"/>
    </row>
    <row r="3127" spans="2:2" ht="15.6">
      <c r="B3127" s="154"/>
    </row>
    <row r="3128" spans="2:2" ht="15.6">
      <c r="B3128" s="154"/>
    </row>
    <row r="3129" spans="2:2" ht="15.6">
      <c r="B3129" s="154"/>
    </row>
    <row r="3130" spans="2:2" ht="15.6">
      <c r="B3130" s="154"/>
    </row>
    <row r="3131" spans="2:2" ht="15.6">
      <c r="B3131" s="154"/>
    </row>
    <row r="3132" spans="2:2" ht="15.6">
      <c r="B3132" s="154"/>
    </row>
    <row r="3133" spans="2:2" ht="15.6">
      <c r="B3133" s="154"/>
    </row>
    <row r="3134" spans="2:2" ht="15.6">
      <c r="B3134" s="154"/>
    </row>
    <row r="3135" spans="2:2" ht="15.6">
      <c r="B3135" s="154"/>
    </row>
    <row r="3136" spans="2:2" ht="15.6">
      <c r="B3136" s="154"/>
    </row>
    <row r="3137" spans="2:2" ht="15.6">
      <c r="B3137" s="154"/>
    </row>
    <row r="3138" spans="2:2" ht="15.6">
      <c r="B3138" s="154"/>
    </row>
    <row r="3139" spans="2:2" ht="15.6">
      <c r="B3139" s="154"/>
    </row>
    <row r="3140" spans="2:2" ht="15.6">
      <c r="B3140" s="154"/>
    </row>
    <row r="3141" spans="2:2" ht="15.6">
      <c r="B3141" s="154"/>
    </row>
    <row r="3142" spans="2:2" ht="15.6">
      <c r="B3142" s="154"/>
    </row>
    <row r="3143" spans="2:2" ht="15.6">
      <c r="B3143" s="154"/>
    </row>
    <row r="3144" spans="2:2" ht="15.6">
      <c r="B3144" s="154"/>
    </row>
    <row r="3145" spans="2:2" ht="15.6">
      <c r="B3145" s="154"/>
    </row>
    <row r="3146" spans="2:2" ht="15.6">
      <c r="B3146" s="154"/>
    </row>
    <row r="3147" spans="2:2" ht="15.6">
      <c r="B3147" s="154"/>
    </row>
    <row r="3148" spans="2:2" ht="15.6">
      <c r="B3148" s="154"/>
    </row>
    <row r="3149" spans="2:2" ht="15.6">
      <c r="B3149" s="154"/>
    </row>
    <row r="3150" spans="2:2" ht="15.6">
      <c r="B3150" s="154"/>
    </row>
    <row r="3151" spans="2:2" ht="15.6">
      <c r="B3151" s="154"/>
    </row>
    <row r="3152" spans="2:2" ht="15.6">
      <c r="B3152" s="154"/>
    </row>
    <row r="3153" spans="2:2" ht="15.6">
      <c r="B3153" s="154"/>
    </row>
    <row r="3154" spans="2:2" ht="15.6">
      <c r="B3154" s="154"/>
    </row>
    <row r="3155" spans="2:2" ht="15.6">
      <c r="B3155" s="154"/>
    </row>
    <row r="3156" spans="2:2" ht="15.6">
      <c r="B3156" s="154"/>
    </row>
    <row r="3157" spans="2:2" ht="15.6">
      <c r="B3157" s="154"/>
    </row>
    <row r="3158" spans="2:2" ht="15.6">
      <c r="B3158" s="154"/>
    </row>
    <row r="3159" spans="2:2" ht="15.6">
      <c r="B3159" s="154"/>
    </row>
    <row r="3160" spans="2:2" ht="15.6">
      <c r="B3160" s="154"/>
    </row>
    <row r="3161" spans="2:2" ht="15.6">
      <c r="B3161" s="154"/>
    </row>
    <row r="3162" spans="2:2" ht="15.6">
      <c r="B3162" s="154"/>
    </row>
    <row r="3163" spans="2:2" ht="15.6">
      <c r="B3163" s="154"/>
    </row>
    <row r="3164" spans="2:2" ht="15.6">
      <c r="B3164" s="154"/>
    </row>
    <row r="3165" spans="2:2" ht="15.6">
      <c r="B3165" s="154"/>
    </row>
    <row r="3166" spans="2:2" ht="15.6">
      <c r="B3166" s="154"/>
    </row>
    <row r="3167" spans="2:2" ht="15.6">
      <c r="B3167" s="154"/>
    </row>
    <row r="3168" spans="2:2" ht="15.6">
      <c r="B3168" s="154"/>
    </row>
    <row r="3169" spans="2:2" ht="15.6">
      <c r="B3169" s="154"/>
    </row>
    <row r="3170" spans="2:2" ht="15.6">
      <c r="B3170" s="154"/>
    </row>
    <row r="3171" spans="2:2" ht="15.6">
      <c r="B3171" s="154"/>
    </row>
    <row r="3172" spans="2:2" ht="15.6">
      <c r="B3172" s="154"/>
    </row>
    <row r="3173" spans="2:2" ht="15.6">
      <c r="B3173" s="154"/>
    </row>
    <row r="3174" spans="2:2" ht="15.6">
      <c r="B3174" s="154"/>
    </row>
    <row r="3175" spans="2:2" ht="15.6">
      <c r="B3175" s="154"/>
    </row>
    <row r="3176" spans="2:2" ht="15.6">
      <c r="B3176" s="154"/>
    </row>
    <row r="3177" spans="2:2" ht="15.6">
      <c r="B3177" s="154"/>
    </row>
    <row r="3178" spans="2:2" ht="15.6">
      <c r="B3178" s="154"/>
    </row>
    <row r="3179" spans="2:2" ht="15.6">
      <c r="B3179" s="154"/>
    </row>
    <row r="3180" spans="2:2" ht="15.6">
      <c r="B3180" s="154"/>
    </row>
    <row r="3181" spans="2:2" ht="15.6">
      <c r="B3181" s="154"/>
    </row>
    <row r="3182" spans="2:2" ht="15.6">
      <c r="B3182" s="154"/>
    </row>
    <row r="3183" spans="2:2" ht="15.6">
      <c r="B3183" s="154"/>
    </row>
    <row r="3184" spans="2:2" ht="15.6">
      <c r="B3184" s="154"/>
    </row>
    <row r="3185" spans="2:2" ht="15.6">
      <c r="B3185" s="154"/>
    </row>
    <row r="3186" spans="2:2" ht="15.6">
      <c r="B3186" s="154"/>
    </row>
    <row r="3187" spans="2:2" ht="15.6">
      <c r="B3187" s="154"/>
    </row>
    <row r="3188" spans="2:2" ht="15.6">
      <c r="B3188" s="154"/>
    </row>
    <row r="3189" spans="2:2" ht="15.6">
      <c r="B3189" s="154"/>
    </row>
    <row r="3190" spans="2:2" ht="15.6">
      <c r="B3190" s="154"/>
    </row>
    <row r="3191" spans="2:2" ht="15.6">
      <c r="B3191" s="154"/>
    </row>
    <row r="3192" spans="2:2" ht="15.6">
      <c r="B3192" s="154"/>
    </row>
    <row r="3193" spans="2:2" ht="15.6">
      <c r="B3193" s="154"/>
    </row>
    <row r="3194" spans="2:2" ht="15.6">
      <c r="B3194" s="154"/>
    </row>
    <row r="3195" spans="2:2" ht="15.6">
      <c r="B3195" s="154"/>
    </row>
    <row r="3196" spans="2:2" ht="15.6">
      <c r="B3196" s="154"/>
    </row>
    <row r="3197" spans="2:2" ht="15.6">
      <c r="B3197" s="154"/>
    </row>
    <row r="3198" spans="2:2" ht="15.6">
      <c r="B3198" s="154"/>
    </row>
    <row r="3199" spans="2:2" ht="15.6">
      <c r="B3199" s="154"/>
    </row>
    <row r="3200" spans="2:2" ht="15.6">
      <c r="B3200" s="154"/>
    </row>
    <row r="3201" spans="2:2" ht="15.6">
      <c r="B3201" s="154"/>
    </row>
    <row r="3202" spans="2:2" ht="15.6">
      <c r="B3202" s="154"/>
    </row>
    <row r="3203" spans="2:2" ht="15.6">
      <c r="B3203" s="154"/>
    </row>
    <row r="3204" spans="2:2" ht="15.6">
      <c r="B3204" s="154"/>
    </row>
    <row r="3205" spans="2:2" ht="15.6">
      <c r="B3205" s="154"/>
    </row>
    <row r="3206" spans="2:2" ht="15.6">
      <c r="B3206" s="154"/>
    </row>
    <row r="3207" spans="2:2" ht="15.6">
      <c r="B3207" s="154"/>
    </row>
    <row r="3208" spans="2:2" ht="15.6">
      <c r="B3208" s="154"/>
    </row>
    <row r="3209" spans="2:2" ht="15.6">
      <c r="B3209" s="154"/>
    </row>
    <row r="3210" spans="2:2" ht="15.6">
      <c r="B3210" s="154"/>
    </row>
    <row r="3211" spans="2:2" ht="15.6">
      <c r="B3211" s="154"/>
    </row>
    <row r="3212" spans="2:2" ht="15.6">
      <c r="B3212" s="154"/>
    </row>
    <row r="3213" spans="2:2" ht="15.6">
      <c r="B3213" s="154"/>
    </row>
    <row r="3214" spans="2:2" ht="15.6">
      <c r="B3214" s="154"/>
    </row>
    <row r="3215" spans="2:2" ht="15.6">
      <c r="B3215" s="154"/>
    </row>
    <row r="3216" spans="2:2" ht="15.6">
      <c r="B3216" s="154"/>
    </row>
    <row r="3217" spans="2:2" ht="15.6">
      <c r="B3217" s="154"/>
    </row>
    <row r="3218" spans="2:2" ht="15.6">
      <c r="B3218" s="154"/>
    </row>
    <row r="3219" spans="2:2" ht="15.6">
      <c r="B3219" s="154"/>
    </row>
    <row r="3220" spans="2:2" ht="15.6">
      <c r="B3220" s="154"/>
    </row>
    <row r="3221" spans="2:2" ht="15.6">
      <c r="B3221" s="154"/>
    </row>
    <row r="3222" spans="2:2" ht="15.6">
      <c r="B3222" s="154"/>
    </row>
    <row r="3223" spans="2:2" ht="15.6">
      <c r="B3223" s="154"/>
    </row>
    <row r="3224" spans="2:2" ht="15.6">
      <c r="B3224" s="154"/>
    </row>
    <row r="3225" spans="2:2" ht="15.6">
      <c r="B3225" s="154"/>
    </row>
    <row r="3226" spans="2:2" ht="15.6">
      <c r="B3226" s="154"/>
    </row>
    <row r="3227" spans="2:2" ht="15.6">
      <c r="B3227" s="154"/>
    </row>
    <row r="3228" spans="2:2" ht="15.6">
      <c r="B3228" s="154"/>
    </row>
    <row r="3229" spans="2:2" ht="15.6">
      <c r="B3229" s="154"/>
    </row>
    <row r="3230" spans="2:2" ht="15.6">
      <c r="B3230" s="154"/>
    </row>
    <row r="3231" spans="2:2" ht="15.6">
      <c r="B3231" s="154"/>
    </row>
    <row r="3232" spans="2:2" ht="15.6">
      <c r="B3232" s="154"/>
    </row>
    <row r="3233" spans="2:2" ht="15.6">
      <c r="B3233" s="154"/>
    </row>
    <row r="3234" spans="2:2" ht="15.6">
      <c r="B3234" s="154"/>
    </row>
    <row r="3235" spans="2:2" ht="15.6">
      <c r="B3235" s="154"/>
    </row>
    <row r="3236" spans="2:2" ht="15.6">
      <c r="B3236" s="154"/>
    </row>
    <row r="3237" spans="2:2" ht="15.6">
      <c r="B3237" s="154"/>
    </row>
    <row r="3238" spans="2:2" ht="15.6">
      <c r="B3238" s="154"/>
    </row>
    <row r="3239" spans="2:2" ht="15.6">
      <c r="B3239" s="154"/>
    </row>
    <row r="3240" spans="2:2" ht="15.6">
      <c r="B3240" s="154"/>
    </row>
    <row r="3241" spans="2:2" ht="15.6">
      <c r="B3241" s="154"/>
    </row>
    <row r="3242" spans="2:2" ht="15.6">
      <c r="B3242" s="154"/>
    </row>
    <row r="3243" spans="2:2" ht="15.6">
      <c r="B3243" s="154"/>
    </row>
    <row r="3244" spans="2:2" ht="15.6">
      <c r="B3244" s="154"/>
    </row>
    <row r="3245" spans="2:2" ht="15.6">
      <c r="B3245" s="154"/>
    </row>
    <row r="3246" spans="2:2" ht="15.6">
      <c r="B3246" s="154"/>
    </row>
    <row r="3247" spans="2:2" ht="15.6">
      <c r="B3247" s="154"/>
    </row>
    <row r="3248" spans="2:2" ht="15.6">
      <c r="B3248" s="154"/>
    </row>
    <row r="3249" spans="2:2" ht="15.6">
      <c r="B3249" s="154"/>
    </row>
    <row r="3250" spans="2:2" ht="15.6">
      <c r="B3250" s="154"/>
    </row>
    <row r="3251" spans="2:2" ht="15.6">
      <c r="B3251" s="154"/>
    </row>
    <row r="3252" spans="2:2" ht="15.6">
      <c r="B3252" s="154"/>
    </row>
    <row r="3253" spans="2:2" ht="15.6">
      <c r="B3253" s="154"/>
    </row>
    <row r="3254" spans="2:2" ht="15.6">
      <c r="B3254" s="154"/>
    </row>
    <row r="3255" spans="2:2" ht="15.6">
      <c r="B3255" s="154"/>
    </row>
    <row r="3256" spans="2:2" ht="15.6">
      <c r="B3256" s="154"/>
    </row>
    <row r="3257" spans="2:2" ht="15.6">
      <c r="B3257" s="154"/>
    </row>
    <row r="3258" spans="2:2" ht="15.6">
      <c r="B3258" s="154"/>
    </row>
    <row r="3259" spans="2:2" ht="15.6">
      <c r="B3259" s="154"/>
    </row>
    <row r="3260" spans="2:2" ht="15.6">
      <c r="B3260" s="154"/>
    </row>
    <row r="3261" spans="2:2" ht="15.6">
      <c r="B3261" s="154"/>
    </row>
    <row r="3262" spans="2:2" ht="15.6">
      <c r="B3262" s="154"/>
    </row>
    <row r="3263" spans="2:2" ht="15.6">
      <c r="B3263" s="154"/>
    </row>
    <row r="3264" spans="2:2" ht="15.6">
      <c r="B3264" s="154"/>
    </row>
    <row r="3265" spans="2:2" ht="15.6">
      <c r="B3265" s="154"/>
    </row>
    <row r="3266" spans="2:2" ht="15.6">
      <c r="B3266" s="154"/>
    </row>
    <row r="3267" spans="2:2" ht="15.6">
      <c r="B3267" s="154"/>
    </row>
    <row r="3268" spans="2:2" ht="15.6">
      <c r="B3268" s="154"/>
    </row>
    <row r="3269" spans="2:2" ht="15.6">
      <c r="B3269" s="154"/>
    </row>
    <row r="3270" spans="2:2" ht="15.6">
      <c r="B3270" s="154"/>
    </row>
    <row r="3271" spans="2:2" ht="15.6">
      <c r="B3271" s="154"/>
    </row>
    <row r="3272" spans="2:2" ht="15.6">
      <c r="B3272" s="154"/>
    </row>
    <row r="3273" spans="2:2" ht="15.6">
      <c r="B3273" s="154"/>
    </row>
    <row r="3274" spans="2:2" ht="15.6">
      <c r="B3274" s="154"/>
    </row>
    <row r="3275" spans="2:2" ht="15.6">
      <c r="B3275" s="154"/>
    </row>
    <row r="3276" spans="2:2" ht="15.6">
      <c r="B3276" s="154"/>
    </row>
    <row r="3277" spans="2:2" ht="15.6">
      <c r="B3277" s="154"/>
    </row>
    <row r="3278" spans="2:2" ht="15.6">
      <c r="B3278" s="154"/>
    </row>
    <row r="3279" spans="2:2" ht="15.6">
      <c r="B3279" s="154"/>
    </row>
    <row r="3280" spans="2:2" ht="15.6">
      <c r="B3280" s="154"/>
    </row>
    <row r="3281" spans="2:2" ht="15.6">
      <c r="B3281" s="154"/>
    </row>
    <row r="3282" spans="2:2" ht="15.6">
      <c r="B3282" s="154"/>
    </row>
    <row r="3283" spans="2:2" ht="15.6">
      <c r="B3283" s="154"/>
    </row>
    <row r="3284" spans="2:2" ht="15.6">
      <c r="B3284" s="154"/>
    </row>
    <row r="3285" spans="2:2" ht="15.6">
      <c r="B3285" s="154"/>
    </row>
    <row r="3286" spans="2:2" ht="15.6">
      <c r="B3286" s="154"/>
    </row>
    <row r="3287" spans="2:2" ht="15.6">
      <c r="B3287" s="154"/>
    </row>
    <row r="3288" spans="2:2" ht="15.6">
      <c r="B3288" s="154"/>
    </row>
    <row r="3289" spans="2:2" ht="15.6">
      <c r="B3289" s="154"/>
    </row>
    <row r="3290" spans="2:2" ht="15.6">
      <c r="B3290" s="154"/>
    </row>
    <row r="3291" spans="2:2" ht="15.6">
      <c r="B3291" s="154"/>
    </row>
    <row r="3292" spans="2:2" ht="15.6">
      <c r="B3292" s="154"/>
    </row>
    <row r="3293" spans="2:2" ht="15.6">
      <c r="B3293" s="154"/>
    </row>
    <row r="3294" spans="2:2" ht="15.6">
      <c r="B3294" s="154"/>
    </row>
    <row r="3295" spans="2:2" ht="15.6">
      <c r="B3295" s="154"/>
    </row>
    <row r="3296" spans="2:2" ht="15.6">
      <c r="B3296" s="154"/>
    </row>
    <row r="3297" spans="2:2" ht="15.6">
      <c r="B3297" s="154"/>
    </row>
    <row r="3298" spans="2:2" ht="15.6">
      <c r="B3298" s="154"/>
    </row>
    <row r="3299" spans="2:2" ht="15.6">
      <c r="B3299" s="154"/>
    </row>
    <row r="3300" spans="2:2" ht="15.6">
      <c r="B3300" s="154"/>
    </row>
    <row r="3301" spans="2:2" ht="15.6">
      <c r="B3301" s="154"/>
    </row>
    <row r="3302" spans="2:2" ht="15.6">
      <c r="B3302" s="154"/>
    </row>
    <row r="3303" spans="2:2" ht="15.6">
      <c r="B3303" s="154"/>
    </row>
    <row r="3304" spans="2:2" ht="15.6">
      <c r="B3304" s="154"/>
    </row>
    <row r="3305" spans="2:2" ht="15.6">
      <c r="B3305" s="154"/>
    </row>
    <row r="3306" spans="2:2" ht="15.6">
      <c r="B3306" s="154"/>
    </row>
    <row r="3307" spans="2:2" ht="15.6">
      <c r="B3307" s="154"/>
    </row>
    <row r="3308" spans="2:2" ht="15.6">
      <c r="B3308" s="154"/>
    </row>
    <row r="3309" spans="2:2" ht="15.6">
      <c r="B3309" s="154"/>
    </row>
    <row r="3310" spans="2:2" ht="15.6">
      <c r="B3310" s="154"/>
    </row>
    <row r="3311" spans="2:2" ht="15.6">
      <c r="B3311" s="154"/>
    </row>
    <row r="3312" spans="2:2" ht="15.6">
      <c r="B3312" s="154"/>
    </row>
    <row r="3313" spans="2:2" ht="15.6">
      <c r="B3313" s="154"/>
    </row>
    <row r="3314" spans="2:2" ht="15.6">
      <c r="B3314" s="154"/>
    </row>
    <row r="3315" spans="2:2" ht="15.6">
      <c r="B3315" s="154"/>
    </row>
    <row r="3316" spans="2:2" ht="15.6">
      <c r="B3316" s="154"/>
    </row>
    <row r="3317" spans="2:2" ht="15.6">
      <c r="B3317" s="154"/>
    </row>
    <row r="3318" spans="2:2" ht="15.6">
      <c r="B3318" s="154"/>
    </row>
    <row r="3319" spans="2:2" ht="15.6">
      <c r="B3319" s="154"/>
    </row>
    <row r="3320" spans="2:2" ht="15.6">
      <c r="B3320" s="154"/>
    </row>
    <row r="3321" spans="2:2" ht="15.6">
      <c r="B3321" s="154"/>
    </row>
    <row r="3322" spans="2:2" ht="15.6">
      <c r="B3322" s="154"/>
    </row>
    <row r="3323" spans="2:2" ht="15.6">
      <c r="B3323" s="154"/>
    </row>
    <row r="3324" spans="2:2" ht="15.6">
      <c r="B3324" s="154"/>
    </row>
    <row r="3325" spans="2:2" ht="15.6">
      <c r="B3325" s="154"/>
    </row>
    <row r="3326" spans="2:2" ht="15.6">
      <c r="B3326" s="154"/>
    </row>
    <row r="3327" spans="2:2" ht="15.6">
      <c r="B3327" s="154"/>
    </row>
    <row r="3328" spans="2:2" ht="15.6">
      <c r="B3328" s="154"/>
    </row>
    <row r="3329" spans="2:2" ht="15.6">
      <c r="B3329" s="154"/>
    </row>
    <row r="3330" spans="2:2" ht="15.6">
      <c r="B3330" s="154"/>
    </row>
    <row r="3331" spans="2:2" ht="15.6">
      <c r="B3331" s="154"/>
    </row>
    <row r="3332" spans="2:2" ht="15.6">
      <c r="B3332" s="154"/>
    </row>
    <row r="3333" spans="2:2" ht="15.6">
      <c r="B3333" s="154"/>
    </row>
    <row r="3334" spans="2:2" ht="15.6">
      <c r="B3334" s="154"/>
    </row>
    <row r="3335" spans="2:2" ht="15.6">
      <c r="B3335" s="154"/>
    </row>
    <row r="3336" spans="2:2" ht="15.6">
      <c r="B3336" s="154"/>
    </row>
    <row r="3337" spans="2:2" ht="15.6">
      <c r="B3337" s="154"/>
    </row>
    <row r="3338" spans="2:2" ht="15.6">
      <c r="B3338" s="154"/>
    </row>
    <row r="3339" spans="2:2" ht="15.6">
      <c r="B3339" s="154"/>
    </row>
    <row r="3340" spans="2:2" ht="15.6">
      <c r="B3340" s="154"/>
    </row>
    <row r="3341" spans="2:2" ht="15.6">
      <c r="B3341" s="154"/>
    </row>
    <row r="3342" spans="2:2" ht="15.6">
      <c r="B3342" s="154"/>
    </row>
    <row r="3343" spans="2:2" ht="15.6">
      <c r="B3343" s="154"/>
    </row>
    <row r="3344" spans="2:2" ht="15.6">
      <c r="B3344" s="154"/>
    </row>
    <row r="3345" spans="2:2" ht="15.6">
      <c r="B3345" s="154"/>
    </row>
    <row r="3346" spans="2:2" ht="15.6">
      <c r="B3346" s="154"/>
    </row>
    <row r="3347" spans="2:2" ht="15.6">
      <c r="B3347" s="154"/>
    </row>
    <row r="3348" spans="2:2" ht="15.6">
      <c r="B3348" s="154"/>
    </row>
    <row r="3349" spans="2:2" ht="15.6">
      <c r="B3349" s="154"/>
    </row>
    <row r="3350" spans="2:2" ht="15.6">
      <c r="B3350" s="154"/>
    </row>
    <row r="3351" spans="2:2" ht="15.6">
      <c r="B3351" s="154"/>
    </row>
    <row r="3352" spans="2:2" ht="15.6">
      <c r="B3352" s="154"/>
    </row>
    <row r="3353" spans="2:2" ht="15.6">
      <c r="B3353" s="154"/>
    </row>
    <row r="3354" spans="2:2" ht="15.6">
      <c r="B3354" s="154"/>
    </row>
    <row r="3355" spans="2:2" ht="15.6">
      <c r="B3355" s="154"/>
    </row>
    <row r="3356" spans="2:2" ht="15.6">
      <c r="B3356" s="154"/>
    </row>
    <row r="3357" spans="2:2" ht="15.6">
      <c r="B3357" s="154"/>
    </row>
    <row r="3358" spans="2:2" ht="15.6">
      <c r="B3358" s="154"/>
    </row>
    <row r="3359" spans="2:2" ht="15.6">
      <c r="B3359" s="154"/>
    </row>
    <row r="3360" spans="2:2" ht="15.6">
      <c r="B3360" s="154"/>
    </row>
    <row r="3361" spans="2:2" ht="15.6">
      <c r="B3361" s="154"/>
    </row>
    <row r="3362" spans="2:2" ht="15.6">
      <c r="B3362" s="154"/>
    </row>
    <row r="3363" spans="2:2" ht="15.6">
      <c r="B3363" s="154"/>
    </row>
    <row r="3364" spans="2:2" ht="15.6">
      <c r="B3364" s="154"/>
    </row>
    <row r="3365" spans="2:2" ht="15.6">
      <c r="B3365" s="154"/>
    </row>
    <row r="3366" spans="2:2" ht="15.6">
      <c r="B3366" s="154"/>
    </row>
    <row r="3367" spans="2:2" ht="15.6">
      <c r="B3367" s="154"/>
    </row>
    <row r="3368" spans="2:2" ht="15.6">
      <c r="B3368" s="154"/>
    </row>
    <row r="3369" spans="2:2" ht="15.6">
      <c r="B3369" s="154"/>
    </row>
    <row r="3370" spans="2:2" ht="15.6">
      <c r="B3370" s="154"/>
    </row>
    <row r="3371" spans="2:2" ht="15.6">
      <c r="B3371" s="154"/>
    </row>
    <row r="3372" spans="2:2" ht="15.6">
      <c r="B3372" s="154"/>
    </row>
    <row r="3373" spans="2:2" ht="15.6">
      <c r="B3373" s="154"/>
    </row>
    <row r="3374" spans="2:2" ht="15.6">
      <c r="B3374" s="154"/>
    </row>
    <row r="3375" spans="2:2" ht="15.6">
      <c r="B3375" s="154"/>
    </row>
    <row r="3376" spans="2:2" ht="15.6">
      <c r="B3376" s="154"/>
    </row>
    <row r="3377" spans="2:2" ht="15.6">
      <c r="B3377" s="154"/>
    </row>
    <row r="3378" spans="2:2" ht="15.6">
      <c r="B3378" s="154"/>
    </row>
    <row r="3379" spans="2:2" ht="15.6">
      <c r="B3379" s="154"/>
    </row>
    <row r="3380" spans="2:2" ht="15.6">
      <c r="B3380" s="154"/>
    </row>
    <row r="3381" spans="2:2" ht="15.6">
      <c r="B3381" s="154"/>
    </row>
    <row r="3382" spans="2:2" ht="15.6">
      <c r="B3382" s="154"/>
    </row>
    <row r="3383" spans="2:2" ht="15.6">
      <c r="B3383" s="154"/>
    </row>
    <row r="3384" spans="2:2" ht="15.6">
      <c r="B3384" s="154"/>
    </row>
    <row r="3385" spans="2:2" ht="15.6">
      <c r="B3385" s="154"/>
    </row>
    <row r="3386" spans="2:2" ht="15.6">
      <c r="B3386" s="154"/>
    </row>
    <row r="3387" spans="2:2" ht="15.6">
      <c r="B3387" s="154"/>
    </row>
    <row r="3388" spans="2:2" ht="15.6">
      <c r="B3388" s="154"/>
    </row>
    <row r="3389" spans="2:2" ht="15.6">
      <c r="B3389" s="154"/>
    </row>
    <row r="3390" spans="2:2" ht="15.6">
      <c r="B3390" s="154"/>
    </row>
    <row r="3391" spans="2:2" ht="15.6">
      <c r="B3391" s="154"/>
    </row>
    <row r="3392" spans="2:2" ht="15.6">
      <c r="B3392" s="154"/>
    </row>
    <row r="3393" spans="2:2" ht="15.6">
      <c r="B3393" s="154"/>
    </row>
    <row r="3394" spans="2:2" ht="15.6">
      <c r="B3394" s="154"/>
    </row>
    <row r="3395" spans="2:2" ht="15.6">
      <c r="B3395" s="154"/>
    </row>
    <row r="3396" spans="2:2" ht="15.6">
      <c r="B3396" s="154"/>
    </row>
    <row r="3397" spans="2:2" ht="15.6">
      <c r="B3397" s="154"/>
    </row>
    <row r="3398" spans="2:2" ht="15.6">
      <c r="B3398" s="154"/>
    </row>
    <row r="3399" spans="2:2" ht="15.6">
      <c r="B3399" s="154"/>
    </row>
    <row r="3400" spans="2:2" ht="15.6">
      <c r="B3400" s="154"/>
    </row>
    <row r="3401" spans="2:2" ht="15.6">
      <c r="B3401" s="154"/>
    </row>
    <row r="3402" spans="2:2" ht="15.6">
      <c r="B3402" s="154"/>
    </row>
    <row r="3403" spans="2:2" ht="15.6">
      <c r="B3403" s="154"/>
    </row>
    <row r="3404" spans="2:2" ht="15.6">
      <c r="B3404" s="154"/>
    </row>
    <row r="3405" spans="2:2" ht="15.6">
      <c r="B3405" s="154"/>
    </row>
    <row r="3406" spans="2:2" ht="15.6">
      <c r="B3406" s="154"/>
    </row>
    <row r="3407" spans="2:2" ht="15.6">
      <c r="B3407" s="154"/>
    </row>
    <row r="3408" spans="2:2" ht="15.6">
      <c r="B3408" s="154"/>
    </row>
    <row r="3409" spans="2:2" ht="15.6">
      <c r="B3409" s="154"/>
    </row>
    <row r="3410" spans="2:2" ht="15.6">
      <c r="B3410" s="154"/>
    </row>
    <row r="3411" spans="2:2" ht="15.6">
      <c r="B3411" s="154"/>
    </row>
    <row r="3412" spans="2:2" ht="15.6">
      <c r="B3412" s="154"/>
    </row>
    <row r="3413" spans="2:2" ht="15.6">
      <c r="B3413" s="154"/>
    </row>
    <row r="3414" spans="2:2" ht="15.6">
      <c r="B3414" s="154"/>
    </row>
    <row r="3415" spans="2:2" ht="15.6">
      <c r="B3415" s="154"/>
    </row>
    <row r="3416" spans="2:2" ht="15.6">
      <c r="B3416" s="154"/>
    </row>
    <row r="3417" spans="2:2" ht="15.6">
      <c r="B3417" s="154"/>
    </row>
    <row r="3418" spans="2:2" ht="15.6">
      <c r="B3418" s="154"/>
    </row>
    <row r="3419" spans="2:2" ht="15.6">
      <c r="B3419" s="154"/>
    </row>
    <row r="3420" spans="2:2" ht="15.6">
      <c r="B3420" s="154"/>
    </row>
    <row r="3421" spans="2:2" ht="15.6">
      <c r="B3421" s="154"/>
    </row>
    <row r="3422" spans="2:2" ht="15.6">
      <c r="B3422" s="154"/>
    </row>
    <row r="3423" spans="2:2" ht="15.6">
      <c r="B3423" s="154"/>
    </row>
    <row r="3424" spans="2:2" ht="15.6">
      <c r="B3424" s="154"/>
    </row>
    <row r="3425" spans="2:2" ht="15.6">
      <c r="B3425" s="154"/>
    </row>
    <row r="3426" spans="2:2" ht="15.6">
      <c r="B3426" s="154"/>
    </row>
    <row r="3427" spans="2:2" ht="15.6">
      <c r="B3427" s="154"/>
    </row>
    <row r="3428" spans="2:2" ht="15.6">
      <c r="B3428" s="154"/>
    </row>
    <row r="3429" spans="2:2" ht="15.6">
      <c r="B3429" s="154"/>
    </row>
    <row r="3430" spans="2:2" ht="15.6">
      <c r="B3430" s="154"/>
    </row>
    <row r="3431" spans="2:2" ht="15.6">
      <c r="B3431" s="154"/>
    </row>
    <row r="3432" spans="2:2" ht="15.6">
      <c r="B3432" s="154"/>
    </row>
    <row r="3433" spans="2:2" ht="15.6">
      <c r="B3433" s="154"/>
    </row>
    <row r="3434" spans="2:2" ht="15.6">
      <c r="B3434" s="154"/>
    </row>
    <row r="3435" spans="2:2" ht="15.6">
      <c r="B3435" s="154"/>
    </row>
    <row r="3436" spans="2:2" ht="15.6">
      <c r="B3436" s="154"/>
    </row>
    <row r="3437" spans="2:2" ht="15.6">
      <c r="B3437" s="154"/>
    </row>
    <row r="3438" spans="2:2" ht="15.6">
      <c r="B3438" s="154"/>
    </row>
    <row r="3439" spans="2:2" ht="15.6">
      <c r="B3439" s="154"/>
    </row>
    <row r="3440" spans="2:2" ht="15.6">
      <c r="B3440" s="154"/>
    </row>
    <row r="3441" spans="2:2" ht="15.6">
      <c r="B3441" s="154"/>
    </row>
    <row r="3442" spans="2:2" ht="15.6">
      <c r="B3442" s="154"/>
    </row>
    <row r="3443" spans="2:2" ht="15.6">
      <c r="B3443" s="154"/>
    </row>
    <row r="3444" spans="2:2" ht="15.6">
      <c r="B3444" s="154"/>
    </row>
    <row r="3445" spans="2:2" ht="15.6">
      <c r="B3445" s="154"/>
    </row>
    <row r="3446" spans="2:2" ht="15.6">
      <c r="B3446" s="154"/>
    </row>
    <row r="3447" spans="2:2" ht="15.6">
      <c r="B3447" s="154"/>
    </row>
    <row r="3448" spans="2:2" ht="15.6">
      <c r="B3448" s="154"/>
    </row>
    <row r="3449" spans="2:2" ht="15.6">
      <c r="B3449" s="154"/>
    </row>
    <row r="3450" spans="2:2" ht="15.6">
      <c r="B3450" s="154"/>
    </row>
    <row r="3451" spans="2:2" ht="15.6">
      <c r="B3451" s="154"/>
    </row>
    <row r="3452" spans="2:2" ht="15.6">
      <c r="B3452" s="154"/>
    </row>
    <row r="3453" spans="2:2" ht="15.6">
      <c r="B3453" s="154"/>
    </row>
    <row r="3454" spans="2:2" ht="15.6">
      <c r="B3454" s="154"/>
    </row>
    <row r="3455" spans="2:2" ht="15.6">
      <c r="B3455" s="154"/>
    </row>
    <row r="3456" spans="2:2" ht="15.6">
      <c r="B3456" s="154"/>
    </row>
    <row r="3457" spans="2:2" ht="15.6">
      <c r="B3457" s="154"/>
    </row>
    <row r="3458" spans="2:2" ht="15.6">
      <c r="B3458" s="154"/>
    </row>
    <row r="3459" spans="2:2" ht="15.6">
      <c r="B3459" s="154"/>
    </row>
    <row r="3460" spans="2:2" ht="15.6">
      <c r="B3460" s="154"/>
    </row>
    <row r="3461" spans="2:2" ht="15.6">
      <c r="B3461" s="154"/>
    </row>
    <row r="3462" spans="2:2" ht="15.6">
      <c r="B3462" s="154"/>
    </row>
    <row r="3463" spans="2:2" ht="15.6">
      <c r="B3463" s="154"/>
    </row>
    <row r="3464" spans="2:2" ht="15.6">
      <c r="B3464" s="154"/>
    </row>
    <row r="3465" spans="2:2" ht="15.6">
      <c r="B3465" s="154"/>
    </row>
    <row r="3466" spans="2:2" ht="15.6">
      <c r="B3466" s="154"/>
    </row>
    <row r="3467" spans="2:2" ht="15.6">
      <c r="B3467" s="154"/>
    </row>
    <row r="3468" spans="2:2" ht="15.6">
      <c r="B3468" s="154"/>
    </row>
    <row r="3469" spans="2:2" ht="15.6">
      <c r="B3469" s="154"/>
    </row>
    <row r="3470" spans="2:2" ht="15.6">
      <c r="B3470" s="154"/>
    </row>
    <row r="3471" spans="2:2" ht="15.6">
      <c r="B3471" s="154"/>
    </row>
    <row r="3472" spans="2:2" ht="15.6">
      <c r="B3472" s="154"/>
    </row>
    <row r="3473" spans="2:2" ht="15.6">
      <c r="B3473" s="154"/>
    </row>
    <row r="3474" spans="2:2" ht="15.6">
      <c r="B3474" s="154"/>
    </row>
    <row r="3475" spans="2:2" ht="15.6">
      <c r="B3475" s="154"/>
    </row>
    <row r="3476" spans="2:2" ht="15.6">
      <c r="B3476" s="154"/>
    </row>
    <row r="3477" spans="2:2" ht="15.6">
      <c r="B3477" s="154"/>
    </row>
    <row r="3478" spans="2:2" ht="15.6">
      <c r="B3478" s="154"/>
    </row>
    <row r="3479" spans="2:2" ht="15.6">
      <c r="B3479" s="154"/>
    </row>
    <row r="3480" spans="2:2" ht="15.6">
      <c r="B3480" s="154"/>
    </row>
    <row r="3481" spans="2:2" ht="15.6">
      <c r="B3481" s="154"/>
    </row>
    <row r="3482" spans="2:2" ht="15.6">
      <c r="B3482" s="154"/>
    </row>
    <row r="3483" spans="2:2" ht="15.6">
      <c r="B3483" s="154"/>
    </row>
    <row r="3484" spans="2:2" ht="15.6">
      <c r="B3484" s="154"/>
    </row>
    <row r="3485" spans="2:2" ht="15.6">
      <c r="B3485" s="154"/>
    </row>
    <row r="3486" spans="2:2" ht="15.6">
      <c r="B3486" s="154"/>
    </row>
    <row r="3487" spans="2:2" ht="15.6">
      <c r="B3487" s="154"/>
    </row>
    <row r="3488" spans="2:2" ht="15.6">
      <c r="B3488" s="154"/>
    </row>
    <row r="3489" spans="2:2" ht="15.6">
      <c r="B3489" s="154"/>
    </row>
    <row r="3490" spans="2:2" ht="15.6">
      <c r="B3490" s="154"/>
    </row>
    <row r="3491" spans="2:2" ht="15.6">
      <c r="B3491" s="154"/>
    </row>
    <row r="3492" spans="2:2" ht="15.6">
      <c r="B3492" s="154"/>
    </row>
    <row r="3493" spans="2:2" ht="15.6">
      <c r="B3493" s="154"/>
    </row>
    <row r="3494" spans="2:2" ht="15.6">
      <c r="B3494" s="154"/>
    </row>
    <row r="3495" spans="2:2" ht="15.6">
      <c r="B3495" s="154"/>
    </row>
    <row r="3496" spans="2:2" ht="15.6">
      <c r="B3496" s="154"/>
    </row>
    <row r="3497" spans="2:2" ht="15.6">
      <c r="B3497" s="154"/>
    </row>
    <row r="3498" spans="2:2" ht="15.6">
      <c r="B3498" s="154"/>
    </row>
    <row r="3499" spans="2:2" ht="15.6">
      <c r="B3499" s="154"/>
    </row>
    <row r="3500" spans="2:2" ht="15.6">
      <c r="B3500" s="154"/>
    </row>
    <row r="3501" spans="2:2" ht="15.6">
      <c r="B3501" s="154"/>
    </row>
    <row r="3502" spans="2:2" ht="15.6">
      <c r="B3502" s="154"/>
    </row>
    <row r="3503" spans="2:2" ht="15.6">
      <c r="B3503" s="154"/>
    </row>
    <row r="3504" spans="2:2" ht="15.6">
      <c r="B3504" s="154"/>
    </row>
    <row r="3505" spans="2:2" ht="15.6">
      <c r="B3505" s="154"/>
    </row>
    <row r="3506" spans="2:2" ht="15.6">
      <c r="B3506" s="154"/>
    </row>
    <row r="3507" spans="2:2" ht="15.6">
      <c r="B3507" s="154"/>
    </row>
    <row r="3508" spans="2:2" ht="15.6">
      <c r="B3508" s="154"/>
    </row>
    <row r="3509" spans="2:2" ht="15.6">
      <c r="B3509" s="154"/>
    </row>
    <row r="3510" spans="2:2" ht="15.6">
      <c r="B3510" s="154"/>
    </row>
    <row r="3511" spans="2:2" ht="15.6">
      <c r="B3511" s="154"/>
    </row>
    <row r="3512" spans="2:2" ht="15.6">
      <c r="B3512" s="154"/>
    </row>
    <row r="3513" spans="2:2" ht="15.6">
      <c r="B3513" s="154"/>
    </row>
    <row r="3514" spans="2:2" ht="15.6">
      <c r="B3514" s="154"/>
    </row>
    <row r="3515" spans="2:2" ht="15.6">
      <c r="B3515" s="154"/>
    </row>
    <row r="3516" spans="2:2" ht="15.6">
      <c r="B3516" s="154"/>
    </row>
    <row r="3517" spans="2:2" ht="15.6">
      <c r="B3517" s="154"/>
    </row>
    <row r="3518" spans="2:2" ht="15.6">
      <c r="B3518" s="154"/>
    </row>
    <row r="3519" spans="2:2" ht="15.6">
      <c r="B3519" s="154"/>
    </row>
    <row r="3520" spans="2:2" ht="15.6">
      <c r="B3520" s="154"/>
    </row>
    <row r="3521" spans="2:2" ht="15.6">
      <c r="B3521" s="154"/>
    </row>
    <row r="3522" spans="2:2" ht="15.6">
      <c r="B3522" s="154"/>
    </row>
    <row r="3523" spans="2:2" ht="15.6">
      <c r="B3523" s="154"/>
    </row>
    <row r="3524" spans="2:2" ht="15.6">
      <c r="B3524" s="154"/>
    </row>
    <row r="3525" spans="2:2" ht="15.6">
      <c r="B3525" s="154"/>
    </row>
    <row r="3526" spans="2:2" ht="15.6">
      <c r="B3526" s="154"/>
    </row>
    <row r="3527" spans="2:2" ht="15.6">
      <c r="B3527" s="154"/>
    </row>
    <row r="3528" spans="2:2" ht="15.6">
      <c r="B3528" s="154"/>
    </row>
    <row r="3529" spans="2:2" ht="15.6">
      <c r="B3529" s="154"/>
    </row>
    <row r="3530" spans="2:2" ht="15.6">
      <c r="B3530" s="154"/>
    </row>
    <row r="3531" spans="2:2" ht="15.6">
      <c r="B3531" s="154"/>
    </row>
    <row r="3532" spans="2:2" ht="15.6">
      <c r="B3532" s="154"/>
    </row>
    <row r="3533" spans="2:2" ht="15.6">
      <c r="B3533" s="154"/>
    </row>
    <row r="3534" spans="2:2" ht="15.6">
      <c r="B3534" s="154"/>
    </row>
    <row r="3535" spans="2:2" ht="15.6">
      <c r="B3535" s="154"/>
    </row>
    <row r="3536" spans="2:2" ht="15.6">
      <c r="B3536" s="154"/>
    </row>
    <row r="3537" spans="2:2" ht="15.6">
      <c r="B3537" s="154"/>
    </row>
    <row r="3538" spans="2:2" ht="15.6">
      <c r="B3538" s="154"/>
    </row>
    <row r="3539" spans="2:2" ht="15.6">
      <c r="B3539" s="154"/>
    </row>
    <row r="3540" spans="2:2" ht="15.6">
      <c r="B3540" s="154"/>
    </row>
    <row r="3541" spans="2:2" ht="15.6">
      <c r="B3541" s="154"/>
    </row>
    <row r="3542" spans="2:2" ht="15.6">
      <c r="B3542" s="154"/>
    </row>
    <row r="3543" spans="2:2" ht="15.6">
      <c r="B3543" s="154"/>
    </row>
    <row r="3544" spans="2:2" ht="15.6">
      <c r="B3544" s="154"/>
    </row>
    <row r="3545" spans="2:2" ht="15.6">
      <c r="B3545" s="154"/>
    </row>
    <row r="3546" spans="2:2" ht="15.6">
      <c r="B3546" s="154"/>
    </row>
    <row r="3547" spans="2:2" ht="15.6">
      <c r="B3547" s="154"/>
    </row>
    <row r="3548" spans="2:2" ht="15.6">
      <c r="B3548" s="154"/>
    </row>
    <row r="3549" spans="2:2" ht="15.6">
      <c r="B3549" s="154"/>
    </row>
    <row r="3550" spans="2:2" ht="15.6">
      <c r="B3550" s="154"/>
    </row>
    <row r="3551" spans="2:2" ht="15.6">
      <c r="B3551" s="154"/>
    </row>
    <row r="3552" spans="2:2" ht="15.6">
      <c r="B3552" s="154"/>
    </row>
    <row r="3553" spans="2:2" ht="15.6">
      <c r="B3553" s="154"/>
    </row>
    <row r="3554" spans="2:2" ht="15.6">
      <c r="B3554" s="154"/>
    </row>
    <row r="3555" spans="2:2" ht="15.6">
      <c r="B3555" s="154"/>
    </row>
    <row r="3556" spans="2:2" ht="15.6">
      <c r="B3556" s="154"/>
    </row>
    <row r="3557" spans="2:2" ht="15.6">
      <c r="B3557" s="154"/>
    </row>
    <row r="3558" spans="2:2" ht="15.6">
      <c r="B3558" s="154"/>
    </row>
    <row r="3559" spans="2:2" ht="15.6">
      <c r="B3559" s="154"/>
    </row>
    <row r="3560" spans="2:2" ht="15.6">
      <c r="B3560" s="154"/>
    </row>
    <row r="3561" spans="2:2" ht="15.6">
      <c r="B3561" s="154"/>
    </row>
    <row r="3562" spans="2:2" ht="15.6">
      <c r="B3562" s="154"/>
    </row>
    <row r="3563" spans="2:2" ht="15.6">
      <c r="B3563" s="154"/>
    </row>
    <row r="3564" spans="2:2" ht="15.6">
      <c r="B3564" s="154"/>
    </row>
    <row r="3565" spans="2:2" ht="15.6">
      <c r="B3565" s="154"/>
    </row>
    <row r="3566" spans="2:2" ht="15.6">
      <c r="B3566" s="154"/>
    </row>
    <row r="3567" spans="2:2" ht="15.6">
      <c r="B3567" s="154"/>
    </row>
    <row r="3568" spans="2:2" ht="15.6">
      <c r="B3568" s="154"/>
    </row>
    <row r="3569" spans="2:2" ht="15.6">
      <c r="B3569" s="154"/>
    </row>
    <row r="3570" spans="2:2" ht="15.6">
      <c r="B3570" s="154"/>
    </row>
    <row r="3571" spans="2:2" ht="15.6">
      <c r="B3571" s="154"/>
    </row>
    <row r="3572" spans="2:2" ht="15.6">
      <c r="B3572" s="154"/>
    </row>
    <row r="3573" spans="2:2" ht="15.6">
      <c r="B3573" s="154"/>
    </row>
    <row r="3574" spans="2:2" ht="15.6">
      <c r="B3574" s="154"/>
    </row>
    <row r="3575" spans="2:2" ht="15.6">
      <c r="B3575" s="154"/>
    </row>
    <row r="3576" spans="2:2" ht="15.6">
      <c r="B3576" s="154"/>
    </row>
    <row r="3577" spans="2:2" ht="15.6">
      <c r="B3577" s="154"/>
    </row>
    <row r="3578" spans="2:2" ht="15.6">
      <c r="B3578" s="154"/>
    </row>
    <row r="3579" spans="2:2" ht="15.6">
      <c r="B3579" s="154"/>
    </row>
    <row r="3580" spans="2:2" ht="15.6">
      <c r="B3580" s="154"/>
    </row>
    <row r="3581" spans="2:2" ht="15.6">
      <c r="B3581" s="154"/>
    </row>
    <row r="3582" spans="2:2" ht="15.6">
      <c r="B3582" s="154"/>
    </row>
    <row r="3583" spans="2:2" ht="15.6">
      <c r="B3583" s="154"/>
    </row>
    <row r="3584" spans="2:2" ht="15.6">
      <c r="B3584" s="154"/>
    </row>
    <row r="3585" spans="2:2" ht="15.6">
      <c r="B3585" s="154"/>
    </row>
    <row r="3586" spans="2:2" ht="15.6">
      <c r="B3586" s="154"/>
    </row>
    <row r="3587" spans="2:2" ht="15.6">
      <c r="B3587" s="154"/>
    </row>
    <row r="3588" spans="2:2" ht="15.6">
      <c r="B3588" s="154"/>
    </row>
    <row r="3589" spans="2:2" ht="15.6">
      <c r="B3589" s="154"/>
    </row>
    <row r="3590" spans="2:2" ht="15.6">
      <c r="B3590" s="154"/>
    </row>
    <row r="3591" spans="2:2" ht="15.6">
      <c r="B3591" s="154"/>
    </row>
    <row r="3592" spans="2:2" ht="15.6">
      <c r="B3592" s="154"/>
    </row>
    <row r="3593" spans="2:2" ht="15.6">
      <c r="B3593" s="154"/>
    </row>
    <row r="3594" spans="2:2" ht="15.6">
      <c r="B3594" s="154"/>
    </row>
    <row r="3595" spans="2:2" ht="15.6">
      <c r="B3595" s="154"/>
    </row>
    <row r="3596" spans="2:2" ht="15.6">
      <c r="B3596" s="154"/>
    </row>
    <row r="3597" spans="2:2" ht="15.6">
      <c r="B3597" s="154"/>
    </row>
    <row r="3598" spans="2:2" ht="15.6">
      <c r="B3598" s="154"/>
    </row>
    <row r="3599" spans="2:2" ht="15.6">
      <c r="B3599" s="154"/>
    </row>
    <row r="3600" spans="2:2" ht="15.6">
      <c r="B3600" s="154"/>
    </row>
    <row r="3601" spans="2:2" ht="15.6">
      <c r="B3601" s="154"/>
    </row>
    <row r="3602" spans="2:2" ht="15.6">
      <c r="B3602" s="154"/>
    </row>
    <row r="3603" spans="2:2" ht="15.6">
      <c r="B3603" s="154"/>
    </row>
    <row r="3604" spans="2:2" ht="15.6">
      <c r="B3604" s="154"/>
    </row>
    <row r="3605" spans="2:2" ht="15.6">
      <c r="B3605" s="154"/>
    </row>
    <row r="3606" spans="2:2" ht="15.6">
      <c r="B3606" s="154"/>
    </row>
    <row r="3607" spans="2:2" ht="15.6">
      <c r="B3607" s="154"/>
    </row>
    <row r="3608" spans="2:2" ht="15.6">
      <c r="B3608" s="154"/>
    </row>
    <row r="3609" spans="2:2" ht="15.6">
      <c r="B3609" s="154"/>
    </row>
    <row r="3610" spans="2:2" ht="15.6">
      <c r="B3610" s="154"/>
    </row>
    <row r="3611" spans="2:2" ht="15.6">
      <c r="B3611" s="154"/>
    </row>
    <row r="3612" spans="2:2" ht="15.6">
      <c r="B3612" s="154"/>
    </row>
    <row r="3613" spans="2:2" ht="15.6">
      <c r="B3613" s="154"/>
    </row>
    <row r="3614" spans="2:2" ht="15.6">
      <c r="B3614" s="154"/>
    </row>
    <row r="3615" spans="2:2" ht="15.6">
      <c r="B3615" s="154"/>
    </row>
    <row r="3616" spans="2:2" ht="15.6">
      <c r="B3616" s="154"/>
    </row>
    <row r="3617" spans="2:2" ht="15.6">
      <c r="B3617" s="154"/>
    </row>
    <row r="3618" spans="2:2" ht="15.6">
      <c r="B3618" s="154"/>
    </row>
    <row r="3619" spans="2:2" ht="15.6">
      <c r="B3619" s="154"/>
    </row>
    <row r="3620" spans="2:2" ht="15.6">
      <c r="B3620" s="154"/>
    </row>
    <row r="3621" spans="2:2" ht="15.6">
      <c r="B3621" s="154"/>
    </row>
    <row r="3622" spans="2:2" ht="15.6">
      <c r="B3622" s="154"/>
    </row>
    <row r="3623" spans="2:2" ht="15.6">
      <c r="B3623" s="154"/>
    </row>
    <row r="3624" spans="2:2" ht="15.6">
      <c r="B3624" s="154"/>
    </row>
    <row r="3625" spans="2:2" ht="15.6">
      <c r="B3625" s="154"/>
    </row>
    <row r="3626" spans="2:2" ht="15.6">
      <c r="B3626" s="154"/>
    </row>
    <row r="3627" spans="2:2" ht="15.6">
      <c r="B3627" s="154"/>
    </row>
    <row r="3628" spans="2:2" ht="15.6">
      <c r="B3628" s="154"/>
    </row>
    <row r="3629" spans="2:2" ht="15.6">
      <c r="B3629" s="154"/>
    </row>
    <row r="3630" spans="2:2" ht="15.6">
      <c r="B3630" s="154"/>
    </row>
    <row r="3631" spans="2:2" ht="15.6">
      <c r="B3631" s="154"/>
    </row>
    <row r="3632" spans="2:2" ht="15.6">
      <c r="B3632" s="154"/>
    </row>
    <row r="3633" spans="2:2" ht="15.6">
      <c r="B3633" s="154"/>
    </row>
    <row r="3634" spans="2:2" ht="15.6">
      <c r="B3634" s="154"/>
    </row>
    <row r="3635" spans="2:2" ht="15.6">
      <c r="B3635" s="154"/>
    </row>
    <row r="3636" spans="2:2" ht="15.6">
      <c r="B3636" s="154"/>
    </row>
    <row r="3637" spans="2:2" ht="15.6">
      <c r="B3637" s="154"/>
    </row>
    <row r="3638" spans="2:2" ht="15.6">
      <c r="B3638" s="154"/>
    </row>
    <row r="3639" spans="2:2" ht="15.6">
      <c r="B3639" s="154"/>
    </row>
    <row r="3640" spans="2:2" ht="15.6">
      <c r="B3640" s="154"/>
    </row>
    <row r="3641" spans="2:2" ht="15.6">
      <c r="B3641" s="154"/>
    </row>
    <row r="3642" spans="2:2" ht="15.6">
      <c r="B3642" s="154"/>
    </row>
    <row r="3643" spans="2:2" ht="15.6">
      <c r="B3643" s="154"/>
    </row>
    <row r="3644" spans="2:2" ht="15.6">
      <c r="B3644" s="154"/>
    </row>
    <row r="3645" spans="2:2" ht="15.6">
      <c r="B3645" s="154"/>
    </row>
    <row r="3646" spans="2:2" ht="15.6">
      <c r="B3646" s="154"/>
    </row>
    <row r="3647" spans="2:2" ht="15.6">
      <c r="B3647" s="154"/>
    </row>
    <row r="3648" spans="2:2" ht="15.6">
      <c r="B3648" s="154"/>
    </row>
    <row r="3649" spans="2:2" ht="15.6">
      <c r="B3649" s="154"/>
    </row>
    <row r="3650" spans="2:2" ht="15.6">
      <c r="B3650" s="154"/>
    </row>
    <row r="3651" spans="2:2" ht="15.6">
      <c r="B3651" s="154"/>
    </row>
    <row r="3652" spans="2:2" ht="15.6">
      <c r="B3652" s="154"/>
    </row>
    <row r="3653" spans="2:2" ht="15.6">
      <c r="B3653" s="154"/>
    </row>
    <row r="3654" spans="2:2" ht="15.6">
      <c r="B3654" s="154"/>
    </row>
    <row r="3655" spans="2:2" ht="15.6">
      <c r="B3655" s="154"/>
    </row>
    <row r="3656" spans="2:2" ht="15.6">
      <c r="B3656" s="154"/>
    </row>
    <row r="3657" spans="2:2" ht="15.6">
      <c r="B3657" s="154"/>
    </row>
    <row r="3658" spans="2:2" ht="15.6">
      <c r="B3658" s="154"/>
    </row>
    <row r="3659" spans="2:2" ht="15.6">
      <c r="B3659" s="154"/>
    </row>
    <row r="3660" spans="2:2" ht="15.6">
      <c r="B3660" s="154"/>
    </row>
    <row r="3661" spans="2:2" ht="15.6">
      <c r="B3661" s="154"/>
    </row>
    <row r="3662" spans="2:2" ht="15.6">
      <c r="B3662" s="154"/>
    </row>
    <row r="3663" spans="2:2" ht="15.6">
      <c r="B3663" s="154"/>
    </row>
    <row r="3664" spans="2:2" ht="15.6">
      <c r="B3664" s="154"/>
    </row>
    <row r="3665" spans="2:2" ht="15.6">
      <c r="B3665" s="154"/>
    </row>
    <row r="3666" spans="2:2" ht="15.6">
      <c r="B3666" s="154"/>
    </row>
    <row r="3667" spans="2:2" ht="15.6">
      <c r="B3667" s="154"/>
    </row>
    <row r="3668" spans="2:2" ht="15.6">
      <c r="B3668" s="154"/>
    </row>
    <row r="3669" spans="2:2" ht="15.6">
      <c r="B3669" s="154"/>
    </row>
    <row r="3670" spans="2:2" ht="15.6">
      <c r="B3670" s="154"/>
    </row>
    <row r="3671" spans="2:2" ht="15.6">
      <c r="B3671" s="154"/>
    </row>
    <row r="3672" spans="2:2" ht="15.6">
      <c r="B3672" s="154"/>
    </row>
    <row r="3673" spans="2:2" ht="15.6">
      <c r="B3673" s="154"/>
    </row>
    <row r="3674" spans="2:2" ht="15.6">
      <c r="B3674" s="154"/>
    </row>
    <row r="3675" spans="2:2" ht="15.6">
      <c r="B3675" s="154"/>
    </row>
    <row r="3676" spans="2:2" ht="15.6">
      <c r="B3676" s="154"/>
    </row>
    <row r="3677" spans="2:2" ht="15.6">
      <c r="B3677" s="154"/>
    </row>
    <row r="3678" spans="2:2" ht="15.6">
      <c r="B3678" s="154"/>
    </row>
    <row r="3679" spans="2:2" ht="15.6">
      <c r="B3679" s="154"/>
    </row>
    <row r="3680" spans="2:2" ht="15.6">
      <c r="B3680" s="154"/>
    </row>
    <row r="3681" spans="2:2" ht="15.6">
      <c r="B3681" s="154"/>
    </row>
    <row r="3682" spans="2:2" ht="15.6">
      <c r="B3682" s="154"/>
    </row>
    <row r="3683" spans="2:2" ht="15.6">
      <c r="B3683" s="154"/>
    </row>
    <row r="3684" spans="2:2" ht="15.6">
      <c r="B3684" s="154"/>
    </row>
    <row r="3685" spans="2:2" ht="15.6">
      <c r="B3685" s="154"/>
    </row>
    <row r="3686" spans="2:2" ht="15.6">
      <c r="B3686" s="154"/>
    </row>
    <row r="3687" spans="2:2" ht="15.6">
      <c r="B3687" s="154"/>
    </row>
    <row r="3688" spans="2:2" ht="15.6">
      <c r="B3688" s="154"/>
    </row>
    <row r="3689" spans="2:2" ht="15.6">
      <c r="B3689" s="154"/>
    </row>
    <row r="3690" spans="2:2" ht="15.6">
      <c r="B3690" s="154"/>
    </row>
    <row r="3691" spans="2:2" ht="15.6">
      <c r="B3691" s="154"/>
    </row>
    <row r="3692" spans="2:2" ht="15.6">
      <c r="B3692" s="154"/>
    </row>
    <row r="3693" spans="2:2" ht="15.6">
      <c r="B3693" s="154"/>
    </row>
    <row r="3694" spans="2:2" ht="15.6">
      <c r="B3694" s="154"/>
    </row>
    <row r="3695" spans="2:2" ht="15.6">
      <c r="B3695" s="154"/>
    </row>
    <row r="3696" spans="2:2" ht="15.6">
      <c r="B3696" s="154"/>
    </row>
    <row r="3697" spans="2:2" ht="15.6">
      <c r="B3697" s="154"/>
    </row>
    <row r="3698" spans="2:2" ht="15.6">
      <c r="B3698" s="154"/>
    </row>
    <row r="3699" spans="2:2" ht="15.6">
      <c r="B3699" s="154"/>
    </row>
    <row r="3700" spans="2:2" ht="15.6">
      <c r="B3700" s="154"/>
    </row>
    <row r="3701" spans="2:2" ht="15.6">
      <c r="B3701" s="154"/>
    </row>
    <row r="3702" spans="2:2" ht="15.6">
      <c r="B3702" s="154"/>
    </row>
    <row r="3703" spans="2:2" ht="15.6">
      <c r="B3703" s="154"/>
    </row>
    <row r="3704" spans="2:2" ht="15.6">
      <c r="B3704" s="154"/>
    </row>
    <row r="3705" spans="2:2" ht="15.6">
      <c r="B3705" s="154"/>
    </row>
    <row r="3706" spans="2:2" ht="15.6">
      <c r="B3706" s="154"/>
    </row>
    <row r="3707" spans="2:2" ht="15.6">
      <c r="B3707" s="154"/>
    </row>
    <row r="3708" spans="2:2" ht="15.6">
      <c r="B3708" s="154"/>
    </row>
    <row r="3709" spans="2:2" ht="15.6">
      <c r="B3709" s="154"/>
    </row>
    <row r="3710" spans="2:2" ht="15.6">
      <c r="B3710" s="154"/>
    </row>
    <row r="3711" spans="2:2" ht="15.6">
      <c r="B3711" s="154"/>
    </row>
    <row r="3712" spans="2:2" ht="15.6">
      <c r="B3712" s="154"/>
    </row>
    <row r="3713" spans="2:2" ht="15.6">
      <c r="B3713" s="154"/>
    </row>
    <row r="3714" spans="2:2" ht="15.6">
      <c r="B3714" s="154"/>
    </row>
    <row r="3715" spans="2:2" ht="15.6">
      <c r="B3715" s="154"/>
    </row>
    <row r="3716" spans="2:2" ht="15.6">
      <c r="B3716" s="154"/>
    </row>
    <row r="3717" spans="2:2" ht="15.6">
      <c r="B3717" s="154"/>
    </row>
    <row r="3718" spans="2:2" ht="15.6">
      <c r="B3718" s="154"/>
    </row>
    <row r="3719" spans="2:2" ht="15.6">
      <c r="B3719" s="154"/>
    </row>
    <row r="3720" spans="2:2" ht="15.6">
      <c r="B3720" s="154"/>
    </row>
    <row r="3721" spans="2:2" ht="15.6">
      <c r="B3721" s="154"/>
    </row>
    <row r="3722" spans="2:2" ht="15.6">
      <c r="B3722" s="154"/>
    </row>
    <row r="3723" spans="2:2" ht="15.6">
      <c r="B3723" s="154"/>
    </row>
    <row r="3724" spans="2:2" ht="15.6">
      <c r="B3724" s="154"/>
    </row>
    <row r="3725" spans="2:2" ht="15.6">
      <c r="B3725" s="154"/>
    </row>
    <row r="3726" spans="2:2" ht="15.6">
      <c r="B3726" s="154"/>
    </row>
    <row r="3727" spans="2:2" ht="15.6">
      <c r="B3727" s="154"/>
    </row>
    <row r="3728" spans="2:2" ht="15.6">
      <c r="B3728" s="154"/>
    </row>
    <row r="3729" spans="2:2" ht="15.6">
      <c r="B3729" s="154"/>
    </row>
    <row r="3730" spans="2:2" ht="15.6">
      <c r="B3730" s="154"/>
    </row>
    <row r="3731" spans="2:2" ht="15.6">
      <c r="B3731" s="154"/>
    </row>
    <row r="3732" spans="2:2" ht="15.6">
      <c r="B3732" s="154"/>
    </row>
    <row r="3733" spans="2:2" ht="15.6">
      <c r="B3733" s="154"/>
    </row>
    <row r="3734" spans="2:2" ht="15.6">
      <c r="B3734" s="154"/>
    </row>
    <row r="3735" spans="2:2" ht="15.6">
      <c r="B3735" s="154"/>
    </row>
    <row r="3736" spans="2:2" ht="15.6">
      <c r="B3736" s="154"/>
    </row>
    <row r="3737" spans="2:2" ht="15.6">
      <c r="B3737" s="154"/>
    </row>
    <row r="3738" spans="2:2" ht="15.6">
      <c r="B3738" s="154"/>
    </row>
    <row r="3739" spans="2:2" ht="15.6">
      <c r="B3739" s="154"/>
    </row>
    <row r="3740" spans="2:2" ht="15.6">
      <c r="B3740" s="154"/>
    </row>
    <row r="3741" spans="2:2" ht="15.6">
      <c r="B3741" s="154"/>
    </row>
    <row r="3742" spans="2:2" ht="15.6">
      <c r="B3742" s="154"/>
    </row>
    <row r="3743" spans="2:2" ht="15.6">
      <c r="B3743" s="154"/>
    </row>
    <row r="3744" spans="2:2" ht="15.6">
      <c r="B3744" s="154"/>
    </row>
    <row r="3745" spans="2:2" ht="15.6">
      <c r="B3745" s="154"/>
    </row>
    <row r="3746" spans="2:2" ht="15.6">
      <c r="B3746" s="154"/>
    </row>
    <row r="3747" spans="2:2" ht="15.6">
      <c r="B3747" s="154"/>
    </row>
    <row r="3748" spans="2:2" ht="15.6">
      <c r="B3748" s="154"/>
    </row>
    <row r="3749" spans="2:2" ht="15.6">
      <c r="B3749" s="154"/>
    </row>
    <row r="3750" spans="2:2" ht="15.6">
      <c r="B3750" s="154"/>
    </row>
    <row r="3751" spans="2:2" ht="15.6">
      <c r="B3751" s="154"/>
    </row>
    <row r="3752" spans="2:2" ht="15.6">
      <c r="B3752" s="154"/>
    </row>
    <row r="3753" spans="2:2" ht="15.6">
      <c r="B3753" s="154"/>
    </row>
    <row r="3754" spans="2:2" ht="15.6">
      <c r="B3754" s="154"/>
    </row>
    <row r="3755" spans="2:2" ht="15.6">
      <c r="B3755" s="154"/>
    </row>
    <row r="3756" spans="2:2" ht="15.6">
      <c r="B3756" s="154"/>
    </row>
    <row r="3757" spans="2:2" ht="15.6">
      <c r="B3757" s="154"/>
    </row>
    <row r="3758" spans="2:2" ht="15.6">
      <c r="B3758" s="154"/>
    </row>
    <row r="3759" spans="2:2" ht="15.6">
      <c r="B3759" s="154"/>
    </row>
    <row r="3760" spans="2:2" ht="15.6">
      <c r="B3760" s="154"/>
    </row>
    <row r="3761" spans="2:2" ht="15.6">
      <c r="B3761" s="154"/>
    </row>
    <row r="3762" spans="2:2" ht="15.6">
      <c r="B3762" s="154"/>
    </row>
    <row r="3763" spans="2:2" ht="15.6">
      <c r="B3763" s="154"/>
    </row>
    <row r="3764" spans="2:2" ht="15.6">
      <c r="B3764" s="154"/>
    </row>
    <row r="3765" spans="2:2" ht="15.6">
      <c r="B3765" s="154"/>
    </row>
    <row r="3766" spans="2:2" ht="15.6">
      <c r="B3766" s="154"/>
    </row>
    <row r="3767" spans="2:2" ht="15.6">
      <c r="B3767" s="154"/>
    </row>
    <row r="3768" spans="2:2" ht="15.6">
      <c r="B3768" s="154"/>
    </row>
    <row r="3769" spans="2:2" ht="15.6">
      <c r="B3769" s="154"/>
    </row>
    <row r="3770" spans="2:2" ht="15.6">
      <c r="B3770" s="154"/>
    </row>
    <row r="3771" spans="2:2" ht="15.6">
      <c r="B3771" s="154"/>
    </row>
    <row r="3772" spans="2:2" ht="15.6">
      <c r="B3772" s="154"/>
    </row>
    <row r="3773" spans="2:2" ht="15.6">
      <c r="B3773" s="154"/>
    </row>
    <row r="3774" spans="2:2" ht="15.6">
      <c r="B3774" s="154"/>
    </row>
    <row r="3775" spans="2:2" ht="15.6">
      <c r="B3775" s="154"/>
    </row>
    <row r="3776" spans="2:2" ht="15.6">
      <c r="B3776" s="154"/>
    </row>
    <row r="3777" spans="2:2" ht="15.6">
      <c r="B3777" s="154"/>
    </row>
    <row r="3778" spans="2:2" ht="15.6">
      <c r="B3778" s="154"/>
    </row>
    <row r="3779" spans="2:2" ht="15.6">
      <c r="B3779" s="154"/>
    </row>
    <row r="3780" spans="2:2" ht="15.6">
      <c r="B3780" s="154"/>
    </row>
    <row r="3781" spans="2:2" ht="15.6">
      <c r="B3781" s="154"/>
    </row>
    <row r="3782" spans="2:2" ht="15.6">
      <c r="B3782" s="154"/>
    </row>
    <row r="3783" spans="2:2" ht="15.6">
      <c r="B3783" s="154"/>
    </row>
    <row r="3784" spans="2:2" ht="15.6">
      <c r="B3784" s="154"/>
    </row>
    <row r="3785" spans="2:2" ht="15.6">
      <c r="B3785" s="154"/>
    </row>
    <row r="3786" spans="2:2" ht="15.6">
      <c r="B3786" s="154"/>
    </row>
    <row r="3787" spans="2:2" ht="15.6">
      <c r="B3787" s="154"/>
    </row>
    <row r="3788" spans="2:2" ht="15.6">
      <c r="B3788" s="154"/>
    </row>
    <row r="3789" spans="2:2" ht="15.6">
      <c r="B3789" s="154"/>
    </row>
    <row r="3790" spans="2:2" ht="15.6">
      <c r="B3790" s="154"/>
    </row>
    <row r="3791" spans="2:2" ht="15.6">
      <c r="B3791" s="154"/>
    </row>
    <row r="3792" spans="2:2" ht="15.6">
      <c r="B3792" s="154"/>
    </row>
    <row r="3793" spans="2:2" ht="15.6">
      <c r="B3793" s="154"/>
    </row>
    <row r="3794" spans="2:2" ht="15.6">
      <c r="B3794" s="154"/>
    </row>
    <row r="3795" spans="2:2" ht="15.6">
      <c r="B3795" s="154"/>
    </row>
    <row r="3796" spans="2:2" ht="15.6">
      <c r="B3796" s="154"/>
    </row>
    <row r="3797" spans="2:2" ht="15.6">
      <c r="B3797" s="154"/>
    </row>
    <row r="3798" spans="2:2" ht="15.6">
      <c r="B3798" s="154"/>
    </row>
    <row r="3799" spans="2:2" ht="15.6">
      <c r="B3799" s="154"/>
    </row>
    <row r="3800" spans="2:2" ht="15.6">
      <c r="B3800" s="154"/>
    </row>
    <row r="3801" spans="2:2" ht="15.6">
      <c r="B3801" s="154"/>
    </row>
    <row r="3802" spans="2:2" ht="15.6">
      <c r="B3802" s="154"/>
    </row>
    <row r="3803" spans="2:2" ht="15.6">
      <c r="B3803" s="154"/>
    </row>
    <row r="3804" spans="2:2" ht="15.6">
      <c r="B3804" s="154"/>
    </row>
    <row r="3805" spans="2:2" ht="15.6">
      <c r="B3805" s="154"/>
    </row>
    <row r="3806" spans="2:2" ht="15.6">
      <c r="B3806" s="154"/>
    </row>
    <row r="3807" spans="2:2" ht="15.6">
      <c r="B3807" s="154"/>
    </row>
    <row r="3808" spans="2:2" ht="15.6">
      <c r="B3808" s="154"/>
    </row>
    <row r="3809" spans="2:2" ht="15.6">
      <c r="B3809" s="154"/>
    </row>
    <row r="3810" spans="2:2" ht="15.6">
      <c r="B3810" s="154"/>
    </row>
    <row r="3811" spans="2:2" ht="15.6">
      <c r="B3811" s="154"/>
    </row>
    <row r="3812" spans="2:2" ht="15.6">
      <c r="B3812" s="154"/>
    </row>
    <row r="3813" spans="2:2" ht="15.6">
      <c r="B3813" s="154"/>
    </row>
    <row r="3814" spans="2:2" ht="15.6">
      <c r="B3814" s="154"/>
    </row>
    <row r="3815" spans="2:2" ht="15.6">
      <c r="B3815" s="154"/>
    </row>
    <row r="3816" spans="2:2" ht="15.6">
      <c r="B3816" s="154"/>
    </row>
    <row r="3817" spans="2:2" ht="15.6">
      <c r="B3817" s="154"/>
    </row>
    <row r="3818" spans="2:2" ht="15.6">
      <c r="B3818" s="154"/>
    </row>
    <row r="3819" spans="2:2" ht="15.6">
      <c r="B3819" s="154"/>
    </row>
    <row r="3820" spans="2:2" ht="15.6">
      <c r="B3820" s="154"/>
    </row>
    <row r="3821" spans="2:2" ht="15.6">
      <c r="B3821" s="154"/>
    </row>
    <row r="3822" spans="2:2" ht="15.6">
      <c r="B3822" s="154"/>
    </row>
    <row r="3823" spans="2:2" ht="15.6">
      <c r="B3823" s="154"/>
    </row>
    <row r="3824" spans="2:2" ht="15.6">
      <c r="B3824" s="154"/>
    </row>
    <row r="3825" spans="2:2" ht="15.6">
      <c r="B3825" s="154"/>
    </row>
    <row r="3826" spans="2:2" ht="15.6">
      <c r="B3826" s="154"/>
    </row>
    <row r="3827" spans="2:2" ht="15.6">
      <c r="B3827" s="154"/>
    </row>
    <row r="3828" spans="2:2" ht="15.6">
      <c r="B3828" s="154"/>
    </row>
    <row r="3829" spans="2:2" ht="15.6">
      <c r="B3829" s="154"/>
    </row>
    <row r="3830" spans="2:2" ht="15.6">
      <c r="B3830" s="154"/>
    </row>
    <row r="3831" spans="2:2" ht="15.6">
      <c r="B3831" s="154"/>
    </row>
    <row r="3832" spans="2:2" ht="15.6">
      <c r="B3832" s="154"/>
    </row>
    <row r="3833" spans="2:2" ht="15.6">
      <c r="B3833" s="154"/>
    </row>
    <row r="3834" spans="2:2" ht="15.6">
      <c r="B3834" s="154"/>
    </row>
    <row r="3835" spans="2:2" ht="15.6">
      <c r="B3835" s="154"/>
    </row>
    <row r="3836" spans="2:2" ht="15.6">
      <c r="B3836" s="154"/>
    </row>
    <row r="3837" spans="2:2" ht="15.6">
      <c r="B3837" s="154"/>
    </row>
    <row r="3838" spans="2:2" ht="15.6">
      <c r="B3838" s="154"/>
    </row>
    <row r="3839" spans="2:2" ht="15.6">
      <c r="B3839" s="154"/>
    </row>
    <row r="3840" spans="2:2" ht="15.6">
      <c r="B3840" s="154"/>
    </row>
    <row r="3841" spans="2:2" ht="15.6">
      <c r="B3841" s="154"/>
    </row>
    <row r="3842" spans="2:2" ht="15.6">
      <c r="B3842" s="154"/>
    </row>
    <row r="3843" spans="2:2" ht="15.6">
      <c r="B3843" s="154"/>
    </row>
    <row r="3844" spans="2:2" ht="15.6">
      <c r="B3844" s="154"/>
    </row>
    <row r="3845" spans="2:2" ht="15.6">
      <c r="B3845" s="154"/>
    </row>
    <row r="3846" spans="2:2" ht="15.6">
      <c r="B3846" s="154"/>
    </row>
    <row r="3847" spans="2:2" ht="15.6">
      <c r="B3847" s="154"/>
    </row>
    <row r="3848" spans="2:2" ht="15.6">
      <c r="B3848" s="154"/>
    </row>
    <row r="3849" spans="2:2" ht="15.6">
      <c r="B3849" s="154"/>
    </row>
    <row r="3850" spans="2:2" ht="15.6">
      <c r="B3850" s="154"/>
    </row>
    <row r="3851" spans="2:2" ht="15.6">
      <c r="B3851" s="154"/>
    </row>
    <row r="3852" spans="2:2" ht="15.6">
      <c r="B3852" s="154"/>
    </row>
    <row r="3853" spans="2:2" ht="15.6">
      <c r="B3853" s="154"/>
    </row>
    <row r="3854" spans="2:2" ht="15.6">
      <c r="B3854" s="154"/>
    </row>
    <row r="3855" spans="2:2" ht="15.6">
      <c r="B3855" s="154"/>
    </row>
    <row r="3856" spans="2:2" ht="15.6">
      <c r="B3856" s="154"/>
    </row>
    <row r="3857" spans="2:2" ht="15.6">
      <c r="B3857" s="154"/>
    </row>
    <row r="3858" spans="2:2" ht="15.6">
      <c r="B3858" s="154"/>
    </row>
    <row r="3859" spans="2:2" ht="15.6">
      <c r="B3859" s="154"/>
    </row>
    <row r="3860" spans="2:2" ht="15.6">
      <c r="B3860" s="154"/>
    </row>
    <row r="3861" spans="2:2" ht="15.6">
      <c r="B3861" s="154"/>
    </row>
    <row r="3862" spans="2:2" ht="15.6">
      <c r="B3862" s="154"/>
    </row>
    <row r="3863" spans="2:2" ht="15.6">
      <c r="B3863" s="154"/>
    </row>
    <row r="3864" spans="2:2" ht="15.6">
      <c r="B3864" s="154"/>
    </row>
    <row r="3865" spans="2:2" ht="15.6">
      <c r="B3865" s="154"/>
    </row>
    <row r="3866" spans="2:2" ht="15.6">
      <c r="B3866" s="154"/>
    </row>
    <row r="3867" spans="2:2" ht="15.6">
      <c r="B3867" s="154"/>
    </row>
    <row r="3868" spans="2:2" ht="15.6">
      <c r="B3868" s="154"/>
    </row>
    <row r="3869" spans="2:2" ht="15.6">
      <c r="B3869" s="154"/>
    </row>
    <row r="3870" spans="2:2" ht="15.6">
      <c r="B3870" s="154"/>
    </row>
    <row r="3871" spans="2:2" ht="15.6">
      <c r="B3871" s="154"/>
    </row>
    <row r="3872" spans="2:2" ht="15.6">
      <c r="B3872" s="154"/>
    </row>
    <row r="3873" spans="2:2" ht="15.6">
      <c r="B3873" s="154"/>
    </row>
    <row r="3874" spans="2:2" ht="15.6">
      <c r="B3874" s="154"/>
    </row>
    <row r="3875" spans="2:2" ht="15.6">
      <c r="B3875" s="154"/>
    </row>
    <row r="3876" spans="2:2" ht="15.6">
      <c r="B3876" s="154"/>
    </row>
    <row r="3877" spans="2:2" ht="15.6">
      <c r="B3877" s="154"/>
    </row>
    <row r="3878" spans="2:2" ht="15.6">
      <c r="B3878" s="154"/>
    </row>
    <row r="3879" spans="2:2" ht="15.6">
      <c r="B3879" s="154"/>
    </row>
    <row r="3880" spans="2:2" ht="15.6">
      <c r="B3880" s="154"/>
    </row>
    <row r="3881" spans="2:2" ht="15.6">
      <c r="B3881" s="154"/>
    </row>
    <row r="3882" spans="2:2" ht="15.6">
      <c r="B3882" s="154"/>
    </row>
    <row r="3883" spans="2:2" ht="15.6">
      <c r="B3883" s="154"/>
    </row>
    <row r="3884" spans="2:2" ht="15.6">
      <c r="B3884" s="154"/>
    </row>
    <row r="3885" spans="2:2" ht="15.6">
      <c r="B3885" s="154"/>
    </row>
    <row r="3886" spans="2:2" ht="15.6">
      <c r="B3886" s="154"/>
    </row>
    <row r="3887" spans="2:2" ht="15.6">
      <c r="B3887" s="154"/>
    </row>
    <row r="3888" spans="2:2" ht="15.6">
      <c r="B3888" s="154"/>
    </row>
    <row r="3889" spans="2:2" ht="15.6">
      <c r="B3889" s="154"/>
    </row>
    <row r="3890" spans="2:2" ht="15.6">
      <c r="B3890" s="154"/>
    </row>
    <row r="3891" spans="2:2" ht="15.6">
      <c r="B3891" s="154"/>
    </row>
    <row r="3892" spans="2:2" ht="15.6">
      <c r="B3892" s="154"/>
    </row>
    <row r="3893" spans="2:2" ht="15.6">
      <c r="B3893" s="154"/>
    </row>
    <row r="3894" spans="2:2" ht="15.6">
      <c r="B3894" s="154"/>
    </row>
    <row r="3895" spans="2:2" ht="15.6">
      <c r="B3895" s="154"/>
    </row>
    <row r="3896" spans="2:2" ht="15.6">
      <c r="B3896" s="154"/>
    </row>
    <row r="3897" spans="2:2" ht="15.6">
      <c r="B3897" s="154"/>
    </row>
    <row r="3898" spans="2:2" ht="15.6">
      <c r="B3898" s="154"/>
    </row>
    <row r="3899" spans="2:2" ht="15.6">
      <c r="B3899" s="154"/>
    </row>
    <row r="3900" spans="2:2" ht="15.6">
      <c r="B3900" s="154"/>
    </row>
    <row r="3901" spans="2:2" ht="15.6">
      <c r="B3901" s="154"/>
    </row>
    <row r="3902" spans="2:2" ht="15.6">
      <c r="B3902" s="154"/>
    </row>
    <row r="3903" spans="2:2" ht="15.6">
      <c r="B3903" s="154"/>
    </row>
    <row r="3904" spans="2:2" ht="15.6">
      <c r="B3904" s="154"/>
    </row>
    <row r="3905" spans="2:2" ht="15.6">
      <c r="B3905" s="154"/>
    </row>
    <row r="3906" spans="2:2" ht="15.6">
      <c r="B3906" s="154"/>
    </row>
    <row r="3907" spans="2:2" ht="15.6">
      <c r="B3907" s="154"/>
    </row>
    <row r="3908" spans="2:2" ht="15.6">
      <c r="B3908" s="154"/>
    </row>
    <row r="3909" spans="2:2" ht="15.6">
      <c r="B3909" s="154"/>
    </row>
    <row r="3910" spans="2:2" ht="15.6">
      <c r="B3910" s="154"/>
    </row>
    <row r="3911" spans="2:2" ht="15.6">
      <c r="B3911" s="154"/>
    </row>
    <row r="3912" spans="2:2" ht="15.6">
      <c r="B3912" s="154"/>
    </row>
    <row r="3913" spans="2:2" ht="15.6">
      <c r="B3913" s="154"/>
    </row>
    <row r="3914" spans="2:2" ht="15.6">
      <c r="B3914" s="154"/>
    </row>
    <row r="3915" spans="2:2" ht="15.6">
      <c r="B3915" s="154"/>
    </row>
    <row r="3916" spans="2:2" ht="15.6">
      <c r="B3916" s="154"/>
    </row>
    <row r="3917" spans="2:2" ht="15.6">
      <c r="B3917" s="154"/>
    </row>
    <row r="3918" spans="2:2" ht="15.6">
      <c r="B3918" s="154"/>
    </row>
    <row r="3919" spans="2:2" ht="15.6">
      <c r="B3919" s="154"/>
    </row>
    <row r="3920" spans="2:2" ht="15.6">
      <c r="B3920" s="154"/>
    </row>
    <row r="3921" spans="2:2" ht="15.6">
      <c r="B3921" s="154"/>
    </row>
    <row r="3922" spans="2:2" ht="15.6">
      <c r="B3922" s="154"/>
    </row>
    <row r="3923" spans="2:2" ht="15.6">
      <c r="B3923" s="154"/>
    </row>
    <row r="3924" spans="2:2" ht="15.6">
      <c r="B3924" s="154"/>
    </row>
    <row r="3925" spans="2:2" ht="15.6">
      <c r="B3925" s="154"/>
    </row>
    <row r="3926" spans="2:2" ht="15.6">
      <c r="B3926" s="154"/>
    </row>
    <row r="3927" spans="2:2" ht="15.6">
      <c r="B3927" s="154"/>
    </row>
    <row r="3928" spans="2:2" ht="15.6">
      <c r="B3928" s="154"/>
    </row>
    <row r="3929" spans="2:2" ht="15.6">
      <c r="B3929" s="154"/>
    </row>
    <row r="3930" spans="2:2" ht="15.6">
      <c r="B3930" s="154"/>
    </row>
    <row r="3931" spans="2:2" ht="15.6">
      <c r="B3931" s="154"/>
    </row>
    <row r="3932" spans="2:2" ht="15.6">
      <c r="B3932" s="154"/>
    </row>
    <row r="3933" spans="2:2" ht="15.6">
      <c r="B3933" s="154"/>
    </row>
    <row r="3934" spans="2:2" ht="15.6">
      <c r="B3934" s="154"/>
    </row>
    <row r="3935" spans="2:2" ht="15.6">
      <c r="B3935" s="154"/>
    </row>
    <row r="3936" spans="2:2" ht="15.6">
      <c r="B3936" s="154"/>
    </row>
    <row r="3937" spans="2:2" ht="15.6">
      <c r="B3937" s="154"/>
    </row>
    <row r="3938" spans="2:2" ht="15.6">
      <c r="B3938" s="154"/>
    </row>
    <row r="3939" spans="2:2" ht="15.6">
      <c r="B3939" s="154"/>
    </row>
    <row r="3940" spans="2:2" ht="15.6">
      <c r="B3940" s="154"/>
    </row>
    <row r="3941" spans="2:2" ht="15.6">
      <c r="B3941" s="154"/>
    </row>
    <row r="3942" spans="2:2" ht="15.6">
      <c r="B3942" s="154"/>
    </row>
    <row r="3943" spans="2:2" ht="15.6">
      <c r="B3943" s="154"/>
    </row>
    <row r="3944" spans="2:2" ht="15.6">
      <c r="B3944" s="154"/>
    </row>
    <row r="3945" spans="2:2" ht="15.6">
      <c r="B3945" s="154"/>
    </row>
    <row r="3946" spans="2:2" ht="15.6">
      <c r="B3946" s="154"/>
    </row>
    <row r="3947" spans="2:2" ht="15.6">
      <c r="B3947" s="154"/>
    </row>
    <row r="3948" spans="2:2" ht="15.6">
      <c r="B3948" s="154"/>
    </row>
    <row r="3949" spans="2:2" ht="15.6">
      <c r="B3949" s="154"/>
    </row>
    <row r="3950" spans="2:2" ht="15.6">
      <c r="B3950" s="154"/>
    </row>
    <row r="3951" spans="2:2" ht="15.6">
      <c r="B3951" s="154"/>
    </row>
    <row r="3952" spans="2:2" ht="15.6">
      <c r="B3952" s="154"/>
    </row>
    <row r="3953" spans="2:2" ht="15.6">
      <c r="B3953" s="154"/>
    </row>
    <row r="3954" spans="2:2" ht="15.6">
      <c r="B3954" s="154"/>
    </row>
    <row r="3955" spans="2:2" ht="15.6">
      <c r="B3955" s="154"/>
    </row>
    <row r="3956" spans="2:2" ht="15.6">
      <c r="B3956" s="154"/>
    </row>
    <row r="3957" spans="2:2" ht="15.6">
      <c r="B3957" s="154"/>
    </row>
    <row r="3958" spans="2:2" ht="15.6">
      <c r="B3958" s="154"/>
    </row>
    <row r="3959" spans="2:2" ht="15.6">
      <c r="B3959" s="154"/>
    </row>
    <row r="3960" spans="2:2" ht="15.6">
      <c r="B3960" s="154"/>
    </row>
    <row r="3961" spans="2:2" ht="15.6">
      <c r="B3961" s="154"/>
    </row>
    <row r="3962" spans="2:2" ht="15.6">
      <c r="B3962" s="154"/>
    </row>
    <row r="3963" spans="2:2" ht="15.6">
      <c r="B3963" s="154"/>
    </row>
    <row r="3964" spans="2:2" ht="15.6">
      <c r="B3964" s="154"/>
    </row>
    <row r="3965" spans="2:2" ht="15.6">
      <c r="B3965" s="154"/>
    </row>
    <row r="3966" spans="2:2" ht="15.6">
      <c r="B3966" s="154"/>
    </row>
    <row r="3967" spans="2:2" ht="15.6">
      <c r="B3967" s="154"/>
    </row>
    <row r="3968" spans="2:2" ht="15.6">
      <c r="B3968" s="154"/>
    </row>
    <row r="3969" spans="2:2" ht="15.6">
      <c r="B3969" s="154"/>
    </row>
    <row r="3970" spans="2:2" ht="15.6">
      <c r="B3970" s="154"/>
    </row>
    <row r="3971" spans="2:2" ht="15.6">
      <c r="B3971" s="154"/>
    </row>
    <row r="3972" spans="2:2" ht="15.6">
      <c r="B3972" s="154"/>
    </row>
    <row r="3973" spans="2:2" ht="15.6">
      <c r="B3973" s="154"/>
    </row>
    <row r="3974" spans="2:2" ht="15.6">
      <c r="B3974" s="154"/>
    </row>
    <row r="3975" spans="2:2" ht="15.6">
      <c r="B3975" s="154"/>
    </row>
    <row r="3976" spans="2:2" ht="15.6">
      <c r="B3976" s="154"/>
    </row>
    <row r="3977" spans="2:2" ht="15.6">
      <c r="B3977" s="154"/>
    </row>
    <row r="3978" spans="2:2" ht="15.6">
      <c r="B3978" s="154"/>
    </row>
    <row r="3979" spans="2:2" ht="15.6">
      <c r="B3979" s="154"/>
    </row>
    <row r="3980" spans="2:2" ht="15.6">
      <c r="B3980" s="154"/>
    </row>
    <row r="3981" spans="2:2" ht="15.6">
      <c r="B3981" s="154"/>
    </row>
    <row r="3982" spans="2:2" ht="15.6">
      <c r="B3982" s="154"/>
    </row>
    <row r="3983" spans="2:2" ht="15.6">
      <c r="B3983" s="154"/>
    </row>
    <row r="3984" spans="2:2" ht="15.6">
      <c r="B3984" s="154"/>
    </row>
    <row r="3985" spans="2:2" ht="15.6">
      <c r="B3985" s="154"/>
    </row>
    <row r="3986" spans="2:2" ht="15.6">
      <c r="B3986" s="154"/>
    </row>
    <row r="3987" spans="2:2" ht="15.6">
      <c r="B3987" s="154"/>
    </row>
    <row r="3988" spans="2:2" ht="15.6">
      <c r="B3988" s="154"/>
    </row>
    <row r="3989" spans="2:2" ht="15.6">
      <c r="B3989" s="154"/>
    </row>
    <row r="3990" spans="2:2" ht="15.6">
      <c r="B3990" s="154"/>
    </row>
    <row r="3991" spans="2:2" ht="15.6">
      <c r="B3991" s="154"/>
    </row>
    <row r="3992" spans="2:2" ht="15.6">
      <c r="B3992" s="154"/>
    </row>
    <row r="3993" spans="2:2" ht="15.6">
      <c r="B3993" s="154"/>
    </row>
    <row r="3994" spans="2:2" ht="15.6">
      <c r="B3994" s="154"/>
    </row>
    <row r="3995" spans="2:2" ht="15.6">
      <c r="B3995" s="154"/>
    </row>
    <row r="3996" spans="2:2" ht="15.6">
      <c r="B3996" s="154"/>
    </row>
    <row r="3997" spans="2:2" ht="15.6">
      <c r="B3997" s="154"/>
    </row>
    <row r="3998" spans="2:2" ht="15.6">
      <c r="B3998" s="154"/>
    </row>
    <row r="3999" spans="2:2" ht="15.6">
      <c r="B3999" s="154"/>
    </row>
    <row r="4000" spans="2:2" ht="15.6">
      <c r="B4000" s="154"/>
    </row>
    <row r="4001" spans="2:2" ht="15.6">
      <c r="B4001" s="154"/>
    </row>
    <row r="4002" spans="2:2" ht="15.6">
      <c r="B4002" s="154"/>
    </row>
    <row r="4003" spans="2:2" ht="15.6">
      <c r="B4003" s="154"/>
    </row>
    <row r="4004" spans="2:2" ht="15.6">
      <c r="B4004" s="154"/>
    </row>
    <row r="4005" spans="2:2" ht="15.6">
      <c r="B4005" s="154"/>
    </row>
    <row r="4006" spans="2:2" ht="15.6">
      <c r="B4006" s="154"/>
    </row>
    <row r="4007" spans="2:2" ht="15.6">
      <c r="B4007" s="154"/>
    </row>
    <row r="4008" spans="2:2" ht="15.6">
      <c r="B4008" s="154"/>
    </row>
    <row r="4009" spans="2:2" ht="15.6">
      <c r="B4009" s="154"/>
    </row>
    <row r="4010" spans="2:2" ht="15.6">
      <c r="B4010" s="154"/>
    </row>
    <row r="4011" spans="2:2" ht="15.6">
      <c r="B4011" s="154"/>
    </row>
    <row r="4012" spans="2:2" ht="15.6">
      <c r="B4012" s="154"/>
    </row>
    <row r="4013" spans="2:2" ht="15.6">
      <c r="B4013" s="154"/>
    </row>
    <row r="4014" spans="2:2" ht="15.6">
      <c r="B4014" s="154"/>
    </row>
    <row r="4015" spans="2:2" ht="15.6">
      <c r="B4015" s="154"/>
    </row>
    <row r="4016" spans="2:2" ht="15.6">
      <c r="B4016" s="154"/>
    </row>
    <row r="4017" spans="2:2" ht="15.6">
      <c r="B4017" s="154"/>
    </row>
    <row r="4018" spans="2:2" ht="15.6">
      <c r="B4018" s="154"/>
    </row>
    <row r="4019" spans="2:2" ht="15.6">
      <c r="B4019" s="154"/>
    </row>
    <row r="4020" spans="2:2" ht="15.6">
      <c r="B4020" s="154"/>
    </row>
    <row r="4021" spans="2:2" ht="15.6">
      <c r="B4021" s="154"/>
    </row>
    <row r="4022" spans="2:2" ht="15.6">
      <c r="B4022" s="154"/>
    </row>
    <row r="4023" spans="2:2" ht="15.6">
      <c r="B4023" s="154"/>
    </row>
    <row r="4024" spans="2:2" ht="15.6">
      <c r="B4024" s="154"/>
    </row>
    <row r="4025" spans="2:2" ht="15.6">
      <c r="B4025" s="154"/>
    </row>
    <row r="4026" spans="2:2" ht="15.6">
      <c r="B4026" s="154"/>
    </row>
    <row r="4027" spans="2:2" ht="15.6">
      <c r="B4027" s="154"/>
    </row>
    <row r="4028" spans="2:2" ht="15.6">
      <c r="B4028" s="154"/>
    </row>
    <row r="4029" spans="2:2" ht="15.6">
      <c r="B4029" s="154"/>
    </row>
    <row r="4030" spans="2:2" ht="15.6">
      <c r="B4030" s="154"/>
    </row>
    <row r="4031" spans="2:2" ht="15.6">
      <c r="B4031" s="154"/>
    </row>
    <row r="4032" spans="2:2" ht="15.6">
      <c r="B4032" s="154"/>
    </row>
    <row r="4033" spans="2:2" ht="15.6">
      <c r="B4033" s="154"/>
    </row>
    <row r="4034" spans="2:2" ht="15.6">
      <c r="B4034" s="154"/>
    </row>
    <row r="4035" spans="2:2" ht="15.6">
      <c r="B4035" s="154"/>
    </row>
    <row r="4036" spans="2:2" ht="15.6">
      <c r="B4036" s="154"/>
    </row>
    <row r="4037" spans="2:2" ht="15.6">
      <c r="B4037" s="154"/>
    </row>
    <row r="4038" spans="2:2" ht="15.6">
      <c r="B4038" s="154"/>
    </row>
    <row r="4039" spans="2:2" ht="15.6">
      <c r="B4039" s="154"/>
    </row>
    <row r="4040" spans="2:2" ht="15.6">
      <c r="B4040" s="154"/>
    </row>
    <row r="4041" spans="2:2" ht="15.6">
      <c r="B4041" s="154"/>
    </row>
    <row r="4042" spans="2:2" ht="15.6">
      <c r="B4042" s="154"/>
    </row>
    <row r="4043" spans="2:2" ht="15.6">
      <c r="B4043" s="154"/>
    </row>
    <row r="4044" spans="2:2" ht="15.6">
      <c r="B4044" s="154"/>
    </row>
    <row r="4045" spans="2:2" ht="15.6">
      <c r="B4045" s="154"/>
    </row>
    <row r="4046" spans="2:2" ht="15.6">
      <c r="B4046" s="154"/>
    </row>
    <row r="4047" spans="2:2" ht="15.6">
      <c r="B4047" s="154"/>
    </row>
    <row r="4048" spans="2:2" ht="15.6">
      <c r="B4048" s="154"/>
    </row>
    <row r="4049" spans="2:2" ht="15.6">
      <c r="B4049" s="154"/>
    </row>
    <row r="4050" spans="2:2" ht="15.6">
      <c r="B4050" s="154"/>
    </row>
    <row r="4051" spans="2:2" ht="15.6">
      <c r="B4051" s="154"/>
    </row>
    <row r="4052" spans="2:2" ht="15.6">
      <c r="B4052" s="154"/>
    </row>
    <row r="4053" spans="2:2" ht="15.6">
      <c r="B4053" s="154"/>
    </row>
    <row r="4054" spans="2:2" ht="15.6">
      <c r="B4054" s="154"/>
    </row>
    <row r="4055" spans="2:2" ht="15.6">
      <c r="B4055" s="154"/>
    </row>
    <row r="4056" spans="2:2" ht="15.6">
      <c r="B4056" s="154"/>
    </row>
    <row r="4057" spans="2:2" ht="15.6">
      <c r="B4057" s="154"/>
    </row>
    <row r="4058" spans="2:2" ht="15.6">
      <c r="B4058" s="154"/>
    </row>
    <row r="4059" spans="2:2" ht="15.6">
      <c r="B4059" s="154"/>
    </row>
    <row r="4060" spans="2:2" ht="15.6">
      <c r="B4060" s="154"/>
    </row>
    <row r="4061" spans="2:2" ht="15.6">
      <c r="B4061" s="154"/>
    </row>
    <row r="4062" spans="2:2" ht="15.6">
      <c r="B4062" s="154"/>
    </row>
    <row r="4063" spans="2:2" ht="15.6">
      <c r="B4063" s="154"/>
    </row>
    <row r="4064" spans="2:2" ht="15.6">
      <c r="B4064" s="154"/>
    </row>
    <row r="4065" spans="2:2" ht="15.6">
      <c r="B4065" s="154"/>
    </row>
    <row r="4066" spans="2:2" ht="15.6">
      <c r="B4066" s="154"/>
    </row>
    <row r="4067" spans="2:2" ht="15.6">
      <c r="B4067" s="154"/>
    </row>
    <row r="4068" spans="2:2" ht="15.6">
      <c r="B4068" s="154"/>
    </row>
    <row r="4069" spans="2:2" ht="15.6">
      <c r="B4069" s="154"/>
    </row>
    <row r="4070" spans="2:2" ht="15.6">
      <c r="B4070" s="154"/>
    </row>
    <row r="4071" spans="2:2" ht="15.6">
      <c r="B4071" s="154"/>
    </row>
    <row r="4072" spans="2:2" ht="15.6">
      <c r="B4072" s="154"/>
    </row>
    <row r="4073" spans="2:2" ht="15.6">
      <c r="B4073" s="154"/>
    </row>
    <row r="4074" spans="2:2" ht="15.6">
      <c r="B4074" s="154"/>
    </row>
    <row r="4075" spans="2:2" ht="15.6">
      <c r="B4075" s="154"/>
    </row>
    <row r="4076" spans="2:2" ht="15.6">
      <c r="B4076" s="154"/>
    </row>
    <row r="4077" spans="2:2" ht="15.6">
      <c r="B4077" s="154"/>
    </row>
    <row r="4078" spans="2:2" ht="15.6">
      <c r="B4078" s="154"/>
    </row>
    <row r="4079" spans="2:2" ht="15.6">
      <c r="B4079" s="154"/>
    </row>
    <row r="4080" spans="2:2" ht="15.6">
      <c r="B4080" s="154"/>
    </row>
    <row r="4081" spans="2:2" ht="15.6">
      <c r="B4081" s="154"/>
    </row>
    <row r="4082" spans="2:2" ht="15.6">
      <c r="B4082" s="154"/>
    </row>
    <row r="4083" spans="2:2" ht="15.6">
      <c r="B4083" s="154"/>
    </row>
    <row r="4084" spans="2:2" ht="15.6">
      <c r="B4084" s="154"/>
    </row>
    <row r="4085" spans="2:2" ht="15.6">
      <c r="B4085" s="154"/>
    </row>
    <row r="4086" spans="2:2" ht="15.6">
      <c r="B4086" s="154"/>
    </row>
    <row r="4087" spans="2:2" ht="15.6">
      <c r="B4087" s="154"/>
    </row>
    <row r="4088" spans="2:2" ht="15.6">
      <c r="B4088" s="154"/>
    </row>
    <row r="4089" spans="2:2" ht="15.6">
      <c r="B4089" s="154"/>
    </row>
    <row r="4090" spans="2:2" ht="15.6">
      <c r="B4090" s="154"/>
    </row>
    <row r="4091" spans="2:2" ht="15.6">
      <c r="B4091" s="154"/>
    </row>
    <row r="4092" spans="2:2" ht="15.6">
      <c r="B4092" s="154"/>
    </row>
    <row r="4093" spans="2:2" ht="15.6">
      <c r="B4093" s="154"/>
    </row>
    <row r="4094" spans="2:2" ht="15.6">
      <c r="B4094" s="154"/>
    </row>
    <row r="4095" spans="2:2" ht="15.6">
      <c r="B4095" s="154"/>
    </row>
    <row r="4096" spans="2:2" ht="15.6">
      <c r="B4096" s="154"/>
    </row>
    <row r="4097" spans="2:2" ht="15.6">
      <c r="B4097" s="154"/>
    </row>
    <row r="4098" spans="2:2" ht="15.6">
      <c r="B4098" s="154"/>
    </row>
    <row r="4099" spans="2:2" ht="15.6">
      <c r="B4099" s="154"/>
    </row>
    <row r="4100" spans="2:2" ht="15.6">
      <c r="B4100" s="154"/>
    </row>
    <row r="4101" spans="2:2" ht="15.6">
      <c r="B4101" s="154"/>
    </row>
    <row r="4102" spans="2:2" ht="15.6">
      <c r="B4102" s="154"/>
    </row>
    <row r="4103" spans="2:2" ht="15.6">
      <c r="B4103" s="154"/>
    </row>
    <row r="4104" spans="2:2" ht="15.6">
      <c r="B4104" s="154"/>
    </row>
    <row r="4105" spans="2:2" ht="15.6">
      <c r="B4105" s="154"/>
    </row>
    <row r="4106" spans="2:2" ht="15.6">
      <c r="B4106" s="154"/>
    </row>
    <row r="4107" spans="2:2" ht="15.6">
      <c r="B4107" s="154"/>
    </row>
    <row r="4108" spans="2:2" ht="15.6">
      <c r="B4108" s="154"/>
    </row>
    <row r="4109" spans="2:2" ht="15.6">
      <c r="B4109" s="154"/>
    </row>
    <row r="4110" spans="2:2" ht="15.6">
      <c r="B4110" s="154"/>
    </row>
    <row r="4111" spans="2:2" ht="15.6">
      <c r="B4111" s="154"/>
    </row>
    <row r="4112" spans="2:2" ht="15.6">
      <c r="B4112" s="154"/>
    </row>
    <row r="4113" spans="2:2" ht="15.6">
      <c r="B4113" s="154"/>
    </row>
    <row r="4114" spans="2:2" ht="15.6">
      <c r="B4114" s="154"/>
    </row>
    <row r="4115" spans="2:2" ht="15.6">
      <c r="B4115" s="154"/>
    </row>
    <row r="4116" spans="2:2" ht="15.6">
      <c r="B4116" s="154"/>
    </row>
    <row r="4117" spans="2:2" ht="15.6">
      <c r="B4117" s="154"/>
    </row>
    <row r="4118" spans="2:2" ht="15.6">
      <c r="B4118" s="154"/>
    </row>
    <row r="4119" spans="2:2" ht="15.6">
      <c r="B4119" s="154"/>
    </row>
    <row r="4120" spans="2:2" ht="15.6">
      <c r="B4120" s="154"/>
    </row>
    <row r="4121" spans="2:2" ht="15.6">
      <c r="B4121" s="154"/>
    </row>
    <row r="4122" spans="2:2" ht="15.6">
      <c r="B4122" s="154"/>
    </row>
    <row r="4123" spans="2:2" ht="15.6">
      <c r="B4123" s="154"/>
    </row>
    <row r="4124" spans="2:2" ht="15.6">
      <c r="B4124" s="154"/>
    </row>
    <row r="4125" spans="2:2" ht="15.6">
      <c r="B4125" s="154"/>
    </row>
    <row r="4126" spans="2:2" ht="15.6">
      <c r="B4126" s="154"/>
    </row>
    <row r="4127" spans="2:2" ht="15.6">
      <c r="B4127" s="154"/>
    </row>
    <row r="4128" spans="2:2" ht="15.6">
      <c r="B4128" s="154"/>
    </row>
    <row r="4129" spans="2:2" ht="15.6">
      <c r="B4129" s="154"/>
    </row>
    <row r="4130" spans="2:2" ht="15.6">
      <c r="B4130" s="154"/>
    </row>
    <row r="4131" spans="2:2" ht="15.6">
      <c r="B4131" s="154"/>
    </row>
    <row r="4132" spans="2:2" ht="15.6">
      <c r="B4132" s="154"/>
    </row>
    <row r="4133" spans="2:2" ht="15.6">
      <c r="B4133" s="154"/>
    </row>
    <row r="4134" spans="2:2" ht="15.6">
      <c r="B4134" s="154"/>
    </row>
    <row r="4135" spans="2:2" ht="15.6">
      <c r="B4135" s="154"/>
    </row>
    <row r="4136" spans="2:2" ht="15.6">
      <c r="B4136" s="154"/>
    </row>
    <row r="4137" spans="2:2" ht="15.6">
      <c r="B4137" s="154"/>
    </row>
    <row r="4138" spans="2:2" ht="15.6">
      <c r="B4138" s="154"/>
    </row>
    <row r="4139" spans="2:2" ht="15.6">
      <c r="B4139" s="154"/>
    </row>
    <row r="4140" spans="2:2" ht="15.6">
      <c r="B4140" s="154"/>
    </row>
    <row r="4141" spans="2:2" ht="15.6">
      <c r="B4141" s="154"/>
    </row>
    <row r="4142" spans="2:2" ht="15.6">
      <c r="B4142" s="154"/>
    </row>
    <row r="4143" spans="2:2" ht="15.6">
      <c r="B4143" s="154"/>
    </row>
    <row r="4144" spans="2:2" ht="15.6">
      <c r="B4144" s="154"/>
    </row>
    <row r="4145" spans="2:2" ht="15.6">
      <c r="B4145" s="154"/>
    </row>
    <row r="4146" spans="2:2" ht="15.6">
      <c r="B4146" s="154"/>
    </row>
    <row r="4147" spans="2:2" ht="15.6">
      <c r="B4147" s="154"/>
    </row>
    <row r="4148" spans="2:2" ht="15.6">
      <c r="B4148" s="154"/>
    </row>
    <row r="4149" spans="2:2" ht="15.6">
      <c r="B4149" s="154"/>
    </row>
    <row r="4150" spans="2:2" ht="15.6">
      <c r="B4150" s="154"/>
    </row>
    <row r="4151" spans="2:2" ht="15.6">
      <c r="B4151" s="154"/>
    </row>
    <row r="4152" spans="2:2" ht="15.6">
      <c r="B4152" s="154"/>
    </row>
    <row r="4153" spans="2:2" ht="15.6">
      <c r="B4153" s="154"/>
    </row>
    <row r="4154" spans="2:2" ht="15.6">
      <c r="B4154" s="154"/>
    </row>
    <row r="4155" spans="2:2" ht="15.6">
      <c r="B4155" s="154"/>
    </row>
    <row r="4156" spans="2:2" ht="15.6">
      <c r="B4156" s="154"/>
    </row>
    <row r="4157" spans="2:2" ht="15.6">
      <c r="B4157" s="154"/>
    </row>
    <row r="4158" spans="2:2" ht="15.6">
      <c r="B4158" s="154"/>
    </row>
    <row r="4159" spans="2:2" ht="15.6">
      <c r="B4159" s="154"/>
    </row>
    <row r="4160" spans="2:2" ht="15.6">
      <c r="B4160" s="154"/>
    </row>
    <row r="4161" spans="2:2" ht="15.6">
      <c r="B4161" s="154"/>
    </row>
    <row r="4162" spans="2:2" ht="15.6">
      <c r="B4162" s="154"/>
    </row>
    <row r="4163" spans="2:2" ht="15.6">
      <c r="B4163" s="154"/>
    </row>
    <row r="4164" spans="2:2" ht="15.6">
      <c r="B4164" s="154"/>
    </row>
    <row r="4165" spans="2:2" ht="15.6">
      <c r="B4165" s="154"/>
    </row>
    <row r="4166" spans="2:2" ht="15.6">
      <c r="B4166" s="154"/>
    </row>
    <row r="4167" spans="2:2" ht="15.6">
      <c r="B4167" s="154"/>
    </row>
    <row r="4168" spans="2:2" ht="15.6">
      <c r="B4168" s="154"/>
    </row>
    <row r="4169" spans="2:2" ht="15.6">
      <c r="B4169" s="154"/>
    </row>
    <row r="4170" spans="2:2" ht="15.6">
      <c r="B4170" s="154"/>
    </row>
    <row r="4171" spans="2:2" ht="15.6">
      <c r="B4171" s="154"/>
    </row>
    <row r="4172" spans="2:2" ht="15.6">
      <c r="B4172" s="154"/>
    </row>
    <row r="4173" spans="2:2" ht="15.6">
      <c r="B4173" s="154"/>
    </row>
    <row r="4174" spans="2:2" ht="15.6">
      <c r="B4174" s="154"/>
    </row>
    <row r="4175" spans="2:2" ht="15.6">
      <c r="B4175" s="154"/>
    </row>
    <row r="4176" spans="2:2" ht="15.6">
      <c r="B4176" s="154"/>
    </row>
    <row r="4177" spans="2:2" ht="15.6">
      <c r="B4177" s="154"/>
    </row>
    <row r="4178" spans="2:2" ht="15.6">
      <c r="B4178" s="154"/>
    </row>
    <row r="4179" spans="2:2" ht="15.6">
      <c r="B4179" s="154"/>
    </row>
    <row r="4180" spans="2:2" ht="15.6">
      <c r="B4180" s="154"/>
    </row>
    <row r="4181" spans="2:2" ht="15.6">
      <c r="B4181" s="154"/>
    </row>
    <row r="4182" spans="2:2" ht="15.6">
      <c r="B4182" s="154"/>
    </row>
    <row r="4183" spans="2:2" ht="15.6">
      <c r="B4183" s="154"/>
    </row>
    <row r="4184" spans="2:2" ht="15.6">
      <c r="B4184" s="154"/>
    </row>
    <row r="4185" spans="2:2" ht="15.6">
      <c r="B4185" s="154"/>
    </row>
    <row r="4186" spans="2:2" ht="15.6">
      <c r="B4186" s="154"/>
    </row>
    <row r="4187" spans="2:2" ht="15.6">
      <c r="B4187" s="154"/>
    </row>
    <row r="4188" spans="2:2" ht="15.6">
      <c r="B4188" s="154"/>
    </row>
    <row r="4189" spans="2:2" ht="15.6">
      <c r="B4189" s="154"/>
    </row>
    <row r="4190" spans="2:2" ht="15.6">
      <c r="B4190" s="154"/>
    </row>
    <row r="4191" spans="2:2" ht="15.6">
      <c r="B4191" s="154"/>
    </row>
    <row r="4192" spans="2:2" ht="15.6">
      <c r="B4192" s="154"/>
    </row>
    <row r="4193" spans="2:2" ht="15.6">
      <c r="B4193" s="154"/>
    </row>
    <row r="4194" spans="2:2" ht="15.6">
      <c r="B4194" s="154"/>
    </row>
    <row r="4195" spans="2:2" ht="15.6">
      <c r="B4195" s="154"/>
    </row>
    <row r="4196" spans="2:2" ht="15.6">
      <c r="B4196" s="154"/>
    </row>
    <row r="4197" spans="2:2" ht="15.6">
      <c r="B4197" s="154"/>
    </row>
    <row r="4198" spans="2:2" ht="15.6">
      <c r="B4198" s="154"/>
    </row>
    <row r="4199" spans="2:2" ht="15.6">
      <c r="B4199" s="154"/>
    </row>
    <row r="4200" spans="2:2" ht="15.6">
      <c r="B4200" s="154"/>
    </row>
    <row r="4201" spans="2:2" ht="15.6">
      <c r="B4201" s="154"/>
    </row>
    <row r="4202" spans="2:2" ht="15.6">
      <c r="B4202" s="154"/>
    </row>
    <row r="4203" spans="2:2" ht="15.6">
      <c r="B4203" s="154"/>
    </row>
    <row r="4204" spans="2:2" ht="15.6">
      <c r="B4204" s="154"/>
    </row>
    <row r="4205" spans="2:2" ht="15.6">
      <c r="B4205" s="154"/>
    </row>
    <row r="4206" spans="2:2" ht="15.6">
      <c r="B4206" s="154"/>
    </row>
    <row r="4207" spans="2:2" ht="15.6">
      <c r="B4207" s="154"/>
    </row>
    <row r="4208" spans="2:2" ht="15.6">
      <c r="B4208" s="154"/>
    </row>
    <row r="4209" spans="2:2" ht="15.6">
      <c r="B4209" s="154"/>
    </row>
    <row r="4210" spans="2:2" ht="15.6">
      <c r="B4210" s="154"/>
    </row>
    <row r="4211" spans="2:2" ht="15.6">
      <c r="B4211" s="154"/>
    </row>
    <row r="4212" spans="2:2" ht="15.6">
      <c r="B4212" s="154"/>
    </row>
    <row r="4213" spans="2:2" ht="15.6">
      <c r="B4213" s="154"/>
    </row>
    <row r="4214" spans="2:2" ht="15.6">
      <c r="B4214" s="154"/>
    </row>
    <row r="4215" spans="2:2" ht="15.6">
      <c r="B4215" s="154"/>
    </row>
    <row r="4216" spans="2:2" ht="15.6">
      <c r="B4216" s="154"/>
    </row>
    <row r="4217" spans="2:2" ht="15.6">
      <c r="B4217" s="154"/>
    </row>
    <row r="4218" spans="2:2" ht="15.6">
      <c r="B4218" s="154"/>
    </row>
    <row r="4219" spans="2:2" ht="15.6">
      <c r="B4219" s="154"/>
    </row>
    <row r="4220" spans="2:2" ht="15.6">
      <c r="B4220" s="154"/>
    </row>
    <row r="4221" spans="2:2" ht="15.6">
      <c r="B4221" s="154"/>
    </row>
    <row r="4222" spans="2:2" ht="15.6">
      <c r="B4222" s="154"/>
    </row>
    <row r="4223" spans="2:2" ht="15.6">
      <c r="B4223" s="154"/>
    </row>
    <row r="4224" spans="2:2" ht="15.6">
      <c r="B4224" s="154"/>
    </row>
    <row r="4225" spans="2:2" ht="15.6">
      <c r="B4225" s="154"/>
    </row>
    <row r="4226" spans="2:2" ht="15.6">
      <c r="B4226" s="154"/>
    </row>
    <row r="4227" spans="2:2" ht="15.6">
      <c r="B4227" s="154"/>
    </row>
    <row r="4228" spans="2:2" ht="15.6">
      <c r="B4228" s="154"/>
    </row>
    <row r="4229" spans="2:2" ht="15.6">
      <c r="B4229" s="154"/>
    </row>
    <row r="4230" spans="2:2" ht="15.6">
      <c r="B4230" s="154"/>
    </row>
    <row r="4231" spans="2:2" ht="15.6">
      <c r="B4231" s="154"/>
    </row>
    <row r="4232" spans="2:2" ht="15.6">
      <c r="B4232" s="154"/>
    </row>
    <row r="4233" spans="2:2" ht="15.6">
      <c r="B4233" s="154"/>
    </row>
    <row r="4234" spans="2:2" ht="15.6">
      <c r="B4234" s="154"/>
    </row>
    <row r="4235" spans="2:2" ht="15.6">
      <c r="B4235" s="154"/>
    </row>
    <row r="4236" spans="2:2" ht="15.6">
      <c r="B4236" s="154"/>
    </row>
    <row r="4237" spans="2:2" ht="15.6">
      <c r="B4237" s="154"/>
    </row>
    <row r="4238" spans="2:2" ht="15.6">
      <c r="B4238" s="154"/>
    </row>
    <row r="4239" spans="2:2" ht="15.6">
      <c r="B4239" s="154"/>
    </row>
    <row r="4240" spans="2:2" ht="15.6">
      <c r="B4240" s="154"/>
    </row>
    <row r="4241" spans="2:2" ht="15.6">
      <c r="B4241" s="154"/>
    </row>
    <row r="4242" spans="2:2" ht="15.6">
      <c r="B4242" s="154"/>
    </row>
    <row r="4243" spans="2:2" ht="15.6">
      <c r="B4243" s="154"/>
    </row>
    <row r="4244" spans="2:2" ht="15.6">
      <c r="B4244" s="154"/>
    </row>
    <row r="4245" spans="2:2" ht="15.6">
      <c r="B4245" s="154"/>
    </row>
    <row r="4246" spans="2:2" ht="15.6">
      <c r="B4246" s="154"/>
    </row>
    <row r="4247" spans="2:2" ht="15.6">
      <c r="B4247" s="154"/>
    </row>
    <row r="4248" spans="2:2" ht="15.6">
      <c r="B4248" s="154"/>
    </row>
    <row r="4249" spans="2:2" ht="15.6">
      <c r="B4249" s="154"/>
    </row>
    <row r="4250" spans="2:2" ht="15.6">
      <c r="B4250" s="154"/>
    </row>
    <row r="4251" spans="2:2" ht="15.6">
      <c r="B4251" s="154"/>
    </row>
    <row r="4252" spans="2:2" ht="15.6">
      <c r="B4252" s="154"/>
    </row>
    <row r="4253" spans="2:2" ht="15.6">
      <c r="B4253" s="154"/>
    </row>
    <row r="4254" spans="2:2" ht="15.6">
      <c r="B4254" s="154"/>
    </row>
    <row r="4255" spans="2:2" ht="15.6">
      <c r="B4255" s="154"/>
    </row>
    <row r="4256" spans="2:2" ht="15.6">
      <c r="B4256" s="154"/>
    </row>
    <row r="4257" spans="2:2" ht="15.6">
      <c r="B4257" s="154"/>
    </row>
    <row r="4258" spans="2:2" ht="15.6">
      <c r="B4258" s="154"/>
    </row>
    <row r="4259" spans="2:2" ht="15.6">
      <c r="B4259" s="154"/>
    </row>
    <row r="4260" spans="2:2" ht="15.6">
      <c r="B4260" s="154"/>
    </row>
    <row r="4261" spans="2:2" ht="15.6">
      <c r="B4261" s="154"/>
    </row>
    <row r="4262" spans="2:2" ht="15.6">
      <c r="B4262" s="154"/>
    </row>
    <row r="4263" spans="2:2" ht="15.6">
      <c r="B4263" s="154"/>
    </row>
    <row r="4264" spans="2:2" ht="15.6">
      <c r="B4264" s="154"/>
    </row>
    <row r="4265" spans="2:2" ht="15.6">
      <c r="B4265" s="154"/>
    </row>
    <row r="4266" spans="2:2" ht="15.6">
      <c r="B4266" s="154"/>
    </row>
    <row r="4267" spans="2:2" ht="15.6">
      <c r="B4267" s="154"/>
    </row>
    <row r="4268" spans="2:2" ht="15.6">
      <c r="B4268" s="154"/>
    </row>
    <row r="4269" spans="2:2" ht="15.6">
      <c r="B4269" s="154"/>
    </row>
    <row r="4270" spans="2:2" ht="15.6">
      <c r="B4270" s="154"/>
    </row>
    <row r="4271" spans="2:2" ht="15.6">
      <c r="B4271" s="154"/>
    </row>
    <row r="4272" spans="2:2" ht="15.6">
      <c r="B4272" s="154"/>
    </row>
    <row r="4273" spans="2:2" ht="15.6">
      <c r="B4273" s="154"/>
    </row>
    <row r="4274" spans="2:2" ht="15.6">
      <c r="B4274" s="154"/>
    </row>
    <row r="4275" spans="2:2" ht="15.6">
      <c r="B4275" s="154"/>
    </row>
    <row r="4276" spans="2:2" ht="15.6">
      <c r="B4276" s="154"/>
    </row>
    <row r="4277" spans="2:2" ht="15.6">
      <c r="B4277" s="154"/>
    </row>
    <row r="4278" spans="2:2" ht="15.6">
      <c r="B4278" s="154"/>
    </row>
    <row r="4279" spans="2:2" ht="15.6">
      <c r="B4279" s="154"/>
    </row>
    <row r="4280" spans="2:2" ht="15.6">
      <c r="B4280" s="154"/>
    </row>
    <row r="4281" spans="2:2" ht="15.6">
      <c r="B4281" s="154"/>
    </row>
    <row r="4282" spans="2:2" ht="15.6">
      <c r="B4282" s="154"/>
    </row>
    <row r="4283" spans="2:2" ht="15.6">
      <c r="B4283" s="154"/>
    </row>
    <row r="4284" spans="2:2" ht="15.6">
      <c r="B4284" s="154"/>
    </row>
    <row r="4285" spans="2:2" ht="15.6">
      <c r="B4285" s="154"/>
    </row>
    <row r="4286" spans="2:2" ht="15.6">
      <c r="B4286" s="154"/>
    </row>
    <row r="4287" spans="2:2" ht="15.6">
      <c r="B4287" s="154"/>
    </row>
    <row r="4288" spans="2:2" ht="15.6">
      <c r="B4288" s="154"/>
    </row>
    <row r="4289" spans="2:2" ht="15.6">
      <c r="B4289" s="154"/>
    </row>
    <row r="4290" spans="2:2" ht="15.6">
      <c r="B4290" s="154"/>
    </row>
    <row r="4291" spans="2:2" ht="15.6">
      <c r="B4291" s="154"/>
    </row>
    <row r="4292" spans="2:2" ht="15.6">
      <c r="B4292" s="154"/>
    </row>
    <row r="4293" spans="2:2" ht="15.6">
      <c r="B4293" s="154"/>
    </row>
    <row r="4294" spans="2:2" ht="15.6">
      <c r="B4294" s="154"/>
    </row>
    <row r="4295" spans="2:2" ht="15.6">
      <c r="B4295" s="154"/>
    </row>
    <row r="4296" spans="2:2" ht="15.6">
      <c r="B4296" s="154"/>
    </row>
    <row r="4297" spans="2:2" ht="15.6">
      <c r="B4297" s="154"/>
    </row>
    <row r="4298" spans="2:2" ht="15.6">
      <c r="B4298" s="154"/>
    </row>
    <row r="4299" spans="2:2" ht="15.6">
      <c r="B4299" s="154"/>
    </row>
    <row r="4300" spans="2:2" ht="15.6">
      <c r="B4300" s="154"/>
    </row>
    <row r="4301" spans="2:2" ht="15.6">
      <c r="B4301" s="154"/>
    </row>
    <row r="4302" spans="2:2" ht="15.6">
      <c r="B4302" s="154"/>
    </row>
    <row r="4303" spans="2:2" ht="15.6">
      <c r="B4303" s="154"/>
    </row>
    <row r="4304" spans="2:2" ht="15.6">
      <c r="B4304" s="154"/>
    </row>
    <row r="4305" spans="2:2" ht="15.6">
      <c r="B4305" s="154"/>
    </row>
    <row r="4306" spans="2:2" ht="15.6">
      <c r="B4306" s="154"/>
    </row>
    <row r="4307" spans="2:2" ht="15.6">
      <c r="B4307" s="154"/>
    </row>
    <row r="4308" spans="2:2" ht="15.6">
      <c r="B4308" s="154"/>
    </row>
    <row r="4309" spans="2:2" ht="15.6">
      <c r="B4309" s="154"/>
    </row>
    <row r="4310" spans="2:2" ht="15.6">
      <c r="B4310" s="154"/>
    </row>
    <row r="4311" spans="2:2" ht="15.6">
      <c r="B4311" s="154"/>
    </row>
    <row r="4312" spans="2:2" ht="15.6">
      <c r="B4312" s="154"/>
    </row>
    <row r="4313" spans="2:2" ht="15.6">
      <c r="B4313" s="154"/>
    </row>
    <row r="4314" spans="2:2" ht="15.6">
      <c r="B4314" s="154"/>
    </row>
    <row r="4315" spans="2:2" ht="15.6">
      <c r="B4315" s="154"/>
    </row>
    <row r="4316" spans="2:2" ht="15.6">
      <c r="B4316" s="154"/>
    </row>
    <row r="4317" spans="2:2" ht="15.6">
      <c r="B4317" s="154"/>
    </row>
    <row r="4318" spans="2:2" ht="15.6">
      <c r="B4318" s="154"/>
    </row>
    <row r="4319" spans="2:2" ht="15.6">
      <c r="B4319" s="154"/>
    </row>
    <row r="4320" spans="2:2" ht="15.6">
      <c r="B4320" s="154"/>
    </row>
    <row r="4321" spans="2:2" ht="15.6">
      <c r="B4321" s="154"/>
    </row>
    <row r="4322" spans="2:2" ht="15.6">
      <c r="B4322" s="154"/>
    </row>
    <row r="4323" spans="2:2" ht="15.6">
      <c r="B4323" s="154"/>
    </row>
    <row r="4324" spans="2:2" ht="15.6">
      <c r="B4324" s="154"/>
    </row>
    <row r="4325" spans="2:2" ht="15.6">
      <c r="B4325" s="154"/>
    </row>
    <row r="4326" spans="2:2" ht="15.6">
      <c r="B4326" s="154"/>
    </row>
    <row r="4327" spans="2:2" ht="15.6">
      <c r="B4327" s="154"/>
    </row>
    <row r="4328" spans="2:2" ht="15.6">
      <c r="B4328" s="154"/>
    </row>
    <row r="4329" spans="2:2" ht="15.6">
      <c r="B4329" s="154"/>
    </row>
    <row r="4330" spans="2:2" ht="15.6">
      <c r="B4330" s="154"/>
    </row>
    <row r="4331" spans="2:2" ht="15.6">
      <c r="B4331" s="154"/>
    </row>
    <row r="4332" spans="2:2" ht="15.6">
      <c r="B4332" s="154"/>
    </row>
    <row r="4333" spans="2:2" ht="15.6">
      <c r="B4333" s="154"/>
    </row>
    <row r="4334" spans="2:2" ht="15.6">
      <c r="B4334" s="154"/>
    </row>
    <row r="4335" spans="2:2" ht="15.6">
      <c r="B4335" s="154"/>
    </row>
    <row r="4336" spans="2:2" ht="15.6">
      <c r="B4336" s="154"/>
    </row>
    <row r="4337" spans="2:2" ht="15.6">
      <c r="B4337" s="154"/>
    </row>
    <row r="4338" spans="2:2" ht="15.6">
      <c r="B4338" s="154"/>
    </row>
    <row r="4339" spans="2:2" ht="15.6">
      <c r="B4339" s="154"/>
    </row>
    <row r="4340" spans="2:2" ht="15.6">
      <c r="B4340" s="154"/>
    </row>
    <row r="4341" spans="2:2" ht="15.6">
      <c r="B4341" s="154"/>
    </row>
    <row r="4342" spans="2:2" ht="15.6">
      <c r="B4342" s="154"/>
    </row>
    <row r="4343" spans="2:2" ht="15.6">
      <c r="B4343" s="154"/>
    </row>
    <row r="4344" spans="2:2" ht="15.6">
      <c r="B4344" s="154"/>
    </row>
    <row r="4345" spans="2:2" ht="15.6">
      <c r="B4345" s="154"/>
    </row>
    <row r="4346" spans="2:2" ht="15.6">
      <c r="B4346" s="154"/>
    </row>
    <row r="4347" spans="2:2" ht="15.6">
      <c r="B4347" s="154"/>
    </row>
    <row r="4348" spans="2:2" ht="15.6">
      <c r="B4348" s="154"/>
    </row>
    <row r="4349" spans="2:2" ht="15.6">
      <c r="B4349" s="154"/>
    </row>
    <row r="4350" spans="2:2" ht="15.6">
      <c r="B4350" s="154"/>
    </row>
    <row r="4351" spans="2:2" ht="15.6">
      <c r="B4351" s="154"/>
    </row>
    <row r="4352" spans="2:2" ht="15.6">
      <c r="B4352" s="154"/>
    </row>
    <row r="4353" spans="2:2" ht="15.6">
      <c r="B4353" s="154"/>
    </row>
    <row r="4354" spans="2:2" ht="15.6">
      <c r="B4354" s="154"/>
    </row>
    <row r="4355" spans="2:2" ht="15.6">
      <c r="B4355" s="154"/>
    </row>
    <row r="4356" spans="2:2" ht="15.6">
      <c r="B4356" s="154"/>
    </row>
    <row r="4357" spans="2:2" ht="15.6">
      <c r="B4357" s="154"/>
    </row>
    <row r="4358" spans="2:2" ht="15.6">
      <c r="B4358" s="154"/>
    </row>
    <row r="4359" spans="2:2" ht="15.6">
      <c r="B4359" s="154"/>
    </row>
    <row r="4360" spans="2:2" ht="15.6">
      <c r="B4360" s="154"/>
    </row>
    <row r="4361" spans="2:2" ht="15.6">
      <c r="B4361" s="154"/>
    </row>
    <row r="4362" spans="2:2" ht="15.6">
      <c r="B4362" s="154"/>
    </row>
    <row r="4363" spans="2:2" ht="15.6">
      <c r="B4363" s="154"/>
    </row>
    <row r="4364" spans="2:2" ht="15.6">
      <c r="B4364" s="154"/>
    </row>
    <row r="4365" spans="2:2" ht="15.6">
      <c r="B4365" s="154"/>
    </row>
    <row r="4366" spans="2:2" ht="15.6">
      <c r="B4366" s="154"/>
    </row>
    <row r="4367" spans="2:2" ht="15.6">
      <c r="B4367" s="154"/>
    </row>
    <row r="4368" spans="2:2" ht="15.6">
      <c r="B4368" s="154"/>
    </row>
    <row r="4369" spans="2:2" ht="15.6">
      <c r="B4369" s="154"/>
    </row>
    <row r="4370" spans="2:2" ht="15.6">
      <c r="B4370" s="154"/>
    </row>
    <row r="4371" spans="2:2" ht="15.6">
      <c r="B4371" s="154"/>
    </row>
    <row r="4372" spans="2:2" ht="15.6">
      <c r="B4372" s="154"/>
    </row>
    <row r="4373" spans="2:2" ht="15.6">
      <c r="B4373" s="154"/>
    </row>
    <row r="4374" spans="2:2" ht="15.6">
      <c r="B4374" s="154"/>
    </row>
    <row r="4375" spans="2:2" ht="15.6">
      <c r="B4375" s="154"/>
    </row>
    <row r="4376" spans="2:2" ht="15.6">
      <c r="B4376" s="154"/>
    </row>
    <row r="4377" spans="2:2" ht="15.6">
      <c r="B4377" s="154"/>
    </row>
    <row r="4378" spans="2:2" ht="15.6">
      <c r="B4378" s="154"/>
    </row>
    <row r="4379" spans="2:2" ht="15.6">
      <c r="B4379" s="154"/>
    </row>
    <row r="4380" spans="2:2" ht="15.6">
      <c r="B4380" s="154"/>
    </row>
    <row r="4381" spans="2:2" ht="15.6">
      <c r="B4381" s="154"/>
    </row>
    <row r="4382" spans="2:2" ht="15.6">
      <c r="B4382" s="154"/>
    </row>
    <row r="4383" spans="2:2" ht="15.6">
      <c r="B4383" s="154"/>
    </row>
    <row r="4384" spans="2:2" ht="15.6">
      <c r="B4384" s="154"/>
    </row>
    <row r="4385" spans="2:2" ht="15.6">
      <c r="B4385" s="154"/>
    </row>
    <row r="4386" spans="2:2" ht="15.6">
      <c r="B4386" s="154"/>
    </row>
    <row r="4387" spans="2:2" ht="15.6">
      <c r="B4387" s="154"/>
    </row>
    <row r="4388" spans="2:2" ht="15.6">
      <c r="B4388" s="154"/>
    </row>
    <row r="4389" spans="2:2" ht="15.6">
      <c r="B4389" s="154"/>
    </row>
    <row r="4390" spans="2:2" ht="15.6">
      <c r="B4390" s="154"/>
    </row>
    <row r="4391" spans="2:2" ht="15.6">
      <c r="B4391" s="154"/>
    </row>
    <row r="4392" spans="2:2" ht="15.6">
      <c r="B4392" s="154"/>
    </row>
    <row r="4393" spans="2:2" ht="15.6">
      <c r="B4393" s="154"/>
    </row>
    <row r="4394" spans="2:2" ht="15.6">
      <c r="B4394" s="154"/>
    </row>
    <row r="4395" spans="2:2" ht="15.6">
      <c r="B4395" s="154"/>
    </row>
    <row r="4396" spans="2:2" ht="15.6">
      <c r="B4396" s="154"/>
    </row>
    <row r="4397" spans="2:2" ht="15.6">
      <c r="B4397" s="154"/>
    </row>
    <row r="4398" spans="2:2" ht="15.6">
      <c r="B4398" s="154"/>
    </row>
    <row r="4399" spans="2:2" ht="15.6">
      <c r="B4399" s="154"/>
    </row>
    <row r="4400" spans="2:2" ht="15.6">
      <c r="B4400" s="154"/>
    </row>
    <row r="4401" spans="2:2" ht="15.6">
      <c r="B4401" s="154"/>
    </row>
    <row r="4402" spans="2:2" ht="15.6">
      <c r="B4402" s="154"/>
    </row>
    <row r="4403" spans="2:2" ht="15.6">
      <c r="B4403" s="154"/>
    </row>
    <row r="4404" spans="2:2" ht="15.6">
      <c r="B4404" s="154"/>
    </row>
    <row r="4405" spans="2:2" ht="15.6">
      <c r="B4405" s="154"/>
    </row>
    <row r="4406" spans="2:2" ht="15.6">
      <c r="B4406" s="154"/>
    </row>
    <row r="4407" spans="2:2" ht="15.6">
      <c r="B4407" s="154"/>
    </row>
    <row r="4408" spans="2:2" ht="15.6">
      <c r="B4408" s="154"/>
    </row>
    <row r="4409" spans="2:2" ht="15.6">
      <c r="B4409" s="154"/>
    </row>
    <row r="4410" spans="2:2" ht="15.6">
      <c r="B4410" s="154"/>
    </row>
    <row r="4411" spans="2:2" ht="15.6">
      <c r="B4411" s="154"/>
    </row>
    <row r="4412" spans="2:2" ht="15.6">
      <c r="B4412" s="154"/>
    </row>
    <row r="4413" spans="2:2" ht="15.6">
      <c r="B4413" s="154"/>
    </row>
    <row r="4414" spans="2:2" ht="15.6">
      <c r="B4414" s="154"/>
    </row>
    <row r="4415" spans="2:2" ht="15.6">
      <c r="B4415" s="154"/>
    </row>
    <row r="4416" spans="2:2" ht="15.6">
      <c r="B4416" s="154"/>
    </row>
    <row r="4417" spans="2:2" ht="15.6">
      <c r="B4417" s="154"/>
    </row>
    <row r="4418" spans="2:2" ht="15.6">
      <c r="B4418" s="154"/>
    </row>
    <row r="4419" spans="2:2" ht="15.6">
      <c r="B4419" s="154"/>
    </row>
    <row r="4420" spans="2:2" ht="15.6">
      <c r="B4420" s="154"/>
    </row>
    <row r="4421" spans="2:2" ht="15.6">
      <c r="B4421" s="154"/>
    </row>
    <row r="4422" spans="2:2" ht="15.6">
      <c r="B4422" s="154"/>
    </row>
    <row r="4423" spans="2:2" ht="15.6">
      <c r="B4423" s="154"/>
    </row>
    <row r="4424" spans="2:2" ht="15.6">
      <c r="B4424" s="154"/>
    </row>
    <row r="4425" spans="2:2" ht="15.6">
      <c r="B4425" s="154"/>
    </row>
    <row r="4426" spans="2:2" ht="15.6">
      <c r="B4426" s="154"/>
    </row>
    <row r="4427" spans="2:2" ht="15.6">
      <c r="B4427" s="154"/>
    </row>
    <row r="4428" spans="2:2" ht="15.6">
      <c r="B4428" s="154"/>
    </row>
    <row r="4429" spans="2:2" ht="15.6">
      <c r="B4429" s="154"/>
    </row>
    <row r="4430" spans="2:2" ht="15.6">
      <c r="B4430" s="154"/>
    </row>
    <row r="4431" spans="2:2" ht="15.6">
      <c r="B4431" s="154"/>
    </row>
    <row r="4432" spans="2:2" ht="15.6">
      <c r="B4432" s="154"/>
    </row>
    <row r="4433" spans="2:2" ht="15.6">
      <c r="B4433" s="154"/>
    </row>
    <row r="4434" spans="2:2" ht="15.6">
      <c r="B4434" s="154"/>
    </row>
    <row r="4435" spans="2:2" ht="15.6">
      <c r="B4435" s="154"/>
    </row>
    <row r="4436" spans="2:2" ht="15.6">
      <c r="B4436" s="154"/>
    </row>
    <row r="4437" spans="2:2" ht="15.6">
      <c r="B4437" s="154"/>
    </row>
    <row r="4438" spans="2:2" ht="15.6">
      <c r="B4438" s="154"/>
    </row>
    <row r="4439" spans="2:2" ht="15.6">
      <c r="B4439" s="154"/>
    </row>
    <row r="4440" spans="2:2" ht="15.6">
      <c r="B4440" s="154"/>
    </row>
    <row r="4441" spans="2:2" ht="15.6">
      <c r="B4441" s="154"/>
    </row>
    <row r="4442" spans="2:2" ht="15.6">
      <c r="B4442" s="154"/>
    </row>
    <row r="4443" spans="2:2" ht="15.6">
      <c r="B4443" s="154"/>
    </row>
    <row r="4444" spans="2:2" ht="15.6">
      <c r="B4444" s="154"/>
    </row>
    <row r="4445" spans="2:2" ht="15.6">
      <c r="B4445" s="154"/>
    </row>
    <row r="4446" spans="2:2" ht="15.6">
      <c r="B4446" s="154"/>
    </row>
    <row r="4447" spans="2:2" ht="15.6">
      <c r="B4447" s="154"/>
    </row>
    <row r="4448" spans="2:2" ht="15.6">
      <c r="B4448" s="154"/>
    </row>
    <row r="4449" spans="2:2" ht="15.6">
      <c r="B4449" s="154"/>
    </row>
    <row r="4450" spans="2:2" ht="15.6">
      <c r="B4450" s="154"/>
    </row>
    <row r="4451" spans="2:2" ht="15.6">
      <c r="B4451" s="154"/>
    </row>
    <row r="4452" spans="2:2" ht="15.6">
      <c r="B4452" s="154"/>
    </row>
    <row r="4453" spans="2:2" ht="15.6">
      <c r="B4453" s="154"/>
    </row>
    <row r="4454" spans="2:2" ht="15.6">
      <c r="B4454" s="154"/>
    </row>
    <row r="4455" spans="2:2" ht="15.6">
      <c r="B4455" s="154"/>
    </row>
    <row r="4456" spans="2:2" ht="15.6">
      <c r="B4456" s="154"/>
    </row>
    <row r="4457" spans="2:2" ht="15.6">
      <c r="B4457" s="154"/>
    </row>
    <row r="4458" spans="2:2" ht="15.6">
      <c r="B4458" s="154"/>
    </row>
    <row r="4459" spans="2:2" ht="15.6">
      <c r="B4459" s="154"/>
    </row>
    <row r="4460" spans="2:2" ht="15.6">
      <c r="B4460" s="154"/>
    </row>
    <row r="4461" spans="2:2" ht="15.6">
      <c r="B4461" s="154"/>
    </row>
    <row r="4462" spans="2:2" ht="15.6">
      <c r="B4462" s="154"/>
    </row>
    <row r="4463" spans="2:2" ht="15.6">
      <c r="B4463" s="154"/>
    </row>
    <row r="4464" spans="2:2" ht="15.6">
      <c r="B4464" s="154"/>
    </row>
    <row r="4465" spans="2:2" ht="15.6">
      <c r="B4465" s="154"/>
    </row>
    <row r="4466" spans="2:2" ht="15.6">
      <c r="B4466" s="154"/>
    </row>
    <row r="4467" spans="2:2" ht="15.6">
      <c r="B4467" s="154"/>
    </row>
    <row r="4468" spans="2:2" ht="15.6">
      <c r="B4468" s="154"/>
    </row>
    <row r="4469" spans="2:2" ht="15.6">
      <c r="B4469" s="154"/>
    </row>
    <row r="4470" spans="2:2" ht="15.6">
      <c r="B4470" s="154"/>
    </row>
    <row r="4471" spans="2:2" ht="15.6">
      <c r="B4471" s="154"/>
    </row>
    <row r="4472" spans="2:2" ht="15.6">
      <c r="B4472" s="154"/>
    </row>
    <row r="4473" spans="2:2" ht="15.6">
      <c r="B4473" s="154"/>
    </row>
    <row r="4474" spans="2:2" ht="15.6">
      <c r="B4474" s="154"/>
    </row>
    <row r="4475" spans="2:2" ht="15.6">
      <c r="B4475" s="154"/>
    </row>
    <row r="4476" spans="2:2" ht="15.6">
      <c r="B4476" s="154"/>
    </row>
    <row r="4477" spans="2:2" ht="15.6">
      <c r="B4477" s="154"/>
    </row>
    <row r="4478" spans="2:2" ht="15.6">
      <c r="B4478" s="154"/>
    </row>
    <row r="4479" spans="2:2" ht="15.6">
      <c r="B4479" s="154"/>
    </row>
    <row r="4480" spans="2:2" ht="15.6">
      <c r="B4480" s="154"/>
    </row>
    <row r="4481" spans="2:2" ht="15.6">
      <c r="B4481" s="154"/>
    </row>
    <row r="4482" spans="2:2" ht="15.6">
      <c r="B4482" s="154"/>
    </row>
    <row r="4483" spans="2:2" ht="15.6">
      <c r="B4483" s="154"/>
    </row>
    <row r="4484" spans="2:2" ht="15.6">
      <c r="B4484" s="154"/>
    </row>
    <row r="4485" spans="2:2" ht="15.6">
      <c r="B4485" s="154"/>
    </row>
    <row r="4486" spans="2:2" ht="15.6">
      <c r="B4486" s="154"/>
    </row>
    <row r="4487" spans="2:2" ht="15.6">
      <c r="B4487" s="154"/>
    </row>
    <row r="4488" spans="2:2" ht="15.6">
      <c r="B4488" s="154"/>
    </row>
    <row r="4489" spans="2:2" ht="15.6">
      <c r="B4489" s="154"/>
    </row>
    <row r="4490" spans="2:2" ht="15.6">
      <c r="B4490" s="154"/>
    </row>
    <row r="4491" spans="2:2" ht="15.6">
      <c r="B4491" s="154"/>
    </row>
    <row r="4492" spans="2:2" ht="15.6">
      <c r="B4492" s="154"/>
    </row>
    <row r="4493" spans="2:2" ht="15.6">
      <c r="B4493" s="154"/>
    </row>
    <row r="4494" spans="2:2" ht="15.6">
      <c r="B4494" s="154"/>
    </row>
    <row r="4495" spans="2:2" ht="15.6">
      <c r="B4495" s="154"/>
    </row>
    <row r="4496" spans="2:2" ht="15.6">
      <c r="B4496" s="154"/>
    </row>
    <row r="4497" spans="2:2" ht="15.6">
      <c r="B4497" s="154"/>
    </row>
    <row r="4498" spans="2:2" ht="15.6">
      <c r="B4498" s="154"/>
    </row>
    <row r="4499" spans="2:2" ht="15.6">
      <c r="B4499" s="154"/>
    </row>
    <row r="4500" spans="2:2" ht="15.6">
      <c r="B4500" s="154"/>
    </row>
    <row r="4501" spans="2:2" ht="15.6">
      <c r="B4501" s="154"/>
    </row>
    <row r="4502" spans="2:2" ht="15.6">
      <c r="B4502" s="154"/>
    </row>
    <row r="4503" spans="2:2" ht="15.6">
      <c r="B4503" s="154"/>
    </row>
    <row r="4504" spans="2:2" ht="15.6">
      <c r="B4504" s="154"/>
    </row>
    <row r="4505" spans="2:2" ht="15.6">
      <c r="B4505" s="154"/>
    </row>
    <row r="4506" spans="2:2" ht="15.6">
      <c r="B4506" s="154"/>
    </row>
    <row r="4507" spans="2:2" ht="15.6">
      <c r="B4507" s="154"/>
    </row>
    <row r="4508" spans="2:2" ht="15.6">
      <c r="B4508" s="154"/>
    </row>
    <row r="4509" spans="2:2" ht="15.6">
      <c r="B4509" s="154"/>
    </row>
    <row r="4510" spans="2:2" ht="15.6">
      <c r="B4510" s="154"/>
    </row>
    <row r="4511" spans="2:2" ht="15.6">
      <c r="B4511" s="154"/>
    </row>
    <row r="4512" spans="2:2" ht="15.6">
      <c r="B4512" s="154"/>
    </row>
    <row r="4513" spans="2:2" ht="15.6">
      <c r="B4513" s="154"/>
    </row>
    <row r="4514" spans="2:2" ht="15.6">
      <c r="B4514" s="154"/>
    </row>
    <row r="4515" spans="2:2" ht="15.6">
      <c r="B4515" s="154"/>
    </row>
    <row r="4516" spans="2:2" ht="15.6">
      <c r="B4516" s="154"/>
    </row>
    <row r="4517" spans="2:2" ht="15.6">
      <c r="B4517" s="154"/>
    </row>
    <row r="4518" spans="2:2" ht="15.6">
      <c r="B4518" s="154"/>
    </row>
    <row r="4519" spans="2:2" ht="15.6">
      <c r="B4519" s="154"/>
    </row>
    <row r="4520" spans="2:2" ht="15.6">
      <c r="B4520" s="154"/>
    </row>
    <row r="4521" spans="2:2" ht="15.6">
      <c r="B4521" s="154"/>
    </row>
    <row r="4522" spans="2:2" ht="15.6">
      <c r="B4522" s="154"/>
    </row>
    <row r="4523" spans="2:2" ht="15.6">
      <c r="B4523" s="154"/>
    </row>
    <row r="4524" spans="2:2" ht="15.6">
      <c r="B4524" s="154"/>
    </row>
    <row r="4525" spans="2:2" ht="15.6">
      <c r="B4525" s="154"/>
    </row>
    <row r="4526" spans="2:2" ht="15.6">
      <c r="B4526" s="154"/>
    </row>
    <row r="4527" spans="2:2" ht="15.6">
      <c r="B4527" s="154"/>
    </row>
    <row r="4528" spans="2:2" ht="15.6">
      <c r="B4528" s="154"/>
    </row>
    <row r="4529" spans="2:2" ht="15.6">
      <c r="B4529" s="154"/>
    </row>
    <row r="4530" spans="2:2" ht="15.6">
      <c r="B4530" s="154"/>
    </row>
    <row r="4531" spans="2:2" ht="15.6">
      <c r="B4531" s="154"/>
    </row>
    <row r="4532" spans="2:2" ht="15.6">
      <c r="B4532" s="154"/>
    </row>
    <row r="4533" spans="2:2" ht="15.6">
      <c r="B4533" s="154"/>
    </row>
    <row r="4534" spans="2:2" ht="15.6">
      <c r="B4534" s="154"/>
    </row>
    <row r="4535" spans="2:2" ht="15.6">
      <c r="B4535" s="154"/>
    </row>
    <row r="4536" spans="2:2" ht="15.6">
      <c r="B4536" s="154"/>
    </row>
    <row r="4537" spans="2:2" ht="15.6">
      <c r="B4537" s="154"/>
    </row>
    <row r="4538" spans="2:2" ht="15.6">
      <c r="B4538" s="154"/>
    </row>
    <row r="4539" spans="2:2" ht="15.6">
      <c r="B4539" s="154"/>
    </row>
    <row r="4540" spans="2:2" ht="15.6">
      <c r="B4540" s="154"/>
    </row>
    <row r="4541" spans="2:2" ht="15.6">
      <c r="B4541" s="154"/>
    </row>
    <row r="4542" spans="2:2" ht="15.6">
      <c r="B4542" s="154"/>
    </row>
    <row r="4543" spans="2:2" ht="15.6">
      <c r="B4543" s="154"/>
    </row>
    <row r="4544" spans="2:2" ht="15.6">
      <c r="B4544" s="154"/>
    </row>
    <row r="4545" spans="2:2" ht="15.6">
      <c r="B4545" s="154"/>
    </row>
    <row r="4546" spans="2:2" ht="15.6">
      <c r="B4546" s="154"/>
    </row>
    <row r="4547" spans="2:2" ht="15.6">
      <c r="B4547" s="154"/>
    </row>
    <row r="4548" spans="2:2" ht="15.6">
      <c r="B4548" s="154"/>
    </row>
    <row r="4549" spans="2:2" ht="15.6">
      <c r="B4549" s="154"/>
    </row>
    <row r="4550" spans="2:2" ht="15.6">
      <c r="B4550" s="154"/>
    </row>
    <row r="4551" spans="2:2" ht="15.6">
      <c r="B4551" s="154"/>
    </row>
    <row r="4552" spans="2:2" ht="15.6">
      <c r="B4552" s="154"/>
    </row>
    <row r="4553" spans="2:2" ht="15.6">
      <c r="B4553" s="154"/>
    </row>
    <row r="4554" spans="2:2" ht="15.6">
      <c r="B4554" s="154"/>
    </row>
    <row r="4555" spans="2:2" ht="15.6">
      <c r="B4555" s="154"/>
    </row>
    <row r="4556" spans="2:2" ht="15.6">
      <c r="B4556" s="154"/>
    </row>
    <row r="4557" spans="2:2" ht="15.6">
      <c r="B4557" s="154"/>
    </row>
    <row r="4558" spans="2:2" ht="15.6">
      <c r="B4558" s="154"/>
    </row>
    <row r="4559" spans="2:2" ht="15.6">
      <c r="B4559" s="154"/>
    </row>
    <row r="4560" spans="2:2" ht="15.6">
      <c r="B4560" s="154"/>
    </row>
    <row r="4561" spans="2:2" ht="15.6">
      <c r="B4561" s="154"/>
    </row>
    <row r="4562" spans="2:2" ht="15.6">
      <c r="B4562" s="154"/>
    </row>
    <row r="4563" spans="2:2" ht="15.6">
      <c r="B4563" s="154"/>
    </row>
    <row r="4564" spans="2:2" ht="15.6">
      <c r="B4564" s="154"/>
    </row>
    <row r="4565" spans="2:2" ht="15.6">
      <c r="B4565" s="154"/>
    </row>
    <row r="4566" spans="2:2" ht="15.6">
      <c r="B4566" s="154"/>
    </row>
    <row r="4567" spans="2:2" ht="15.6">
      <c r="B4567" s="154"/>
    </row>
    <row r="4568" spans="2:2" ht="15.6">
      <c r="B4568" s="154"/>
    </row>
    <row r="4569" spans="2:2" ht="15.6">
      <c r="B4569" s="154"/>
    </row>
    <row r="4570" spans="2:2" ht="15.6">
      <c r="B4570" s="154"/>
    </row>
    <row r="4571" spans="2:2" ht="15.6">
      <c r="B4571" s="154"/>
    </row>
    <row r="4572" spans="2:2" ht="15.6">
      <c r="B4572" s="154"/>
    </row>
    <row r="4573" spans="2:2" ht="15.6">
      <c r="B4573" s="154"/>
    </row>
    <row r="4574" spans="2:2" ht="15.6">
      <c r="B4574" s="154"/>
    </row>
    <row r="4575" spans="2:2" ht="15.6">
      <c r="B4575" s="154"/>
    </row>
    <row r="4576" spans="2:2" ht="15.6">
      <c r="B4576" s="154"/>
    </row>
    <row r="4577" spans="2:2" ht="15.6">
      <c r="B4577" s="154"/>
    </row>
    <row r="4578" spans="2:2" ht="15.6">
      <c r="B4578" s="154"/>
    </row>
    <row r="4579" spans="2:2" ht="15.6">
      <c r="B4579" s="154"/>
    </row>
    <row r="4580" spans="2:2" ht="15.6">
      <c r="B4580" s="154"/>
    </row>
    <row r="4581" spans="2:2" ht="15.6">
      <c r="B4581" s="154"/>
    </row>
    <row r="4582" spans="2:2" ht="15.6">
      <c r="B4582" s="154"/>
    </row>
    <row r="4583" spans="2:2" ht="15.6">
      <c r="B4583" s="154"/>
    </row>
    <row r="4584" spans="2:2" ht="15.6">
      <c r="B4584" s="154"/>
    </row>
    <row r="4585" spans="2:2" ht="15.6">
      <c r="B4585" s="154"/>
    </row>
    <row r="4586" spans="2:2" ht="15.6">
      <c r="B4586" s="154"/>
    </row>
    <row r="4587" spans="2:2" ht="15.6">
      <c r="B4587" s="154"/>
    </row>
    <row r="4588" spans="2:2" ht="15.6">
      <c r="B4588" s="154"/>
    </row>
    <row r="4589" spans="2:2" ht="15.6">
      <c r="B4589" s="154"/>
    </row>
    <row r="4590" spans="2:2" ht="15.6">
      <c r="B4590" s="154"/>
    </row>
    <row r="4591" spans="2:2" ht="15.6">
      <c r="B4591" s="154"/>
    </row>
    <row r="4592" spans="2:2" ht="15.6">
      <c r="B4592" s="154"/>
    </row>
    <row r="4593" spans="2:2" ht="15.6">
      <c r="B4593" s="154"/>
    </row>
    <row r="4594" spans="2:2" ht="15.6">
      <c r="B4594" s="154"/>
    </row>
    <row r="4595" spans="2:2" ht="15.6">
      <c r="B4595" s="154"/>
    </row>
    <row r="4596" spans="2:2" ht="15.6">
      <c r="B4596" s="154"/>
    </row>
    <row r="4597" spans="2:2" ht="15.6">
      <c r="B4597" s="154"/>
    </row>
    <row r="4598" spans="2:2" ht="15.6">
      <c r="B4598" s="154"/>
    </row>
    <row r="4599" spans="2:2" ht="15.6">
      <c r="B4599" s="154"/>
    </row>
    <row r="4600" spans="2:2" ht="15.6">
      <c r="B4600" s="154"/>
    </row>
    <row r="4601" spans="2:2" ht="15.6">
      <c r="B4601" s="154"/>
    </row>
    <row r="4602" spans="2:2" ht="15.6">
      <c r="B4602" s="154"/>
    </row>
    <row r="4603" spans="2:2" ht="15.6">
      <c r="B4603" s="154"/>
    </row>
    <row r="4604" spans="2:2" ht="15.6">
      <c r="B4604" s="154"/>
    </row>
    <row r="4605" spans="2:2" ht="15.6">
      <c r="B4605" s="154"/>
    </row>
    <row r="4606" spans="2:2" ht="15.6">
      <c r="B4606" s="154"/>
    </row>
    <row r="4607" spans="2:2" ht="15.6">
      <c r="B4607" s="154"/>
    </row>
    <row r="4608" spans="2:2" ht="15.6">
      <c r="B4608" s="154"/>
    </row>
    <row r="4609" spans="2:2" ht="15.6">
      <c r="B4609" s="154"/>
    </row>
    <row r="4610" spans="2:2" ht="15.6">
      <c r="B4610" s="154"/>
    </row>
    <row r="4611" spans="2:2" ht="15.6">
      <c r="B4611" s="154"/>
    </row>
    <row r="4612" spans="2:2" ht="15.6">
      <c r="B4612" s="154"/>
    </row>
    <row r="4613" spans="2:2" ht="15.6">
      <c r="B4613" s="154"/>
    </row>
    <row r="4614" spans="2:2" ht="15.6">
      <c r="B4614" s="154"/>
    </row>
    <row r="4615" spans="2:2" ht="15.6">
      <c r="B4615" s="154"/>
    </row>
    <row r="4616" spans="2:2" ht="15.6">
      <c r="B4616" s="154"/>
    </row>
    <row r="4617" spans="2:2" ht="15.6">
      <c r="B4617" s="154"/>
    </row>
    <row r="4618" spans="2:2" ht="15.6">
      <c r="B4618" s="154"/>
    </row>
    <row r="4619" spans="2:2" ht="15.6">
      <c r="B4619" s="154"/>
    </row>
    <row r="4620" spans="2:2" ht="15.6">
      <c r="B4620" s="154"/>
    </row>
    <row r="4621" spans="2:2" ht="15.6">
      <c r="B4621" s="154"/>
    </row>
    <row r="4622" spans="2:2" ht="15.6">
      <c r="B4622" s="154"/>
    </row>
    <row r="4623" spans="2:2" ht="15.6">
      <c r="B4623" s="154"/>
    </row>
    <row r="4624" spans="2:2" ht="15.6">
      <c r="B4624" s="154"/>
    </row>
    <row r="4625" spans="2:2" ht="15.6">
      <c r="B4625" s="154"/>
    </row>
    <row r="4626" spans="2:2" ht="15.6">
      <c r="B4626" s="154"/>
    </row>
    <row r="4627" spans="2:2" ht="15.6">
      <c r="B4627" s="154"/>
    </row>
    <row r="4628" spans="2:2" ht="15.6">
      <c r="B4628" s="154"/>
    </row>
    <row r="4629" spans="2:2" ht="15.6">
      <c r="B4629" s="154"/>
    </row>
    <row r="4630" spans="2:2" ht="15.6">
      <c r="B4630" s="154"/>
    </row>
    <row r="4631" spans="2:2" ht="15.6">
      <c r="B4631" s="154"/>
    </row>
    <row r="4632" spans="2:2" ht="15.6">
      <c r="B4632" s="154"/>
    </row>
    <row r="4633" spans="2:2" ht="15.6">
      <c r="B4633" s="154"/>
    </row>
    <row r="4634" spans="2:2" ht="15.6">
      <c r="B4634" s="154"/>
    </row>
    <row r="4635" spans="2:2" ht="15.6">
      <c r="B4635" s="154"/>
    </row>
    <row r="4636" spans="2:2" ht="15.6">
      <c r="B4636" s="154"/>
    </row>
    <row r="4637" spans="2:2" ht="15.6">
      <c r="B4637" s="154"/>
    </row>
    <row r="4638" spans="2:2" ht="15.6">
      <c r="B4638" s="154"/>
    </row>
    <row r="4639" spans="2:2" ht="15.6">
      <c r="B4639" s="154"/>
    </row>
    <row r="4640" spans="2:2" ht="15.6">
      <c r="B4640" s="154"/>
    </row>
    <row r="4641" spans="2:2" ht="15.6">
      <c r="B4641" s="154"/>
    </row>
    <row r="4642" spans="2:2" ht="15.6">
      <c r="B4642" s="154"/>
    </row>
    <row r="4643" spans="2:2" ht="15.6">
      <c r="B4643" s="154"/>
    </row>
    <row r="4644" spans="2:2" ht="15.6">
      <c r="B4644" s="154"/>
    </row>
    <row r="4645" spans="2:2" ht="15.6">
      <c r="B4645" s="154"/>
    </row>
    <row r="4646" spans="2:2" ht="15.6">
      <c r="B4646" s="154"/>
    </row>
    <row r="4647" spans="2:2" ht="15.6">
      <c r="B4647" s="154"/>
    </row>
    <row r="4648" spans="2:2" ht="15.6">
      <c r="B4648" s="154"/>
    </row>
    <row r="4649" spans="2:2" ht="15.6">
      <c r="B4649" s="154"/>
    </row>
    <row r="4650" spans="2:2" ht="15.6">
      <c r="B4650" s="154"/>
    </row>
    <row r="4651" spans="2:2" ht="15.6">
      <c r="B4651" s="154"/>
    </row>
    <row r="4652" spans="2:2" ht="15.6">
      <c r="B4652" s="154"/>
    </row>
    <row r="4653" spans="2:2" ht="15.6">
      <c r="B4653" s="154"/>
    </row>
    <row r="4654" spans="2:2" ht="15.6">
      <c r="B4654" s="154"/>
    </row>
    <row r="4655" spans="2:2" ht="15.6">
      <c r="B4655" s="154"/>
    </row>
    <row r="4656" spans="2:2" ht="15.6">
      <c r="B4656" s="154"/>
    </row>
    <row r="4657" spans="2:2" ht="15.6">
      <c r="B4657" s="154"/>
    </row>
    <row r="4658" spans="2:2" ht="15.6">
      <c r="B4658" s="154"/>
    </row>
    <row r="4659" spans="2:2" ht="15.6">
      <c r="B4659" s="154"/>
    </row>
    <row r="4660" spans="2:2" ht="15.6">
      <c r="B4660" s="154"/>
    </row>
    <row r="4661" spans="2:2" ht="15.6">
      <c r="B4661" s="154"/>
    </row>
    <row r="4662" spans="2:2" ht="15.6">
      <c r="B4662" s="154"/>
    </row>
    <row r="4663" spans="2:2" ht="15.6">
      <c r="B4663" s="154"/>
    </row>
    <row r="4664" spans="2:2" ht="15.6">
      <c r="B4664" s="154"/>
    </row>
    <row r="4665" spans="2:2" ht="15.6">
      <c r="B4665" s="154"/>
    </row>
    <row r="4666" spans="2:2" ht="15.6">
      <c r="B4666" s="154"/>
    </row>
    <row r="4667" spans="2:2" ht="15.6">
      <c r="B4667" s="154"/>
    </row>
    <row r="4668" spans="2:2" ht="15.6">
      <c r="B4668" s="154"/>
    </row>
    <row r="4669" spans="2:2" ht="15.6">
      <c r="B4669" s="154"/>
    </row>
    <row r="4670" spans="2:2" ht="15.6">
      <c r="B4670" s="154"/>
    </row>
    <row r="4671" spans="2:2" ht="15.6">
      <c r="B4671" s="154"/>
    </row>
    <row r="4672" spans="2:2" ht="15.6">
      <c r="B4672" s="154"/>
    </row>
    <row r="4673" spans="2:2" ht="15.6">
      <c r="B4673" s="154"/>
    </row>
    <row r="4674" spans="2:2" ht="15.6">
      <c r="B4674" s="154"/>
    </row>
    <row r="4675" spans="2:2" ht="15.6">
      <c r="B4675" s="154"/>
    </row>
    <row r="4676" spans="2:2" ht="15.6">
      <c r="B4676" s="154"/>
    </row>
    <row r="4677" spans="2:2" ht="15.6">
      <c r="B4677" s="154"/>
    </row>
    <row r="4678" spans="2:2" ht="15.6">
      <c r="B4678" s="154"/>
    </row>
    <row r="4679" spans="2:2" ht="15.6">
      <c r="B4679" s="154"/>
    </row>
    <row r="4680" spans="2:2" ht="15.6">
      <c r="B4680" s="154"/>
    </row>
    <row r="4681" spans="2:2" ht="15.6">
      <c r="B4681" s="154"/>
    </row>
    <row r="4682" spans="2:2" ht="15.6">
      <c r="B4682" s="154"/>
    </row>
    <row r="4683" spans="2:2" ht="15.6">
      <c r="B4683" s="154"/>
    </row>
    <row r="4684" spans="2:2" ht="15.6">
      <c r="B4684" s="154"/>
    </row>
    <row r="4685" spans="2:2" ht="15.6">
      <c r="B4685" s="154"/>
    </row>
    <row r="4686" spans="2:2" ht="15.6">
      <c r="B4686" s="154"/>
    </row>
    <row r="4687" spans="2:2" ht="15.6">
      <c r="B4687" s="154"/>
    </row>
    <row r="4688" spans="2:2" ht="15.6">
      <c r="B4688" s="154"/>
    </row>
    <row r="4689" spans="2:2" ht="15.6">
      <c r="B4689" s="154"/>
    </row>
    <row r="4690" spans="2:2" ht="15.6">
      <c r="B4690" s="154"/>
    </row>
    <row r="4691" spans="2:2" ht="15.6">
      <c r="B4691" s="154"/>
    </row>
    <row r="4692" spans="2:2" ht="15.6">
      <c r="B4692" s="154"/>
    </row>
    <row r="4693" spans="2:2" ht="15.6">
      <c r="B4693" s="154"/>
    </row>
    <row r="4694" spans="2:2" ht="15.6">
      <c r="B4694" s="154"/>
    </row>
    <row r="4695" spans="2:2" ht="15.6">
      <c r="B4695" s="154"/>
    </row>
    <row r="4696" spans="2:2" ht="15.6">
      <c r="B4696" s="154"/>
    </row>
    <row r="4697" spans="2:2" ht="15.6">
      <c r="B4697" s="154"/>
    </row>
    <row r="4698" spans="2:2" ht="15.6">
      <c r="B4698" s="154"/>
    </row>
    <row r="4699" spans="2:2" ht="15.6">
      <c r="B4699" s="154"/>
    </row>
    <row r="4700" spans="2:2" ht="15.6">
      <c r="B4700" s="154"/>
    </row>
    <row r="4701" spans="2:2" ht="15.6">
      <c r="B4701" s="154"/>
    </row>
    <row r="4702" spans="2:2" ht="15.6">
      <c r="B4702" s="154"/>
    </row>
    <row r="4703" spans="2:2" ht="15.6">
      <c r="B4703" s="154"/>
    </row>
    <row r="4704" spans="2:2" ht="15.6">
      <c r="B4704" s="154"/>
    </row>
    <row r="4705" spans="2:2" ht="15.6">
      <c r="B4705" s="154"/>
    </row>
    <row r="4706" spans="2:2" ht="15.6">
      <c r="B4706" s="154"/>
    </row>
    <row r="4707" spans="2:2" ht="15.6">
      <c r="B4707" s="154"/>
    </row>
    <row r="4708" spans="2:2" ht="15.6">
      <c r="B4708" s="154"/>
    </row>
    <row r="4709" spans="2:2" ht="15.6">
      <c r="B4709" s="154"/>
    </row>
    <row r="4710" spans="2:2" ht="15.6">
      <c r="B4710" s="154"/>
    </row>
    <row r="4711" spans="2:2" ht="15.6">
      <c r="B4711" s="154"/>
    </row>
    <row r="4712" spans="2:2" ht="15.6">
      <c r="B4712" s="154"/>
    </row>
    <row r="4713" spans="2:2" ht="15.6">
      <c r="B4713" s="154"/>
    </row>
    <row r="4714" spans="2:2" ht="15.6">
      <c r="B4714" s="154"/>
    </row>
    <row r="4715" spans="2:2" ht="15.6">
      <c r="B4715" s="154"/>
    </row>
    <row r="4716" spans="2:2" ht="15.6">
      <c r="B4716" s="154"/>
    </row>
    <row r="4717" spans="2:2" ht="15.6">
      <c r="B4717" s="154"/>
    </row>
    <row r="4718" spans="2:2" ht="15.6">
      <c r="B4718" s="154"/>
    </row>
    <row r="4719" spans="2:2" ht="15.6">
      <c r="B4719" s="154"/>
    </row>
    <row r="4720" spans="2:2" ht="15.6">
      <c r="B4720" s="154"/>
    </row>
    <row r="4721" spans="2:2" ht="15.6">
      <c r="B4721" s="154"/>
    </row>
    <row r="4722" spans="2:2" ht="15.6">
      <c r="B4722" s="154"/>
    </row>
    <row r="4723" spans="2:2" ht="15.6">
      <c r="B4723" s="154"/>
    </row>
    <row r="4724" spans="2:2" ht="15.6">
      <c r="B4724" s="154"/>
    </row>
    <row r="4725" spans="2:2" ht="15.6">
      <c r="B4725" s="154"/>
    </row>
    <row r="4726" spans="2:2" ht="15.6">
      <c r="B4726" s="154"/>
    </row>
    <row r="4727" spans="2:2" ht="15.6">
      <c r="B4727" s="154"/>
    </row>
    <row r="4728" spans="2:2" ht="15.6">
      <c r="B4728" s="154"/>
    </row>
    <row r="4729" spans="2:2" ht="15.6">
      <c r="B4729" s="154"/>
    </row>
    <row r="4730" spans="2:2" ht="15.6">
      <c r="B4730" s="154"/>
    </row>
    <row r="4731" spans="2:2" ht="15.6">
      <c r="B4731" s="154"/>
    </row>
    <row r="4732" spans="2:2" ht="15.6">
      <c r="B4732" s="154"/>
    </row>
    <row r="4733" spans="2:2" ht="15.6">
      <c r="B4733" s="154"/>
    </row>
    <row r="4734" spans="2:2" ht="15.6">
      <c r="B4734" s="154"/>
    </row>
    <row r="4735" spans="2:2" ht="15.6">
      <c r="B4735" s="154"/>
    </row>
    <row r="4736" spans="2:2" ht="15.6">
      <c r="B4736" s="154"/>
    </row>
    <row r="4737" spans="2:2" ht="15.6">
      <c r="B4737" s="154"/>
    </row>
    <row r="4738" spans="2:2" ht="15.6">
      <c r="B4738" s="154"/>
    </row>
    <row r="4739" spans="2:2" ht="15.6">
      <c r="B4739" s="154"/>
    </row>
    <row r="4740" spans="2:2" ht="15.6">
      <c r="B4740" s="154"/>
    </row>
    <row r="4741" spans="2:2" ht="15.6">
      <c r="B4741" s="154"/>
    </row>
    <row r="4742" spans="2:2" ht="15.6">
      <c r="B4742" s="154"/>
    </row>
    <row r="4743" spans="2:2" ht="15.6">
      <c r="B4743" s="154"/>
    </row>
    <row r="4744" spans="2:2" ht="15.6">
      <c r="B4744" s="154"/>
    </row>
    <row r="4745" spans="2:2" ht="15.6">
      <c r="B4745" s="154"/>
    </row>
    <row r="4746" spans="2:2" ht="15.6">
      <c r="B4746" s="154"/>
    </row>
    <row r="4747" spans="2:2" ht="15.6">
      <c r="B4747" s="154"/>
    </row>
    <row r="4748" spans="2:2" ht="15.6">
      <c r="B4748" s="154"/>
    </row>
    <row r="4749" spans="2:2" ht="15.6">
      <c r="B4749" s="154"/>
    </row>
    <row r="4750" spans="2:2" ht="15.6">
      <c r="B4750" s="154"/>
    </row>
    <row r="4751" spans="2:2" ht="15.6">
      <c r="B4751" s="154"/>
    </row>
    <row r="4752" spans="2:2" ht="15.6">
      <c r="B4752" s="154"/>
    </row>
    <row r="4753" spans="2:2" ht="15.6">
      <c r="B4753" s="154"/>
    </row>
    <row r="4754" spans="2:2" ht="15.6">
      <c r="B4754" s="154"/>
    </row>
    <row r="4755" spans="2:2" ht="15.6">
      <c r="B4755" s="154"/>
    </row>
    <row r="4756" spans="2:2" ht="15.6">
      <c r="B4756" s="154"/>
    </row>
    <row r="4757" spans="2:2" ht="15.6">
      <c r="B4757" s="154"/>
    </row>
    <row r="4758" spans="2:2" ht="15.6">
      <c r="B4758" s="154"/>
    </row>
    <row r="4759" spans="2:2" ht="15.6">
      <c r="B4759" s="154"/>
    </row>
    <row r="4760" spans="2:2" ht="15.6">
      <c r="B4760" s="154"/>
    </row>
    <row r="4761" spans="2:2" ht="15.6">
      <c r="B4761" s="154"/>
    </row>
    <row r="4762" spans="2:2" ht="15.6">
      <c r="B4762" s="154"/>
    </row>
    <row r="4763" spans="2:2" ht="15.6">
      <c r="B4763" s="154"/>
    </row>
    <row r="4764" spans="2:2" ht="15.6">
      <c r="B4764" s="154"/>
    </row>
    <row r="4765" spans="2:2" ht="15.6">
      <c r="B4765" s="154"/>
    </row>
    <row r="4766" spans="2:2" ht="15.6">
      <c r="B4766" s="154"/>
    </row>
    <row r="4767" spans="2:2" ht="15.6">
      <c r="B4767" s="154"/>
    </row>
    <row r="4768" spans="2:2" ht="15.6">
      <c r="B4768" s="154"/>
    </row>
    <row r="4769" spans="2:2" ht="15.6">
      <c r="B4769" s="154"/>
    </row>
    <row r="4770" spans="2:2" ht="15.6">
      <c r="B4770" s="154"/>
    </row>
    <row r="4771" spans="2:2" ht="15.6">
      <c r="B4771" s="154"/>
    </row>
    <row r="4772" spans="2:2" ht="15.6">
      <c r="B4772" s="154"/>
    </row>
    <row r="4773" spans="2:2" ht="15.6">
      <c r="B4773" s="154"/>
    </row>
    <row r="4774" spans="2:2" ht="15.6">
      <c r="B4774" s="154"/>
    </row>
    <row r="4775" spans="2:2" ht="15.6">
      <c r="B4775" s="154"/>
    </row>
    <row r="4776" spans="2:2" ht="15.6">
      <c r="B4776" s="154"/>
    </row>
    <row r="4777" spans="2:2" ht="15.6">
      <c r="B4777" s="154"/>
    </row>
    <row r="4778" spans="2:2" ht="15.6">
      <c r="B4778" s="154"/>
    </row>
    <row r="4779" spans="2:2" ht="15.6">
      <c r="B4779" s="154"/>
    </row>
    <row r="4780" spans="2:2" ht="15.6">
      <c r="B4780" s="154"/>
    </row>
    <row r="4781" spans="2:2" ht="15.6">
      <c r="B4781" s="154"/>
    </row>
    <row r="4782" spans="2:2" ht="15.6">
      <c r="B4782" s="154"/>
    </row>
    <row r="4783" spans="2:2" ht="15.6">
      <c r="B4783" s="154"/>
    </row>
    <row r="4784" spans="2:2" ht="15.6">
      <c r="B4784" s="154"/>
    </row>
    <row r="4785" spans="2:2" ht="15.6">
      <c r="B4785" s="154"/>
    </row>
    <row r="4786" spans="2:2" ht="15.6">
      <c r="B4786" s="154"/>
    </row>
    <row r="4787" spans="2:2" ht="15.6">
      <c r="B4787" s="154"/>
    </row>
    <row r="4788" spans="2:2" ht="15.6">
      <c r="B4788" s="154"/>
    </row>
    <row r="4789" spans="2:2" ht="15.6">
      <c r="B4789" s="154"/>
    </row>
    <row r="4790" spans="2:2" ht="15.6">
      <c r="B4790" s="154"/>
    </row>
    <row r="4791" spans="2:2" ht="15.6">
      <c r="B4791" s="154"/>
    </row>
    <row r="4792" spans="2:2" ht="15.6">
      <c r="B4792" s="154"/>
    </row>
    <row r="4793" spans="2:2" ht="15.6">
      <c r="B4793" s="154"/>
    </row>
    <row r="4794" spans="2:2" ht="15.6">
      <c r="B4794" s="154"/>
    </row>
    <row r="4795" spans="2:2" ht="15.6">
      <c r="B4795" s="154"/>
    </row>
    <row r="4796" spans="2:2" ht="15.6">
      <c r="B4796" s="154"/>
    </row>
    <row r="4797" spans="2:2" ht="15.6">
      <c r="B4797" s="154"/>
    </row>
    <row r="4798" spans="2:2" ht="15.6">
      <c r="B4798" s="154"/>
    </row>
    <row r="4799" spans="2:2" ht="15.6">
      <c r="B4799" s="154"/>
    </row>
    <row r="4800" spans="2:2" ht="15.6">
      <c r="B4800" s="154"/>
    </row>
    <row r="4801" spans="2:2" ht="15.6">
      <c r="B4801" s="154"/>
    </row>
    <row r="4802" spans="2:2" ht="15.6">
      <c r="B4802" s="154"/>
    </row>
    <row r="4803" spans="2:2" ht="15.6">
      <c r="B4803" s="154"/>
    </row>
    <row r="4804" spans="2:2" ht="15.6">
      <c r="B4804" s="154"/>
    </row>
    <row r="4805" spans="2:2" ht="15.6">
      <c r="B4805" s="154"/>
    </row>
    <row r="4806" spans="2:2" ht="15.6">
      <c r="B4806" s="154"/>
    </row>
    <row r="4807" spans="2:2" ht="15.6">
      <c r="B4807" s="154"/>
    </row>
    <row r="4808" spans="2:2" ht="15.6">
      <c r="B4808" s="154"/>
    </row>
    <row r="4809" spans="2:2" ht="15.6">
      <c r="B4809" s="154"/>
    </row>
    <row r="4810" spans="2:2" ht="15.6">
      <c r="B4810" s="154"/>
    </row>
    <row r="4811" spans="2:2" ht="15.6">
      <c r="B4811" s="154"/>
    </row>
    <row r="4812" spans="2:2" ht="15.6">
      <c r="B4812" s="154"/>
    </row>
    <row r="4813" spans="2:2" ht="15.6">
      <c r="B4813" s="154"/>
    </row>
    <row r="4814" spans="2:2" ht="15.6">
      <c r="B4814" s="154"/>
    </row>
    <row r="4815" spans="2:2" ht="15.6">
      <c r="B4815" s="154"/>
    </row>
    <row r="4816" spans="2:2" ht="15.6">
      <c r="B4816" s="154"/>
    </row>
    <row r="4817" spans="2:2" ht="15.6">
      <c r="B4817" s="154"/>
    </row>
    <row r="4818" spans="2:2" ht="15.6">
      <c r="B4818" s="154"/>
    </row>
    <row r="4819" spans="2:2" ht="15.6">
      <c r="B4819" s="154"/>
    </row>
    <row r="4820" spans="2:2" ht="15.6">
      <c r="B4820" s="154"/>
    </row>
    <row r="4821" spans="2:2" ht="15.6">
      <c r="B4821" s="154"/>
    </row>
    <row r="4822" spans="2:2" ht="15.6">
      <c r="B4822" s="154"/>
    </row>
    <row r="4823" spans="2:2" ht="15.6">
      <c r="B4823" s="154"/>
    </row>
    <row r="4824" spans="2:2" ht="15.6">
      <c r="B4824" s="154"/>
    </row>
    <row r="4825" spans="2:2" ht="15.6">
      <c r="B4825" s="154"/>
    </row>
    <row r="4826" spans="2:2" ht="15.6">
      <c r="B4826" s="154"/>
    </row>
    <row r="4827" spans="2:2" ht="15.6">
      <c r="B4827" s="154"/>
    </row>
    <row r="4828" spans="2:2" ht="15.6">
      <c r="B4828" s="154"/>
    </row>
    <row r="4829" spans="2:2" ht="15.6">
      <c r="B4829" s="154"/>
    </row>
    <row r="4830" spans="2:2" ht="15.6">
      <c r="B4830" s="154"/>
    </row>
    <row r="4831" spans="2:2" ht="15.6">
      <c r="B4831" s="154"/>
    </row>
    <row r="4832" spans="2:2" ht="15.6">
      <c r="B4832" s="154"/>
    </row>
    <row r="4833" spans="2:2" ht="15.6">
      <c r="B4833" s="154"/>
    </row>
    <row r="4834" spans="2:2" ht="15.6">
      <c r="B4834" s="154"/>
    </row>
    <row r="4835" spans="2:2" ht="15.6">
      <c r="B4835" s="154"/>
    </row>
    <row r="4836" spans="2:2" ht="15.6">
      <c r="B4836" s="154"/>
    </row>
    <row r="4837" spans="2:2" ht="15.6">
      <c r="B4837" s="154"/>
    </row>
    <row r="4838" spans="2:2" ht="15.6">
      <c r="B4838" s="154"/>
    </row>
    <row r="4839" spans="2:2" ht="15.6">
      <c r="B4839" s="154"/>
    </row>
    <row r="4840" spans="2:2" ht="15.6">
      <c r="B4840" s="154"/>
    </row>
    <row r="4841" spans="2:2" ht="15.6">
      <c r="B4841" s="154"/>
    </row>
    <row r="4842" spans="2:2" ht="15.6">
      <c r="B4842" s="154"/>
    </row>
    <row r="4843" spans="2:2" ht="15.6">
      <c r="B4843" s="154"/>
    </row>
    <row r="4844" spans="2:2" ht="15.6">
      <c r="B4844" s="154"/>
    </row>
    <row r="4845" spans="2:2" ht="15.6">
      <c r="B4845" s="154"/>
    </row>
    <row r="4846" spans="2:2" ht="15.6">
      <c r="B4846" s="154"/>
    </row>
    <row r="4847" spans="2:2" ht="15.6">
      <c r="B4847" s="154"/>
    </row>
    <row r="4848" spans="2:2" ht="15.6">
      <c r="B4848" s="154"/>
    </row>
    <row r="4849" spans="2:2" ht="15.6">
      <c r="B4849" s="154"/>
    </row>
    <row r="4850" spans="2:2" ht="15.6">
      <c r="B4850" s="154"/>
    </row>
    <row r="4851" spans="2:2" ht="15.6">
      <c r="B4851" s="154"/>
    </row>
    <row r="4852" spans="2:2" ht="15.6">
      <c r="B4852" s="154"/>
    </row>
    <row r="4853" spans="2:2" ht="15.6">
      <c r="B4853" s="154"/>
    </row>
    <row r="4854" spans="2:2" ht="15.6">
      <c r="B4854" s="154"/>
    </row>
    <row r="4855" spans="2:2" ht="15.6">
      <c r="B4855" s="154"/>
    </row>
    <row r="4856" spans="2:2" ht="15.6">
      <c r="B4856" s="154"/>
    </row>
    <row r="4857" spans="2:2" ht="15.6">
      <c r="B4857" s="154"/>
    </row>
    <row r="4858" spans="2:2" ht="15.6">
      <c r="B4858" s="154"/>
    </row>
    <row r="4859" spans="2:2" ht="15.6">
      <c r="B4859" s="154"/>
    </row>
    <row r="4860" spans="2:2" ht="15.6">
      <c r="B4860" s="154"/>
    </row>
    <row r="4861" spans="2:2" ht="15.6">
      <c r="B4861" s="154"/>
    </row>
    <row r="4862" spans="2:2" ht="15.6">
      <c r="B4862" s="154"/>
    </row>
    <row r="4863" spans="2:2" ht="15.6">
      <c r="B4863" s="154"/>
    </row>
    <row r="4864" spans="2:2" ht="15.6">
      <c r="B4864" s="154"/>
    </row>
    <row r="4865" spans="2:2" ht="15.6">
      <c r="B4865" s="154"/>
    </row>
    <row r="4866" spans="2:2" ht="15.6">
      <c r="B4866" s="154"/>
    </row>
    <row r="4867" spans="2:2" ht="15.6">
      <c r="B4867" s="154"/>
    </row>
    <row r="4868" spans="2:2" ht="15.6">
      <c r="B4868" s="154"/>
    </row>
    <row r="4869" spans="2:2" ht="15.6">
      <c r="B4869" s="154"/>
    </row>
    <row r="4870" spans="2:2" ht="15.6">
      <c r="B4870" s="154"/>
    </row>
    <row r="4871" spans="2:2" ht="15.6">
      <c r="B4871" s="154"/>
    </row>
    <row r="4872" spans="2:2" ht="15.6">
      <c r="B4872" s="154"/>
    </row>
    <row r="4873" spans="2:2" ht="15.6">
      <c r="B4873" s="154"/>
    </row>
    <row r="4874" spans="2:2" ht="15.6">
      <c r="B4874" s="154"/>
    </row>
    <row r="4875" spans="2:2" ht="15.6">
      <c r="B4875" s="154"/>
    </row>
    <row r="4876" spans="2:2" ht="15.6">
      <c r="B4876" s="154"/>
    </row>
    <row r="4877" spans="2:2" ht="15.6">
      <c r="B4877" s="154"/>
    </row>
    <row r="4878" spans="2:2" ht="15.6">
      <c r="B4878" s="154"/>
    </row>
    <row r="4879" spans="2:2" ht="15.6">
      <c r="B4879" s="154"/>
    </row>
    <row r="4880" spans="2:2" ht="15.6">
      <c r="B4880" s="154"/>
    </row>
    <row r="4881" spans="2:2" ht="15.6">
      <c r="B4881" s="154"/>
    </row>
    <row r="4882" spans="2:2" ht="15.6">
      <c r="B4882" s="154"/>
    </row>
    <row r="4883" spans="2:2" ht="15.6">
      <c r="B4883" s="154"/>
    </row>
    <row r="4884" spans="2:2" ht="15.6">
      <c r="B4884" s="154"/>
    </row>
    <row r="4885" spans="2:2" ht="15.6">
      <c r="B4885" s="154"/>
    </row>
    <row r="4886" spans="2:2" ht="15.6">
      <c r="B4886" s="154"/>
    </row>
    <row r="4887" spans="2:2" ht="15.6">
      <c r="B4887" s="154"/>
    </row>
    <row r="4888" spans="2:2" ht="15.6">
      <c r="B4888" s="154"/>
    </row>
    <row r="4889" spans="2:2" ht="15.6">
      <c r="B4889" s="154"/>
    </row>
    <row r="4890" spans="2:2" ht="15.6">
      <c r="B4890" s="154"/>
    </row>
    <row r="4891" spans="2:2" ht="15.6">
      <c r="B4891" s="154"/>
    </row>
    <row r="4892" spans="2:2" ht="15.6">
      <c r="B4892" s="154"/>
    </row>
    <row r="4893" spans="2:2" ht="15.6">
      <c r="B4893" s="154"/>
    </row>
    <row r="4894" spans="2:2" ht="15.6">
      <c r="B4894" s="154"/>
    </row>
    <row r="4895" spans="2:2" ht="15.6">
      <c r="B4895" s="154"/>
    </row>
    <row r="4896" spans="2:2" ht="15.6">
      <c r="B4896" s="154"/>
    </row>
    <row r="4897" spans="2:2" ht="15.6">
      <c r="B4897" s="154"/>
    </row>
    <row r="4898" spans="2:2" ht="15.6">
      <c r="B4898" s="154"/>
    </row>
    <row r="4899" spans="2:2" ht="15.6">
      <c r="B4899" s="154"/>
    </row>
    <row r="4900" spans="2:2" ht="15.6">
      <c r="B4900" s="154"/>
    </row>
    <row r="4901" spans="2:2" ht="15.6">
      <c r="B4901" s="154"/>
    </row>
    <row r="4902" spans="2:2" ht="15.6">
      <c r="B4902" s="154"/>
    </row>
    <row r="4903" spans="2:2" ht="15.6">
      <c r="B4903" s="154"/>
    </row>
    <row r="4904" spans="2:2" ht="15.6">
      <c r="B4904" s="154"/>
    </row>
    <row r="4905" spans="2:2" ht="15.6">
      <c r="B4905" s="154"/>
    </row>
    <row r="4906" spans="2:2" ht="15.6">
      <c r="B4906" s="154"/>
    </row>
    <row r="4907" spans="2:2" ht="15.6">
      <c r="B4907" s="154"/>
    </row>
    <row r="4908" spans="2:2" ht="15.6">
      <c r="B4908" s="154"/>
    </row>
    <row r="4909" spans="2:2" ht="15.6">
      <c r="B4909" s="154"/>
    </row>
    <row r="4910" spans="2:2" ht="15.6">
      <c r="B4910" s="154"/>
    </row>
    <row r="4911" spans="2:2" ht="15.6">
      <c r="B4911" s="154"/>
    </row>
    <row r="4912" spans="2:2" ht="15.6">
      <c r="B4912" s="154"/>
    </row>
    <row r="4913" spans="2:2" ht="15.6">
      <c r="B4913" s="154"/>
    </row>
    <row r="4914" spans="2:2" ht="15.6">
      <c r="B4914" s="154"/>
    </row>
    <row r="4915" spans="2:2" ht="15.6">
      <c r="B4915" s="154"/>
    </row>
    <row r="4916" spans="2:2" ht="15.6">
      <c r="B4916" s="154"/>
    </row>
    <row r="4917" spans="2:2" ht="15.6">
      <c r="B4917" s="154"/>
    </row>
    <row r="4918" spans="2:2" ht="15.6">
      <c r="B4918" s="154"/>
    </row>
    <row r="4919" spans="2:2" ht="15.6">
      <c r="B4919" s="154"/>
    </row>
    <row r="4920" spans="2:2" ht="15.6">
      <c r="B4920" s="154"/>
    </row>
    <row r="4921" spans="2:2" ht="15.6">
      <c r="B4921" s="154"/>
    </row>
    <row r="4922" spans="2:2" ht="15.6">
      <c r="B4922" s="154"/>
    </row>
    <row r="4923" spans="2:2" ht="15.6">
      <c r="B4923" s="154"/>
    </row>
    <row r="4924" spans="2:2" ht="15.6">
      <c r="B4924" s="154"/>
    </row>
    <row r="4925" spans="2:2" ht="15.6">
      <c r="B4925" s="154"/>
    </row>
    <row r="4926" spans="2:2" ht="15.6">
      <c r="B4926" s="154"/>
    </row>
    <row r="4927" spans="2:2" ht="15.6">
      <c r="B4927" s="154"/>
    </row>
    <row r="4928" spans="2:2" ht="15.6">
      <c r="B4928" s="154"/>
    </row>
    <row r="4929" spans="2:2" ht="15.6">
      <c r="B4929" s="154"/>
    </row>
    <row r="4930" spans="2:2" ht="15.6">
      <c r="B4930" s="154"/>
    </row>
    <row r="4931" spans="2:2" ht="15.6">
      <c r="B4931" s="154"/>
    </row>
    <row r="4932" spans="2:2" ht="15.6">
      <c r="B4932" s="154"/>
    </row>
    <row r="4933" spans="2:2" ht="15.6">
      <c r="B4933" s="154"/>
    </row>
    <row r="4934" spans="2:2" ht="15.6">
      <c r="B4934" s="154"/>
    </row>
    <row r="4935" spans="2:2" ht="15.6">
      <c r="B4935" s="154"/>
    </row>
    <row r="4936" spans="2:2" ht="15.6">
      <c r="B4936" s="154"/>
    </row>
    <row r="4937" spans="2:2" ht="15.6">
      <c r="B4937" s="154"/>
    </row>
    <row r="4938" spans="2:2" ht="15.6">
      <c r="B4938" s="154"/>
    </row>
    <row r="4939" spans="2:2" ht="15.6">
      <c r="B4939" s="154"/>
    </row>
    <row r="4940" spans="2:2" ht="15.6">
      <c r="B4940" s="154"/>
    </row>
    <row r="4941" spans="2:2" ht="15.6">
      <c r="B4941" s="154"/>
    </row>
    <row r="4942" spans="2:2" ht="15.6">
      <c r="B4942" s="154"/>
    </row>
    <row r="4943" spans="2:2" ht="15.6">
      <c r="B4943" s="154"/>
    </row>
    <row r="4944" spans="2:2" ht="15.6">
      <c r="B4944" s="154"/>
    </row>
    <row r="4945" spans="2:2" ht="15.6">
      <c r="B4945" s="154"/>
    </row>
    <row r="4946" spans="2:2" ht="15.6">
      <c r="B4946" s="154"/>
    </row>
    <row r="4947" spans="2:2" ht="15.6">
      <c r="B4947" s="154"/>
    </row>
    <row r="4948" spans="2:2" ht="15.6">
      <c r="B4948" s="154"/>
    </row>
    <row r="4949" spans="2:2" ht="15.6">
      <c r="B4949" s="154"/>
    </row>
    <row r="4950" spans="2:2" ht="15.6">
      <c r="B4950" s="154"/>
    </row>
    <row r="4951" spans="2:2" ht="15.6">
      <c r="B4951" s="154"/>
    </row>
    <row r="4952" spans="2:2" ht="15.6">
      <c r="B4952" s="154"/>
    </row>
    <row r="4953" spans="2:2" ht="15.6">
      <c r="B4953" s="154"/>
    </row>
    <row r="4954" spans="2:2" ht="15.6">
      <c r="B4954" s="154"/>
    </row>
    <row r="4955" spans="2:2" ht="15.6">
      <c r="B4955" s="154"/>
    </row>
    <row r="4956" spans="2:2" ht="15.6">
      <c r="B4956" s="154"/>
    </row>
    <row r="4957" spans="2:2" ht="15.6">
      <c r="B4957" s="154"/>
    </row>
    <row r="4958" spans="2:2" ht="15.6">
      <c r="B4958" s="154"/>
    </row>
    <row r="4959" spans="2:2" ht="15.6">
      <c r="B4959" s="154"/>
    </row>
    <row r="4960" spans="2:2" ht="15.6">
      <c r="B4960" s="154"/>
    </row>
    <row r="4961" spans="2:2" ht="15.6">
      <c r="B4961" s="154"/>
    </row>
    <row r="4962" spans="2:2" ht="15.6">
      <c r="B4962" s="154"/>
    </row>
    <row r="4963" spans="2:2" ht="15.6">
      <c r="B4963" s="154"/>
    </row>
    <row r="4964" spans="2:2" ht="15.6">
      <c r="B4964" s="154"/>
    </row>
    <row r="4965" spans="2:2" ht="15.6">
      <c r="B4965" s="154"/>
    </row>
    <row r="4966" spans="2:2" ht="15.6">
      <c r="B4966" s="154"/>
    </row>
    <row r="4967" spans="2:2" ht="15.6">
      <c r="B4967" s="154"/>
    </row>
    <row r="4968" spans="2:2" ht="15.6">
      <c r="B4968" s="154"/>
    </row>
    <row r="4969" spans="2:2" ht="15.6">
      <c r="B4969" s="154"/>
    </row>
    <row r="4970" spans="2:2" ht="15.6">
      <c r="B4970" s="154"/>
    </row>
    <row r="4971" spans="2:2" ht="15.6">
      <c r="B4971" s="154"/>
    </row>
    <row r="4972" spans="2:2" ht="15.6">
      <c r="B4972" s="154"/>
    </row>
    <row r="4973" spans="2:2" ht="15.6">
      <c r="B4973" s="154"/>
    </row>
    <row r="4974" spans="2:2" ht="15.6">
      <c r="B4974" s="154"/>
    </row>
    <row r="4975" spans="2:2" ht="15.6">
      <c r="B4975" s="154"/>
    </row>
    <row r="4976" spans="2:2" ht="15.6">
      <c r="B4976" s="154"/>
    </row>
    <row r="4977" spans="2:2" ht="15.6">
      <c r="B4977" s="154"/>
    </row>
    <row r="4978" spans="2:2" ht="15.6">
      <c r="B4978" s="154"/>
    </row>
    <row r="4979" spans="2:2" ht="15.6">
      <c r="B4979" s="154"/>
    </row>
    <row r="4980" spans="2:2" ht="15.6">
      <c r="B4980" s="154"/>
    </row>
    <row r="4981" spans="2:2" ht="15.6">
      <c r="B4981" s="154"/>
    </row>
    <row r="4982" spans="2:2" ht="15.6">
      <c r="B4982" s="154"/>
    </row>
    <row r="4983" spans="2:2" ht="15.6">
      <c r="B4983" s="154"/>
    </row>
    <row r="4984" spans="2:2" ht="15.6">
      <c r="B4984" s="154"/>
    </row>
    <row r="4985" spans="2:2" ht="15.6">
      <c r="B4985" s="154"/>
    </row>
    <row r="4986" spans="2:2" ht="15.6">
      <c r="B4986" s="154"/>
    </row>
    <row r="4987" spans="2:2" ht="15.6">
      <c r="B4987" s="154"/>
    </row>
    <row r="4988" spans="2:2" ht="15.6">
      <c r="B4988" s="154"/>
    </row>
    <row r="4989" spans="2:2" ht="15.6">
      <c r="B4989" s="154"/>
    </row>
    <row r="4990" spans="2:2" ht="15.6">
      <c r="B4990" s="154"/>
    </row>
    <row r="4991" spans="2:2" ht="15.6">
      <c r="B4991" s="154"/>
    </row>
    <row r="4992" spans="2:2" ht="15.6">
      <c r="B4992" s="154"/>
    </row>
    <row r="4993" spans="2:2" ht="15.6">
      <c r="B4993" s="154"/>
    </row>
    <row r="4994" spans="2:2" ht="15.6">
      <c r="B4994" s="154"/>
    </row>
    <row r="4995" spans="2:2" ht="15.6">
      <c r="B4995" s="154"/>
    </row>
    <row r="4996" spans="2:2" ht="15.6">
      <c r="B4996" s="154"/>
    </row>
    <row r="4997" spans="2:2" ht="15.6">
      <c r="B4997" s="154"/>
    </row>
    <row r="4998" spans="2:2" ht="15.6">
      <c r="B4998" s="154"/>
    </row>
    <row r="4999" spans="2:2" ht="15.6">
      <c r="B4999" s="154"/>
    </row>
    <row r="5000" spans="2:2" ht="15.6">
      <c r="B5000" s="154"/>
    </row>
    <row r="5001" spans="2:2" ht="15.6">
      <c r="B5001" s="154"/>
    </row>
    <row r="5002" spans="2:2" ht="15.6">
      <c r="B5002" s="154"/>
    </row>
    <row r="5003" spans="2:2" ht="15.6">
      <c r="B5003" s="154"/>
    </row>
    <row r="5004" spans="2:2" ht="15.6">
      <c r="B5004" s="154"/>
    </row>
    <row r="5005" spans="2:2" ht="15.6">
      <c r="B5005" s="154"/>
    </row>
    <row r="5006" spans="2:2" ht="15.6">
      <c r="B5006" s="154"/>
    </row>
    <row r="5007" spans="2:2" ht="15.6">
      <c r="B5007" s="154"/>
    </row>
    <row r="5008" spans="2:2" ht="15.6">
      <c r="B5008" s="154"/>
    </row>
    <row r="5009" spans="2:2" ht="15.6">
      <c r="B5009" s="154"/>
    </row>
    <row r="5010" spans="2:2" ht="15.6">
      <c r="B5010" s="154"/>
    </row>
    <row r="5011" spans="2:2" ht="15.6">
      <c r="B5011" s="154"/>
    </row>
    <row r="5012" spans="2:2" ht="15.6">
      <c r="B5012" s="154"/>
    </row>
    <row r="5013" spans="2:2" ht="15.6">
      <c r="B5013" s="154"/>
    </row>
    <row r="5014" spans="2:2" ht="15.6">
      <c r="B5014" s="154"/>
    </row>
    <row r="5015" spans="2:2" ht="15.6">
      <c r="B5015" s="154"/>
    </row>
    <row r="5016" spans="2:2" ht="15.6">
      <c r="B5016" s="154"/>
    </row>
    <row r="5017" spans="2:2" ht="15.6">
      <c r="B5017" s="154"/>
    </row>
    <row r="5018" spans="2:2" ht="15.6">
      <c r="B5018" s="154"/>
    </row>
    <row r="5019" spans="2:2" ht="15.6">
      <c r="B5019" s="154"/>
    </row>
    <row r="5020" spans="2:2" ht="15.6">
      <c r="B5020" s="154"/>
    </row>
    <row r="5021" spans="2:2" ht="15.6">
      <c r="B5021" s="154"/>
    </row>
    <row r="5022" spans="2:2" ht="15.6">
      <c r="B5022" s="154"/>
    </row>
    <row r="5023" spans="2:2" ht="15.6">
      <c r="B5023" s="154"/>
    </row>
    <row r="5024" spans="2:2" ht="15.6">
      <c r="B5024" s="154"/>
    </row>
    <row r="5025" spans="2:2" ht="15.6">
      <c r="B5025" s="154"/>
    </row>
    <row r="5026" spans="2:2" ht="15.6">
      <c r="B5026" s="154"/>
    </row>
    <row r="5027" spans="2:2" ht="15.6">
      <c r="B5027" s="154"/>
    </row>
    <row r="5028" spans="2:2" ht="15.6">
      <c r="B5028" s="154"/>
    </row>
    <row r="5029" spans="2:2" ht="15.6">
      <c r="B5029" s="154"/>
    </row>
    <row r="5030" spans="2:2" ht="15.6">
      <c r="B5030" s="154"/>
    </row>
    <row r="5031" spans="2:2" ht="15.6">
      <c r="B5031" s="154"/>
    </row>
    <row r="5032" spans="2:2" ht="15.6">
      <c r="B5032" s="154"/>
    </row>
    <row r="5033" spans="2:2" ht="15.6">
      <c r="B5033" s="154"/>
    </row>
    <row r="5034" spans="2:2" ht="15.6">
      <c r="B5034" s="154"/>
    </row>
    <row r="5035" spans="2:2" ht="15.6">
      <c r="B5035" s="154"/>
    </row>
    <row r="5036" spans="2:2" ht="15.6">
      <c r="B5036" s="154"/>
    </row>
    <row r="5037" spans="2:2" ht="15.6">
      <c r="B5037" s="154"/>
    </row>
    <row r="5038" spans="2:2" ht="15.6">
      <c r="B5038" s="154"/>
    </row>
    <row r="5039" spans="2:2" ht="15.6">
      <c r="B5039" s="154"/>
    </row>
    <row r="5040" spans="2:2" ht="15.6">
      <c r="B5040" s="154"/>
    </row>
    <row r="5041" spans="2:2" ht="15.6">
      <c r="B5041" s="154"/>
    </row>
    <row r="5042" spans="2:2" ht="15.6">
      <c r="B5042" s="154"/>
    </row>
    <row r="5043" spans="2:2" ht="15.6">
      <c r="B5043" s="154"/>
    </row>
    <row r="5044" spans="2:2" ht="15.6">
      <c r="B5044" s="154"/>
    </row>
    <row r="5045" spans="2:2" ht="15.6">
      <c r="B5045" s="154"/>
    </row>
    <row r="5046" spans="2:2" ht="15.6">
      <c r="B5046" s="154"/>
    </row>
    <row r="5047" spans="2:2" ht="15.6">
      <c r="B5047" s="154"/>
    </row>
    <row r="5048" spans="2:2" ht="15.6">
      <c r="B5048" s="154"/>
    </row>
    <row r="5049" spans="2:2" ht="15.6">
      <c r="B5049" s="154"/>
    </row>
    <row r="5050" spans="2:2" ht="15.6">
      <c r="B5050" s="154"/>
    </row>
    <row r="5051" spans="2:2" ht="15.6">
      <c r="B5051" s="154"/>
    </row>
    <row r="5052" spans="2:2" ht="15.6">
      <c r="B5052" s="154"/>
    </row>
    <row r="5053" spans="2:2" ht="15.6">
      <c r="B5053" s="154"/>
    </row>
    <row r="5054" spans="2:2" ht="15.6">
      <c r="B5054" s="154"/>
    </row>
    <row r="5055" spans="2:2" ht="15.6">
      <c r="B5055" s="154"/>
    </row>
    <row r="5056" spans="2:2" ht="15.6">
      <c r="B5056" s="154"/>
    </row>
    <row r="5057" spans="2:2" ht="15.6">
      <c r="B5057" s="154"/>
    </row>
    <row r="5058" spans="2:2" ht="15.6">
      <c r="B5058" s="154"/>
    </row>
    <row r="5059" spans="2:2" ht="15.6">
      <c r="B5059" s="154"/>
    </row>
    <row r="5060" spans="2:2" ht="15.6">
      <c r="B5060" s="154"/>
    </row>
    <row r="5061" spans="2:2" ht="15.6">
      <c r="B5061" s="154"/>
    </row>
    <row r="5062" spans="2:2" ht="15.6">
      <c r="B5062" s="154"/>
    </row>
    <row r="5063" spans="2:2" ht="15.6">
      <c r="B5063" s="154"/>
    </row>
    <row r="5064" spans="2:2" ht="15.6">
      <c r="B5064" s="154"/>
    </row>
    <row r="5065" spans="2:2" ht="15.6">
      <c r="B5065" s="154"/>
    </row>
    <row r="5066" spans="2:2" ht="15.6">
      <c r="B5066" s="154"/>
    </row>
    <row r="5067" spans="2:2" ht="15.6">
      <c r="B5067" s="154"/>
    </row>
    <row r="5068" spans="2:2" ht="15.6">
      <c r="B5068" s="154"/>
    </row>
    <row r="5069" spans="2:2" ht="15.6">
      <c r="B5069" s="154"/>
    </row>
    <row r="5070" spans="2:2" ht="15.6">
      <c r="B5070" s="154"/>
    </row>
    <row r="5071" spans="2:2" ht="15.6">
      <c r="B5071" s="154"/>
    </row>
    <row r="5072" spans="2:2" ht="15.6">
      <c r="B5072" s="154"/>
    </row>
    <row r="5073" spans="2:2" ht="15.6">
      <c r="B5073" s="154"/>
    </row>
    <row r="5074" spans="2:2" ht="15.6">
      <c r="B5074" s="154"/>
    </row>
    <row r="5075" spans="2:2" ht="15.6">
      <c r="B5075" s="154"/>
    </row>
    <row r="5076" spans="2:2" ht="15.6">
      <c r="B5076" s="154"/>
    </row>
    <row r="5077" spans="2:2" ht="15.6">
      <c r="B5077" s="154"/>
    </row>
    <row r="5078" spans="2:2" ht="15.6">
      <c r="B5078" s="154"/>
    </row>
    <row r="5079" spans="2:2" ht="15.6">
      <c r="B5079" s="154"/>
    </row>
    <row r="5080" spans="2:2" ht="15.6">
      <c r="B5080" s="154"/>
    </row>
    <row r="5081" spans="2:2" ht="15.6">
      <c r="B5081" s="154"/>
    </row>
    <row r="5082" spans="2:2" ht="15.6">
      <c r="B5082" s="154"/>
    </row>
    <row r="5083" spans="2:2" ht="15.6">
      <c r="B5083" s="154"/>
    </row>
    <row r="5084" spans="2:2" ht="15.6">
      <c r="B5084" s="154"/>
    </row>
    <row r="5085" spans="2:2" ht="15.6">
      <c r="B5085" s="154"/>
    </row>
    <row r="5086" spans="2:2" ht="15.6">
      <c r="B5086" s="154"/>
    </row>
    <row r="5087" spans="2:2" ht="15.6">
      <c r="B5087" s="154"/>
    </row>
    <row r="5088" spans="2:2" ht="15.6">
      <c r="B5088" s="154"/>
    </row>
    <row r="5089" spans="2:2" ht="15.6">
      <c r="B5089" s="154"/>
    </row>
    <row r="5090" spans="2:2" ht="15.6">
      <c r="B5090" s="154"/>
    </row>
    <row r="5091" spans="2:2" ht="15.6">
      <c r="B5091" s="154"/>
    </row>
    <row r="5092" spans="2:2" ht="15.6">
      <c r="B5092" s="154"/>
    </row>
    <row r="5093" spans="2:2" ht="15.6">
      <c r="B5093" s="154"/>
    </row>
    <row r="5094" spans="2:2" ht="15.6">
      <c r="B5094" s="154"/>
    </row>
    <row r="5095" spans="2:2" ht="15.6">
      <c r="B5095" s="154"/>
    </row>
    <row r="5096" spans="2:2" ht="15.6">
      <c r="B5096" s="154"/>
    </row>
    <row r="5097" spans="2:2" ht="15.6">
      <c r="B5097" s="154"/>
    </row>
    <row r="5098" spans="2:2" ht="15.6">
      <c r="B5098" s="154"/>
    </row>
    <row r="5099" spans="2:2" ht="15.6">
      <c r="B5099" s="154"/>
    </row>
    <row r="5100" spans="2:2" ht="15.6">
      <c r="B5100" s="154"/>
    </row>
    <row r="5101" spans="2:2" ht="15.6">
      <c r="B5101" s="154"/>
    </row>
    <row r="5102" spans="2:2" ht="15.6">
      <c r="B5102" s="154"/>
    </row>
    <row r="5103" spans="2:2" ht="15.6">
      <c r="B5103" s="154"/>
    </row>
    <row r="5104" spans="2:2" ht="15.6">
      <c r="B5104" s="154"/>
    </row>
    <row r="5105" spans="2:2" ht="15.6">
      <c r="B5105" s="154"/>
    </row>
    <row r="5106" spans="2:2" ht="15.6">
      <c r="B5106" s="154"/>
    </row>
    <row r="5107" spans="2:2" ht="15.6">
      <c r="B5107" s="154"/>
    </row>
    <row r="5108" spans="2:2" ht="15.6">
      <c r="B5108" s="154"/>
    </row>
    <row r="5109" spans="2:2" ht="15.6">
      <c r="B5109" s="154"/>
    </row>
    <row r="5110" spans="2:2" ht="15.6">
      <c r="B5110" s="154"/>
    </row>
    <row r="5111" spans="2:2" ht="15.6">
      <c r="B5111" s="154"/>
    </row>
    <row r="5112" spans="2:2" ht="15.6">
      <c r="B5112" s="154"/>
    </row>
    <row r="5113" spans="2:2" ht="15.6">
      <c r="B5113" s="154"/>
    </row>
    <row r="5114" spans="2:2" ht="15.6">
      <c r="B5114" s="154"/>
    </row>
    <row r="5115" spans="2:2" ht="15.6">
      <c r="B5115" s="154"/>
    </row>
    <row r="5116" spans="2:2" ht="15.6">
      <c r="B5116" s="154"/>
    </row>
    <row r="5117" spans="2:2" ht="15.6">
      <c r="B5117" s="154"/>
    </row>
    <row r="5118" spans="2:2" ht="15.6">
      <c r="B5118" s="154"/>
    </row>
    <row r="5119" spans="2:2" ht="15.6">
      <c r="B5119" s="154"/>
    </row>
    <row r="5120" spans="2:2" ht="15.6">
      <c r="B5120" s="154"/>
    </row>
    <row r="5121" spans="2:2" ht="15.6">
      <c r="B5121" s="154"/>
    </row>
    <row r="5122" spans="2:2" ht="15.6">
      <c r="B5122" s="154"/>
    </row>
    <row r="5123" spans="2:2" ht="15.6">
      <c r="B5123" s="154"/>
    </row>
    <row r="5124" spans="2:2" ht="15.6">
      <c r="B5124" s="154"/>
    </row>
    <row r="5125" spans="2:2" ht="15.6">
      <c r="B5125" s="154"/>
    </row>
    <row r="5126" spans="2:2" ht="15.6">
      <c r="B5126" s="154"/>
    </row>
    <row r="5127" spans="2:2" ht="15.6">
      <c r="B5127" s="154"/>
    </row>
    <row r="5128" spans="2:2" ht="15.6">
      <c r="B5128" s="154"/>
    </row>
    <row r="5129" spans="2:2" ht="15.6">
      <c r="B5129" s="154"/>
    </row>
    <row r="5130" spans="2:2" ht="15.6">
      <c r="B5130" s="154"/>
    </row>
    <row r="5131" spans="2:2" ht="15.6">
      <c r="B5131" s="154"/>
    </row>
    <row r="5132" spans="2:2" ht="15.6">
      <c r="B5132" s="154"/>
    </row>
    <row r="5133" spans="2:2" ht="15.6">
      <c r="B5133" s="154"/>
    </row>
    <row r="5134" spans="2:2" ht="15.6">
      <c r="B5134" s="154"/>
    </row>
    <row r="5135" spans="2:2" ht="15.6">
      <c r="B5135" s="154"/>
    </row>
    <row r="5136" spans="2:2" ht="15.6">
      <c r="B5136" s="154"/>
    </row>
    <row r="5137" spans="2:2" ht="15.6">
      <c r="B5137" s="154"/>
    </row>
    <row r="5138" spans="2:2" ht="15.6">
      <c r="B5138" s="154"/>
    </row>
    <row r="5139" spans="2:2" ht="15.6">
      <c r="B5139" s="154"/>
    </row>
    <row r="5140" spans="2:2" ht="15.6">
      <c r="B5140" s="154"/>
    </row>
    <row r="5141" spans="2:2" ht="15.6">
      <c r="B5141" s="154"/>
    </row>
    <row r="5142" spans="2:2" ht="15.6">
      <c r="B5142" s="154"/>
    </row>
    <row r="5143" spans="2:2" ht="15.6">
      <c r="B5143" s="154"/>
    </row>
    <row r="5144" spans="2:2" ht="15.6">
      <c r="B5144" s="154"/>
    </row>
    <row r="5145" spans="2:2" ht="15.6">
      <c r="B5145" s="154"/>
    </row>
    <row r="5146" spans="2:2" ht="15.6">
      <c r="B5146" s="154"/>
    </row>
    <row r="5147" spans="2:2" ht="15.6">
      <c r="B5147" s="154"/>
    </row>
    <row r="5148" spans="2:2" ht="15.6">
      <c r="B5148" s="154"/>
    </row>
    <row r="5149" spans="2:2" ht="15.6">
      <c r="B5149" s="154"/>
    </row>
    <row r="5150" spans="2:2" ht="15.6">
      <c r="B5150" s="154"/>
    </row>
    <row r="5151" spans="2:2" ht="15.6">
      <c r="B5151" s="154"/>
    </row>
    <row r="5152" spans="2:2" ht="15.6">
      <c r="B5152" s="154"/>
    </row>
    <row r="5153" spans="2:2" ht="15.6">
      <c r="B5153" s="154"/>
    </row>
    <row r="5154" spans="2:2" ht="15.6">
      <c r="B5154" s="154"/>
    </row>
    <row r="5155" spans="2:2" ht="15.6">
      <c r="B5155" s="154"/>
    </row>
    <row r="5156" spans="2:2" ht="15.6">
      <c r="B5156" s="154"/>
    </row>
    <row r="5157" spans="2:2" ht="15.6">
      <c r="B5157" s="154"/>
    </row>
    <row r="5158" spans="2:2" ht="15.6">
      <c r="B5158" s="154"/>
    </row>
    <row r="5159" spans="2:2" ht="15.6">
      <c r="B5159" s="154"/>
    </row>
    <row r="5160" spans="2:2" ht="15.6">
      <c r="B5160" s="154"/>
    </row>
    <row r="5161" spans="2:2" ht="15.6">
      <c r="B5161" s="154"/>
    </row>
    <row r="5162" spans="2:2" ht="15.6">
      <c r="B5162" s="154"/>
    </row>
    <row r="5163" spans="2:2" ht="15.6">
      <c r="B5163" s="154"/>
    </row>
    <row r="5164" spans="2:2" ht="15.6">
      <c r="B5164" s="154"/>
    </row>
    <row r="5165" spans="2:2" ht="15.6">
      <c r="B5165" s="154"/>
    </row>
    <row r="5166" spans="2:2" ht="15.6">
      <c r="B5166" s="154"/>
    </row>
    <row r="5167" spans="2:2" ht="15.6">
      <c r="B5167" s="154"/>
    </row>
    <row r="5168" spans="2:2" ht="15.6">
      <c r="B5168" s="154"/>
    </row>
    <row r="5169" spans="2:2" ht="15.6">
      <c r="B5169" s="154"/>
    </row>
    <row r="5170" spans="2:2" ht="15.6">
      <c r="B5170" s="154"/>
    </row>
    <row r="5171" spans="2:2" ht="15.6">
      <c r="B5171" s="154"/>
    </row>
    <row r="5172" spans="2:2" ht="15.6">
      <c r="B5172" s="154"/>
    </row>
    <row r="5173" spans="2:2" ht="15.6">
      <c r="B5173" s="154"/>
    </row>
    <row r="5174" spans="2:2" ht="15.6">
      <c r="B5174" s="154"/>
    </row>
    <row r="5175" spans="2:2" ht="15.6">
      <c r="B5175" s="154"/>
    </row>
    <row r="5176" spans="2:2" ht="15.6">
      <c r="B5176" s="154"/>
    </row>
    <row r="5177" spans="2:2" ht="15.6">
      <c r="B5177" s="154"/>
    </row>
    <row r="5178" spans="2:2" ht="15.6">
      <c r="B5178" s="154"/>
    </row>
    <row r="5179" spans="2:2" ht="15.6">
      <c r="B5179" s="154"/>
    </row>
    <row r="5180" spans="2:2" ht="15.6">
      <c r="B5180" s="154"/>
    </row>
    <row r="5181" spans="2:2" ht="15.6">
      <c r="B5181" s="154"/>
    </row>
    <row r="5182" spans="2:2" ht="15.6">
      <c r="B5182" s="154"/>
    </row>
    <row r="5183" spans="2:2" ht="15.6">
      <c r="B5183" s="154"/>
    </row>
    <row r="5184" spans="2:2" ht="15.6">
      <c r="B5184" s="154"/>
    </row>
    <row r="5185" spans="2:2" ht="15.6">
      <c r="B5185" s="154"/>
    </row>
    <row r="5186" spans="2:2" ht="15.6">
      <c r="B5186" s="154"/>
    </row>
    <row r="5187" spans="2:2" ht="15.6">
      <c r="B5187" s="154"/>
    </row>
    <row r="5188" spans="2:2" ht="15.6">
      <c r="B5188" s="154"/>
    </row>
    <row r="5189" spans="2:2" ht="15.6">
      <c r="B5189" s="154"/>
    </row>
    <row r="5190" spans="2:2" ht="15.6">
      <c r="B5190" s="154"/>
    </row>
    <row r="5191" spans="2:2" ht="15.6">
      <c r="B5191" s="154"/>
    </row>
    <row r="5192" spans="2:2" ht="15.6">
      <c r="B5192" s="154"/>
    </row>
    <row r="5193" spans="2:2" ht="15.6">
      <c r="B5193" s="154"/>
    </row>
    <row r="5194" spans="2:2" ht="15.6">
      <c r="B5194" s="154"/>
    </row>
    <row r="5195" spans="2:2" ht="15.6">
      <c r="B5195" s="154"/>
    </row>
    <row r="5196" spans="2:2" ht="15.6">
      <c r="B5196" s="154"/>
    </row>
    <row r="5197" spans="2:2" ht="15.6">
      <c r="B5197" s="154"/>
    </row>
    <row r="5198" spans="2:2" ht="15.6">
      <c r="B5198" s="154"/>
    </row>
    <row r="5199" spans="2:2" ht="15.6">
      <c r="B5199" s="154"/>
    </row>
    <row r="5200" spans="2:2" ht="15.6">
      <c r="B5200" s="154"/>
    </row>
    <row r="5201" spans="2:2" ht="15.6">
      <c r="B5201" s="154"/>
    </row>
    <row r="5202" spans="2:2" ht="15.6">
      <c r="B5202" s="154"/>
    </row>
    <row r="5203" spans="2:2" ht="15.6">
      <c r="B5203" s="154"/>
    </row>
    <row r="5204" spans="2:2" ht="15.6">
      <c r="B5204" s="154"/>
    </row>
    <row r="5205" spans="2:2" ht="15.6">
      <c r="B5205" s="154"/>
    </row>
    <row r="5206" spans="2:2" ht="15.6">
      <c r="B5206" s="154"/>
    </row>
    <row r="5207" spans="2:2" ht="15.6">
      <c r="B5207" s="154"/>
    </row>
    <row r="5208" spans="2:2" ht="15.6">
      <c r="B5208" s="154"/>
    </row>
    <row r="5209" spans="2:2" ht="15.6">
      <c r="B5209" s="154"/>
    </row>
    <row r="5210" spans="2:2" ht="15.6">
      <c r="B5210" s="154"/>
    </row>
    <row r="5211" spans="2:2" ht="15.6">
      <c r="B5211" s="154"/>
    </row>
    <row r="5212" spans="2:2" ht="15.6">
      <c r="B5212" s="154"/>
    </row>
    <row r="5213" spans="2:2" ht="15.6">
      <c r="B5213" s="154"/>
    </row>
    <row r="5214" spans="2:2" ht="15.6">
      <c r="B5214" s="154"/>
    </row>
    <row r="5215" spans="2:2" ht="15.6">
      <c r="B5215" s="154"/>
    </row>
    <row r="5216" spans="2:2" ht="15.6">
      <c r="B5216" s="154"/>
    </row>
    <row r="5217" spans="2:2" ht="15.6">
      <c r="B5217" s="154"/>
    </row>
    <row r="5218" spans="2:2" ht="15.6">
      <c r="B5218" s="154"/>
    </row>
    <row r="5219" spans="2:2" ht="15.6">
      <c r="B5219" s="154"/>
    </row>
    <row r="5220" spans="2:2" ht="15.6">
      <c r="B5220" s="154"/>
    </row>
    <row r="5221" spans="2:2" ht="15.6">
      <c r="B5221" s="154"/>
    </row>
    <row r="5222" spans="2:2" ht="15.6">
      <c r="B5222" s="154"/>
    </row>
    <row r="5223" spans="2:2" ht="15.6">
      <c r="B5223" s="154"/>
    </row>
    <row r="5224" spans="2:2" ht="15.6">
      <c r="B5224" s="154"/>
    </row>
    <row r="5225" spans="2:2" ht="15.6">
      <c r="B5225" s="154"/>
    </row>
    <row r="5226" spans="2:2" ht="15.6">
      <c r="B5226" s="154"/>
    </row>
    <row r="5227" spans="2:2" ht="15.6">
      <c r="B5227" s="154"/>
    </row>
    <row r="5228" spans="2:2" ht="15.6">
      <c r="B5228" s="154"/>
    </row>
    <row r="5229" spans="2:2" ht="15.6">
      <c r="B5229" s="154"/>
    </row>
    <row r="5230" spans="2:2" ht="15.6">
      <c r="B5230" s="154"/>
    </row>
    <row r="5231" spans="2:2" ht="15.6">
      <c r="B5231" s="154"/>
    </row>
    <row r="5232" spans="2:2" ht="15.6">
      <c r="B5232" s="154"/>
    </row>
    <row r="5233" spans="2:2" ht="15.6">
      <c r="B5233" s="154"/>
    </row>
    <row r="5234" spans="2:2" ht="15.6">
      <c r="B5234" s="154"/>
    </row>
    <row r="5235" spans="2:2" ht="15.6">
      <c r="B5235" s="154"/>
    </row>
    <row r="5236" spans="2:2" ht="15.6">
      <c r="B5236" s="154"/>
    </row>
    <row r="5237" spans="2:2" ht="15.6">
      <c r="B5237" s="154"/>
    </row>
    <row r="5238" spans="2:2" ht="15.6">
      <c r="B5238" s="154"/>
    </row>
    <row r="5239" spans="2:2" ht="15.6">
      <c r="B5239" s="154"/>
    </row>
    <row r="5240" spans="2:2" ht="15.6">
      <c r="B5240" s="154"/>
    </row>
    <row r="5241" spans="2:2" ht="15.6">
      <c r="B5241" s="154"/>
    </row>
    <row r="5242" spans="2:2" ht="15.6">
      <c r="B5242" s="154"/>
    </row>
    <row r="5243" spans="2:2" ht="15.6">
      <c r="B5243" s="154"/>
    </row>
    <row r="5244" spans="2:2" ht="15.6">
      <c r="B5244" s="154"/>
    </row>
    <row r="5245" spans="2:2" ht="15.6">
      <c r="B5245" s="154"/>
    </row>
    <row r="5246" spans="2:2" ht="15.6">
      <c r="B5246" s="154"/>
    </row>
    <row r="5247" spans="2:2" ht="15.6">
      <c r="B5247" s="154"/>
    </row>
    <row r="5248" spans="2:2" ht="15.6">
      <c r="B5248" s="154"/>
    </row>
    <row r="5249" spans="2:2" ht="15.6">
      <c r="B5249" s="154"/>
    </row>
    <row r="5250" spans="2:2" ht="15.6">
      <c r="B5250" s="154"/>
    </row>
    <row r="5251" spans="2:2" ht="15.6">
      <c r="B5251" s="154"/>
    </row>
    <row r="5252" spans="2:2" ht="15.6">
      <c r="B5252" s="154"/>
    </row>
    <row r="5253" spans="2:2" ht="15.6">
      <c r="B5253" s="154"/>
    </row>
    <row r="5254" spans="2:2" ht="15.6">
      <c r="B5254" s="154"/>
    </row>
    <row r="5255" spans="2:2" ht="15.6">
      <c r="B5255" s="154"/>
    </row>
    <row r="5256" spans="2:2" ht="15.6">
      <c r="B5256" s="154"/>
    </row>
    <row r="5257" spans="2:2" ht="15.6">
      <c r="B5257" s="154"/>
    </row>
    <row r="5258" spans="2:2" ht="15.6">
      <c r="B5258" s="154"/>
    </row>
    <row r="5259" spans="2:2" ht="15.6">
      <c r="B5259" s="154"/>
    </row>
    <row r="5260" spans="2:2" ht="15.6">
      <c r="B5260" s="154"/>
    </row>
    <row r="5261" spans="2:2" ht="15.6">
      <c r="B5261" s="154"/>
    </row>
    <row r="5262" spans="2:2" ht="15.6">
      <c r="B5262" s="154"/>
    </row>
    <row r="5263" spans="2:2" ht="15.6">
      <c r="B5263" s="154"/>
    </row>
    <row r="5264" spans="2:2" ht="15.6">
      <c r="B5264" s="154"/>
    </row>
    <row r="5265" spans="2:2" ht="15.6">
      <c r="B5265" s="154"/>
    </row>
    <row r="5266" spans="2:2" ht="15.6">
      <c r="B5266" s="154"/>
    </row>
    <row r="5267" spans="2:2" ht="15.6">
      <c r="B5267" s="154"/>
    </row>
    <row r="5268" spans="2:2" ht="15.6">
      <c r="B5268" s="154"/>
    </row>
    <row r="5269" spans="2:2" ht="15.6">
      <c r="B5269" s="154"/>
    </row>
    <row r="5270" spans="2:2" ht="15.6">
      <c r="B5270" s="154"/>
    </row>
    <row r="5271" spans="2:2" ht="15.6">
      <c r="B5271" s="154"/>
    </row>
    <row r="5272" spans="2:2" ht="15.6">
      <c r="B5272" s="154"/>
    </row>
    <row r="5273" spans="2:2" ht="15.6">
      <c r="B5273" s="154"/>
    </row>
    <row r="5274" spans="2:2" ht="15.6">
      <c r="B5274" s="154"/>
    </row>
    <row r="5275" spans="2:2" ht="15.6">
      <c r="B5275" s="154"/>
    </row>
    <row r="5276" spans="2:2" ht="15.6">
      <c r="B5276" s="154"/>
    </row>
    <row r="5277" spans="2:2" ht="15.6">
      <c r="B5277" s="154"/>
    </row>
    <row r="5278" spans="2:2" ht="15.6">
      <c r="B5278" s="154"/>
    </row>
    <row r="5279" spans="2:2" ht="15.6">
      <c r="B5279" s="154"/>
    </row>
    <row r="5280" spans="2:2" ht="15.6">
      <c r="B5280" s="154"/>
    </row>
    <row r="5281" spans="2:2" ht="15.6">
      <c r="B5281" s="154"/>
    </row>
    <row r="5282" spans="2:2" ht="15.6">
      <c r="B5282" s="154"/>
    </row>
    <row r="5283" spans="2:2" ht="15.6">
      <c r="B5283" s="154"/>
    </row>
    <row r="5284" spans="2:2" ht="15.6">
      <c r="B5284" s="154"/>
    </row>
    <row r="5285" spans="2:2" ht="15.6">
      <c r="B5285" s="154"/>
    </row>
    <row r="5286" spans="2:2" ht="15.6">
      <c r="B5286" s="154"/>
    </row>
    <row r="5287" spans="2:2" ht="15.6">
      <c r="B5287" s="154"/>
    </row>
    <row r="5288" spans="2:2" ht="15.6">
      <c r="B5288" s="154"/>
    </row>
    <row r="5289" spans="2:2" ht="15.6">
      <c r="B5289" s="154"/>
    </row>
    <row r="5290" spans="2:2" ht="15.6">
      <c r="B5290" s="154"/>
    </row>
    <row r="5291" spans="2:2" ht="15.6">
      <c r="B5291" s="154"/>
    </row>
    <row r="5292" spans="2:2" ht="15.6">
      <c r="B5292" s="154"/>
    </row>
    <row r="5293" spans="2:2" ht="15.6">
      <c r="B5293" s="154"/>
    </row>
    <row r="5294" spans="2:2" ht="15.6">
      <c r="B5294" s="154"/>
    </row>
    <row r="5295" spans="2:2" ht="15.6">
      <c r="B5295" s="154"/>
    </row>
    <row r="5296" spans="2:2" ht="15.6">
      <c r="B5296" s="154"/>
    </row>
    <row r="5297" spans="2:2" ht="15.6">
      <c r="B5297" s="154"/>
    </row>
    <row r="5298" spans="2:2" ht="15.6">
      <c r="B5298" s="154"/>
    </row>
    <row r="5299" spans="2:2" ht="15.6">
      <c r="B5299" s="154"/>
    </row>
    <row r="5300" spans="2:2" ht="15.6">
      <c r="B5300" s="154"/>
    </row>
    <row r="5301" spans="2:2" ht="15.6">
      <c r="B5301" s="154"/>
    </row>
    <row r="5302" spans="2:2" ht="15.6">
      <c r="B5302" s="154"/>
    </row>
    <row r="5303" spans="2:2" ht="15.6">
      <c r="B5303" s="154"/>
    </row>
    <row r="5304" spans="2:2" ht="15.6">
      <c r="B5304" s="154"/>
    </row>
    <row r="5305" spans="2:2" ht="15.6">
      <c r="B5305" s="154"/>
    </row>
    <row r="5306" spans="2:2" ht="15.6">
      <c r="B5306" s="154"/>
    </row>
    <row r="5307" spans="2:2" ht="15.6">
      <c r="B5307" s="154"/>
    </row>
    <row r="5308" spans="2:2" ht="15.6">
      <c r="B5308" s="154"/>
    </row>
    <row r="5309" spans="2:2" ht="15.6">
      <c r="B5309" s="154"/>
    </row>
    <row r="5310" spans="2:2" ht="15.6">
      <c r="B5310" s="154"/>
    </row>
    <row r="5311" spans="2:2" ht="15.6">
      <c r="B5311" s="154"/>
    </row>
    <row r="5312" spans="2:2" ht="15.6">
      <c r="B5312" s="154"/>
    </row>
    <row r="5313" spans="2:2" ht="15.6">
      <c r="B5313" s="154"/>
    </row>
    <row r="5314" spans="2:2" ht="15.6">
      <c r="B5314" s="154"/>
    </row>
    <row r="5315" spans="2:2" ht="15.6">
      <c r="B5315" s="154"/>
    </row>
    <row r="5316" spans="2:2" ht="15.6">
      <c r="B5316" s="154"/>
    </row>
    <row r="5317" spans="2:2" ht="15.6">
      <c r="B5317" s="154"/>
    </row>
    <row r="5318" spans="2:2" ht="15.6">
      <c r="B5318" s="154"/>
    </row>
    <row r="5319" spans="2:2" ht="15.6">
      <c r="B5319" s="154"/>
    </row>
    <row r="5320" spans="2:2" ht="15.6">
      <c r="B5320" s="154"/>
    </row>
    <row r="5321" spans="2:2" ht="15.6">
      <c r="B5321" s="154"/>
    </row>
    <row r="5322" spans="2:2" ht="15.6">
      <c r="B5322" s="154"/>
    </row>
    <row r="5323" spans="2:2" ht="15.6">
      <c r="B5323" s="154"/>
    </row>
    <row r="5324" spans="2:2" ht="15.6">
      <c r="B5324" s="154"/>
    </row>
    <row r="5325" spans="2:2" ht="15.6">
      <c r="B5325" s="154"/>
    </row>
    <row r="5326" spans="2:2" ht="15.6">
      <c r="B5326" s="154"/>
    </row>
    <row r="5327" spans="2:2" ht="15.6">
      <c r="B5327" s="154"/>
    </row>
    <row r="5328" spans="2:2" ht="15.6">
      <c r="B5328" s="154"/>
    </row>
    <row r="5329" spans="2:2" ht="15.6">
      <c r="B5329" s="154"/>
    </row>
    <row r="5330" spans="2:2" ht="15.6">
      <c r="B5330" s="154"/>
    </row>
    <row r="5331" spans="2:2" ht="15.6">
      <c r="B5331" s="154"/>
    </row>
    <row r="5332" spans="2:2" ht="15.6">
      <c r="B5332" s="154"/>
    </row>
    <row r="5333" spans="2:2" ht="15.6">
      <c r="B5333" s="154"/>
    </row>
    <row r="5334" spans="2:2" ht="15.6">
      <c r="B5334" s="154"/>
    </row>
    <row r="5335" spans="2:2" ht="15.6">
      <c r="B5335" s="154"/>
    </row>
    <row r="5336" spans="2:2" ht="15.6">
      <c r="B5336" s="154"/>
    </row>
    <row r="5337" spans="2:2" ht="15.6">
      <c r="B5337" s="154"/>
    </row>
    <row r="5338" spans="2:2" ht="15.6">
      <c r="B5338" s="154"/>
    </row>
    <row r="5339" spans="2:2" ht="15.6">
      <c r="B5339" s="154"/>
    </row>
    <row r="5340" spans="2:2" ht="15.6">
      <c r="B5340" s="154"/>
    </row>
    <row r="5341" spans="2:2" ht="15.6">
      <c r="B5341" s="154"/>
    </row>
    <row r="5342" spans="2:2" ht="15.6">
      <c r="B5342" s="154"/>
    </row>
    <row r="5343" spans="2:2" ht="15.6">
      <c r="B5343" s="154"/>
    </row>
    <row r="5344" spans="2:2" ht="15.6">
      <c r="B5344" s="154"/>
    </row>
    <row r="5345" spans="2:2" ht="15.6">
      <c r="B5345" s="154"/>
    </row>
    <row r="5346" spans="2:2" ht="15.6">
      <c r="B5346" s="154"/>
    </row>
    <row r="5347" spans="2:2" ht="15.6">
      <c r="B5347" s="154"/>
    </row>
    <row r="5348" spans="2:2" ht="15.6">
      <c r="B5348" s="154"/>
    </row>
    <row r="5349" spans="2:2" ht="15.6">
      <c r="B5349" s="154"/>
    </row>
    <row r="5350" spans="2:2" ht="15.6">
      <c r="B5350" s="154"/>
    </row>
    <row r="5351" spans="2:2" ht="15.6">
      <c r="B5351" s="154"/>
    </row>
    <row r="5352" spans="2:2" ht="15.6">
      <c r="B5352" s="154"/>
    </row>
    <row r="5353" spans="2:2" ht="15.6">
      <c r="B5353" s="154"/>
    </row>
    <row r="5354" spans="2:2" ht="15.6">
      <c r="B5354" s="154"/>
    </row>
    <row r="5355" spans="2:2" ht="15.6">
      <c r="B5355" s="154"/>
    </row>
    <row r="5356" spans="2:2" ht="15.6">
      <c r="B5356" s="154"/>
    </row>
    <row r="5357" spans="2:2" ht="15.6">
      <c r="B5357" s="154"/>
    </row>
    <row r="5358" spans="2:2" ht="15.6">
      <c r="B5358" s="154"/>
    </row>
    <row r="5359" spans="2:2" ht="15.6">
      <c r="B5359" s="154"/>
    </row>
    <row r="5360" spans="2:2" ht="15.6">
      <c r="B5360" s="154"/>
    </row>
    <row r="5361" spans="2:2" ht="15.6">
      <c r="B5361" s="154"/>
    </row>
    <row r="5362" spans="2:2" ht="15.6">
      <c r="B5362" s="154"/>
    </row>
    <row r="5363" spans="2:2" ht="15.6">
      <c r="B5363" s="154"/>
    </row>
    <row r="5364" spans="2:2" ht="15.6">
      <c r="B5364" s="154"/>
    </row>
    <row r="5365" spans="2:2" ht="15.6">
      <c r="B5365" s="154"/>
    </row>
    <row r="5366" spans="2:2" ht="15.6">
      <c r="B5366" s="154"/>
    </row>
    <row r="5367" spans="2:2" ht="15.6">
      <c r="B5367" s="154"/>
    </row>
    <row r="5368" spans="2:2" ht="15.6">
      <c r="B5368" s="154"/>
    </row>
    <row r="5369" spans="2:2" ht="15.6">
      <c r="B5369" s="154"/>
    </row>
    <row r="5370" spans="2:2" ht="15.6">
      <c r="B5370" s="154"/>
    </row>
    <row r="5371" spans="2:2" ht="15.6">
      <c r="B5371" s="154"/>
    </row>
    <row r="5372" spans="2:2" ht="15.6">
      <c r="B5372" s="154"/>
    </row>
    <row r="5373" spans="2:2" ht="15.6">
      <c r="B5373" s="154"/>
    </row>
    <row r="5374" spans="2:2" ht="15.6">
      <c r="B5374" s="154"/>
    </row>
    <row r="5375" spans="2:2" ht="15.6">
      <c r="B5375" s="154"/>
    </row>
    <row r="5376" spans="2:2" ht="15.6">
      <c r="B5376" s="154"/>
    </row>
    <row r="5377" spans="2:2" ht="15.6">
      <c r="B5377" s="154"/>
    </row>
    <row r="5378" spans="2:2" ht="15.6">
      <c r="B5378" s="154"/>
    </row>
    <row r="5379" spans="2:2" ht="15.6">
      <c r="B5379" s="154"/>
    </row>
    <row r="5380" spans="2:2" ht="15.6">
      <c r="B5380" s="154"/>
    </row>
    <row r="5381" spans="2:2" ht="15.6">
      <c r="B5381" s="154"/>
    </row>
    <row r="5382" spans="2:2" ht="15.6">
      <c r="B5382" s="154"/>
    </row>
    <row r="5383" spans="2:2" ht="15.6">
      <c r="B5383" s="154"/>
    </row>
    <row r="5384" spans="2:2" ht="15.6">
      <c r="B5384" s="154"/>
    </row>
    <row r="5385" spans="2:2" ht="15.6">
      <c r="B5385" s="154"/>
    </row>
    <row r="5386" spans="2:2" ht="15.6">
      <c r="B5386" s="154"/>
    </row>
    <row r="5387" spans="2:2" ht="15.6">
      <c r="B5387" s="154"/>
    </row>
    <row r="5388" spans="2:2" ht="15.6">
      <c r="B5388" s="154"/>
    </row>
    <row r="5389" spans="2:2" ht="15.6">
      <c r="B5389" s="154"/>
    </row>
    <row r="5390" spans="2:2" ht="15.6">
      <c r="B5390" s="154"/>
    </row>
    <row r="5391" spans="2:2" ht="15.6">
      <c r="B5391" s="154"/>
    </row>
    <row r="5392" spans="2:2" ht="15.6">
      <c r="B5392" s="154"/>
    </row>
    <row r="5393" spans="2:2" ht="15.6">
      <c r="B5393" s="154"/>
    </row>
    <row r="5394" spans="2:2" ht="15.6">
      <c r="B5394" s="154"/>
    </row>
    <row r="5395" spans="2:2" ht="15.6">
      <c r="B5395" s="154"/>
    </row>
    <row r="5396" spans="2:2" ht="15.6">
      <c r="B5396" s="154"/>
    </row>
    <row r="5397" spans="2:2" ht="15.6">
      <c r="B5397" s="154"/>
    </row>
    <row r="5398" spans="2:2" ht="15.6">
      <c r="B5398" s="154"/>
    </row>
    <row r="5399" spans="2:2" ht="15.6">
      <c r="B5399" s="154"/>
    </row>
    <row r="5400" spans="2:2" ht="15.6">
      <c r="B5400" s="154"/>
    </row>
    <row r="5401" spans="2:2" ht="15.6">
      <c r="B5401" s="154"/>
    </row>
    <row r="5402" spans="2:2" ht="15.6">
      <c r="B5402" s="154"/>
    </row>
    <row r="5403" spans="2:2" ht="15.6">
      <c r="B5403" s="154"/>
    </row>
    <row r="5404" spans="2:2" ht="15.6">
      <c r="B5404" s="154"/>
    </row>
    <row r="5405" spans="2:2" ht="15.6">
      <c r="B5405" s="154"/>
    </row>
    <row r="5406" spans="2:2" ht="15.6">
      <c r="B5406" s="154"/>
    </row>
    <row r="5407" spans="2:2" ht="15.6">
      <c r="B5407" s="154"/>
    </row>
    <row r="5408" spans="2:2" ht="15.6">
      <c r="B5408" s="154"/>
    </row>
    <row r="5409" spans="2:2" ht="15.6">
      <c r="B5409" s="154"/>
    </row>
    <row r="5410" spans="2:2" ht="15.6">
      <c r="B5410" s="154"/>
    </row>
    <row r="5411" spans="2:2" ht="15.6">
      <c r="B5411" s="154"/>
    </row>
    <row r="5412" spans="2:2" ht="15.6">
      <c r="B5412" s="154"/>
    </row>
    <row r="5413" spans="2:2" ht="15.6">
      <c r="B5413" s="154"/>
    </row>
    <row r="5414" spans="2:2" ht="15.6">
      <c r="B5414" s="154"/>
    </row>
    <row r="5415" spans="2:2" ht="15.6">
      <c r="B5415" s="154"/>
    </row>
    <row r="5416" spans="2:2" ht="15.6">
      <c r="B5416" s="154"/>
    </row>
    <row r="5417" spans="2:2" ht="15.6">
      <c r="B5417" s="154"/>
    </row>
    <row r="5418" spans="2:2" ht="15.6">
      <c r="B5418" s="154"/>
    </row>
    <row r="5419" spans="2:2" ht="15.6">
      <c r="B5419" s="154"/>
    </row>
    <row r="5420" spans="2:2" ht="15.6">
      <c r="B5420" s="154"/>
    </row>
    <row r="5421" spans="2:2" ht="15.6">
      <c r="B5421" s="154"/>
    </row>
    <row r="5422" spans="2:2" ht="15.6">
      <c r="B5422" s="154"/>
    </row>
    <row r="5423" spans="2:2" ht="15.6">
      <c r="B5423" s="154"/>
    </row>
    <row r="5424" spans="2:2" ht="15.6">
      <c r="B5424" s="154"/>
    </row>
    <row r="5425" spans="2:2" ht="15.6">
      <c r="B5425" s="154"/>
    </row>
    <row r="5426" spans="2:2" ht="15.6">
      <c r="B5426" s="154"/>
    </row>
    <row r="5427" spans="2:2" ht="15.6">
      <c r="B5427" s="154"/>
    </row>
    <row r="5428" spans="2:2" ht="15.6">
      <c r="B5428" s="154"/>
    </row>
    <row r="5429" spans="2:2" ht="15.6">
      <c r="B5429" s="154"/>
    </row>
    <row r="5430" spans="2:2" ht="15.6">
      <c r="B5430" s="154"/>
    </row>
    <row r="5431" spans="2:2" ht="15.6">
      <c r="B5431" s="154"/>
    </row>
    <row r="5432" spans="2:2" ht="15.6">
      <c r="B5432" s="154"/>
    </row>
    <row r="5433" spans="2:2" ht="15.6">
      <c r="B5433" s="154"/>
    </row>
    <row r="5434" spans="2:2" ht="15.6">
      <c r="B5434" s="154"/>
    </row>
    <row r="5435" spans="2:2" ht="15.6">
      <c r="B5435" s="154"/>
    </row>
    <row r="5436" spans="2:2" ht="15.6">
      <c r="B5436" s="154"/>
    </row>
    <row r="5437" spans="2:2" ht="15.6">
      <c r="B5437" s="154"/>
    </row>
    <row r="5438" spans="2:2" ht="15.6">
      <c r="B5438" s="154"/>
    </row>
    <row r="5439" spans="2:2" ht="15.6">
      <c r="B5439" s="154"/>
    </row>
    <row r="5440" spans="2:2" ht="15.6">
      <c r="B5440" s="154"/>
    </row>
    <row r="5441" spans="2:2" ht="15.6">
      <c r="B5441" s="154"/>
    </row>
    <row r="5442" spans="2:2" ht="15.6">
      <c r="B5442" s="154"/>
    </row>
    <row r="5443" spans="2:2" ht="15.6">
      <c r="B5443" s="154"/>
    </row>
    <row r="5444" spans="2:2" ht="15.6">
      <c r="B5444" s="154"/>
    </row>
    <row r="5445" spans="2:2" ht="15.6">
      <c r="B5445" s="154"/>
    </row>
    <row r="5446" spans="2:2" ht="15.6">
      <c r="B5446" s="154"/>
    </row>
    <row r="5447" spans="2:2" ht="15.6">
      <c r="B5447" s="154"/>
    </row>
    <row r="5448" spans="2:2" ht="15.6">
      <c r="B5448" s="154"/>
    </row>
    <row r="5449" spans="2:2" ht="15.6">
      <c r="B5449" s="154"/>
    </row>
    <row r="5450" spans="2:2" ht="15.6">
      <c r="B5450" s="154"/>
    </row>
    <row r="5451" spans="2:2" ht="15.6">
      <c r="B5451" s="154"/>
    </row>
    <row r="5452" spans="2:2" ht="15.6">
      <c r="B5452" s="154"/>
    </row>
    <row r="5453" spans="2:2" ht="15.6">
      <c r="B5453" s="154"/>
    </row>
    <row r="5454" spans="2:2" ht="15.6">
      <c r="B5454" s="154"/>
    </row>
    <row r="5455" spans="2:2" ht="15.6">
      <c r="B5455" s="154"/>
    </row>
    <row r="5456" spans="2:2" ht="15.6">
      <c r="B5456" s="154"/>
    </row>
    <row r="5457" spans="2:2" ht="15.6">
      <c r="B5457" s="154"/>
    </row>
    <row r="5458" spans="2:2" ht="15.6">
      <c r="B5458" s="154"/>
    </row>
    <row r="5459" spans="2:2" ht="15.6">
      <c r="B5459" s="154"/>
    </row>
    <row r="5460" spans="2:2" ht="15.6">
      <c r="B5460" s="154"/>
    </row>
    <row r="5461" spans="2:2" ht="15.6">
      <c r="B5461" s="154"/>
    </row>
    <row r="5462" spans="2:2" ht="15.6">
      <c r="B5462" s="154"/>
    </row>
    <row r="5463" spans="2:2" ht="15.6">
      <c r="B5463" s="154"/>
    </row>
    <row r="5464" spans="2:2" ht="15.6">
      <c r="B5464" s="154"/>
    </row>
    <row r="5465" spans="2:2" ht="15.6">
      <c r="B5465" s="154"/>
    </row>
    <row r="5466" spans="2:2" ht="15.6">
      <c r="B5466" s="154"/>
    </row>
    <row r="5467" spans="2:2" ht="15.6">
      <c r="B5467" s="154"/>
    </row>
    <row r="5468" spans="2:2" ht="15.6">
      <c r="B5468" s="154"/>
    </row>
    <row r="5469" spans="2:2" ht="15.6">
      <c r="B5469" s="154"/>
    </row>
    <row r="5470" spans="2:2" ht="15.6">
      <c r="B5470" s="154"/>
    </row>
    <row r="5471" spans="2:2" ht="15.6">
      <c r="B5471" s="154"/>
    </row>
    <row r="5472" spans="2:2" ht="15.6">
      <c r="B5472" s="154"/>
    </row>
    <row r="5473" spans="2:2" ht="15.6">
      <c r="B5473" s="154"/>
    </row>
    <row r="5474" spans="2:2" ht="15.6">
      <c r="B5474" s="154"/>
    </row>
    <row r="5475" spans="2:2" ht="15.6">
      <c r="B5475" s="154"/>
    </row>
    <row r="5476" spans="2:2" ht="15.6">
      <c r="B5476" s="154"/>
    </row>
    <row r="5477" spans="2:2" ht="15.6">
      <c r="B5477" s="154"/>
    </row>
    <row r="5478" spans="2:2" ht="15.6">
      <c r="B5478" s="154"/>
    </row>
    <row r="5479" spans="2:2" ht="15.6">
      <c r="B5479" s="154"/>
    </row>
    <row r="5480" spans="2:2" ht="15.6">
      <c r="B5480" s="154"/>
    </row>
    <row r="5481" spans="2:2" ht="15.6">
      <c r="B5481" s="154"/>
    </row>
    <row r="5482" spans="2:2" ht="15.6">
      <c r="B5482" s="154"/>
    </row>
    <row r="5483" spans="2:2" ht="15.6">
      <c r="B5483" s="154"/>
    </row>
    <row r="5484" spans="2:2" ht="15.6">
      <c r="B5484" s="154"/>
    </row>
    <row r="5485" spans="2:2" ht="15.6">
      <c r="B5485" s="154"/>
    </row>
    <row r="5486" spans="2:2" ht="15.6">
      <c r="B5486" s="154"/>
    </row>
    <row r="5487" spans="2:2" ht="15.6">
      <c r="B5487" s="154"/>
    </row>
    <row r="5488" spans="2:2" ht="15.6">
      <c r="B5488" s="154"/>
    </row>
    <row r="5489" spans="2:2" ht="15.6">
      <c r="B5489" s="154"/>
    </row>
    <row r="5490" spans="2:2" ht="15.6">
      <c r="B5490" s="154"/>
    </row>
    <row r="5491" spans="2:2" ht="15.6">
      <c r="B5491" s="154"/>
    </row>
    <row r="5492" spans="2:2" ht="15.6">
      <c r="B5492" s="154"/>
    </row>
    <row r="5493" spans="2:2" ht="15.6">
      <c r="B5493" s="154"/>
    </row>
    <row r="5494" spans="2:2" ht="15.6">
      <c r="B5494" s="154"/>
    </row>
    <row r="5495" spans="2:2" ht="15.6">
      <c r="B5495" s="154"/>
    </row>
    <row r="5496" spans="2:2" ht="15.6">
      <c r="B5496" s="154"/>
    </row>
    <row r="5497" spans="2:2" ht="15.6">
      <c r="B5497" s="154"/>
    </row>
    <row r="5498" spans="2:2" ht="15.6">
      <c r="B5498" s="154"/>
    </row>
    <row r="5499" spans="2:2" ht="15.6">
      <c r="B5499" s="154"/>
    </row>
    <row r="5500" spans="2:2" ht="15.6">
      <c r="B5500" s="154"/>
    </row>
    <row r="5501" spans="2:2" ht="15.6">
      <c r="B5501" s="154"/>
    </row>
    <row r="5502" spans="2:2" ht="15.6">
      <c r="B5502" s="154"/>
    </row>
    <row r="5503" spans="2:2" ht="15.6">
      <c r="B5503" s="154"/>
    </row>
    <row r="5504" spans="2:2" ht="15.6">
      <c r="B5504" s="154"/>
    </row>
    <row r="5505" spans="2:2" ht="15.6">
      <c r="B5505" s="154"/>
    </row>
    <row r="5506" spans="2:2" ht="15.6">
      <c r="B5506" s="154"/>
    </row>
    <row r="5507" spans="2:2" ht="15.6">
      <c r="B5507" s="154"/>
    </row>
    <row r="5508" spans="2:2" ht="15.6">
      <c r="B5508" s="154"/>
    </row>
    <row r="5509" spans="2:2" ht="15.6">
      <c r="B5509" s="154"/>
    </row>
    <row r="5510" spans="2:2" ht="15.6">
      <c r="B5510" s="154"/>
    </row>
    <row r="5511" spans="2:2" ht="15.6">
      <c r="B5511" s="154"/>
    </row>
    <row r="5512" spans="2:2" ht="15.6">
      <c r="B5512" s="154"/>
    </row>
    <row r="5513" spans="2:2" ht="15.6">
      <c r="B5513" s="154"/>
    </row>
    <row r="5514" spans="2:2" ht="15.6">
      <c r="B5514" s="154"/>
    </row>
    <row r="5515" spans="2:2" ht="15.6">
      <c r="B5515" s="154"/>
    </row>
    <row r="5516" spans="2:2" ht="15.6">
      <c r="B5516" s="154"/>
    </row>
    <row r="5517" spans="2:2" ht="15.6">
      <c r="B5517" s="154"/>
    </row>
    <row r="5518" spans="2:2" ht="15.6">
      <c r="B5518" s="154"/>
    </row>
    <row r="5519" spans="2:2" ht="15.6">
      <c r="B5519" s="154"/>
    </row>
    <row r="5520" spans="2:2" ht="15.6">
      <c r="B5520" s="154"/>
    </row>
    <row r="5521" spans="2:2" ht="15.6">
      <c r="B5521" s="154"/>
    </row>
    <row r="5522" spans="2:2" ht="15.6">
      <c r="B5522" s="154"/>
    </row>
    <row r="5523" spans="2:2" ht="15.6">
      <c r="B5523" s="154"/>
    </row>
    <row r="5524" spans="2:2" ht="15.6">
      <c r="B5524" s="154"/>
    </row>
    <row r="5525" spans="2:2" ht="15.6">
      <c r="B5525" s="154"/>
    </row>
    <row r="5526" spans="2:2" ht="15.6">
      <c r="B5526" s="154"/>
    </row>
    <row r="5527" spans="2:2" ht="15.6">
      <c r="B5527" s="154"/>
    </row>
    <row r="5528" spans="2:2" ht="15.6">
      <c r="B5528" s="154"/>
    </row>
    <row r="5529" spans="2:2" ht="15.6">
      <c r="B5529" s="154"/>
    </row>
    <row r="5530" spans="2:2" ht="15.6">
      <c r="B5530" s="154"/>
    </row>
    <row r="5531" spans="2:2" ht="15.6">
      <c r="B5531" s="154"/>
    </row>
    <row r="5532" spans="2:2" ht="15.6">
      <c r="B5532" s="154"/>
    </row>
    <row r="5533" spans="2:2" ht="15.6">
      <c r="B5533" s="154"/>
    </row>
    <row r="5534" spans="2:2" ht="15.6">
      <c r="B5534" s="154"/>
    </row>
    <row r="5535" spans="2:2" ht="15.6">
      <c r="B5535" s="154"/>
    </row>
    <row r="5536" spans="2:2" ht="15.6">
      <c r="B5536" s="154"/>
    </row>
    <row r="5537" spans="2:2" ht="15.6">
      <c r="B5537" s="154"/>
    </row>
    <row r="5538" spans="2:2" ht="15.6">
      <c r="B5538" s="154"/>
    </row>
    <row r="5539" spans="2:2" ht="15.6">
      <c r="B5539" s="154"/>
    </row>
    <row r="5540" spans="2:2" ht="15.6">
      <c r="B5540" s="154"/>
    </row>
    <row r="5541" spans="2:2" ht="15.6">
      <c r="B5541" s="154"/>
    </row>
    <row r="5542" spans="2:2" ht="15.6">
      <c r="B5542" s="154"/>
    </row>
    <row r="5543" spans="2:2" ht="15.6">
      <c r="B5543" s="154"/>
    </row>
    <row r="5544" spans="2:2" ht="15.6">
      <c r="B5544" s="154"/>
    </row>
    <row r="5545" spans="2:2" ht="15.6">
      <c r="B5545" s="154"/>
    </row>
    <row r="5546" spans="2:2" ht="15.6">
      <c r="B5546" s="154"/>
    </row>
    <row r="5547" spans="2:2" ht="15.6">
      <c r="B5547" s="154"/>
    </row>
    <row r="5548" spans="2:2" ht="15.6">
      <c r="B5548" s="154"/>
    </row>
    <row r="5549" spans="2:2" ht="15.6">
      <c r="B5549" s="154"/>
    </row>
    <row r="5550" spans="2:2" ht="15.6">
      <c r="B5550" s="154"/>
    </row>
    <row r="5551" spans="2:2" ht="15.6">
      <c r="B5551" s="154"/>
    </row>
    <row r="5552" spans="2:2" ht="15.6">
      <c r="B5552" s="154"/>
    </row>
    <row r="5553" spans="2:2" ht="15.6">
      <c r="B5553" s="154"/>
    </row>
    <row r="5554" spans="2:2" ht="15.6">
      <c r="B5554" s="154"/>
    </row>
    <row r="5555" spans="2:2" ht="15.6">
      <c r="B5555" s="154"/>
    </row>
    <row r="5556" spans="2:2" ht="15.6">
      <c r="B5556" s="154"/>
    </row>
    <row r="5557" spans="2:2" ht="15.6">
      <c r="B5557" s="154"/>
    </row>
    <row r="5558" spans="2:2" ht="15.6">
      <c r="B5558" s="154"/>
    </row>
    <row r="5559" spans="2:2" ht="15.6">
      <c r="B5559" s="154"/>
    </row>
    <row r="5560" spans="2:2" ht="15.6">
      <c r="B5560" s="154"/>
    </row>
    <row r="5561" spans="2:2" ht="15.6">
      <c r="B5561" s="154"/>
    </row>
    <row r="5562" spans="2:2" ht="15.6">
      <c r="B5562" s="154"/>
    </row>
    <row r="5563" spans="2:2" ht="15.6">
      <c r="B5563" s="154"/>
    </row>
    <row r="5564" spans="2:2" ht="15.6">
      <c r="B5564" s="154"/>
    </row>
    <row r="5565" spans="2:2" ht="15.6">
      <c r="B5565" s="154"/>
    </row>
    <row r="5566" spans="2:2" ht="15.6">
      <c r="B5566" s="154"/>
    </row>
    <row r="5567" spans="2:2" ht="15.6">
      <c r="B5567" s="154"/>
    </row>
    <row r="5568" spans="2:2" ht="15.6">
      <c r="B5568" s="154"/>
    </row>
    <row r="5569" spans="2:2" ht="15.6">
      <c r="B5569" s="154"/>
    </row>
    <row r="5570" spans="2:2" ht="15.6">
      <c r="B5570" s="154"/>
    </row>
    <row r="5571" spans="2:2" ht="15.6">
      <c r="B5571" s="154"/>
    </row>
    <row r="5572" spans="2:2" ht="15.6">
      <c r="B5572" s="154"/>
    </row>
    <row r="5573" spans="2:2" ht="15.6">
      <c r="B5573" s="154"/>
    </row>
    <row r="5574" spans="2:2" ht="15.6">
      <c r="B5574" s="154"/>
    </row>
    <row r="5575" spans="2:2" ht="15.6">
      <c r="B5575" s="154"/>
    </row>
    <row r="5576" spans="2:2" ht="15.6">
      <c r="B5576" s="154"/>
    </row>
    <row r="5577" spans="2:2" ht="15.6">
      <c r="B5577" s="154"/>
    </row>
    <row r="5578" spans="2:2" ht="15.6">
      <c r="B5578" s="154"/>
    </row>
    <row r="5579" spans="2:2" ht="15.6">
      <c r="B5579" s="154"/>
    </row>
    <row r="5580" spans="2:2" ht="15.6">
      <c r="B5580" s="154"/>
    </row>
    <row r="5581" spans="2:2" ht="15.6">
      <c r="B5581" s="154"/>
    </row>
    <row r="5582" spans="2:2" ht="15.6">
      <c r="B5582" s="154"/>
    </row>
    <row r="5583" spans="2:2" ht="15.6">
      <c r="B5583" s="154"/>
    </row>
    <row r="5584" spans="2:2" ht="15.6">
      <c r="B5584" s="154"/>
    </row>
    <row r="5585" spans="2:2" ht="15.6">
      <c r="B5585" s="154"/>
    </row>
    <row r="5586" spans="2:2" ht="15.6">
      <c r="B5586" s="154"/>
    </row>
    <row r="5587" spans="2:2" ht="15.6">
      <c r="B5587" s="154"/>
    </row>
    <row r="5588" spans="2:2" ht="15.6">
      <c r="B5588" s="154"/>
    </row>
    <row r="5589" spans="2:2" ht="15.6">
      <c r="B5589" s="154"/>
    </row>
    <row r="5590" spans="2:2" ht="15.6">
      <c r="B5590" s="154"/>
    </row>
    <row r="5591" spans="2:2" ht="15.6">
      <c r="B5591" s="154"/>
    </row>
    <row r="5592" spans="2:2" ht="15.6">
      <c r="B5592" s="154"/>
    </row>
    <row r="5593" spans="2:2" ht="15.6">
      <c r="B5593" s="154"/>
    </row>
    <row r="5594" spans="2:2" ht="15.6">
      <c r="B5594" s="154"/>
    </row>
    <row r="5595" spans="2:2" ht="15.6">
      <c r="B5595" s="154"/>
    </row>
    <row r="5596" spans="2:2" ht="15.6">
      <c r="B5596" s="154"/>
    </row>
    <row r="5597" spans="2:2" ht="15.6">
      <c r="B5597" s="154"/>
    </row>
    <row r="5598" spans="2:2" ht="15.6">
      <c r="B5598" s="154"/>
    </row>
    <row r="5599" spans="2:2" ht="15.6">
      <c r="B5599" s="154"/>
    </row>
    <row r="5600" spans="2:2" ht="15.6">
      <c r="B5600" s="154"/>
    </row>
    <row r="5601" spans="2:2" ht="15.6">
      <c r="B5601" s="154"/>
    </row>
    <row r="5602" spans="2:2" ht="15.6">
      <c r="B5602" s="154"/>
    </row>
    <row r="5603" spans="2:2" ht="15.6">
      <c r="B5603" s="154"/>
    </row>
    <row r="5604" spans="2:2" ht="15.6">
      <c r="B5604" s="154"/>
    </row>
    <row r="5605" spans="2:2" ht="15.6">
      <c r="B5605" s="154"/>
    </row>
    <row r="5606" spans="2:2" ht="15.6">
      <c r="B5606" s="154"/>
    </row>
    <row r="5607" spans="2:2" ht="15.6">
      <c r="B5607" s="154"/>
    </row>
    <row r="5608" spans="2:2" ht="15.6">
      <c r="B5608" s="154"/>
    </row>
    <row r="5609" spans="2:2" ht="15.6">
      <c r="B5609" s="154"/>
    </row>
    <row r="5610" spans="2:2" ht="15.6">
      <c r="B5610" s="154"/>
    </row>
    <row r="5611" spans="2:2" ht="15.6">
      <c r="B5611" s="154"/>
    </row>
    <row r="5612" spans="2:2" ht="15.6">
      <c r="B5612" s="154"/>
    </row>
    <row r="5613" spans="2:2" ht="15.6">
      <c r="B5613" s="154"/>
    </row>
    <row r="5614" spans="2:2" ht="15.6">
      <c r="B5614" s="154"/>
    </row>
    <row r="5615" spans="2:2" ht="15.6">
      <c r="B5615" s="154"/>
    </row>
    <row r="5616" spans="2:2" ht="15.6">
      <c r="B5616" s="154"/>
    </row>
    <row r="5617" spans="2:2" ht="15.6">
      <c r="B5617" s="154"/>
    </row>
    <row r="5618" spans="2:2" ht="15.6">
      <c r="B5618" s="154"/>
    </row>
    <row r="5619" spans="2:2" ht="15.6">
      <c r="B5619" s="154"/>
    </row>
    <row r="5620" spans="2:2" ht="15.6">
      <c r="B5620" s="154"/>
    </row>
    <row r="5621" spans="2:2" ht="15.6">
      <c r="B5621" s="154"/>
    </row>
    <row r="5622" spans="2:2" ht="15.6">
      <c r="B5622" s="154"/>
    </row>
    <row r="5623" spans="2:2" ht="15.6">
      <c r="B5623" s="154"/>
    </row>
    <row r="5624" spans="2:2" ht="15.6">
      <c r="B5624" s="154"/>
    </row>
    <row r="5625" spans="2:2" ht="15.6">
      <c r="B5625" s="154"/>
    </row>
    <row r="5626" spans="2:2" ht="15.6">
      <c r="B5626" s="154"/>
    </row>
    <row r="5627" spans="2:2" ht="15.6">
      <c r="B5627" s="154"/>
    </row>
    <row r="5628" spans="2:2" ht="15.6">
      <c r="B5628" s="154"/>
    </row>
    <row r="5629" spans="2:2" ht="15.6">
      <c r="B5629" s="154"/>
    </row>
    <row r="5630" spans="2:2" ht="15.6">
      <c r="B5630" s="154"/>
    </row>
    <row r="5631" spans="2:2" ht="15.6">
      <c r="B5631" s="154"/>
    </row>
    <row r="5632" spans="2:2" ht="15.6">
      <c r="B5632" s="154"/>
    </row>
    <row r="5633" spans="2:2" ht="15.6">
      <c r="B5633" s="154"/>
    </row>
    <row r="5634" spans="2:2" ht="15.6">
      <c r="B5634" s="154"/>
    </row>
    <row r="5635" spans="2:2" ht="15.6">
      <c r="B5635" s="154"/>
    </row>
    <row r="5636" spans="2:2" ht="15.6">
      <c r="B5636" s="154"/>
    </row>
    <row r="5637" spans="2:2" ht="15.6">
      <c r="B5637" s="154"/>
    </row>
    <row r="5638" spans="2:2" ht="15.6">
      <c r="B5638" s="154"/>
    </row>
    <row r="5639" spans="2:2" ht="15.6">
      <c r="B5639" s="154"/>
    </row>
    <row r="5640" spans="2:2" ht="15.6">
      <c r="B5640" s="154"/>
    </row>
    <row r="5641" spans="2:2" ht="15.6">
      <c r="B5641" s="154"/>
    </row>
    <row r="5642" spans="2:2" ht="15.6">
      <c r="B5642" s="154"/>
    </row>
    <row r="5643" spans="2:2" ht="15.6">
      <c r="B5643" s="154"/>
    </row>
    <row r="5644" spans="2:2" ht="15.6">
      <c r="B5644" s="154"/>
    </row>
    <row r="5645" spans="2:2" ht="15.6">
      <c r="B5645" s="154"/>
    </row>
    <row r="5646" spans="2:2" ht="15.6">
      <c r="B5646" s="154"/>
    </row>
    <row r="5647" spans="2:2" ht="15.6">
      <c r="B5647" s="154"/>
    </row>
    <row r="5648" spans="2:2" ht="15.6">
      <c r="B5648" s="154"/>
    </row>
    <row r="5649" spans="2:2" ht="15.6">
      <c r="B5649" s="154"/>
    </row>
    <row r="5650" spans="2:2" ht="15.6">
      <c r="B5650" s="154"/>
    </row>
    <row r="5651" spans="2:2" ht="15.6">
      <c r="B5651" s="154"/>
    </row>
    <row r="5652" spans="2:2" ht="15.6">
      <c r="B5652" s="154"/>
    </row>
    <row r="5653" spans="2:2" ht="15.6">
      <c r="B5653" s="154"/>
    </row>
    <row r="5654" spans="2:2" ht="15.6">
      <c r="B5654" s="154"/>
    </row>
    <row r="5655" spans="2:2" ht="15.6">
      <c r="B5655" s="154"/>
    </row>
    <row r="5656" spans="2:2" ht="15.6">
      <c r="B5656" s="154"/>
    </row>
    <row r="5657" spans="2:2" ht="15.6">
      <c r="B5657" s="154"/>
    </row>
    <row r="5658" spans="2:2" ht="15.6">
      <c r="B5658" s="154"/>
    </row>
    <row r="5659" spans="2:2" ht="15.6">
      <c r="B5659" s="154"/>
    </row>
    <row r="5660" spans="2:2" ht="15.6">
      <c r="B5660" s="154"/>
    </row>
    <row r="5661" spans="2:2" ht="15.6">
      <c r="B5661" s="154"/>
    </row>
    <row r="5662" spans="2:2" ht="15.6">
      <c r="B5662" s="154"/>
    </row>
    <row r="5663" spans="2:2" ht="15.6">
      <c r="B5663" s="154"/>
    </row>
    <row r="5664" spans="2:2" ht="15.6">
      <c r="B5664" s="154"/>
    </row>
    <row r="5665" spans="2:2" ht="15.6">
      <c r="B5665" s="154"/>
    </row>
    <row r="5666" spans="2:2" ht="15.6">
      <c r="B5666" s="154"/>
    </row>
    <row r="5667" spans="2:2" ht="15.6">
      <c r="B5667" s="154"/>
    </row>
    <row r="5668" spans="2:2" ht="15.6">
      <c r="B5668" s="154"/>
    </row>
    <row r="5669" spans="2:2" ht="15.6">
      <c r="B5669" s="154"/>
    </row>
    <row r="5670" spans="2:2" ht="15.6">
      <c r="B5670" s="154"/>
    </row>
    <row r="5671" spans="2:2" ht="15.6">
      <c r="B5671" s="154"/>
    </row>
    <row r="5672" spans="2:2" ht="15.6">
      <c r="B5672" s="154"/>
    </row>
    <row r="5673" spans="2:2" ht="15.6">
      <c r="B5673" s="154"/>
    </row>
    <row r="5674" spans="2:2" ht="15.6">
      <c r="B5674" s="154"/>
    </row>
    <row r="5675" spans="2:2" ht="15.6">
      <c r="B5675" s="154"/>
    </row>
    <row r="5676" spans="2:2" ht="15.6">
      <c r="B5676" s="154"/>
    </row>
    <row r="5677" spans="2:2" ht="15.6">
      <c r="B5677" s="154"/>
    </row>
    <row r="5678" spans="2:2" ht="15.6">
      <c r="B5678" s="154"/>
    </row>
    <row r="5679" spans="2:2" ht="15.6">
      <c r="B5679" s="154"/>
    </row>
    <row r="5680" spans="2:2" ht="15.6">
      <c r="B5680" s="154"/>
    </row>
    <row r="5681" spans="2:2" ht="15.6">
      <c r="B5681" s="154"/>
    </row>
    <row r="5682" spans="2:2" ht="15.6">
      <c r="B5682" s="154"/>
    </row>
    <row r="5683" spans="2:2" ht="15.6">
      <c r="B5683" s="154"/>
    </row>
    <row r="5684" spans="2:2" ht="15.6">
      <c r="B5684" s="154"/>
    </row>
    <row r="5685" spans="2:2" ht="15.6">
      <c r="B5685" s="154"/>
    </row>
    <row r="5686" spans="2:2" ht="15.6">
      <c r="B5686" s="154"/>
    </row>
    <row r="5687" spans="2:2" ht="15.6">
      <c r="B5687" s="154"/>
    </row>
    <row r="5688" spans="2:2" ht="15.6">
      <c r="B5688" s="154"/>
    </row>
    <row r="5689" spans="2:2" ht="15.6">
      <c r="B5689" s="154"/>
    </row>
    <row r="5690" spans="2:2" ht="15.6">
      <c r="B5690" s="154"/>
    </row>
    <row r="5691" spans="2:2" ht="15.6">
      <c r="B5691" s="154"/>
    </row>
    <row r="5692" spans="2:2" ht="15.6">
      <c r="B5692" s="154"/>
    </row>
    <row r="5693" spans="2:2" ht="15.6">
      <c r="B5693" s="154"/>
    </row>
    <row r="5694" spans="2:2" ht="15.6">
      <c r="B5694" s="154"/>
    </row>
    <row r="5695" spans="2:2" ht="15.6">
      <c r="B5695" s="154"/>
    </row>
    <row r="5696" spans="2:2" ht="15.6">
      <c r="B5696" s="154"/>
    </row>
    <row r="5697" spans="2:2" ht="15.6">
      <c r="B5697" s="154"/>
    </row>
    <row r="5698" spans="2:2" ht="15.6">
      <c r="B5698" s="154"/>
    </row>
    <row r="5699" spans="2:2" ht="15.6">
      <c r="B5699" s="154"/>
    </row>
    <row r="5700" spans="2:2" ht="15.6">
      <c r="B5700" s="154"/>
    </row>
    <row r="5701" spans="2:2" ht="15.6">
      <c r="B5701" s="154"/>
    </row>
    <row r="5702" spans="2:2" ht="15.6">
      <c r="B5702" s="154"/>
    </row>
    <row r="5703" spans="2:2" ht="15.6">
      <c r="B5703" s="154"/>
    </row>
    <row r="5704" spans="2:2" ht="15.6">
      <c r="B5704" s="154"/>
    </row>
    <row r="5705" spans="2:2" ht="15.6">
      <c r="B5705" s="154"/>
    </row>
    <row r="5706" spans="2:2" ht="15.6">
      <c r="B5706" s="154"/>
    </row>
    <row r="5707" spans="2:2" ht="15.6">
      <c r="B5707" s="154"/>
    </row>
    <row r="5708" spans="2:2" ht="15.6">
      <c r="B5708" s="154"/>
    </row>
    <row r="5709" spans="2:2" ht="15.6">
      <c r="B5709" s="154"/>
    </row>
    <row r="5710" spans="2:2" ht="15.6">
      <c r="B5710" s="154"/>
    </row>
    <row r="5711" spans="2:2" ht="15.6">
      <c r="B5711" s="154"/>
    </row>
    <row r="5712" spans="2:2" ht="15.6">
      <c r="B5712" s="154"/>
    </row>
    <row r="5713" spans="2:2" ht="15.6">
      <c r="B5713" s="154"/>
    </row>
    <row r="5714" spans="2:2" ht="15.6">
      <c r="B5714" s="154"/>
    </row>
    <row r="5715" spans="2:2" ht="15.6">
      <c r="B5715" s="154"/>
    </row>
    <row r="5716" spans="2:2" ht="15.6">
      <c r="B5716" s="154"/>
    </row>
    <row r="5717" spans="2:2" ht="15.6">
      <c r="B5717" s="154"/>
    </row>
    <row r="5718" spans="2:2" ht="15.6">
      <c r="B5718" s="154"/>
    </row>
    <row r="5719" spans="2:2" ht="15.6">
      <c r="B5719" s="154"/>
    </row>
    <row r="5720" spans="2:2" ht="15.6">
      <c r="B5720" s="154"/>
    </row>
    <row r="5721" spans="2:2" ht="15.6">
      <c r="B5721" s="154"/>
    </row>
    <row r="5722" spans="2:2" ht="15.6">
      <c r="B5722" s="154"/>
    </row>
    <row r="5723" spans="2:2" ht="15.6">
      <c r="B5723" s="154"/>
    </row>
    <row r="5724" spans="2:2" ht="15.6">
      <c r="B5724" s="154"/>
    </row>
    <row r="5725" spans="2:2" ht="15.6">
      <c r="B5725" s="154"/>
    </row>
    <row r="5726" spans="2:2" ht="15.6">
      <c r="B5726" s="154"/>
    </row>
    <row r="5727" spans="2:2" ht="15.6">
      <c r="B5727" s="154"/>
    </row>
    <row r="5728" spans="2:2" ht="15.6">
      <c r="B5728" s="154"/>
    </row>
    <row r="5729" spans="2:2" ht="15.6">
      <c r="B5729" s="154"/>
    </row>
    <row r="5730" spans="2:2" ht="15.6">
      <c r="B5730" s="154"/>
    </row>
    <row r="5731" spans="2:2" ht="15.6">
      <c r="B5731" s="154"/>
    </row>
    <row r="5732" spans="2:2" ht="15.6">
      <c r="B5732" s="154"/>
    </row>
    <row r="5733" spans="2:2" ht="15.6">
      <c r="B5733" s="154"/>
    </row>
    <row r="5734" spans="2:2" ht="15.6">
      <c r="B5734" s="154"/>
    </row>
    <row r="5735" spans="2:2" ht="15.6">
      <c r="B5735" s="154"/>
    </row>
    <row r="5736" spans="2:2" ht="15.6">
      <c r="B5736" s="154"/>
    </row>
    <row r="5737" spans="2:2" ht="15.6">
      <c r="B5737" s="154"/>
    </row>
    <row r="5738" spans="2:2" ht="15.6">
      <c r="B5738" s="154"/>
    </row>
    <row r="5739" spans="2:2" ht="15.6">
      <c r="B5739" s="154"/>
    </row>
    <row r="5740" spans="2:2" ht="15.6">
      <c r="B5740" s="154"/>
    </row>
    <row r="5741" spans="2:2" ht="15.6">
      <c r="B5741" s="154"/>
    </row>
    <row r="5742" spans="2:2" ht="15.6">
      <c r="B5742" s="154"/>
    </row>
    <row r="5743" spans="2:2" ht="15.6">
      <c r="B5743" s="154"/>
    </row>
    <row r="5744" spans="2:2" ht="15.6">
      <c r="B5744" s="154"/>
    </row>
    <row r="5745" spans="2:2" ht="15.6">
      <c r="B5745" s="154"/>
    </row>
    <row r="5746" spans="2:2" ht="15.6">
      <c r="B5746" s="154"/>
    </row>
    <row r="5747" spans="2:2" ht="15.6">
      <c r="B5747" s="154"/>
    </row>
    <row r="5748" spans="2:2" ht="15.6">
      <c r="B5748" s="154"/>
    </row>
    <row r="5749" spans="2:2" ht="15.6">
      <c r="B5749" s="154"/>
    </row>
    <row r="5750" spans="2:2" ht="15.6">
      <c r="B5750" s="154"/>
    </row>
    <row r="5751" spans="2:2" ht="15.6">
      <c r="B5751" s="154"/>
    </row>
    <row r="5752" spans="2:2" ht="15.6">
      <c r="B5752" s="154"/>
    </row>
    <row r="5753" spans="2:2" ht="15.6">
      <c r="B5753" s="154"/>
    </row>
    <row r="5754" spans="2:2" ht="15.6">
      <c r="B5754" s="154"/>
    </row>
    <row r="5755" spans="2:2" ht="15.6">
      <c r="B5755" s="154"/>
    </row>
    <row r="5756" spans="2:2" ht="15.6">
      <c r="B5756" s="154"/>
    </row>
    <row r="5757" spans="2:2" ht="15.6">
      <c r="B5757" s="154"/>
    </row>
    <row r="5758" spans="2:2" ht="15.6">
      <c r="B5758" s="154"/>
    </row>
    <row r="5759" spans="2:2" ht="15.6">
      <c r="B5759" s="154"/>
    </row>
    <row r="5760" spans="2:2" ht="15.6">
      <c r="B5760" s="154"/>
    </row>
    <row r="5761" spans="2:2" ht="15.6">
      <c r="B5761" s="154"/>
    </row>
    <row r="5762" spans="2:2" ht="15.6">
      <c r="B5762" s="154"/>
    </row>
    <row r="5763" spans="2:2" ht="15.6">
      <c r="B5763" s="154"/>
    </row>
    <row r="5764" spans="2:2" ht="15.6">
      <c r="B5764" s="154"/>
    </row>
    <row r="5765" spans="2:2" ht="15.6">
      <c r="B5765" s="154"/>
    </row>
    <row r="5766" spans="2:2" ht="15.6">
      <c r="B5766" s="154"/>
    </row>
    <row r="5767" spans="2:2" ht="15.6">
      <c r="B5767" s="154"/>
    </row>
    <row r="5768" spans="2:2" ht="15.6">
      <c r="B5768" s="154"/>
    </row>
    <row r="5769" spans="2:2" ht="15.6">
      <c r="B5769" s="154"/>
    </row>
    <row r="5770" spans="2:2" ht="15.6">
      <c r="B5770" s="154"/>
    </row>
    <row r="5771" spans="2:2" ht="15.6">
      <c r="B5771" s="154"/>
    </row>
    <row r="5772" spans="2:2" ht="15.6">
      <c r="B5772" s="154"/>
    </row>
    <row r="5773" spans="2:2" ht="15.6">
      <c r="B5773" s="154"/>
    </row>
    <row r="5774" spans="2:2" ht="15.6">
      <c r="B5774" s="154"/>
    </row>
    <row r="5775" spans="2:2" ht="15.6">
      <c r="B5775" s="154"/>
    </row>
    <row r="5776" spans="2:2" ht="15.6">
      <c r="B5776" s="154"/>
    </row>
    <row r="5777" spans="2:2" ht="15.6">
      <c r="B5777" s="154"/>
    </row>
    <row r="5778" spans="2:2" ht="15.6">
      <c r="B5778" s="154"/>
    </row>
    <row r="5779" spans="2:2" ht="15.6">
      <c r="B5779" s="154"/>
    </row>
    <row r="5780" spans="2:2" ht="15.6">
      <c r="B5780" s="154"/>
    </row>
    <row r="5781" spans="2:2" ht="15.6">
      <c r="B5781" s="154"/>
    </row>
    <row r="5782" spans="2:2" ht="15.6">
      <c r="B5782" s="154"/>
    </row>
    <row r="5783" spans="2:2" ht="15.6">
      <c r="B5783" s="154"/>
    </row>
    <row r="5784" spans="2:2" ht="15.6">
      <c r="B5784" s="154"/>
    </row>
    <row r="5785" spans="2:2" ht="15.6">
      <c r="B5785" s="154"/>
    </row>
    <row r="5786" spans="2:2" ht="15.6">
      <c r="B5786" s="154"/>
    </row>
    <row r="5787" spans="2:2" ht="15.6">
      <c r="B5787" s="154"/>
    </row>
    <row r="5788" spans="2:2" ht="15.6">
      <c r="B5788" s="154"/>
    </row>
    <row r="5789" spans="2:2" ht="15.6">
      <c r="B5789" s="154"/>
    </row>
    <row r="5790" spans="2:2" ht="15.6">
      <c r="B5790" s="154"/>
    </row>
    <row r="5791" spans="2:2" ht="15.6">
      <c r="B5791" s="154"/>
    </row>
    <row r="5792" spans="2:2" ht="15.6">
      <c r="B5792" s="154"/>
    </row>
    <row r="5793" spans="2:2" ht="15.6">
      <c r="B5793" s="154"/>
    </row>
    <row r="5794" spans="2:2" ht="15.6">
      <c r="B5794" s="154"/>
    </row>
    <row r="5795" spans="2:2" ht="15.6">
      <c r="B5795" s="154"/>
    </row>
    <row r="5796" spans="2:2" ht="15.6">
      <c r="B5796" s="154"/>
    </row>
    <row r="5797" spans="2:2" ht="15.6">
      <c r="B5797" s="154"/>
    </row>
    <row r="5798" spans="2:2" ht="15.6">
      <c r="B5798" s="154"/>
    </row>
    <row r="5799" spans="2:2" ht="15.6">
      <c r="B5799" s="154"/>
    </row>
    <row r="5800" spans="2:2" ht="15.6">
      <c r="B5800" s="154"/>
    </row>
    <row r="5801" spans="2:2" ht="15.6">
      <c r="B5801" s="154"/>
    </row>
    <row r="5802" spans="2:2" ht="15.6">
      <c r="B5802" s="154"/>
    </row>
    <row r="5803" spans="2:2" ht="15.6">
      <c r="B5803" s="154"/>
    </row>
    <row r="5804" spans="2:2" ht="15.6">
      <c r="B5804" s="154"/>
    </row>
    <row r="5805" spans="2:2" ht="15.6">
      <c r="B5805" s="154"/>
    </row>
    <row r="5806" spans="2:2" ht="15.6">
      <c r="B5806" s="154"/>
    </row>
    <row r="5807" spans="2:2" ht="15.6">
      <c r="B5807" s="154"/>
    </row>
    <row r="5808" spans="2:2" ht="15.6">
      <c r="B5808" s="154"/>
    </row>
    <row r="5809" spans="2:2" ht="15.6">
      <c r="B5809" s="154"/>
    </row>
    <row r="5810" spans="2:2" ht="15.6">
      <c r="B5810" s="154"/>
    </row>
    <row r="5811" spans="2:2" ht="15.6">
      <c r="B5811" s="154"/>
    </row>
    <row r="5812" spans="2:2" ht="15.6">
      <c r="B5812" s="154"/>
    </row>
    <row r="5813" spans="2:2" ht="15.6">
      <c r="B5813" s="154"/>
    </row>
    <row r="5814" spans="2:2" ht="15.6">
      <c r="B5814" s="154"/>
    </row>
    <row r="5815" spans="2:2" ht="15.6">
      <c r="B5815" s="154"/>
    </row>
    <row r="5816" spans="2:2" ht="15.6">
      <c r="B5816" s="154"/>
    </row>
    <row r="5817" spans="2:2" ht="15.6">
      <c r="B5817" s="154"/>
    </row>
    <row r="5818" spans="2:2" ht="15.6">
      <c r="B5818" s="154"/>
    </row>
    <row r="5819" spans="2:2" ht="15.6">
      <c r="B5819" s="154"/>
    </row>
    <row r="5820" spans="2:2" ht="15.6">
      <c r="B5820" s="154"/>
    </row>
    <row r="5821" spans="2:2" ht="15.6">
      <c r="B5821" s="154"/>
    </row>
    <row r="5822" spans="2:2" ht="15.6">
      <c r="B5822" s="154"/>
    </row>
    <row r="5823" spans="2:2" ht="15.6">
      <c r="B5823" s="154"/>
    </row>
    <row r="5824" spans="2:2" ht="15.6">
      <c r="B5824" s="154"/>
    </row>
    <row r="5825" spans="2:2" ht="15.6">
      <c r="B5825" s="154"/>
    </row>
    <row r="5826" spans="2:2" ht="15.6">
      <c r="B5826" s="154"/>
    </row>
    <row r="5827" spans="2:2" ht="15.6">
      <c r="B5827" s="154"/>
    </row>
    <row r="5828" spans="2:2" ht="15.6">
      <c r="B5828" s="154"/>
    </row>
    <row r="5829" spans="2:2" ht="15.6">
      <c r="B5829" s="154"/>
    </row>
    <row r="5830" spans="2:2" ht="15.6">
      <c r="B5830" s="154"/>
    </row>
    <row r="5831" spans="2:2" ht="15.6">
      <c r="B5831" s="154"/>
    </row>
    <row r="5832" spans="2:2" ht="15.6">
      <c r="B5832" s="154"/>
    </row>
    <row r="5833" spans="2:2" ht="15.6">
      <c r="B5833" s="154"/>
    </row>
    <row r="5834" spans="2:2" ht="15.6">
      <c r="B5834" s="154"/>
    </row>
    <row r="5835" spans="2:2" ht="15.6">
      <c r="B5835" s="154"/>
    </row>
    <row r="5836" spans="2:2" ht="15.6">
      <c r="B5836" s="154"/>
    </row>
    <row r="5837" spans="2:2" ht="15.6">
      <c r="B5837" s="154"/>
    </row>
    <row r="5838" spans="2:2" ht="15.6">
      <c r="B5838" s="154"/>
    </row>
    <row r="5839" spans="2:2" ht="15.6">
      <c r="B5839" s="154"/>
    </row>
    <row r="5840" spans="2:2" ht="15.6">
      <c r="B5840" s="154"/>
    </row>
    <row r="5841" spans="2:2" ht="15.6">
      <c r="B5841" s="154"/>
    </row>
    <row r="5842" spans="2:2" ht="15.6">
      <c r="B5842" s="154"/>
    </row>
    <row r="5843" spans="2:2" ht="15.6">
      <c r="B5843" s="154"/>
    </row>
    <row r="5844" spans="2:2" ht="15.6">
      <c r="B5844" s="154"/>
    </row>
    <row r="5845" spans="2:2" ht="15.6">
      <c r="B5845" s="154"/>
    </row>
    <row r="5846" spans="2:2" ht="15.6">
      <c r="B5846" s="154"/>
    </row>
    <row r="5847" spans="2:2" ht="15.6">
      <c r="B5847" s="154"/>
    </row>
    <row r="5848" spans="2:2" ht="15.6">
      <c r="B5848" s="154"/>
    </row>
    <row r="5849" spans="2:2" ht="15.6">
      <c r="B5849" s="154"/>
    </row>
    <row r="5850" spans="2:2" ht="15.6">
      <c r="B5850" s="154"/>
    </row>
    <row r="5851" spans="2:2" ht="15.6">
      <c r="B5851" s="154"/>
    </row>
    <row r="5852" spans="2:2" ht="15.6">
      <c r="B5852" s="154"/>
    </row>
    <row r="5853" spans="2:2" ht="15.6">
      <c r="B5853" s="154"/>
    </row>
    <row r="5854" spans="2:2" ht="15.6">
      <c r="B5854" s="154"/>
    </row>
    <row r="5855" spans="2:2" ht="15.6">
      <c r="B5855" s="154"/>
    </row>
    <row r="5856" spans="2:2" ht="15.6">
      <c r="B5856" s="154"/>
    </row>
    <row r="5857" spans="2:2" ht="15.6">
      <c r="B5857" s="154"/>
    </row>
    <row r="5858" spans="2:2" ht="15.6">
      <c r="B5858" s="154"/>
    </row>
    <row r="5859" spans="2:2" ht="15.6">
      <c r="B5859" s="154"/>
    </row>
    <row r="5860" spans="2:2" ht="15.6">
      <c r="B5860" s="154"/>
    </row>
    <row r="5861" spans="2:2" ht="15.6">
      <c r="B5861" s="154"/>
    </row>
    <row r="5862" spans="2:2" ht="15.6">
      <c r="B5862" s="154"/>
    </row>
    <row r="5863" spans="2:2" ht="15.6">
      <c r="B5863" s="154"/>
    </row>
    <row r="5864" spans="2:2" ht="15.6">
      <c r="B5864" s="154"/>
    </row>
    <row r="5865" spans="2:2" ht="15.6">
      <c r="B5865" s="154"/>
    </row>
    <row r="5866" spans="2:2" ht="15.6">
      <c r="B5866" s="154"/>
    </row>
    <row r="5867" spans="2:2" ht="15.6">
      <c r="B5867" s="154"/>
    </row>
    <row r="5868" spans="2:2" ht="15.6">
      <c r="B5868" s="154"/>
    </row>
    <row r="5869" spans="2:2" ht="15.6">
      <c r="B5869" s="154"/>
    </row>
    <row r="5870" spans="2:2" ht="15.6">
      <c r="B5870" s="154"/>
    </row>
    <row r="5871" spans="2:2" ht="15.6">
      <c r="B5871" s="154"/>
    </row>
    <row r="5872" spans="2:2" ht="15.6">
      <c r="B5872" s="154"/>
    </row>
    <row r="5873" spans="2:2" ht="15.6">
      <c r="B5873" s="154"/>
    </row>
    <row r="5874" spans="2:2" ht="15.6">
      <c r="B5874" s="154"/>
    </row>
    <row r="5875" spans="2:2" ht="15.6">
      <c r="B5875" s="154"/>
    </row>
    <row r="5876" spans="2:2" ht="15.6">
      <c r="B5876" s="154"/>
    </row>
    <row r="5877" spans="2:2" ht="15.6">
      <c r="B5877" s="154"/>
    </row>
    <row r="5878" spans="2:2" ht="15.6">
      <c r="B5878" s="154"/>
    </row>
    <row r="5879" spans="2:2" ht="15.6">
      <c r="B5879" s="154"/>
    </row>
    <row r="5880" spans="2:2" ht="15.6">
      <c r="B5880" s="154"/>
    </row>
    <row r="5881" spans="2:2" ht="15.6">
      <c r="B5881" s="154"/>
    </row>
    <row r="5882" spans="2:2" ht="15.6">
      <c r="B5882" s="154"/>
    </row>
    <row r="5883" spans="2:2" ht="15.6">
      <c r="B5883" s="154"/>
    </row>
    <row r="5884" spans="2:2" ht="15.6">
      <c r="B5884" s="154"/>
    </row>
    <row r="5885" spans="2:2" ht="15.6">
      <c r="B5885" s="154"/>
    </row>
    <row r="5886" spans="2:2" ht="15.6">
      <c r="B5886" s="154"/>
    </row>
    <row r="5887" spans="2:2" ht="15.6">
      <c r="B5887" s="154"/>
    </row>
    <row r="5888" spans="2:2" ht="15.6">
      <c r="B5888" s="154"/>
    </row>
    <row r="5889" spans="2:2" ht="15.6">
      <c r="B5889" s="154"/>
    </row>
    <row r="5890" spans="2:2" ht="15.6">
      <c r="B5890" s="154"/>
    </row>
    <row r="5891" spans="2:2" ht="15.6">
      <c r="B5891" s="154"/>
    </row>
    <row r="5892" spans="2:2" ht="15.6">
      <c r="B5892" s="154"/>
    </row>
    <row r="5893" spans="2:2" ht="15.6">
      <c r="B5893" s="154"/>
    </row>
    <row r="5894" spans="2:2" ht="15.6">
      <c r="B5894" s="154"/>
    </row>
    <row r="5895" spans="2:2" ht="15.6">
      <c r="B5895" s="154"/>
    </row>
    <row r="5896" spans="2:2" ht="15.6">
      <c r="B5896" s="154"/>
    </row>
    <row r="5897" spans="2:2" ht="15.6">
      <c r="B5897" s="154"/>
    </row>
    <row r="5898" spans="2:2" ht="15.6">
      <c r="B5898" s="154"/>
    </row>
    <row r="5899" spans="2:2" ht="15.6">
      <c r="B5899" s="154"/>
    </row>
    <row r="5900" spans="2:2" ht="15.6">
      <c r="B5900" s="154"/>
    </row>
    <row r="5901" spans="2:2" ht="15.6">
      <c r="B5901" s="154"/>
    </row>
    <row r="5902" spans="2:2" ht="15.6">
      <c r="B5902" s="154"/>
    </row>
    <row r="5903" spans="2:2" ht="15.6">
      <c r="B5903" s="154"/>
    </row>
    <row r="5904" spans="2:2" ht="15.6">
      <c r="B5904" s="154"/>
    </row>
    <row r="5905" spans="2:2" ht="15.6">
      <c r="B5905" s="154"/>
    </row>
    <row r="5906" spans="2:2" ht="15.6">
      <c r="B5906" s="154"/>
    </row>
    <row r="5907" spans="2:2" ht="15.6">
      <c r="B5907" s="154"/>
    </row>
    <row r="5908" spans="2:2" ht="15.6">
      <c r="B5908" s="154"/>
    </row>
    <row r="5909" spans="2:2" ht="15.6">
      <c r="B5909" s="154"/>
    </row>
    <row r="5910" spans="2:2" ht="15.6">
      <c r="B5910" s="154"/>
    </row>
    <row r="5911" spans="2:2" ht="15.6">
      <c r="B5911" s="154"/>
    </row>
    <row r="5912" spans="2:2" ht="15.6">
      <c r="B5912" s="154"/>
    </row>
    <row r="5913" spans="2:2" ht="15.6">
      <c r="B5913" s="154"/>
    </row>
    <row r="5914" spans="2:2" ht="15.6">
      <c r="B5914" s="154"/>
    </row>
    <row r="5915" spans="2:2" ht="15.6">
      <c r="B5915" s="154"/>
    </row>
    <row r="5916" spans="2:2" ht="15.6">
      <c r="B5916" s="154"/>
    </row>
    <row r="5917" spans="2:2" ht="15.6">
      <c r="B5917" s="154"/>
    </row>
    <row r="5918" spans="2:2" ht="15.6">
      <c r="B5918" s="154"/>
    </row>
    <row r="5919" spans="2:2" ht="15.6">
      <c r="B5919" s="154"/>
    </row>
    <row r="5920" spans="2:2" ht="15.6">
      <c r="B5920" s="154"/>
    </row>
    <row r="5921" spans="2:2" ht="15.6">
      <c r="B5921" s="154"/>
    </row>
    <row r="5922" spans="2:2" ht="15.6">
      <c r="B5922" s="154"/>
    </row>
    <row r="5923" spans="2:2" ht="15.6">
      <c r="B5923" s="154"/>
    </row>
    <row r="5924" spans="2:2" ht="15.6">
      <c r="B5924" s="154"/>
    </row>
    <row r="5925" spans="2:2" ht="15.6">
      <c r="B5925" s="154"/>
    </row>
    <row r="5926" spans="2:2" ht="15.6">
      <c r="B5926" s="154"/>
    </row>
    <row r="5927" spans="2:2" ht="15.6">
      <c r="B5927" s="154"/>
    </row>
    <row r="5928" spans="2:2" ht="15.6">
      <c r="B5928" s="154"/>
    </row>
    <row r="5929" spans="2:2" ht="15.6">
      <c r="B5929" s="154"/>
    </row>
    <row r="5930" spans="2:2" ht="15.6">
      <c r="B5930" s="154"/>
    </row>
    <row r="5931" spans="2:2" ht="15.6">
      <c r="B5931" s="154"/>
    </row>
    <row r="5932" spans="2:2" ht="15.6">
      <c r="B5932" s="154"/>
    </row>
    <row r="5933" spans="2:2" ht="15.6">
      <c r="B5933" s="154"/>
    </row>
    <row r="5934" spans="2:2" ht="15.6">
      <c r="B5934" s="154"/>
    </row>
    <row r="5935" spans="2:2" ht="15.6">
      <c r="B5935" s="154"/>
    </row>
    <row r="5936" spans="2:2" ht="15.6">
      <c r="B5936" s="154"/>
    </row>
    <row r="5937" spans="2:2" ht="15.6">
      <c r="B5937" s="154"/>
    </row>
    <row r="5938" spans="2:2" ht="15.6">
      <c r="B5938" s="154"/>
    </row>
    <row r="5939" spans="2:2" ht="15.6">
      <c r="B5939" s="154"/>
    </row>
    <row r="5940" spans="2:2" ht="15.6">
      <c r="B5940" s="154"/>
    </row>
    <row r="5941" spans="2:2" ht="15.6">
      <c r="B5941" s="154"/>
    </row>
    <row r="5942" spans="2:2" ht="15.6">
      <c r="B5942" s="154"/>
    </row>
    <row r="5943" spans="2:2" ht="15.6">
      <c r="B5943" s="154"/>
    </row>
    <row r="5944" spans="2:2" ht="15.6">
      <c r="B5944" s="154"/>
    </row>
    <row r="5945" spans="2:2" ht="15.6">
      <c r="B5945" s="154"/>
    </row>
    <row r="5946" spans="2:2" ht="15.6">
      <c r="B5946" s="154"/>
    </row>
    <row r="5947" spans="2:2" ht="15.6">
      <c r="B5947" s="154"/>
    </row>
    <row r="5948" spans="2:2" ht="15.6">
      <c r="B5948" s="154"/>
    </row>
    <row r="5949" spans="2:2" ht="15.6">
      <c r="B5949" s="154"/>
    </row>
    <row r="5950" spans="2:2" ht="15.6">
      <c r="B5950" s="154"/>
    </row>
    <row r="5951" spans="2:2" ht="15.6">
      <c r="B5951" s="154"/>
    </row>
    <row r="5952" spans="2:2" ht="15.6">
      <c r="B5952" s="154"/>
    </row>
    <row r="5953" spans="2:2" ht="15.6">
      <c r="B5953" s="154"/>
    </row>
    <row r="5954" spans="2:2" ht="15.6">
      <c r="B5954" s="154"/>
    </row>
    <row r="5955" spans="2:2" ht="15.6">
      <c r="B5955" s="154"/>
    </row>
    <row r="5956" spans="2:2" ht="15.6">
      <c r="B5956" s="154"/>
    </row>
    <row r="5957" spans="2:2" ht="15.6">
      <c r="B5957" s="154"/>
    </row>
    <row r="5958" spans="2:2" ht="15.6">
      <c r="B5958" s="154"/>
    </row>
    <row r="5959" spans="2:2" ht="15.6">
      <c r="B5959" s="154"/>
    </row>
    <row r="5960" spans="2:2" ht="15.6">
      <c r="B5960" s="154"/>
    </row>
    <row r="5961" spans="2:2" ht="15.6">
      <c r="B5961" s="154"/>
    </row>
    <row r="5962" spans="2:2" ht="15.6">
      <c r="B5962" s="154"/>
    </row>
    <row r="5963" spans="2:2" ht="15.6">
      <c r="B5963" s="154"/>
    </row>
    <row r="5964" spans="2:2" ht="15.6">
      <c r="B5964" s="154"/>
    </row>
    <row r="5965" spans="2:2" ht="15.6">
      <c r="B5965" s="154"/>
    </row>
    <row r="5966" spans="2:2" ht="15.6">
      <c r="B5966" s="154"/>
    </row>
    <row r="5967" spans="2:2" ht="15.6">
      <c r="B5967" s="154"/>
    </row>
    <row r="5968" spans="2:2" ht="15.6">
      <c r="B5968" s="154"/>
    </row>
    <row r="5969" spans="2:2" ht="15.6">
      <c r="B5969" s="154"/>
    </row>
    <row r="5970" spans="2:2" ht="15.6">
      <c r="B5970" s="154"/>
    </row>
    <row r="5971" spans="2:2" ht="15.6">
      <c r="B5971" s="154"/>
    </row>
    <row r="5972" spans="2:2" ht="15.6">
      <c r="B5972" s="154"/>
    </row>
    <row r="5973" spans="2:2" ht="15.6">
      <c r="B5973" s="154"/>
    </row>
    <row r="5974" spans="2:2" ht="15.6">
      <c r="B5974" s="154"/>
    </row>
    <row r="5975" spans="2:2" ht="15.6">
      <c r="B5975" s="154"/>
    </row>
    <row r="5976" spans="2:2" ht="15.6">
      <c r="B5976" s="154"/>
    </row>
    <row r="5977" spans="2:2" ht="15.6">
      <c r="B5977" s="154"/>
    </row>
    <row r="5978" spans="2:2" ht="15.6">
      <c r="B5978" s="154"/>
    </row>
    <row r="5979" spans="2:2" ht="15.6">
      <c r="B5979" s="154"/>
    </row>
    <row r="5980" spans="2:2" ht="15.6">
      <c r="B5980" s="154"/>
    </row>
    <row r="5981" spans="2:2" ht="15.6">
      <c r="B5981" s="154"/>
    </row>
    <row r="5982" spans="2:2" ht="15.6">
      <c r="B5982" s="154"/>
    </row>
    <row r="5983" spans="2:2" ht="15.6">
      <c r="B5983" s="154"/>
    </row>
    <row r="5984" spans="2:2" ht="15.6">
      <c r="B5984" s="154"/>
    </row>
    <row r="5985" spans="2:2" ht="15.6">
      <c r="B5985" s="154"/>
    </row>
    <row r="5986" spans="2:2" ht="15.6">
      <c r="B5986" s="154"/>
    </row>
    <row r="5987" spans="2:2" ht="15.6">
      <c r="B5987" s="154"/>
    </row>
    <row r="5988" spans="2:2" ht="15.6">
      <c r="B5988" s="154"/>
    </row>
    <row r="5989" spans="2:2" ht="15.6">
      <c r="B5989" s="154"/>
    </row>
    <row r="5990" spans="2:2" ht="15.6">
      <c r="B5990" s="154"/>
    </row>
    <row r="5991" spans="2:2" ht="15.6">
      <c r="B5991" s="154"/>
    </row>
    <row r="5992" spans="2:2" ht="15.6">
      <c r="B5992" s="154"/>
    </row>
    <row r="5993" spans="2:2" ht="15.6">
      <c r="B5993" s="154"/>
    </row>
    <row r="5994" spans="2:2" ht="15.6">
      <c r="B5994" s="154"/>
    </row>
    <row r="5995" spans="2:2" ht="15.6">
      <c r="B5995" s="154"/>
    </row>
    <row r="5996" spans="2:2" ht="15.6">
      <c r="B5996" s="154"/>
    </row>
    <row r="5997" spans="2:2" ht="15.6">
      <c r="B5997" s="154"/>
    </row>
    <row r="5998" spans="2:2" ht="15.6">
      <c r="B5998" s="154"/>
    </row>
    <row r="5999" spans="2:2" ht="15.6">
      <c r="B5999" s="154"/>
    </row>
    <row r="6000" spans="2:2" ht="15.6">
      <c r="B6000" s="154"/>
    </row>
    <row r="6001" spans="2:2" ht="15.6">
      <c r="B6001" s="154"/>
    </row>
    <row r="6002" spans="2:2" ht="15.6">
      <c r="B6002" s="154"/>
    </row>
    <row r="6003" spans="2:2" ht="15.6">
      <c r="B6003" s="154"/>
    </row>
    <row r="6004" spans="2:2" ht="15.6">
      <c r="B6004" s="154"/>
    </row>
    <row r="6005" spans="2:2" ht="15.6">
      <c r="B6005" s="154"/>
    </row>
    <row r="6006" spans="2:2" ht="15.6">
      <c r="B6006" s="154"/>
    </row>
    <row r="6007" spans="2:2" ht="15.6">
      <c r="B6007" s="154"/>
    </row>
    <row r="6008" spans="2:2" ht="15.6">
      <c r="B6008" s="154"/>
    </row>
    <row r="6009" spans="2:2" ht="15.6">
      <c r="B6009" s="154"/>
    </row>
    <row r="6010" spans="2:2" ht="15.6">
      <c r="B6010" s="154"/>
    </row>
    <row r="6011" spans="2:2" ht="15.6">
      <c r="B6011" s="154"/>
    </row>
    <row r="6012" spans="2:2" ht="15.6">
      <c r="B6012" s="154"/>
    </row>
    <row r="6013" spans="2:2" ht="15.6">
      <c r="B6013" s="154"/>
    </row>
    <row r="6014" spans="2:2" ht="15.6">
      <c r="B6014" s="154"/>
    </row>
    <row r="6015" spans="2:2" ht="15.6">
      <c r="B6015" s="154"/>
    </row>
    <row r="6016" spans="2:2" ht="15.6">
      <c r="B6016" s="154"/>
    </row>
    <row r="6017" spans="2:2" ht="15.6">
      <c r="B6017" s="154"/>
    </row>
    <row r="6018" spans="2:2" ht="15.6">
      <c r="B6018" s="154"/>
    </row>
    <row r="6019" spans="2:2" ht="15.6">
      <c r="B6019" s="154"/>
    </row>
    <row r="6020" spans="2:2" ht="15.6">
      <c r="B6020" s="154"/>
    </row>
    <row r="6021" spans="2:2" ht="15.6">
      <c r="B6021" s="154"/>
    </row>
    <row r="6022" spans="2:2" ht="15.6">
      <c r="B6022" s="154"/>
    </row>
    <row r="6023" spans="2:2" ht="15.6">
      <c r="B6023" s="154"/>
    </row>
    <row r="6024" spans="2:2" ht="15.6">
      <c r="B6024" s="154"/>
    </row>
    <row r="6025" spans="2:2" ht="15.6">
      <c r="B6025" s="154"/>
    </row>
    <row r="6026" spans="2:2" ht="15.6">
      <c r="B6026" s="154"/>
    </row>
    <row r="6027" spans="2:2" ht="15.6">
      <c r="B6027" s="154"/>
    </row>
    <row r="6028" spans="2:2" ht="15.6">
      <c r="B6028" s="154"/>
    </row>
    <row r="6029" spans="2:2" ht="15.6">
      <c r="B6029" s="154"/>
    </row>
    <row r="6030" spans="2:2" ht="15.6">
      <c r="B6030" s="154"/>
    </row>
    <row r="6031" spans="2:2" ht="15.6">
      <c r="B6031" s="154"/>
    </row>
    <row r="6032" spans="2:2" ht="15.6">
      <c r="B6032" s="154"/>
    </row>
    <row r="6033" spans="2:2" ht="15.6">
      <c r="B6033" s="154"/>
    </row>
    <row r="6034" spans="2:2" ht="15.6">
      <c r="B6034" s="154"/>
    </row>
    <row r="6035" spans="2:2" ht="15.6">
      <c r="B6035" s="154"/>
    </row>
    <row r="6036" spans="2:2" ht="15.6">
      <c r="B6036" s="154"/>
    </row>
    <row r="6037" spans="2:2" ht="15.6">
      <c r="B6037" s="154"/>
    </row>
    <row r="6038" spans="2:2" ht="15.6">
      <c r="B6038" s="154"/>
    </row>
    <row r="6039" spans="2:2" ht="15.6">
      <c r="B6039" s="154"/>
    </row>
    <row r="6040" spans="2:2" ht="15.6">
      <c r="B6040" s="154"/>
    </row>
    <row r="6041" spans="2:2" ht="15.6">
      <c r="B6041" s="154"/>
    </row>
    <row r="6042" spans="2:2" ht="15.6">
      <c r="B6042" s="154"/>
    </row>
    <row r="6043" spans="2:2" ht="15.6">
      <c r="B6043" s="154"/>
    </row>
    <row r="6044" spans="2:2" ht="15.6">
      <c r="B6044" s="154"/>
    </row>
    <row r="6045" spans="2:2" ht="15.6">
      <c r="B6045" s="154"/>
    </row>
    <row r="6046" spans="2:2" ht="15.6">
      <c r="B6046" s="154"/>
    </row>
    <row r="6047" spans="2:2" ht="15.6">
      <c r="B6047" s="154"/>
    </row>
    <row r="6048" spans="2:2" ht="15.6">
      <c r="B6048" s="154"/>
    </row>
    <row r="6049" spans="2:2" ht="15.6">
      <c r="B6049" s="154"/>
    </row>
    <row r="6050" spans="2:2" ht="15.6">
      <c r="B6050" s="154"/>
    </row>
    <row r="6051" spans="2:2" ht="15.6">
      <c r="B6051" s="154"/>
    </row>
    <row r="6052" spans="2:2" ht="15.6">
      <c r="B6052" s="154"/>
    </row>
    <row r="6053" spans="2:2" ht="15.6">
      <c r="B6053" s="154"/>
    </row>
    <row r="6054" spans="2:2" ht="15.6">
      <c r="B6054" s="154"/>
    </row>
    <row r="6055" spans="2:2" ht="15.6">
      <c r="B6055" s="154"/>
    </row>
    <row r="6056" spans="2:2" ht="15.6">
      <c r="B6056" s="154"/>
    </row>
    <row r="6057" spans="2:2" ht="15.6">
      <c r="B6057" s="154"/>
    </row>
    <row r="6058" spans="2:2" ht="15.6">
      <c r="B6058" s="154"/>
    </row>
    <row r="6059" spans="2:2" ht="15.6">
      <c r="B6059" s="154"/>
    </row>
    <row r="6060" spans="2:2" ht="15.6">
      <c r="B6060" s="154"/>
    </row>
    <row r="6061" spans="2:2" ht="15.6">
      <c r="B6061" s="154"/>
    </row>
    <row r="6062" spans="2:2" ht="15.6">
      <c r="B6062" s="154"/>
    </row>
    <row r="6063" spans="2:2" ht="15.6">
      <c r="B6063" s="154"/>
    </row>
    <row r="6064" spans="2:2" ht="15.6">
      <c r="B6064" s="154"/>
    </row>
    <row r="6065" spans="2:2" ht="15.6">
      <c r="B6065" s="154"/>
    </row>
    <row r="6066" spans="2:2" ht="15.6">
      <c r="B6066" s="154"/>
    </row>
    <row r="6067" spans="2:2" ht="15.6">
      <c r="B6067" s="154"/>
    </row>
    <row r="6068" spans="2:2" ht="15.6">
      <c r="B6068" s="154"/>
    </row>
    <row r="6069" spans="2:2" ht="15.6">
      <c r="B6069" s="154"/>
    </row>
    <row r="6070" spans="2:2" ht="15.6">
      <c r="B6070" s="154"/>
    </row>
    <row r="6071" spans="2:2" ht="15.6">
      <c r="B6071" s="154"/>
    </row>
    <row r="6072" spans="2:2" ht="15.6">
      <c r="B6072" s="154"/>
    </row>
    <row r="6073" spans="2:2" ht="15.6">
      <c r="B6073" s="154"/>
    </row>
    <row r="6074" spans="2:2" ht="15.6">
      <c r="B6074" s="154"/>
    </row>
    <row r="6075" spans="2:2" ht="15.6">
      <c r="B6075" s="154"/>
    </row>
    <row r="6076" spans="2:2" ht="15.6">
      <c r="B6076" s="154"/>
    </row>
    <row r="6077" spans="2:2" ht="15.6">
      <c r="B6077" s="154"/>
    </row>
    <row r="6078" spans="2:2" ht="15.6">
      <c r="B6078" s="154"/>
    </row>
    <row r="6079" spans="2:2" ht="15.6">
      <c r="B6079" s="154"/>
    </row>
    <row r="6080" spans="2:2" ht="15.6">
      <c r="B6080" s="154"/>
    </row>
    <row r="6081" spans="2:2" ht="15.6">
      <c r="B6081" s="154"/>
    </row>
    <row r="6082" spans="2:2" ht="15.6">
      <c r="B6082" s="154"/>
    </row>
    <row r="6083" spans="2:2" ht="15.6">
      <c r="B6083" s="154"/>
    </row>
    <row r="6084" spans="2:2" ht="15.6">
      <c r="B6084" s="154"/>
    </row>
    <row r="6085" spans="2:2" ht="15.6">
      <c r="B6085" s="154"/>
    </row>
    <row r="6086" spans="2:2" ht="15.6">
      <c r="B6086" s="154"/>
    </row>
    <row r="6087" spans="2:2" ht="15.6">
      <c r="B6087" s="154"/>
    </row>
    <row r="6088" spans="2:2" ht="15.6">
      <c r="B6088" s="154"/>
    </row>
    <row r="6089" spans="2:2" ht="15.6">
      <c r="B6089" s="154"/>
    </row>
    <row r="6090" spans="2:2" ht="15.6">
      <c r="B6090" s="154"/>
    </row>
    <row r="6091" spans="2:2" ht="15.6">
      <c r="B6091" s="154"/>
    </row>
    <row r="6092" spans="2:2" ht="15.6">
      <c r="B6092" s="154"/>
    </row>
    <row r="6093" spans="2:2" ht="15.6">
      <c r="B6093" s="154"/>
    </row>
    <row r="6094" spans="2:2" ht="15.6">
      <c r="B6094" s="154"/>
    </row>
    <row r="6095" spans="2:2" ht="15.6">
      <c r="B6095" s="154"/>
    </row>
    <row r="6096" spans="2:2" ht="15.6">
      <c r="B6096" s="154"/>
    </row>
    <row r="6097" spans="2:2" ht="15.6">
      <c r="B6097" s="154"/>
    </row>
    <row r="6098" spans="2:2" ht="15.6">
      <c r="B6098" s="154"/>
    </row>
    <row r="6099" spans="2:2" ht="15.6">
      <c r="B6099" s="154"/>
    </row>
    <row r="6100" spans="2:2" ht="15.6">
      <c r="B6100" s="154"/>
    </row>
    <row r="6101" spans="2:2" ht="15.6">
      <c r="B6101" s="154"/>
    </row>
    <row r="6102" spans="2:2" ht="15.6">
      <c r="B6102" s="154"/>
    </row>
    <row r="6103" spans="2:2" ht="15.6">
      <c r="B6103" s="154"/>
    </row>
    <row r="6104" spans="2:2" ht="15.6">
      <c r="B6104" s="154"/>
    </row>
    <row r="6105" spans="2:2" ht="15.6">
      <c r="B6105" s="154"/>
    </row>
    <row r="6106" spans="2:2" ht="15.6">
      <c r="B6106" s="154"/>
    </row>
    <row r="6107" spans="2:2" ht="15.6">
      <c r="B6107" s="154"/>
    </row>
    <row r="6108" spans="2:2" ht="15.6">
      <c r="B6108" s="154"/>
    </row>
    <row r="6109" spans="2:2" ht="15.6">
      <c r="B6109" s="154"/>
    </row>
    <row r="6110" spans="2:2" ht="15.6">
      <c r="B6110" s="154"/>
    </row>
    <row r="6111" spans="2:2" ht="15.6">
      <c r="B6111" s="154"/>
    </row>
    <row r="6112" spans="2:2" ht="15.6">
      <c r="B6112" s="154"/>
    </row>
    <row r="6113" spans="2:2" ht="15.6">
      <c r="B6113" s="154"/>
    </row>
    <row r="6114" spans="2:2" ht="15.6">
      <c r="B6114" s="154"/>
    </row>
    <row r="6115" spans="2:2" ht="15.6">
      <c r="B6115" s="154"/>
    </row>
    <row r="6116" spans="2:2" ht="15.6">
      <c r="B6116" s="154"/>
    </row>
    <row r="6117" spans="2:2" ht="15.6">
      <c r="B6117" s="154"/>
    </row>
    <row r="6118" spans="2:2" ht="15.6">
      <c r="B6118" s="154"/>
    </row>
    <row r="6119" spans="2:2" ht="15.6">
      <c r="B6119" s="154"/>
    </row>
    <row r="6120" spans="2:2" ht="15.6">
      <c r="B6120" s="154"/>
    </row>
    <row r="6121" spans="2:2" ht="15.6">
      <c r="B6121" s="154"/>
    </row>
    <row r="6122" spans="2:2" ht="15.6">
      <c r="B6122" s="154"/>
    </row>
    <row r="6123" spans="2:2" ht="15.6">
      <c r="B6123" s="154"/>
    </row>
    <row r="6124" spans="2:2" ht="15.6">
      <c r="B6124" s="154"/>
    </row>
    <row r="6125" spans="2:2" ht="15.6">
      <c r="B6125" s="154"/>
    </row>
    <row r="6126" spans="2:2" ht="15.6">
      <c r="B6126" s="154"/>
    </row>
    <row r="6127" spans="2:2" ht="15.6">
      <c r="B6127" s="154"/>
    </row>
    <row r="6128" spans="2:2" ht="15.6">
      <c r="B6128" s="154"/>
    </row>
    <row r="6129" spans="2:2" ht="15.6">
      <c r="B6129" s="154"/>
    </row>
    <row r="6130" spans="2:2" ht="15.6">
      <c r="B6130" s="154"/>
    </row>
    <row r="6131" spans="2:2" ht="15.6">
      <c r="B6131" s="154"/>
    </row>
    <row r="6132" spans="2:2" ht="15.6">
      <c r="B6132" s="154"/>
    </row>
    <row r="6133" spans="2:2" ht="15.6">
      <c r="B6133" s="154"/>
    </row>
    <row r="6134" spans="2:2" ht="15.6">
      <c r="B6134" s="154"/>
    </row>
    <row r="6135" spans="2:2" ht="15.6">
      <c r="B6135" s="154"/>
    </row>
    <row r="6136" spans="2:2" ht="15.6">
      <c r="B6136" s="154"/>
    </row>
    <row r="6137" spans="2:2" ht="15.6">
      <c r="B6137" s="154"/>
    </row>
    <row r="6138" spans="2:2" ht="15.6">
      <c r="B6138" s="154"/>
    </row>
    <row r="6139" spans="2:2" ht="15.6">
      <c r="B6139" s="154"/>
    </row>
    <row r="6140" spans="2:2" ht="15.6">
      <c r="B6140" s="154"/>
    </row>
    <row r="6141" spans="2:2" ht="15.6">
      <c r="B6141" s="154"/>
    </row>
    <row r="6142" spans="2:2" ht="15.6">
      <c r="B6142" s="154"/>
    </row>
    <row r="6143" spans="2:2" ht="15.6">
      <c r="B6143" s="154"/>
    </row>
    <row r="6144" spans="2:2" ht="15.6">
      <c r="B6144" s="154"/>
    </row>
    <row r="6145" spans="2:2" ht="15.6">
      <c r="B6145" s="154"/>
    </row>
    <row r="6146" spans="2:2" ht="15.6">
      <c r="B6146" s="154"/>
    </row>
    <row r="6147" spans="2:2" ht="15.6">
      <c r="B6147" s="154"/>
    </row>
    <row r="6148" spans="2:2" ht="15.6">
      <c r="B6148" s="154"/>
    </row>
    <row r="6149" spans="2:2" ht="15.6">
      <c r="B6149" s="154"/>
    </row>
    <row r="6150" spans="2:2" ht="15.6">
      <c r="B6150" s="154"/>
    </row>
    <row r="6151" spans="2:2" ht="15.6">
      <c r="B6151" s="154"/>
    </row>
    <row r="6152" spans="2:2" ht="15.6">
      <c r="B6152" s="154"/>
    </row>
    <row r="6153" spans="2:2" ht="15.6">
      <c r="B6153" s="154"/>
    </row>
    <row r="6154" spans="2:2" ht="15.6">
      <c r="B6154" s="154"/>
    </row>
    <row r="6155" spans="2:2" ht="15.6">
      <c r="B6155" s="154"/>
    </row>
    <row r="6156" spans="2:2" ht="15.6">
      <c r="B6156" s="154"/>
    </row>
    <row r="6157" spans="2:2" ht="15.6">
      <c r="B6157" s="154"/>
    </row>
    <row r="6158" spans="2:2" ht="15.6">
      <c r="B6158" s="154"/>
    </row>
    <row r="6159" spans="2:2" ht="15.6">
      <c r="B6159" s="154"/>
    </row>
    <row r="6160" spans="2:2" ht="15.6">
      <c r="B6160" s="154"/>
    </row>
    <row r="6161" spans="2:2" ht="15.6">
      <c r="B6161" s="154"/>
    </row>
    <row r="6162" spans="2:2" ht="15.6">
      <c r="B6162" s="154"/>
    </row>
    <row r="6163" spans="2:2" ht="15.6">
      <c r="B6163" s="154"/>
    </row>
    <row r="6164" spans="2:2" ht="15.6">
      <c r="B6164" s="154"/>
    </row>
    <row r="6165" spans="2:2" ht="15.6">
      <c r="B6165" s="154"/>
    </row>
    <row r="6166" spans="2:2" ht="15.6">
      <c r="B6166" s="154"/>
    </row>
    <row r="6167" spans="2:2" ht="15.6">
      <c r="B6167" s="154"/>
    </row>
    <row r="6168" spans="2:2" ht="15.6">
      <c r="B6168" s="154"/>
    </row>
    <row r="6169" spans="2:2" ht="15.6">
      <c r="B6169" s="154"/>
    </row>
    <row r="6170" spans="2:2" ht="15.6">
      <c r="B6170" s="154"/>
    </row>
    <row r="6171" spans="2:2" ht="15.6">
      <c r="B6171" s="154"/>
    </row>
    <row r="6172" spans="2:2" ht="15.6">
      <c r="B6172" s="154"/>
    </row>
    <row r="6173" spans="2:2" ht="15.6">
      <c r="B6173" s="154"/>
    </row>
    <row r="6174" spans="2:2" ht="15.6">
      <c r="B6174" s="154"/>
    </row>
    <row r="6175" spans="2:2" ht="15.6">
      <c r="B6175" s="154"/>
    </row>
    <row r="6176" spans="2:2" ht="15.6">
      <c r="B6176" s="154"/>
    </row>
    <row r="6177" spans="2:2" ht="15.6">
      <c r="B6177" s="154"/>
    </row>
    <row r="6178" spans="2:2" ht="15.6">
      <c r="B6178" s="154"/>
    </row>
    <row r="6179" spans="2:2" ht="15.6">
      <c r="B6179" s="154"/>
    </row>
    <row r="6180" spans="2:2" ht="15.6">
      <c r="B6180" s="154"/>
    </row>
    <row r="6181" spans="2:2" ht="15.6">
      <c r="B6181" s="154"/>
    </row>
    <row r="6182" spans="2:2" ht="15.6">
      <c r="B6182" s="154"/>
    </row>
    <row r="6183" spans="2:2" ht="15.6">
      <c r="B6183" s="154"/>
    </row>
    <row r="6184" spans="2:2" ht="15.6">
      <c r="B6184" s="154"/>
    </row>
    <row r="6185" spans="2:2" ht="15.6">
      <c r="B6185" s="154"/>
    </row>
    <row r="6186" spans="2:2" ht="15.6">
      <c r="B6186" s="154"/>
    </row>
    <row r="6187" spans="2:2" ht="15.6">
      <c r="B6187" s="154"/>
    </row>
    <row r="6188" spans="2:2" ht="15.6">
      <c r="B6188" s="154"/>
    </row>
    <row r="6189" spans="2:2" ht="15.6">
      <c r="B6189" s="154"/>
    </row>
    <row r="6190" spans="2:2" ht="15.6">
      <c r="B6190" s="154"/>
    </row>
    <row r="6191" spans="2:2" ht="15.6">
      <c r="B6191" s="154"/>
    </row>
    <row r="6192" spans="2:2" ht="15.6">
      <c r="B6192" s="154"/>
    </row>
    <row r="6193" spans="2:2" ht="15.6">
      <c r="B6193" s="154"/>
    </row>
    <row r="6194" spans="2:2" ht="15.6">
      <c r="B6194" s="154"/>
    </row>
    <row r="6195" spans="2:2" ht="15.6">
      <c r="B6195" s="154"/>
    </row>
    <row r="6196" spans="2:2" ht="15.6">
      <c r="B6196" s="154"/>
    </row>
    <row r="6197" spans="2:2" ht="15.6">
      <c r="B6197" s="154"/>
    </row>
    <row r="6198" spans="2:2" ht="15.6">
      <c r="B6198" s="154"/>
    </row>
    <row r="6199" spans="2:2" ht="15.6">
      <c r="B6199" s="154"/>
    </row>
    <row r="6200" spans="2:2" ht="15.6">
      <c r="B6200" s="154"/>
    </row>
    <row r="6201" spans="2:2" ht="15.6">
      <c r="B6201" s="154"/>
    </row>
    <row r="6202" spans="2:2" ht="15.6">
      <c r="B6202" s="154"/>
    </row>
    <row r="6203" spans="2:2" ht="15.6">
      <c r="B6203" s="154"/>
    </row>
    <row r="6204" spans="2:2" ht="15.6">
      <c r="B6204" s="154"/>
    </row>
    <row r="6205" spans="2:2" ht="15.6">
      <c r="B6205" s="154"/>
    </row>
    <row r="6206" spans="2:2" ht="15.6">
      <c r="B6206" s="154"/>
    </row>
    <row r="6207" spans="2:2" ht="15.6">
      <c r="B6207" s="154"/>
    </row>
    <row r="6208" spans="2:2" ht="15.6">
      <c r="B6208" s="154"/>
    </row>
    <row r="6209" spans="2:2" ht="15.6">
      <c r="B6209" s="154"/>
    </row>
    <row r="6210" spans="2:2" ht="15.6">
      <c r="B6210" s="154"/>
    </row>
    <row r="6211" spans="2:2" ht="15.6">
      <c r="B6211" s="154"/>
    </row>
    <row r="6212" spans="2:2" ht="15.6">
      <c r="B6212" s="154"/>
    </row>
    <row r="6213" spans="2:2" ht="15.6">
      <c r="B6213" s="154"/>
    </row>
    <row r="6214" spans="2:2" ht="15.6">
      <c r="B6214" s="154"/>
    </row>
    <row r="6215" spans="2:2" ht="15.6">
      <c r="B6215" s="154"/>
    </row>
    <row r="6216" spans="2:2" ht="15.6">
      <c r="B6216" s="154"/>
    </row>
    <row r="6217" spans="2:2" ht="15.6">
      <c r="B6217" s="154"/>
    </row>
    <row r="6218" spans="2:2" ht="15.6">
      <c r="B6218" s="154"/>
    </row>
    <row r="6219" spans="2:2" ht="15.6">
      <c r="B6219" s="154"/>
    </row>
    <row r="6220" spans="2:2" ht="15.6">
      <c r="B6220" s="154"/>
    </row>
    <row r="6221" spans="2:2" ht="15.6">
      <c r="B6221" s="154"/>
    </row>
    <row r="6222" spans="2:2" ht="15.6">
      <c r="B6222" s="154"/>
    </row>
    <row r="6223" spans="2:2" ht="15.6">
      <c r="B6223" s="154"/>
    </row>
    <row r="6224" spans="2:2" ht="15.6">
      <c r="B6224" s="154"/>
    </row>
    <row r="6225" spans="2:2" ht="15.6">
      <c r="B6225" s="154"/>
    </row>
    <row r="6226" spans="2:2" ht="15.6">
      <c r="B6226" s="154"/>
    </row>
    <row r="6227" spans="2:2" ht="15.6">
      <c r="B6227" s="154"/>
    </row>
    <row r="6228" spans="2:2" ht="15.6">
      <c r="B6228" s="154"/>
    </row>
    <row r="6229" spans="2:2" ht="15.6">
      <c r="B6229" s="154"/>
    </row>
    <row r="6230" spans="2:2" ht="15.6">
      <c r="B6230" s="154"/>
    </row>
    <row r="6231" spans="2:2" ht="15.6">
      <c r="B6231" s="154"/>
    </row>
    <row r="6232" spans="2:2" ht="15.6">
      <c r="B6232" s="154"/>
    </row>
    <row r="6233" spans="2:2" ht="15.6">
      <c r="B6233" s="154"/>
    </row>
    <row r="6234" spans="2:2" ht="15.6">
      <c r="B6234" s="154"/>
    </row>
    <row r="6235" spans="2:2" ht="15.6">
      <c r="B6235" s="154"/>
    </row>
    <row r="6236" spans="2:2" ht="15.6">
      <c r="B6236" s="154"/>
    </row>
    <row r="6237" spans="2:2" ht="15.6">
      <c r="B6237" s="154"/>
    </row>
    <row r="6238" spans="2:2" ht="15.6">
      <c r="B6238" s="154"/>
    </row>
    <row r="6239" spans="2:2" ht="15.6">
      <c r="B6239" s="154"/>
    </row>
    <row r="6240" spans="2:2" ht="15.6">
      <c r="B6240" s="154"/>
    </row>
    <row r="6241" spans="2:2" ht="15.6">
      <c r="B6241" s="154"/>
    </row>
    <row r="6242" spans="2:2" ht="15.6">
      <c r="B6242" s="154"/>
    </row>
    <row r="6243" spans="2:2" ht="15.6">
      <c r="B6243" s="154"/>
    </row>
    <row r="6244" spans="2:2" ht="15.6">
      <c r="B6244" s="154"/>
    </row>
    <row r="6245" spans="2:2" ht="15.6">
      <c r="B6245" s="154"/>
    </row>
    <row r="6246" spans="2:2" ht="15.6">
      <c r="B6246" s="154"/>
    </row>
    <row r="6247" spans="2:2" ht="15.6">
      <c r="B6247" s="154"/>
    </row>
    <row r="6248" spans="2:2" ht="15.6">
      <c r="B6248" s="154"/>
    </row>
    <row r="6249" spans="2:2" ht="15.6">
      <c r="B6249" s="154"/>
    </row>
    <row r="6250" spans="2:2" ht="15.6">
      <c r="B6250" s="154"/>
    </row>
    <row r="6251" spans="2:2" ht="15.6">
      <c r="B6251" s="154"/>
    </row>
    <row r="6252" spans="2:2" ht="15.6">
      <c r="B6252" s="154"/>
    </row>
    <row r="6253" spans="2:2" ht="15.6">
      <c r="B6253" s="154"/>
    </row>
    <row r="6254" spans="2:2" ht="15.6">
      <c r="B6254" s="154"/>
    </row>
    <row r="6255" spans="2:2" ht="15.6">
      <c r="B6255" s="154"/>
    </row>
    <row r="6256" spans="2:2" ht="15.6">
      <c r="B6256" s="154"/>
    </row>
    <row r="6257" spans="2:2" ht="15.6">
      <c r="B6257" s="154"/>
    </row>
    <row r="6258" spans="2:2" ht="15.6">
      <c r="B6258" s="154"/>
    </row>
    <row r="6259" spans="2:2" ht="15.6">
      <c r="B6259" s="154"/>
    </row>
    <row r="6260" spans="2:2" ht="15.6">
      <c r="B6260" s="154"/>
    </row>
    <row r="6261" spans="2:2" ht="15.6">
      <c r="B6261" s="154"/>
    </row>
    <row r="6262" spans="2:2" ht="15.6">
      <c r="B6262" s="154"/>
    </row>
    <row r="6263" spans="2:2" ht="15.6">
      <c r="B6263" s="154"/>
    </row>
    <row r="6264" spans="2:2" ht="15.6">
      <c r="B6264" s="154"/>
    </row>
    <row r="6265" spans="2:2" ht="15.6">
      <c r="B6265" s="154"/>
    </row>
    <row r="6266" spans="2:2" ht="15.6">
      <c r="B6266" s="154"/>
    </row>
    <row r="6267" spans="2:2" ht="15.6">
      <c r="B6267" s="154"/>
    </row>
    <row r="6268" spans="2:2" ht="15.6">
      <c r="B6268" s="154"/>
    </row>
    <row r="6269" spans="2:2" ht="15.6">
      <c r="B6269" s="154"/>
    </row>
    <row r="6270" spans="2:2" ht="15.6">
      <c r="B6270" s="154"/>
    </row>
    <row r="6271" spans="2:2" ht="15.6">
      <c r="B6271" s="154"/>
    </row>
    <row r="6272" spans="2:2" ht="15.6">
      <c r="B6272" s="154"/>
    </row>
    <row r="6273" spans="2:2" ht="15.6">
      <c r="B6273" s="154"/>
    </row>
    <row r="6274" spans="2:2" ht="15.6">
      <c r="B6274" s="154"/>
    </row>
    <row r="6275" spans="2:2" ht="15.6">
      <c r="B6275" s="154"/>
    </row>
    <row r="6276" spans="2:2" ht="15.6">
      <c r="B6276" s="154"/>
    </row>
    <row r="6277" spans="2:2" ht="15.6">
      <c r="B6277" s="154"/>
    </row>
    <row r="6278" spans="2:2" ht="15.6">
      <c r="B6278" s="154"/>
    </row>
    <row r="6279" spans="2:2" ht="15.6">
      <c r="B6279" s="154"/>
    </row>
    <row r="6280" spans="2:2" ht="15.6">
      <c r="B6280" s="154"/>
    </row>
    <row r="6281" spans="2:2" ht="15.6">
      <c r="B6281" s="154"/>
    </row>
    <row r="6282" spans="2:2" ht="15.6">
      <c r="B6282" s="154"/>
    </row>
    <row r="6283" spans="2:2" ht="15.6">
      <c r="B6283" s="154"/>
    </row>
    <row r="6284" spans="2:2" ht="15.6">
      <c r="B6284" s="154"/>
    </row>
    <row r="6285" spans="2:2" ht="15.6">
      <c r="B6285" s="154"/>
    </row>
    <row r="6286" spans="2:2" ht="15.6">
      <c r="B6286" s="154"/>
    </row>
    <row r="6287" spans="2:2" ht="15.6">
      <c r="B6287" s="154"/>
    </row>
    <row r="6288" spans="2:2" ht="15.6">
      <c r="B6288" s="154"/>
    </row>
    <row r="6289" spans="2:2" ht="15.6">
      <c r="B6289" s="154"/>
    </row>
    <row r="6290" spans="2:2" ht="15.6">
      <c r="B6290" s="154"/>
    </row>
    <row r="6291" spans="2:2" ht="15.6">
      <c r="B6291" s="154"/>
    </row>
    <row r="6292" spans="2:2" ht="15.6">
      <c r="B6292" s="154"/>
    </row>
    <row r="6293" spans="2:2" ht="15.6">
      <c r="B6293" s="154"/>
    </row>
    <row r="6294" spans="2:2" ht="15.6">
      <c r="B6294" s="154"/>
    </row>
    <row r="6295" spans="2:2" ht="15.6">
      <c r="B6295" s="154"/>
    </row>
    <row r="6296" spans="2:2" ht="15.6">
      <c r="B6296" s="154"/>
    </row>
    <row r="6297" spans="2:2" ht="15.6">
      <c r="B6297" s="154"/>
    </row>
    <row r="6298" spans="2:2" ht="15.6">
      <c r="B6298" s="154"/>
    </row>
    <row r="6299" spans="2:2" ht="15.6">
      <c r="B6299" s="154"/>
    </row>
    <row r="6300" spans="2:2" ht="15.6">
      <c r="B6300" s="154"/>
    </row>
    <row r="6301" spans="2:2" ht="15.6">
      <c r="B6301" s="154"/>
    </row>
    <row r="6302" spans="2:2" ht="15.6">
      <c r="B6302" s="154"/>
    </row>
    <row r="6303" spans="2:2" ht="15.6">
      <c r="B6303" s="154"/>
    </row>
    <row r="6304" spans="2:2" ht="15.6">
      <c r="B6304" s="154"/>
    </row>
    <row r="6305" spans="2:2" ht="15.6">
      <c r="B6305" s="154"/>
    </row>
    <row r="6306" spans="2:2" ht="15.6">
      <c r="B6306" s="154"/>
    </row>
    <row r="6307" spans="2:2" ht="15.6">
      <c r="B6307" s="154"/>
    </row>
    <row r="6308" spans="2:2" ht="15.6">
      <c r="B6308" s="154"/>
    </row>
    <row r="6309" spans="2:2" ht="15.6">
      <c r="B6309" s="154"/>
    </row>
    <row r="6310" spans="2:2" ht="15.6">
      <c r="B6310" s="154"/>
    </row>
    <row r="6311" spans="2:2" ht="15.6">
      <c r="B6311" s="154"/>
    </row>
    <row r="6312" spans="2:2" ht="15.6">
      <c r="B6312" s="154"/>
    </row>
    <row r="6313" spans="2:2" ht="15.6">
      <c r="B6313" s="154"/>
    </row>
    <row r="6314" spans="2:2" ht="15.6">
      <c r="B6314" s="154"/>
    </row>
    <row r="6315" spans="2:2" ht="15.6">
      <c r="B6315" s="154"/>
    </row>
    <row r="6316" spans="2:2" ht="15.6">
      <c r="B6316" s="154"/>
    </row>
    <row r="6317" spans="2:2" ht="15.6">
      <c r="B6317" s="154"/>
    </row>
    <row r="6318" spans="2:2" ht="15.6">
      <c r="B6318" s="154"/>
    </row>
    <row r="6319" spans="2:2" ht="15.6">
      <c r="B6319" s="154"/>
    </row>
    <row r="6320" spans="2:2" ht="15.6">
      <c r="B6320" s="154"/>
    </row>
    <row r="6321" spans="2:2" ht="15.6">
      <c r="B6321" s="154"/>
    </row>
    <row r="6322" spans="2:2" ht="15.6">
      <c r="B6322" s="154"/>
    </row>
    <row r="6323" spans="2:2" ht="15.6">
      <c r="B6323" s="154"/>
    </row>
    <row r="6324" spans="2:2" ht="15.6">
      <c r="B6324" s="154"/>
    </row>
    <row r="6325" spans="2:2" ht="15.6">
      <c r="B6325" s="154"/>
    </row>
    <row r="6326" spans="2:2" ht="15.6">
      <c r="B6326" s="154"/>
    </row>
    <row r="6327" spans="2:2" ht="15.6">
      <c r="B6327" s="154"/>
    </row>
    <row r="6328" spans="2:2" ht="15.6">
      <c r="B6328" s="154"/>
    </row>
    <row r="6329" spans="2:2" ht="15.6">
      <c r="B6329" s="154"/>
    </row>
    <row r="6330" spans="2:2" ht="15.6">
      <c r="B6330" s="154"/>
    </row>
    <row r="6331" spans="2:2" ht="15.6">
      <c r="B6331" s="154"/>
    </row>
    <row r="6332" spans="2:2" ht="15.6">
      <c r="B6332" s="154"/>
    </row>
    <row r="6333" spans="2:2" ht="15.6">
      <c r="B6333" s="154"/>
    </row>
    <row r="6334" spans="2:2" ht="15.6">
      <c r="B6334" s="154"/>
    </row>
    <row r="6335" spans="2:2" ht="15.6">
      <c r="B6335" s="154"/>
    </row>
    <row r="6336" spans="2:2" ht="15.6">
      <c r="B6336" s="154"/>
    </row>
    <row r="6337" spans="2:2" ht="15.6">
      <c r="B6337" s="154"/>
    </row>
    <row r="6338" spans="2:2" ht="15.6">
      <c r="B6338" s="154"/>
    </row>
    <row r="6339" spans="2:2" ht="15.6">
      <c r="B6339" s="154"/>
    </row>
    <row r="6340" spans="2:2" ht="15.6">
      <c r="B6340" s="154"/>
    </row>
    <row r="6341" spans="2:2" ht="15.6">
      <c r="B6341" s="154"/>
    </row>
    <row r="6342" spans="2:2" ht="15.6">
      <c r="B6342" s="154"/>
    </row>
    <row r="6343" spans="2:2" ht="15.6">
      <c r="B6343" s="154"/>
    </row>
    <row r="6344" spans="2:2" ht="15.6">
      <c r="B6344" s="154"/>
    </row>
    <row r="6345" spans="2:2" ht="15.6">
      <c r="B6345" s="154"/>
    </row>
    <row r="6346" spans="2:2" ht="15.6">
      <c r="B6346" s="154"/>
    </row>
    <row r="6347" spans="2:2" ht="15.6">
      <c r="B6347" s="154"/>
    </row>
    <row r="6348" spans="2:2" ht="15.6">
      <c r="B6348" s="154"/>
    </row>
    <row r="6349" spans="2:2" ht="15.6">
      <c r="B6349" s="154"/>
    </row>
    <row r="6350" spans="2:2" ht="15.6">
      <c r="B6350" s="154"/>
    </row>
    <row r="6351" spans="2:2" ht="15.6">
      <c r="B6351" s="154"/>
    </row>
    <row r="6352" spans="2:2" ht="15.6">
      <c r="B6352" s="154"/>
    </row>
    <row r="6353" spans="2:2" ht="15.6">
      <c r="B6353" s="154"/>
    </row>
    <row r="6354" spans="2:2" ht="15.6">
      <c r="B6354" s="154"/>
    </row>
    <row r="6355" spans="2:2" ht="15.6">
      <c r="B6355" s="154"/>
    </row>
    <row r="6356" spans="2:2" ht="15.6">
      <c r="B6356" s="154"/>
    </row>
    <row r="6357" spans="2:2" ht="15.6">
      <c r="B6357" s="154"/>
    </row>
    <row r="6358" spans="2:2" ht="15.6">
      <c r="B6358" s="154"/>
    </row>
    <row r="6359" spans="2:2" ht="15.6">
      <c r="B6359" s="154"/>
    </row>
    <row r="6360" spans="2:2" ht="15.6">
      <c r="B6360" s="154"/>
    </row>
    <row r="6361" spans="2:2" ht="15.6">
      <c r="B6361" s="154"/>
    </row>
    <row r="6362" spans="2:2" ht="15.6">
      <c r="B6362" s="154"/>
    </row>
    <row r="6363" spans="2:2" ht="15.6">
      <c r="B6363" s="154"/>
    </row>
    <row r="6364" spans="2:2" ht="15.6">
      <c r="B6364" s="154"/>
    </row>
    <row r="6365" spans="2:2" ht="15.6">
      <c r="B6365" s="154"/>
    </row>
    <row r="6366" spans="2:2" ht="15.6">
      <c r="B6366" s="154"/>
    </row>
    <row r="6367" spans="2:2" ht="15.6">
      <c r="B6367" s="154"/>
    </row>
    <row r="6368" spans="2:2" ht="15.6">
      <c r="B6368" s="154"/>
    </row>
    <row r="6369" spans="2:2" ht="15.6">
      <c r="B6369" s="154"/>
    </row>
    <row r="6370" spans="2:2" ht="15.6">
      <c r="B6370" s="154"/>
    </row>
    <row r="6371" spans="2:2" ht="15.6">
      <c r="B6371" s="154"/>
    </row>
    <row r="6372" spans="2:2" ht="15.6">
      <c r="B6372" s="154"/>
    </row>
    <row r="6373" spans="2:2" ht="15.6">
      <c r="B6373" s="154"/>
    </row>
    <row r="6374" spans="2:2" ht="15.6">
      <c r="B6374" s="154"/>
    </row>
    <row r="6375" spans="2:2" ht="15.6">
      <c r="B6375" s="154"/>
    </row>
    <row r="6376" spans="2:2" ht="15.6">
      <c r="B6376" s="154"/>
    </row>
    <row r="6377" spans="2:2" ht="15.6">
      <c r="B6377" s="154"/>
    </row>
    <row r="6378" spans="2:2" ht="15.6">
      <c r="B6378" s="154"/>
    </row>
    <row r="6379" spans="2:2" ht="15.6">
      <c r="B6379" s="154"/>
    </row>
    <row r="6380" spans="2:2" ht="15.6">
      <c r="B6380" s="154"/>
    </row>
    <row r="6381" spans="2:2" ht="15.6">
      <c r="B6381" s="154"/>
    </row>
    <row r="6382" spans="2:2" ht="15.6">
      <c r="B6382" s="154"/>
    </row>
    <row r="6383" spans="2:2" ht="15.6">
      <c r="B6383" s="154"/>
    </row>
    <row r="6384" spans="2:2" ht="15.6">
      <c r="B6384" s="154"/>
    </row>
    <row r="6385" spans="2:2" ht="15.6">
      <c r="B6385" s="154"/>
    </row>
    <row r="6386" spans="2:2" ht="15.6">
      <c r="B6386" s="154"/>
    </row>
    <row r="6387" spans="2:2" ht="15.6">
      <c r="B6387" s="154"/>
    </row>
    <row r="6388" spans="2:2" ht="15.6">
      <c r="B6388" s="154"/>
    </row>
    <row r="6389" spans="2:2" ht="15.6">
      <c r="B6389" s="154"/>
    </row>
    <row r="6390" spans="2:2" ht="15.6">
      <c r="B6390" s="154"/>
    </row>
    <row r="6391" spans="2:2" ht="15.6">
      <c r="B6391" s="154"/>
    </row>
    <row r="6392" spans="2:2" ht="15.6">
      <c r="B6392" s="154"/>
    </row>
    <row r="6393" spans="2:2" ht="15.6">
      <c r="B6393" s="154"/>
    </row>
    <row r="6394" spans="2:2" ht="15.6">
      <c r="B6394" s="154"/>
    </row>
    <row r="6395" spans="2:2" ht="15.6">
      <c r="B6395" s="154"/>
    </row>
    <row r="6396" spans="2:2" ht="15.6">
      <c r="B6396" s="154"/>
    </row>
    <row r="6397" spans="2:2" ht="15.6">
      <c r="B6397" s="154"/>
    </row>
    <row r="6398" spans="2:2" ht="15.6">
      <c r="B6398" s="154"/>
    </row>
    <row r="6399" spans="2:2" ht="15.6">
      <c r="B6399" s="154"/>
    </row>
    <row r="6400" spans="2:2" ht="15.6">
      <c r="B6400" s="154"/>
    </row>
    <row r="6401" spans="2:2" ht="15.6">
      <c r="B6401" s="154"/>
    </row>
    <row r="6402" spans="2:2" ht="15.6">
      <c r="B6402" s="154"/>
    </row>
    <row r="6403" spans="2:2" ht="15.6">
      <c r="B6403" s="154"/>
    </row>
    <row r="6404" spans="2:2" ht="15.6">
      <c r="B6404" s="154"/>
    </row>
    <row r="6405" spans="2:2" ht="15.6">
      <c r="B6405" s="154"/>
    </row>
    <row r="6406" spans="2:2" ht="15.6">
      <c r="B6406" s="154"/>
    </row>
    <row r="6407" spans="2:2" ht="15.6">
      <c r="B6407" s="154"/>
    </row>
    <row r="6408" spans="2:2" ht="15.6">
      <c r="B6408" s="154"/>
    </row>
    <row r="6409" spans="2:2" ht="15.6">
      <c r="B6409" s="154"/>
    </row>
    <row r="6410" spans="2:2" ht="15.6">
      <c r="B6410" s="154"/>
    </row>
    <row r="6411" spans="2:2" ht="15.6">
      <c r="B6411" s="154"/>
    </row>
    <row r="6412" spans="2:2" ht="15.6">
      <c r="B6412" s="154"/>
    </row>
    <row r="6413" spans="2:2" ht="15.6">
      <c r="B6413" s="154"/>
    </row>
    <row r="6414" spans="2:2" ht="15.6">
      <c r="B6414" s="154"/>
    </row>
    <row r="6415" spans="2:2" ht="15.6">
      <c r="B6415" s="154"/>
    </row>
    <row r="6416" spans="2:2" ht="15.6">
      <c r="B6416" s="154"/>
    </row>
    <row r="6417" spans="2:2" ht="15.6">
      <c r="B6417" s="154"/>
    </row>
    <row r="6418" spans="2:2" ht="15.6">
      <c r="B6418" s="154"/>
    </row>
    <row r="6419" spans="2:2" ht="15.6">
      <c r="B6419" s="154"/>
    </row>
    <row r="6420" spans="2:2" ht="15.6">
      <c r="B6420" s="154"/>
    </row>
    <row r="6421" spans="2:2" ht="15.6">
      <c r="B6421" s="154"/>
    </row>
    <row r="6422" spans="2:2" ht="15.6">
      <c r="B6422" s="154"/>
    </row>
    <row r="6423" spans="2:2" ht="15.6">
      <c r="B6423" s="154"/>
    </row>
    <row r="6424" spans="2:2" ht="15.6">
      <c r="B6424" s="154"/>
    </row>
    <row r="6425" spans="2:2" ht="15.6">
      <c r="B6425" s="154"/>
    </row>
    <row r="6426" spans="2:2" ht="15.6">
      <c r="B6426" s="154"/>
    </row>
    <row r="6427" spans="2:2" ht="15.6">
      <c r="B6427" s="154"/>
    </row>
    <row r="6428" spans="2:2" ht="15.6">
      <c r="B6428" s="154"/>
    </row>
    <row r="6429" spans="2:2" ht="15.6">
      <c r="B6429" s="154"/>
    </row>
    <row r="6430" spans="2:2" ht="15.6">
      <c r="B6430" s="154"/>
    </row>
    <row r="6431" spans="2:2" ht="15.6">
      <c r="B6431" s="154"/>
    </row>
    <row r="6432" spans="2:2" ht="15.6">
      <c r="B6432" s="154"/>
    </row>
    <row r="6433" spans="2:2" ht="15.6">
      <c r="B6433" s="154"/>
    </row>
    <row r="6434" spans="2:2" ht="15.6">
      <c r="B6434" s="154"/>
    </row>
    <row r="6435" spans="2:2" ht="15.6">
      <c r="B6435" s="154"/>
    </row>
    <row r="6436" spans="2:2" ht="15.6">
      <c r="B6436" s="154"/>
    </row>
    <row r="6437" spans="2:2" ht="15.6">
      <c r="B6437" s="154"/>
    </row>
    <row r="6438" spans="2:2" ht="15.6">
      <c r="B6438" s="154"/>
    </row>
    <row r="6439" spans="2:2" ht="15.6">
      <c r="B6439" s="154"/>
    </row>
    <row r="6440" spans="2:2" ht="15.6">
      <c r="B6440" s="154"/>
    </row>
    <row r="6441" spans="2:2" ht="15.6">
      <c r="B6441" s="154"/>
    </row>
    <row r="6442" spans="2:2" ht="15.6">
      <c r="B6442" s="154"/>
    </row>
    <row r="6443" spans="2:2" ht="15.6">
      <c r="B6443" s="154"/>
    </row>
    <row r="6444" spans="2:2" ht="15.6">
      <c r="B6444" s="154"/>
    </row>
    <row r="6445" spans="2:2" ht="15.6">
      <c r="B6445" s="154"/>
    </row>
    <row r="6446" spans="2:2" ht="15.6">
      <c r="B6446" s="154"/>
    </row>
    <row r="6447" spans="2:2" ht="15.6">
      <c r="B6447" s="154"/>
    </row>
    <row r="6448" spans="2:2" ht="15.6">
      <c r="B6448" s="154"/>
    </row>
    <row r="6449" spans="2:2" ht="15.6">
      <c r="B6449" s="154"/>
    </row>
    <row r="6450" spans="2:2" ht="15.6">
      <c r="B6450" s="154"/>
    </row>
    <row r="6451" spans="2:2" ht="15.6">
      <c r="B6451" s="154"/>
    </row>
    <row r="6452" spans="2:2" ht="15.6">
      <c r="B6452" s="154"/>
    </row>
    <row r="6453" spans="2:2" ht="15.6">
      <c r="B6453" s="154"/>
    </row>
    <row r="6454" spans="2:2" ht="15.6">
      <c r="B6454" s="154"/>
    </row>
    <row r="6455" spans="2:2" ht="15.6">
      <c r="B6455" s="154"/>
    </row>
    <row r="6456" spans="2:2" ht="15.6">
      <c r="B6456" s="154"/>
    </row>
    <row r="6457" spans="2:2" ht="15.6">
      <c r="B6457" s="154"/>
    </row>
    <row r="6458" spans="2:2" ht="15.6">
      <c r="B6458" s="154"/>
    </row>
    <row r="6459" spans="2:2" ht="15.6">
      <c r="B6459" s="154"/>
    </row>
    <row r="6460" spans="2:2" ht="15.6">
      <c r="B6460" s="154"/>
    </row>
    <row r="6461" spans="2:2" ht="15.6">
      <c r="B6461" s="154"/>
    </row>
    <row r="6462" spans="2:2" ht="15.6">
      <c r="B6462" s="154"/>
    </row>
    <row r="6463" spans="2:2" ht="15.6">
      <c r="B6463" s="154"/>
    </row>
    <row r="6464" spans="2:2" ht="15.6">
      <c r="B6464" s="154"/>
    </row>
    <row r="6465" spans="2:2" ht="15.6">
      <c r="B6465" s="154"/>
    </row>
    <row r="6466" spans="2:2" ht="15.6">
      <c r="B6466" s="154"/>
    </row>
    <row r="6467" spans="2:2" ht="15.6">
      <c r="B6467" s="154"/>
    </row>
    <row r="6468" spans="2:2" ht="15.6">
      <c r="B6468" s="154"/>
    </row>
    <row r="6469" spans="2:2" ht="15.6">
      <c r="B6469" s="154"/>
    </row>
    <row r="6470" spans="2:2" ht="15.6">
      <c r="B6470" s="154"/>
    </row>
    <row r="6471" spans="2:2" ht="15.6">
      <c r="B6471" s="154"/>
    </row>
    <row r="6472" spans="2:2" ht="15.6">
      <c r="B6472" s="154"/>
    </row>
    <row r="6473" spans="2:2" ht="15.6">
      <c r="B6473" s="154"/>
    </row>
    <row r="6474" spans="2:2" ht="15.6">
      <c r="B6474" s="154"/>
    </row>
    <row r="6475" spans="2:2" ht="15.6">
      <c r="B6475" s="154"/>
    </row>
    <row r="6476" spans="2:2" ht="15.6">
      <c r="B6476" s="154"/>
    </row>
    <row r="6477" spans="2:2" ht="15.6">
      <c r="B6477" s="154"/>
    </row>
    <row r="6478" spans="2:2" ht="15.6">
      <c r="B6478" s="154"/>
    </row>
    <row r="6479" spans="2:2" ht="15.6">
      <c r="B6479" s="154"/>
    </row>
    <row r="6480" spans="2:2" ht="15.6">
      <c r="B6480" s="154"/>
    </row>
    <row r="6481" spans="2:2" ht="15.6">
      <c r="B6481" s="154"/>
    </row>
    <row r="6482" spans="2:2" ht="15.6">
      <c r="B6482" s="154"/>
    </row>
    <row r="6483" spans="2:2" ht="15.6">
      <c r="B6483" s="154"/>
    </row>
    <row r="6484" spans="2:2" ht="15.6">
      <c r="B6484" s="154"/>
    </row>
    <row r="6485" spans="2:2" ht="15.6">
      <c r="B6485" s="154"/>
    </row>
    <row r="6486" spans="2:2" ht="15.6">
      <c r="B6486" s="154"/>
    </row>
    <row r="6487" spans="2:2" ht="15.6">
      <c r="B6487" s="154"/>
    </row>
    <row r="6488" spans="2:2" ht="15.6">
      <c r="B6488" s="154"/>
    </row>
    <row r="6489" spans="2:2" ht="15.6">
      <c r="B6489" s="154"/>
    </row>
    <row r="6490" spans="2:2" ht="15.6">
      <c r="B6490" s="154"/>
    </row>
    <row r="6491" spans="2:2" ht="15.6">
      <c r="B6491" s="154"/>
    </row>
    <row r="6492" spans="2:2" ht="15.6">
      <c r="B6492" s="154"/>
    </row>
    <row r="6493" spans="2:2" ht="15.6">
      <c r="B6493" s="154"/>
    </row>
    <row r="6494" spans="2:2" ht="15.6">
      <c r="B6494" s="154"/>
    </row>
    <row r="6495" spans="2:2" ht="15.6">
      <c r="B6495" s="154"/>
    </row>
    <row r="6496" spans="2:2" ht="15.6">
      <c r="B6496" s="154"/>
    </row>
    <row r="6497" spans="2:2" ht="15.6">
      <c r="B6497" s="154"/>
    </row>
    <row r="6498" spans="2:2" ht="15.6">
      <c r="B6498" s="154"/>
    </row>
    <row r="6499" spans="2:2" ht="15.6">
      <c r="B6499" s="154"/>
    </row>
    <row r="6500" spans="2:2" ht="15.6">
      <c r="B6500" s="154"/>
    </row>
    <row r="6501" spans="2:2" ht="15.6">
      <c r="B6501" s="154"/>
    </row>
    <row r="6502" spans="2:2" ht="15.6">
      <c r="B6502" s="154"/>
    </row>
    <row r="6503" spans="2:2" ht="15.6">
      <c r="B6503" s="154"/>
    </row>
    <row r="6504" spans="2:2" ht="15.6">
      <c r="B6504" s="154"/>
    </row>
    <row r="6505" spans="2:2" ht="15.6">
      <c r="B6505" s="154"/>
    </row>
    <row r="6506" spans="2:2" ht="15.6">
      <c r="B6506" s="154"/>
    </row>
    <row r="6507" spans="2:2" ht="15.6">
      <c r="B6507" s="154"/>
    </row>
    <row r="6508" spans="2:2" ht="15.6">
      <c r="B6508" s="154"/>
    </row>
    <row r="6509" spans="2:2" ht="15.6">
      <c r="B6509" s="154"/>
    </row>
    <row r="6510" spans="2:2" ht="15.6">
      <c r="B6510" s="154"/>
    </row>
    <row r="6511" spans="2:2" ht="15.6">
      <c r="B6511" s="154"/>
    </row>
    <row r="6512" spans="2:2" ht="15.6">
      <c r="B6512" s="154"/>
    </row>
    <row r="6513" spans="2:2" ht="15.6">
      <c r="B6513" s="154"/>
    </row>
    <row r="6514" spans="2:2" ht="15.6">
      <c r="B6514" s="154"/>
    </row>
    <row r="6515" spans="2:2" ht="15.6">
      <c r="B6515" s="154"/>
    </row>
    <row r="6516" spans="2:2" ht="15.6">
      <c r="B6516" s="154"/>
    </row>
    <row r="6517" spans="2:2" ht="15.6">
      <c r="B6517" s="154"/>
    </row>
    <row r="6518" spans="2:2" ht="15.6">
      <c r="B6518" s="154"/>
    </row>
    <row r="6519" spans="2:2" ht="15.6">
      <c r="B6519" s="154"/>
    </row>
    <row r="6520" spans="2:2" ht="15.6">
      <c r="B6520" s="154"/>
    </row>
    <row r="6521" spans="2:2" ht="15.6">
      <c r="B6521" s="154"/>
    </row>
    <row r="6522" spans="2:2" ht="15.6">
      <c r="B6522" s="154"/>
    </row>
    <row r="6523" spans="2:2" ht="15.6">
      <c r="B6523" s="154"/>
    </row>
    <row r="6524" spans="2:2" ht="15.6">
      <c r="B6524" s="154"/>
    </row>
    <row r="6525" spans="2:2" ht="15.6">
      <c r="B6525" s="154"/>
    </row>
    <row r="6526" spans="2:2" ht="15.6">
      <c r="B6526" s="154"/>
    </row>
    <row r="6527" spans="2:2" ht="15.6">
      <c r="B6527" s="154"/>
    </row>
    <row r="6528" spans="2:2" ht="15.6">
      <c r="B6528" s="154"/>
    </row>
    <row r="6529" spans="2:2" ht="15.6">
      <c r="B6529" s="154"/>
    </row>
    <row r="6530" spans="2:2" ht="15.6">
      <c r="B6530" s="154"/>
    </row>
    <row r="6531" spans="2:2" ht="15.6">
      <c r="B6531" s="154"/>
    </row>
    <row r="6532" spans="2:2" ht="15.6">
      <c r="B6532" s="154"/>
    </row>
    <row r="6533" spans="2:2" ht="15.6">
      <c r="B6533" s="154"/>
    </row>
    <row r="6534" spans="2:2" ht="15.6">
      <c r="B6534" s="154"/>
    </row>
    <row r="6535" spans="2:2" ht="15.6">
      <c r="B6535" s="154"/>
    </row>
    <row r="6536" spans="2:2" ht="15.6">
      <c r="B6536" s="154"/>
    </row>
    <row r="6537" spans="2:2" ht="15.6">
      <c r="B6537" s="154"/>
    </row>
    <row r="6538" spans="2:2" ht="15.6">
      <c r="B6538" s="154"/>
    </row>
    <row r="6539" spans="2:2" ht="15.6">
      <c r="B6539" s="154"/>
    </row>
    <row r="6540" spans="2:2" ht="15.6">
      <c r="B6540" s="154"/>
    </row>
    <row r="6541" spans="2:2" ht="15.6">
      <c r="B6541" s="154"/>
    </row>
    <row r="6542" spans="2:2" ht="15.6">
      <c r="B6542" s="154"/>
    </row>
    <row r="6543" spans="2:2" ht="15.6">
      <c r="B6543" s="154"/>
    </row>
    <row r="6544" spans="2:2" ht="15.6">
      <c r="B6544" s="154"/>
    </row>
    <row r="6545" spans="2:2" ht="15.6">
      <c r="B6545" s="154"/>
    </row>
    <row r="6546" spans="2:2" ht="15.6">
      <c r="B6546" s="154"/>
    </row>
    <row r="6547" spans="2:2" ht="15.6">
      <c r="B6547" s="154"/>
    </row>
    <row r="6548" spans="2:2" ht="15.6">
      <c r="B6548" s="154"/>
    </row>
    <row r="6549" spans="2:2" ht="15.6">
      <c r="B6549" s="154"/>
    </row>
    <row r="6550" spans="2:2" ht="15.6">
      <c r="B6550" s="154"/>
    </row>
    <row r="6551" spans="2:2" ht="15.6">
      <c r="B6551" s="154"/>
    </row>
    <row r="6552" spans="2:2" ht="15.6">
      <c r="B6552" s="154"/>
    </row>
    <row r="6553" spans="2:2" ht="15.6">
      <c r="B6553" s="154"/>
    </row>
    <row r="6554" spans="2:2" ht="15.6">
      <c r="B6554" s="154"/>
    </row>
    <row r="6555" spans="2:2" ht="15.6">
      <c r="B6555" s="154"/>
    </row>
    <row r="6556" spans="2:2" ht="15.6">
      <c r="B6556" s="154"/>
    </row>
    <row r="6557" spans="2:2" ht="15.6">
      <c r="B6557" s="154"/>
    </row>
    <row r="6558" spans="2:2" ht="15.6">
      <c r="B6558" s="154"/>
    </row>
    <row r="6559" spans="2:2" ht="15.6">
      <c r="B6559" s="154"/>
    </row>
    <row r="6560" spans="2:2" ht="15.6">
      <c r="B6560" s="154"/>
    </row>
    <row r="6561" spans="2:2" ht="15.6">
      <c r="B6561" s="154"/>
    </row>
    <row r="6562" spans="2:2" ht="15.6">
      <c r="B6562" s="154"/>
    </row>
    <row r="6563" spans="2:2" ht="15.6">
      <c r="B6563" s="154"/>
    </row>
    <row r="6564" spans="2:2" ht="15.6">
      <c r="B6564" s="154"/>
    </row>
    <row r="6565" spans="2:2" ht="15.6">
      <c r="B6565" s="154"/>
    </row>
    <row r="6566" spans="2:2" ht="15.6">
      <c r="B6566" s="154"/>
    </row>
    <row r="6567" spans="2:2" ht="15.6">
      <c r="B6567" s="154"/>
    </row>
    <row r="6568" spans="2:2" ht="15.6">
      <c r="B6568" s="154"/>
    </row>
    <row r="6569" spans="2:2" ht="15.6">
      <c r="B6569" s="154"/>
    </row>
    <row r="6570" spans="2:2" ht="15.6">
      <c r="B6570" s="154"/>
    </row>
    <row r="6571" spans="2:2" ht="15.6">
      <c r="B6571" s="154"/>
    </row>
    <row r="6572" spans="2:2" ht="15.6">
      <c r="B6572" s="154"/>
    </row>
    <row r="6573" spans="2:2" ht="15.6">
      <c r="B6573" s="154"/>
    </row>
    <row r="6574" spans="2:2" ht="15.6">
      <c r="B6574" s="154"/>
    </row>
    <row r="6575" spans="2:2" ht="15.6">
      <c r="B6575" s="154"/>
    </row>
    <row r="6576" spans="2:2" ht="15.6">
      <c r="B6576" s="154"/>
    </row>
    <row r="6577" spans="2:2" ht="15.6">
      <c r="B6577" s="154"/>
    </row>
    <row r="6578" spans="2:2" ht="15.6">
      <c r="B6578" s="154"/>
    </row>
    <row r="6579" spans="2:2" ht="15.6">
      <c r="B6579" s="154"/>
    </row>
    <row r="6580" spans="2:2" ht="15.6">
      <c r="B6580" s="154"/>
    </row>
    <row r="6581" spans="2:2" ht="15.6">
      <c r="B6581" s="154"/>
    </row>
    <row r="6582" spans="2:2" ht="15.6">
      <c r="B6582" s="154"/>
    </row>
    <row r="6583" spans="2:2" ht="15.6">
      <c r="B6583" s="154"/>
    </row>
    <row r="6584" spans="2:2" ht="15.6">
      <c r="B6584" s="154"/>
    </row>
    <row r="6585" spans="2:2" ht="15.6">
      <c r="B6585" s="154"/>
    </row>
    <row r="6586" spans="2:2" ht="15.6">
      <c r="B6586" s="154"/>
    </row>
    <row r="6587" spans="2:2" ht="15.6">
      <c r="B6587" s="154"/>
    </row>
    <row r="6588" spans="2:2" ht="15.6">
      <c r="B6588" s="154"/>
    </row>
    <row r="6589" spans="2:2" ht="15.6">
      <c r="B6589" s="154"/>
    </row>
    <row r="6590" spans="2:2" ht="15.6">
      <c r="B6590" s="154"/>
    </row>
    <row r="6591" spans="2:2" ht="15.6">
      <c r="B6591" s="154"/>
    </row>
    <row r="6592" spans="2:2" ht="15.6">
      <c r="B6592" s="154"/>
    </row>
    <row r="6593" spans="2:2" ht="15.6">
      <c r="B6593" s="154"/>
    </row>
    <row r="6594" spans="2:2" ht="15.6">
      <c r="B6594" s="154"/>
    </row>
    <row r="6595" spans="2:2" ht="15.6">
      <c r="B6595" s="154"/>
    </row>
    <row r="6596" spans="2:2" ht="15.6">
      <c r="B6596" s="154"/>
    </row>
    <row r="6597" spans="2:2" ht="15.6">
      <c r="B6597" s="154"/>
    </row>
    <row r="6598" spans="2:2" ht="15.6">
      <c r="B6598" s="154"/>
    </row>
    <row r="6599" spans="2:2" ht="15.6">
      <c r="B6599" s="154"/>
    </row>
    <row r="6600" spans="2:2" ht="15.6">
      <c r="B6600" s="154"/>
    </row>
    <row r="6601" spans="2:2" ht="15.6">
      <c r="B6601" s="154"/>
    </row>
    <row r="6602" spans="2:2" ht="15.6">
      <c r="B6602" s="154"/>
    </row>
    <row r="6603" spans="2:2" ht="15.6">
      <c r="B6603" s="154"/>
    </row>
    <row r="6604" spans="2:2" ht="15.6">
      <c r="B6604" s="154"/>
    </row>
    <row r="6605" spans="2:2" ht="15.6">
      <c r="B6605" s="154"/>
    </row>
    <row r="6606" spans="2:2" ht="15.6">
      <c r="B6606" s="154"/>
    </row>
    <row r="6607" spans="2:2" ht="15.6">
      <c r="B6607" s="154"/>
    </row>
    <row r="6608" spans="2:2" ht="15.6">
      <c r="B6608" s="154"/>
    </row>
    <row r="6609" spans="2:2" ht="15.6">
      <c r="B6609" s="154"/>
    </row>
    <row r="6610" spans="2:2" ht="15.6">
      <c r="B6610" s="154"/>
    </row>
    <row r="6611" spans="2:2" ht="15.6">
      <c r="B6611" s="154"/>
    </row>
    <row r="6612" spans="2:2" ht="15.6">
      <c r="B6612" s="154"/>
    </row>
    <row r="6613" spans="2:2" ht="15.6">
      <c r="B6613" s="154"/>
    </row>
    <row r="6614" spans="2:2" ht="15.6">
      <c r="B6614" s="154"/>
    </row>
    <row r="6615" spans="2:2" ht="15.6">
      <c r="B6615" s="154"/>
    </row>
    <row r="6616" spans="2:2" ht="15.6">
      <c r="B6616" s="154"/>
    </row>
    <row r="6617" spans="2:2" ht="15.6">
      <c r="B6617" s="154"/>
    </row>
    <row r="6618" spans="2:2" ht="15.6">
      <c r="B6618" s="154"/>
    </row>
    <row r="6619" spans="2:2" ht="15.6">
      <c r="B6619" s="154"/>
    </row>
    <row r="6620" spans="2:2" ht="15.6">
      <c r="B6620" s="154"/>
    </row>
    <row r="6621" spans="2:2" ht="15.6">
      <c r="B6621" s="154"/>
    </row>
    <row r="6622" spans="2:2" ht="15.6">
      <c r="B6622" s="154"/>
    </row>
    <row r="6623" spans="2:2" ht="15.6">
      <c r="B6623" s="154"/>
    </row>
    <row r="6624" spans="2:2" ht="15.6">
      <c r="B6624" s="154"/>
    </row>
    <row r="6625" spans="2:2" ht="15.6">
      <c r="B6625" s="154"/>
    </row>
    <row r="6626" spans="2:2" ht="15.6">
      <c r="B6626" s="154"/>
    </row>
    <row r="6627" spans="2:2" ht="15.6">
      <c r="B6627" s="154"/>
    </row>
    <row r="6628" spans="2:2" ht="15.6">
      <c r="B6628" s="154"/>
    </row>
    <row r="6629" spans="2:2" ht="15.6">
      <c r="B6629" s="154"/>
    </row>
    <row r="6630" spans="2:2" ht="15.6">
      <c r="B6630" s="154"/>
    </row>
    <row r="6631" spans="2:2" ht="15.6">
      <c r="B6631" s="154"/>
    </row>
    <row r="6632" spans="2:2" ht="15.6">
      <c r="B6632" s="154"/>
    </row>
    <row r="6633" spans="2:2" ht="15.6">
      <c r="B6633" s="154"/>
    </row>
    <row r="6634" spans="2:2" ht="15.6">
      <c r="B6634" s="154"/>
    </row>
    <row r="6635" spans="2:2" ht="15.6">
      <c r="B6635" s="154"/>
    </row>
    <row r="6636" spans="2:2" ht="15.6">
      <c r="B6636" s="154"/>
    </row>
    <row r="6637" spans="2:2" ht="15.6">
      <c r="B6637" s="154"/>
    </row>
    <row r="6638" spans="2:2" ht="15.6">
      <c r="B6638" s="154"/>
    </row>
    <row r="6639" spans="2:2" ht="15.6">
      <c r="B6639" s="154"/>
    </row>
    <row r="6640" spans="2:2" ht="15.6">
      <c r="B6640" s="154"/>
    </row>
    <row r="6641" spans="2:2" ht="15.6">
      <c r="B6641" s="154"/>
    </row>
    <row r="6642" spans="2:2" ht="15.6">
      <c r="B6642" s="154"/>
    </row>
    <row r="6643" spans="2:2" ht="15.6">
      <c r="B6643" s="154"/>
    </row>
    <row r="6644" spans="2:2" ht="15.6">
      <c r="B6644" s="154"/>
    </row>
    <row r="6645" spans="2:2" ht="15.6">
      <c r="B6645" s="154"/>
    </row>
    <row r="6646" spans="2:2" ht="15.6">
      <c r="B6646" s="154"/>
    </row>
    <row r="6647" spans="2:2" ht="15.6">
      <c r="B6647" s="154"/>
    </row>
    <row r="6648" spans="2:2" ht="15.6">
      <c r="B6648" s="154"/>
    </row>
    <row r="6649" spans="2:2" ht="15.6">
      <c r="B6649" s="154"/>
    </row>
    <row r="6650" spans="2:2" ht="15.6">
      <c r="B6650" s="154"/>
    </row>
    <row r="6651" spans="2:2" ht="15.6">
      <c r="B6651" s="154"/>
    </row>
    <row r="6652" spans="2:2" ht="15.6">
      <c r="B6652" s="154"/>
    </row>
    <row r="6653" spans="2:2" ht="15.6">
      <c r="B6653" s="154"/>
    </row>
    <row r="6654" spans="2:2" ht="15.6">
      <c r="B6654" s="154"/>
    </row>
    <row r="6655" spans="2:2" ht="15.6">
      <c r="B6655" s="154"/>
    </row>
    <row r="6656" spans="2:2" ht="15.6">
      <c r="B6656" s="154"/>
    </row>
    <row r="6657" spans="2:2" ht="15.6">
      <c r="B6657" s="154"/>
    </row>
    <row r="6658" spans="2:2" ht="15.6">
      <c r="B6658" s="154"/>
    </row>
    <row r="6659" spans="2:2" ht="15.6">
      <c r="B6659" s="154"/>
    </row>
    <row r="6660" spans="2:2" ht="15.6">
      <c r="B6660" s="154"/>
    </row>
    <row r="6661" spans="2:2" ht="15.6">
      <c r="B6661" s="154"/>
    </row>
    <row r="6662" spans="2:2" ht="15.6">
      <c r="B6662" s="154"/>
    </row>
    <row r="6663" spans="2:2" ht="15.6">
      <c r="B6663" s="154"/>
    </row>
    <row r="6664" spans="2:2" ht="15.6">
      <c r="B6664" s="154"/>
    </row>
    <row r="6665" spans="2:2" ht="15.6">
      <c r="B6665" s="154"/>
    </row>
    <row r="6666" spans="2:2" ht="15.6">
      <c r="B6666" s="154"/>
    </row>
    <row r="6667" spans="2:2" ht="15.6">
      <c r="B6667" s="154"/>
    </row>
    <row r="6668" spans="2:2" ht="15.6">
      <c r="B6668" s="154"/>
    </row>
    <row r="6669" spans="2:2" ht="15.6">
      <c r="B6669" s="154"/>
    </row>
    <row r="6670" spans="2:2" ht="15.6">
      <c r="B6670" s="154"/>
    </row>
    <row r="6671" spans="2:2" ht="15.6">
      <c r="B6671" s="154"/>
    </row>
    <row r="6672" spans="2:2" ht="15.6">
      <c r="B6672" s="154"/>
    </row>
    <row r="6673" spans="2:2" ht="15.6">
      <c r="B6673" s="154"/>
    </row>
    <row r="6674" spans="2:2" ht="15.6">
      <c r="B6674" s="154"/>
    </row>
    <row r="6675" spans="2:2" ht="15.6">
      <c r="B6675" s="154"/>
    </row>
    <row r="6676" spans="2:2" ht="15.6">
      <c r="B6676" s="154"/>
    </row>
    <row r="6677" spans="2:2" ht="15.6">
      <c r="B6677" s="154"/>
    </row>
    <row r="6678" spans="2:2" ht="15.6">
      <c r="B6678" s="154"/>
    </row>
    <row r="6679" spans="2:2" ht="15.6">
      <c r="B6679" s="154"/>
    </row>
    <row r="6680" spans="2:2" ht="15.6">
      <c r="B6680" s="154"/>
    </row>
    <row r="6681" spans="2:2" ht="15.6">
      <c r="B6681" s="154"/>
    </row>
    <row r="6682" spans="2:2" ht="15.6">
      <c r="B6682" s="154"/>
    </row>
    <row r="6683" spans="2:2" ht="15.6">
      <c r="B6683" s="154"/>
    </row>
    <row r="6684" spans="2:2" ht="15.6">
      <c r="B6684" s="154"/>
    </row>
    <row r="6685" spans="2:2" ht="15.6">
      <c r="B6685" s="154"/>
    </row>
    <row r="6686" spans="2:2" ht="15.6">
      <c r="B6686" s="154"/>
    </row>
    <row r="6687" spans="2:2" ht="15.6">
      <c r="B6687" s="154"/>
    </row>
    <row r="6688" spans="2:2" ht="15.6">
      <c r="B6688" s="154"/>
    </row>
    <row r="6689" spans="2:2" ht="15.6">
      <c r="B6689" s="154"/>
    </row>
    <row r="6690" spans="2:2" ht="15.6">
      <c r="B6690" s="154"/>
    </row>
    <row r="6691" spans="2:2" ht="15.6">
      <c r="B6691" s="154"/>
    </row>
    <row r="6692" spans="2:2" ht="15.6">
      <c r="B6692" s="154"/>
    </row>
    <row r="6693" spans="2:2" ht="15.6">
      <c r="B6693" s="154"/>
    </row>
    <row r="6694" spans="2:2" ht="15.6">
      <c r="B6694" s="154"/>
    </row>
    <row r="6695" spans="2:2" ht="15.6">
      <c r="B6695" s="154"/>
    </row>
    <row r="6696" spans="2:2" ht="15.6">
      <c r="B6696" s="154"/>
    </row>
    <row r="6697" spans="2:2" ht="15.6">
      <c r="B6697" s="154"/>
    </row>
    <row r="6698" spans="2:2" ht="15.6">
      <c r="B6698" s="154"/>
    </row>
    <row r="6699" spans="2:2" ht="15.6">
      <c r="B6699" s="154"/>
    </row>
    <row r="6700" spans="2:2" ht="15.6">
      <c r="B6700" s="154"/>
    </row>
    <row r="6701" spans="2:2" ht="15.6">
      <c r="B6701" s="154"/>
    </row>
    <row r="6702" spans="2:2" ht="15.6">
      <c r="B6702" s="154"/>
    </row>
    <row r="6703" spans="2:2" ht="15.6">
      <c r="B6703" s="154"/>
    </row>
    <row r="6704" spans="2:2" ht="15.6">
      <c r="B6704" s="154"/>
    </row>
    <row r="6705" spans="2:2" ht="15.6">
      <c r="B6705" s="154"/>
    </row>
    <row r="6706" spans="2:2" ht="15.6">
      <c r="B6706" s="154"/>
    </row>
    <row r="6707" spans="2:2" ht="15.6">
      <c r="B6707" s="154"/>
    </row>
    <row r="6708" spans="2:2" ht="15.6">
      <c r="B6708" s="154"/>
    </row>
    <row r="6709" spans="2:2" ht="15.6">
      <c r="B6709" s="154"/>
    </row>
    <row r="6710" spans="2:2" ht="15.6">
      <c r="B6710" s="154"/>
    </row>
    <row r="6711" spans="2:2" ht="15.6">
      <c r="B6711" s="154"/>
    </row>
    <row r="6712" spans="2:2" ht="15.6">
      <c r="B6712" s="154"/>
    </row>
    <row r="6713" spans="2:2" ht="15.6">
      <c r="B6713" s="154"/>
    </row>
    <row r="6714" spans="2:2" ht="15.6">
      <c r="B6714" s="154"/>
    </row>
    <row r="6715" spans="2:2" ht="15.6">
      <c r="B6715" s="154"/>
    </row>
    <row r="6716" spans="2:2" ht="15.6">
      <c r="B6716" s="154"/>
    </row>
    <row r="6717" spans="2:2" ht="15.6">
      <c r="B6717" s="154"/>
    </row>
    <row r="6718" spans="2:2" ht="15.6">
      <c r="B6718" s="154"/>
    </row>
    <row r="6719" spans="2:2" ht="15.6">
      <c r="B6719" s="154"/>
    </row>
    <row r="6720" spans="2:2" ht="15.6">
      <c r="B6720" s="154"/>
    </row>
    <row r="6721" spans="2:2" ht="15.6">
      <c r="B6721" s="154"/>
    </row>
    <row r="6722" spans="2:2" ht="15.6">
      <c r="B6722" s="154"/>
    </row>
    <row r="6723" spans="2:2" ht="15.6">
      <c r="B6723" s="154"/>
    </row>
    <row r="6724" spans="2:2" ht="15.6">
      <c r="B6724" s="154"/>
    </row>
    <row r="6725" spans="2:2" ht="15.6">
      <c r="B6725" s="154"/>
    </row>
    <row r="6726" spans="2:2" ht="15.6">
      <c r="B6726" s="154"/>
    </row>
    <row r="6727" spans="2:2" ht="15.6">
      <c r="B6727" s="154"/>
    </row>
    <row r="6728" spans="2:2" ht="15.6">
      <c r="B6728" s="154"/>
    </row>
    <row r="6729" spans="2:2" ht="15.6">
      <c r="B6729" s="154"/>
    </row>
    <row r="6730" spans="2:2" ht="15.6">
      <c r="B6730" s="154"/>
    </row>
    <row r="6731" spans="2:2" ht="15.6">
      <c r="B6731" s="154"/>
    </row>
    <row r="6732" spans="2:2" ht="15.6">
      <c r="B6732" s="154"/>
    </row>
    <row r="6733" spans="2:2" ht="15.6">
      <c r="B6733" s="154"/>
    </row>
    <row r="6734" spans="2:2" ht="15.6">
      <c r="B6734" s="154"/>
    </row>
    <row r="6735" spans="2:2" ht="15.6">
      <c r="B6735" s="154"/>
    </row>
    <row r="6736" spans="2:2" ht="15.6">
      <c r="B6736" s="154"/>
    </row>
    <row r="6737" spans="2:2" ht="15.6">
      <c r="B6737" s="154"/>
    </row>
    <row r="6738" spans="2:2" ht="15.6">
      <c r="B6738" s="154"/>
    </row>
    <row r="6739" spans="2:2" ht="15.6">
      <c r="B6739" s="154"/>
    </row>
    <row r="6740" spans="2:2" ht="15.6">
      <c r="B6740" s="154"/>
    </row>
    <row r="6741" spans="2:2" ht="15.6">
      <c r="B6741" s="154"/>
    </row>
    <row r="6742" spans="2:2" ht="15.6">
      <c r="B6742" s="154"/>
    </row>
    <row r="6743" spans="2:2" ht="15.6">
      <c r="B6743" s="154"/>
    </row>
    <row r="6744" spans="2:2" ht="15.6">
      <c r="B6744" s="154"/>
    </row>
    <row r="6745" spans="2:2" ht="15.6">
      <c r="B6745" s="154"/>
    </row>
    <row r="6746" spans="2:2" ht="15.6">
      <c r="B6746" s="154"/>
    </row>
    <row r="6747" spans="2:2" ht="15.6">
      <c r="B6747" s="154"/>
    </row>
    <row r="6748" spans="2:2" ht="15.6">
      <c r="B6748" s="154"/>
    </row>
    <row r="6749" spans="2:2" ht="15.6">
      <c r="B6749" s="154"/>
    </row>
    <row r="6750" spans="2:2" ht="15.6">
      <c r="B6750" s="154"/>
    </row>
    <row r="6751" spans="2:2" ht="15.6">
      <c r="B6751" s="154"/>
    </row>
    <row r="6752" spans="2:2" ht="15.6">
      <c r="B6752" s="154"/>
    </row>
    <row r="6753" spans="2:2" ht="15.6">
      <c r="B6753" s="154"/>
    </row>
    <row r="6754" spans="2:2" ht="15.6">
      <c r="B6754" s="154"/>
    </row>
    <row r="6755" spans="2:2" ht="15.6">
      <c r="B6755" s="154"/>
    </row>
    <row r="6756" spans="2:2" ht="15.6">
      <c r="B6756" s="154"/>
    </row>
    <row r="6757" spans="2:2" ht="15.6">
      <c r="B6757" s="154"/>
    </row>
    <row r="6758" spans="2:2" ht="15.6">
      <c r="B6758" s="154"/>
    </row>
    <row r="6759" spans="2:2" ht="15.6">
      <c r="B6759" s="154"/>
    </row>
    <row r="6760" spans="2:2" ht="15.6">
      <c r="B6760" s="154"/>
    </row>
    <row r="6761" spans="2:2" ht="15.6">
      <c r="B6761" s="154"/>
    </row>
    <row r="6762" spans="2:2" ht="15.6">
      <c r="B6762" s="154"/>
    </row>
    <row r="6763" spans="2:2" ht="15.6">
      <c r="B6763" s="154"/>
    </row>
    <row r="6764" spans="2:2" ht="15.6">
      <c r="B6764" s="154"/>
    </row>
    <row r="6765" spans="2:2" ht="15.6">
      <c r="B6765" s="154"/>
    </row>
    <row r="6766" spans="2:2" ht="15.6">
      <c r="B6766" s="154"/>
    </row>
    <row r="6767" spans="2:2" ht="15.6">
      <c r="B6767" s="154"/>
    </row>
    <row r="6768" spans="2:2" ht="15.6">
      <c r="B6768" s="154"/>
    </row>
    <row r="6769" spans="2:2" ht="15.6">
      <c r="B6769" s="154"/>
    </row>
    <row r="6770" spans="2:2" ht="15.6">
      <c r="B6770" s="154"/>
    </row>
    <row r="6771" spans="2:2" ht="15.6">
      <c r="B6771" s="154"/>
    </row>
    <row r="6772" spans="2:2" ht="15.6">
      <c r="B6772" s="154"/>
    </row>
    <row r="6773" spans="2:2" ht="15.6">
      <c r="B6773" s="154"/>
    </row>
    <row r="6774" spans="2:2" ht="15.6">
      <c r="B6774" s="154"/>
    </row>
    <row r="6775" spans="2:2" ht="15.6">
      <c r="B6775" s="154"/>
    </row>
    <row r="6776" spans="2:2" ht="15.6">
      <c r="B6776" s="154"/>
    </row>
    <row r="6777" spans="2:2" ht="15.6">
      <c r="B6777" s="154"/>
    </row>
    <row r="6778" spans="2:2" ht="15.6">
      <c r="B6778" s="154"/>
    </row>
    <row r="6779" spans="2:2" ht="15.6">
      <c r="B6779" s="154"/>
    </row>
    <row r="6780" spans="2:2" ht="15.6">
      <c r="B6780" s="154"/>
    </row>
    <row r="6781" spans="2:2" ht="15.6">
      <c r="B6781" s="154"/>
    </row>
    <row r="6782" spans="2:2" ht="15.6">
      <c r="B6782" s="154"/>
    </row>
    <row r="6783" spans="2:2" ht="15.6">
      <c r="B6783" s="154"/>
    </row>
    <row r="6784" spans="2:2" ht="15.6">
      <c r="B6784" s="154"/>
    </row>
    <row r="6785" spans="2:2" ht="15.6">
      <c r="B6785" s="154"/>
    </row>
    <row r="6786" spans="2:2" ht="15.6">
      <c r="B6786" s="154"/>
    </row>
    <row r="6787" spans="2:2" ht="15.6">
      <c r="B6787" s="154"/>
    </row>
    <row r="6788" spans="2:2" ht="15.6">
      <c r="B6788" s="154"/>
    </row>
    <row r="6789" spans="2:2" ht="15.6">
      <c r="B6789" s="154"/>
    </row>
    <row r="6790" spans="2:2" ht="15.6">
      <c r="B6790" s="154"/>
    </row>
    <row r="6791" spans="2:2" ht="15.6">
      <c r="B6791" s="154"/>
    </row>
    <row r="6792" spans="2:2" ht="15.6">
      <c r="B6792" s="154"/>
    </row>
    <row r="6793" spans="2:2" ht="15.6">
      <c r="B6793" s="154"/>
    </row>
    <row r="6794" spans="2:2" ht="15.6">
      <c r="B6794" s="154"/>
    </row>
    <row r="6795" spans="2:2" ht="15.6">
      <c r="B6795" s="154"/>
    </row>
    <row r="6796" spans="2:2" ht="15.6">
      <c r="B6796" s="154"/>
    </row>
    <row r="6797" spans="2:2" ht="15.6">
      <c r="B6797" s="154"/>
    </row>
    <row r="6798" spans="2:2" ht="15.6">
      <c r="B6798" s="154"/>
    </row>
    <row r="6799" spans="2:2" ht="15.6">
      <c r="B6799" s="154"/>
    </row>
    <row r="6800" spans="2:2" ht="15.6">
      <c r="B6800" s="154"/>
    </row>
    <row r="6801" spans="2:2" ht="15.6">
      <c r="B6801" s="154"/>
    </row>
    <row r="6802" spans="2:2" ht="15.6">
      <c r="B6802" s="154"/>
    </row>
    <row r="6803" spans="2:2" ht="15.6">
      <c r="B6803" s="154"/>
    </row>
    <row r="6804" spans="2:2" ht="15.6">
      <c r="B6804" s="154"/>
    </row>
    <row r="6805" spans="2:2" ht="15.6">
      <c r="B6805" s="154"/>
    </row>
    <row r="6806" spans="2:2" ht="15.6">
      <c r="B6806" s="154"/>
    </row>
    <row r="6807" spans="2:2" ht="15.6">
      <c r="B6807" s="154"/>
    </row>
    <row r="6808" spans="2:2" ht="15.6">
      <c r="B6808" s="154"/>
    </row>
    <row r="6809" spans="2:2" ht="15.6">
      <c r="B6809" s="154"/>
    </row>
    <row r="6810" spans="2:2" ht="15.6">
      <c r="B6810" s="154"/>
    </row>
    <row r="6811" spans="2:2" ht="15.6">
      <c r="B6811" s="154"/>
    </row>
    <row r="6812" spans="2:2" ht="15.6">
      <c r="B6812" s="154"/>
    </row>
    <row r="6813" spans="2:2" ht="15.6">
      <c r="B6813" s="154"/>
    </row>
    <row r="6814" spans="2:2" ht="15.6">
      <c r="B6814" s="154"/>
    </row>
    <row r="6815" spans="2:2" ht="15.6">
      <c r="B6815" s="154"/>
    </row>
    <row r="6816" spans="2:2" ht="15.6">
      <c r="B6816" s="154"/>
    </row>
    <row r="6817" spans="2:2" ht="15.6">
      <c r="B6817" s="154"/>
    </row>
    <row r="6818" spans="2:2" ht="15.6">
      <c r="B6818" s="154"/>
    </row>
    <row r="6819" spans="2:2" ht="15.6">
      <c r="B6819" s="154"/>
    </row>
    <row r="6820" spans="2:2" ht="15.6">
      <c r="B6820" s="154"/>
    </row>
    <row r="6821" spans="2:2" ht="15.6">
      <c r="B6821" s="154"/>
    </row>
    <row r="6822" spans="2:2" ht="15.6">
      <c r="B6822" s="154"/>
    </row>
    <row r="6823" spans="2:2" ht="15.6">
      <c r="B6823" s="154"/>
    </row>
    <row r="6824" spans="2:2" ht="15.6">
      <c r="B6824" s="154"/>
    </row>
    <row r="6825" spans="2:2" ht="15.6">
      <c r="B6825" s="154"/>
    </row>
    <row r="6826" spans="2:2" ht="15.6">
      <c r="B6826" s="154"/>
    </row>
    <row r="6827" spans="2:2" ht="15.6">
      <c r="B6827" s="154"/>
    </row>
    <row r="6828" spans="2:2" ht="15.6">
      <c r="B6828" s="154"/>
    </row>
    <row r="6829" spans="2:2" ht="15.6">
      <c r="B6829" s="154"/>
    </row>
    <row r="6830" spans="2:2" ht="15.6">
      <c r="B6830" s="154"/>
    </row>
    <row r="6831" spans="2:2" ht="15.6">
      <c r="B6831" s="154"/>
    </row>
    <row r="6832" spans="2:2" ht="15.6">
      <c r="B6832" s="154"/>
    </row>
    <row r="6833" spans="2:2" ht="15.6">
      <c r="B6833" s="154"/>
    </row>
    <row r="6834" spans="2:2" ht="15.6">
      <c r="B6834" s="154"/>
    </row>
    <row r="6835" spans="2:2" ht="15.6">
      <c r="B6835" s="154"/>
    </row>
    <row r="6836" spans="2:2" ht="15.6">
      <c r="B6836" s="154"/>
    </row>
    <row r="6837" spans="2:2" ht="15.6">
      <c r="B6837" s="154"/>
    </row>
    <row r="6838" spans="2:2" ht="15.6">
      <c r="B6838" s="154"/>
    </row>
    <row r="6839" spans="2:2" ht="15.6">
      <c r="B6839" s="154"/>
    </row>
    <row r="6840" spans="2:2" ht="15.6">
      <c r="B6840" s="154"/>
    </row>
    <row r="6841" spans="2:2" ht="15.6">
      <c r="B6841" s="154"/>
    </row>
    <row r="6842" spans="2:2" ht="15.6">
      <c r="B6842" s="154"/>
    </row>
    <row r="6843" spans="2:2" ht="15.6">
      <c r="B6843" s="154"/>
    </row>
    <row r="6844" spans="2:2" ht="15.6">
      <c r="B6844" s="154"/>
    </row>
    <row r="6845" spans="2:2" ht="15.6">
      <c r="B6845" s="154"/>
    </row>
    <row r="6846" spans="2:2" ht="15.6">
      <c r="B6846" s="154"/>
    </row>
    <row r="6847" spans="2:2" ht="15.6">
      <c r="B6847" s="154"/>
    </row>
    <row r="6848" spans="2:2" ht="15.6">
      <c r="B6848" s="154"/>
    </row>
    <row r="6849" spans="2:2" ht="15.6">
      <c r="B6849" s="154"/>
    </row>
    <row r="6850" spans="2:2" ht="15.6">
      <c r="B6850" s="154"/>
    </row>
    <row r="6851" spans="2:2" ht="15.6">
      <c r="B6851" s="154"/>
    </row>
    <row r="6852" spans="2:2" ht="15.6">
      <c r="B6852" s="154"/>
    </row>
    <row r="6853" spans="2:2" ht="15.6">
      <c r="B6853" s="154"/>
    </row>
    <row r="6854" spans="2:2" ht="15.6">
      <c r="B6854" s="154"/>
    </row>
    <row r="6855" spans="2:2" ht="15.6">
      <c r="B6855" s="154"/>
    </row>
    <row r="6856" spans="2:2" ht="15.6">
      <c r="B6856" s="154"/>
    </row>
    <row r="6857" spans="2:2" ht="15.6">
      <c r="B6857" s="154"/>
    </row>
    <row r="6858" spans="2:2" ht="15.6">
      <c r="B6858" s="154"/>
    </row>
    <row r="6859" spans="2:2" ht="15.6">
      <c r="B6859" s="154"/>
    </row>
    <row r="6860" spans="2:2" ht="15.6">
      <c r="B6860" s="154"/>
    </row>
    <row r="6861" spans="2:2" ht="15.6">
      <c r="B6861" s="154"/>
    </row>
    <row r="6862" spans="2:2" ht="15.6">
      <c r="B6862" s="154"/>
    </row>
    <row r="6863" spans="2:2" ht="15.6">
      <c r="B6863" s="154"/>
    </row>
    <row r="6864" spans="2:2" ht="15.6">
      <c r="B6864" s="154"/>
    </row>
    <row r="6865" spans="2:2" ht="15.6">
      <c r="B6865" s="154"/>
    </row>
    <row r="6866" spans="2:2" ht="15.6">
      <c r="B6866" s="154"/>
    </row>
    <row r="6867" spans="2:2" ht="15.6">
      <c r="B6867" s="154"/>
    </row>
    <row r="6868" spans="2:2" ht="15.6">
      <c r="B6868" s="154"/>
    </row>
    <row r="6869" spans="2:2" ht="15.6">
      <c r="B6869" s="154"/>
    </row>
    <row r="6870" spans="2:2" ht="15.6">
      <c r="B6870" s="154"/>
    </row>
    <row r="6871" spans="2:2" ht="15.6">
      <c r="B6871" s="154"/>
    </row>
    <row r="6872" spans="2:2" ht="15.6">
      <c r="B6872" s="154"/>
    </row>
    <row r="6873" spans="2:2" ht="15.6">
      <c r="B6873" s="154"/>
    </row>
    <row r="6874" spans="2:2" ht="15.6">
      <c r="B6874" s="154"/>
    </row>
    <row r="6875" spans="2:2" ht="15.6">
      <c r="B6875" s="154"/>
    </row>
    <row r="6876" spans="2:2" ht="15.6">
      <c r="B6876" s="154"/>
    </row>
    <row r="6877" spans="2:2" ht="15.6">
      <c r="B6877" s="154"/>
    </row>
    <row r="6878" spans="2:2" ht="15.6">
      <c r="B6878" s="154"/>
    </row>
    <row r="6879" spans="2:2" ht="15.6">
      <c r="B6879" s="154"/>
    </row>
    <row r="6880" spans="2:2" ht="15.6">
      <c r="B6880" s="154"/>
    </row>
    <row r="6881" spans="2:2" ht="15.6">
      <c r="B6881" s="154"/>
    </row>
    <row r="6882" spans="2:2" ht="15.6">
      <c r="B6882" s="154"/>
    </row>
    <row r="6883" spans="2:2" ht="15.6">
      <c r="B6883" s="154"/>
    </row>
    <row r="6884" spans="2:2" ht="15.6">
      <c r="B6884" s="154"/>
    </row>
    <row r="6885" spans="2:2" ht="15.6">
      <c r="B6885" s="154"/>
    </row>
    <row r="6886" spans="2:2" ht="15.6">
      <c r="B6886" s="154"/>
    </row>
    <row r="6887" spans="2:2" ht="15.6">
      <c r="B6887" s="154"/>
    </row>
    <row r="6888" spans="2:2" ht="15.6">
      <c r="B6888" s="154"/>
    </row>
    <row r="6889" spans="2:2" ht="15.6">
      <c r="B6889" s="154"/>
    </row>
    <row r="6890" spans="2:2" ht="15.6">
      <c r="B6890" s="154"/>
    </row>
    <row r="6891" spans="2:2" ht="15.6">
      <c r="B6891" s="154"/>
    </row>
    <row r="6892" spans="2:2" ht="15.6">
      <c r="B6892" s="154"/>
    </row>
    <row r="6893" spans="2:2" ht="15.6">
      <c r="B6893" s="154"/>
    </row>
    <row r="6894" spans="2:2" ht="15.6">
      <c r="B6894" s="154"/>
    </row>
    <row r="6895" spans="2:2" ht="15.6">
      <c r="B6895" s="154"/>
    </row>
    <row r="6896" spans="2:2" ht="15.6">
      <c r="B6896" s="154"/>
    </row>
    <row r="6897" spans="2:2" ht="15.6">
      <c r="B6897" s="154"/>
    </row>
    <row r="6898" spans="2:2" ht="15.6">
      <c r="B6898" s="154"/>
    </row>
    <row r="6899" spans="2:2" ht="15.6">
      <c r="B6899" s="154"/>
    </row>
    <row r="6900" spans="2:2" ht="15.6">
      <c r="B6900" s="154"/>
    </row>
    <row r="6901" spans="2:2" ht="15.6">
      <c r="B6901" s="154"/>
    </row>
    <row r="6902" spans="2:2" ht="15.6">
      <c r="B6902" s="154"/>
    </row>
    <row r="6903" spans="2:2" ht="15.6">
      <c r="B6903" s="154"/>
    </row>
    <row r="6904" spans="2:2" ht="15.6">
      <c r="B6904" s="154"/>
    </row>
    <row r="6905" spans="2:2" ht="15.6">
      <c r="B6905" s="154"/>
    </row>
    <row r="6906" spans="2:2" ht="15.6">
      <c r="B6906" s="154"/>
    </row>
    <row r="6907" spans="2:2" ht="15.6">
      <c r="B6907" s="154"/>
    </row>
    <row r="6908" spans="2:2" ht="15.6">
      <c r="B6908" s="154"/>
    </row>
    <row r="6909" spans="2:2" ht="15.6">
      <c r="B6909" s="154"/>
    </row>
    <row r="6910" spans="2:2" ht="15.6">
      <c r="B6910" s="154"/>
    </row>
    <row r="6911" spans="2:2" ht="15.6">
      <c r="B6911" s="154"/>
    </row>
    <row r="6912" spans="2:2" ht="15.6">
      <c r="B6912" s="154"/>
    </row>
    <row r="6913" spans="2:2" ht="15.6">
      <c r="B6913" s="154"/>
    </row>
    <row r="6914" spans="2:2" ht="15.6">
      <c r="B6914" s="154"/>
    </row>
    <row r="6915" spans="2:2" ht="15.6">
      <c r="B6915" s="154"/>
    </row>
    <row r="6916" spans="2:2" ht="15.6">
      <c r="B6916" s="154"/>
    </row>
    <row r="6917" spans="2:2" ht="15.6">
      <c r="B6917" s="154"/>
    </row>
    <row r="6918" spans="2:2" ht="15.6">
      <c r="B6918" s="154"/>
    </row>
    <row r="6919" spans="2:2" ht="15.6">
      <c r="B6919" s="154"/>
    </row>
    <row r="6920" spans="2:2" ht="15.6">
      <c r="B6920" s="154"/>
    </row>
    <row r="6921" spans="2:2" ht="15.6">
      <c r="B6921" s="154"/>
    </row>
    <row r="6922" spans="2:2" ht="15.6">
      <c r="B6922" s="154"/>
    </row>
    <row r="6923" spans="2:2" ht="15.6">
      <c r="B6923" s="154"/>
    </row>
    <row r="6924" spans="2:2" ht="15.6">
      <c r="B6924" s="154"/>
    </row>
    <row r="6925" spans="2:2" ht="15.6">
      <c r="B6925" s="154"/>
    </row>
    <row r="6926" spans="2:2" ht="15.6">
      <c r="B6926" s="154"/>
    </row>
    <row r="6927" spans="2:2" ht="15.6">
      <c r="B6927" s="154"/>
    </row>
    <row r="6928" spans="2:2" ht="15.6">
      <c r="B6928" s="154"/>
    </row>
    <row r="6929" spans="2:2" ht="15.6">
      <c r="B6929" s="154"/>
    </row>
    <row r="6930" spans="2:2" ht="15.6">
      <c r="B6930" s="154"/>
    </row>
    <row r="6931" spans="2:2" ht="15.6">
      <c r="B6931" s="154"/>
    </row>
    <row r="6932" spans="2:2" ht="15.6">
      <c r="B6932" s="154"/>
    </row>
    <row r="6933" spans="2:2" ht="15.6">
      <c r="B6933" s="154"/>
    </row>
    <row r="6934" spans="2:2" ht="15.6">
      <c r="B6934" s="154"/>
    </row>
    <row r="6935" spans="2:2" ht="15.6">
      <c r="B6935" s="154"/>
    </row>
    <row r="6936" spans="2:2" ht="15.6">
      <c r="B6936" s="154"/>
    </row>
    <row r="6937" spans="2:2" ht="15.6">
      <c r="B6937" s="154"/>
    </row>
    <row r="6938" spans="2:2" ht="15.6">
      <c r="B6938" s="154"/>
    </row>
    <row r="6939" spans="2:2" ht="15.6">
      <c r="B6939" s="154"/>
    </row>
    <row r="6940" spans="2:2" ht="15.6">
      <c r="B6940" s="154"/>
    </row>
    <row r="6941" spans="2:2" ht="15.6">
      <c r="B6941" s="154"/>
    </row>
    <row r="6942" spans="2:2" ht="15.6">
      <c r="B6942" s="154"/>
    </row>
    <row r="6943" spans="2:2" ht="15.6">
      <c r="B6943" s="154"/>
    </row>
    <row r="6944" spans="2:2" ht="15.6">
      <c r="B6944" s="154"/>
    </row>
    <row r="6945" spans="2:2" ht="15.6">
      <c r="B6945" s="154"/>
    </row>
    <row r="6946" spans="2:2" ht="15.6">
      <c r="B6946" s="154"/>
    </row>
    <row r="6947" spans="2:2" ht="15.6">
      <c r="B6947" s="154"/>
    </row>
    <row r="6948" spans="2:2" ht="15.6">
      <c r="B6948" s="154"/>
    </row>
    <row r="6949" spans="2:2" ht="15.6">
      <c r="B6949" s="154"/>
    </row>
    <row r="6950" spans="2:2" ht="15.6">
      <c r="B6950" s="154"/>
    </row>
    <row r="6951" spans="2:2" ht="15.6">
      <c r="B6951" s="154"/>
    </row>
    <row r="6952" spans="2:2" ht="15.6">
      <c r="B6952" s="154"/>
    </row>
    <row r="6953" spans="2:2" ht="15.6">
      <c r="B6953" s="154"/>
    </row>
    <row r="6954" spans="2:2" ht="15.6">
      <c r="B6954" s="154"/>
    </row>
    <row r="6955" spans="2:2" ht="15.6">
      <c r="B6955" s="154"/>
    </row>
    <row r="6956" spans="2:2" ht="15.6">
      <c r="B6956" s="154"/>
    </row>
    <row r="6957" spans="2:2" ht="15.6">
      <c r="B6957" s="154"/>
    </row>
    <row r="6958" spans="2:2" ht="15.6">
      <c r="B6958" s="154"/>
    </row>
    <row r="6959" spans="2:2" ht="15.6">
      <c r="B6959" s="154"/>
    </row>
    <row r="6960" spans="2:2" ht="15.6">
      <c r="B6960" s="154"/>
    </row>
    <row r="6961" spans="2:2" ht="15.6">
      <c r="B6961" s="154"/>
    </row>
    <row r="6962" spans="2:2" ht="15.6">
      <c r="B6962" s="154"/>
    </row>
    <row r="6963" spans="2:2" ht="15.6">
      <c r="B6963" s="154"/>
    </row>
    <row r="6964" spans="2:2" ht="15.6">
      <c r="B6964" s="154"/>
    </row>
    <row r="6965" spans="2:2" ht="15.6">
      <c r="B6965" s="154"/>
    </row>
    <row r="6966" spans="2:2" ht="15.6">
      <c r="B6966" s="154"/>
    </row>
    <row r="6967" spans="2:2" ht="15.6">
      <c r="B6967" s="154"/>
    </row>
    <row r="6968" spans="2:2" ht="15.6">
      <c r="B6968" s="154"/>
    </row>
    <row r="6969" spans="2:2" ht="15.6">
      <c r="B6969" s="154"/>
    </row>
    <row r="6970" spans="2:2" ht="15.6">
      <c r="B6970" s="154"/>
    </row>
    <row r="6971" spans="2:2" ht="15.6">
      <c r="B6971" s="154"/>
    </row>
    <row r="6972" spans="2:2" ht="15.6">
      <c r="B6972" s="154"/>
    </row>
    <row r="6973" spans="2:2" ht="15.6">
      <c r="B6973" s="154"/>
    </row>
    <row r="6974" spans="2:2" ht="15.6">
      <c r="B6974" s="154"/>
    </row>
    <row r="6975" spans="2:2" ht="15.6">
      <c r="B6975" s="154"/>
    </row>
    <row r="6976" spans="2:2" ht="15.6">
      <c r="B6976" s="154"/>
    </row>
    <row r="6977" spans="2:2" ht="15.6">
      <c r="B6977" s="154"/>
    </row>
    <row r="6978" spans="2:2" ht="15.6">
      <c r="B6978" s="154"/>
    </row>
    <row r="6979" spans="2:2" ht="15.6">
      <c r="B6979" s="154"/>
    </row>
    <row r="6980" spans="2:2" ht="15.6">
      <c r="B6980" s="154"/>
    </row>
    <row r="6981" spans="2:2" ht="15.6">
      <c r="B6981" s="154"/>
    </row>
    <row r="6982" spans="2:2" ht="15.6">
      <c r="B6982" s="154"/>
    </row>
    <row r="6983" spans="2:2" ht="15.6">
      <c r="B6983" s="154"/>
    </row>
    <row r="6984" spans="2:2" ht="15.6">
      <c r="B6984" s="154"/>
    </row>
    <row r="6985" spans="2:2" ht="15.6">
      <c r="B6985" s="154"/>
    </row>
    <row r="6986" spans="2:2" ht="15.6">
      <c r="B6986" s="154"/>
    </row>
    <row r="6987" spans="2:2" ht="15.6">
      <c r="B6987" s="154"/>
    </row>
    <row r="6988" spans="2:2" ht="15.6">
      <c r="B6988" s="154"/>
    </row>
    <row r="6989" spans="2:2" ht="15.6">
      <c r="B6989" s="154"/>
    </row>
    <row r="6990" spans="2:2" ht="15.6">
      <c r="B6990" s="154"/>
    </row>
    <row r="6991" spans="2:2" ht="15.6">
      <c r="B6991" s="154"/>
    </row>
    <row r="6992" spans="2:2" ht="15.6">
      <c r="B6992" s="154"/>
    </row>
    <row r="6993" spans="2:2" ht="15.6">
      <c r="B6993" s="154"/>
    </row>
    <row r="6994" spans="2:2" ht="15.6">
      <c r="B6994" s="154"/>
    </row>
    <row r="6995" spans="2:2" ht="15.6">
      <c r="B6995" s="154"/>
    </row>
    <row r="6996" spans="2:2" ht="15.6">
      <c r="B6996" s="154"/>
    </row>
    <row r="6997" spans="2:2" ht="15.6">
      <c r="B6997" s="154"/>
    </row>
    <row r="6998" spans="2:2" ht="15.6">
      <c r="B6998" s="154"/>
    </row>
    <row r="6999" spans="2:2" ht="15.6">
      <c r="B6999" s="154"/>
    </row>
    <row r="7000" spans="2:2" ht="15.6">
      <c r="B7000" s="154"/>
    </row>
    <row r="7001" spans="2:2" ht="15.6">
      <c r="B7001" s="154"/>
    </row>
    <row r="7002" spans="2:2" ht="15.6">
      <c r="B7002" s="154"/>
    </row>
    <row r="7003" spans="2:2" ht="15.6">
      <c r="B7003" s="154"/>
    </row>
    <row r="7004" spans="2:2" ht="15.6">
      <c r="B7004" s="154"/>
    </row>
    <row r="7005" spans="2:2" ht="15.6">
      <c r="B7005" s="154"/>
    </row>
    <row r="7006" spans="2:2" ht="15.6">
      <c r="B7006" s="154"/>
    </row>
    <row r="7007" spans="2:2" ht="15.6">
      <c r="B7007" s="154"/>
    </row>
    <row r="7008" spans="2:2" ht="15.6">
      <c r="B7008" s="154"/>
    </row>
    <row r="7009" spans="2:2" ht="15.6">
      <c r="B7009" s="154"/>
    </row>
    <row r="7010" spans="2:2" ht="15.6">
      <c r="B7010" s="154"/>
    </row>
    <row r="7011" spans="2:2" ht="15.6">
      <c r="B7011" s="154"/>
    </row>
    <row r="7012" spans="2:2" ht="15.6">
      <c r="B7012" s="154"/>
    </row>
    <row r="7013" spans="2:2" ht="15.6">
      <c r="B7013" s="154"/>
    </row>
    <row r="7014" spans="2:2" ht="15.6">
      <c r="B7014" s="154"/>
    </row>
    <row r="7015" spans="2:2" ht="15.6">
      <c r="B7015" s="154"/>
    </row>
    <row r="7016" spans="2:2" ht="15.6">
      <c r="B7016" s="154"/>
    </row>
    <row r="7017" spans="2:2" ht="15.6">
      <c r="B7017" s="154"/>
    </row>
    <row r="7018" spans="2:2" ht="15.6">
      <c r="B7018" s="154"/>
    </row>
    <row r="7019" spans="2:2" ht="15.6">
      <c r="B7019" s="154"/>
    </row>
    <row r="7020" spans="2:2" ht="15.6">
      <c r="B7020" s="154"/>
    </row>
    <row r="7021" spans="2:2" ht="15.6">
      <c r="B7021" s="154"/>
    </row>
    <row r="7022" spans="2:2" ht="15.6">
      <c r="B7022" s="154"/>
    </row>
    <row r="7023" spans="2:2" ht="15.6">
      <c r="B7023" s="154"/>
    </row>
    <row r="7024" spans="2:2" ht="15.6">
      <c r="B7024" s="154"/>
    </row>
    <row r="7025" spans="2:2" ht="15.6">
      <c r="B7025" s="154"/>
    </row>
    <row r="7026" spans="2:2" ht="15.6">
      <c r="B7026" s="154"/>
    </row>
    <row r="7027" spans="2:2" ht="15.6">
      <c r="B7027" s="154"/>
    </row>
    <row r="7028" spans="2:2" ht="15.6">
      <c r="B7028" s="154"/>
    </row>
    <row r="7029" spans="2:2" ht="15.6">
      <c r="B7029" s="154"/>
    </row>
    <row r="7030" spans="2:2" ht="15.6">
      <c r="B7030" s="154"/>
    </row>
    <row r="7031" spans="2:2" ht="15.6">
      <c r="B7031" s="154"/>
    </row>
    <row r="7032" spans="2:2" ht="15.6">
      <c r="B7032" s="154"/>
    </row>
    <row r="7033" spans="2:2" ht="15.6">
      <c r="B7033" s="154"/>
    </row>
    <row r="7034" spans="2:2" ht="15.6">
      <c r="B7034" s="154"/>
    </row>
    <row r="7035" spans="2:2" ht="15.6">
      <c r="B7035" s="154"/>
    </row>
    <row r="7036" spans="2:2" ht="15.6">
      <c r="B7036" s="154"/>
    </row>
    <row r="7037" spans="2:2" ht="15.6">
      <c r="B7037" s="154"/>
    </row>
    <row r="7038" spans="2:2" ht="15.6">
      <c r="B7038" s="154"/>
    </row>
    <row r="7039" spans="2:2" ht="15.6">
      <c r="B7039" s="154"/>
    </row>
    <row r="7040" spans="2:2" ht="15.6">
      <c r="B7040" s="154"/>
    </row>
    <row r="7041" spans="2:2" ht="15.6">
      <c r="B7041" s="154"/>
    </row>
    <row r="7042" spans="2:2" ht="15.6">
      <c r="B7042" s="154"/>
    </row>
    <row r="7043" spans="2:2" ht="15.6">
      <c r="B7043" s="154"/>
    </row>
    <row r="7044" spans="2:2" ht="15.6">
      <c r="B7044" s="154"/>
    </row>
    <row r="7045" spans="2:2" ht="15.6">
      <c r="B7045" s="154"/>
    </row>
    <row r="7046" spans="2:2" ht="15.6">
      <c r="B7046" s="154"/>
    </row>
    <row r="7047" spans="2:2" ht="15.6">
      <c r="B7047" s="154"/>
    </row>
    <row r="7048" spans="2:2" ht="15.6">
      <c r="B7048" s="154"/>
    </row>
    <row r="7049" spans="2:2" ht="15.6">
      <c r="B7049" s="154"/>
    </row>
    <row r="7050" spans="2:2" ht="15.6">
      <c r="B7050" s="154"/>
    </row>
    <row r="7051" spans="2:2" ht="15.6">
      <c r="B7051" s="154"/>
    </row>
    <row r="7052" spans="2:2" ht="15.6">
      <c r="B7052" s="154"/>
    </row>
    <row r="7053" spans="2:2" ht="15.6">
      <c r="B7053" s="154"/>
    </row>
    <row r="7054" spans="2:2" ht="15.6">
      <c r="B7054" s="154"/>
    </row>
    <row r="7055" spans="2:2" ht="15.6">
      <c r="B7055" s="154"/>
    </row>
    <row r="7056" spans="2:2" ht="15.6">
      <c r="B7056" s="154"/>
    </row>
    <row r="7057" spans="2:2" ht="15.6">
      <c r="B7057" s="154"/>
    </row>
    <row r="7058" spans="2:2" ht="15.6">
      <c r="B7058" s="154"/>
    </row>
    <row r="7059" spans="2:2" ht="15.6">
      <c r="B7059" s="154"/>
    </row>
    <row r="7060" spans="2:2" ht="15.6">
      <c r="B7060" s="154"/>
    </row>
    <row r="7061" spans="2:2" ht="15.6">
      <c r="B7061" s="154"/>
    </row>
    <row r="7062" spans="2:2" ht="15.6">
      <c r="B7062" s="154"/>
    </row>
    <row r="7063" spans="2:2" ht="15.6">
      <c r="B7063" s="154"/>
    </row>
    <row r="7064" spans="2:2" ht="15.6">
      <c r="B7064" s="154"/>
    </row>
    <row r="7065" spans="2:2" ht="15.6">
      <c r="B7065" s="154"/>
    </row>
    <row r="7066" spans="2:2" ht="15.6">
      <c r="B7066" s="154"/>
    </row>
    <row r="7067" spans="2:2" ht="15.6">
      <c r="B7067" s="154"/>
    </row>
    <row r="7068" spans="2:2" ht="15.6">
      <c r="B7068" s="154"/>
    </row>
    <row r="7069" spans="2:2" ht="15.6">
      <c r="B7069" s="154"/>
    </row>
    <row r="7070" spans="2:2" ht="15.6">
      <c r="B7070" s="154"/>
    </row>
    <row r="7071" spans="2:2" ht="15.6">
      <c r="B7071" s="154"/>
    </row>
    <row r="7072" spans="2:2" ht="15.6">
      <c r="B7072" s="154"/>
    </row>
    <row r="7073" spans="2:2" ht="15.6">
      <c r="B7073" s="154"/>
    </row>
    <row r="7074" spans="2:2" ht="15.6">
      <c r="B7074" s="154"/>
    </row>
    <row r="7075" spans="2:2" ht="15.6">
      <c r="B7075" s="154"/>
    </row>
    <row r="7076" spans="2:2" ht="15.6">
      <c r="B7076" s="154"/>
    </row>
    <row r="7077" spans="2:2" ht="15.6">
      <c r="B7077" s="154"/>
    </row>
    <row r="7078" spans="2:2" ht="15.6">
      <c r="B7078" s="154"/>
    </row>
    <row r="7079" spans="2:2" ht="15.6">
      <c r="B7079" s="154"/>
    </row>
    <row r="7080" spans="2:2" ht="15.6">
      <c r="B7080" s="154"/>
    </row>
    <row r="7081" spans="2:2" ht="15.6">
      <c r="B7081" s="154"/>
    </row>
    <row r="7082" spans="2:2" ht="15.6">
      <c r="B7082" s="154"/>
    </row>
    <row r="7083" spans="2:2" ht="15.6">
      <c r="B7083" s="154"/>
    </row>
    <row r="7084" spans="2:2" ht="15.6">
      <c r="B7084" s="154"/>
    </row>
    <row r="7085" spans="2:2" ht="15.6">
      <c r="B7085" s="154"/>
    </row>
    <row r="7086" spans="2:2" ht="15.6">
      <c r="B7086" s="154"/>
    </row>
    <row r="7087" spans="2:2" ht="15.6">
      <c r="B7087" s="154"/>
    </row>
    <row r="7088" spans="2:2" ht="15.6">
      <c r="B7088" s="154"/>
    </row>
    <row r="7089" spans="2:2" ht="15.6">
      <c r="B7089" s="154"/>
    </row>
    <row r="7090" spans="2:2" ht="15.6">
      <c r="B7090" s="154"/>
    </row>
    <row r="7091" spans="2:2" ht="15.6">
      <c r="B7091" s="154"/>
    </row>
    <row r="7092" spans="2:2" ht="15.6">
      <c r="B7092" s="154"/>
    </row>
    <row r="7093" spans="2:2" ht="15.6">
      <c r="B7093" s="154"/>
    </row>
    <row r="7094" spans="2:2" ht="15.6">
      <c r="B7094" s="154"/>
    </row>
    <row r="7095" spans="2:2" ht="15.6">
      <c r="B7095" s="154"/>
    </row>
    <row r="7096" spans="2:2" ht="15.6">
      <c r="B7096" s="154"/>
    </row>
    <row r="7097" spans="2:2" ht="15.6">
      <c r="B7097" s="154"/>
    </row>
    <row r="7098" spans="2:2" ht="15.6">
      <c r="B7098" s="154"/>
    </row>
    <row r="7099" spans="2:2" ht="15.6">
      <c r="B7099" s="154"/>
    </row>
    <row r="7100" spans="2:2" ht="15.6">
      <c r="B7100" s="154"/>
    </row>
    <row r="7101" spans="2:2" ht="15.6">
      <c r="B7101" s="154"/>
    </row>
    <row r="7102" spans="2:2" ht="15.6">
      <c r="B7102" s="154"/>
    </row>
    <row r="7103" spans="2:2" ht="15.6">
      <c r="B7103" s="154"/>
    </row>
    <row r="7104" spans="2:2" ht="15.6">
      <c r="B7104" s="154"/>
    </row>
    <row r="7105" spans="2:2" ht="15.6">
      <c r="B7105" s="154"/>
    </row>
    <row r="7106" spans="2:2" ht="15.6">
      <c r="B7106" s="154"/>
    </row>
    <row r="7107" spans="2:2" ht="15.6">
      <c r="B7107" s="154"/>
    </row>
    <row r="7108" spans="2:2" ht="15.6">
      <c r="B7108" s="154"/>
    </row>
    <row r="7109" spans="2:2" ht="15.6">
      <c r="B7109" s="154"/>
    </row>
    <row r="7110" spans="2:2" ht="15.6">
      <c r="B7110" s="154"/>
    </row>
    <row r="7111" spans="2:2" ht="15.6">
      <c r="B7111" s="154"/>
    </row>
    <row r="7112" spans="2:2" ht="15.6">
      <c r="B7112" s="154"/>
    </row>
    <row r="7113" spans="2:2" ht="15.6">
      <c r="B7113" s="154"/>
    </row>
    <row r="7114" spans="2:2" ht="15.6">
      <c r="B7114" s="154"/>
    </row>
    <row r="7115" spans="2:2" ht="15.6">
      <c r="B7115" s="154"/>
    </row>
    <row r="7116" spans="2:2" ht="15.6">
      <c r="B7116" s="154"/>
    </row>
    <row r="7117" spans="2:2" ht="15.6">
      <c r="B7117" s="154"/>
    </row>
    <row r="7118" spans="2:2" ht="15.6">
      <c r="B7118" s="154"/>
    </row>
    <row r="7119" spans="2:2" ht="15.6">
      <c r="B7119" s="154"/>
    </row>
    <row r="7120" spans="2:2" ht="15.6">
      <c r="B7120" s="154"/>
    </row>
    <row r="7121" spans="2:2" ht="15.6">
      <c r="B7121" s="154"/>
    </row>
    <row r="7122" spans="2:2" ht="15.6">
      <c r="B7122" s="154"/>
    </row>
    <row r="7123" spans="2:2" ht="15.6">
      <c r="B7123" s="154"/>
    </row>
    <row r="7124" spans="2:2" ht="15.6">
      <c r="B7124" s="154"/>
    </row>
    <row r="7125" spans="2:2" ht="15.6">
      <c r="B7125" s="154"/>
    </row>
    <row r="7126" spans="2:2" ht="15.6">
      <c r="B7126" s="154"/>
    </row>
    <row r="7127" spans="2:2" ht="15.6">
      <c r="B7127" s="154"/>
    </row>
    <row r="7128" spans="2:2" ht="15.6">
      <c r="B7128" s="154"/>
    </row>
    <row r="7129" spans="2:2" ht="15.6">
      <c r="B7129" s="154"/>
    </row>
    <row r="7130" spans="2:2" ht="15.6">
      <c r="B7130" s="154"/>
    </row>
    <row r="7131" spans="2:2" ht="15.6">
      <c r="B7131" s="154"/>
    </row>
    <row r="7132" spans="2:2" ht="15.6">
      <c r="B7132" s="154"/>
    </row>
    <row r="7133" spans="2:2" ht="15.6">
      <c r="B7133" s="154"/>
    </row>
    <row r="7134" spans="2:2" ht="15.6">
      <c r="B7134" s="154"/>
    </row>
    <row r="7135" spans="2:2" ht="15.6">
      <c r="B7135" s="154"/>
    </row>
    <row r="7136" spans="2:2" ht="15.6">
      <c r="B7136" s="154"/>
    </row>
    <row r="7137" spans="2:2" ht="15.6">
      <c r="B7137" s="154"/>
    </row>
    <row r="7138" spans="2:2" ht="15.6">
      <c r="B7138" s="154"/>
    </row>
    <row r="7139" spans="2:2" ht="15.6">
      <c r="B7139" s="154"/>
    </row>
    <row r="7140" spans="2:2" ht="15.6">
      <c r="B7140" s="154"/>
    </row>
    <row r="7141" spans="2:2" ht="15.6">
      <c r="B7141" s="154"/>
    </row>
    <row r="7142" spans="2:2" ht="15.6">
      <c r="B7142" s="154"/>
    </row>
    <row r="7143" spans="2:2" ht="15.6">
      <c r="B7143" s="154"/>
    </row>
    <row r="7144" spans="2:2" ht="15.6">
      <c r="B7144" s="154"/>
    </row>
    <row r="7145" spans="2:2" ht="15.6">
      <c r="B7145" s="154"/>
    </row>
    <row r="7146" spans="2:2" ht="15.6">
      <c r="B7146" s="154"/>
    </row>
    <row r="7147" spans="2:2" ht="15.6">
      <c r="B7147" s="154"/>
    </row>
    <row r="7148" spans="2:2" ht="15.6">
      <c r="B7148" s="154"/>
    </row>
    <row r="7149" spans="2:2" ht="15.6">
      <c r="B7149" s="154"/>
    </row>
    <row r="7150" spans="2:2" ht="15.6">
      <c r="B7150" s="154"/>
    </row>
    <row r="7151" spans="2:2" ht="15.6">
      <c r="B7151" s="154"/>
    </row>
    <row r="7152" spans="2:2" ht="15.6">
      <c r="B7152" s="154"/>
    </row>
    <row r="7153" spans="2:2" ht="15.6">
      <c r="B7153" s="154"/>
    </row>
    <row r="7154" spans="2:2" ht="15.6">
      <c r="B7154" s="154"/>
    </row>
    <row r="7155" spans="2:2" ht="15.6">
      <c r="B7155" s="154"/>
    </row>
    <row r="7156" spans="2:2" ht="15.6">
      <c r="B7156" s="154"/>
    </row>
    <row r="7157" spans="2:2" ht="15.6">
      <c r="B7157" s="154"/>
    </row>
    <row r="7158" spans="2:2" ht="15.6">
      <c r="B7158" s="154"/>
    </row>
    <row r="7159" spans="2:2" ht="15.6">
      <c r="B7159" s="154"/>
    </row>
    <row r="7160" spans="2:2" ht="15.6">
      <c r="B7160" s="154"/>
    </row>
    <row r="7161" spans="2:2" ht="15.6">
      <c r="B7161" s="154"/>
    </row>
    <row r="7162" spans="2:2" ht="15.6">
      <c r="B7162" s="154"/>
    </row>
    <row r="7163" spans="2:2" ht="15.6">
      <c r="B7163" s="154"/>
    </row>
    <row r="7164" spans="2:2" ht="15.6">
      <c r="B7164" s="154"/>
    </row>
    <row r="7165" spans="2:2" ht="15.6">
      <c r="B7165" s="154"/>
    </row>
    <row r="7166" spans="2:2" ht="15.6">
      <c r="B7166" s="154"/>
    </row>
    <row r="7167" spans="2:2" ht="15.6">
      <c r="B7167" s="154"/>
    </row>
    <row r="7168" spans="2:2" ht="15.6">
      <c r="B7168" s="154"/>
    </row>
    <row r="7169" spans="2:2" ht="15.6">
      <c r="B7169" s="154"/>
    </row>
    <row r="7170" spans="2:2" ht="15.6">
      <c r="B7170" s="154"/>
    </row>
    <row r="7171" spans="2:2" ht="15.6">
      <c r="B7171" s="154"/>
    </row>
    <row r="7172" spans="2:2" ht="15.6">
      <c r="B7172" s="154"/>
    </row>
    <row r="7173" spans="2:2" ht="15.6">
      <c r="B7173" s="154"/>
    </row>
    <row r="7174" spans="2:2" ht="15.6">
      <c r="B7174" s="154"/>
    </row>
    <row r="7175" spans="2:2" ht="15.6">
      <c r="B7175" s="154"/>
    </row>
    <row r="7176" spans="2:2" ht="15.6">
      <c r="B7176" s="154"/>
    </row>
    <row r="7177" spans="2:2" ht="15.6">
      <c r="B7177" s="154"/>
    </row>
    <row r="7178" spans="2:2" ht="15.6">
      <c r="B7178" s="154"/>
    </row>
    <row r="7179" spans="2:2" ht="15.6">
      <c r="B7179" s="154"/>
    </row>
    <row r="7180" spans="2:2" ht="15.6">
      <c r="B7180" s="154"/>
    </row>
    <row r="7181" spans="2:2" ht="15.6">
      <c r="B7181" s="154"/>
    </row>
    <row r="7182" spans="2:2" ht="15.6">
      <c r="B7182" s="154"/>
    </row>
    <row r="7183" spans="2:2" ht="15.6">
      <c r="B7183" s="154"/>
    </row>
    <row r="7184" spans="2:2" ht="15.6">
      <c r="B7184" s="154"/>
    </row>
    <row r="7185" spans="2:2" ht="15.6">
      <c r="B7185" s="154"/>
    </row>
    <row r="7186" spans="2:2" ht="15.6">
      <c r="B7186" s="154"/>
    </row>
    <row r="7187" spans="2:2" ht="15.6">
      <c r="B7187" s="154"/>
    </row>
    <row r="7188" spans="2:2" ht="15.6">
      <c r="B7188" s="154"/>
    </row>
    <row r="7189" spans="2:2" ht="15.6">
      <c r="B7189" s="154"/>
    </row>
    <row r="7190" spans="2:2" ht="15.6">
      <c r="B7190" s="154"/>
    </row>
    <row r="7191" spans="2:2" ht="15.6">
      <c r="B7191" s="154"/>
    </row>
    <row r="7192" spans="2:2" ht="15.6">
      <c r="B7192" s="154"/>
    </row>
    <row r="7193" spans="2:2" ht="15.6">
      <c r="B7193" s="154"/>
    </row>
    <row r="7194" spans="2:2" ht="15.6">
      <c r="B7194" s="154"/>
    </row>
    <row r="7195" spans="2:2" ht="15.6">
      <c r="B7195" s="154"/>
    </row>
    <row r="7196" spans="2:2" ht="15.6">
      <c r="B7196" s="154"/>
    </row>
    <row r="7197" spans="2:2" ht="15.6">
      <c r="B7197" s="154"/>
    </row>
    <row r="7198" spans="2:2" ht="15.6">
      <c r="B7198" s="154"/>
    </row>
    <row r="7199" spans="2:2" ht="15.6">
      <c r="B7199" s="154"/>
    </row>
    <row r="7200" spans="2:2" ht="15.6">
      <c r="B7200" s="154"/>
    </row>
    <row r="7201" spans="2:2" ht="15.6">
      <c r="B7201" s="154"/>
    </row>
    <row r="7202" spans="2:2" ht="15.6">
      <c r="B7202" s="154"/>
    </row>
    <row r="7203" spans="2:2" ht="15.6">
      <c r="B7203" s="154"/>
    </row>
    <row r="7204" spans="2:2" ht="15.6">
      <c r="B7204" s="154"/>
    </row>
    <row r="7205" spans="2:2" ht="15.6">
      <c r="B7205" s="154"/>
    </row>
    <row r="7206" spans="2:2" ht="15.6">
      <c r="B7206" s="154"/>
    </row>
    <row r="7207" spans="2:2" ht="15.6">
      <c r="B7207" s="154"/>
    </row>
    <row r="7208" spans="2:2" ht="15.6">
      <c r="B7208" s="154"/>
    </row>
    <row r="7209" spans="2:2" ht="15.6">
      <c r="B7209" s="154"/>
    </row>
    <row r="7210" spans="2:2" ht="15.6">
      <c r="B7210" s="154"/>
    </row>
    <row r="7211" spans="2:2" ht="15.6">
      <c r="B7211" s="154"/>
    </row>
    <row r="7212" spans="2:2" ht="15.6">
      <c r="B7212" s="154"/>
    </row>
    <row r="7213" spans="2:2" ht="15.6">
      <c r="B7213" s="154"/>
    </row>
    <row r="7214" spans="2:2" ht="15.6">
      <c r="B7214" s="154"/>
    </row>
    <row r="7215" spans="2:2" ht="15.6">
      <c r="B7215" s="154"/>
    </row>
    <row r="7216" spans="2:2" ht="15.6">
      <c r="B7216" s="154"/>
    </row>
    <row r="7217" spans="2:2" ht="15.6">
      <c r="B7217" s="154"/>
    </row>
    <row r="7218" spans="2:2" ht="15.6">
      <c r="B7218" s="154"/>
    </row>
    <row r="7219" spans="2:2" ht="15.6">
      <c r="B7219" s="154"/>
    </row>
    <row r="7220" spans="2:2" ht="15.6">
      <c r="B7220" s="154"/>
    </row>
    <row r="7221" spans="2:2" ht="15.6">
      <c r="B7221" s="154"/>
    </row>
    <row r="7222" spans="2:2" ht="15.6">
      <c r="B7222" s="154"/>
    </row>
    <row r="7223" spans="2:2" ht="15.6">
      <c r="B7223" s="154"/>
    </row>
    <row r="7224" spans="2:2" ht="15.6">
      <c r="B7224" s="154"/>
    </row>
    <row r="7225" spans="2:2" ht="15.6">
      <c r="B7225" s="154"/>
    </row>
    <row r="7226" spans="2:2" ht="15.6">
      <c r="B7226" s="154"/>
    </row>
    <row r="7227" spans="2:2" ht="15.6">
      <c r="B7227" s="154"/>
    </row>
    <row r="7228" spans="2:2" ht="15.6">
      <c r="B7228" s="154"/>
    </row>
    <row r="7229" spans="2:2" ht="15.6">
      <c r="B7229" s="154"/>
    </row>
    <row r="7230" spans="2:2" ht="15.6">
      <c r="B7230" s="154"/>
    </row>
    <row r="7231" spans="2:2" ht="15.6">
      <c r="B7231" s="154"/>
    </row>
    <row r="7232" spans="2:2" ht="15.6">
      <c r="B7232" s="154"/>
    </row>
    <row r="7233" spans="2:2" ht="15.6">
      <c r="B7233" s="154"/>
    </row>
    <row r="7234" spans="2:2" ht="15.6">
      <c r="B7234" s="154"/>
    </row>
    <row r="7235" spans="2:2" ht="15.6">
      <c r="B7235" s="154"/>
    </row>
    <row r="7236" spans="2:2" ht="15.6">
      <c r="B7236" s="154"/>
    </row>
    <row r="7237" spans="2:2" ht="15.6">
      <c r="B7237" s="154"/>
    </row>
    <row r="7238" spans="2:2" ht="15.6">
      <c r="B7238" s="154"/>
    </row>
    <row r="7239" spans="2:2" ht="15.6">
      <c r="B7239" s="154"/>
    </row>
    <row r="7240" spans="2:2" ht="15.6">
      <c r="B7240" s="154"/>
    </row>
    <row r="7241" spans="2:2" ht="15.6">
      <c r="B7241" s="154"/>
    </row>
    <row r="7242" spans="2:2" ht="15.6">
      <c r="B7242" s="154"/>
    </row>
    <row r="7243" spans="2:2" ht="15.6">
      <c r="B7243" s="154"/>
    </row>
    <row r="7244" spans="2:2" ht="15.6">
      <c r="B7244" s="154"/>
    </row>
    <row r="7245" spans="2:2" ht="15.6">
      <c r="B7245" s="154"/>
    </row>
    <row r="7246" spans="2:2" ht="15.6">
      <c r="B7246" s="154"/>
    </row>
    <row r="7247" spans="2:2" ht="15.6">
      <c r="B7247" s="154"/>
    </row>
    <row r="7248" spans="2:2" ht="15.6">
      <c r="B7248" s="154"/>
    </row>
    <row r="7249" spans="2:2" ht="15.6">
      <c r="B7249" s="154"/>
    </row>
    <row r="7250" spans="2:2" ht="15.6">
      <c r="B7250" s="154"/>
    </row>
    <row r="7251" spans="2:2" ht="15.6">
      <c r="B7251" s="154"/>
    </row>
    <row r="7252" spans="2:2" ht="15.6">
      <c r="B7252" s="154"/>
    </row>
    <row r="7253" spans="2:2" ht="15.6">
      <c r="B7253" s="154"/>
    </row>
    <row r="7254" spans="2:2" ht="15.6">
      <c r="B7254" s="154"/>
    </row>
    <row r="7255" spans="2:2" ht="15.6">
      <c r="B7255" s="154"/>
    </row>
    <row r="7256" spans="2:2" ht="15.6">
      <c r="B7256" s="154"/>
    </row>
    <row r="7257" spans="2:2" ht="15.6">
      <c r="B7257" s="154"/>
    </row>
    <row r="7258" spans="2:2" ht="15.6">
      <c r="B7258" s="154"/>
    </row>
    <row r="7259" spans="2:2" ht="15.6">
      <c r="B7259" s="154"/>
    </row>
    <row r="7260" spans="2:2" ht="15.6">
      <c r="B7260" s="154"/>
    </row>
    <row r="7261" spans="2:2" ht="15.6">
      <c r="B7261" s="154"/>
    </row>
    <row r="7262" spans="2:2" ht="15.6">
      <c r="B7262" s="154"/>
    </row>
    <row r="7263" spans="2:2" ht="15.6">
      <c r="B7263" s="154"/>
    </row>
    <row r="7264" spans="2:2" ht="15.6">
      <c r="B7264" s="154"/>
    </row>
    <row r="7265" spans="2:2" ht="15.6">
      <c r="B7265" s="154"/>
    </row>
    <row r="7266" spans="2:2" ht="15.6">
      <c r="B7266" s="154"/>
    </row>
    <row r="7267" spans="2:2" ht="15.6">
      <c r="B7267" s="154"/>
    </row>
    <row r="7268" spans="2:2" ht="15.6">
      <c r="B7268" s="154"/>
    </row>
    <row r="7269" spans="2:2" ht="15.6">
      <c r="B7269" s="154"/>
    </row>
    <row r="7270" spans="2:2" ht="15.6">
      <c r="B7270" s="154"/>
    </row>
    <row r="7271" spans="2:2" ht="15.6">
      <c r="B7271" s="154"/>
    </row>
    <row r="7272" spans="2:2" ht="15.6">
      <c r="B7272" s="154"/>
    </row>
    <row r="7273" spans="2:2" ht="15.6">
      <c r="B7273" s="154"/>
    </row>
    <row r="7274" spans="2:2" ht="15.6">
      <c r="B7274" s="154"/>
    </row>
    <row r="7275" spans="2:2" ht="15.6">
      <c r="B7275" s="154"/>
    </row>
    <row r="7276" spans="2:2" ht="15.6">
      <c r="B7276" s="154"/>
    </row>
    <row r="7277" spans="2:2" ht="15.6">
      <c r="B7277" s="154"/>
    </row>
    <row r="7278" spans="2:2" ht="15.6">
      <c r="B7278" s="154"/>
    </row>
    <row r="7279" spans="2:2" ht="15.6">
      <c r="B7279" s="154"/>
    </row>
    <row r="7280" spans="2:2" ht="15.6">
      <c r="B7280" s="154"/>
    </row>
    <row r="7281" spans="2:2" ht="15.6">
      <c r="B7281" s="154"/>
    </row>
    <row r="7282" spans="2:2" ht="15.6">
      <c r="B7282" s="154"/>
    </row>
    <row r="7283" spans="2:2" ht="15.6">
      <c r="B7283" s="154"/>
    </row>
    <row r="7284" spans="2:2" ht="15.6">
      <c r="B7284" s="154"/>
    </row>
    <row r="7285" spans="2:2" ht="15.6">
      <c r="B7285" s="154"/>
    </row>
    <row r="7286" spans="2:2" ht="15.6">
      <c r="B7286" s="154"/>
    </row>
    <row r="7287" spans="2:2" ht="15.6">
      <c r="B7287" s="154"/>
    </row>
    <row r="7288" spans="2:2" ht="15.6">
      <c r="B7288" s="154"/>
    </row>
    <row r="7289" spans="2:2" ht="15.6">
      <c r="B7289" s="154"/>
    </row>
    <row r="7290" spans="2:2" ht="15.6">
      <c r="B7290" s="154"/>
    </row>
    <row r="7291" spans="2:2" ht="15.6">
      <c r="B7291" s="154"/>
    </row>
    <row r="7292" spans="2:2" ht="15.6">
      <c r="B7292" s="154"/>
    </row>
    <row r="7293" spans="2:2" ht="15.6">
      <c r="B7293" s="154"/>
    </row>
    <row r="7294" spans="2:2" ht="15.6">
      <c r="B7294" s="154"/>
    </row>
    <row r="7295" spans="2:2" ht="15.6">
      <c r="B7295" s="154"/>
    </row>
    <row r="7296" spans="2:2" ht="15.6">
      <c r="B7296" s="154"/>
    </row>
    <row r="7297" spans="2:2" ht="15.6">
      <c r="B7297" s="154"/>
    </row>
    <row r="7298" spans="2:2" ht="15.6">
      <c r="B7298" s="154"/>
    </row>
    <row r="7299" spans="2:2" ht="15.6">
      <c r="B7299" s="154"/>
    </row>
    <row r="7300" spans="2:2" ht="15.6">
      <c r="B7300" s="154"/>
    </row>
    <row r="7301" spans="2:2" ht="15.6">
      <c r="B7301" s="154"/>
    </row>
    <row r="7302" spans="2:2" ht="15.6">
      <c r="B7302" s="154"/>
    </row>
    <row r="7303" spans="2:2" ht="15.6">
      <c r="B7303" s="154"/>
    </row>
    <row r="7304" spans="2:2" ht="15.6">
      <c r="B7304" s="154"/>
    </row>
    <row r="7305" spans="2:2" ht="15.6">
      <c r="B7305" s="154"/>
    </row>
    <row r="7306" spans="2:2" ht="15.6">
      <c r="B7306" s="154"/>
    </row>
    <row r="7307" spans="2:2" ht="15.6">
      <c r="B7307" s="154"/>
    </row>
    <row r="7308" spans="2:2" ht="15.6">
      <c r="B7308" s="154"/>
    </row>
    <row r="7309" spans="2:2" ht="15.6">
      <c r="B7309" s="154"/>
    </row>
    <row r="7310" spans="2:2" ht="15.6">
      <c r="B7310" s="154"/>
    </row>
    <row r="7311" spans="2:2" ht="15.6">
      <c r="B7311" s="154"/>
    </row>
    <row r="7312" spans="2:2" ht="15.6">
      <c r="B7312" s="154"/>
    </row>
    <row r="7313" spans="2:2" ht="15.6">
      <c r="B7313" s="154"/>
    </row>
    <row r="7314" spans="2:2" ht="15.6">
      <c r="B7314" s="154"/>
    </row>
    <row r="7315" spans="2:2" ht="15.6">
      <c r="B7315" s="154"/>
    </row>
    <row r="7316" spans="2:2" ht="15.6">
      <c r="B7316" s="154"/>
    </row>
    <row r="7317" spans="2:2" ht="15.6">
      <c r="B7317" s="154"/>
    </row>
    <row r="7318" spans="2:2" ht="15.6">
      <c r="B7318" s="154"/>
    </row>
    <row r="7319" spans="2:2" ht="15.6">
      <c r="B7319" s="154"/>
    </row>
    <row r="7320" spans="2:2" ht="15.6">
      <c r="B7320" s="154"/>
    </row>
    <row r="7321" spans="2:2" ht="15.6">
      <c r="B7321" s="154"/>
    </row>
    <row r="7322" spans="2:2" ht="15.6">
      <c r="B7322" s="154"/>
    </row>
    <row r="7323" spans="2:2" ht="15.6">
      <c r="B7323" s="154"/>
    </row>
    <row r="7324" spans="2:2" ht="15.6">
      <c r="B7324" s="154"/>
    </row>
    <row r="7325" spans="2:2" ht="15.6">
      <c r="B7325" s="154"/>
    </row>
    <row r="7326" spans="2:2" ht="15.6">
      <c r="B7326" s="154"/>
    </row>
    <row r="7327" spans="2:2" ht="15.6">
      <c r="B7327" s="154"/>
    </row>
    <row r="7328" spans="2:2" ht="15.6">
      <c r="B7328" s="154"/>
    </row>
    <row r="7329" spans="2:2" ht="15.6">
      <c r="B7329" s="154"/>
    </row>
    <row r="7330" spans="2:2" ht="15.6">
      <c r="B7330" s="154"/>
    </row>
    <row r="7331" spans="2:2" ht="15.6">
      <c r="B7331" s="154"/>
    </row>
    <row r="7332" spans="2:2" ht="15.6">
      <c r="B7332" s="154"/>
    </row>
    <row r="7333" spans="2:2" ht="15.6">
      <c r="B7333" s="154"/>
    </row>
    <row r="7334" spans="2:2" ht="15.6">
      <c r="B7334" s="154"/>
    </row>
    <row r="7335" spans="2:2" ht="15.6">
      <c r="B7335" s="154"/>
    </row>
    <row r="7336" spans="2:2" ht="15.6">
      <c r="B7336" s="154"/>
    </row>
    <row r="7337" spans="2:2" ht="15.6">
      <c r="B7337" s="154"/>
    </row>
    <row r="7338" spans="2:2" ht="15.6">
      <c r="B7338" s="154"/>
    </row>
    <row r="7339" spans="2:2" ht="15.6">
      <c r="B7339" s="154"/>
    </row>
    <row r="7340" spans="2:2" ht="15.6">
      <c r="B7340" s="154"/>
    </row>
    <row r="7341" spans="2:2" ht="15.6">
      <c r="B7341" s="154"/>
    </row>
    <row r="7342" spans="2:2" ht="15.6">
      <c r="B7342" s="154"/>
    </row>
    <row r="7343" spans="2:2" ht="15.6">
      <c r="B7343" s="154"/>
    </row>
    <row r="7344" spans="2:2" ht="15.6">
      <c r="B7344" s="154"/>
    </row>
    <row r="7345" spans="2:2" ht="15.6">
      <c r="B7345" s="154"/>
    </row>
    <row r="7346" spans="2:2" ht="15.6">
      <c r="B7346" s="154"/>
    </row>
    <row r="7347" spans="2:2" ht="15.6">
      <c r="B7347" s="154"/>
    </row>
    <row r="7348" spans="2:2" ht="15.6">
      <c r="B7348" s="154"/>
    </row>
    <row r="7349" spans="2:2" ht="15.6">
      <c r="B7349" s="154"/>
    </row>
    <row r="7350" spans="2:2" ht="15.6">
      <c r="B7350" s="154"/>
    </row>
    <row r="7351" spans="2:2" ht="15.6">
      <c r="B7351" s="154"/>
    </row>
    <row r="7352" spans="2:2" ht="15.6">
      <c r="B7352" s="154"/>
    </row>
    <row r="7353" spans="2:2" ht="15.6">
      <c r="B7353" s="154"/>
    </row>
    <row r="7354" spans="2:2" ht="15.6">
      <c r="B7354" s="154"/>
    </row>
    <row r="7355" spans="2:2" ht="15.6">
      <c r="B7355" s="154"/>
    </row>
    <row r="7356" spans="2:2" ht="15.6">
      <c r="B7356" s="154"/>
    </row>
    <row r="7357" spans="2:2" ht="15.6">
      <c r="B7357" s="154"/>
    </row>
    <row r="7358" spans="2:2" ht="15.6">
      <c r="B7358" s="154"/>
    </row>
    <row r="7359" spans="2:2" ht="15.6">
      <c r="B7359" s="154"/>
    </row>
    <row r="7360" spans="2:2" ht="15.6">
      <c r="B7360" s="154"/>
    </row>
    <row r="7361" spans="2:2" ht="15.6">
      <c r="B7361" s="154"/>
    </row>
    <row r="7362" spans="2:2" ht="15.6">
      <c r="B7362" s="154"/>
    </row>
    <row r="7363" spans="2:2" ht="15.6">
      <c r="B7363" s="154"/>
    </row>
    <row r="7364" spans="2:2" ht="15.6">
      <c r="B7364" s="154"/>
    </row>
    <row r="7365" spans="2:2" ht="15.6">
      <c r="B7365" s="154"/>
    </row>
    <row r="7366" spans="2:2" ht="15.6">
      <c r="B7366" s="154"/>
    </row>
    <row r="7367" spans="2:2" ht="15.6">
      <c r="B7367" s="154"/>
    </row>
    <row r="7368" spans="2:2" ht="15.6">
      <c r="B7368" s="154"/>
    </row>
    <row r="7369" spans="2:2" ht="15.6">
      <c r="B7369" s="154"/>
    </row>
    <row r="7370" spans="2:2" ht="15.6">
      <c r="B7370" s="154"/>
    </row>
    <row r="7371" spans="2:2" ht="15.6">
      <c r="B7371" s="154"/>
    </row>
    <row r="7372" spans="2:2" ht="15.6">
      <c r="B7372" s="154"/>
    </row>
    <row r="7373" spans="2:2" ht="15.6">
      <c r="B7373" s="154"/>
    </row>
    <row r="7374" spans="2:2" ht="15.6">
      <c r="B7374" s="154"/>
    </row>
    <row r="7375" spans="2:2" ht="15.6">
      <c r="B7375" s="154"/>
    </row>
    <row r="7376" spans="2:2" ht="15.6">
      <c r="B7376" s="154"/>
    </row>
    <row r="7377" spans="2:2" ht="15.6">
      <c r="B7377" s="154"/>
    </row>
    <row r="7378" spans="2:2" ht="15.6">
      <c r="B7378" s="154"/>
    </row>
    <row r="7379" spans="2:2" ht="15.6">
      <c r="B7379" s="154"/>
    </row>
    <row r="7380" spans="2:2" ht="15.6">
      <c r="B7380" s="154"/>
    </row>
    <row r="7381" spans="2:2" ht="15.6">
      <c r="B7381" s="154"/>
    </row>
    <row r="7382" spans="2:2" ht="15.6">
      <c r="B7382" s="154"/>
    </row>
    <row r="7383" spans="2:2" ht="15.6">
      <c r="B7383" s="154"/>
    </row>
    <row r="7384" spans="2:2" ht="15.6">
      <c r="B7384" s="154"/>
    </row>
    <row r="7385" spans="2:2" ht="15.6">
      <c r="B7385" s="154"/>
    </row>
    <row r="7386" spans="2:2" ht="15.6">
      <c r="B7386" s="154"/>
    </row>
    <row r="7387" spans="2:2" ht="15.6">
      <c r="B7387" s="154"/>
    </row>
    <row r="7388" spans="2:2" ht="15.6">
      <c r="B7388" s="154"/>
    </row>
    <row r="7389" spans="2:2" ht="15.6">
      <c r="B7389" s="154"/>
    </row>
    <row r="7390" spans="2:2" ht="15.6">
      <c r="B7390" s="154"/>
    </row>
    <row r="7391" spans="2:2" ht="15.6">
      <c r="B7391" s="154"/>
    </row>
    <row r="7392" spans="2:2" ht="15.6">
      <c r="B7392" s="154"/>
    </row>
    <row r="7393" spans="2:2" ht="15.6">
      <c r="B7393" s="154"/>
    </row>
    <row r="7394" spans="2:2" ht="15.6">
      <c r="B7394" s="154"/>
    </row>
    <row r="7395" spans="2:2" ht="15.6">
      <c r="B7395" s="154"/>
    </row>
    <row r="7396" spans="2:2" ht="15.6">
      <c r="B7396" s="154"/>
    </row>
    <row r="7397" spans="2:2" ht="15.6">
      <c r="B7397" s="154"/>
    </row>
    <row r="7398" spans="2:2" ht="15.6">
      <c r="B7398" s="154"/>
    </row>
    <row r="7399" spans="2:2" ht="15.6">
      <c r="B7399" s="154"/>
    </row>
    <row r="7400" spans="2:2" ht="15.6">
      <c r="B7400" s="154"/>
    </row>
    <row r="7401" spans="2:2" ht="15.6">
      <c r="B7401" s="154"/>
    </row>
    <row r="7402" spans="2:2" ht="15.6">
      <c r="B7402" s="154"/>
    </row>
    <row r="7403" spans="2:2" ht="15.6">
      <c r="B7403" s="154"/>
    </row>
    <row r="7404" spans="2:2" ht="15.6">
      <c r="B7404" s="154"/>
    </row>
    <row r="7405" spans="2:2" ht="15.6">
      <c r="B7405" s="154"/>
    </row>
    <row r="7406" spans="2:2" ht="15.6">
      <c r="B7406" s="154"/>
    </row>
    <row r="7407" spans="2:2" ht="15.6">
      <c r="B7407" s="154"/>
    </row>
    <row r="7408" spans="2:2" ht="15.6">
      <c r="B7408" s="154"/>
    </row>
    <row r="7409" spans="2:2" ht="15.6">
      <c r="B7409" s="154"/>
    </row>
    <row r="7410" spans="2:2" ht="15.6">
      <c r="B7410" s="154"/>
    </row>
    <row r="7411" spans="2:2" ht="15.6">
      <c r="B7411" s="154"/>
    </row>
    <row r="7412" spans="2:2" ht="15.6">
      <c r="B7412" s="154"/>
    </row>
    <row r="7413" spans="2:2" ht="15.6">
      <c r="B7413" s="154"/>
    </row>
    <row r="7414" spans="2:2" ht="15.6">
      <c r="B7414" s="154"/>
    </row>
    <row r="7415" spans="2:2" ht="15.6">
      <c r="B7415" s="154"/>
    </row>
    <row r="7416" spans="2:2" ht="15.6">
      <c r="B7416" s="154"/>
    </row>
    <row r="7417" spans="2:2" ht="15.6">
      <c r="B7417" s="154"/>
    </row>
    <row r="7418" spans="2:2" ht="15.6">
      <c r="B7418" s="154"/>
    </row>
    <row r="7419" spans="2:2" ht="15.6">
      <c r="B7419" s="154"/>
    </row>
    <row r="7420" spans="2:2" ht="15.6">
      <c r="B7420" s="154"/>
    </row>
    <row r="7421" spans="2:2" ht="15.6">
      <c r="B7421" s="154"/>
    </row>
    <row r="7422" spans="2:2" ht="15.6">
      <c r="B7422" s="154"/>
    </row>
    <row r="7423" spans="2:2" ht="15.6">
      <c r="B7423" s="154"/>
    </row>
    <row r="7424" spans="2:2" ht="15.6">
      <c r="B7424" s="154"/>
    </row>
    <row r="7425" spans="2:2" ht="15.6">
      <c r="B7425" s="154"/>
    </row>
    <row r="7426" spans="2:2" ht="15.6">
      <c r="B7426" s="154"/>
    </row>
    <row r="7427" spans="2:2" ht="15.6">
      <c r="B7427" s="154"/>
    </row>
    <row r="7428" spans="2:2" ht="15.6">
      <c r="B7428" s="154"/>
    </row>
    <row r="7429" spans="2:2" ht="15.6">
      <c r="B7429" s="154"/>
    </row>
    <row r="7430" spans="2:2" ht="15.6">
      <c r="B7430" s="154"/>
    </row>
    <row r="7431" spans="2:2" ht="15.6">
      <c r="B7431" s="154"/>
    </row>
    <row r="7432" spans="2:2" ht="15.6">
      <c r="B7432" s="154"/>
    </row>
    <row r="7433" spans="2:2" ht="15.6">
      <c r="B7433" s="154"/>
    </row>
    <row r="7434" spans="2:2" ht="15.6">
      <c r="B7434" s="154"/>
    </row>
    <row r="7435" spans="2:2" ht="15.6">
      <c r="B7435" s="154"/>
    </row>
    <row r="7436" spans="2:2" ht="15.6">
      <c r="B7436" s="154"/>
    </row>
    <row r="7437" spans="2:2" ht="15.6">
      <c r="B7437" s="154"/>
    </row>
    <row r="7438" spans="2:2" ht="15.6">
      <c r="B7438" s="154"/>
    </row>
    <row r="7439" spans="2:2" ht="15.6">
      <c r="B7439" s="154"/>
    </row>
    <row r="7440" spans="2:2" ht="15.6">
      <c r="B7440" s="154"/>
    </row>
    <row r="7441" spans="2:2" ht="15.6">
      <c r="B7441" s="154"/>
    </row>
    <row r="7442" spans="2:2" ht="15.6">
      <c r="B7442" s="154"/>
    </row>
    <row r="7443" spans="2:2" ht="15.6">
      <c r="B7443" s="154"/>
    </row>
    <row r="7444" spans="2:2" ht="15.6">
      <c r="B7444" s="154"/>
    </row>
    <row r="7445" spans="2:2" ht="15.6">
      <c r="B7445" s="154"/>
    </row>
    <row r="7446" spans="2:2" ht="15.6">
      <c r="B7446" s="154"/>
    </row>
    <row r="7447" spans="2:2" ht="15.6">
      <c r="B7447" s="154"/>
    </row>
    <row r="7448" spans="2:2" ht="15.6">
      <c r="B7448" s="154"/>
    </row>
    <row r="7449" spans="2:2" ht="15.6">
      <c r="B7449" s="154"/>
    </row>
    <row r="7450" spans="2:2" ht="15.6">
      <c r="B7450" s="154"/>
    </row>
    <row r="7451" spans="2:2" ht="15.6">
      <c r="B7451" s="154"/>
    </row>
    <row r="7452" spans="2:2" ht="15.6">
      <c r="B7452" s="154"/>
    </row>
    <row r="7453" spans="2:2" ht="15.6">
      <c r="B7453" s="154"/>
    </row>
    <row r="7454" spans="2:2" ht="15.6">
      <c r="B7454" s="154"/>
    </row>
    <row r="7455" spans="2:2" ht="15.6">
      <c r="B7455" s="154"/>
    </row>
    <row r="7456" spans="2:2" ht="15.6">
      <c r="B7456" s="154"/>
    </row>
    <row r="7457" spans="2:2" ht="15.6">
      <c r="B7457" s="154"/>
    </row>
    <row r="7458" spans="2:2" ht="15.6">
      <c r="B7458" s="154"/>
    </row>
    <row r="7459" spans="2:2" ht="15.6">
      <c r="B7459" s="154"/>
    </row>
    <row r="7460" spans="2:2" ht="15.6">
      <c r="B7460" s="154"/>
    </row>
    <row r="7461" spans="2:2" ht="15.6">
      <c r="B7461" s="154"/>
    </row>
    <row r="7462" spans="2:2" ht="15.6">
      <c r="B7462" s="154"/>
    </row>
    <row r="7463" spans="2:2" ht="15.6">
      <c r="B7463" s="154"/>
    </row>
    <row r="7464" spans="2:2" ht="15.6">
      <c r="B7464" s="154"/>
    </row>
    <row r="7465" spans="2:2" ht="15.6">
      <c r="B7465" s="154"/>
    </row>
    <row r="7466" spans="2:2" ht="15.6">
      <c r="B7466" s="154"/>
    </row>
    <row r="7467" spans="2:2" ht="15.6">
      <c r="B7467" s="154"/>
    </row>
    <row r="7468" spans="2:2" ht="15.6">
      <c r="B7468" s="154"/>
    </row>
    <row r="7469" spans="2:2" ht="15.6">
      <c r="B7469" s="154"/>
    </row>
    <row r="7470" spans="2:2" ht="15.6">
      <c r="B7470" s="154"/>
    </row>
    <row r="7471" spans="2:2" ht="15.6">
      <c r="B7471" s="154"/>
    </row>
    <row r="7472" spans="2:2" ht="15.6">
      <c r="B7472" s="154"/>
    </row>
    <row r="7473" spans="2:2" ht="15.6">
      <c r="B7473" s="154"/>
    </row>
    <row r="7474" spans="2:2" ht="15.6">
      <c r="B7474" s="154"/>
    </row>
    <row r="7475" spans="2:2" ht="15.6">
      <c r="B7475" s="154"/>
    </row>
    <row r="7476" spans="2:2" ht="15.6">
      <c r="B7476" s="154"/>
    </row>
    <row r="7477" spans="2:2" ht="15.6">
      <c r="B7477" s="154"/>
    </row>
    <row r="7478" spans="2:2" ht="15.6">
      <c r="B7478" s="154"/>
    </row>
    <row r="7479" spans="2:2" ht="15.6">
      <c r="B7479" s="154"/>
    </row>
    <row r="7480" spans="2:2" ht="15.6">
      <c r="B7480" s="154"/>
    </row>
    <row r="7481" spans="2:2" ht="15.6">
      <c r="B7481" s="154"/>
    </row>
    <row r="7482" spans="2:2" ht="15.6">
      <c r="B7482" s="154"/>
    </row>
    <row r="7483" spans="2:2" ht="15.6">
      <c r="B7483" s="154"/>
    </row>
    <row r="7484" spans="2:2" ht="15.6">
      <c r="B7484" s="154"/>
    </row>
    <row r="7485" spans="2:2" ht="15.6">
      <c r="B7485" s="154"/>
    </row>
    <row r="7486" spans="2:2" ht="15.6">
      <c r="B7486" s="154"/>
    </row>
    <row r="7487" spans="2:2" ht="15.6">
      <c r="B7487" s="154"/>
    </row>
    <row r="7488" spans="2:2" ht="15.6">
      <c r="B7488" s="154"/>
    </row>
    <row r="7489" spans="2:2" ht="15.6">
      <c r="B7489" s="154"/>
    </row>
    <row r="7490" spans="2:2" ht="15.6">
      <c r="B7490" s="154"/>
    </row>
    <row r="7491" spans="2:2" ht="15.6">
      <c r="B7491" s="154"/>
    </row>
    <row r="7492" spans="2:2" ht="15.6">
      <c r="B7492" s="154"/>
    </row>
    <row r="7493" spans="2:2" ht="15.6">
      <c r="B7493" s="154"/>
    </row>
    <row r="7494" spans="2:2" ht="15.6">
      <c r="B7494" s="154"/>
    </row>
    <row r="7495" spans="2:2" ht="15.6">
      <c r="B7495" s="154"/>
    </row>
    <row r="7496" spans="2:2" ht="15.6">
      <c r="B7496" s="154"/>
    </row>
    <row r="7497" spans="2:2" ht="15.6">
      <c r="B7497" s="154"/>
    </row>
    <row r="7498" spans="2:2" ht="15.6">
      <c r="B7498" s="154"/>
    </row>
    <row r="7499" spans="2:2" ht="15.6">
      <c r="B7499" s="154"/>
    </row>
    <row r="7500" spans="2:2" ht="15.6">
      <c r="B7500" s="154"/>
    </row>
    <row r="7501" spans="2:2" ht="15.6">
      <c r="B7501" s="154"/>
    </row>
    <row r="7502" spans="2:2" ht="15.6">
      <c r="B7502" s="154"/>
    </row>
    <row r="7503" spans="2:2" ht="15.6">
      <c r="B7503" s="154"/>
    </row>
    <row r="7504" spans="2:2" ht="15.6">
      <c r="B7504" s="154"/>
    </row>
    <row r="7505" spans="2:2" ht="15.6">
      <c r="B7505" s="154"/>
    </row>
    <row r="7506" spans="2:2" ht="15.6">
      <c r="B7506" s="154"/>
    </row>
    <row r="7507" spans="2:2" ht="15.6">
      <c r="B7507" s="154"/>
    </row>
    <row r="7508" spans="2:2" ht="15.6">
      <c r="B7508" s="154"/>
    </row>
    <row r="7509" spans="2:2" ht="15.6">
      <c r="B7509" s="154"/>
    </row>
    <row r="7510" spans="2:2" ht="15.6">
      <c r="B7510" s="154"/>
    </row>
    <row r="7511" spans="2:2" ht="15.6">
      <c r="B7511" s="154"/>
    </row>
    <row r="7512" spans="2:2" ht="15.6">
      <c r="B7512" s="154"/>
    </row>
    <row r="7513" spans="2:2" ht="15.6">
      <c r="B7513" s="154"/>
    </row>
    <row r="7514" spans="2:2" ht="15.6">
      <c r="B7514" s="154"/>
    </row>
    <row r="7515" spans="2:2" ht="15.6">
      <c r="B7515" s="154"/>
    </row>
    <row r="7516" spans="2:2" ht="15.6">
      <c r="B7516" s="154"/>
    </row>
    <row r="7517" spans="2:2" ht="15.6">
      <c r="B7517" s="154"/>
    </row>
    <row r="7518" spans="2:2" ht="15.6">
      <c r="B7518" s="154"/>
    </row>
    <row r="7519" spans="2:2" ht="15.6">
      <c r="B7519" s="154"/>
    </row>
    <row r="7520" spans="2:2" ht="15.6">
      <c r="B7520" s="154"/>
    </row>
    <row r="7521" spans="2:2" ht="15.6">
      <c r="B7521" s="154"/>
    </row>
    <row r="7522" spans="2:2" ht="15.6">
      <c r="B7522" s="154"/>
    </row>
    <row r="7523" spans="2:2" ht="15.6">
      <c r="B7523" s="154"/>
    </row>
    <row r="7524" spans="2:2" ht="15.6">
      <c r="B7524" s="154"/>
    </row>
    <row r="7525" spans="2:2" ht="15.6">
      <c r="B7525" s="154"/>
    </row>
    <row r="7526" spans="2:2" ht="15.6">
      <c r="B7526" s="154"/>
    </row>
    <row r="7527" spans="2:2" ht="15.6">
      <c r="B7527" s="154"/>
    </row>
    <row r="7528" spans="2:2" ht="15.6">
      <c r="B7528" s="154"/>
    </row>
    <row r="7529" spans="2:2" ht="15.6">
      <c r="B7529" s="154"/>
    </row>
    <row r="7530" spans="2:2" ht="15.6">
      <c r="B7530" s="154"/>
    </row>
    <row r="7531" spans="2:2" ht="15.6">
      <c r="B7531" s="154"/>
    </row>
    <row r="7532" spans="2:2" ht="15.6">
      <c r="B7532" s="154"/>
    </row>
    <row r="7533" spans="2:2" ht="15.6">
      <c r="B7533" s="154"/>
    </row>
    <row r="7534" spans="2:2" ht="15.6">
      <c r="B7534" s="154"/>
    </row>
    <row r="7535" spans="2:2" ht="15.6">
      <c r="B7535" s="154"/>
    </row>
    <row r="7536" spans="2:2" ht="15.6">
      <c r="B7536" s="154"/>
    </row>
    <row r="7537" spans="2:2" ht="15.6">
      <c r="B7537" s="154"/>
    </row>
    <row r="7538" spans="2:2" ht="15.6">
      <c r="B7538" s="154"/>
    </row>
    <row r="7539" spans="2:2" ht="15.6">
      <c r="B7539" s="154"/>
    </row>
    <row r="7540" spans="2:2" ht="15.6">
      <c r="B7540" s="154"/>
    </row>
    <row r="7541" spans="2:2" ht="15.6">
      <c r="B7541" s="154"/>
    </row>
    <row r="7542" spans="2:2" ht="15.6">
      <c r="B7542" s="154"/>
    </row>
    <row r="7543" spans="2:2" ht="15.6">
      <c r="B7543" s="154"/>
    </row>
    <row r="7544" spans="2:2" ht="15.6">
      <c r="B7544" s="154"/>
    </row>
    <row r="7545" spans="2:2" ht="15.6">
      <c r="B7545" s="154"/>
    </row>
    <row r="7546" spans="2:2" ht="15.6">
      <c r="B7546" s="154"/>
    </row>
    <row r="7547" spans="2:2" ht="15.6">
      <c r="B7547" s="154"/>
    </row>
    <row r="7548" spans="2:2" ht="15.6">
      <c r="B7548" s="154"/>
    </row>
    <row r="7549" spans="2:2" ht="15.6">
      <c r="B7549" s="154"/>
    </row>
    <row r="7550" spans="2:2" ht="15.6">
      <c r="B7550" s="154"/>
    </row>
    <row r="7551" spans="2:2" ht="15.6">
      <c r="B7551" s="154"/>
    </row>
    <row r="7552" spans="2:2" ht="15.6">
      <c r="B7552" s="154"/>
    </row>
    <row r="7553" spans="2:2" ht="15.6">
      <c r="B7553" s="154"/>
    </row>
    <row r="7554" spans="2:2" ht="15.6">
      <c r="B7554" s="154"/>
    </row>
    <row r="7555" spans="2:2" ht="15.6">
      <c r="B7555" s="154"/>
    </row>
    <row r="7556" spans="2:2" ht="15.6">
      <c r="B7556" s="154"/>
    </row>
    <row r="7557" spans="2:2" ht="15.6">
      <c r="B7557" s="154"/>
    </row>
    <row r="7558" spans="2:2" ht="15.6">
      <c r="B7558" s="154"/>
    </row>
    <row r="7559" spans="2:2" ht="15.6">
      <c r="B7559" s="154"/>
    </row>
    <row r="7560" spans="2:2" ht="15.6">
      <c r="B7560" s="154"/>
    </row>
    <row r="7561" spans="2:2" ht="15.6">
      <c r="B7561" s="154"/>
    </row>
    <row r="7562" spans="2:2" ht="15.6">
      <c r="B7562" s="154"/>
    </row>
    <row r="7563" spans="2:2" ht="15.6">
      <c r="B7563" s="154"/>
    </row>
    <row r="7564" spans="2:2" ht="15.6">
      <c r="B7564" s="154"/>
    </row>
    <row r="7565" spans="2:2" ht="15.6">
      <c r="B7565" s="154"/>
    </row>
    <row r="7566" spans="2:2" ht="15.6">
      <c r="B7566" s="154"/>
    </row>
    <row r="7567" spans="2:2" ht="15.6">
      <c r="B7567" s="154"/>
    </row>
    <row r="7568" spans="2:2" ht="15.6">
      <c r="B7568" s="154"/>
    </row>
    <row r="7569" spans="2:2" ht="15.6">
      <c r="B7569" s="154"/>
    </row>
    <row r="7570" spans="2:2" ht="15.6">
      <c r="B7570" s="154"/>
    </row>
    <row r="7571" spans="2:2" ht="15.6">
      <c r="B7571" s="154"/>
    </row>
    <row r="7572" spans="2:2" ht="15.6">
      <c r="B7572" s="154"/>
    </row>
    <row r="7573" spans="2:2" ht="15.6">
      <c r="B7573" s="154"/>
    </row>
    <row r="7574" spans="2:2" ht="15.6">
      <c r="B7574" s="154"/>
    </row>
    <row r="7575" spans="2:2" ht="15.6">
      <c r="B7575" s="154"/>
    </row>
    <row r="7576" spans="2:2" ht="15.6">
      <c r="B7576" s="154"/>
    </row>
    <row r="7577" spans="2:2" ht="15.6">
      <c r="B7577" s="154"/>
    </row>
    <row r="7578" spans="2:2" ht="15.6">
      <c r="B7578" s="154"/>
    </row>
    <row r="7579" spans="2:2" ht="15.6">
      <c r="B7579" s="154"/>
    </row>
    <row r="7580" spans="2:2" ht="15.6">
      <c r="B7580" s="154"/>
    </row>
    <row r="7581" spans="2:2" ht="15.6">
      <c r="B7581" s="154"/>
    </row>
    <row r="7582" spans="2:2" ht="15.6">
      <c r="B7582" s="154"/>
    </row>
    <row r="7583" spans="2:2" ht="15.6">
      <c r="B7583" s="154"/>
    </row>
    <row r="7584" spans="2:2" ht="15.6">
      <c r="B7584" s="154"/>
    </row>
    <row r="7585" spans="2:2" ht="15.6">
      <c r="B7585" s="154"/>
    </row>
    <row r="7586" spans="2:2" ht="15.6">
      <c r="B7586" s="154"/>
    </row>
    <row r="7587" spans="2:2" ht="15.6">
      <c r="B7587" s="154"/>
    </row>
    <row r="7588" spans="2:2" ht="15.6">
      <c r="B7588" s="154"/>
    </row>
    <row r="7589" spans="2:2" ht="15.6">
      <c r="B7589" s="154"/>
    </row>
    <row r="7590" spans="2:2" ht="15.6">
      <c r="B7590" s="154"/>
    </row>
    <row r="7591" spans="2:2" ht="15.6">
      <c r="B7591" s="154"/>
    </row>
    <row r="7592" spans="2:2" ht="15.6">
      <c r="B7592" s="154"/>
    </row>
    <row r="7593" spans="2:2" ht="15.6">
      <c r="B7593" s="154"/>
    </row>
    <row r="7594" spans="2:2" ht="15.6">
      <c r="B7594" s="154"/>
    </row>
    <row r="7595" spans="2:2" ht="15.6">
      <c r="B7595" s="154"/>
    </row>
    <row r="7596" spans="2:2" ht="15.6">
      <c r="B7596" s="154"/>
    </row>
    <row r="7597" spans="2:2" ht="15.6">
      <c r="B7597" s="154"/>
    </row>
    <row r="7598" spans="2:2" ht="15.6">
      <c r="B7598" s="154"/>
    </row>
    <row r="7599" spans="2:2" ht="15.6">
      <c r="B7599" s="154"/>
    </row>
    <row r="7600" spans="2:2" ht="15.6">
      <c r="B7600" s="154"/>
    </row>
    <row r="7601" spans="2:2" ht="15.6">
      <c r="B7601" s="154"/>
    </row>
    <row r="7602" spans="2:2" ht="15.6">
      <c r="B7602" s="154"/>
    </row>
    <row r="7603" spans="2:2" ht="15.6">
      <c r="B7603" s="154"/>
    </row>
    <row r="7604" spans="2:2" ht="15.6">
      <c r="B7604" s="154"/>
    </row>
    <row r="7605" spans="2:2" ht="15.6">
      <c r="B7605" s="154"/>
    </row>
    <row r="7606" spans="2:2" ht="15.6">
      <c r="B7606" s="154"/>
    </row>
    <row r="7607" spans="2:2" ht="15.6">
      <c r="B7607" s="154"/>
    </row>
    <row r="7608" spans="2:2" ht="15.6">
      <c r="B7608" s="154"/>
    </row>
    <row r="7609" spans="2:2" ht="15.6">
      <c r="B7609" s="154"/>
    </row>
    <row r="7610" spans="2:2" ht="15.6">
      <c r="B7610" s="154"/>
    </row>
    <row r="7611" spans="2:2" ht="15.6">
      <c r="B7611" s="154"/>
    </row>
    <row r="7612" spans="2:2" ht="15.6">
      <c r="B7612" s="154"/>
    </row>
    <row r="7613" spans="2:2" ht="15.6">
      <c r="B7613" s="154"/>
    </row>
    <row r="7614" spans="2:2" ht="15.6">
      <c r="B7614" s="154"/>
    </row>
    <row r="7615" spans="2:2" ht="15.6">
      <c r="B7615" s="154"/>
    </row>
    <row r="7616" spans="2:2" ht="15.6">
      <c r="B7616" s="154"/>
    </row>
    <row r="7617" spans="2:2" ht="15.6">
      <c r="B7617" s="154"/>
    </row>
    <row r="7618" spans="2:2" ht="15.6">
      <c r="B7618" s="154"/>
    </row>
    <row r="7619" spans="2:2" ht="15.6">
      <c r="B7619" s="154"/>
    </row>
    <row r="7620" spans="2:2" ht="15.6">
      <c r="B7620" s="154"/>
    </row>
    <row r="7621" spans="2:2" ht="15.6">
      <c r="B7621" s="154"/>
    </row>
    <row r="7622" spans="2:2" ht="15.6">
      <c r="B7622" s="154"/>
    </row>
    <row r="7623" spans="2:2" ht="15.6">
      <c r="B7623" s="154"/>
    </row>
    <row r="7624" spans="2:2" ht="15.6">
      <c r="B7624" s="154"/>
    </row>
    <row r="7625" spans="2:2" ht="15.6">
      <c r="B7625" s="154"/>
    </row>
    <row r="7626" spans="2:2" ht="15.6">
      <c r="B7626" s="154"/>
    </row>
    <row r="7627" spans="2:2" ht="15.6">
      <c r="B7627" s="154"/>
    </row>
    <row r="7628" spans="2:2" ht="15.6">
      <c r="B7628" s="154"/>
    </row>
    <row r="7629" spans="2:2" ht="15.6">
      <c r="B7629" s="154"/>
    </row>
    <row r="7630" spans="2:2" ht="15.6">
      <c r="B7630" s="154"/>
    </row>
    <row r="7631" spans="2:2" ht="15.6">
      <c r="B7631" s="154"/>
    </row>
    <row r="7632" spans="2:2" ht="15.6">
      <c r="B7632" s="154"/>
    </row>
    <row r="7633" spans="2:2" ht="15.6">
      <c r="B7633" s="154"/>
    </row>
    <row r="7634" spans="2:2" ht="15.6">
      <c r="B7634" s="154"/>
    </row>
    <row r="7635" spans="2:2" ht="15.6">
      <c r="B7635" s="154"/>
    </row>
    <row r="7636" spans="2:2" ht="15.6">
      <c r="B7636" s="154"/>
    </row>
    <row r="7637" spans="2:2" ht="15.6">
      <c r="B7637" s="154"/>
    </row>
    <row r="7638" spans="2:2" ht="15.6">
      <c r="B7638" s="154"/>
    </row>
    <row r="7639" spans="2:2" ht="15.6">
      <c r="B7639" s="154"/>
    </row>
    <row r="7640" spans="2:2" ht="15.6">
      <c r="B7640" s="154"/>
    </row>
    <row r="7641" spans="2:2" ht="15.6">
      <c r="B7641" s="154"/>
    </row>
    <row r="7642" spans="2:2" ht="15.6">
      <c r="B7642" s="154"/>
    </row>
    <row r="7643" spans="2:2" ht="15.6">
      <c r="B7643" s="154"/>
    </row>
    <row r="7644" spans="2:2" ht="15.6">
      <c r="B7644" s="154"/>
    </row>
    <row r="7645" spans="2:2" ht="15.6">
      <c r="B7645" s="154"/>
    </row>
    <row r="7646" spans="2:2" ht="15.6">
      <c r="B7646" s="154"/>
    </row>
    <row r="7647" spans="2:2" ht="15.6">
      <c r="B7647" s="154"/>
    </row>
    <row r="7648" spans="2:2" ht="15.6">
      <c r="B7648" s="154"/>
    </row>
    <row r="7649" spans="2:2" ht="15.6">
      <c r="B7649" s="154"/>
    </row>
    <row r="7650" spans="2:2" ht="15.6">
      <c r="B7650" s="154"/>
    </row>
    <row r="7651" spans="2:2" ht="15.6">
      <c r="B7651" s="154"/>
    </row>
    <row r="7652" spans="2:2" ht="15.6">
      <c r="B7652" s="154"/>
    </row>
    <row r="7653" spans="2:2" ht="15.6">
      <c r="B7653" s="154"/>
    </row>
    <row r="7654" spans="2:2" ht="15.6">
      <c r="B7654" s="154"/>
    </row>
    <row r="7655" spans="2:2" ht="15.6">
      <c r="B7655" s="154"/>
    </row>
    <row r="7656" spans="2:2" ht="15.6">
      <c r="B7656" s="154"/>
    </row>
    <row r="7657" spans="2:2" ht="15.6">
      <c r="B7657" s="154"/>
    </row>
    <row r="7658" spans="2:2" ht="15.6">
      <c r="B7658" s="154"/>
    </row>
    <row r="7659" spans="2:2" ht="15.6">
      <c r="B7659" s="154"/>
    </row>
    <row r="7660" spans="2:2" ht="15.6">
      <c r="B7660" s="154"/>
    </row>
    <row r="7661" spans="2:2" ht="15.6">
      <c r="B7661" s="154"/>
    </row>
    <row r="7662" spans="2:2" ht="15.6">
      <c r="B7662" s="154"/>
    </row>
    <row r="7663" spans="2:2" ht="15.6">
      <c r="B7663" s="154"/>
    </row>
    <row r="7664" spans="2:2" ht="15.6">
      <c r="B7664" s="154"/>
    </row>
    <row r="7665" spans="2:2" ht="15.6">
      <c r="B7665" s="154"/>
    </row>
    <row r="7666" spans="2:2" ht="15.6">
      <c r="B7666" s="154"/>
    </row>
    <row r="7667" spans="2:2" ht="15.6">
      <c r="B7667" s="154"/>
    </row>
    <row r="7668" spans="2:2" ht="15.6">
      <c r="B7668" s="154"/>
    </row>
    <row r="7669" spans="2:2" ht="15.6">
      <c r="B7669" s="154"/>
    </row>
    <row r="7670" spans="2:2" ht="15.6">
      <c r="B7670" s="154"/>
    </row>
    <row r="7671" spans="2:2" ht="15.6">
      <c r="B7671" s="154"/>
    </row>
    <row r="7672" spans="2:2" ht="15.6">
      <c r="B7672" s="154"/>
    </row>
    <row r="7673" spans="2:2" ht="15.6">
      <c r="B7673" s="154"/>
    </row>
    <row r="7674" spans="2:2" ht="15.6">
      <c r="B7674" s="154"/>
    </row>
    <row r="7675" spans="2:2" ht="15.6">
      <c r="B7675" s="154"/>
    </row>
    <row r="7676" spans="2:2" ht="15.6">
      <c r="B7676" s="154"/>
    </row>
    <row r="7677" spans="2:2" ht="15.6">
      <c r="B7677" s="154"/>
    </row>
    <row r="7678" spans="2:2" ht="15.6">
      <c r="B7678" s="154"/>
    </row>
    <row r="7679" spans="2:2" ht="15.6">
      <c r="B7679" s="154"/>
    </row>
    <row r="7680" spans="2:2" ht="15.6">
      <c r="B7680" s="154"/>
    </row>
    <row r="7681" spans="2:2" ht="15.6">
      <c r="B7681" s="154"/>
    </row>
    <row r="7682" spans="2:2" ht="15.6">
      <c r="B7682" s="154"/>
    </row>
    <row r="7683" spans="2:2" ht="15.6">
      <c r="B7683" s="154"/>
    </row>
    <row r="7684" spans="2:2" ht="15.6">
      <c r="B7684" s="154"/>
    </row>
    <row r="7685" spans="2:2" ht="15.6">
      <c r="B7685" s="154"/>
    </row>
    <row r="7686" spans="2:2" ht="15.6">
      <c r="B7686" s="154"/>
    </row>
    <row r="7687" spans="2:2" ht="15.6">
      <c r="B7687" s="154"/>
    </row>
    <row r="7688" spans="2:2" ht="15.6">
      <c r="B7688" s="154"/>
    </row>
    <row r="7689" spans="2:2" ht="15.6">
      <c r="B7689" s="154"/>
    </row>
    <row r="7690" spans="2:2" ht="15.6">
      <c r="B7690" s="154"/>
    </row>
    <row r="7691" spans="2:2" ht="15.6">
      <c r="B7691" s="154"/>
    </row>
    <row r="7692" spans="2:2" ht="15.6">
      <c r="B7692" s="154"/>
    </row>
    <row r="7693" spans="2:2" ht="15.6">
      <c r="B7693" s="154"/>
    </row>
    <row r="7694" spans="2:2" ht="15.6">
      <c r="B7694" s="154"/>
    </row>
    <row r="7695" spans="2:2" ht="15.6">
      <c r="B7695" s="154"/>
    </row>
    <row r="7696" spans="2:2" ht="15.6">
      <c r="B7696" s="154"/>
    </row>
    <row r="7697" spans="2:2" ht="15.6">
      <c r="B7697" s="154"/>
    </row>
    <row r="7698" spans="2:2" ht="15.6">
      <c r="B7698" s="154"/>
    </row>
    <row r="7699" spans="2:2" ht="15.6">
      <c r="B7699" s="154"/>
    </row>
    <row r="7700" spans="2:2" ht="15.6">
      <c r="B7700" s="154"/>
    </row>
    <row r="7701" spans="2:2" ht="15.6">
      <c r="B7701" s="154"/>
    </row>
    <row r="7702" spans="2:2" ht="15.6">
      <c r="B7702" s="154"/>
    </row>
    <row r="7703" spans="2:2" ht="15.6">
      <c r="B7703" s="154"/>
    </row>
    <row r="7704" spans="2:2" ht="15.6">
      <c r="B7704" s="154"/>
    </row>
    <row r="7705" spans="2:2" ht="15.6">
      <c r="B7705" s="154"/>
    </row>
    <row r="7706" spans="2:2" ht="15.6">
      <c r="B7706" s="154"/>
    </row>
    <row r="7707" spans="2:2" ht="15.6">
      <c r="B7707" s="154"/>
    </row>
    <row r="7708" spans="2:2" ht="15.6">
      <c r="B7708" s="154"/>
    </row>
    <row r="7709" spans="2:2" ht="15.6">
      <c r="B7709" s="154"/>
    </row>
    <row r="7710" spans="2:2" ht="15.6">
      <c r="B7710" s="154"/>
    </row>
    <row r="7711" spans="2:2" ht="15.6">
      <c r="B7711" s="154"/>
    </row>
    <row r="7712" spans="2:2" ht="15.6">
      <c r="B7712" s="154"/>
    </row>
    <row r="7713" spans="2:2" ht="15.6">
      <c r="B7713" s="154"/>
    </row>
    <row r="7714" spans="2:2" ht="15.6">
      <c r="B7714" s="154"/>
    </row>
    <row r="7715" spans="2:2" ht="15.6">
      <c r="B7715" s="154"/>
    </row>
    <row r="7716" spans="2:2" ht="15.6">
      <c r="B7716" s="154"/>
    </row>
    <row r="7717" spans="2:2" ht="15.6">
      <c r="B7717" s="154"/>
    </row>
    <row r="7718" spans="2:2" ht="15.6">
      <c r="B7718" s="154"/>
    </row>
    <row r="7719" spans="2:2" ht="15.6">
      <c r="B7719" s="154"/>
    </row>
    <row r="7720" spans="2:2" ht="15.6">
      <c r="B7720" s="154"/>
    </row>
    <row r="7721" spans="2:2" ht="15.6">
      <c r="B7721" s="154"/>
    </row>
    <row r="7722" spans="2:2" ht="15.6">
      <c r="B7722" s="154"/>
    </row>
    <row r="7723" spans="2:2" ht="15.6">
      <c r="B7723" s="154"/>
    </row>
    <row r="7724" spans="2:2" ht="15.6">
      <c r="B7724" s="154"/>
    </row>
    <row r="7725" spans="2:2" ht="15.6">
      <c r="B7725" s="154"/>
    </row>
    <row r="7726" spans="2:2" ht="15.6">
      <c r="B7726" s="154"/>
    </row>
    <row r="7727" spans="2:2" ht="15.6">
      <c r="B7727" s="154"/>
    </row>
    <row r="7728" spans="2:2" ht="15.6">
      <c r="B7728" s="154"/>
    </row>
    <row r="7729" spans="2:2" ht="15.6">
      <c r="B7729" s="154"/>
    </row>
    <row r="7730" spans="2:2" ht="15.6">
      <c r="B7730" s="154"/>
    </row>
    <row r="7731" spans="2:2" ht="15.6">
      <c r="B7731" s="154"/>
    </row>
    <row r="7732" spans="2:2" ht="15.6">
      <c r="B7732" s="154"/>
    </row>
    <row r="7733" spans="2:2" ht="15.6">
      <c r="B7733" s="154"/>
    </row>
    <row r="7734" spans="2:2" ht="15.6">
      <c r="B7734" s="154"/>
    </row>
    <row r="7735" spans="2:2" ht="15.6">
      <c r="B7735" s="154"/>
    </row>
    <row r="7736" spans="2:2" ht="15.6">
      <c r="B7736" s="154"/>
    </row>
    <row r="7737" spans="2:2" ht="15.6">
      <c r="B7737" s="154"/>
    </row>
    <row r="7738" spans="2:2" ht="15.6">
      <c r="B7738" s="154"/>
    </row>
    <row r="7739" spans="2:2" ht="15.6">
      <c r="B7739" s="154"/>
    </row>
    <row r="7740" spans="2:2" ht="15.6">
      <c r="B7740" s="154"/>
    </row>
    <row r="7741" spans="2:2" ht="15.6">
      <c r="B7741" s="154"/>
    </row>
    <row r="7742" spans="2:2" ht="15.6">
      <c r="B7742" s="154"/>
    </row>
    <row r="7743" spans="2:2" ht="15.6">
      <c r="B7743" s="154"/>
    </row>
    <row r="7744" spans="2:2" ht="15.6">
      <c r="B7744" s="154"/>
    </row>
    <row r="7745" spans="2:2" ht="15.6">
      <c r="B7745" s="154"/>
    </row>
    <row r="7746" spans="2:2" ht="15.6">
      <c r="B7746" s="154"/>
    </row>
    <row r="7747" spans="2:2" ht="15.6">
      <c r="B7747" s="154"/>
    </row>
    <row r="7748" spans="2:2" ht="15.6">
      <c r="B7748" s="154"/>
    </row>
    <row r="7749" spans="2:2" ht="15.6">
      <c r="B7749" s="154"/>
    </row>
    <row r="7750" spans="2:2" ht="15.6">
      <c r="B7750" s="154"/>
    </row>
    <row r="7751" spans="2:2" ht="15.6">
      <c r="B7751" s="154"/>
    </row>
    <row r="7752" spans="2:2" ht="15.6">
      <c r="B7752" s="154"/>
    </row>
    <row r="7753" spans="2:2" ht="15.6">
      <c r="B7753" s="154"/>
    </row>
    <row r="7754" spans="2:2" ht="15.6">
      <c r="B7754" s="154"/>
    </row>
    <row r="7755" spans="2:2" ht="15.6">
      <c r="B7755" s="154"/>
    </row>
    <row r="7756" spans="2:2" ht="15.6">
      <c r="B7756" s="154"/>
    </row>
    <row r="7757" spans="2:2" ht="15.6">
      <c r="B7757" s="154"/>
    </row>
    <row r="7758" spans="2:2" ht="15.6">
      <c r="B7758" s="154"/>
    </row>
    <row r="7759" spans="2:2" ht="15.6">
      <c r="B7759" s="154"/>
    </row>
    <row r="7760" spans="2:2" ht="15.6">
      <c r="B7760" s="154"/>
    </row>
    <row r="7761" spans="2:2" ht="15.6">
      <c r="B7761" s="154"/>
    </row>
    <row r="7762" spans="2:2" ht="15.6">
      <c r="B7762" s="154"/>
    </row>
    <row r="7763" spans="2:2" ht="15.6">
      <c r="B7763" s="154"/>
    </row>
    <row r="7764" spans="2:2" ht="15.6">
      <c r="B7764" s="154"/>
    </row>
    <row r="7765" spans="2:2" ht="15.6">
      <c r="B7765" s="154"/>
    </row>
    <row r="7766" spans="2:2" ht="15.6">
      <c r="B7766" s="154"/>
    </row>
    <row r="7767" spans="2:2" ht="15.6">
      <c r="B7767" s="154"/>
    </row>
    <row r="7768" spans="2:2" ht="15.6">
      <c r="B7768" s="154"/>
    </row>
    <row r="7769" spans="2:2" ht="15.6">
      <c r="B7769" s="154"/>
    </row>
    <row r="7770" spans="2:2" ht="15.6">
      <c r="B7770" s="154"/>
    </row>
    <row r="7771" spans="2:2" ht="15.6">
      <c r="B7771" s="154"/>
    </row>
    <row r="7772" spans="2:2" ht="15.6">
      <c r="B7772" s="154"/>
    </row>
    <row r="7773" spans="2:2" ht="15.6">
      <c r="B7773" s="154"/>
    </row>
    <row r="7774" spans="2:2" ht="15.6">
      <c r="B7774" s="154"/>
    </row>
    <row r="7775" spans="2:2" ht="15.6">
      <c r="B7775" s="154"/>
    </row>
    <row r="7776" spans="2:2" ht="15.6">
      <c r="B7776" s="154"/>
    </row>
    <row r="7777" spans="2:2" ht="15.6">
      <c r="B7777" s="154"/>
    </row>
    <row r="7778" spans="2:2" ht="15.6">
      <c r="B7778" s="154"/>
    </row>
    <row r="7779" spans="2:2" ht="15.6">
      <c r="B7779" s="154"/>
    </row>
    <row r="7780" spans="2:2" ht="15.6">
      <c r="B7780" s="154"/>
    </row>
    <row r="7781" spans="2:2" ht="15.6">
      <c r="B7781" s="154"/>
    </row>
    <row r="7782" spans="2:2" ht="15.6">
      <c r="B7782" s="154"/>
    </row>
    <row r="7783" spans="2:2" ht="15.6">
      <c r="B7783" s="154"/>
    </row>
    <row r="7784" spans="2:2" ht="15.6">
      <c r="B7784" s="154"/>
    </row>
    <row r="7785" spans="2:2" ht="15.6">
      <c r="B7785" s="154"/>
    </row>
    <row r="7786" spans="2:2" ht="15.6">
      <c r="B7786" s="154"/>
    </row>
    <row r="7787" spans="2:2" ht="15.6">
      <c r="B7787" s="154"/>
    </row>
    <row r="7788" spans="2:2" ht="15.6">
      <c r="B7788" s="154"/>
    </row>
    <row r="7789" spans="2:2" ht="15.6">
      <c r="B7789" s="154"/>
    </row>
    <row r="7790" spans="2:2" ht="15.6">
      <c r="B7790" s="154"/>
    </row>
    <row r="7791" spans="2:2" ht="15.6">
      <c r="B7791" s="154"/>
    </row>
    <row r="7792" spans="2:2" ht="15.6">
      <c r="B7792" s="154"/>
    </row>
    <row r="7793" spans="2:2" ht="15.6">
      <c r="B7793" s="154"/>
    </row>
    <row r="7794" spans="2:2" ht="15.6">
      <c r="B7794" s="154"/>
    </row>
    <row r="7795" spans="2:2" ht="15.6">
      <c r="B7795" s="154"/>
    </row>
    <row r="7796" spans="2:2" ht="15.6">
      <c r="B7796" s="154"/>
    </row>
    <row r="7797" spans="2:2" ht="15.6">
      <c r="B7797" s="154"/>
    </row>
    <row r="7798" spans="2:2" ht="15.6">
      <c r="B7798" s="154"/>
    </row>
    <row r="7799" spans="2:2" ht="15.6">
      <c r="B7799" s="154"/>
    </row>
    <row r="7800" spans="2:2" ht="15.6">
      <c r="B7800" s="154"/>
    </row>
    <row r="7801" spans="2:2" ht="15.6">
      <c r="B7801" s="154"/>
    </row>
    <row r="7802" spans="2:2" ht="15.6">
      <c r="B7802" s="154"/>
    </row>
    <row r="7803" spans="2:2" ht="15.6">
      <c r="B7803" s="154"/>
    </row>
    <row r="7804" spans="2:2" ht="15.6">
      <c r="B7804" s="154"/>
    </row>
    <row r="7805" spans="2:2" ht="15.6">
      <c r="B7805" s="154"/>
    </row>
    <row r="7806" spans="2:2" ht="15.6">
      <c r="B7806" s="154"/>
    </row>
    <row r="7807" spans="2:2" ht="15.6">
      <c r="B7807" s="154"/>
    </row>
    <row r="7808" spans="2:2" ht="15.6">
      <c r="B7808" s="154"/>
    </row>
    <row r="7809" spans="2:2" ht="15.6">
      <c r="B7809" s="154"/>
    </row>
    <row r="7810" spans="2:2" ht="15.6">
      <c r="B7810" s="154"/>
    </row>
    <row r="7811" spans="2:2" ht="15.6">
      <c r="B7811" s="154"/>
    </row>
    <row r="7812" spans="2:2" ht="15.6">
      <c r="B7812" s="154"/>
    </row>
    <row r="7813" spans="2:2" ht="15.6">
      <c r="B7813" s="154"/>
    </row>
    <row r="7814" spans="2:2" ht="15.6">
      <c r="B7814" s="154"/>
    </row>
    <row r="7815" spans="2:2" ht="15.6">
      <c r="B7815" s="154"/>
    </row>
    <row r="7816" spans="2:2" ht="15.6">
      <c r="B7816" s="154"/>
    </row>
    <row r="7817" spans="2:2" ht="15.6">
      <c r="B7817" s="154"/>
    </row>
    <row r="7818" spans="2:2" ht="15.6">
      <c r="B7818" s="154"/>
    </row>
    <row r="7819" spans="2:2" ht="15.6">
      <c r="B7819" s="154"/>
    </row>
    <row r="7820" spans="2:2" ht="15.6">
      <c r="B7820" s="154"/>
    </row>
    <row r="7821" spans="2:2" ht="15.6">
      <c r="B7821" s="154"/>
    </row>
    <row r="7822" spans="2:2" ht="15.6">
      <c r="B7822" s="154"/>
    </row>
    <row r="7823" spans="2:2" ht="15.6">
      <c r="B7823" s="154"/>
    </row>
    <row r="7824" spans="2:2" ht="15.6">
      <c r="B7824" s="154"/>
    </row>
    <row r="7825" spans="2:2" ht="15.6">
      <c r="B7825" s="154"/>
    </row>
    <row r="7826" spans="2:2" ht="15.6">
      <c r="B7826" s="154"/>
    </row>
    <row r="7827" spans="2:2" ht="15.6">
      <c r="B7827" s="154"/>
    </row>
    <row r="7828" spans="2:2" ht="15.6">
      <c r="B7828" s="154"/>
    </row>
    <row r="7829" spans="2:2" ht="15.6">
      <c r="B7829" s="154"/>
    </row>
    <row r="7830" spans="2:2" ht="15.6">
      <c r="B7830" s="154"/>
    </row>
    <row r="7831" spans="2:2" ht="15.6">
      <c r="B7831" s="154"/>
    </row>
    <row r="7832" spans="2:2" ht="15.6">
      <c r="B7832" s="154"/>
    </row>
    <row r="7833" spans="2:2" ht="15.6">
      <c r="B7833" s="154"/>
    </row>
    <row r="7834" spans="2:2" ht="15.6">
      <c r="B7834" s="154"/>
    </row>
    <row r="7835" spans="2:2" ht="15.6">
      <c r="B7835" s="154"/>
    </row>
    <row r="7836" spans="2:2" ht="15.6">
      <c r="B7836" s="154"/>
    </row>
    <row r="7837" spans="2:2" ht="15.6">
      <c r="B7837" s="154"/>
    </row>
    <row r="7838" spans="2:2" ht="15.6">
      <c r="B7838" s="154"/>
    </row>
    <row r="7839" spans="2:2" ht="15.6">
      <c r="B7839" s="154"/>
    </row>
    <row r="7840" spans="2:2" ht="15.6">
      <c r="B7840" s="154"/>
    </row>
    <row r="7841" spans="2:2" ht="15.6">
      <c r="B7841" s="154"/>
    </row>
    <row r="7842" spans="2:2" ht="15.6">
      <c r="B7842" s="154"/>
    </row>
    <row r="7843" spans="2:2" ht="15.6">
      <c r="B7843" s="154"/>
    </row>
    <row r="7844" spans="2:2" ht="15.6">
      <c r="B7844" s="154"/>
    </row>
    <row r="7845" spans="2:2" ht="15.6">
      <c r="B7845" s="154"/>
    </row>
    <row r="7846" spans="2:2" ht="15.6">
      <c r="B7846" s="154"/>
    </row>
    <row r="7847" spans="2:2" ht="15.6">
      <c r="B7847" s="154"/>
    </row>
    <row r="7848" spans="2:2" ht="15.6">
      <c r="B7848" s="154"/>
    </row>
    <row r="7849" spans="2:2" ht="15.6">
      <c r="B7849" s="154"/>
    </row>
    <row r="7850" spans="2:2" ht="15.6">
      <c r="B7850" s="154"/>
    </row>
    <row r="7851" spans="2:2" ht="15.6">
      <c r="B7851" s="154"/>
    </row>
    <row r="7852" spans="2:2" ht="15.6">
      <c r="B7852" s="154"/>
    </row>
    <row r="7853" spans="2:2" ht="15.6">
      <c r="B7853" s="154"/>
    </row>
    <row r="7854" spans="2:2" ht="15.6">
      <c r="B7854" s="154"/>
    </row>
    <row r="7855" spans="2:2" ht="15.6">
      <c r="B7855" s="154"/>
    </row>
    <row r="7856" spans="2:2" ht="15.6">
      <c r="B7856" s="154"/>
    </row>
    <row r="7857" spans="2:2" ht="15.6">
      <c r="B7857" s="154"/>
    </row>
    <row r="7858" spans="2:2" ht="15.6">
      <c r="B7858" s="154"/>
    </row>
    <row r="7859" spans="2:2" ht="15.6">
      <c r="B7859" s="154"/>
    </row>
    <row r="7860" spans="2:2" ht="15.6">
      <c r="B7860" s="154"/>
    </row>
    <row r="7861" spans="2:2" ht="15.6">
      <c r="B7861" s="154"/>
    </row>
    <row r="7862" spans="2:2" ht="15.6">
      <c r="B7862" s="154"/>
    </row>
    <row r="7863" spans="2:2" ht="15.6">
      <c r="B7863" s="154"/>
    </row>
    <row r="7864" spans="2:2" ht="15.6">
      <c r="B7864" s="154"/>
    </row>
    <row r="7865" spans="2:2" ht="15.6">
      <c r="B7865" s="154"/>
    </row>
    <row r="7866" spans="2:2" ht="15.6">
      <c r="B7866" s="154"/>
    </row>
    <row r="7867" spans="2:2" ht="15.6">
      <c r="B7867" s="154"/>
    </row>
    <row r="7868" spans="2:2" ht="15.6">
      <c r="B7868" s="154"/>
    </row>
    <row r="7869" spans="2:2" ht="15.6">
      <c r="B7869" s="154"/>
    </row>
    <row r="7870" spans="2:2" ht="15.6">
      <c r="B7870" s="154"/>
    </row>
    <row r="7871" spans="2:2" ht="15.6">
      <c r="B7871" s="154"/>
    </row>
    <row r="7872" spans="2:2" ht="15.6">
      <c r="B7872" s="154"/>
    </row>
    <row r="7873" spans="2:2" ht="15.6">
      <c r="B7873" s="154"/>
    </row>
    <row r="7874" spans="2:2" ht="15.6">
      <c r="B7874" s="154"/>
    </row>
    <row r="7875" spans="2:2" ht="15.6">
      <c r="B7875" s="154"/>
    </row>
    <row r="7876" spans="2:2" ht="15.6">
      <c r="B7876" s="154"/>
    </row>
    <row r="7877" spans="2:2" ht="15.6">
      <c r="B7877" s="154"/>
    </row>
    <row r="7878" spans="2:2" ht="15.6">
      <c r="B7878" s="154"/>
    </row>
    <row r="7879" spans="2:2" ht="15.6">
      <c r="B7879" s="154"/>
    </row>
    <row r="7880" spans="2:2" ht="15.6">
      <c r="B7880" s="154"/>
    </row>
    <row r="7881" spans="2:2" ht="15.6">
      <c r="B7881" s="154"/>
    </row>
    <row r="7882" spans="2:2" ht="15.6">
      <c r="B7882" s="154"/>
    </row>
    <row r="7883" spans="2:2" ht="15.6">
      <c r="B7883" s="154"/>
    </row>
    <row r="7884" spans="2:2" ht="15.6">
      <c r="B7884" s="154"/>
    </row>
    <row r="7885" spans="2:2" ht="15.6">
      <c r="B7885" s="154"/>
    </row>
    <row r="7886" spans="2:2" ht="15.6">
      <c r="B7886" s="154"/>
    </row>
    <row r="7887" spans="2:2" ht="15.6">
      <c r="B7887" s="154"/>
    </row>
    <row r="7888" spans="2:2" ht="15.6">
      <c r="B7888" s="154"/>
    </row>
    <row r="7889" spans="2:2" ht="15.6">
      <c r="B7889" s="154"/>
    </row>
    <row r="7890" spans="2:2" ht="15.6">
      <c r="B7890" s="154"/>
    </row>
    <row r="7891" spans="2:2" ht="15.6">
      <c r="B7891" s="154"/>
    </row>
    <row r="7892" spans="2:2" ht="15.6">
      <c r="B7892" s="154"/>
    </row>
    <row r="7893" spans="2:2" ht="15.6">
      <c r="B7893" s="154"/>
    </row>
    <row r="7894" spans="2:2" ht="15.6">
      <c r="B7894" s="154"/>
    </row>
    <row r="7895" spans="2:2" ht="15.6">
      <c r="B7895" s="154"/>
    </row>
    <row r="7896" spans="2:2" ht="15.6">
      <c r="B7896" s="154"/>
    </row>
    <row r="7897" spans="2:2" ht="15.6">
      <c r="B7897" s="154"/>
    </row>
    <row r="7898" spans="2:2" ht="15.6">
      <c r="B7898" s="154"/>
    </row>
    <row r="7899" spans="2:2" ht="15.6">
      <c r="B7899" s="154"/>
    </row>
    <row r="7900" spans="2:2" ht="15.6">
      <c r="B7900" s="154"/>
    </row>
    <row r="7901" spans="2:2" ht="15.6">
      <c r="B7901" s="154"/>
    </row>
    <row r="7902" spans="2:2" ht="15.6">
      <c r="B7902" s="154"/>
    </row>
    <row r="7903" spans="2:2" ht="15.6">
      <c r="B7903" s="154"/>
    </row>
    <row r="7904" spans="2:2" ht="15.6">
      <c r="B7904" s="154"/>
    </row>
    <row r="7905" spans="2:2" ht="15.6">
      <c r="B7905" s="154"/>
    </row>
    <row r="7906" spans="2:2" ht="15.6">
      <c r="B7906" s="154"/>
    </row>
    <row r="7907" spans="2:2" ht="15.6">
      <c r="B7907" s="154"/>
    </row>
    <row r="7908" spans="2:2" ht="15.6">
      <c r="B7908" s="154"/>
    </row>
    <row r="7909" spans="2:2" ht="15.6">
      <c r="B7909" s="154"/>
    </row>
    <row r="7910" spans="2:2" ht="15.6">
      <c r="B7910" s="154"/>
    </row>
    <row r="7911" spans="2:2" ht="15.6">
      <c r="B7911" s="154"/>
    </row>
    <row r="7912" spans="2:2" ht="15.6">
      <c r="B7912" s="154"/>
    </row>
    <row r="7913" spans="2:2" ht="15.6">
      <c r="B7913" s="154"/>
    </row>
    <row r="7914" spans="2:2" ht="15.6">
      <c r="B7914" s="154"/>
    </row>
    <row r="7915" spans="2:2" ht="15.6">
      <c r="B7915" s="154"/>
    </row>
    <row r="7916" spans="2:2" ht="15.6">
      <c r="B7916" s="154"/>
    </row>
    <row r="7917" spans="2:2" ht="15.6">
      <c r="B7917" s="154"/>
    </row>
    <row r="7918" spans="2:2" ht="15.6">
      <c r="B7918" s="154"/>
    </row>
    <row r="7919" spans="2:2" ht="15.6">
      <c r="B7919" s="154"/>
    </row>
    <row r="7920" spans="2:2" ht="15.6">
      <c r="B7920" s="154"/>
    </row>
    <row r="7921" spans="2:2" ht="15.6">
      <c r="B7921" s="154"/>
    </row>
    <row r="7922" spans="2:2" ht="15.6">
      <c r="B7922" s="154"/>
    </row>
    <row r="7923" spans="2:2" ht="15.6">
      <c r="B7923" s="154"/>
    </row>
    <row r="7924" spans="2:2" ht="15.6">
      <c r="B7924" s="154"/>
    </row>
    <row r="7925" spans="2:2" ht="15.6">
      <c r="B7925" s="154"/>
    </row>
    <row r="7926" spans="2:2" ht="15.6">
      <c r="B7926" s="154"/>
    </row>
    <row r="7927" spans="2:2" ht="15.6">
      <c r="B7927" s="154"/>
    </row>
    <row r="7928" spans="2:2" ht="15.6">
      <c r="B7928" s="154"/>
    </row>
    <row r="7929" spans="2:2" ht="15.6">
      <c r="B7929" s="154"/>
    </row>
    <row r="7930" spans="2:2" ht="15.6">
      <c r="B7930" s="154"/>
    </row>
    <row r="7931" spans="2:2" ht="15.6">
      <c r="B7931" s="154"/>
    </row>
    <row r="7932" spans="2:2" ht="15.6">
      <c r="B7932" s="154"/>
    </row>
    <row r="7933" spans="2:2" ht="15.6">
      <c r="B7933" s="154"/>
    </row>
    <row r="7934" spans="2:2" ht="15.6">
      <c r="B7934" s="154"/>
    </row>
    <row r="7935" spans="2:2" ht="15.6">
      <c r="B7935" s="154"/>
    </row>
    <row r="7936" spans="2:2" ht="15.6">
      <c r="B7936" s="154"/>
    </row>
    <row r="7937" spans="2:2" ht="15.6">
      <c r="B7937" s="154"/>
    </row>
    <row r="7938" spans="2:2" ht="15.6">
      <c r="B7938" s="154"/>
    </row>
    <row r="7939" spans="2:2" ht="15.6">
      <c r="B7939" s="154"/>
    </row>
    <row r="7940" spans="2:2" ht="15.6">
      <c r="B7940" s="154"/>
    </row>
    <row r="7941" spans="2:2" ht="15.6">
      <c r="B7941" s="154"/>
    </row>
    <row r="7942" spans="2:2" ht="15.6">
      <c r="B7942" s="154"/>
    </row>
    <row r="7943" spans="2:2" ht="15.6">
      <c r="B7943" s="154"/>
    </row>
    <row r="7944" spans="2:2" ht="15.6">
      <c r="B7944" s="154"/>
    </row>
    <row r="7945" spans="2:2" ht="15.6">
      <c r="B7945" s="154"/>
    </row>
    <row r="7946" spans="2:2" ht="15.6">
      <c r="B7946" s="154"/>
    </row>
    <row r="7947" spans="2:2" ht="15.6">
      <c r="B7947" s="154"/>
    </row>
    <row r="7948" spans="2:2" ht="15.6">
      <c r="B7948" s="154"/>
    </row>
    <row r="7949" spans="2:2" ht="15.6">
      <c r="B7949" s="154"/>
    </row>
    <row r="7950" spans="2:2" ht="15.6">
      <c r="B7950" s="154"/>
    </row>
    <row r="7951" spans="2:2" ht="15.6">
      <c r="B7951" s="154"/>
    </row>
    <row r="7952" spans="2:2" ht="15.6">
      <c r="B7952" s="154"/>
    </row>
    <row r="7953" spans="2:2" ht="15.6">
      <c r="B7953" s="154"/>
    </row>
    <row r="7954" spans="2:2" ht="15.6">
      <c r="B7954" s="154"/>
    </row>
    <row r="7955" spans="2:2" ht="15.6">
      <c r="B7955" s="154"/>
    </row>
    <row r="7956" spans="2:2" ht="15.6">
      <c r="B7956" s="154"/>
    </row>
    <row r="7957" spans="2:2" ht="15.6">
      <c r="B7957" s="154"/>
    </row>
    <row r="7958" spans="2:2" ht="15.6">
      <c r="B7958" s="154"/>
    </row>
    <row r="7959" spans="2:2" ht="15.6">
      <c r="B7959" s="154"/>
    </row>
    <row r="7960" spans="2:2" ht="15.6">
      <c r="B7960" s="154"/>
    </row>
    <row r="7961" spans="2:2" ht="15.6">
      <c r="B7961" s="154"/>
    </row>
    <row r="7962" spans="2:2" ht="15.6">
      <c r="B7962" s="154"/>
    </row>
    <row r="7963" spans="2:2" ht="15.6">
      <c r="B7963" s="154"/>
    </row>
    <row r="7964" spans="2:2" ht="15.6">
      <c r="B7964" s="154"/>
    </row>
    <row r="7965" spans="2:2" ht="15.6">
      <c r="B7965" s="154"/>
    </row>
    <row r="7966" spans="2:2" ht="15.6">
      <c r="B7966" s="154"/>
    </row>
    <row r="7967" spans="2:2" ht="15.6">
      <c r="B7967" s="154"/>
    </row>
    <row r="7968" spans="2:2" ht="15.6">
      <c r="B7968" s="154"/>
    </row>
    <row r="7969" spans="2:2" ht="15.6">
      <c r="B7969" s="154"/>
    </row>
    <row r="7970" spans="2:2" ht="15.6">
      <c r="B7970" s="154"/>
    </row>
    <row r="7971" spans="2:2" ht="15.6">
      <c r="B7971" s="154"/>
    </row>
    <row r="7972" spans="2:2" ht="15.6">
      <c r="B7972" s="154"/>
    </row>
    <row r="7973" spans="2:2" ht="15.6">
      <c r="B7973" s="154"/>
    </row>
    <row r="7974" spans="2:2" ht="15.6">
      <c r="B7974" s="154"/>
    </row>
    <row r="7975" spans="2:2" ht="15.6">
      <c r="B7975" s="154"/>
    </row>
    <row r="7976" spans="2:2" ht="15.6">
      <c r="B7976" s="154"/>
    </row>
    <row r="7977" spans="2:2" ht="15.6">
      <c r="B7977" s="154"/>
    </row>
    <row r="7978" spans="2:2" ht="15.6">
      <c r="B7978" s="154"/>
    </row>
    <row r="7979" spans="2:2" ht="15.6">
      <c r="B7979" s="154"/>
    </row>
    <row r="7980" spans="2:2" ht="15.6">
      <c r="B7980" s="154"/>
    </row>
    <row r="7981" spans="2:2" ht="15.6">
      <c r="B7981" s="154"/>
    </row>
    <row r="7982" spans="2:2" ht="15.6">
      <c r="B7982" s="154"/>
    </row>
    <row r="7983" spans="2:2" ht="15.6">
      <c r="B7983" s="154"/>
    </row>
    <row r="7984" spans="2:2" ht="15.6">
      <c r="B7984" s="154"/>
    </row>
    <row r="7985" spans="2:2" ht="15.6">
      <c r="B7985" s="154"/>
    </row>
    <row r="7986" spans="2:2" ht="15.6">
      <c r="B7986" s="154"/>
    </row>
    <row r="7987" spans="2:2" ht="15.6">
      <c r="B7987" s="154"/>
    </row>
    <row r="7988" spans="2:2" ht="15.6">
      <c r="B7988" s="154"/>
    </row>
    <row r="7989" spans="2:2" ht="15.6">
      <c r="B7989" s="154"/>
    </row>
    <row r="7990" spans="2:2" ht="15.6">
      <c r="B7990" s="154"/>
    </row>
    <row r="7991" spans="2:2" ht="15.6">
      <c r="B7991" s="154"/>
    </row>
    <row r="7992" spans="2:2" ht="15.6">
      <c r="B7992" s="154"/>
    </row>
    <row r="7993" spans="2:2" ht="15.6">
      <c r="B7993" s="154"/>
    </row>
    <row r="7994" spans="2:2" ht="15.6">
      <c r="B7994" s="154"/>
    </row>
    <row r="7995" spans="2:2" ht="15.6">
      <c r="B7995" s="154"/>
    </row>
    <row r="7996" spans="2:2" ht="15.6">
      <c r="B7996" s="154"/>
    </row>
    <row r="7997" spans="2:2" ht="15.6">
      <c r="B7997" s="154"/>
    </row>
    <row r="7998" spans="2:2" ht="15.6">
      <c r="B7998" s="154"/>
    </row>
    <row r="7999" spans="2:2" ht="15.6">
      <c r="B7999" s="154"/>
    </row>
    <row r="8000" spans="2:2" ht="15.6">
      <c r="B8000" s="154"/>
    </row>
    <row r="8001" spans="2:2" ht="15.6">
      <c r="B8001" s="154"/>
    </row>
    <row r="8002" spans="2:2" ht="15.6">
      <c r="B8002" s="154"/>
    </row>
    <row r="8003" spans="2:2" ht="15.6">
      <c r="B8003" s="154"/>
    </row>
    <row r="8004" spans="2:2" ht="15.6">
      <c r="B8004" s="154"/>
    </row>
    <row r="8005" spans="2:2" ht="15.6">
      <c r="B8005" s="154"/>
    </row>
    <row r="8006" spans="2:2" ht="15.6">
      <c r="B8006" s="154"/>
    </row>
    <row r="8007" spans="2:2" ht="15.6">
      <c r="B8007" s="154"/>
    </row>
    <row r="8008" spans="2:2" ht="15.6">
      <c r="B8008" s="154"/>
    </row>
    <row r="8009" spans="2:2" ht="15.6">
      <c r="B8009" s="154"/>
    </row>
    <row r="8010" spans="2:2" ht="15.6">
      <c r="B8010" s="154"/>
    </row>
    <row r="8011" spans="2:2" ht="15.6">
      <c r="B8011" s="154"/>
    </row>
    <row r="8012" spans="2:2" ht="15.6">
      <c r="B8012" s="154"/>
    </row>
    <row r="8013" spans="2:2" ht="15.6">
      <c r="B8013" s="154"/>
    </row>
    <row r="8014" spans="2:2" ht="15.6">
      <c r="B8014" s="154"/>
    </row>
    <row r="8015" spans="2:2" ht="15.6">
      <c r="B8015" s="154"/>
    </row>
    <row r="8016" spans="2:2" ht="15.6">
      <c r="B8016" s="154"/>
    </row>
    <row r="8017" spans="2:2" ht="15.6">
      <c r="B8017" s="154"/>
    </row>
    <row r="8018" spans="2:2" ht="15.6">
      <c r="B8018" s="154"/>
    </row>
    <row r="8019" spans="2:2" ht="15.6">
      <c r="B8019" s="154"/>
    </row>
    <row r="8020" spans="2:2" ht="15.6">
      <c r="B8020" s="154"/>
    </row>
    <row r="8021" spans="2:2" ht="15.6">
      <c r="B8021" s="154"/>
    </row>
    <row r="8022" spans="2:2" ht="15.6">
      <c r="B8022" s="154"/>
    </row>
    <row r="8023" spans="2:2" ht="15.6">
      <c r="B8023" s="154"/>
    </row>
    <row r="8024" spans="2:2" ht="15.6">
      <c r="B8024" s="154"/>
    </row>
    <row r="8025" spans="2:2" ht="15.6">
      <c r="B8025" s="154"/>
    </row>
    <row r="8026" spans="2:2" ht="15.6">
      <c r="B8026" s="154"/>
    </row>
    <row r="8027" spans="2:2" ht="15.6">
      <c r="B8027" s="154"/>
    </row>
    <row r="8028" spans="2:2" ht="15.6">
      <c r="B8028" s="154"/>
    </row>
    <row r="8029" spans="2:2" ht="15.6">
      <c r="B8029" s="154"/>
    </row>
    <row r="8030" spans="2:2" ht="15.6">
      <c r="B8030" s="154"/>
    </row>
    <row r="8031" spans="2:2" ht="15.6">
      <c r="B8031" s="154"/>
    </row>
    <row r="8032" spans="2:2" ht="15.6">
      <c r="B8032" s="154"/>
    </row>
    <row r="8033" spans="2:2" ht="15.6">
      <c r="B8033" s="154"/>
    </row>
    <row r="8034" spans="2:2" ht="15.6">
      <c r="B8034" s="154"/>
    </row>
    <row r="8035" spans="2:2" ht="15.6">
      <c r="B8035" s="154"/>
    </row>
    <row r="8036" spans="2:2" ht="15.6">
      <c r="B8036" s="154"/>
    </row>
    <row r="8037" spans="2:2" ht="15.6">
      <c r="B8037" s="154"/>
    </row>
    <row r="8038" spans="2:2" ht="15.6">
      <c r="B8038" s="154"/>
    </row>
    <row r="8039" spans="2:2" ht="15.6">
      <c r="B8039" s="154"/>
    </row>
    <row r="8040" spans="2:2" ht="15.6">
      <c r="B8040" s="154"/>
    </row>
    <row r="8041" spans="2:2" ht="15.6">
      <c r="B8041" s="154"/>
    </row>
    <row r="8042" spans="2:2" ht="15.6">
      <c r="B8042" s="154"/>
    </row>
    <row r="8043" spans="2:2" ht="15.6">
      <c r="B8043" s="154"/>
    </row>
    <row r="8044" spans="2:2" ht="15.6">
      <c r="B8044" s="154"/>
    </row>
    <row r="8045" spans="2:2" ht="15.6">
      <c r="B8045" s="154"/>
    </row>
    <row r="8046" spans="2:2" ht="15.6">
      <c r="B8046" s="154"/>
    </row>
    <row r="8047" spans="2:2" ht="15.6">
      <c r="B8047" s="154"/>
    </row>
    <row r="8048" spans="2:2" ht="15.6">
      <c r="B8048" s="154"/>
    </row>
    <row r="8049" spans="2:2" ht="15.6">
      <c r="B8049" s="154"/>
    </row>
    <row r="8050" spans="2:2" ht="15.6">
      <c r="B8050" s="154"/>
    </row>
    <row r="8051" spans="2:2" ht="15.6">
      <c r="B8051" s="154"/>
    </row>
    <row r="8052" spans="2:2" ht="15.6">
      <c r="B8052" s="154"/>
    </row>
    <row r="8053" spans="2:2" ht="15.6">
      <c r="B8053" s="154"/>
    </row>
    <row r="8054" spans="2:2" ht="15.6">
      <c r="B8054" s="154"/>
    </row>
    <row r="8055" spans="2:2" ht="15.6">
      <c r="B8055" s="154"/>
    </row>
    <row r="8056" spans="2:2" ht="15.6">
      <c r="B8056" s="154"/>
    </row>
    <row r="8057" spans="2:2" ht="15.6">
      <c r="B8057" s="154"/>
    </row>
    <row r="8058" spans="2:2" ht="15.6">
      <c r="B8058" s="154"/>
    </row>
    <row r="8059" spans="2:2" ht="15.6">
      <c r="B8059" s="154"/>
    </row>
    <row r="8060" spans="2:2" ht="15.6">
      <c r="B8060" s="154"/>
    </row>
    <row r="8061" spans="2:2" ht="15.6">
      <c r="B8061" s="154"/>
    </row>
    <row r="8062" spans="2:2" ht="15.6">
      <c r="B8062" s="154"/>
    </row>
    <row r="8063" spans="2:2" ht="15.6">
      <c r="B8063" s="154"/>
    </row>
    <row r="8064" spans="2:2" ht="15.6">
      <c r="B8064" s="154"/>
    </row>
    <row r="8065" spans="2:2" ht="15.6">
      <c r="B8065" s="154"/>
    </row>
    <row r="8066" spans="2:2" ht="15.6">
      <c r="B8066" s="154"/>
    </row>
    <row r="8067" spans="2:2" ht="15.6">
      <c r="B8067" s="154"/>
    </row>
    <row r="8068" spans="2:2" ht="15.6">
      <c r="B8068" s="154"/>
    </row>
    <row r="8069" spans="2:2" ht="15.6">
      <c r="B8069" s="154"/>
    </row>
    <row r="8070" spans="2:2" ht="15.6">
      <c r="B8070" s="154"/>
    </row>
    <row r="8071" spans="2:2" ht="15.6">
      <c r="B8071" s="154"/>
    </row>
    <row r="8072" spans="2:2" ht="15.6">
      <c r="B8072" s="154"/>
    </row>
    <row r="8073" spans="2:2" ht="15.6">
      <c r="B8073" s="154"/>
    </row>
    <row r="8074" spans="2:2" ht="15.6">
      <c r="B8074" s="154"/>
    </row>
    <row r="8075" spans="2:2" ht="15.6">
      <c r="B8075" s="154"/>
    </row>
    <row r="8076" spans="2:2" ht="15.6">
      <c r="B8076" s="154"/>
    </row>
    <row r="8077" spans="2:2" ht="15.6">
      <c r="B8077" s="154"/>
    </row>
    <row r="8078" spans="2:2" ht="15.6">
      <c r="B8078" s="154"/>
    </row>
    <row r="8079" spans="2:2" ht="15.6">
      <c r="B8079" s="154"/>
    </row>
    <row r="8080" spans="2:2" ht="15.6">
      <c r="B8080" s="154"/>
    </row>
    <row r="8081" spans="2:2" ht="15.6">
      <c r="B8081" s="154"/>
    </row>
    <row r="8082" spans="2:2" ht="15.6">
      <c r="B8082" s="154"/>
    </row>
    <row r="8083" spans="2:2" ht="15.6">
      <c r="B8083" s="154"/>
    </row>
    <row r="8084" spans="2:2" ht="15.6">
      <c r="B8084" s="154"/>
    </row>
    <row r="8085" spans="2:2" ht="15.6">
      <c r="B8085" s="154"/>
    </row>
    <row r="8086" spans="2:2" ht="15.6">
      <c r="B8086" s="154"/>
    </row>
    <row r="8087" spans="2:2" ht="15.6">
      <c r="B8087" s="154"/>
    </row>
    <row r="8088" spans="2:2" ht="15.6">
      <c r="B8088" s="154"/>
    </row>
    <row r="8089" spans="2:2" ht="15.6">
      <c r="B8089" s="154"/>
    </row>
    <row r="8090" spans="2:2" ht="15.6">
      <c r="B8090" s="154"/>
    </row>
    <row r="8091" spans="2:2" ht="15.6">
      <c r="B8091" s="154"/>
    </row>
    <row r="8092" spans="2:2" ht="15.6">
      <c r="B8092" s="154"/>
    </row>
    <row r="8093" spans="2:2" ht="15.6">
      <c r="B8093" s="154"/>
    </row>
    <row r="8094" spans="2:2" ht="15.6">
      <c r="B8094" s="154"/>
    </row>
    <row r="8095" spans="2:2" ht="15.6">
      <c r="B8095" s="154"/>
    </row>
    <row r="8096" spans="2:2" ht="15.6">
      <c r="B8096" s="154"/>
    </row>
    <row r="8097" spans="2:2" ht="15.6">
      <c r="B8097" s="154"/>
    </row>
    <row r="8098" spans="2:2" ht="15.6">
      <c r="B8098" s="154"/>
    </row>
    <row r="8099" spans="2:2" ht="15.6">
      <c r="B8099" s="154"/>
    </row>
    <row r="8100" spans="2:2" ht="15.6">
      <c r="B8100" s="154"/>
    </row>
    <row r="8101" spans="2:2" ht="15.6">
      <c r="B8101" s="154"/>
    </row>
    <row r="8102" spans="2:2" ht="15.6">
      <c r="B8102" s="154"/>
    </row>
    <row r="8103" spans="2:2" ht="15.6">
      <c r="B8103" s="154"/>
    </row>
    <row r="8104" spans="2:2" ht="15.6">
      <c r="B8104" s="154"/>
    </row>
    <row r="8105" spans="2:2" ht="15.6">
      <c r="B8105" s="154"/>
    </row>
    <row r="8106" spans="2:2" ht="15.6">
      <c r="B8106" s="154"/>
    </row>
    <row r="8107" spans="2:2" ht="15.6">
      <c r="B8107" s="154"/>
    </row>
    <row r="8108" spans="2:2" ht="15.6">
      <c r="B8108" s="154"/>
    </row>
    <row r="8109" spans="2:2" ht="15.6">
      <c r="B8109" s="154"/>
    </row>
    <row r="8110" spans="2:2" ht="15.6">
      <c r="B8110" s="154"/>
    </row>
    <row r="8111" spans="2:2" ht="15.6">
      <c r="B8111" s="154"/>
    </row>
    <row r="8112" spans="2:2" ht="15.6">
      <c r="B8112" s="154"/>
    </row>
    <row r="8113" spans="2:2" ht="15.6">
      <c r="B8113" s="154"/>
    </row>
    <row r="8114" spans="2:2" ht="15.6">
      <c r="B8114" s="154"/>
    </row>
    <row r="8115" spans="2:2" ht="15.6">
      <c r="B8115" s="154"/>
    </row>
    <row r="8116" spans="2:2" ht="15.6">
      <c r="B8116" s="154"/>
    </row>
    <row r="8117" spans="2:2" ht="15.6">
      <c r="B8117" s="154"/>
    </row>
    <row r="8118" spans="2:2" ht="15.6">
      <c r="B8118" s="154"/>
    </row>
    <row r="8119" spans="2:2" ht="15.6">
      <c r="B8119" s="154"/>
    </row>
    <row r="8120" spans="2:2" ht="15.6">
      <c r="B8120" s="154"/>
    </row>
    <row r="8121" spans="2:2" ht="15.6">
      <c r="B8121" s="154"/>
    </row>
    <row r="8122" spans="2:2" ht="15.6">
      <c r="B8122" s="154"/>
    </row>
    <row r="8123" spans="2:2" ht="15.6">
      <c r="B8123" s="154"/>
    </row>
    <row r="8124" spans="2:2" ht="15.6">
      <c r="B8124" s="154"/>
    </row>
    <row r="8125" spans="2:2" ht="15.6">
      <c r="B8125" s="154"/>
    </row>
    <row r="8126" spans="2:2" ht="15.6">
      <c r="B8126" s="154"/>
    </row>
    <row r="8127" spans="2:2" ht="15.6">
      <c r="B8127" s="154"/>
    </row>
    <row r="8128" spans="2:2" ht="15.6">
      <c r="B8128" s="154"/>
    </row>
    <row r="8129" spans="2:2" ht="15.6">
      <c r="B8129" s="154"/>
    </row>
    <row r="8130" spans="2:2" ht="15.6">
      <c r="B8130" s="154"/>
    </row>
    <row r="8131" spans="2:2" ht="15.6">
      <c r="B8131" s="154"/>
    </row>
    <row r="8132" spans="2:2" ht="15.6">
      <c r="B8132" s="154"/>
    </row>
    <row r="8133" spans="2:2" ht="15.6">
      <c r="B8133" s="154"/>
    </row>
    <row r="8134" spans="2:2" ht="15.6">
      <c r="B8134" s="154"/>
    </row>
    <row r="8135" spans="2:2" ht="15.6">
      <c r="B8135" s="154"/>
    </row>
    <row r="8136" spans="2:2" ht="15.6">
      <c r="B8136" s="154"/>
    </row>
    <row r="8137" spans="2:2" ht="15.6">
      <c r="B8137" s="154"/>
    </row>
    <row r="8138" spans="2:2" ht="15.6">
      <c r="B8138" s="154"/>
    </row>
    <row r="8139" spans="2:2" ht="15.6">
      <c r="B8139" s="154"/>
    </row>
    <row r="8140" spans="2:2" ht="15.6">
      <c r="B8140" s="154"/>
    </row>
    <row r="8141" spans="2:2" ht="15.6">
      <c r="B8141" s="154"/>
    </row>
    <row r="8142" spans="2:2" ht="15.6">
      <c r="B8142" s="154"/>
    </row>
    <row r="8143" spans="2:2" ht="15.6">
      <c r="B8143" s="154"/>
    </row>
    <row r="8144" spans="2:2" ht="15.6">
      <c r="B8144" s="154"/>
    </row>
    <row r="8145" spans="2:2" ht="15.6">
      <c r="B8145" s="154"/>
    </row>
    <row r="8146" spans="2:2" ht="15.6">
      <c r="B8146" s="154"/>
    </row>
    <row r="8147" spans="2:2" ht="15.6">
      <c r="B8147" s="154"/>
    </row>
    <row r="8148" spans="2:2" ht="15.6">
      <c r="B8148" s="154"/>
    </row>
    <row r="8149" spans="2:2" ht="15.6">
      <c r="B8149" s="154"/>
    </row>
    <row r="8150" spans="2:2" ht="15.6">
      <c r="B8150" s="154"/>
    </row>
    <row r="8151" spans="2:2" ht="15.6">
      <c r="B8151" s="154"/>
    </row>
    <row r="8152" spans="2:2" ht="15.6">
      <c r="B8152" s="154"/>
    </row>
    <row r="8153" spans="2:2" ht="15.6">
      <c r="B8153" s="154"/>
    </row>
    <row r="8154" spans="2:2" ht="15.6">
      <c r="B8154" s="154"/>
    </row>
    <row r="8155" spans="2:2" ht="15.6">
      <c r="B8155" s="154"/>
    </row>
    <row r="8156" spans="2:2" ht="15.6">
      <c r="B8156" s="154"/>
    </row>
    <row r="8157" spans="2:2" ht="15.6">
      <c r="B8157" s="154"/>
    </row>
    <row r="8158" spans="2:2" ht="15.6">
      <c r="B8158" s="154"/>
    </row>
    <row r="8159" spans="2:2" ht="15.6">
      <c r="B8159" s="154"/>
    </row>
    <row r="8160" spans="2:2" ht="15.6">
      <c r="B8160" s="154"/>
    </row>
    <row r="8161" spans="2:2" ht="15.6">
      <c r="B8161" s="154"/>
    </row>
    <row r="8162" spans="2:2" ht="15.6">
      <c r="B8162" s="154"/>
    </row>
    <row r="8163" spans="2:2" ht="15.6">
      <c r="B8163" s="154"/>
    </row>
    <row r="8164" spans="2:2" ht="15.6">
      <c r="B8164" s="154"/>
    </row>
    <row r="8165" spans="2:2" ht="15.6">
      <c r="B8165" s="154"/>
    </row>
    <row r="8166" spans="2:2" ht="15.6">
      <c r="B8166" s="154"/>
    </row>
    <row r="8167" spans="2:2" ht="15.6">
      <c r="B8167" s="154"/>
    </row>
    <row r="8168" spans="2:2" ht="15.6">
      <c r="B8168" s="154"/>
    </row>
    <row r="8169" spans="2:2" ht="15.6">
      <c r="B8169" s="154"/>
    </row>
    <row r="8170" spans="2:2" ht="15.6">
      <c r="B8170" s="154"/>
    </row>
    <row r="8171" spans="2:2" ht="15.6">
      <c r="B8171" s="154"/>
    </row>
    <row r="8172" spans="2:2" ht="15.6">
      <c r="B8172" s="154"/>
    </row>
    <row r="8173" spans="2:2" ht="15.6">
      <c r="B8173" s="154"/>
    </row>
    <row r="8174" spans="2:2" ht="15.6">
      <c r="B8174" s="154"/>
    </row>
    <row r="8175" spans="2:2" ht="15.6">
      <c r="B8175" s="154"/>
    </row>
    <row r="8176" spans="2:2" ht="15.6">
      <c r="B8176" s="154"/>
    </row>
    <row r="8177" spans="2:2" ht="15.6">
      <c r="B8177" s="154"/>
    </row>
    <row r="8178" spans="2:2" ht="15.6">
      <c r="B8178" s="154"/>
    </row>
    <row r="8179" spans="2:2" ht="15.6">
      <c r="B8179" s="154"/>
    </row>
    <row r="8180" spans="2:2" ht="15.6">
      <c r="B8180" s="154"/>
    </row>
    <row r="8181" spans="2:2" ht="15.6">
      <c r="B8181" s="154"/>
    </row>
    <row r="8182" spans="2:2" ht="15.6">
      <c r="B8182" s="154"/>
    </row>
    <row r="8183" spans="2:2" ht="15.6">
      <c r="B8183" s="154"/>
    </row>
    <row r="8184" spans="2:2" ht="15.6">
      <c r="B8184" s="154"/>
    </row>
    <row r="8185" spans="2:2" ht="15.6">
      <c r="B8185" s="154"/>
    </row>
    <row r="8186" spans="2:2" ht="15.6">
      <c r="B8186" s="154"/>
    </row>
    <row r="8187" spans="2:2" ht="15.6">
      <c r="B8187" s="154"/>
    </row>
    <row r="8188" spans="2:2" ht="15.6">
      <c r="B8188" s="154"/>
    </row>
    <row r="8189" spans="2:2" ht="15.6">
      <c r="B8189" s="154"/>
    </row>
    <row r="8190" spans="2:2" ht="15.6">
      <c r="B8190" s="154"/>
    </row>
    <row r="8191" spans="2:2" ht="15.6">
      <c r="B8191" s="154"/>
    </row>
    <row r="8192" spans="2:2" ht="15.6">
      <c r="B8192" s="154"/>
    </row>
    <row r="8193" spans="2:2" ht="15.6">
      <c r="B8193" s="154"/>
    </row>
    <row r="8194" spans="2:2" ht="15.6">
      <c r="B8194" s="154"/>
    </row>
    <row r="8195" spans="2:2" ht="15.6">
      <c r="B8195" s="154"/>
    </row>
    <row r="8196" spans="2:2" ht="15.6">
      <c r="B8196" s="154"/>
    </row>
    <row r="8197" spans="2:2" ht="15.6">
      <c r="B8197" s="154"/>
    </row>
    <row r="8198" spans="2:2" ht="15.6">
      <c r="B8198" s="154"/>
    </row>
    <row r="8199" spans="2:2" ht="15.6">
      <c r="B8199" s="154"/>
    </row>
    <row r="8200" spans="2:2" ht="15.6">
      <c r="B8200" s="154"/>
    </row>
    <row r="8201" spans="2:2" ht="15.6">
      <c r="B8201" s="154"/>
    </row>
    <row r="8202" spans="2:2" ht="15.6">
      <c r="B8202" s="154"/>
    </row>
    <row r="8203" spans="2:2" ht="15.6">
      <c r="B8203" s="154"/>
    </row>
    <row r="8204" spans="2:2" ht="15.6">
      <c r="B8204" s="154"/>
    </row>
    <row r="8205" spans="2:2" ht="15.6">
      <c r="B8205" s="154"/>
    </row>
    <row r="8206" spans="2:2" ht="15.6">
      <c r="B8206" s="154"/>
    </row>
    <row r="8207" spans="2:2" ht="15.6">
      <c r="B8207" s="154"/>
    </row>
    <row r="8208" spans="2:2" ht="15.6">
      <c r="B8208" s="154"/>
    </row>
    <row r="8209" spans="2:2" ht="15.6">
      <c r="B8209" s="154"/>
    </row>
    <row r="8210" spans="2:2" ht="15.6">
      <c r="B8210" s="154"/>
    </row>
    <row r="8211" spans="2:2" ht="15.6">
      <c r="B8211" s="154"/>
    </row>
    <row r="8212" spans="2:2" ht="15.6">
      <c r="B8212" s="154"/>
    </row>
    <row r="8213" spans="2:2" ht="15.6">
      <c r="B8213" s="154"/>
    </row>
    <row r="8214" spans="2:2" ht="15.6">
      <c r="B8214" s="154"/>
    </row>
    <row r="8215" spans="2:2" ht="15.6">
      <c r="B8215" s="154"/>
    </row>
    <row r="8216" spans="2:2" ht="15.6">
      <c r="B8216" s="154"/>
    </row>
    <row r="8217" spans="2:2" ht="15.6">
      <c r="B8217" s="154"/>
    </row>
    <row r="8218" spans="2:2" ht="15.6">
      <c r="B8218" s="154"/>
    </row>
    <row r="8219" spans="2:2" ht="15.6">
      <c r="B8219" s="154"/>
    </row>
    <row r="8220" spans="2:2" ht="15.6">
      <c r="B8220" s="154"/>
    </row>
    <row r="8221" spans="2:2" ht="15.6">
      <c r="B8221" s="154"/>
    </row>
    <row r="8222" spans="2:2" ht="15.6">
      <c r="B8222" s="154"/>
    </row>
    <row r="8223" spans="2:2" ht="15.6">
      <c r="B8223" s="154"/>
    </row>
    <row r="8224" spans="2:2" ht="15.6">
      <c r="B8224" s="154"/>
    </row>
    <row r="8225" spans="2:2" ht="15.6">
      <c r="B8225" s="154"/>
    </row>
    <row r="8226" spans="2:2" ht="15.6">
      <c r="B8226" s="154"/>
    </row>
    <row r="8227" spans="2:2" ht="15.6">
      <c r="B8227" s="154"/>
    </row>
    <row r="8228" spans="2:2" ht="15.6">
      <c r="B8228" s="154"/>
    </row>
    <row r="8229" spans="2:2" ht="15.6">
      <c r="B8229" s="154"/>
    </row>
    <row r="8230" spans="2:2" ht="15.6">
      <c r="B8230" s="154"/>
    </row>
    <row r="8231" spans="2:2" ht="15.6">
      <c r="B8231" s="154"/>
    </row>
    <row r="8232" spans="2:2" ht="15.6">
      <c r="B8232" s="154"/>
    </row>
    <row r="8233" spans="2:2" ht="15.6">
      <c r="B8233" s="154"/>
    </row>
    <row r="8234" spans="2:2" ht="15.6">
      <c r="B8234" s="154"/>
    </row>
    <row r="8235" spans="2:2" ht="15.6">
      <c r="B8235" s="154"/>
    </row>
    <row r="8236" spans="2:2" ht="15.6">
      <c r="B8236" s="154"/>
    </row>
    <row r="8237" spans="2:2" ht="15.6">
      <c r="B8237" s="154"/>
    </row>
    <row r="8238" spans="2:2" ht="15.6">
      <c r="B8238" s="154"/>
    </row>
    <row r="8239" spans="2:2" ht="15.6">
      <c r="B8239" s="154"/>
    </row>
    <row r="8240" spans="2:2" ht="15.6">
      <c r="B8240" s="154"/>
    </row>
    <row r="8241" spans="2:2" ht="15.6">
      <c r="B8241" s="154"/>
    </row>
    <row r="8242" spans="2:2" ht="15.6">
      <c r="B8242" s="154"/>
    </row>
    <row r="8243" spans="2:2" ht="15.6">
      <c r="B8243" s="154"/>
    </row>
    <row r="8244" spans="2:2" ht="15.6">
      <c r="B8244" s="154"/>
    </row>
    <row r="8245" spans="2:2" ht="15.6">
      <c r="B8245" s="154"/>
    </row>
    <row r="8246" spans="2:2" ht="15.6">
      <c r="B8246" s="154"/>
    </row>
    <row r="8247" spans="2:2" ht="15.6">
      <c r="B8247" s="154"/>
    </row>
    <row r="8248" spans="2:2" ht="15.6">
      <c r="B8248" s="154"/>
    </row>
    <row r="8249" spans="2:2" ht="15.6">
      <c r="B8249" s="154"/>
    </row>
    <row r="8250" spans="2:2" ht="15.6">
      <c r="B8250" s="154"/>
    </row>
    <row r="8251" spans="2:2" ht="15.6">
      <c r="B8251" s="154"/>
    </row>
    <row r="8252" spans="2:2" ht="15.6">
      <c r="B8252" s="154"/>
    </row>
    <row r="8253" spans="2:2" ht="15.6">
      <c r="B8253" s="154"/>
    </row>
    <row r="8254" spans="2:2" ht="15.6">
      <c r="B8254" s="154"/>
    </row>
    <row r="8255" spans="2:2" ht="15.6">
      <c r="B8255" s="154"/>
    </row>
    <row r="8256" spans="2:2" ht="15.6">
      <c r="B8256" s="154"/>
    </row>
    <row r="8257" spans="2:2" ht="15.6">
      <c r="B8257" s="154"/>
    </row>
    <row r="8258" spans="2:2" ht="15.6">
      <c r="B8258" s="154"/>
    </row>
    <row r="8259" spans="2:2" ht="15.6">
      <c r="B8259" s="154"/>
    </row>
    <row r="8260" spans="2:2" ht="15.6">
      <c r="B8260" s="154"/>
    </row>
    <row r="8261" spans="2:2" ht="15.6">
      <c r="B8261" s="154"/>
    </row>
    <row r="8262" spans="2:2" ht="15.6">
      <c r="B8262" s="154"/>
    </row>
    <row r="8263" spans="2:2" ht="15.6">
      <c r="B8263" s="154"/>
    </row>
    <row r="8264" spans="2:2" ht="15.6">
      <c r="B8264" s="154"/>
    </row>
    <row r="8265" spans="2:2" ht="15.6">
      <c r="B8265" s="154"/>
    </row>
    <row r="8266" spans="2:2" ht="15.6">
      <c r="B8266" s="154"/>
    </row>
    <row r="8267" spans="2:2" ht="15.6">
      <c r="B8267" s="154"/>
    </row>
    <row r="8268" spans="2:2" ht="15.6">
      <c r="B8268" s="154"/>
    </row>
    <row r="8269" spans="2:2" ht="15.6">
      <c r="B8269" s="154"/>
    </row>
    <row r="8270" spans="2:2" ht="15.6">
      <c r="B8270" s="154"/>
    </row>
    <row r="8271" spans="2:2" ht="15.6">
      <c r="B8271" s="154"/>
    </row>
    <row r="8272" spans="2:2" ht="15.6">
      <c r="B8272" s="154"/>
    </row>
    <row r="8273" spans="2:2" ht="15.6">
      <c r="B8273" s="154"/>
    </row>
    <row r="8274" spans="2:2" ht="15.6">
      <c r="B8274" s="154"/>
    </row>
    <row r="8275" spans="2:2" ht="15.6">
      <c r="B8275" s="154"/>
    </row>
    <row r="8276" spans="2:2" ht="15.6">
      <c r="B8276" s="154"/>
    </row>
    <row r="8277" spans="2:2" ht="15.6">
      <c r="B8277" s="154"/>
    </row>
    <row r="8278" spans="2:2" ht="15.6">
      <c r="B8278" s="154"/>
    </row>
    <row r="8279" spans="2:2" ht="15.6">
      <c r="B8279" s="154"/>
    </row>
    <row r="8280" spans="2:2" ht="15.6">
      <c r="B8280" s="154"/>
    </row>
    <row r="8281" spans="2:2" ht="15.6">
      <c r="B8281" s="154"/>
    </row>
    <row r="8282" spans="2:2" ht="15.6">
      <c r="B8282" s="154"/>
    </row>
    <row r="8283" spans="2:2" ht="15.6">
      <c r="B8283" s="154"/>
    </row>
    <row r="8284" spans="2:2" ht="15.6">
      <c r="B8284" s="154"/>
    </row>
    <row r="8285" spans="2:2" ht="15.6">
      <c r="B8285" s="154"/>
    </row>
    <row r="8286" spans="2:2" ht="15.6">
      <c r="B8286" s="154"/>
    </row>
    <row r="8287" spans="2:2" ht="15.6">
      <c r="B8287" s="154"/>
    </row>
    <row r="8288" spans="2:2" ht="15.6">
      <c r="B8288" s="154"/>
    </row>
    <row r="8289" spans="2:2" ht="15.6">
      <c r="B8289" s="154"/>
    </row>
    <row r="8290" spans="2:2" ht="15.6">
      <c r="B8290" s="154"/>
    </row>
    <row r="8291" spans="2:2" ht="15.6">
      <c r="B8291" s="154"/>
    </row>
    <row r="8292" spans="2:2" ht="15.6">
      <c r="B8292" s="154"/>
    </row>
    <row r="8293" spans="2:2" ht="15.6">
      <c r="B8293" s="154"/>
    </row>
    <row r="8294" spans="2:2" ht="15.6">
      <c r="B8294" s="154"/>
    </row>
    <row r="8295" spans="2:2" ht="15.6">
      <c r="B8295" s="154"/>
    </row>
    <row r="8296" spans="2:2" ht="15.6">
      <c r="B8296" s="154"/>
    </row>
    <row r="8297" spans="2:2" ht="15.6">
      <c r="B8297" s="154"/>
    </row>
    <row r="8298" spans="2:2" ht="15.6">
      <c r="B8298" s="154"/>
    </row>
    <row r="8299" spans="2:2" ht="15.6">
      <c r="B8299" s="154"/>
    </row>
    <row r="8300" spans="2:2" ht="15.6">
      <c r="B8300" s="154"/>
    </row>
    <row r="8301" spans="2:2" ht="15.6">
      <c r="B8301" s="154"/>
    </row>
    <row r="8302" spans="2:2" ht="15.6">
      <c r="B8302" s="154"/>
    </row>
    <row r="8303" spans="2:2" ht="15.6">
      <c r="B8303" s="154"/>
    </row>
    <row r="8304" spans="2:2" ht="15.6">
      <c r="B8304" s="154"/>
    </row>
    <row r="8305" spans="2:2" ht="15.6">
      <c r="B8305" s="154"/>
    </row>
    <row r="8306" spans="2:2" ht="15.6">
      <c r="B8306" s="154"/>
    </row>
    <row r="8307" spans="2:2" ht="15.6">
      <c r="B8307" s="154"/>
    </row>
    <row r="8308" spans="2:2" ht="15.6">
      <c r="B8308" s="154"/>
    </row>
    <row r="8309" spans="2:2" ht="15.6">
      <c r="B8309" s="154"/>
    </row>
    <row r="8310" spans="2:2" ht="15.6">
      <c r="B8310" s="154"/>
    </row>
    <row r="8311" spans="2:2" ht="15.6">
      <c r="B8311" s="154"/>
    </row>
    <row r="8312" spans="2:2" ht="15.6">
      <c r="B8312" s="154"/>
    </row>
    <row r="8313" spans="2:2" ht="15.6">
      <c r="B8313" s="154"/>
    </row>
    <row r="8314" spans="2:2" ht="15.6">
      <c r="B8314" s="154"/>
    </row>
    <row r="8315" spans="2:2" ht="15.6">
      <c r="B8315" s="154"/>
    </row>
    <row r="8316" spans="2:2" ht="15.6">
      <c r="B8316" s="154"/>
    </row>
    <row r="8317" spans="2:2" ht="15.6">
      <c r="B8317" s="154"/>
    </row>
    <row r="8318" spans="2:2" ht="15.6">
      <c r="B8318" s="154"/>
    </row>
    <row r="8319" spans="2:2" ht="15.6">
      <c r="B8319" s="154"/>
    </row>
    <row r="8320" spans="2:2" ht="15.6">
      <c r="B8320" s="154"/>
    </row>
    <row r="8321" spans="2:2" ht="15.6">
      <c r="B8321" s="154"/>
    </row>
    <row r="8322" spans="2:2" ht="15.6">
      <c r="B8322" s="154"/>
    </row>
    <row r="8323" spans="2:2" ht="15.6">
      <c r="B8323" s="154"/>
    </row>
    <row r="8324" spans="2:2" ht="15.6">
      <c r="B8324" s="154"/>
    </row>
    <row r="8325" spans="2:2" ht="15.6">
      <c r="B8325" s="154"/>
    </row>
    <row r="8326" spans="2:2" ht="15.6">
      <c r="B8326" s="154"/>
    </row>
    <row r="8327" spans="2:2" ht="15.6">
      <c r="B8327" s="154"/>
    </row>
    <row r="8328" spans="2:2" ht="15.6">
      <c r="B8328" s="154"/>
    </row>
    <row r="8329" spans="2:2" ht="15.6">
      <c r="B8329" s="154"/>
    </row>
    <row r="8330" spans="2:2" ht="15.6">
      <c r="B8330" s="154"/>
    </row>
    <row r="8331" spans="2:2" ht="15.6">
      <c r="B8331" s="154"/>
    </row>
    <row r="8332" spans="2:2" ht="15.6">
      <c r="B8332" s="154"/>
    </row>
    <row r="8333" spans="2:2" ht="15.6">
      <c r="B8333" s="154"/>
    </row>
    <row r="8334" spans="2:2" ht="15.6">
      <c r="B8334" s="154"/>
    </row>
    <row r="8335" spans="2:2" ht="15.6">
      <c r="B8335" s="154"/>
    </row>
    <row r="8336" spans="2:2" ht="15.6">
      <c r="B8336" s="154"/>
    </row>
    <row r="8337" spans="2:2" ht="15.6">
      <c r="B8337" s="154"/>
    </row>
    <row r="8338" spans="2:2" ht="15.6">
      <c r="B8338" s="154"/>
    </row>
    <row r="8339" spans="2:2" ht="15.6">
      <c r="B8339" s="154"/>
    </row>
    <row r="8340" spans="2:2" ht="15.6">
      <c r="B8340" s="154"/>
    </row>
    <row r="8341" spans="2:2" ht="15.6">
      <c r="B8341" s="154"/>
    </row>
    <row r="8342" spans="2:2" ht="15.6">
      <c r="B8342" s="154"/>
    </row>
    <row r="8343" spans="2:2" ht="15.6">
      <c r="B8343" s="154"/>
    </row>
    <row r="8344" spans="2:2" ht="15.6">
      <c r="B8344" s="154"/>
    </row>
    <row r="8345" spans="2:2" ht="15.6">
      <c r="B8345" s="154"/>
    </row>
    <row r="8346" spans="2:2" ht="15.6">
      <c r="B8346" s="154"/>
    </row>
    <row r="8347" spans="2:2" ht="15.6">
      <c r="B8347" s="154"/>
    </row>
    <row r="8348" spans="2:2" ht="15.6">
      <c r="B8348" s="154"/>
    </row>
    <row r="8349" spans="2:2" ht="15.6">
      <c r="B8349" s="154"/>
    </row>
    <row r="8350" spans="2:2" ht="15.6">
      <c r="B8350" s="154"/>
    </row>
    <row r="8351" spans="2:2" ht="15.6">
      <c r="B8351" s="154"/>
    </row>
    <row r="8352" spans="2:2" ht="15.6">
      <c r="B8352" s="154"/>
    </row>
    <row r="8353" spans="2:2" ht="15.6">
      <c r="B8353" s="154"/>
    </row>
    <row r="8354" spans="2:2" ht="15.6">
      <c r="B8354" s="154"/>
    </row>
    <row r="8355" spans="2:2" ht="15.6">
      <c r="B8355" s="154"/>
    </row>
    <row r="8356" spans="2:2" ht="15.6">
      <c r="B8356" s="154"/>
    </row>
    <row r="8357" spans="2:2" ht="15.6">
      <c r="B8357" s="154"/>
    </row>
    <row r="8358" spans="2:2" ht="15.6">
      <c r="B8358" s="154"/>
    </row>
    <row r="8359" spans="2:2" ht="15.6">
      <c r="B8359" s="154"/>
    </row>
    <row r="8360" spans="2:2" ht="15.6">
      <c r="B8360" s="154"/>
    </row>
    <row r="8361" spans="2:2" ht="15.6">
      <c r="B8361" s="154"/>
    </row>
    <row r="8362" spans="2:2" ht="15.6">
      <c r="B8362" s="154"/>
    </row>
    <row r="8363" spans="2:2" ht="15.6">
      <c r="B8363" s="154"/>
    </row>
    <row r="8364" spans="2:2" ht="15.6">
      <c r="B8364" s="154"/>
    </row>
    <row r="8365" spans="2:2" ht="15.6">
      <c r="B8365" s="154"/>
    </row>
    <row r="8366" spans="2:2" ht="15.6">
      <c r="B8366" s="154"/>
    </row>
    <row r="8367" spans="2:2" ht="15.6">
      <c r="B8367" s="154"/>
    </row>
    <row r="8368" spans="2:2" ht="15.6">
      <c r="B8368" s="154"/>
    </row>
    <row r="8369" spans="2:2" ht="15.6">
      <c r="B8369" s="154"/>
    </row>
    <row r="8370" spans="2:2" ht="15.6">
      <c r="B8370" s="154"/>
    </row>
    <row r="8371" spans="2:2" ht="15.6">
      <c r="B8371" s="154"/>
    </row>
    <row r="8372" spans="2:2" ht="15.6">
      <c r="B8372" s="154"/>
    </row>
    <row r="8373" spans="2:2" ht="15.6">
      <c r="B8373" s="154"/>
    </row>
    <row r="8374" spans="2:2" ht="15.6">
      <c r="B8374" s="154"/>
    </row>
    <row r="8375" spans="2:2" ht="15.6">
      <c r="B8375" s="154"/>
    </row>
    <row r="8376" spans="2:2" ht="15.6">
      <c r="B8376" s="154"/>
    </row>
    <row r="8377" spans="2:2" ht="15.6">
      <c r="B8377" s="154"/>
    </row>
    <row r="8378" spans="2:2" ht="15.6">
      <c r="B8378" s="154"/>
    </row>
    <row r="8379" spans="2:2" ht="15.6">
      <c r="B8379" s="154"/>
    </row>
    <row r="8380" spans="2:2" ht="15.6">
      <c r="B8380" s="154"/>
    </row>
    <row r="8381" spans="2:2" ht="15.6">
      <c r="B8381" s="154"/>
    </row>
    <row r="8382" spans="2:2" ht="15.6">
      <c r="B8382" s="154"/>
    </row>
    <row r="8383" spans="2:2" ht="15.6">
      <c r="B8383" s="154"/>
    </row>
    <row r="8384" spans="2:2" ht="15.6">
      <c r="B8384" s="154"/>
    </row>
    <row r="8385" spans="2:2" ht="15.6">
      <c r="B8385" s="154"/>
    </row>
    <row r="8386" spans="2:2" ht="15.6">
      <c r="B8386" s="154"/>
    </row>
    <row r="8387" spans="2:2" ht="15.6">
      <c r="B8387" s="154"/>
    </row>
    <row r="8388" spans="2:2" ht="15.6">
      <c r="B8388" s="154"/>
    </row>
    <row r="8389" spans="2:2" ht="15.6">
      <c r="B8389" s="154"/>
    </row>
    <row r="8390" spans="2:2" ht="15.6">
      <c r="B8390" s="154"/>
    </row>
    <row r="8391" spans="2:2" ht="15.6">
      <c r="B8391" s="154"/>
    </row>
    <row r="8392" spans="2:2" ht="15.6">
      <c r="B8392" s="154"/>
    </row>
    <row r="8393" spans="2:2" ht="15.6">
      <c r="B8393" s="154"/>
    </row>
    <row r="8394" spans="2:2" ht="15.6">
      <c r="B8394" s="154"/>
    </row>
    <row r="8395" spans="2:2" ht="15.6">
      <c r="B8395" s="154"/>
    </row>
    <row r="8396" spans="2:2" ht="15.6">
      <c r="B8396" s="154"/>
    </row>
    <row r="8397" spans="2:2" ht="15.6">
      <c r="B8397" s="154"/>
    </row>
    <row r="8398" spans="2:2" ht="15.6">
      <c r="B8398" s="154"/>
    </row>
    <row r="8399" spans="2:2" ht="15.6">
      <c r="B8399" s="154"/>
    </row>
    <row r="8400" spans="2:2" ht="15.6">
      <c r="B8400" s="154"/>
    </row>
    <row r="8401" spans="2:2" ht="15.6">
      <c r="B8401" s="154"/>
    </row>
    <row r="8402" spans="2:2" ht="15.6">
      <c r="B8402" s="154"/>
    </row>
    <row r="8403" spans="2:2" ht="15.6">
      <c r="B8403" s="154"/>
    </row>
    <row r="8404" spans="2:2" ht="15.6">
      <c r="B8404" s="154"/>
    </row>
    <row r="8405" spans="2:2" ht="15.6">
      <c r="B8405" s="154"/>
    </row>
    <row r="8406" spans="2:2" ht="15.6">
      <c r="B8406" s="154"/>
    </row>
    <row r="8407" spans="2:2" ht="15.6">
      <c r="B8407" s="154"/>
    </row>
    <row r="8408" spans="2:2" ht="15.6">
      <c r="B8408" s="154"/>
    </row>
    <row r="8409" spans="2:2" ht="15.6">
      <c r="B8409" s="154"/>
    </row>
    <row r="8410" spans="2:2" ht="15.6">
      <c r="B8410" s="154"/>
    </row>
    <row r="8411" spans="2:2" ht="15.6">
      <c r="B8411" s="154"/>
    </row>
    <row r="8412" spans="2:2" ht="15.6">
      <c r="B8412" s="154"/>
    </row>
    <row r="8413" spans="2:2" ht="15.6">
      <c r="B8413" s="154"/>
    </row>
    <row r="8414" spans="2:2" ht="15.6">
      <c r="B8414" s="154"/>
    </row>
    <row r="8415" spans="2:2" ht="15.6">
      <c r="B8415" s="154"/>
    </row>
    <row r="8416" spans="2:2" ht="15.6">
      <c r="B8416" s="154"/>
    </row>
    <row r="8417" spans="2:2" ht="15.6">
      <c r="B8417" s="154"/>
    </row>
    <row r="8418" spans="2:2" ht="15.6">
      <c r="B8418" s="154"/>
    </row>
    <row r="8419" spans="2:2" ht="15.6">
      <c r="B8419" s="154"/>
    </row>
    <row r="8420" spans="2:2" ht="15.6">
      <c r="B8420" s="154"/>
    </row>
    <row r="8421" spans="2:2" ht="15.6">
      <c r="B8421" s="154"/>
    </row>
    <row r="8422" spans="2:2" ht="15.6">
      <c r="B8422" s="154"/>
    </row>
    <row r="8423" spans="2:2" ht="15.6">
      <c r="B8423" s="154"/>
    </row>
    <row r="8424" spans="2:2" ht="15.6">
      <c r="B8424" s="154"/>
    </row>
    <row r="8425" spans="2:2" ht="15.6">
      <c r="B8425" s="154"/>
    </row>
    <row r="8426" spans="2:2" ht="15.6">
      <c r="B8426" s="154"/>
    </row>
    <row r="8427" spans="2:2" ht="15.6">
      <c r="B8427" s="154"/>
    </row>
    <row r="8428" spans="2:2" ht="15.6">
      <c r="B8428" s="154"/>
    </row>
    <row r="8429" spans="2:2" ht="15.6">
      <c r="B8429" s="154"/>
    </row>
    <row r="8430" spans="2:2" ht="15.6">
      <c r="B8430" s="154"/>
    </row>
    <row r="8431" spans="2:2" ht="15.6">
      <c r="B8431" s="154"/>
    </row>
    <row r="8432" spans="2:2" ht="15.6">
      <c r="B8432" s="154"/>
    </row>
    <row r="8433" spans="2:2" ht="15.6">
      <c r="B8433" s="154"/>
    </row>
    <row r="8434" spans="2:2" ht="15.6">
      <c r="B8434" s="154"/>
    </row>
    <row r="8435" spans="2:2" ht="15.6">
      <c r="B8435" s="154"/>
    </row>
    <row r="8436" spans="2:2" ht="15.6">
      <c r="B8436" s="154"/>
    </row>
    <row r="8437" spans="2:2" ht="15.6">
      <c r="B8437" s="154"/>
    </row>
    <row r="8438" spans="2:2" ht="15.6">
      <c r="B8438" s="154"/>
    </row>
    <row r="8439" spans="2:2" ht="15.6">
      <c r="B8439" s="154"/>
    </row>
    <row r="8440" spans="2:2" ht="15.6">
      <c r="B8440" s="154"/>
    </row>
    <row r="8441" spans="2:2" ht="15.6">
      <c r="B8441" s="154"/>
    </row>
    <row r="8442" spans="2:2" ht="15.6">
      <c r="B8442" s="154"/>
    </row>
    <row r="8443" spans="2:2" ht="15.6">
      <c r="B8443" s="154"/>
    </row>
    <row r="8444" spans="2:2" ht="15.6">
      <c r="B8444" s="154"/>
    </row>
    <row r="8445" spans="2:2" ht="15.6">
      <c r="B8445" s="154"/>
    </row>
    <row r="8446" spans="2:2" ht="15.6">
      <c r="B8446" s="154"/>
    </row>
    <row r="8447" spans="2:2" ht="15.6">
      <c r="B8447" s="154"/>
    </row>
    <row r="8448" spans="2:2" ht="15.6">
      <c r="B8448" s="154"/>
    </row>
    <row r="8449" spans="2:2" ht="15.6">
      <c r="B8449" s="154"/>
    </row>
    <row r="8450" spans="2:2" ht="15.6">
      <c r="B8450" s="154"/>
    </row>
    <row r="8451" spans="2:2" ht="15.6">
      <c r="B8451" s="154"/>
    </row>
    <row r="8452" spans="2:2" ht="15.6">
      <c r="B8452" s="154"/>
    </row>
    <row r="8453" spans="2:2" ht="15.6">
      <c r="B8453" s="154"/>
    </row>
    <row r="8454" spans="2:2" ht="15.6">
      <c r="B8454" s="154"/>
    </row>
    <row r="8455" spans="2:2" ht="15.6">
      <c r="B8455" s="154"/>
    </row>
    <row r="8456" spans="2:2" ht="15.6">
      <c r="B8456" s="154"/>
    </row>
    <row r="8457" spans="2:2" ht="15.6">
      <c r="B8457" s="154"/>
    </row>
    <row r="8458" spans="2:2" ht="15.6">
      <c r="B8458" s="154"/>
    </row>
    <row r="8459" spans="2:2" ht="15.6">
      <c r="B8459" s="154"/>
    </row>
    <row r="8460" spans="2:2" ht="15.6">
      <c r="B8460" s="154"/>
    </row>
    <row r="8461" spans="2:2" ht="15.6">
      <c r="B8461" s="154"/>
    </row>
    <row r="8462" spans="2:2" ht="15.6">
      <c r="B8462" s="154"/>
    </row>
    <row r="8463" spans="2:2" ht="15.6">
      <c r="B8463" s="154"/>
    </row>
    <row r="8464" spans="2:2" ht="15.6">
      <c r="B8464" s="154"/>
    </row>
    <row r="8465" spans="2:2" ht="15.6">
      <c r="B8465" s="154"/>
    </row>
    <row r="8466" spans="2:2" ht="15.6">
      <c r="B8466" s="154"/>
    </row>
    <row r="8467" spans="2:2" ht="15.6">
      <c r="B8467" s="154"/>
    </row>
    <row r="8468" spans="2:2" ht="15.6">
      <c r="B8468" s="154"/>
    </row>
    <row r="8469" spans="2:2" ht="15.6">
      <c r="B8469" s="154"/>
    </row>
    <row r="8470" spans="2:2" ht="15.6">
      <c r="B8470" s="154"/>
    </row>
    <row r="8471" spans="2:2" ht="15.6">
      <c r="B8471" s="154"/>
    </row>
    <row r="8472" spans="2:2" ht="15.6">
      <c r="B8472" s="154"/>
    </row>
    <row r="8473" spans="2:2" ht="15.6">
      <c r="B8473" s="154"/>
    </row>
    <row r="8474" spans="2:2" ht="15.6">
      <c r="B8474" s="154"/>
    </row>
    <row r="8475" spans="2:2" ht="15.6">
      <c r="B8475" s="154"/>
    </row>
    <row r="8476" spans="2:2" ht="15.6">
      <c r="B8476" s="154"/>
    </row>
    <row r="8477" spans="2:2" ht="15.6">
      <c r="B8477" s="154"/>
    </row>
    <row r="8478" spans="2:2" ht="15.6">
      <c r="B8478" s="154"/>
    </row>
    <row r="8479" spans="2:2" ht="15.6">
      <c r="B8479" s="154"/>
    </row>
    <row r="8480" spans="2:2" ht="15.6">
      <c r="B8480" s="154"/>
    </row>
    <row r="8481" spans="2:2" ht="15.6">
      <c r="B8481" s="154"/>
    </row>
    <row r="8482" spans="2:2" ht="15.6">
      <c r="B8482" s="154"/>
    </row>
    <row r="8483" spans="2:2" ht="15.6">
      <c r="B8483" s="154"/>
    </row>
    <row r="8484" spans="2:2" ht="15.6">
      <c r="B8484" s="154"/>
    </row>
    <row r="8485" spans="2:2" ht="15.6">
      <c r="B8485" s="154"/>
    </row>
    <row r="8486" spans="2:2" ht="15.6">
      <c r="B8486" s="154"/>
    </row>
    <row r="8487" spans="2:2" ht="15.6">
      <c r="B8487" s="154"/>
    </row>
    <row r="8488" spans="2:2" ht="15.6">
      <c r="B8488" s="154"/>
    </row>
    <row r="8489" spans="2:2" ht="15.6">
      <c r="B8489" s="154"/>
    </row>
    <row r="8490" spans="2:2" ht="15.6">
      <c r="B8490" s="154"/>
    </row>
    <row r="8491" spans="2:2" ht="15.6">
      <c r="B8491" s="154"/>
    </row>
    <row r="8492" spans="2:2" ht="15.6">
      <c r="B8492" s="154"/>
    </row>
    <row r="8493" spans="2:2" ht="15.6">
      <c r="B8493" s="154"/>
    </row>
    <row r="8494" spans="2:2" ht="15.6">
      <c r="B8494" s="154"/>
    </row>
    <row r="8495" spans="2:2" ht="15.6">
      <c r="B8495" s="154"/>
    </row>
    <row r="8496" spans="2:2" ht="15.6">
      <c r="B8496" s="154"/>
    </row>
    <row r="8497" spans="2:2" ht="15.6">
      <c r="B8497" s="154"/>
    </row>
    <row r="8498" spans="2:2" ht="15.6">
      <c r="B8498" s="154"/>
    </row>
    <row r="8499" spans="2:2" ht="15.6">
      <c r="B8499" s="154"/>
    </row>
    <row r="8500" spans="2:2" ht="15.6">
      <c r="B8500" s="154"/>
    </row>
    <row r="8501" spans="2:2" ht="15.6">
      <c r="B8501" s="154"/>
    </row>
    <row r="8502" spans="2:2" ht="15.6">
      <c r="B8502" s="154"/>
    </row>
    <row r="8503" spans="2:2" ht="15.6">
      <c r="B8503" s="154"/>
    </row>
    <row r="8504" spans="2:2" ht="15.6">
      <c r="B8504" s="154"/>
    </row>
    <row r="8505" spans="2:2" ht="15.6">
      <c r="B8505" s="154"/>
    </row>
    <row r="8506" spans="2:2" ht="15.6">
      <c r="B8506" s="154"/>
    </row>
    <row r="8507" spans="2:2" ht="15.6">
      <c r="B8507" s="154"/>
    </row>
    <row r="8508" spans="2:2" ht="15.6">
      <c r="B8508" s="154"/>
    </row>
    <row r="8509" spans="2:2" ht="15.6">
      <c r="B8509" s="154"/>
    </row>
    <row r="8510" spans="2:2" ht="15.6">
      <c r="B8510" s="154"/>
    </row>
    <row r="8511" spans="2:2" ht="15.6">
      <c r="B8511" s="154"/>
    </row>
    <row r="8512" spans="2:2" ht="15.6">
      <c r="B8512" s="154"/>
    </row>
    <row r="8513" spans="2:2" ht="15.6">
      <c r="B8513" s="154"/>
    </row>
    <row r="8514" spans="2:2" ht="15.6">
      <c r="B8514" s="154"/>
    </row>
    <row r="8515" spans="2:2" ht="15.6">
      <c r="B8515" s="154"/>
    </row>
    <row r="8516" spans="2:2" ht="15.6">
      <c r="B8516" s="154"/>
    </row>
    <row r="8517" spans="2:2" ht="15.6">
      <c r="B8517" s="154"/>
    </row>
    <row r="8518" spans="2:2" ht="15.6">
      <c r="B8518" s="154"/>
    </row>
    <row r="8519" spans="2:2" ht="15.6">
      <c r="B8519" s="154"/>
    </row>
    <row r="8520" spans="2:2" ht="15.6">
      <c r="B8520" s="154"/>
    </row>
    <row r="8521" spans="2:2" ht="15.6">
      <c r="B8521" s="154"/>
    </row>
    <row r="8522" spans="2:2" ht="15.6">
      <c r="B8522" s="154"/>
    </row>
    <row r="8523" spans="2:2" ht="15.6">
      <c r="B8523" s="154"/>
    </row>
    <row r="8524" spans="2:2" ht="15.6">
      <c r="B8524" s="154"/>
    </row>
    <row r="8525" spans="2:2" ht="15.6">
      <c r="B8525" s="154"/>
    </row>
    <row r="8526" spans="2:2" ht="15.6">
      <c r="B8526" s="154"/>
    </row>
    <row r="8527" spans="2:2" ht="15.6">
      <c r="B8527" s="154"/>
    </row>
    <row r="8528" spans="2:2" ht="15.6">
      <c r="B8528" s="154"/>
    </row>
    <row r="8529" spans="2:2" ht="15.6">
      <c r="B8529" s="154"/>
    </row>
    <row r="8530" spans="2:2" ht="15.6">
      <c r="B8530" s="154"/>
    </row>
    <row r="8531" spans="2:2" ht="15.6">
      <c r="B8531" s="154"/>
    </row>
    <row r="8532" spans="2:2" ht="15.6">
      <c r="B8532" s="154"/>
    </row>
    <row r="8533" spans="2:2" ht="15.6">
      <c r="B8533" s="154"/>
    </row>
    <row r="8534" spans="2:2" ht="15.6">
      <c r="B8534" s="154"/>
    </row>
    <row r="8535" spans="2:2" ht="15.6">
      <c r="B8535" s="154"/>
    </row>
    <row r="8536" spans="2:2" ht="15.6">
      <c r="B8536" s="154"/>
    </row>
    <row r="8537" spans="2:2" ht="15.6">
      <c r="B8537" s="154"/>
    </row>
    <row r="8538" spans="2:2" ht="15.6">
      <c r="B8538" s="154"/>
    </row>
    <row r="8539" spans="2:2" ht="15.6">
      <c r="B8539" s="154"/>
    </row>
    <row r="8540" spans="2:2" ht="15.6">
      <c r="B8540" s="154"/>
    </row>
    <row r="8541" spans="2:2" ht="15.6">
      <c r="B8541" s="154"/>
    </row>
    <row r="8542" spans="2:2" ht="15.6">
      <c r="B8542" s="154"/>
    </row>
    <row r="8543" spans="2:2" ht="15.6">
      <c r="B8543" s="154"/>
    </row>
    <row r="8544" spans="2:2" ht="15.6">
      <c r="B8544" s="154"/>
    </row>
    <row r="8545" spans="2:2" ht="15.6">
      <c r="B8545" s="154"/>
    </row>
    <row r="8546" spans="2:2" ht="15.6">
      <c r="B8546" s="154"/>
    </row>
    <row r="8547" spans="2:2" ht="15.6">
      <c r="B8547" s="154"/>
    </row>
    <row r="8548" spans="2:2" ht="15.6">
      <c r="B8548" s="154"/>
    </row>
    <row r="8549" spans="2:2" ht="15.6">
      <c r="B8549" s="154"/>
    </row>
    <row r="8550" spans="2:2" ht="15.6">
      <c r="B8550" s="154"/>
    </row>
    <row r="8551" spans="2:2" ht="15.6">
      <c r="B8551" s="154"/>
    </row>
    <row r="8552" spans="2:2" ht="15.6">
      <c r="B8552" s="154"/>
    </row>
    <row r="8553" spans="2:2" ht="15.6">
      <c r="B8553" s="154"/>
    </row>
    <row r="8554" spans="2:2" ht="15.6">
      <c r="B8554" s="154"/>
    </row>
    <row r="8555" spans="2:2" ht="15.6">
      <c r="B8555" s="154"/>
    </row>
    <row r="8556" spans="2:2" ht="15.6">
      <c r="B8556" s="154"/>
    </row>
    <row r="8557" spans="2:2" ht="15.6">
      <c r="B8557" s="154"/>
    </row>
    <row r="8558" spans="2:2" ht="15.6">
      <c r="B8558" s="154"/>
    </row>
    <row r="8559" spans="2:2" ht="15.6">
      <c r="B8559" s="154"/>
    </row>
    <row r="8560" spans="2:2" ht="15.6">
      <c r="B8560" s="154"/>
    </row>
    <row r="8561" spans="2:2" ht="15.6">
      <c r="B8561" s="154"/>
    </row>
    <row r="8562" spans="2:2" ht="15.6">
      <c r="B8562" s="154"/>
    </row>
    <row r="8563" spans="2:2" ht="15.6">
      <c r="B8563" s="154"/>
    </row>
    <row r="8564" spans="2:2" ht="15.6">
      <c r="B8564" s="154"/>
    </row>
    <row r="8565" spans="2:2" ht="15.6">
      <c r="B8565" s="154"/>
    </row>
    <row r="8566" spans="2:2" ht="15.6">
      <c r="B8566" s="154"/>
    </row>
    <row r="8567" spans="2:2" ht="15.6">
      <c r="B8567" s="154"/>
    </row>
    <row r="8568" spans="2:2" ht="15.6">
      <c r="B8568" s="154"/>
    </row>
    <row r="8569" spans="2:2" ht="15.6">
      <c r="B8569" s="154"/>
    </row>
    <row r="8570" spans="2:2" ht="15.6">
      <c r="B8570" s="154"/>
    </row>
    <row r="8571" spans="2:2" ht="15.6">
      <c r="B8571" s="154"/>
    </row>
    <row r="8572" spans="2:2" ht="15.6">
      <c r="B8572" s="154"/>
    </row>
    <row r="8573" spans="2:2" ht="15.6">
      <c r="B8573" s="154"/>
    </row>
    <row r="8574" spans="2:2" ht="15.6">
      <c r="B8574" s="154"/>
    </row>
    <row r="8575" spans="2:2" ht="15.6">
      <c r="B8575" s="154"/>
    </row>
    <row r="8576" spans="2:2" ht="15.6">
      <c r="B8576" s="154"/>
    </row>
    <row r="8577" spans="2:2" ht="15.6">
      <c r="B8577" s="154"/>
    </row>
    <row r="8578" spans="2:2" ht="15.6">
      <c r="B8578" s="154"/>
    </row>
    <row r="8579" spans="2:2" ht="15.6">
      <c r="B8579" s="154"/>
    </row>
    <row r="8580" spans="2:2" ht="15.6">
      <c r="B8580" s="154"/>
    </row>
    <row r="8581" spans="2:2" ht="15.6">
      <c r="B8581" s="154"/>
    </row>
    <row r="8582" spans="2:2" ht="15.6">
      <c r="B8582" s="154"/>
    </row>
    <row r="8583" spans="2:2" ht="15.6">
      <c r="B8583" s="154"/>
    </row>
    <row r="8584" spans="2:2" ht="15.6">
      <c r="B8584" s="154"/>
    </row>
    <row r="8585" spans="2:2" ht="15.6">
      <c r="B8585" s="154"/>
    </row>
    <row r="8586" spans="2:2" ht="15.6">
      <c r="B8586" s="154"/>
    </row>
    <row r="8587" spans="2:2" ht="15.6">
      <c r="B8587" s="154"/>
    </row>
    <row r="8588" spans="2:2" ht="15.6">
      <c r="B8588" s="154"/>
    </row>
    <row r="8589" spans="2:2" ht="15.6">
      <c r="B8589" s="154"/>
    </row>
    <row r="8590" spans="2:2" ht="15.6">
      <c r="B8590" s="154"/>
    </row>
    <row r="8591" spans="2:2" ht="15.6">
      <c r="B8591" s="154"/>
    </row>
    <row r="8592" spans="2:2" ht="15.6">
      <c r="B8592" s="154"/>
    </row>
    <row r="8593" spans="2:2" ht="15.6">
      <c r="B8593" s="154"/>
    </row>
    <row r="8594" spans="2:2" ht="15.6">
      <c r="B8594" s="154"/>
    </row>
    <row r="8595" spans="2:2" ht="15.6">
      <c r="B8595" s="154"/>
    </row>
    <row r="8596" spans="2:2" ht="15.6">
      <c r="B8596" s="154"/>
    </row>
    <row r="8597" spans="2:2" ht="15.6">
      <c r="B8597" s="154"/>
    </row>
    <row r="8598" spans="2:2" ht="15.6">
      <c r="B8598" s="154"/>
    </row>
    <row r="8599" spans="2:2" ht="15.6">
      <c r="B8599" s="154"/>
    </row>
    <row r="8600" spans="2:2" ht="15.6">
      <c r="B8600" s="154"/>
    </row>
    <row r="8601" spans="2:2" ht="15.6">
      <c r="B8601" s="154"/>
    </row>
    <row r="8602" spans="2:2" ht="15.6">
      <c r="B8602" s="154"/>
    </row>
    <row r="8603" spans="2:2" ht="15.6">
      <c r="B8603" s="154"/>
    </row>
    <row r="8604" spans="2:2" ht="15.6">
      <c r="B8604" s="154"/>
    </row>
    <row r="8605" spans="2:2" ht="15.6">
      <c r="B8605" s="154"/>
    </row>
    <row r="8606" spans="2:2" ht="15.6">
      <c r="B8606" s="154"/>
    </row>
    <row r="8607" spans="2:2" ht="15.6">
      <c r="B8607" s="154"/>
    </row>
    <row r="8608" spans="2:2" ht="15.6">
      <c r="B8608" s="154"/>
    </row>
    <row r="8609" spans="2:2" ht="15.6">
      <c r="B8609" s="154"/>
    </row>
    <row r="8610" spans="2:2" ht="15.6">
      <c r="B8610" s="154"/>
    </row>
    <row r="8611" spans="2:2" ht="15.6">
      <c r="B8611" s="154"/>
    </row>
    <row r="8612" spans="2:2" ht="15.6">
      <c r="B8612" s="154"/>
    </row>
    <row r="8613" spans="2:2" ht="15.6">
      <c r="B8613" s="154"/>
    </row>
    <row r="8614" spans="2:2" ht="15.6">
      <c r="B8614" s="154"/>
    </row>
    <row r="8615" spans="2:2" ht="15.6">
      <c r="B8615" s="154"/>
    </row>
    <row r="8616" spans="2:2" ht="15.6">
      <c r="B8616" s="154"/>
    </row>
    <row r="8617" spans="2:2" ht="15.6">
      <c r="B8617" s="154"/>
    </row>
    <row r="8618" spans="2:2" ht="15.6">
      <c r="B8618" s="154"/>
    </row>
    <row r="8619" spans="2:2" ht="15.6">
      <c r="B8619" s="154"/>
    </row>
    <row r="8620" spans="2:2" ht="15.6">
      <c r="B8620" s="154"/>
    </row>
    <row r="8621" spans="2:2" ht="15.6">
      <c r="B8621" s="154"/>
    </row>
    <row r="8622" spans="2:2" ht="15.6">
      <c r="B8622" s="154"/>
    </row>
    <row r="8623" spans="2:2" ht="15.6">
      <c r="B8623" s="154"/>
    </row>
    <row r="8624" spans="2:2" ht="15.6">
      <c r="B8624" s="154"/>
    </row>
    <row r="8625" spans="2:2" ht="15.6">
      <c r="B8625" s="154"/>
    </row>
    <row r="8626" spans="2:2" ht="15.6">
      <c r="B8626" s="154"/>
    </row>
    <row r="8627" spans="2:2" ht="15.6">
      <c r="B8627" s="154"/>
    </row>
    <row r="8628" spans="2:2" ht="15.6">
      <c r="B8628" s="154"/>
    </row>
    <row r="8629" spans="2:2" ht="15.6">
      <c r="B8629" s="154"/>
    </row>
    <row r="8630" spans="2:2" ht="15.6">
      <c r="B8630" s="154"/>
    </row>
    <row r="8631" spans="2:2" ht="15.6">
      <c r="B8631" s="154"/>
    </row>
    <row r="8632" spans="2:2" ht="15.6">
      <c r="B8632" s="154"/>
    </row>
    <row r="8633" spans="2:2" ht="15.6">
      <c r="B8633" s="154"/>
    </row>
    <row r="8634" spans="2:2" ht="15.6">
      <c r="B8634" s="154"/>
    </row>
    <row r="8635" spans="2:2" ht="15.6">
      <c r="B8635" s="154"/>
    </row>
    <row r="8636" spans="2:2" ht="15.6">
      <c r="B8636" s="154"/>
    </row>
    <row r="8637" spans="2:2" ht="15.6">
      <c r="B8637" s="154"/>
    </row>
    <row r="8638" spans="2:2" ht="15.6">
      <c r="B8638" s="154"/>
    </row>
    <row r="8639" spans="2:2" ht="15.6">
      <c r="B8639" s="154"/>
    </row>
    <row r="8640" spans="2:2" ht="15.6">
      <c r="B8640" s="154"/>
    </row>
    <row r="8641" spans="2:2" ht="15.6">
      <c r="B8641" s="154"/>
    </row>
    <row r="8642" spans="2:2" ht="15.6">
      <c r="B8642" s="154"/>
    </row>
    <row r="8643" spans="2:2" ht="15.6">
      <c r="B8643" s="154"/>
    </row>
    <row r="8644" spans="2:2" ht="15.6">
      <c r="B8644" s="154"/>
    </row>
    <row r="8645" spans="2:2" ht="15.6">
      <c r="B8645" s="154"/>
    </row>
    <row r="8646" spans="2:2" ht="15.6">
      <c r="B8646" s="154"/>
    </row>
    <row r="8647" spans="2:2" ht="15.6">
      <c r="B8647" s="154"/>
    </row>
    <row r="8648" spans="2:2" ht="15.6">
      <c r="B8648" s="154"/>
    </row>
    <row r="8649" spans="2:2" ht="15.6">
      <c r="B8649" s="154"/>
    </row>
    <row r="8650" spans="2:2" ht="15.6">
      <c r="B8650" s="154"/>
    </row>
    <row r="8651" spans="2:2" ht="15.6">
      <c r="B8651" s="154"/>
    </row>
    <row r="8652" spans="2:2" ht="15.6">
      <c r="B8652" s="154"/>
    </row>
    <row r="8653" spans="2:2" ht="15.6">
      <c r="B8653" s="154"/>
    </row>
    <row r="8654" spans="2:2" ht="15.6">
      <c r="B8654" s="154"/>
    </row>
    <row r="8655" spans="2:2" ht="15.6">
      <c r="B8655" s="154"/>
    </row>
    <row r="8656" spans="2:2" ht="15.6">
      <c r="B8656" s="154"/>
    </row>
    <row r="8657" spans="2:2" ht="15.6">
      <c r="B8657" s="154"/>
    </row>
    <row r="8658" spans="2:2" ht="15.6">
      <c r="B8658" s="154"/>
    </row>
    <row r="8659" spans="2:2" ht="15.6">
      <c r="B8659" s="154"/>
    </row>
    <row r="8660" spans="2:2" ht="15.6">
      <c r="B8660" s="154"/>
    </row>
    <row r="8661" spans="2:2" ht="15.6">
      <c r="B8661" s="154"/>
    </row>
    <row r="8662" spans="2:2" ht="15.6">
      <c r="B8662" s="154"/>
    </row>
    <row r="8663" spans="2:2" ht="15.6">
      <c r="B8663" s="154"/>
    </row>
    <row r="8664" spans="2:2" ht="15.6">
      <c r="B8664" s="154"/>
    </row>
    <row r="8665" spans="2:2" ht="15.6">
      <c r="B8665" s="154"/>
    </row>
    <row r="8666" spans="2:2" ht="15.6">
      <c r="B8666" s="154"/>
    </row>
    <row r="8667" spans="2:2" ht="15.6">
      <c r="B8667" s="154"/>
    </row>
    <row r="8668" spans="2:2" ht="15.6">
      <c r="B8668" s="154"/>
    </row>
    <row r="8669" spans="2:2" ht="15.6">
      <c r="B8669" s="154"/>
    </row>
    <row r="8670" spans="2:2" ht="15.6">
      <c r="B8670" s="154"/>
    </row>
    <row r="8671" spans="2:2" ht="15.6">
      <c r="B8671" s="154"/>
    </row>
    <row r="8672" spans="2:2" ht="15.6">
      <c r="B8672" s="154"/>
    </row>
    <row r="8673" spans="2:2" ht="15.6">
      <c r="B8673" s="154"/>
    </row>
    <row r="8674" spans="2:2" ht="15.6">
      <c r="B8674" s="154"/>
    </row>
    <row r="8675" spans="2:2" ht="15.6">
      <c r="B8675" s="154"/>
    </row>
    <row r="8676" spans="2:2" ht="15.6">
      <c r="B8676" s="154"/>
    </row>
    <row r="8677" spans="2:2" ht="15.6">
      <c r="B8677" s="154"/>
    </row>
    <row r="8678" spans="2:2" ht="15.6">
      <c r="B8678" s="154"/>
    </row>
    <row r="8679" spans="2:2" ht="15.6">
      <c r="B8679" s="154"/>
    </row>
    <row r="8680" spans="2:2" ht="15.6">
      <c r="B8680" s="154"/>
    </row>
    <row r="8681" spans="2:2" ht="15.6">
      <c r="B8681" s="154"/>
    </row>
    <row r="8682" spans="2:2" ht="15.6">
      <c r="B8682" s="154"/>
    </row>
    <row r="8683" spans="2:2" ht="15.6">
      <c r="B8683" s="154"/>
    </row>
    <row r="8684" spans="2:2" ht="15.6">
      <c r="B8684" s="154"/>
    </row>
    <row r="8685" spans="2:2" ht="15.6">
      <c r="B8685" s="154"/>
    </row>
    <row r="8686" spans="2:2" ht="15.6">
      <c r="B8686" s="154"/>
    </row>
    <row r="8687" spans="2:2" ht="15.6">
      <c r="B8687" s="154"/>
    </row>
    <row r="8688" spans="2:2" ht="15.6">
      <c r="B8688" s="154"/>
    </row>
    <row r="8689" spans="2:2" ht="15.6">
      <c r="B8689" s="154"/>
    </row>
    <row r="8690" spans="2:2" ht="15.6">
      <c r="B8690" s="154"/>
    </row>
    <row r="8691" spans="2:2" ht="15.6">
      <c r="B8691" s="154"/>
    </row>
    <row r="8692" spans="2:2" ht="15.6">
      <c r="B8692" s="154"/>
    </row>
    <row r="8693" spans="2:2" ht="15.6">
      <c r="B8693" s="154"/>
    </row>
    <row r="8694" spans="2:2" ht="15.6">
      <c r="B8694" s="154"/>
    </row>
    <row r="8695" spans="2:2" ht="15.6">
      <c r="B8695" s="154"/>
    </row>
    <row r="8696" spans="2:2" ht="15.6">
      <c r="B8696" s="154"/>
    </row>
    <row r="8697" spans="2:2" ht="15.6">
      <c r="B8697" s="154"/>
    </row>
    <row r="8698" spans="2:2" ht="15.6">
      <c r="B8698" s="154"/>
    </row>
    <row r="8699" spans="2:2" ht="15.6">
      <c r="B8699" s="154"/>
    </row>
    <row r="8700" spans="2:2" ht="15.6">
      <c r="B8700" s="154"/>
    </row>
    <row r="8701" spans="2:2" ht="15.6">
      <c r="B8701" s="154"/>
    </row>
    <row r="8702" spans="2:2" ht="15.6">
      <c r="B8702" s="154"/>
    </row>
    <row r="8703" spans="2:2" ht="15.6">
      <c r="B8703" s="154"/>
    </row>
    <row r="8704" spans="2:2" ht="15.6">
      <c r="B8704" s="154"/>
    </row>
    <row r="8705" spans="2:2" ht="15.6">
      <c r="B8705" s="154"/>
    </row>
    <row r="8706" spans="2:2" ht="15.6">
      <c r="B8706" s="154"/>
    </row>
    <row r="8707" spans="2:2" ht="15.6">
      <c r="B8707" s="154"/>
    </row>
    <row r="8708" spans="2:2" ht="15.6">
      <c r="B8708" s="154"/>
    </row>
    <row r="8709" spans="2:2" ht="15.6">
      <c r="B8709" s="154"/>
    </row>
    <row r="8710" spans="2:2" ht="15.6">
      <c r="B8710" s="154"/>
    </row>
    <row r="8711" spans="2:2" ht="15.6">
      <c r="B8711" s="154"/>
    </row>
    <row r="8712" spans="2:2" ht="15.6">
      <c r="B8712" s="154"/>
    </row>
    <row r="8713" spans="2:2" ht="15.6">
      <c r="B8713" s="154"/>
    </row>
    <row r="8714" spans="2:2" ht="15.6">
      <c r="B8714" s="154"/>
    </row>
    <row r="8715" spans="2:2" ht="15.6">
      <c r="B8715" s="154"/>
    </row>
    <row r="8716" spans="2:2" ht="15.6">
      <c r="B8716" s="154"/>
    </row>
    <row r="8717" spans="2:2" ht="15.6">
      <c r="B8717" s="154"/>
    </row>
    <row r="8718" spans="2:2" ht="15.6">
      <c r="B8718" s="154"/>
    </row>
    <row r="8719" spans="2:2" ht="15.6">
      <c r="B8719" s="154"/>
    </row>
    <row r="8720" spans="2:2" ht="15.6">
      <c r="B8720" s="154"/>
    </row>
    <row r="8721" spans="2:2" ht="15.6">
      <c r="B8721" s="154"/>
    </row>
    <row r="8722" spans="2:2" ht="15.6">
      <c r="B8722" s="154"/>
    </row>
    <row r="8723" spans="2:2" ht="15.6">
      <c r="B8723" s="154"/>
    </row>
    <row r="8724" spans="2:2" ht="15.6">
      <c r="B8724" s="154"/>
    </row>
    <row r="8725" spans="2:2" ht="15.6">
      <c r="B8725" s="154"/>
    </row>
    <row r="8726" spans="2:2" ht="15.6">
      <c r="B8726" s="154"/>
    </row>
    <row r="8727" spans="2:2" ht="15.6">
      <c r="B8727" s="154"/>
    </row>
    <row r="8728" spans="2:2" ht="15.6">
      <c r="B8728" s="154"/>
    </row>
    <row r="8729" spans="2:2" ht="15.6">
      <c r="B8729" s="154"/>
    </row>
    <row r="8730" spans="2:2" ht="15.6">
      <c r="B8730" s="154"/>
    </row>
    <row r="8731" spans="2:2" ht="15.6">
      <c r="B8731" s="154"/>
    </row>
    <row r="8732" spans="2:2" ht="15.6">
      <c r="B8732" s="154"/>
    </row>
    <row r="8733" spans="2:2" ht="15.6">
      <c r="B8733" s="154"/>
    </row>
    <row r="8734" spans="2:2" ht="15.6">
      <c r="B8734" s="154"/>
    </row>
    <row r="8735" spans="2:2" ht="15.6">
      <c r="B8735" s="154"/>
    </row>
    <row r="8736" spans="2:2" ht="15.6">
      <c r="B8736" s="154"/>
    </row>
    <row r="8737" spans="2:2" ht="15.6">
      <c r="B8737" s="154"/>
    </row>
    <row r="8738" spans="2:2" ht="15.6">
      <c r="B8738" s="154"/>
    </row>
    <row r="8739" spans="2:2" ht="15.6">
      <c r="B8739" s="154"/>
    </row>
    <row r="8740" spans="2:2" ht="15.6">
      <c r="B8740" s="154"/>
    </row>
    <row r="8741" spans="2:2" ht="15.6">
      <c r="B8741" s="154"/>
    </row>
    <row r="8742" spans="2:2" ht="15.6">
      <c r="B8742" s="154"/>
    </row>
    <row r="8743" spans="2:2" ht="15.6">
      <c r="B8743" s="154"/>
    </row>
    <row r="8744" spans="2:2" ht="15.6">
      <c r="B8744" s="154"/>
    </row>
    <row r="8745" spans="2:2" ht="15.6">
      <c r="B8745" s="154"/>
    </row>
    <row r="8746" spans="2:2" ht="15.6">
      <c r="B8746" s="154"/>
    </row>
    <row r="8747" spans="2:2" ht="15.6">
      <c r="B8747" s="154"/>
    </row>
    <row r="8748" spans="2:2" ht="15.6">
      <c r="B8748" s="154"/>
    </row>
    <row r="8749" spans="2:2" ht="15.6">
      <c r="B8749" s="154"/>
    </row>
    <row r="8750" spans="2:2" ht="15.6">
      <c r="B8750" s="154"/>
    </row>
    <row r="8751" spans="2:2" ht="15.6">
      <c r="B8751" s="154"/>
    </row>
    <row r="8752" spans="2:2" ht="15.6">
      <c r="B8752" s="154"/>
    </row>
    <row r="8753" spans="2:2" ht="15.6">
      <c r="B8753" s="154"/>
    </row>
    <row r="8754" spans="2:2" ht="15.6">
      <c r="B8754" s="154"/>
    </row>
    <row r="8755" spans="2:2" ht="15.6">
      <c r="B8755" s="154"/>
    </row>
    <row r="8756" spans="2:2" ht="15.6">
      <c r="B8756" s="154"/>
    </row>
    <row r="8757" spans="2:2" ht="15.6">
      <c r="B8757" s="154"/>
    </row>
    <row r="8758" spans="2:2" ht="15.6">
      <c r="B8758" s="154"/>
    </row>
    <row r="8759" spans="2:2" ht="15.6">
      <c r="B8759" s="154"/>
    </row>
    <row r="8760" spans="2:2" ht="15.6">
      <c r="B8760" s="154"/>
    </row>
    <row r="8761" spans="2:2" ht="15.6">
      <c r="B8761" s="154"/>
    </row>
    <row r="8762" spans="2:2" ht="15.6">
      <c r="B8762" s="154"/>
    </row>
    <row r="8763" spans="2:2" ht="15.6">
      <c r="B8763" s="154"/>
    </row>
    <row r="8764" spans="2:2" ht="15.6">
      <c r="B8764" s="154"/>
    </row>
    <row r="8765" spans="2:2" ht="15.6">
      <c r="B8765" s="154"/>
    </row>
    <row r="8766" spans="2:2" ht="15.6">
      <c r="B8766" s="154"/>
    </row>
    <row r="8767" spans="2:2" ht="15.6">
      <c r="B8767" s="154"/>
    </row>
    <row r="8768" spans="2:2" ht="15.6">
      <c r="B8768" s="154"/>
    </row>
    <row r="8769" spans="2:2" ht="15.6">
      <c r="B8769" s="154"/>
    </row>
    <row r="8770" spans="2:2" ht="15.6">
      <c r="B8770" s="154"/>
    </row>
    <row r="8771" spans="2:2" ht="15.6">
      <c r="B8771" s="154"/>
    </row>
    <row r="8772" spans="2:2" ht="15.6">
      <c r="B8772" s="154"/>
    </row>
    <row r="8773" spans="2:2" ht="15.6">
      <c r="B8773" s="154"/>
    </row>
    <row r="8774" spans="2:2" ht="15.6">
      <c r="B8774" s="154"/>
    </row>
    <row r="8775" spans="2:2" ht="15.6">
      <c r="B8775" s="154"/>
    </row>
    <row r="8776" spans="2:2" ht="15.6">
      <c r="B8776" s="154"/>
    </row>
    <row r="8777" spans="2:2" ht="15.6">
      <c r="B8777" s="154"/>
    </row>
    <row r="8778" spans="2:2" ht="15.6">
      <c r="B8778" s="154"/>
    </row>
    <row r="8779" spans="2:2" ht="15.6">
      <c r="B8779" s="154"/>
    </row>
    <row r="8780" spans="2:2" ht="15.6">
      <c r="B8780" s="154"/>
    </row>
    <row r="8781" spans="2:2" ht="15.6">
      <c r="B8781" s="154"/>
    </row>
    <row r="8782" spans="2:2" ht="15.6">
      <c r="B8782" s="154"/>
    </row>
    <row r="8783" spans="2:2" ht="15.6">
      <c r="B8783" s="154"/>
    </row>
    <row r="8784" spans="2:2" ht="15.6">
      <c r="B8784" s="154"/>
    </row>
    <row r="8785" spans="2:2" ht="15.6">
      <c r="B8785" s="154"/>
    </row>
    <row r="8786" spans="2:2" ht="15.6">
      <c r="B8786" s="154"/>
    </row>
    <row r="8787" spans="2:2" ht="15.6">
      <c r="B8787" s="154"/>
    </row>
    <row r="8788" spans="2:2" ht="15.6">
      <c r="B8788" s="154"/>
    </row>
    <row r="8789" spans="2:2" ht="15.6">
      <c r="B8789" s="154"/>
    </row>
    <row r="8790" spans="2:2" ht="15.6">
      <c r="B8790" s="154"/>
    </row>
    <row r="8791" spans="2:2" ht="15.6">
      <c r="B8791" s="154"/>
    </row>
    <row r="8792" spans="2:2" ht="15.6">
      <c r="B8792" s="154"/>
    </row>
    <row r="8793" spans="2:2" ht="15.6">
      <c r="B8793" s="154"/>
    </row>
    <row r="8794" spans="2:2" ht="15.6">
      <c r="B8794" s="154"/>
    </row>
    <row r="8795" spans="2:2" ht="15.6">
      <c r="B8795" s="154"/>
    </row>
    <row r="8796" spans="2:2" ht="15.6">
      <c r="B8796" s="154"/>
    </row>
    <row r="8797" spans="2:2" ht="15.6">
      <c r="B8797" s="154"/>
    </row>
    <row r="8798" spans="2:2" ht="15.6">
      <c r="B8798" s="154"/>
    </row>
    <row r="8799" spans="2:2" ht="15.6">
      <c r="B8799" s="154"/>
    </row>
    <row r="8800" spans="2:2" ht="15.6">
      <c r="B8800" s="154"/>
    </row>
    <row r="8801" spans="2:2" ht="15.6">
      <c r="B8801" s="154"/>
    </row>
    <row r="8802" spans="2:2" ht="15.6">
      <c r="B8802" s="154"/>
    </row>
    <row r="8803" spans="2:2" ht="15.6">
      <c r="B8803" s="154"/>
    </row>
    <row r="8804" spans="2:2" ht="15.6">
      <c r="B8804" s="154"/>
    </row>
    <row r="8805" spans="2:2" ht="15.6">
      <c r="B8805" s="154"/>
    </row>
    <row r="8806" spans="2:2" ht="15.6">
      <c r="B8806" s="154"/>
    </row>
    <row r="8807" spans="2:2" ht="15.6">
      <c r="B8807" s="154"/>
    </row>
    <row r="8808" spans="2:2" ht="15.6">
      <c r="B8808" s="154"/>
    </row>
    <row r="8809" spans="2:2" ht="15.6">
      <c r="B8809" s="154"/>
    </row>
    <row r="8810" spans="2:2" ht="15.6">
      <c r="B8810" s="154"/>
    </row>
    <row r="8811" spans="2:2" ht="15.6">
      <c r="B8811" s="154"/>
    </row>
    <row r="8812" spans="2:2" ht="15.6">
      <c r="B8812" s="154"/>
    </row>
    <row r="8813" spans="2:2" ht="15.6">
      <c r="B8813" s="154"/>
    </row>
    <row r="8814" spans="2:2" ht="15.6">
      <c r="B8814" s="154"/>
    </row>
    <row r="8815" spans="2:2" ht="15.6">
      <c r="B8815" s="154"/>
    </row>
    <row r="8816" spans="2:2" ht="15.6">
      <c r="B8816" s="154"/>
    </row>
    <row r="8817" spans="2:2" ht="15.6">
      <c r="B8817" s="154"/>
    </row>
    <row r="8818" spans="2:2" ht="15.6">
      <c r="B8818" s="154"/>
    </row>
    <row r="8819" spans="2:2" ht="15.6">
      <c r="B8819" s="154"/>
    </row>
    <row r="8820" spans="2:2" ht="15.6">
      <c r="B8820" s="154"/>
    </row>
    <row r="8821" spans="2:2" ht="15.6">
      <c r="B8821" s="154"/>
    </row>
    <row r="8822" spans="2:2" ht="15.6">
      <c r="B8822" s="154"/>
    </row>
    <row r="8823" spans="2:2" ht="15.6">
      <c r="B8823" s="154"/>
    </row>
    <row r="8824" spans="2:2" ht="15.6">
      <c r="B8824" s="154"/>
    </row>
    <row r="8825" spans="2:2" ht="15.6">
      <c r="B8825" s="154"/>
    </row>
    <row r="8826" spans="2:2" ht="15.6">
      <c r="B8826" s="154"/>
    </row>
    <row r="8827" spans="2:2" ht="15.6">
      <c r="B8827" s="154"/>
    </row>
    <row r="8828" spans="2:2" ht="15.6">
      <c r="B8828" s="154"/>
    </row>
    <row r="8829" spans="2:2" ht="15.6">
      <c r="B8829" s="154"/>
    </row>
    <row r="8830" spans="2:2" ht="15.6">
      <c r="B8830" s="154"/>
    </row>
    <row r="8831" spans="2:2" ht="15.6">
      <c r="B8831" s="154"/>
    </row>
    <row r="8832" spans="2:2" ht="15.6">
      <c r="B8832" s="154"/>
    </row>
    <row r="8833" spans="2:2" ht="15.6">
      <c r="B8833" s="154"/>
    </row>
    <row r="8834" spans="2:2" ht="15.6">
      <c r="B8834" s="154"/>
    </row>
    <row r="8835" spans="2:2" ht="15.6">
      <c r="B8835" s="154"/>
    </row>
    <row r="8836" spans="2:2" ht="15.6">
      <c r="B8836" s="154"/>
    </row>
    <row r="8837" spans="2:2" ht="15.6">
      <c r="B8837" s="154"/>
    </row>
    <row r="8838" spans="2:2" ht="15.6">
      <c r="B8838" s="154"/>
    </row>
    <row r="8839" spans="2:2" ht="15.6">
      <c r="B8839" s="154"/>
    </row>
    <row r="8840" spans="2:2" ht="15.6">
      <c r="B8840" s="154"/>
    </row>
    <row r="8841" spans="2:2" ht="15.6">
      <c r="B8841" s="154"/>
    </row>
    <row r="8842" spans="2:2" ht="15.6">
      <c r="B8842" s="154"/>
    </row>
    <row r="8843" spans="2:2" ht="15.6">
      <c r="B8843" s="154"/>
    </row>
    <row r="8844" spans="2:2" ht="15.6">
      <c r="B8844" s="154"/>
    </row>
    <row r="8845" spans="2:2" ht="15.6">
      <c r="B8845" s="154"/>
    </row>
    <row r="8846" spans="2:2" ht="15.6">
      <c r="B8846" s="154"/>
    </row>
    <row r="8847" spans="2:2" ht="15.6">
      <c r="B8847" s="154"/>
    </row>
    <row r="8848" spans="2:2" ht="15.6">
      <c r="B8848" s="154"/>
    </row>
    <row r="8849" spans="2:2" ht="15.6">
      <c r="B8849" s="154"/>
    </row>
    <row r="8850" spans="2:2" ht="15.6">
      <c r="B8850" s="154"/>
    </row>
    <row r="8851" spans="2:2" ht="15.6">
      <c r="B8851" s="154"/>
    </row>
    <row r="8852" spans="2:2" ht="15.6">
      <c r="B8852" s="154"/>
    </row>
    <row r="8853" spans="2:2" ht="15.6">
      <c r="B8853" s="154"/>
    </row>
    <row r="8854" spans="2:2" ht="15.6">
      <c r="B8854" s="154"/>
    </row>
    <row r="8855" spans="2:2" ht="15.6">
      <c r="B8855" s="154"/>
    </row>
    <row r="8856" spans="2:2" ht="15.6">
      <c r="B8856" s="154"/>
    </row>
    <row r="8857" spans="2:2" ht="15.6">
      <c r="B8857" s="154"/>
    </row>
    <row r="8858" spans="2:2" ht="15.6">
      <c r="B8858" s="154"/>
    </row>
    <row r="8859" spans="2:2" ht="15.6">
      <c r="B8859" s="154"/>
    </row>
    <row r="8860" spans="2:2" ht="15.6">
      <c r="B8860" s="154"/>
    </row>
    <row r="8861" spans="2:2" ht="15.6">
      <c r="B8861" s="154"/>
    </row>
    <row r="8862" spans="2:2" ht="15.6">
      <c r="B8862" s="154"/>
    </row>
    <row r="8863" spans="2:2" ht="15.6">
      <c r="B8863" s="154"/>
    </row>
    <row r="8864" spans="2:2" ht="15.6">
      <c r="B8864" s="154"/>
    </row>
    <row r="8865" spans="2:2" ht="15.6">
      <c r="B8865" s="154"/>
    </row>
    <row r="8866" spans="2:2" ht="15.6">
      <c r="B8866" s="154"/>
    </row>
    <row r="8867" spans="2:2" ht="15.6">
      <c r="B8867" s="154"/>
    </row>
    <row r="8868" spans="2:2" ht="15.6">
      <c r="B8868" s="154"/>
    </row>
    <row r="8869" spans="2:2" ht="15.6">
      <c r="B8869" s="154"/>
    </row>
    <row r="8870" spans="2:2" ht="15.6">
      <c r="B8870" s="154"/>
    </row>
    <row r="8871" spans="2:2" ht="15.6">
      <c r="B8871" s="154"/>
    </row>
    <row r="8872" spans="2:2" ht="15.6">
      <c r="B8872" s="154"/>
    </row>
    <row r="8873" spans="2:2" ht="15.6">
      <c r="B8873" s="154"/>
    </row>
    <row r="8874" spans="2:2" ht="15.6">
      <c r="B8874" s="154"/>
    </row>
    <row r="8875" spans="2:2" ht="15.6">
      <c r="B8875" s="154"/>
    </row>
    <row r="8876" spans="2:2" ht="15.6">
      <c r="B8876" s="154"/>
    </row>
    <row r="8877" spans="2:2" ht="15.6">
      <c r="B8877" s="154"/>
    </row>
    <row r="8878" spans="2:2" ht="15.6">
      <c r="B8878" s="154"/>
    </row>
    <row r="8879" spans="2:2" ht="15.6">
      <c r="B8879" s="154"/>
    </row>
    <row r="8880" spans="2:2" ht="15.6">
      <c r="B8880" s="154"/>
    </row>
    <row r="8881" spans="2:2" ht="15.6">
      <c r="B8881" s="154"/>
    </row>
    <row r="8882" spans="2:2" ht="15.6">
      <c r="B8882" s="154"/>
    </row>
    <row r="8883" spans="2:2" ht="15.6">
      <c r="B8883" s="154"/>
    </row>
    <row r="8884" spans="2:2" ht="15.6">
      <c r="B8884" s="154"/>
    </row>
    <row r="8885" spans="2:2" ht="15.6">
      <c r="B8885" s="154"/>
    </row>
    <row r="8886" spans="2:2" ht="15.6">
      <c r="B8886" s="154"/>
    </row>
    <row r="8887" spans="2:2" ht="15.6">
      <c r="B8887" s="154"/>
    </row>
    <row r="8888" spans="2:2" ht="15.6">
      <c r="B8888" s="154"/>
    </row>
    <row r="8889" spans="2:2" ht="15.6">
      <c r="B8889" s="154"/>
    </row>
    <row r="8890" spans="2:2" ht="15.6">
      <c r="B8890" s="154"/>
    </row>
    <row r="8891" spans="2:2" ht="15.6">
      <c r="B8891" s="154"/>
    </row>
    <row r="8892" spans="2:2" ht="15.6">
      <c r="B8892" s="154"/>
    </row>
    <row r="8893" spans="2:2" ht="15.6">
      <c r="B8893" s="154"/>
    </row>
    <row r="8894" spans="2:2" ht="15.6">
      <c r="B8894" s="154"/>
    </row>
    <row r="8895" spans="2:2" ht="15.6">
      <c r="B8895" s="154"/>
    </row>
    <row r="8896" spans="2:2" ht="15.6">
      <c r="B8896" s="154"/>
    </row>
    <row r="8897" spans="2:2" ht="15.6">
      <c r="B8897" s="154"/>
    </row>
    <row r="8898" spans="2:2" ht="15.6">
      <c r="B8898" s="154"/>
    </row>
    <row r="8899" spans="2:2" ht="15.6">
      <c r="B8899" s="154"/>
    </row>
    <row r="8900" spans="2:2" ht="15.6">
      <c r="B8900" s="154"/>
    </row>
    <row r="8901" spans="2:2" ht="15.6">
      <c r="B8901" s="154"/>
    </row>
    <row r="8902" spans="2:2" ht="15.6">
      <c r="B8902" s="154"/>
    </row>
    <row r="8903" spans="2:2" ht="15.6">
      <c r="B8903" s="154"/>
    </row>
    <row r="8904" spans="2:2" ht="15.6">
      <c r="B8904" s="154"/>
    </row>
    <row r="8905" spans="2:2" ht="15.6">
      <c r="B8905" s="154"/>
    </row>
    <row r="8906" spans="2:2" ht="15.6">
      <c r="B8906" s="154"/>
    </row>
    <row r="8907" spans="2:2" ht="15.6">
      <c r="B8907" s="154"/>
    </row>
    <row r="8908" spans="2:2" ht="15.6">
      <c r="B8908" s="154"/>
    </row>
    <row r="8909" spans="2:2" ht="15.6">
      <c r="B8909" s="154"/>
    </row>
    <row r="8910" spans="2:2" ht="15.6">
      <c r="B8910" s="154"/>
    </row>
    <row r="8911" spans="2:2" ht="15.6">
      <c r="B8911" s="154"/>
    </row>
    <row r="8912" spans="2:2" ht="15.6">
      <c r="B8912" s="154"/>
    </row>
    <row r="8913" spans="2:2" ht="15.6">
      <c r="B8913" s="154"/>
    </row>
    <row r="8914" spans="2:2" ht="15.6">
      <c r="B8914" s="154"/>
    </row>
    <row r="8915" spans="2:2" ht="15.6">
      <c r="B8915" s="154"/>
    </row>
    <row r="8916" spans="2:2" ht="15.6">
      <c r="B8916" s="154"/>
    </row>
    <row r="8917" spans="2:2" ht="15.6">
      <c r="B8917" s="154"/>
    </row>
    <row r="8918" spans="2:2" ht="15.6">
      <c r="B8918" s="154"/>
    </row>
    <row r="8919" spans="2:2" ht="15.6">
      <c r="B8919" s="154"/>
    </row>
    <row r="8920" spans="2:2" ht="15.6">
      <c r="B8920" s="154"/>
    </row>
    <row r="8921" spans="2:2" ht="15.6">
      <c r="B8921" s="154"/>
    </row>
    <row r="8922" spans="2:2" ht="15.6">
      <c r="B8922" s="154"/>
    </row>
    <row r="8923" spans="2:2" ht="15.6">
      <c r="B8923" s="154"/>
    </row>
    <row r="8924" spans="2:2" ht="15.6">
      <c r="B8924" s="154"/>
    </row>
    <row r="8925" spans="2:2" ht="15.6">
      <c r="B8925" s="154"/>
    </row>
    <row r="8926" spans="2:2" ht="15.6">
      <c r="B8926" s="154"/>
    </row>
    <row r="8927" spans="2:2" ht="15.6">
      <c r="B8927" s="154"/>
    </row>
    <row r="8928" spans="2:2" ht="15.6">
      <c r="B8928" s="154"/>
    </row>
    <row r="8929" spans="2:2" ht="15.6">
      <c r="B8929" s="154"/>
    </row>
    <row r="8930" spans="2:2" ht="15.6">
      <c r="B8930" s="154"/>
    </row>
    <row r="8931" spans="2:2" ht="15.6">
      <c r="B8931" s="154"/>
    </row>
    <row r="8932" spans="2:2" ht="15.6">
      <c r="B8932" s="154"/>
    </row>
    <row r="8933" spans="2:2" ht="15.6">
      <c r="B8933" s="154"/>
    </row>
    <row r="8934" spans="2:2" ht="15.6">
      <c r="B8934" s="154"/>
    </row>
    <row r="8935" spans="2:2" ht="15.6">
      <c r="B8935" s="154"/>
    </row>
    <row r="8936" spans="2:2" ht="15.6">
      <c r="B8936" s="154"/>
    </row>
    <row r="8937" spans="2:2" ht="15.6">
      <c r="B8937" s="154"/>
    </row>
    <row r="8938" spans="2:2" ht="15.6">
      <c r="B8938" s="154"/>
    </row>
    <row r="8939" spans="2:2" ht="15.6">
      <c r="B8939" s="154"/>
    </row>
    <row r="8940" spans="2:2" ht="15.6">
      <c r="B8940" s="154"/>
    </row>
    <row r="8941" spans="2:2" ht="15.6">
      <c r="B8941" s="154"/>
    </row>
    <row r="8942" spans="2:2" ht="15.6">
      <c r="B8942" s="154"/>
    </row>
    <row r="8943" spans="2:2" ht="15.6">
      <c r="B8943" s="154"/>
    </row>
    <row r="8944" spans="2:2" ht="15.6">
      <c r="B8944" s="154"/>
    </row>
    <row r="8945" spans="2:2" ht="15.6">
      <c r="B8945" s="154"/>
    </row>
    <row r="8946" spans="2:2" ht="15.6">
      <c r="B8946" s="154"/>
    </row>
    <row r="8947" spans="2:2" ht="15.6">
      <c r="B8947" s="154"/>
    </row>
    <row r="8948" spans="2:2" ht="15.6">
      <c r="B8948" s="154"/>
    </row>
    <row r="8949" spans="2:2" ht="15.6">
      <c r="B8949" s="154"/>
    </row>
    <row r="8950" spans="2:2" ht="15.6">
      <c r="B8950" s="154"/>
    </row>
    <row r="8951" spans="2:2" ht="15.6">
      <c r="B8951" s="154"/>
    </row>
    <row r="8952" spans="2:2" ht="15.6">
      <c r="B8952" s="154"/>
    </row>
    <row r="8953" spans="2:2" ht="15.6">
      <c r="B8953" s="154"/>
    </row>
    <row r="8954" spans="2:2" ht="15.6">
      <c r="B8954" s="154"/>
    </row>
    <row r="8955" spans="2:2" ht="15.6">
      <c r="B8955" s="154"/>
    </row>
    <row r="8956" spans="2:2" ht="15.6">
      <c r="B8956" s="154"/>
    </row>
    <row r="8957" spans="2:2" ht="15.6">
      <c r="B8957" s="154"/>
    </row>
    <row r="8958" spans="2:2" ht="15.6">
      <c r="B8958" s="154"/>
    </row>
    <row r="8959" spans="2:2" ht="15.6">
      <c r="B8959" s="154"/>
    </row>
    <row r="8960" spans="2:2" ht="15.6">
      <c r="B8960" s="154"/>
    </row>
    <row r="8961" spans="2:2" ht="15.6">
      <c r="B8961" s="154"/>
    </row>
    <row r="8962" spans="2:2" ht="15.6">
      <c r="B8962" s="154"/>
    </row>
    <row r="8963" spans="2:2" ht="15.6">
      <c r="B8963" s="154"/>
    </row>
    <row r="8964" spans="2:2" ht="15.6">
      <c r="B8964" s="154"/>
    </row>
    <row r="8965" spans="2:2" ht="15.6">
      <c r="B8965" s="154"/>
    </row>
    <row r="8966" spans="2:2" ht="15.6">
      <c r="B8966" s="154"/>
    </row>
    <row r="8967" spans="2:2" ht="15.6">
      <c r="B8967" s="154"/>
    </row>
    <row r="8968" spans="2:2" ht="15.6">
      <c r="B8968" s="154"/>
    </row>
    <row r="8969" spans="2:2" ht="15.6">
      <c r="B8969" s="154"/>
    </row>
    <row r="8970" spans="2:2" ht="15.6">
      <c r="B8970" s="154"/>
    </row>
    <row r="8971" spans="2:2" ht="15.6">
      <c r="B8971" s="154"/>
    </row>
    <row r="8972" spans="2:2" ht="15.6">
      <c r="B8972" s="154"/>
    </row>
    <row r="8973" spans="2:2" ht="15.6">
      <c r="B8973" s="154"/>
    </row>
    <row r="8974" spans="2:2" ht="15.6">
      <c r="B8974" s="154"/>
    </row>
    <row r="8975" spans="2:2" ht="15.6">
      <c r="B8975" s="154"/>
    </row>
    <row r="8976" spans="2:2" ht="15.6">
      <c r="B8976" s="154"/>
    </row>
    <row r="8977" spans="2:2" ht="15.6">
      <c r="B8977" s="154"/>
    </row>
    <row r="8978" spans="2:2" ht="15.6">
      <c r="B8978" s="154"/>
    </row>
    <row r="8979" spans="2:2" ht="15.6">
      <c r="B8979" s="154"/>
    </row>
    <row r="8980" spans="2:2" ht="15.6">
      <c r="B8980" s="154"/>
    </row>
    <row r="8981" spans="2:2" ht="15.6">
      <c r="B8981" s="154"/>
    </row>
    <row r="8982" spans="2:2" ht="15.6">
      <c r="B8982" s="154"/>
    </row>
    <row r="8983" spans="2:2" ht="15.6">
      <c r="B8983" s="154"/>
    </row>
    <row r="8984" spans="2:2" ht="15.6">
      <c r="B8984" s="154"/>
    </row>
    <row r="8985" spans="2:2" ht="15.6">
      <c r="B8985" s="154"/>
    </row>
    <row r="8986" spans="2:2" ht="15.6">
      <c r="B8986" s="154"/>
    </row>
    <row r="8987" spans="2:2" ht="15.6">
      <c r="B8987" s="154"/>
    </row>
    <row r="8988" spans="2:2" ht="15.6">
      <c r="B8988" s="154"/>
    </row>
    <row r="8989" spans="2:2" ht="15.6">
      <c r="B8989" s="154"/>
    </row>
    <row r="8990" spans="2:2" ht="15.6">
      <c r="B8990" s="154"/>
    </row>
    <row r="8991" spans="2:2" ht="15.6">
      <c r="B8991" s="154"/>
    </row>
    <row r="8992" spans="2:2" ht="15.6">
      <c r="B8992" s="154"/>
    </row>
    <row r="8993" spans="2:2" ht="15.6">
      <c r="B8993" s="154"/>
    </row>
    <row r="8994" spans="2:2" ht="15.6">
      <c r="B8994" s="154"/>
    </row>
    <row r="8995" spans="2:2" ht="15.6">
      <c r="B8995" s="154"/>
    </row>
    <row r="8996" spans="2:2" ht="15.6">
      <c r="B8996" s="154"/>
    </row>
    <row r="8997" spans="2:2" ht="15.6">
      <c r="B8997" s="154"/>
    </row>
    <row r="8998" spans="2:2" ht="15.6">
      <c r="B8998" s="154"/>
    </row>
    <row r="8999" spans="2:2" ht="15.6">
      <c r="B8999" s="154"/>
    </row>
    <row r="9000" spans="2:2" ht="15.6">
      <c r="B9000" s="154"/>
    </row>
    <row r="9001" spans="2:2" ht="15.6">
      <c r="B9001" s="154"/>
    </row>
    <row r="9002" spans="2:2" ht="15.6">
      <c r="B9002" s="154"/>
    </row>
    <row r="9003" spans="2:2" ht="15.6">
      <c r="B9003" s="154"/>
    </row>
    <row r="9004" spans="2:2" ht="15.6">
      <c r="B9004" s="154"/>
    </row>
    <row r="9005" spans="2:2" ht="15.6">
      <c r="B9005" s="154"/>
    </row>
    <row r="9006" spans="2:2" ht="15.6">
      <c r="B9006" s="154"/>
    </row>
    <row r="9007" spans="2:2" ht="15.6">
      <c r="B9007" s="154"/>
    </row>
    <row r="9008" spans="2:2" ht="15.6">
      <c r="B9008" s="154"/>
    </row>
    <row r="9009" spans="2:2" ht="15.6">
      <c r="B9009" s="154"/>
    </row>
    <row r="9010" spans="2:2" ht="15.6">
      <c r="B9010" s="154"/>
    </row>
    <row r="9011" spans="2:2" ht="15.6">
      <c r="B9011" s="154"/>
    </row>
    <row r="9012" spans="2:2" ht="15.6">
      <c r="B9012" s="154"/>
    </row>
    <row r="9013" spans="2:2" ht="15.6">
      <c r="B9013" s="154"/>
    </row>
    <row r="9014" spans="2:2" ht="15.6">
      <c r="B9014" s="154"/>
    </row>
    <row r="9015" spans="2:2" ht="15.6">
      <c r="B9015" s="154"/>
    </row>
    <row r="9016" spans="2:2" ht="15.6">
      <c r="B9016" s="154"/>
    </row>
    <row r="9017" spans="2:2" ht="15.6">
      <c r="B9017" s="154"/>
    </row>
    <row r="9018" spans="2:2" ht="15.6">
      <c r="B9018" s="154"/>
    </row>
    <row r="9019" spans="2:2" ht="15.6">
      <c r="B9019" s="154"/>
    </row>
    <row r="9020" spans="2:2" ht="15.6">
      <c r="B9020" s="154"/>
    </row>
    <row r="9021" spans="2:2" ht="15.6">
      <c r="B9021" s="154"/>
    </row>
    <row r="9022" spans="2:2" ht="15.6">
      <c r="B9022" s="154"/>
    </row>
    <row r="9023" spans="2:2" ht="15.6">
      <c r="B9023" s="154"/>
    </row>
    <row r="9024" spans="2:2" ht="15.6">
      <c r="B9024" s="154"/>
    </row>
    <row r="9025" spans="2:2" ht="15.6">
      <c r="B9025" s="154"/>
    </row>
    <row r="9026" spans="2:2" ht="15.6">
      <c r="B9026" s="154"/>
    </row>
    <row r="9027" spans="2:2" ht="15.6">
      <c r="B9027" s="154"/>
    </row>
    <row r="9028" spans="2:2" ht="15.6">
      <c r="B9028" s="154"/>
    </row>
    <row r="9029" spans="2:2" ht="15.6">
      <c r="B9029" s="154"/>
    </row>
    <row r="9030" spans="2:2" ht="15.6">
      <c r="B9030" s="154"/>
    </row>
    <row r="9031" spans="2:2" ht="15.6">
      <c r="B9031" s="154"/>
    </row>
    <row r="9032" spans="2:2" ht="15.6">
      <c r="B9032" s="154"/>
    </row>
    <row r="9033" spans="2:2" ht="15.6">
      <c r="B9033" s="154"/>
    </row>
    <row r="9034" spans="2:2" ht="15.6">
      <c r="B9034" s="154"/>
    </row>
    <row r="9035" spans="2:2" ht="15.6">
      <c r="B9035" s="154"/>
    </row>
    <row r="9036" spans="2:2" ht="15.6">
      <c r="B9036" s="154"/>
    </row>
    <row r="9037" spans="2:2" ht="15.6">
      <c r="B9037" s="154"/>
    </row>
    <row r="9038" spans="2:2" ht="15.6">
      <c r="B9038" s="154"/>
    </row>
    <row r="9039" spans="2:2" ht="15.6">
      <c r="B9039" s="154"/>
    </row>
    <row r="9040" spans="2:2" ht="15.6">
      <c r="B9040" s="154"/>
    </row>
    <row r="9041" spans="2:2" ht="15.6">
      <c r="B9041" s="154"/>
    </row>
    <row r="9042" spans="2:2" ht="15.6">
      <c r="B9042" s="154"/>
    </row>
    <row r="9043" spans="2:2" ht="15.6">
      <c r="B9043" s="154"/>
    </row>
    <row r="9044" spans="2:2" ht="15.6">
      <c r="B9044" s="154"/>
    </row>
    <row r="9045" spans="2:2" ht="15.6">
      <c r="B9045" s="154"/>
    </row>
    <row r="9046" spans="2:2" ht="15.6">
      <c r="B9046" s="154"/>
    </row>
    <row r="9047" spans="2:2" ht="15.6">
      <c r="B9047" s="154"/>
    </row>
    <row r="9048" spans="2:2" ht="15.6">
      <c r="B9048" s="154"/>
    </row>
    <row r="9049" spans="2:2" ht="15.6">
      <c r="B9049" s="154"/>
    </row>
    <row r="9050" spans="2:2" ht="15.6">
      <c r="B9050" s="154"/>
    </row>
    <row r="9051" spans="2:2" ht="15.6">
      <c r="B9051" s="154"/>
    </row>
    <row r="9052" spans="2:2" ht="15.6">
      <c r="B9052" s="154"/>
    </row>
    <row r="9053" spans="2:2" ht="15.6">
      <c r="B9053" s="154"/>
    </row>
    <row r="9054" spans="2:2" ht="15.6">
      <c r="B9054" s="154"/>
    </row>
    <row r="9055" spans="2:2" ht="15.6">
      <c r="B9055" s="154"/>
    </row>
    <row r="9056" spans="2:2" ht="15.6">
      <c r="B9056" s="154"/>
    </row>
    <row r="9057" spans="2:2" ht="15.6">
      <c r="B9057" s="154"/>
    </row>
    <row r="9058" spans="2:2" ht="15.6">
      <c r="B9058" s="154"/>
    </row>
    <row r="9059" spans="2:2" ht="15.6">
      <c r="B9059" s="154"/>
    </row>
    <row r="9060" spans="2:2" ht="15.6">
      <c r="B9060" s="154"/>
    </row>
    <row r="9061" spans="2:2" ht="15.6">
      <c r="B9061" s="154"/>
    </row>
    <row r="9062" spans="2:2" ht="15.6">
      <c r="B9062" s="154"/>
    </row>
    <row r="9063" spans="2:2" ht="15.6">
      <c r="B9063" s="154"/>
    </row>
    <row r="9064" spans="2:2" ht="15.6">
      <c r="B9064" s="154"/>
    </row>
    <row r="9065" spans="2:2" ht="15.6">
      <c r="B9065" s="154"/>
    </row>
    <row r="9066" spans="2:2" ht="15.6">
      <c r="B9066" s="154"/>
    </row>
    <row r="9067" spans="2:2" ht="15.6">
      <c r="B9067" s="154"/>
    </row>
    <row r="9068" spans="2:2" ht="15.6">
      <c r="B9068" s="154"/>
    </row>
    <row r="9069" spans="2:2" ht="15.6">
      <c r="B9069" s="154"/>
    </row>
    <row r="9070" spans="2:2" ht="15.6">
      <c r="B9070" s="154"/>
    </row>
    <row r="9071" spans="2:2" ht="15.6">
      <c r="B9071" s="154"/>
    </row>
    <row r="9072" spans="2:2" ht="15.6">
      <c r="B9072" s="154"/>
    </row>
    <row r="9073" spans="2:2" ht="15.6">
      <c r="B9073" s="154"/>
    </row>
    <row r="9074" spans="2:2" ht="15.6">
      <c r="B9074" s="154"/>
    </row>
    <row r="9075" spans="2:2" ht="15.6">
      <c r="B9075" s="154"/>
    </row>
    <row r="9076" spans="2:2" ht="15.6">
      <c r="B9076" s="154"/>
    </row>
    <row r="9077" spans="2:2" ht="15.6">
      <c r="B9077" s="154"/>
    </row>
    <row r="9078" spans="2:2" ht="15.6">
      <c r="B9078" s="154"/>
    </row>
    <row r="9079" spans="2:2" ht="15.6">
      <c r="B9079" s="154"/>
    </row>
    <row r="9080" spans="2:2" ht="15.6">
      <c r="B9080" s="154"/>
    </row>
    <row r="9081" spans="2:2" ht="15.6">
      <c r="B9081" s="154"/>
    </row>
    <row r="9082" spans="2:2" ht="15.6">
      <c r="B9082" s="154"/>
    </row>
    <row r="9083" spans="2:2" ht="15.6">
      <c r="B9083" s="154"/>
    </row>
    <row r="9084" spans="2:2" ht="15.6">
      <c r="B9084" s="154"/>
    </row>
    <row r="9085" spans="2:2" ht="15.6">
      <c r="B9085" s="154"/>
    </row>
    <row r="9086" spans="2:2" ht="15.6">
      <c r="B9086" s="154"/>
    </row>
    <row r="9087" spans="2:2" ht="15.6">
      <c r="B9087" s="154"/>
    </row>
    <row r="9088" spans="2:2" ht="15.6">
      <c r="B9088" s="154"/>
    </row>
    <row r="9089" spans="2:2" ht="15.6">
      <c r="B9089" s="154"/>
    </row>
    <row r="9090" spans="2:2" ht="15.6">
      <c r="B9090" s="154"/>
    </row>
    <row r="9091" spans="2:2" ht="15.6">
      <c r="B9091" s="154"/>
    </row>
    <row r="9092" spans="2:2" ht="15.6">
      <c r="B9092" s="154"/>
    </row>
    <row r="9093" spans="2:2" ht="15.6">
      <c r="B9093" s="154"/>
    </row>
    <row r="9094" spans="2:2" ht="15.6">
      <c r="B9094" s="154"/>
    </row>
    <row r="9095" spans="2:2" ht="15.6">
      <c r="B9095" s="154"/>
    </row>
    <row r="9096" spans="2:2" ht="15.6">
      <c r="B9096" s="154"/>
    </row>
    <row r="9097" spans="2:2" ht="15.6">
      <c r="B9097" s="154"/>
    </row>
    <row r="9098" spans="2:2" ht="15.6">
      <c r="B9098" s="154"/>
    </row>
    <row r="9099" spans="2:2" ht="15.6">
      <c r="B9099" s="154"/>
    </row>
    <row r="9100" spans="2:2" ht="15.6">
      <c r="B9100" s="154"/>
    </row>
    <row r="9101" spans="2:2" ht="15.6">
      <c r="B9101" s="154"/>
    </row>
    <row r="9102" spans="2:2" ht="15.6">
      <c r="B9102" s="154"/>
    </row>
    <row r="9103" spans="2:2" ht="15.6">
      <c r="B9103" s="154"/>
    </row>
    <row r="9104" spans="2:2" ht="15.6">
      <c r="B9104" s="154"/>
    </row>
    <row r="9105" spans="2:2" ht="15.6">
      <c r="B9105" s="154"/>
    </row>
    <row r="9106" spans="2:2" ht="15.6">
      <c r="B9106" s="154"/>
    </row>
    <row r="9107" spans="2:2" ht="15.6">
      <c r="B9107" s="154"/>
    </row>
    <row r="9108" spans="2:2" ht="15.6">
      <c r="B9108" s="154"/>
    </row>
    <row r="9109" spans="2:2" ht="15.6">
      <c r="B9109" s="154"/>
    </row>
    <row r="9110" spans="2:2" ht="15.6">
      <c r="B9110" s="154"/>
    </row>
    <row r="9111" spans="2:2" ht="15.6">
      <c r="B9111" s="154"/>
    </row>
    <row r="9112" spans="2:2" ht="15.6">
      <c r="B9112" s="154"/>
    </row>
    <row r="9113" spans="2:2" ht="15.6">
      <c r="B9113" s="154"/>
    </row>
    <row r="9114" spans="2:2" ht="15.6">
      <c r="B9114" s="154"/>
    </row>
    <row r="9115" spans="2:2" ht="15.6">
      <c r="B9115" s="154"/>
    </row>
    <row r="9116" spans="2:2" ht="15.6">
      <c r="B9116" s="154"/>
    </row>
    <row r="9117" spans="2:2" ht="15.6">
      <c r="B9117" s="154"/>
    </row>
    <row r="9118" spans="2:2" ht="15.6">
      <c r="B9118" s="154"/>
    </row>
    <row r="9119" spans="2:2" ht="15.6">
      <c r="B9119" s="154"/>
    </row>
    <row r="9120" spans="2:2" ht="15.6">
      <c r="B9120" s="154"/>
    </row>
    <row r="9121" spans="2:2" ht="15.6">
      <c r="B9121" s="154"/>
    </row>
    <row r="9122" spans="2:2" ht="15.6">
      <c r="B9122" s="154"/>
    </row>
    <row r="9123" spans="2:2" ht="15.6">
      <c r="B9123" s="154"/>
    </row>
    <row r="9124" spans="2:2" ht="15.6">
      <c r="B9124" s="154"/>
    </row>
    <row r="9125" spans="2:2" ht="15.6">
      <c r="B9125" s="154"/>
    </row>
    <row r="9126" spans="2:2" ht="15.6">
      <c r="B9126" s="154"/>
    </row>
    <row r="9127" spans="2:2" ht="15.6">
      <c r="B9127" s="154"/>
    </row>
    <row r="9128" spans="2:2" ht="15.6">
      <c r="B9128" s="154"/>
    </row>
    <row r="9129" spans="2:2" ht="15.6">
      <c r="B9129" s="154"/>
    </row>
    <row r="9130" spans="2:2" ht="15.6">
      <c r="B9130" s="154"/>
    </row>
    <row r="9131" spans="2:2" ht="15.6">
      <c r="B9131" s="154"/>
    </row>
    <row r="9132" spans="2:2" ht="15.6">
      <c r="B9132" s="154"/>
    </row>
    <row r="9133" spans="2:2" ht="15.6">
      <c r="B9133" s="154"/>
    </row>
    <row r="9134" spans="2:2" ht="15.6">
      <c r="B9134" s="154"/>
    </row>
    <row r="9135" spans="2:2" ht="15.6">
      <c r="B9135" s="154"/>
    </row>
    <row r="9136" spans="2:2" ht="15.6">
      <c r="B9136" s="154"/>
    </row>
    <row r="9137" spans="2:2" ht="15.6">
      <c r="B9137" s="154"/>
    </row>
    <row r="9138" spans="2:2" ht="15.6">
      <c r="B9138" s="154"/>
    </row>
    <row r="9139" spans="2:2" ht="15.6">
      <c r="B9139" s="154"/>
    </row>
    <row r="9140" spans="2:2" ht="15.6">
      <c r="B9140" s="154"/>
    </row>
    <row r="9141" spans="2:2" ht="15.6">
      <c r="B9141" s="154"/>
    </row>
    <row r="9142" spans="2:2" ht="15.6">
      <c r="B9142" s="154"/>
    </row>
    <row r="9143" spans="2:2" ht="15.6">
      <c r="B9143" s="154"/>
    </row>
    <row r="9144" spans="2:2" ht="15.6">
      <c r="B9144" s="154"/>
    </row>
    <row r="9145" spans="2:2" ht="15.6">
      <c r="B9145" s="154"/>
    </row>
    <row r="9146" spans="2:2" ht="15.6">
      <c r="B9146" s="154"/>
    </row>
    <row r="9147" spans="2:2" ht="15.6">
      <c r="B9147" s="154"/>
    </row>
    <row r="9148" spans="2:2" ht="15.6">
      <c r="B9148" s="154"/>
    </row>
    <row r="9149" spans="2:2" ht="15.6">
      <c r="B9149" s="154"/>
    </row>
    <row r="9150" spans="2:2" ht="15.6">
      <c r="B9150" s="154"/>
    </row>
    <row r="9151" spans="2:2" ht="15.6">
      <c r="B9151" s="154"/>
    </row>
    <row r="9152" spans="2:2" ht="15.6">
      <c r="B9152" s="154"/>
    </row>
    <row r="9153" spans="2:2" ht="15.6">
      <c r="B9153" s="154"/>
    </row>
    <row r="9154" spans="2:2" ht="15.6">
      <c r="B9154" s="154"/>
    </row>
    <row r="9155" spans="2:2" ht="15.6">
      <c r="B9155" s="154"/>
    </row>
    <row r="9156" spans="2:2" ht="15.6">
      <c r="B9156" s="154"/>
    </row>
    <row r="9157" spans="2:2" ht="15.6">
      <c r="B9157" s="154"/>
    </row>
    <row r="9158" spans="2:2" ht="15.6">
      <c r="B9158" s="154"/>
    </row>
    <row r="9159" spans="2:2" ht="15.6">
      <c r="B9159" s="154"/>
    </row>
    <row r="9160" spans="2:2" ht="15.6">
      <c r="B9160" s="154"/>
    </row>
    <row r="9161" spans="2:2" ht="15.6">
      <c r="B9161" s="154"/>
    </row>
    <row r="9162" spans="2:2" ht="15.6">
      <c r="B9162" s="154"/>
    </row>
    <row r="9163" spans="2:2" ht="15.6">
      <c r="B9163" s="154"/>
    </row>
    <row r="9164" spans="2:2" ht="15.6">
      <c r="B9164" s="154"/>
    </row>
    <row r="9165" spans="2:2" ht="15.6">
      <c r="B9165" s="154"/>
    </row>
    <row r="9166" spans="2:2" ht="15.6">
      <c r="B9166" s="154"/>
    </row>
    <row r="9167" spans="2:2" ht="15.6">
      <c r="B9167" s="154"/>
    </row>
    <row r="9168" spans="2:2" ht="15.6">
      <c r="B9168" s="154"/>
    </row>
    <row r="9169" spans="2:2" ht="15.6">
      <c r="B9169" s="154"/>
    </row>
    <row r="9170" spans="2:2" ht="15.6">
      <c r="B9170" s="154"/>
    </row>
    <row r="9171" spans="2:2" ht="15.6">
      <c r="B9171" s="154"/>
    </row>
    <row r="9172" spans="2:2" ht="15.6">
      <c r="B9172" s="154"/>
    </row>
    <row r="9173" spans="2:2" ht="15.6">
      <c r="B9173" s="154"/>
    </row>
    <row r="9174" spans="2:2" ht="15.6">
      <c r="B9174" s="154"/>
    </row>
    <row r="9175" spans="2:2" ht="15.6">
      <c r="B9175" s="154"/>
    </row>
    <row r="9176" spans="2:2" ht="15.6">
      <c r="B9176" s="154"/>
    </row>
    <row r="9177" spans="2:2" ht="15.6">
      <c r="B9177" s="154"/>
    </row>
    <row r="9178" spans="2:2" ht="15.6">
      <c r="B9178" s="154"/>
    </row>
    <row r="9179" spans="2:2" ht="15.6">
      <c r="B9179" s="154"/>
    </row>
    <row r="9180" spans="2:2" ht="15.6">
      <c r="B9180" s="154"/>
    </row>
    <row r="9181" spans="2:2" ht="15.6">
      <c r="B9181" s="154"/>
    </row>
    <row r="9182" spans="2:2" ht="15.6">
      <c r="B9182" s="154"/>
    </row>
    <row r="9183" spans="2:2" ht="15.6">
      <c r="B9183" s="154"/>
    </row>
    <row r="9184" spans="2:2" ht="15.6">
      <c r="B9184" s="154"/>
    </row>
    <row r="9185" spans="2:2" ht="15.6">
      <c r="B9185" s="154"/>
    </row>
    <row r="9186" spans="2:2" ht="15.6">
      <c r="B9186" s="154"/>
    </row>
    <row r="9187" spans="2:2" ht="15.6">
      <c r="B9187" s="154"/>
    </row>
    <row r="9188" spans="2:2" ht="15.6">
      <c r="B9188" s="154"/>
    </row>
    <row r="9189" spans="2:2" ht="15.6">
      <c r="B9189" s="154"/>
    </row>
    <row r="9190" spans="2:2" ht="15.6">
      <c r="B9190" s="154"/>
    </row>
    <row r="9191" spans="2:2" ht="15.6">
      <c r="B9191" s="154"/>
    </row>
    <row r="9192" spans="2:2" ht="15.6">
      <c r="B9192" s="154"/>
    </row>
    <row r="9193" spans="2:2" ht="15.6">
      <c r="B9193" s="154"/>
    </row>
    <row r="9194" spans="2:2" ht="15.6">
      <c r="B9194" s="154"/>
    </row>
    <row r="9195" spans="2:2" ht="15.6">
      <c r="B9195" s="154"/>
    </row>
    <row r="9196" spans="2:2" ht="15.6">
      <c r="B9196" s="154"/>
    </row>
    <row r="9197" spans="2:2" ht="15.6">
      <c r="B9197" s="154"/>
    </row>
    <row r="9198" spans="2:2" ht="15.6">
      <c r="B9198" s="154"/>
    </row>
    <row r="9199" spans="2:2" ht="15.6">
      <c r="B9199" s="154"/>
    </row>
    <row r="9200" spans="2:2" ht="15.6">
      <c r="B9200" s="154"/>
    </row>
    <row r="9201" spans="2:2" ht="15.6">
      <c r="B9201" s="154"/>
    </row>
    <row r="9202" spans="2:2" ht="15.6">
      <c r="B9202" s="154"/>
    </row>
    <row r="9203" spans="2:2" ht="15.6">
      <c r="B9203" s="154"/>
    </row>
    <row r="9204" spans="2:2" ht="15.6">
      <c r="B9204" s="154"/>
    </row>
    <row r="9205" spans="2:2" ht="15.6">
      <c r="B9205" s="154"/>
    </row>
    <row r="9206" spans="2:2" ht="15.6">
      <c r="B9206" s="154"/>
    </row>
    <row r="9207" spans="2:2" ht="15.6">
      <c r="B9207" s="154"/>
    </row>
    <row r="9208" spans="2:2" ht="15.6">
      <c r="B9208" s="154"/>
    </row>
    <row r="9209" spans="2:2" ht="15.6">
      <c r="B9209" s="154"/>
    </row>
    <row r="9210" spans="2:2" ht="15.6">
      <c r="B9210" s="154"/>
    </row>
    <row r="9211" spans="2:2" ht="15.6">
      <c r="B9211" s="154"/>
    </row>
    <row r="9212" spans="2:2" ht="15.6">
      <c r="B9212" s="154"/>
    </row>
    <row r="9213" spans="2:2" ht="15.6">
      <c r="B9213" s="154"/>
    </row>
    <row r="9214" spans="2:2" ht="15.6">
      <c r="B9214" s="154"/>
    </row>
    <row r="9215" spans="2:2" ht="15.6">
      <c r="B9215" s="154"/>
    </row>
    <row r="9216" spans="2:2" ht="15.6">
      <c r="B9216" s="154"/>
    </row>
    <row r="9217" spans="2:2" ht="15.6">
      <c r="B9217" s="154"/>
    </row>
    <row r="9218" spans="2:2" ht="15.6">
      <c r="B9218" s="154"/>
    </row>
    <row r="9219" spans="2:2" ht="15.6">
      <c r="B9219" s="154"/>
    </row>
    <row r="9220" spans="2:2" ht="15.6">
      <c r="B9220" s="154"/>
    </row>
    <row r="9221" spans="2:2" ht="15.6">
      <c r="B9221" s="154"/>
    </row>
    <row r="9222" spans="2:2" ht="15.6">
      <c r="B9222" s="154"/>
    </row>
    <row r="9223" spans="2:2" ht="15.6">
      <c r="B9223" s="154"/>
    </row>
    <row r="9224" spans="2:2" ht="15.6">
      <c r="B9224" s="154"/>
    </row>
    <row r="9225" spans="2:2" ht="15.6">
      <c r="B9225" s="154"/>
    </row>
    <row r="9226" spans="2:2" ht="15.6">
      <c r="B9226" s="154"/>
    </row>
    <row r="9227" spans="2:2" ht="15.6">
      <c r="B9227" s="154"/>
    </row>
    <row r="9228" spans="2:2" ht="15.6">
      <c r="B9228" s="154"/>
    </row>
    <row r="9229" spans="2:2" ht="15.6">
      <c r="B9229" s="154"/>
    </row>
    <row r="9230" spans="2:2" ht="15.6">
      <c r="B9230" s="154"/>
    </row>
    <row r="9231" spans="2:2" ht="15.6">
      <c r="B9231" s="154"/>
    </row>
    <row r="9232" spans="2:2" ht="15.6">
      <c r="B9232" s="154"/>
    </row>
    <row r="9233" spans="2:2" ht="15.6">
      <c r="B9233" s="154"/>
    </row>
    <row r="9234" spans="2:2" ht="15.6">
      <c r="B9234" s="154"/>
    </row>
    <row r="9235" spans="2:2" ht="15.6">
      <c r="B9235" s="154"/>
    </row>
    <row r="9236" spans="2:2" ht="15.6">
      <c r="B9236" s="154"/>
    </row>
    <row r="9237" spans="2:2" ht="15.6">
      <c r="B9237" s="154"/>
    </row>
    <row r="9238" spans="2:2" ht="15.6">
      <c r="B9238" s="154"/>
    </row>
    <row r="9239" spans="2:2" ht="15.6">
      <c r="B9239" s="154"/>
    </row>
    <row r="9240" spans="2:2" ht="15.6">
      <c r="B9240" s="154"/>
    </row>
    <row r="9241" spans="2:2" ht="15.6">
      <c r="B9241" s="154"/>
    </row>
    <row r="9242" spans="2:2" ht="15.6">
      <c r="B9242" s="154"/>
    </row>
    <row r="9243" spans="2:2" ht="15.6">
      <c r="B9243" s="154"/>
    </row>
    <row r="9244" spans="2:2" ht="15.6">
      <c r="B9244" s="154"/>
    </row>
    <row r="9245" spans="2:2" ht="15.6">
      <c r="B9245" s="154"/>
    </row>
    <row r="9246" spans="2:2" ht="15.6">
      <c r="B9246" s="154"/>
    </row>
    <row r="9247" spans="2:2" ht="15.6">
      <c r="B9247" s="154"/>
    </row>
    <row r="9248" spans="2:2" ht="15.6">
      <c r="B9248" s="154"/>
    </row>
    <row r="9249" spans="2:2" ht="15.6">
      <c r="B9249" s="154"/>
    </row>
    <row r="9250" spans="2:2" ht="15.6">
      <c r="B9250" s="154"/>
    </row>
    <row r="9251" spans="2:2" ht="15.6">
      <c r="B9251" s="154"/>
    </row>
    <row r="9252" spans="2:2" ht="15.6">
      <c r="B9252" s="154"/>
    </row>
    <row r="9253" spans="2:2" ht="15.6">
      <c r="B9253" s="154"/>
    </row>
    <row r="9254" spans="2:2" ht="15.6">
      <c r="B9254" s="154"/>
    </row>
    <row r="9255" spans="2:2" ht="15.6">
      <c r="B9255" s="154"/>
    </row>
    <row r="9256" spans="2:2" ht="15.6">
      <c r="B9256" s="154"/>
    </row>
    <row r="9257" spans="2:2" ht="15.6">
      <c r="B9257" s="154"/>
    </row>
    <row r="9258" spans="2:2" ht="15.6">
      <c r="B9258" s="154"/>
    </row>
    <row r="9259" spans="2:2" ht="15.6">
      <c r="B9259" s="154"/>
    </row>
    <row r="9260" spans="2:2" ht="15.6">
      <c r="B9260" s="154"/>
    </row>
    <row r="9261" spans="2:2" ht="15.6">
      <c r="B9261" s="154"/>
    </row>
    <row r="9262" spans="2:2" ht="15.6">
      <c r="B9262" s="154"/>
    </row>
    <row r="9263" spans="2:2" ht="15.6">
      <c r="B9263" s="154"/>
    </row>
    <row r="9264" spans="2:2" ht="15.6">
      <c r="B9264" s="154"/>
    </row>
    <row r="9265" spans="2:2" ht="15.6">
      <c r="B9265" s="154"/>
    </row>
    <row r="9266" spans="2:2" ht="15.6">
      <c r="B9266" s="154"/>
    </row>
    <row r="9267" spans="2:2" ht="15.6">
      <c r="B9267" s="154"/>
    </row>
    <row r="9268" spans="2:2" ht="15.6">
      <c r="B9268" s="154"/>
    </row>
    <row r="9269" spans="2:2" ht="15.6">
      <c r="B9269" s="154"/>
    </row>
    <row r="9270" spans="2:2" ht="15.6">
      <c r="B9270" s="154"/>
    </row>
    <row r="9271" spans="2:2" ht="15.6">
      <c r="B9271" s="154"/>
    </row>
    <row r="9272" spans="2:2" ht="15.6">
      <c r="B9272" s="154"/>
    </row>
    <row r="9273" spans="2:2" ht="15.6">
      <c r="B9273" s="154"/>
    </row>
    <row r="9274" spans="2:2" ht="15.6">
      <c r="B9274" s="154"/>
    </row>
    <row r="9275" spans="2:2" ht="15.6">
      <c r="B9275" s="154"/>
    </row>
    <row r="9276" spans="2:2" ht="15.6">
      <c r="B9276" s="154"/>
    </row>
    <row r="9277" spans="2:2" ht="15.6">
      <c r="B9277" s="154"/>
    </row>
    <row r="9278" spans="2:2" ht="15.6">
      <c r="B9278" s="154"/>
    </row>
    <row r="9279" spans="2:2" ht="15.6">
      <c r="B9279" s="154"/>
    </row>
    <row r="9280" spans="2:2" ht="15.6">
      <c r="B9280" s="154"/>
    </row>
    <row r="9281" spans="2:2" ht="15.6">
      <c r="B9281" s="154"/>
    </row>
    <row r="9282" spans="2:2" ht="15.6">
      <c r="B9282" s="154"/>
    </row>
    <row r="9283" spans="2:2" ht="15.6">
      <c r="B9283" s="154"/>
    </row>
    <row r="9284" spans="2:2" ht="15.6">
      <c r="B9284" s="154"/>
    </row>
    <row r="9285" spans="2:2" ht="15.6">
      <c r="B9285" s="154"/>
    </row>
    <row r="9286" spans="2:2" ht="15.6">
      <c r="B9286" s="154"/>
    </row>
    <row r="9287" spans="2:2" ht="15.6">
      <c r="B9287" s="154"/>
    </row>
    <row r="9288" spans="2:2" ht="15.6">
      <c r="B9288" s="154"/>
    </row>
    <row r="9289" spans="2:2" ht="15.6">
      <c r="B9289" s="154"/>
    </row>
    <row r="9290" spans="2:2" ht="15.6">
      <c r="B9290" s="154"/>
    </row>
    <row r="9291" spans="2:2" ht="15.6">
      <c r="B9291" s="154"/>
    </row>
    <row r="9292" spans="2:2" ht="15.6">
      <c r="B9292" s="154"/>
    </row>
    <row r="9293" spans="2:2" ht="15.6">
      <c r="B9293" s="154"/>
    </row>
    <row r="9294" spans="2:2" ht="15.6">
      <c r="B9294" s="154"/>
    </row>
    <row r="9295" spans="2:2" ht="15.6">
      <c r="B9295" s="154"/>
    </row>
    <row r="9296" spans="2:2" ht="15.6">
      <c r="B9296" s="154"/>
    </row>
    <row r="9297" spans="2:2" ht="15.6">
      <c r="B9297" s="154"/>
    </row>
    <row r="9298" spans="2:2" ht="15.6">
      <c r="B9298" s="154"/>
    </row>
    <row r="9299" spans="2:2" ht="15.6">
      <c r="B9299" s="154"/>
    </row>
    <row r="9300" spans="2:2" ht="15.6">
      <c r="B9300" s="154"/>
    </row>
    <row r="9301" spans="2:2" ht="15.6">
      <c r="B9301" s="154"/>
    </row>
    <row r="9302" spans="2:2" ht="15.6">
      <c r="B9302" s="154"/>
    </row>
    <row r="9303" spans="2:2" ht="15.6">
      <c r="B9303" s="154"/>
    </row>
    <row r="9304" spans="2:2" ht="15.6">
      <c r="B9304" s="154"/>
    </row>
    <row r="9305" spans="2:2" ht="15.6">
      <c r="B9305" s="154"/>
    </row>
    <row r="9306" spans="2:2" ht="15.6">
      <c r="B9306" s="154"/>
    </row>
    <row r="9307" spans="2:2" ht="15.6">
      <c r="B9307" s="154"/>
    </row>
    <row r="9308" spans="2:2" ht="15.6">
      <c r="B9308" s="154"/>
    </row>
    <row r="9309" spans="2:2" ht="15.6">
      <c r="B9309" s="154"/>
    </row>
    <row r="9310" spans="2:2" ht="15.6">
      <c r="B9310" s="154"/>
    </row>
    <row r="9311" spans="2:2" ht="15.6">
      <c r="B9311" s="154"/>
    </row>
    <row r="9312" spans="2:2" ht="15.6">
      <c r="B9312" s="154"/>
    </row>
    <row r="9313" spans="2:2" ht="15.6">
      <c r="B9313" s="154"/>
    </row>
    <row r="9314" spans="2:2" ht="15.6">
      <c r="B9314" s="154"/>
    </row>
    <row r="9315" spans="2:2" ht="15.6">
      <c r="B9315" s="154"/>
    </row>
    <row r="9316" spans="2:2" ht="15.6">
      <c r="B9316" s="154"/>
    </row>
    <row r="9317" spans="2:2" ht="15.6">
      <c r="B9317" s="154"/>
    </row>
    <row r="9318" spans="2:2" ht="15.6">
      <c r="B9318" s="154"/>
    </row>
    <row r="9319" spans="2:2" ht="15.6">
      <c r="B9319" s="154"/>
    </row>
    <row r="9320" spans="2:2" ht="15.6">
      <c r="B9320" s="154"/>
    </row>
    <row r="9321" spans="2:2" ht="15.6">
      <c r="B9321" s="154"/>
    </row>
    <row r="9322" spans="2:2" ht="15.6">
      <c r="B9322" s="154"/>
    </row>
    <row r="9323" spans="2:2" ht="15.6">
      <c r="B9323" s="154"/>
    </row>
    <row r="9324" spans="2:2" ht="15.6">
      <c r="B9324" s="154"/>
    </row>
    <row r="9325" spans="2:2" ht="15.6">
      <c r="B9325" s="154"/>
    </row>
    <row r="9326" spans="2:2" ht="15.6">
      <c r="B9326" s="154"/>
    </row>
    <row r="9327" spans="2:2" ht="15.6">
      <c r="B9327" s="154"/>
    </row>
    <row r="9328" spans="2:2" ht="15.6">
      <c r="B9328" s="154"/>
    </row>
    <row r="9329" spans="2:2" ht="15.6">
      <c r="B9329" s="154"/>
    </row>
    <row r="9330" spans="2:2" ht="15.6">
      <c r="B9330" s="154"/>
    </row>
    <row r="9331" spans="2:2" ht="15.6">
      <c r="B9331" s="154"/>
    </row>
    <row r="9332" spans="2:2" ht="15.6">
      <c r="B9332" s="154"/>
    </row>
    <row r="9333" spans="2:2" ht="15.6">
      <c r="B9333" s="154"/>
    </row>
    <row r="9334" spans="2:2" ht="15.6">
      <c r="B9334" s="154"/>
    </row>
    <row r="9335" spans="2:2" ht="15.6">
      <c r="B9335" s="154"/>
    </row>
    <row r="9336" spans="2:2" ht="15.6">
      <c r="B9336" s="154"/>
    </row>
    <row r="9337" spans="2:2" ht="15.6">
      <c r="B9337" s="154"/>
    </row>
    <row r="9338" spans="2:2" ht="15.6">
      <c r="B9338" s="154"/>
    </row>
    <row r="9339" spans="2:2" ht="15.6">
      <c r="B9339" s="154"/>
    </row>
    <row r="9340" spans="2:2" ht="15.6">
      <c r="B9340" s="154"/>
    </row>
    <row r="9341" spans="2:2" ht="15.6">
      <c r="B9341" s="154"/>
    </row>
    <row r="9342" spans="2:2" ht="15.6">
      <c r="B9342" s="154"/>
    </row>
    <row r="9343" spans="2:2" ht="15.6">
      <c r="B9343" s="154"/>
    </row>
    <row r="9344" spans="2:2" ht="15.6">
      <c r="B9344" s="154"/>
    </row>
    <row r="9345" spans="2:2" ht="15.6">
      <c r="B9345" s="154"/>
    </row>
    <row r="9346" spans="2:2" ht="15.6">
      <c r="B9346" s="154"/>
    </row>
    <row r="9347" spans="2:2" ht="15.6">
      <c r="B9347" s="154"/>
    </row>
    <row r="9348" spans="2:2" ht="15.6">
      <c r="B9348" s="154"/>
    </row>
    <row r="9349" spans="2:2" ht="15.6">
      <c r="B9349" s="154"/>
    </row>
    <row r="9350" spans="2:2" ht="15.6">
      <c r="B9350" s="154"/>
    </row>
    <row r="9351" spans="2:2" ht="15.6">
      <c r="B9351" s="154"/>
    </row>
    <row r="9352" spans="2:2" ht="15.6">
      <c r="B9352" s="154"/>
    </row>
    <row r="9353" spans="2:2" ht="15.6">
      <c r="B9353" s="154"/>
    </row>
    <row r="9354" spans="2:2" ht="15.6">
      <c r="B9354" s="154"/>
    </row>
    <row r="9355" spans="2:2" ht="15.6">
      <c r="B9355" s="154"/>
    </row>
    <row r="9356" spans="2:2" ht="15.6">
      <c r="B9356" s="154"/>
    </row>
    <row r="9357" spans="2:2" ht="15.6">
      <c r="B9357" s="154"/>
    </row>
    <row r="9358" spans="2:2" ht="15.6">
      <c r="B9358" s="154"/>
    </row>
    <row r="9359" spans="2:2" ht="15.6">
      <c r="B9359" s="154"/>
    </row>
    <row r="9360" spans="2:2" ht="15.6">
      <c r="B9360" s="154"/>
    </row>
    <row r="9361" spans="2:2" ht="15.6">
      <c r="B9361" s="154"/>
    </row>
    <row r="9362" spans="2:2" ht="15.6">
      <c r="B9362" s="154"/>
    </row>
    <row r="9363" spans="2:2" ht="15.6">
      <c r="B9363" s="154"/>
    </row>
    <row r="9364" spans="2:2" ht="15.6">
      <c r="B9364" s="154"/>
    </row>
    <row r="9365" spans="2:2" ht="15.6">
      <c r="B9365" s="154"/>
    </row>
    <row r="9366" spans="2:2" ht="15.6">
      <c r="B9366" s="154"/>
    </row>
    <row r="9367" spans="2:2" ht="15.6">
      <c r="B9367" s="154"/>
    </row>
    <row r="9368" spans="2:2" ht="15.6">
      <c r="B9368" s="154"/>
    </row>
    <row r="9369" spans="2:2" ht="15.6">
      <c r="B9369" s="154"/>
    </row>
    <row r="9370" spans="2:2" ht="15.6">
      <c r="B9370" s="154"/>
    </row>
    <row r="9371" spans="2:2" ht="15.6">
      <c r="B9371" s="154"/>
    </row>
    <row r="9372" spans="2:2" ht="15.6">
      <c r="B9372" s="154"/>
    </row>
    <row r="9373" spans="2:2" ht="15.6">
      <c r="B9373" s="154"/>
    </row>
    <row r="9374" spans="2:2" ht="15.6">
      <c r="B9374" s="154"/>
    </row>
    <row r="9375" spans="2:2" ht="15.6">
      <c r="B9375" s="154"/>
    </row>
    <row r="9376" spans="2:2" ht="15.6">
      <c r="B9376" s="154"/>
    </row>
    <row r="9377" spans="2:2" ht="15.6">
      <c r="B9377" s="154"/>
    </row>
    <row r="9378" spans="2:2" ht="15.6">
      <c r="B9378" s="154"/>
    </row>
    <row r="9379" spans="2:2" ht="15.6">
      <c r="B9379" s="154"/>
    </row>
    <row r="9380" spans="2:2" ht="15.6">
      <c r="B9380" s="154"/>
    </row>
    <row r="9381" spans="2:2" ht="15.6">
      <c r="B9381" s="154"/>
    </row>
    <row r="9382" spans="2:2" ht="15.6">
      <c r="B9382" s="154"/>
    </row>
    <row r="9383" spans="2:2" ht="15.6">
      <c r="B9383" s="154"/>
    </row>
    <row r="9384" spans="2:2" ht="15.6">
      <c r="B9384" s="154"/>
    </row>
    <row r="9385" spans="2:2" ht="15.6">
      <c r="B9385" s="154"/>
    </row>
    <row r="9386" spans="2:2" ht="15.6">
      <c r="B9386" s="154"/>
    </row>
    <row r="9387" spans="2:2" ht="15.6">
      <c r="B9387" s="154"/>
    </row>
    <row r="9388" spans="2:2" ht="15.6">
      <c r="B9388" s="154"/>
    </row>
    <row r="9389" spans="2:2" ht="15.6">
      <c r="B9389" s="154"/>
    </row>
    <row r="9390" spans="2:2" ht="15.6">
      <c r="B9390" s="154"/>
    </row>
    <row r="9391" spans="2:2" ht="15.6">
      <c r="B9391" s="154"/>
    </row>
    <row r="9392" spans="2:2" ht="15.6">
      <c r="B9392" s="154"/>
    </row>
    <row r="9393" spans="2:2" ht="15.6">
      <c r="B9393" s="154"/>
    </row>
    <row r="9394" spans="2:2" ht="15.6">
      <c r="B9394" s="154"/>
    </row>
    <row r="9395" spans="2:2" ht="15.6">
      <c r="B9395" s="154"/>
    </row>
    <row r="9396" spans="2:2" ht="15.6">
      <c r="B9396" s="154"/>
    </row>
    <row r="9397" spans="2:2" ht="15.6">
      <c r="B9397" s="154"/>
    </row>
    <row r="9398" spans="2:2" ht="15.6">
      <c r="B9398" s="154"/>
    </row>
    <row r="9399" spans="2:2" ht="15.6">
      <c r="B9399" s="154"/>
    </row>
    <row r="9400" spans="2:2" ht="15.6">
      <c r="B9400" s="154"/>
    </row>
    <row r="9401" spans="2:2" ht="15.6">
      <c r="B9401" s="154"/>
    </row>
    <row r="9402" spans="2:2" ht="15.6">
      <c r="B9402" s="154"/>
    </row>
    <row r="9403" spans="2:2" ht="15.6">
      <c r="B9403" s="154"/>
    </row>
    <row r="9404" spans="2:2" ht="15.6">
      <c r="B9404" s="154"/>
    </row>
    <row r="9405" spans="2:2" ht="15.6">
      <c r="B9405" s="154"/>
    </row>
    <row r="9406" spans="2:2" ht="15.6">
      <c r="B9406" s="154"/>
    </row>
    <row r="9407" spans="2:2" ht="15.6">
      <c r="B9407" s="154"/>
    </row>
    <row r="9408" spans="2:2" ht="15.6">
      <c r="B9408" s="154"/>
    </row>
    <row r="9409" spans="2:2" ht="15.6">
      <c r="B9409" s="154"/>
    </row>
    <row r="9410" spans="2:2" ht="15.6">
      <c r="B9410" s="154"/>
    </row>
    <row r="9411" spans="2:2" ht="15.6">
      <c r="B9411" s="154"/>
    </row>
    <row r="9412" spans="2:2" ht="15.6">
      <c r="B9412" s="154"/>
    </row>
    <row r="9413" spans="2:2" ht="15.6">
      <c r="B9413" s="154"/>
    </row>
    <row r="9414" spans="2:2" ht="15.6">
      <c r="B9414" s="154"/>
    </row>
    <row r="9415" spans="2:2" ht="15.6">
      <c r="B9415" s="154"/>
    </row>
    <row r="9416" spans="2:2" ht="15.6">
      <c r="B9416" s="154"/>
    </row>
    <row r="9417" spans="2:2" ht="15.6">
      <c r="B9417" s="154"/>
    </row>
    <row r="9418" spans="2:2" ht="15.6">
      <c r="B9418" s="154"/>
    </row>
    <row r="9419" spans="2:2" ht="15.6">
      <c r="B9419" s="154"/>
    </row>
    <row r="9420" spans="2:2" ht="15.6">
      <c r="B9420" s="154"/>
    </row>
    <row r="9421" spans="2:2" ht="15.6">
      <c r="B9421" s="154"/>
    </row>
    <row r="9422" spans="2:2" ht="15.6">
      <c r="B9422" s="154"/>
    </row>
    <row r="9423" spans="2:2" ht="15.6">
      <c r="B9423" s="154"/>
    </row>
    <row r="9424" spans="2:2" ht="15.6">
      <c r="B9424" s="154"/>
    </row>
    <row r="9425" spans="2:2" ht="15.6">
      <c r="B9425" s="154"/>
    </row>
    <row r="9426" spans="2:2" ht="15.6">
      <c r="B9426" s="154"/>
    </row>
    <row r="9427" spans="2:2" ht="15.6">
      <c r="B9427" s="154"/>
    </row>
    <row r="9428" spans="2:2" ht="15.6">
      <c r="B9428" s="154"/>
    </row>
    <row r="9429" spans="2:2" ht="15.6">
      <c r="B9429" s="154"/>
    </row>
    <row r="9430" spans="2:2" ht="15.6">
      <c r="B9430" s="154"/>
    </row>
    <row r="9431" spans="2:2" ht="15.6">
      <c r="B9431" s="154"/>
    </row>
    <row r="9432" spans="2:2" ht="15.6">
      <c r="B9432" s="154"/>
    </row>
    <row r="9433" spans="2:2" ht="15.6">
      <c r="B9433" s="154"/>
    </row>
    <row r="9434" spans="2:2" ht="15.6">
      <c r="B9434" s="154"/>
    </row>
    <row r="9435" spans="2:2" ht="15.6">
      <c r="B9435" s="154"/>
    </row>
    <row r="9436" spans="2:2" ht="15.6">
      <c r="B9436" s="154"/>
    </row>
    <row r="9437" spans="2:2" ht="15.6">
      <c r="B9437" s="154"/>
    </row>
    <row r="9438" spans="2:2" ht="15.6">
      <c r="B9438" s="154"/>
    </row>
    <row r="9439" spans="2:2" ht="15.6">
      <c r="B9439" s="154"/>
    </row>
    <row r="9440" spans="2:2" ht="15.6">
      <c r="B9440" s="154"/>
    </row>
    <row r="9441" spans="2:2" ht="15.6">
      <c r="B9441" s="154"/>
    </row>
    <row r="9442" spans="2:2" ht="15.6">
      <c r="B9442" s="154"/>
    </row>
    <row r="9443" spans="2:2" ht="15.6">
      <c r="B9443" s="154"/>
    </row>
    <row r="9444" spans="2:2" ht="15.6">
      <c r="B9444" s="154"/>
    </row>
    <row r="9445" spans="2:2" ht="15.6">
      <c r="B9445" s="154"/>
    </row>
    <row r="9446" spans="2:2" ht="15.6">
      <c r="B9446" s="154"/>
    </row>
    <row r="9447" spans="2:2" ht="15.6">
      <c r="B9447" s="154"/>
    </row>
    <row r="9448" spans="2:2" ht="15.6">
      <c r="B9448" s="154"/>
    </row>
    <row r="9449" spans="2:2" ht="15.6">
      <c r="B9449" s="154"/>
    </row>
    <row r="9450" spans="2:2" ht="15.6">
      <c r="B9450" s="154"/>
    </row>
    <row r="9451" spans="2:2" ht="15.6">
      <c r="B9451" s="154"/>
    </row>
    <row r="9452" spans="2:2" ht="15.6">
      <c r="B9452" s="154"/>
    </row>
    <row r="9453" spans="2:2" ht="15.6">
      <c r="B9453" s="154"/>
    </row>
    <row r="9454" spans="2:2" ht="15.6">
      <c r="B9454" s="154"/>
    </row>
    <row r="9455" spans="2:2" ht="15.6">
      <c r="B9455" s="154"/>
    </row>
    <row r="9456" spans="2:2" ht="15.6">
      <c r="B9456" s="154"/>
    </row>
    <row r="9457" spans="2:2" ht="15.6">
      <c r="B9457" s="154"/>
    </row>
    <row r="9458" spans="2:2" ht="15.6">
      <c r="B9458" s="154"/>
    </row>
    <row r="9459" spans="2:2" ht="15.6">
      <c r="B9459" s="154"/>
    </row>
    <row r="9460" spans="2:2" ht="15.6">
      <c r="B9460" s="154"/>
    </row>
    <row r="9461" spans="2:2" ht="15.6">
      <c r="B9461" s="154"/>
    </row>
    <row r="9462" spans="2:2" ht="15.6">
      <c r="B9462" s="154"/>
    </row>
    <row r="9463" spans="2:2" ht="15.6">
      <c r="B9463" s="154"/>
    </row>
    <row r="9464" spans="2:2" ht="15.6">
      <c r="B9464" s="154"/>
    </row>
    <row r="9465" spans="2:2" ht="15.6">
      <c r="B9465" s="154"/>
    </row>
    <row r="9466" spans="2:2" ht="15.6">
      <c r="B9466" s="154"/>
    </row>
    <row r="9467" spans="2:2" ht="15.6">
      <c r="B9467" s="154"/>
    </row>
    <row r="9468" spans="2:2" ht="15.6">
      <c r="B9468" s="154"/>
    </row>
    <row r="9469" spans="2:2" ht="15.6">
      <c r="B9469" s="154"/>
    </row>
    <row r="9470" spans="2:2" ht="15.6">
      <c r="B9470" s="154"/>
    </row>
    <row r="9471" spans="2:2" ht="15.6">
      <c r="B9471" s="154"/>
    </row>
    <row r="9472" spans="2:2" ht="15.6">
      <c r="B9472" s="154"/>
    </row>
    <row r="9473" spans="2:2" ht="15.6">
      <c r="B9473" s="154"/>
    </row>
    <row r="9474" spans="2:2" ht="15.6">
      <c r="B9474" s="154"/>
    </row>
    <row r="9475" spans="2:2" ht="15.6">
      <c r="B9475" s="154"/>
    </row>
    <row r="9476" spans="2:2" ht="15.6">
      <c r="B9476" s="154"/>
    </row>
    <row r="9477" spans="2:2" ht="15.6">
      <c r="B9477" s="154"/>
    </row>
    <row r="9478" spans="2:2" ht="15.6">
      <c r="B9478" s="154"/>
    </row>
    <row r="9479" spans="2:2" ht="15.6">
      <c r="B9479" s="154"/>
    </row>
    <row r="9480" spans="2:2" ht="15.6">
      <c r="B9480" s="154"/>
    </row>
    <row r="9481" spans="2:2" ht="15.6">
      <c r="B9481" s="154"/>
    </row>
    <row r="9482" spans="2:2" ht="15.6">
      <c r="B9482" s="154"/>
    </row>
    <row r="9483" spans="2:2" ht="15.6">
      <c r="B9483" s="154"/>
    </row>
    <row r="9484" spans="2:2" ht="15.6">
      <c r="B9484" s="154"/>
    </row>
    <row r="9485" spans="2:2" ht="15.6">
      <c r="B9485" s="154"/>
    </row>
    <row r="9486" spans="2:2" ht="15.6">
      <c r="B9486" s="154"/>
    </row>
    <row r="9487" spans="2:2" ht="15.6">
      <c r="B9487" s="154"/>
    </row>
    <row r="9488" spans="2:2" ht="15.6">
      <c r="B9488" s="154"/>
    </row>
    <row r="9489" spans="2:2" ht="15.6">
      <c r="B9489" s="154"/>
    </row>
    <row r="9490" spans="2:2" ht="15.6">
      <c r="B9490" s="154"/>
    </row>
    <row r="9491" spans="2:2" ht="15.6">
      <c r="B9491" s="154"/>
    </row>
    <row r="9492" spans="2:2" ht="15.6">
      <c r="B9492" s="154"/>
    </row>
    <row r="9493" spans="2:2" ht="15.6">
      <c r="B9493" s="154"/>
    </row>
    <row r="9494" spans="2:2" ht="15.6">
      <c r="B9494" s="154"/>
    </row>
    <row r="9495" spans="2:2" ht="15.6">
      <c r="B9495" s="154"/>
    </row>
    <row r="9496" spans="2:2" ht="15.6">
      <c r="B9496" s="154"/>
    </row>
    <row r="9497" spans="2:2" ht="15.6">
      <c r="B9497" s="154"/>
    </row>
    <row r="9498" spans="2:2" ht="15.6">
      <c r="B9498" s="154"/>
    </row>
    <row r="9499" spans="2:2" ht="15.6">
      <c r="B9499" s="154"/>
    </row>
    <row r="9500" spans="2:2" ht="15.6">
      <c r="B9500" s="154"/>
    </row>
    <row r="9501" spans="2:2" ht="15.6">
      <c r="B9501" s="154"/>
    </row>
    <row r="9502" spans="2:2" ht="15.6">
      <c r="B9502" s="154"/>
    </row>
    <row r="9503" spans="2:2" ht="15.6">
      <c r="B9503" s="154"/>
    </row>
    <row r="9504" spans="2:2" ht="15.6">
      <c r="B9504" s="154"/>
    </row>
    <row r="9505" spans="2:2" ht="15.6">
      <c r="B9505" s="154"/>
    </row>
    <row r="9506" spans="2:2" ht="15.6">
      <c r="B9506" s="154"/>
    </row>
    <row r="9507" spans="2:2" ht="15.6">
      <c r="B9507" s="154"/>
    </row>
    <row r="9508" spans="2:2" ht="15.6">
      <c r="B9508" s="154"/>
    </row>
    <row r="9509" spans="2:2" ht="15.6">
      <c r="B9509" s="154"/>
    </row>
    <row r="9510" spans="2:2" ht="15.6">
      <c r="B9510" s="154"/>
    </row>
    <row r="9511" spans="2:2" ht="15.6">
      <c r="B9511" s="154"/>
    </row>
    <row r="9512" spans="2:2" ht="15.6">
      <c r="B9512" s="154"/>
    </row>
    <row r="9513" spans="2:2" ht="15.6">
      <c r="B9513" s="154"/>
    </row>
    <row r="9514" spans="2:2" ht="15.6">
      <c r="B9514" s="154"/>
    </row>
    <row r="9515" spans="2:2" ht="15.6">
      <c r="B9515" s="154"/>
    </row>
    <row r="9516" spans="2:2" ht="15.6">
      <c r="B9516" s="154"/>
    </row>
    <row r="9517" spans="2:2" ht="15.6">
      <c r="B9517" s="154"/>
    </row>
    <row r="9518" spans="2:2" ht="15.6">
      <c r="B9518" s="154"/>
    </row>
    <row r="9519" spans="2:2" ht="15.6">
      <c r="B9519" s="154"/>
    </row>
    <row r="9520" spans="2:2" ht="15.6">
      <c r="B9520" s="154"/>
    </row>
    <row r="9521" spans="2:2" ht="15.6">
      <c r="B9521" s="154"/>
    </row>
    <row r="9522" spans="2:2" ht="15.6">
      <c r="B9522" s="154"/>
    </row>
    <row r="9523" spans="2:2" ht="15.6">
      <c r="B9523" s="154"/>
    </row>
    <row r="9524" spans="2:2" ht="15.6">
      <c r="B9524" s="154"/>
    </row>
    <row r="9525" spans="2:2" ht="15.6">
      <c r="B9525" s="154"/>
    </row>
    <row r="9526" spans="2:2" ht="15.6">
      <c r="B9526" s="154"/>
    </row>
    <row r="9527" spans="2:2" ht="15.6">
      <c r="B9527" s="154"/>
    </row>
    <row r="9528" spans="2:2" ht="15.6">
      <c r="B9528" s="154"/>
    </row>
    <row r="9529" spans="2:2" ht="15.6">
      <c r="B9529" s="154"/>
    </row>
    <row r="9530" spans="2:2" ht="15.6">
      <c r="B9530" s="154"/>
    </row>
    <row r="9531" spans="2:2" ht="15.6">
      <c r="B9531" s="154"/>
    </row>
    <row r="9532" spans="2:2" ht="15.6">
      <c r="B9532" s="154"/>
    </row>
    <row r="9533" spans="2:2" ht="15.6">
      <c r="B9533" s="154"/>
    </row>
    <row r="9534" spans="2:2" ht="15.6">
      <c r="B9534" s="154"/>
    </row>
    <row r="9535" spans="2:2" ht="15.6">
      <c r="B9535" s="154"/>
    </row>
    <row r="9536" spans="2:2" ht="15.6">
      <c r="B9536" s="154"/>
    </row>
    <row r="9537" spans="2:2" ht="15.6">
      <c r="B9537" s="154"/>
    </row>
    <row r="9538" spans="2:2" ht="15.6">
      <c r="B9538" s="154"/>
    </row>
    <row r="9539" spans="2:2" ht="15.6">
      <c r="B9539" s="154"/>
    </row>
    <row r="9540" spans="2:2" ht="15.6">
      <c r="B9540" s="154"/>
    </row>
    <row r="9541" spans="2:2" ht="15.6">
      <c r="B9541" s="154"/>
    </row>
    <row r="9542" spans="2:2" ht="15.6">
      <c r="B9542" s="154"/>
    </row>
    <row r="9543" spans="2:2" ht="15.6">
      <c r="B9543" s="154"/>
    </row>
    <row r="9544" spans="2:2" ht="15.6">
      <c r="B9544" s="154"/>
    </row>
    <row r="9545" spans="2:2" ht="15.6">
      <c r="B9545" s="154"/>
    </row>
    <row r="9546" spans="2:2" ht="15.6">
      <c r="B9546" s="154"/>
    </row>
    <row r="9547" spans="2:2" ht="15.6">
      <c r="B9547" s="154"/>
    </row>
    <row r="9548" spans="2:2" ht="15.6">
      <c r="B9548" s="154"/>
    </row>
    <row r="9549" spans="2:2" ht="15.6">
      <c r="B9549" s="154"/>
    </row>
    <row r="9550" spans="2:2" ht="15.6">
      <c r="B9550" s="154"/>
    </row>
    <row r="9551" spans="2:2" ht="15.6">
      <c r="B9551" s="154"/>
    </row>
    <row r="9552" spans="2:2" ht="15.6">
      <c r="B9552" s="154"/>
    </row>
    <row r="9553" spans="2:2" ht="15.6">
      <c r="B9553" s="154"/>
    </row>
    <row r="9554" spans="2:2" ht="15.6">
      <c r="B9554" s="154"/>
    </row>
    <row r="9555" spans="2:2" ht="15.6">
      <c r="B9555" s="154"/>
    </row>
    <row r="9556" spans="2:2" ht="15.6">
      <c r="B9556" s="154"/>
    </row>
    <row r="9557" spans="2:2" ht="15.6">
      <c r="B9557" s="154"/>
    </row>
    <row r="9558" spans="2:2" ht="15.6">
      <c r="B9558" s="154"/>
    </row>
    <row r="9559" spans="2:2" ht="15.6">
      <c r="B9559" s="154"/>
    </row>
    <row r="9560" spans="2:2" ht="15.6">
      <c r="B9560" s="154"/>
    </row>
    <row r="9561" spans="2:2" ht="15.6">
      <c r="B9561" s="154"/>
    </row>
    <row r="9562" spans="2:2" ht="15.6">
      <c r="B9562" s="154"/>
    </row>
    <row r="9563" spans="2:2" ht="15.6">
      <c r="B9563" s="154"/>
    </row>
    <row r="9564" spans="2:2" ht="15.6">
      <c r="B9564" s="154"/>
    </row>
    <row r="9565" spans="2:2" ht="15.6">
      <c r="B9565" s="154"/>
    </row>
    <row r="9566" spans="2:2" ht="15.6">
      <c r="B9566" s="154"/>
    </row>
    <row r="9567" spans="2:2" ht="15.6">
      <c r="B9567" s="154"/>
    </row>
    <row r="9568" spans="2:2" ht="15.6">
      <c r="B9568" s="154"/>
    </row>
    <row r="9569" spans="2:2" ht="15.6">
      <c r="B9569" s="154"/>
    </row>
    <row r="9570" spans="2:2" ht="15.6">
      <c r="B9570" s="154"/>
    </row>
    <row r="9571" spans="2:2" ht="15.6">
      <c r="B9571" s="154"/>
    </row>
    <row r="9572" spans="2:2" ht="15.6">
      <c r="B9572" s="154"/>
    </row>
    <row r="9573" spans="2:2" ht="15.6">
      <c r="B9573" s="154"/>
    </row>
    <row r="9574" spans="2:2" ht="15.6">
      <c r="B9574" s="154"/>
    </row>
    <row r="9575" spans="2:2" ht="15.6">
      <c r="B9575" s="154"/>
    </row>
    <row r="9576" spans="2:2" ht="15.6">
      <c r="B9576" s="154"/>
    </row>
    <row r="9577" spans="2:2" ht="15.6">
      <c r="B9577" s="154"/>
    </row>
    <row r="9578" spans="2:2" ht="15.6">
      <c r="B9578" s="154"/>
    </row>
    <row r="9579" spans="2:2" ht="15.6">
      <c r="B9579" s="154"/>
    </row>
    <row r="9580" spans="2:2" ht="15.6">
      <c r="B9580" s="154"/>
    </row>
    <row r="9581" spans="2:2" ht="15.6">
      <c r="B9581" s="154"/>
    </row>
    <row r="9582" spans="2:2" ht="15.6">
      <c r="B9582" s="154"/>
    </row>
    <row r="9583" spans="2:2" ht="15.6">
      <c r="B9583" s="154"/>
    </row>
    <row r="9584" spans="2:2" ht="15.6">
      <c r="B9584" s="154"/>
    </row>
    <row r="9585" spans="2:2" ht="15.6">
      <c r="B9585" s="154"/>
    </row>
    <row r="9586" spans="2:2" ht="15.6">
      <c r="B9586" s="154"/>
    </row>
    <row r="9587" spans="2:2" ht="15.6">
      <c r="B9587" s="154"/>
    </row>
    <row r="9588" spans="2:2" ht="15.6">
      <c r="B9588" s="154"/>
    </row>
    <row r="9589" spans="2:2" ht="15.6">
      <c r="B9589" s="154"/>
    </row>
    <row r="9590" spans="2:2" ht="15.6">
      <c r="B9590" s="154"/>
    </row>
    <row r="9591" spans="2:2" ht="15.6">
      <c r="B9591" s="154"/>
    </row>
    <row r="9592" spans="2:2" ht="15.6">
      <c r="B9592" s="154"/>
    </row>
    <row r="9593" spans="2:2" ht="15.6">
      <c r="B9593" s="154"/>
    </row>
    <row r="9594" spans="2:2" ht="15.6">
      <c r="B9594" s="154"/>
    </row>
    <row r="9595" spans="2:2" ht="15.6">
      <c r="B9595" s="154"/>
    </row>
    <row r="9596" spans="2:2" ht="15.6">
      <c r="B9596" s="154"/>
    </row>
    <row r="9597" spans="2:2" ht="15.6">
      <c r="B9597" s="154"/>
    </row>
    <row r="9598" spans="2:2" ht="15.6">
      <c r="B9598" s="154"/>
    </row>
    <row r="9599" spans="2:2" ht="15.6">
      <c r="B9599" s="154"/>
    </row>
    <row r="9600" spans="2:2" ht="15.6">
      <c r="B9600" s="154"/>
    </row>
    <row r="9601" spans="2:2" ht="15.6">
      <c r="B9601" s="154"/>
    </row>
    <row r="9602" spans="2:2" ht="15.6">
      <c r="B9602" s="154"/>
    </row>
    <row r="9603" spans="2:2" ht="15.6">
      <c r="B9603" s="154"/>
    </row>
    <row r="9604" spans="2:2" ht="15.6">
      <c r="B9604" s="154"/>
    </row>
    <row r="9605" spans="2:2" ht="15.6">
      <c r="B9605" s="154"/>
    </row>
    <row r="9606" spans="2:2" ht="15.6">
      <c r="B9606" s="154"/>
    </row>
    <row r="9607" spans="2:2" ht="15.6">
      <c r="B9607" s="154"/>
    </row>
    <row r="9608" spans="2:2" ht="15.6">
      <c r="B9608" s="154"/>
    </row>
    <row r="9609" spans="2:2" ht="15.6">
      <c r="B9609" s="154"/>
    </row>
    <row r="9610" spans="2:2" ht="15.6">
      <c r="B9610" s="154"/>
    </row>
    <row r="9611" spans="2:2" ht="15.6">
      <c r="B9611" s="154"/>
    </row>
    <row r="9612" spans="2:2" ht="15.6">
      <c r="B9612" s="154"/>
    </row>
    <row r="9613" spans="2:2" ht="15.6">
      <c r="B9613" s="154"/>
    </row>
    <row r="9614" spans="2:2" ht="15.6">
      <c r="B9614" s="154"/>
    </row>
    <row r="9615" spans="2:2" ht="15.6">
      <c r="B9615" s="154"/>
    </row>
    <row r="9616" spans="2:2" ht="15.6">
      <c r="B9616" s="154"/>
    </row>
    <row r="9617" spans="2:2" ht="15.6">
      <c r="B9617" s="154"/>
    </row>
    <row r="9618" spans="2:2" ht="15.6">
      <c r="B9618" s="154"/>
    </row>
    <row r="9619" spans="2:2" ht="15.6">
      <c r="B9619" s="154"/>
    </row>
    <row r="9620" spans="2:2" ht="15.6">
      <c r="B9620" s="154"/>
    </row>
    <row r="9621" spans="2:2" ht="15.6">
      <c r="B9621" s="154"/>
    </row>
    <row r="9622" spans="2:2" ht="15.6">
      <c r="B9622" s="154"/>
    </row>
    <row r="9623" spans="2:2" ht="15.6">
      <c r="B9623" s="154"/>
    </row>
    <row r="9624" spans="2:2" ht="15.6">
      <c r="B9624" s="154"/>
    </row>
    <row r="9625" spans="2:2" ht="15.6">
      <c r="B9625" s="154"/>
    </row>
    <row r="9626" spans="2:2" ht="15.6">
      <c r="B9626" s="154"/>
    </row>
    <row r="9627" spans="2:2" ht="15.6">
      <c r="B9627" s="154"/>
    </row>
    <row r="9628" spans="2:2" ht="15.6">
      <c r="B9628" s="154"/>
    </row>
    <row r="9629" spans="2:2" ht="15.6">
      <c r="B9629" s="154"/>
    </row>
    <row r="9630" spans="2:2" ht="15.6">
      <c r="B9630" s="154"/>
    </row>
    <row r="9631" spans="2:2" ht="15.6">
      <c r="B9631" s="154"/>
    </row>
    <row r="9632" spans="2:2" ht="15.6">
      <c r="B9632" s="154"/>
    </row>
    <row r="9633" spans="2:2" ht="15.6">
      <c r="B9633" s="154"/>
    </row>
    <row r="9634" spans="2:2" ht="15.6">
      <c r="B9634" s="154"/>
    </row>
    <row r="9635" spans="2:2" ht="15.6">
      <c r="B9635" s="154"/>
    </row>
    <row r="9636" spans="2:2" ht="15.6">
      <c r="B9636" s="154"/>
    </row>
    <row r="9637" spans="2:2" ht="15.6">
      <c r="B9637" s="154"/>
    </row>
    <row r="9638" spans="2:2" ht="15.6">
      <c r="B9638" s="154"/>
    </row>
    <row r="9639" spans="2:2" ht="15.6">
      <c r="B9639" s="154"/>
    </row>
    <row r="9640" spans="2:2" ht="15.6">
      <c r="B9640" s="154"/>
    </row>
    <row r="9641" spans="2:2" ht="15.6">
      <c r="B9641" s="154"/>
    </row>
    <row r="9642" spans="2:2" ht="15.6">
      <c r="B9642" s="154"/>
    </row>
    <row r="9643" spans="2:2" ht="15.6">
      <c r="B9643" s="154"/>
    </row>
    <row r="9644" spans="2:2" ht="15.6">
      <c r="B9644" s="154"/>
    </row>
    <row r="9645" spans="2:2" ht="15.6">
      <c r="B9645" s="154"/>
    </row>
    <row r="9646" spans="2:2" ht="15.6">
      <c r="B9646" s="154"/>
    </row>
    <row r="9647" spans="2:2" ht="15.6">
      <c r="B9647" s="154"/>
    </row>
    <row r="9648" spans="2:2" ht="15.6">
      <c r="B9648" s="154"/>
    </row>
    <row r="9649" spans="2:2" ht="15.6">
      <c r="B9649" s="154"/>
    </row>
    <row r="9650" spans="2:2" ht="15.6">
      <c r="B9650" s="154"/>
    </row>
    <row r="9651" spans="2:2" ht="15.6">
      <c r="B9651" s="154"/>
    </row>
    <row r="9652" spans="2:2" ht="15.6">
      <c r="B9652" s="154"/>
    </row>
    <row r="9653" spans="2:2" ht="15.6">
      <c r="B9653" s="154"/>
    </row>
    <row r="9654" spans="2:2" ht="15.6">
      <c r="B9654" s="154"/>
    </row>
    <row r="9655" spans="2:2" ht="15.6">
      <c r="B9655" s="154"/>
    </row>
    <row r="9656" spans="2:2" ht="15.6">
      <c r="B9656" s="154"/>
    </row>
    <row r="9657" spans="2:2" ht="15.6">
      <c r="B9657" s="154"/>
    </row>
    <row r="9658" spans="2:2" ht="15.6">
      <c r="B9658" s="154"/>
    </row>
    <row r="9659" spans="2:2" ht="15.6">
      <c r="B9659" s="154"/>
    </row>
    <row r="9660" spans="2:2" ht="15.6">
      <c r="B9660" s="154"/>
    </row>
    <row r="9661" spans="2:2" ht="15.6">
      <c r="B9661" s="154"/>
    </row>
    <row r="9662" spans="2:2" ht="15.6">
      <c r="B9662" s="154"/>
    </row>
    <row r="9663" spans="2:2" ht="15.6">
      <c r="B9663" s="154"/>
    </row>
    <row r="9664" spans="2:2" ht="15.6">
      <c r="B9664" s="154"/>
    </row>
    <row r="9665" spans="2:2" ht="15.6">
      <c r="B9665" s="154"/>
    </row>
    <row r="9666" spans="2:2" ht="15.6">
      <c r="B9666" s="154"/>
    </row>
    <row r="9667" spans="2:2" ht="15.6">
      <c r="B9667" s="154"/>
    </row>
    <row r="9668" spans="2:2" ht="15.6">
      <c r="B9668" s="154"/>
    </row>
    <row r="9669" spans="2:2" ht="15.6">
      <c r="B9669" s="154"/>
    </row>
    <row r="9670" spans="2:2" ht="15.6">
      <c r="B9670" s="154"/>
    </row>
    <row r="9671" spans="2:2" ht="15.6">
      <c r="B9671" s="154"/>
    </row>
    <row r="9672" spans="2:2" ht="15.6">
      <c r="B9672" s="154"/>
    </row>
    <row r="9673" spans="2:2" ht="15.6">
      <c r="B9673" s="154"/>
    </row>
    <row r="9674" spans="2:2" ht="15.6">
      <c r="B9674" s="154"/>
    </row>
    <row r="9675" spans="2:2" ht="15.6">
      <c r="B9675" s="154"/>
    </row>
    <row r="9676" spans="2:2" ht="15.6">
      <c r="B9676" s="154"/>
    </row>
    <row r="9677" spans="2:2" ht="15.6">
      <c r="B9677" s="154"/>
    </row>
    <row r="9678" spans="2:2" ht="15.6">
      <c r="B9678" s="154"/>
    </row>
    <row r="9679" spans="2:2" ht="15.6">
      <c r="B9679" s="154"/>
    </row>
    <row r="9680" spans="2:2" ht="15.6">
      <c r="B9680" s="154"/>
    </row>
    <row r="9681" spans="2:2" ht="15.6">
      <c r="B9681" s="154"/>
    </row>
    <row r="9682" spans="2:2" ht="15.6">
      <c r="B9682" s="154"/>
    </row>
    <row r="9683" spans="2:2" ht="15.6">
      <c r="B9683" s="154"/>
    </row>
    <row r="9684" spans="2:2" ht="15.6">
      <c r="B9684" s="154"/>
    </row>
    <row r="9685" spans="2:2" ht="15.6">
      <c r="B9685" s="154"/>
    </row>
    <row r="9686" spans="2:2" ht="15.6">
      <c r="B9686" s="154"/>
    </row>
    <row r="9687" spans="2:2" ht="15.6">
      <c r="B9687" s="154"/>
    </row>
    <row r="9688" spans="2:2" ht="15.6">
      <c r="B9688" s="154"/>
    </row>
    <row r="9689" spans="2:2" ht="15.6">
      <c r="B9689" s="154"/>
    </row>
    <row r="9690" spans="2:2" ht="15.6">
      <c r="B9690" s="154"/>
    </row>
    <row r="9691" spans="2:2" ht="15.6">
      <c r="B9691" s="154"/>
    </row>
    <row r="9692" spans="2:2" ht="15.6">
      <c r="B9692" s="154"/>
    </row>
    <row r="9693" spans="2:2" ht="15.6">
      <c r="B9693" s="154"/>
    </row>
    <row r="9694" spans="2:2" ht="15.6">
      <c r="B9694" s="154"/>
    </row>
    <row r="9695" spans="2:2" ht="15.6">
      <c r="B9695" s="154"/>
    </row>
    <row r="9696" spans="2:2" ht="15.6">
      <c r="B9696" s="154"/>
    </row>
    <row r="9697" spans="2:2" ht="15.6">
      <c r="B9697" s="154"/>
    </row>
    <row r="9698" spans="2:2" ht="15.6">
      <c r="B9698" s="154"/>
    </row>
    <row r="9699" spans="2:2" ht="15.6">
      <c r="B9699" s="154"/>
    </row>
    <row r="9700" spans="2:2" ht="15.6">
      <c r="B9700" s="154"/>
    </row>
    <row r="9701" spans="2:2" ht="15.6">
      <c r="B9701" s="154"/>
    </row>
    <row r="9702" spans="2:2" ht="15.6">
      <c r="B9702" s="154"/>
    </row>
    <row r="9703" spans="2:2" ht="15.6">
      <c r="B9703" s="154"/>
    </row>
    <row r="9704" spans="2:2" ht="15.6">
      <c r="B9704" s="154"/>
    </row>
    <row r="9705" spans="2:2" ht="15.6">
      <c r="B9705" s="154"/>
    </row>
    <row r="9706" spans="2:2" ht="15.6">
      <c r="B9706" s="154"/>
    </row>
    <row r="9707" spans="2:2" ht="15.6">
      <c r="B9707" s="154"/>
    </row>
    <row r="9708" spans="2:2" ht="15.6">
      <c r="B9708" s="154"/>
    </row>
    <row r="9709" spans="2:2" ht="15.6">
      <c r="B9709" s="154"/>
    </row>
    <row r="9710" spans="2:2" ht="15.6">
      <c r="B9710" s="154"/>
    </row>
    <row r="9711" spans="2:2" ht="15.6">
      <c r="B9711" s="154"/>
    </row>
    <row r="9712" spans="2:2" ht="15.6">
      <c r="B9712" s="154"/>
    </row>
    <row r="9713" spans="2:2" ht="15.6">
      <c r="B9713" s="154"/>
    </row>
    <row r="9714" spans="2:2" ht="15.6">
      <c r="B9714" s="154"/>
    </row>
    <row r="9715" spans="2:2" ht="15.6">
      <c r="B9715" s="154"/>
    </row>
    <row r="9716" spans="2:2" ht="15.6">
      <c r="B9716" s="154"/>
    </row>
    <row r="9717" spans="2:2" ht="15.6">
      <c r="B9717" s="154"/>
    </row>
    <row r="9718" spans="2:2" ht="15.6">
      <c r="B9718" s="154"/>
    </row>
    <row r="9719" spans="2:2" ht="15.6">
      <c r="B9719" s="154"/>
    </row>
    <row r="9720" spans="2:2" ht="15.6">
      <c r="B9720" s="154"/>
    </row>
    <row r="9721" spans="2:2" ht="15.6">
      <c r="B9721" s="154"/>
    </row>
    <row r="9722" spans="2:2" ht="15.6">
      <c r="B9722" s="154"/>
    </row>
    <row r="9723" spans="2:2" ht="15.6">
      <c r="B9723" s="154"/>
    </row>
    <row r="9724" spans="2:2" ht="15.6">
      <c r="B9724" s="154"/>
    </row>
    <row r="9725" spans="2:2" ht="15.6">
      <c r="B9725" s="154"/>
    </row>
    <row r="9726" spans="2:2" ht="15.6">
      <c r="B9726" s="154"/>
    </row>
    <row r="9727" spans="2:2" ht="15.6">
      <c r="B9727" s="154"/>
    </row>
    <row r="9728" spans="2:2" ht="15.6">
      <c r="B9728" s="154"/>
    </row>
    <row r="9729" spans="2:2" ht="15.6">
      <c r="B9729" s="154"/>
    </row>
    <row r="9730" spans="2:2" ht="15.6">
      <c r="B9730" s="154"/>
    </row>
    <row r="9731" spans="2:2" ht="15.6">
      <c r="B9731" s="154"/>
    </row>
    <row r="9732" spans="2:2" ht="15.6">
      <c r="B9732" s="154"/>
    </row>
    <row r="9733" spans="2:2" ht="15.6">
      <c r="B9733" s="154"/>
    </row>
    <row r="9734" spans="2:2" ht="15.6">
      <c r="B9734" s="154"/>
    </row>
    <row r="9735" spans="2:2" ht="15.6">
      <c r="B9735" s="154"/>
    </row>
    <row r="9736" spans="2:2" ht="15.6">
      <c r="B9736" s="154"/>
    </row>
    <row r="9737" spans="2:2" ht="15.6">
      <c r="B9737" s="154"/>
    </row>
    <row r="9738" spans="2:2" ht="15.6">
      <c r="B9738" s="154"/>
    </row>
    <row r="9739" spans="2:2" ht="15.6">
      <c r="B9739" s="154"/>
    </row>
    <row r="9740" spans="2:2" ht="15.6">
      <c r="B9740" s="154"/>
    </row>
    <row r="9741" spans="2:2" ht="15.6">
      <c r="B9741" s="154"/>
    </row>
    <row r="9742" spans="2:2" ht="15.6">
      <c r="B9742" s="154"/>
    </row>
    <row r="9743" spans="2:2" ht="15.6">
      <c r="B9743" s="154"/>
    </row>
    <row r="9744" spans="2:2" ht="15.6">
      <c r="B9744" s="154"/>
    </row>
    <row r="9745" spans="2:2" ht="15.6">
      <c r="B9745" s="154"/>
    </row>
    <row r="9746" spans="2:2" ht="15.6">
      <c r="B9746" s="154"/>
    </row>
    <row r="9747" spans="2:2" ht="15.6">
      <c r="B9747" s="154"/>
    </row>
    <row r="9748" spans="2:2" ht="15.6">
      <c r="B9748" s="154"/>
    </row>
    <row r="9749" spans="2:2" ht="15.6">
      <c r="B9749" s="154"/>
    </row>
    <row r="9750" spans="2:2" ht="15.6">
      <c r="B9750" s="154"/>
    </row>
    <row r="9751" spans="2:2" ht="15.6">
      <c r="B9751" s="154"/>
    </row>
    <row r="9752" spans="2:2" ht="15.6">
      <c r="B9752" s="154"/>
    </row>
    <row r="9753" spans="2:2" ht="15.6">
      <c r="B9753" s="154"/>
    </row>
    <row r="9754" spans="2:2" ht="15.6">
      <c r="B9754" s="154"/>
    </row>
    <row r="9755" spans="2:2" ht="15.6">
      <c r="B9755" s="154"/>
    </row>
    <row r="9756" spans="2:2" ht="15.6">
      <c r="B9756" s="154"/>
    </row>
    <row r="9757" spans="2:2" ht="15.6">
      <c r="B9757" s="154"/>
    </row>
    <row r="9758" spans="2:2" ht="15.6">
      <c r="B9758" s="154"/>
    </row>
    <row r="9759" spans="2:2" ht="15.6">
      <c r="B9759" s="154"/>
    </row>
    <row r="9760" spans="2:2" ht="15.6">
      <c r="B9760" s="154"/>
    </row>
    <row r="9761" spans="2:2" ht="15.6">
      <c r="B9761" s="154"/>
    </row>
    <row r="9762" spans="2:2" ht="15.6">
      <c r="B9762" s="154"/>
    </row>
    <row r="9763" spans="2:2" ht="15.6">
      <c r="B9763" s="154"/>
    </row>
    <row r="9764" spans="2:2" ht="15.6">
      <c r="B9764" s="154"/>
    </row>
    <row r="9765" spans="2:2" ht="15.6">
      <c r="B9765" s="154"/>
    </row>
    <row r="9766" spans="2:2" ht="15.6">
      <c r="B9766" s="154"/>
    </row>
    <row r="9767" spans="2:2" ht="15.6">
      <c r="B9767" s="154"/>
    </row>
    <row r="9768" spans="2:2" ht="15.6">
      <c r="B9768" s="154"/>
    </row>
    <row r="9769" spans="2:2" ht="15.6">
      <c r="B9769" s="154"/>
    </row>
    <row r="9770" spans="2:2" ht="15.6">
      <c r="B9770" s="154"/>
    </row>
    <row r="9771" spans="2:2" ht="15.6">
      <c r="B9771" s="154"/>
    </row>
    <row r="9772" spans="2:2" ht="15.6">
      <c r="B9772" s="154"/>
    </row>
    <row r="9773" spans="2:2" ht="15.6">
      <c r="B9773" s="154"/>
    </row>
    <row r="9774" spans="2:2" ht="15.6">
      <c r="B9774" s="154"/>
    </row>
    <row r="9775" spans="2:2" ht="15.6">
      <c r="B9775" s="154"/>
    </row>
    <row r="9776" spans="2:2" ht="15.6">
      <c r="B9776" s="154"/>
    </row>
    <row r="9777" spans="2:2" ht="15.6">
      <c r="B9777" s="154"/>
    </row>
    <row r="9778" spans="2:2" ht="15.6">
      <c r="B9778" s="154"/>
    </row>
    <row r="9779" spans="2:2" ht="15.6">
      <c r="B9779" s="154"/>
    </row>
    <row r="9780" spans="2:2" ht="15.6">
      <c r="B9780" s="154"/>
    </row>
    <row r="9781" spans="2:2" ht="15.6">
      <c r="B9781" s="154"/>
    </row>
    <row r="9782" spans="2:2" ht="15.6">
      <c r="B9782" s="154"/>
    </row>
    <row r="9783" spans="2:2" ht="15.6">
      <c r="B9783" s="154"/>
    </row>
    <row r="9784" spans="2:2" ht="15.6">
      <c r="B9784" s="154"/>
    </row>
    <row r="9785" spans="2:2" ht="15.6">
      <c r="B9785" s="154"/>
    </row>
    <row r="9786" spans="2:2" ht="15.6">
      <c r="B9786" s="154"/>
    </row>
    <row r="9787" spans="2:2" ht="15.6">
      <c r="B9787" s="154"/>
    </row>
    <row r="9788" spans="2:2" ht="15.6">
      <c r="B9788" s="154"/>
    </row>
    <row r="9789" spans="2:2" ht="15.6">
      <c r="B9789" s="154"/>
    </row>
    <row r="9790" spans="2:2" ht="15.6">
      <c r="B9790" s="154"/>
    </row>
    <row r="9791" spans="2:2" ht="15.6">
      <c r="B9791" s="154"/>
    </row>
    <row r="9792" spans="2:2" ht="15.6">
      <c r="B9792" s="154"/>
    </row>
    <row r="9793" spans="2:2" ht="15.6">
      <c r="B9793" s="154"/>
    </row>
    <row r="9794" spans="2:2" ht="15.6">
      <c r="B9794" s="154"/>
    </row>
    <row r="9795" spans="2:2" ht="15.6">
      <c r="B9795" s="154"/>
    </row>
    <row r="9796" spans="2:2" ht="15.6">
      <c r="B9796" s="154"/>
    </row>
    <row r="9797" spans="2:2" ht="15.6">
      <c r="B9797" s="154"/>
    </row>
    <row r="9798" spans="2:2" ht="15.6">
      <c r="B9798" s="154"/>
    </row>
    <row r="9799" spans="2:2" ht="15.6">
      <c r="B9799" s="154"/>
    </row>
    <row r="9800" spans="2:2" ht="15.6">
      <c r="B9800" s="154"/>
    </row>
    <row r="9801" spans="2:2" ht="15.6">
      <c r="B9801" s="154"/>
    </row>
    <row r="9802" spans="2:2" ht="15.6">
      <c r="B9802" s="154"/>
    </row>
    <row r="9803" spans="2:2" ht="15.6">
      <c r="B9803" s="154"/>
    </row>
    <row r="9804" spans="2:2" ht="15.6">
      <c r="B9804" s="154"/>
    </row>
    <row r="9805" spans="2:2" ht="15.6">
      <c r="B9805" s="154"/>
    </row>
    <row r="9806" spans="2:2" ht="15.6">
      <c r="B9806" s="154"/>
    </row>
    <row r="9807" spans="2:2" ht="15.6">
      <c r="B9807" s="154"/>
    </row>
    <row r="9808" spans="2:2" ht="15.6">
      <c r="B9808" s="154"/>
    </row>
    <row r="9809" spans="2:2" ht="15.6">
      <c r="B9809" s="154"/>
    </row>
    <row r="9810" spans="2:2" ht="15.6">
      <c r="B9810" s="154"/>
    </row>
    <row r="9811" spans="2:2" ht="15.6">
      <c r="B9811" s="154"/>
    </row>
    <row r="9812" spans="2:2" ht="15.6">
      <c r="B9812" s="154"/>
    </row>
    <row r="9813" spans="2:2" ht="15.6">
      <c r="B9813" s="154"/>
    </row>
    <row r="9814" spans="2:2" ht="15.6">
      <c r="B9814" s="154"/>
    </row>
    <row r="9815" spans="2:2" ht="15.6">
      <c r="B9815" s="154"/>
    </row>
    <row r="9816" spans="2:2" ht="15.6">
      <c r="B9816" s="154"/>
    </row>
    <row r="9817" spans="2:2" ht="15.6">
      <c r="B9817" s="154"/>
    </row>
    <row r="9818" spans="2:2" ht="15.6">
      <c r="B9818" s="154"/>
    </row>
    <row r="9819" spans="2:2" ht="15.6">
      <c r="B9819" s="154"/>
    </row>
    <row r="9820" spans="2:2" ht="15.6">
      <c r="B9820" s="154"/>
    </row>
    <row r="9821" spans="2:2" ht="15.6">
      <c r="B9821" s="154"/>
    </row>
    <row r="9822" spans="2:2" ht="15.6">
      <c r="B9822" s="154"/>
    </row>
    <row r="9823" spans="2:2" ht="15.6">
      <c r="B9823" s="154"/>
    </row>
    <row r="9824" spans="2:2" ht="15.6">
      <c r="B9824" s="154"/>
    </row>
    <row r="9825" spans="2:2" ht="15.6">
      <c r="B9825" s="154"/>
    </row>
    <row r="9826" spans="2:2" ht="15.6">
      <c r="B9826" s="154"/>
    </row>
    <row r="9827" spans="2:2" ht="15.6">
      <c r="B9827" s="154"/>
    </row>
    <row r="9828" spans="2:2" ht="15.6">
      <c r="B9828" s="154"/>
    </row>
    <row r="9829" spans="2:2" ht="15.6">
      <c r="B9829" s="154"/>
    </row>
    <row r="9830" spans="2:2" ht="15.6">
      <c r="B9830" s="154"/>
    </row>
    <row r="9831" spans="2:2" ht="15.6">
      <c r="B9831" s="154"/>
    </row>
    <row r="9832" spans="2:2" ht="15.6">
      <c r="B9832" s="154"/>
    </row>
    <row r="9833" spans="2:2" ht="15.6">
      <c r="B9833" s="154"/>
    </row>
    <row r="9834" spans="2:2" ht="15.6">
      <c r="B9834" s="154"/>
    </row>
    <row r="9835" spans="2:2" ht="15.6">
      <c r="B9835" s="154"/>
    </row>
    <row r="9836" spans="2:2" ht="15.6">
      <c r="B9836" s="154"/>
    </row>
    <row r="9837" spans="2:2" ht="15.6">
      <c r="B9837" s="154"/>
    </row>
    <row r="9838" spans="2:2" ht="15.6">
      <c r="B9838" s="154"/>
    </row>
    <row r="9839" spans="2:2" ht="15.6">
      <c r="B9839" s="154"/>
    </row>
    <row r="9840" spans="2:2" ht="15.6">
      <c r="B9840" s="154"/>
    </row>
    <row r="9841" spans="2:2" ht="15.6">
      <c r="B9841" s="154"/>
    </row>
    <row r="9842" spans="2:2" ht="15.6">
      <c r="B9842" s="154"/>
    </row>
    <row r="9843" spans="2:2" ht="15.6">
      <c r="B9843" s="154"/>
    </row>
    <row r="9844" spans="2:2" ht="15.6">
      <c r="B9844" s="154"/>
    </row>
    <row r="9845" spans="2:2" ht="15.6">
      <c r="B9845" s="154"/>
    </row>
    <row r="9846" spans="2:2" ht="15.6">
      <c r="B9846" s="154"/>
    </row>
    <row r="9847" spans="2:2" ht="15.6">
      <c r="B9847" s="154"/>
    </row>
    <row r="9848" spans="2:2" ht="15.6">
      <c r="B9848" s="154"/>
    </row>
    <row r="9849" spans="2:2" ht="15.6">
      <c r="B9849" s="154"/>
    </row>
    <row r="9850" spans="2:2" ht="15.6">
      <c r="B9850" s="154"/>
    </row>
    <row r="9851" spans="2:2" ht="15.6">
      <c r="B9851" s="154"/>
    </row>
    <row r="9852" spans="2:2" ht="15.6">
      <c r="B9852" s="154"/>
    </row>
    <row r="9853" spans="2:2" ht="15.6">
      <c r="B9853" s="154"/>
    </row>
    <row r="9854" spans="2:2" ht="15.6">
      <c r="B9854" s="154"/>
    </row>
    <row r="9855" spans="2:2" ht="15.6">
      <c r="B9855" s="154"/>
    </row>
    <row r="9856" spans="2:2" ht="15.6">
      <c r="B9856" s="154"/>
    </row>
    <row r="9857" spans="2:2" ht="15.6">
      <c r="B9857" s="154"/>
    </row>
    <row r="9858" spans="2:2" ht="15.6">
      <c r="B9858" s="154"/>
    </row>
    <row r="9859" spans="2:2" ht="15.6">
      <c r="B9859" s="154"/>
    </row>
    <row r="9860" spans="2:2" ht="15.6">
      <c r="B9860" s="154"/>
    </row>
    <row r="9861" spans="2:2" ht="15.6">
      <c r="B9861" s="154"/>
    </row>
    <row r="9862" spans="2:2" ht="15.6">
      <c r="B9862" s="154"/>
    </row>
    <row r="9863" spans="2:2" ht="15.6">
      <c r="B9863" s="154"/>
    </row>
    <row r="9864" spans="2:2" ht="15.6">
      <c r="B9864" s="154"/>
    </row>
    <row r="9865" spans="2:2" ht="15.6">
      <c r="B9865" s="154"/>
    </row>
    <row r="9866" spans="2:2" ht="15.6">
      <c r="B9866" s="154"/>
    </row>
    <row r="9867" spans="2:2" ht="15.6">
      <c r="B9867" s="154"/>
    </row>
    <row r="9868" spans="2:2" ht="15.6">
      <c r="B9868" s="154"/>
    </row>
    <row r="9869" spans="2:2" ht="15.6">
      <c r="B9869" s="154"/>
    </row>
    <row r="9870" spans="2:2" ht="15.6">
      <c r="B9870" s="154"/>
    </row>
    <row r="9871" spans="2:2" ht="15.6">
      <c r="B9871" s="154"/>
    </row>
    <row r="9872" spans="2:2" ht="15.6">
      <c r="B9872" s="154"/>
    </row>
    <row r="9873" spans="2:2" ht="15.6">
      <c r="B9873" s="154"/>
    </row>
    <row r="9874" spans="2:2" ht="15.6">
      <c r="B9874" s="154"/>
    </row>
    <row r="9875" spans="2:2" ht="15.6">
      <c r="B9875" s="154"/>
    </row>
    <row r="9876" spans="2:2" ht="15.6">
      <c r="B9876" s="154"/>
    </row>
    <row r="9877" spans="2:2" ht="15.6">
      <c r="B9877" s="154"/>
    </row>
    <row r="9878" spans="2:2" ht="15.6">
      <c r="B9878" s="154"/>
    </row>
    <row r="9879" spans="2:2" ht="15.6">
      <c r="B9879" s="154"/>
    </row>
    <row r="9880" spans="2:2" ht="15.6">
      <c r="B9880" s="154"/>
    </row>
    <row r="9881" spans="2:2" ht="15.6">
      <c r="B9881" s="154"/>
    </row>
    <row r="9882" spans="2:2" ht="15.6">
      <c r="B9882" s="154"/>
    </row>
    <row r="9883" spans="2:2" ht="15.6">
      <c r="B9883" s="154"/>
    </row>
    <row r="9884" spans="2:2" ht="15.6">
      <c r="B9884" s="154"/>
    </row>
    <row r="9885" spans="2:2" ht="15.6">
      <c r="B9885" s="154"/>
    </row>
    <row r="9886" spans="2:2" ht="15.6">
      <c r="B9886" s="154"/>
    </row>
    <row r="9887" spans="2:2" ht="15.6">
      <c r="B9887" s="154"/>
    </row>
    <row r="9888" spans="2:2" ht="15.6">
      <c r="B9888" s="154"/>
    </row>
    <row r="9889" spans="2:2" ht="15.6">
      <c r="B9889" s="154"/>
    </row>
    <row r="9890" spans="2:2" ht="15.6">
      <c r="B9890" s="154"/>
    </row>
    <row r="9891" spans="2:2" ht="15.6">
      <c r="B9891" s="154"/>
    </row>
    <row r="9892" spans="2:2" ht="15.6">
      <c r="B9892" s="154"/>
    </row>
    <row r="9893" spans="2:2" ht="15.6">
      <c r="B9893" s="154"/>
    </row>
    <row r="9894" spans="2:2" ht="15.6">
      <c r="B9894" s="154"/>
    </row>
    <row r="9895" spans="2:2" ht="15.6">
      <c r="B9895" s="154"/>
    </row>
    <row r="9896" spans="2:2" ht="15.6">
      <c r="B9896" s="154"/>
    </row>
    <row r="9897" spans="2:2" ht="15.6">
      <c r="B9897" s="154"/>
    </row>
    <row r="9898" spans="2:2" ht="15.6">
      <c r="B9898" s="154"/>
    </row>
    <row r="9899" spans="2:2" ht="15.6">
      <c r="B9899" s="154"/>
    </row>
    <row r="9900" spans="2:2" ht="15.6">
      <c r="B9900" s="154"/>
    </row>
    <row r="9901" spans="2:2" ht="15.6">
      <c r="B9901" s="154"/>
    </row>
    <row r="9902" spans="2:2" ht="15.6">
      <c r="B9902" s="154"/>
    </row>
    <row r="9903" spans="2:2" ht="15.6">
      <c r="B9903" s="154"/>
    </row>
    <row r="9904" spans="2:2" ht="15.6">
      <c r="B9904" s="154"/>
    </row>
    <row r="9905" spans="2:2" ht="15.6">
      <c r="B9905" s="154"/>
    </row>
    <row r="9906" spans="2:2" ht="15.6">
      <c r="B9906" s="154"/>
    </row>
    <row r="9907" spans="2:2" ht="15.6">
      <c r="B9907" s="154"/>
    </row>
    <row r="9908" spans="2:2" ht="15.6">
      <c r="B9908" s="154"/>
    </row>
    <row r="9909" spans="2:2" ht="15.6">
      <c r="B9909" s="154"/>
    </row>
    <row r="9910" spans="2:2" ht="15.6">
      <c r="B9910" s="154"/>
    </row>
    <row r="9911" spans="2:2" ht="15.6">
      <c r="B9911" s="154"/>
    </row>
    <row r="9912" spans="2:2" ht="15.6">
      <c r="B9912" s="154"/>
    </row>
    <row r="9913" spans="2:2" ht="15.6">
      <c r="B9913" s="154"/>
    </row>
    <row r="9914" spans="2:2" ht="15.6">
      <c r="B9914" s="154"/>
    </row>
    <row r="9915" spans="2:2" ht="15.6">
      <c r="B9915" s="154"/>
    </row>
    <row r="9916" spans="2:2" ht="15.6">
      <c r="B9916" s="154"/>
    </row>
    <row r="9917" spans="2:2" ht="15.6">
      <c r="B9917" s="154"/>
    </row>
    <row r="9918" spans="2:2" ht="15.6">
      <c r="B9918" s="154"/>
    </row>
    <row r="9919" spans="2:2" ht="15.6">
      <c r="B9919" s="154"/>
    </row>
    <row r="9920" spans="2:2" ht="15.6">
      <c r="B9920" s="154"/>
    </row>
    <row r="9921" spans="2:2" ht="15.6">
      <c r="B9921" s="154"/>
    </row>
    <row r="9922" spans="2:2" ht="15.6">
      <c r="B9922" s="154"/>
    </row>
    <row r="9923" spans="2:2" ht="15.6">
      <c r="B9923" s="154"/>
    </row>
    <row r="9924" spans="2:2" ht="15.6">
      <c r="B9924" s="154"/>
    </row>
    <row r="9925" spans="2:2" ht="15.6">
      <c r="B9925" s="154"/>
    </row>
    <row r="9926" spans="2:2" ht="15.6">
      <c r="B9926" s="154"/>
    </row>
    <row r="9927" spans="2:2" ht="15.6">
      <c r="B9927" s="154"/>
    </row>
    <row r="9928" spans="2:2" ht="15.6">
      <c r="B9928" s="154"/>
    </row>
    <row r="9929" spans="2:2" ht="15.6">
      <c r="B9929" s="154"/>
    </row>
    <row r="9930" spans="2:2" ht="15.6">
      <c r="B9930" s="154"/>
    </row>
    <row r="9931" spans="2:2" ht="15.6">
      <c r="B9931" s="154"/>
    </row>
    <row r="9932" spans="2:2" ht="15.6">
      <c r="B9932" s="154"/>
    </row>
    <row r="9933" spans="2:2" ht="15.6">
      <c r="B9933" s="154"/>
    </row>
    <row r="9934" spans="2:2" ht="15.6">
      <c r="B9934" s="154"/>
    </row>
    <row r="9935" spans="2:2" ht="15.6">
      <c r="B9935" s="154"/>
    </row>
    <row r="9936" spans="2:2" ht="15.6">
      <c r="B9936" s="154"/>
    </row>
    <row r="9937" spans="2:2" ht="15.6">
      <c r="B9937" s="154"/>
    </row>
    <row r="9938" spans="2:2" ht="15.6">
      <c r="B9938" s="154"/>
    </row>
    <row r="9939" spans="2:2" ht="15.6">
      <c r="B9939" s="154"/>
    </row>
    <row r="9940" spans="2:2" ht="15.6">
      <c r="B9940" s="154"/>
    </row>
    <row r="9941" spans="2:2" ht="15.6">
      <c r="B9941" s="154"/>
    </row>
    <row r="9942" spans="2:2" ht="15.6">
      <c r="B9942" s="154"/>
    </row>
    <row r="9943" spans="2:2" ht="15.6">
      <c r="B9943" s="154"/>
    </row>
    <row r="9944" spans="2:2" ht="15.6">
      <c r="B9944" s="154"/>
    </row>
    <row r="9945" spans="2:2" ht="15.6">
      <c r="B9945" s="154"/>
    </row>
    <row r="9946" spans="2:2" ht="15.6">
      <c r="B9946" s="154"/>
    </row>
    <row r="9947" spans="2:2" ht="15.6">
      <c r="B9947" s="154"/>
    </row>
    <row r="9948" spans="2:2" ht="15.6">
      <c r="B9948" s="154"/>
    </row>
    <row r="9949" spans="2:2" ht="15.6">
      <c r="B9949" s="154"/>
    </row>
    <row r="9950" spans="2:2" ht="15.6">
      <c r="B9950" s="154"/>
    </row>
    <row r="9951" spans="2:2" ht="15.6">
      <c r="B9951" s="154"/>
    </row>
    <row r="9952" spans="2:2" ht="15.6">
      <c r="B9952" s="154"/>
    </row>
    <row r="9953" spans="2:2" ht="15.6">
      <c r="B9953" s="154"/>
    </row>
    <row r="9954" spans="2:2" ht="15.6">
      <c r="B9954" s="154"/>
    </row>
    <row r="9955" spans="2:2" ht="15.6">
      <c r="B9955" s="154"/>
    </row>
    <row r="9956" spans="2:2" ht="15.6">
      <c r="B9956" s="154"/>
    </row>
    <row r="9957" spans="2:2" ht="15.6">
      <c r="B9957" s="154"/>
    </row>
    <row r="9958" spans="2:2" ht="15.6">
      <c r="B9958" s="154"/>
    </row>
    <row r="9959" spans="2:2" ht="15.6">
      <c r="B9959" s="154"/>
    </row>
    <row r="9960" spans="2:2" ht="15.6">
      <c r="B9960" s="154"/>
    </row>
    <row r="9961" spans="2:2" ht="15.6">
      <c r="B9961" s="154"/>
    </row>
    <row r="9962" spans="2:2" ht="15.6">
      <c r="B9962" s="154"/>
    </row>
    <row r="9963" spans="2:2" ht="15.6">
      <c r="B9963" s="154"/>
    </row>
    <row r="9964" spans="2:2" ht="15.6">
      <c r="B9964" s="154"/>
    </row>
    <row r="9965" spans="2:2" ht="15.6">
      <c r="B9965" s="154"/>
    </row>
    <row r="9966" spans="2:2" ht="15.6">
      <c r="B9966" s="154"/>
    </row>
    <row r="9967" spans="2:2" ht="15.6">
      <c r="B9967" s="154"/>
    </row>
    <row r="9968" spans="2:2" ht="15.6">
      <c r="B9968" s="154"/>
    </row>
    <row r="9969" spans="2:2" ht="15.6">
      <c r="B9969" s="154"/>
    </row>
    <row r="9970" spans="2:2" ht="15.6">
      <c r="B9970" s="154"/>
    </row>
    <row r="9971" spans="2:2" ht="15.6">
      <c r="B9971" s="154"/>
    </row>
    <row r="9972" spans="2:2" ht="15.6">
      <c r="B9972" s="154"/>
    </row>
    <row r="9973" spans="2:2" ht="15.6">
      <c r="B9973" s="154"/>
    </row>
    <row r="9974" spans="2:2" ht="15.6">
      <c r="B9974" s="154"/>
    </row>
    <row r="9975" spans="2:2" ht="15.6">
      <c r="B9975" s="154"/>
    </row>
    <row r="9976" spans="2:2" ht="15.6">
      <c r="B9976" s="154"/>
    </row>
    <row r="9977" spans="2:2" ht="15.6">
      <c r="B9977" s="154"/>
    </row>
    <row r="9978" spans="2:2" ht="15.6">
      <c r="B9978" s="154"/>
    </row>
    <row r="9979" spans="2:2" ht="15.6">
      <c r="B9979" s="154"/>
    </row>
    <row r="9980" spans="2:2" ht="15.6">
      <c r="B9980" s="154"/>
    </row>
    <row r="9981" spans="2:2" ht="15.6">
      <c r="B9981" s="154"/>
    </row>
    <row r="9982" spans="2:2" ht="15.6">
      <c r="B9982" s="154"/>
    </row>
    <row r="9983" spans="2:2" ht="15.6">
      <c r="B9983" s="154"/>
    </row>
    <row r="9984" spans="2:2" ht="15.6">
      <c r="B9984" s="154"/>
    </row>
    <row r="9985" spans="2:2" ht="15.6">
      <c r="B9985" s="154"/>
    </row>
    <row r="9986" spans="2:2" ht="15.6">
      <c r="B9986" s="154"/>
    </row>
    <row r="9987" spans="2:2" ht="15.6">
      <c r="B9987" s="154"/>
    </row>
    <row r="9988" spans="2:2" ht="15.6">
      <c r="B9988" s="154"/>
    </row>
    <row r="9989" spans="2:2" ht="15.6">
      <c r="B9989" s="154"/>
    </row>
    <row r="9990" spans="2:2" ht="15.6">
      <c r="B9990" s="154"/>
    </row>
    <row r="9991" spans="2:2" ht="15.6">
      <c r="B9991" s="154"/>
    </row>
    <row r="9992" spans="2:2" ht="15.6">
      <c r="B9992" s="154"/>
    </row>
    <row r="9993" spans="2:2" ht="15.6">
      <c r="B9993" s="154"/>
    </row>
    <row r="9994" spans="2:2" ht="15.6">
      <c r="B9994" s="154"/>
    </row>
    <row r="9995" spans="2:2" ht="15.6">
      <c r="B9995" s="154"/>
    </row>
    <row r="9996" spans="2:2" ht="15.6">
      <c r="B9996" s="154"/>
    </row>
    <row r="9997" spans="2:2" ht="15.6">
      <c r="B9997" s="154"/>
    </row>
    <row r="9998" spans="2:2" ht="15.6">
      <c r="B9998" s="154"/>
    </row>
    <row r="9999" spans="2:2" ht="15.6">
      <c r="B9999" s="154"/>
    </row>
    <row r="10000" spans="2:2" ht="15.6">
      <c r="B10000" s="154"/>
    </row>
    <row r="10001" spans="2:2" ht="15.6">
      <c r="B10001" s="154"/>
    </row>
    <row r="10002" spans="2:2" ht="15.6">
      <c r="B10002" s="154"/>
    </row>
    <row r="10003" spans="2:2" ht="15.6">
      <c r="B10003" s="154"/>
    </row>
    <row r="10004" spans="2:2" ht="15.6">
      <c r="B10004" s="154"/>
    </row>
    <row r="10005" spans="2:2" ht="15.6">
      <c r="B10005" s="154"/>
    </row>
    <row r="10006" spans="2:2" ht="15.6">
      <c r="B10006" s="154"/>
    </row>
    <row r="10007" spans="2:2" ht="15.6">
      <c r="B10007" s="154"/>
    </row>
    <row r="10008" spans="2:2" ht="15.6">
      <c r="B10008" s="154"/>
    </row>
    <row r="10009" spans="2:2" ht="15.6">
      <c r="B10009" s="154"/>
    </row>
    <row r="10010" spans="2:2" ht="15.6">
      <c r="B10010" s="154"/>
    </row>
    <row r="10011" spans="2:2" ht="15.6">
      <c r="B10011" s="154"/>
    </row>
    <row r="10012" spans="2:2" ht="15.6">
      <c r="B10012" s="154"/>
    </row>
    <row r="10013" spans="2:2" ht="15.6">
      <c r="B10013" s="154"/>
    </row>
    <row r="10014" spans="2:2" ht="15.6">
      <c r="B10014" s="154"/>
    </row>
    <row r="10015" spans="2:2" ht="15.6">
      <c r="B10015" s="154"/>
    </row>
    <row r="10016" spans="2:2" ht="15.6">
      <c r="B10016" s="154"/>
    </row>
    <row r="10017" spans="2:2" ht="15.6">
      <c r="B10017" s="154"/>
    </row>
    <row r="10018" spans="2:2" ht="15.6">
      <c r="B10018" s="154"/>
    </row>
    <row r="10019" spans="2:2" ht="15.6">
      <c r="B10019" s="154"/>
    </row>
    <row r="10020" spans="2:2" ht="15.6">
      <c r="B10020" s="154"/>
    </row>
    <row r="10021" spans="2:2" ht="15.6">
      <c r="B10021" s="154"/>
    </row>
    <row r="10022" spans="2:2" ht="15.6">
      <c r="B10022" s="154"/>
    </row>
    <row r="10023" spans="2:2" ht="15.6">
      <c r="B10023" s="154"/>
    </row>
    <row r="10024" spans="2:2" ht="15.6">
      <c r="B10024" s="154"/>
    </row>
    <row r="10025" spans="2:2" ht="15.6">
      <c r="B10025" s="154"/>
    </row>
    <row r="10026" spans="2:2" ht="15.6">
      <c r="B10026" s="154"/>
    </row>
    <row r="10027" spans="2:2" ht="15.6">
      <c r="B10027" s="154"/>
    </row>
    <row r="10028" spans="2:2" ht="15.6">
      <c r="B10028" s="154"/>
    </row>
    <row r="10029" spans="2:2" ht="15.6">
      <c r="B10029" s="154"/>
    </row>
    <row r="10030" spans="2:2" ht="15.6">
      <c r="B10030" s="154"/>
    </row>
    <row r="10031" spans="2:2" ht="15.6">
      <c r="B10031" s="154"/>
    </row>
    <row r="10032" spans="2:2" ht="15.6">
      <c r="B10032" s="154"/>
    </row>
    <row r="10033" spans="2:2" ht="15.6">
      <c r="B10033" s="154"/>
    </row>
    <row r="10034" spans="2:2" ht="15.6">
      <c r="B10034" s="154"/>
    </row>
    <row r="10035" spans="2:2" ht="15.6">
      <c r="B10035" s="154"/>
    </row>
    <row r="10036" spans="2:2" ht="15.6">
      <c r="B10036" s="154"/>
    </row>
    <row r="10037" spans="2:2" ht="15.6">
      <c r="B10037" s="154"/>
    </row>
    <row r="10038" spans="2:2" ht="15.6">
      <c r="B10038" s="154"/>
    </row>
    <row r="10039" spans="2:2" ht="15.6">
      <c r="B10039" s="154"/>
    </row>
    <row r="10040" spans="2:2" ht="15.6">
      <c r="B10040" s="154"/>
    </row>
    <row r="10041" spans="2:2" ht="15.6">
      <c r="B10041" s="154"/>
    </row>
    <row r="10042" spans="2:2" ht="15.6">
      <c r="B10042" s="154"/>
    </row>
    <row r="10043" spans="2:2" ht="15.6">
      <c r="B10043" s="154"/>
    </row>
    <row r="10044" spans="2:2" ht="15.6">
      <c r="B10044" s="154"/>
    </row>
    <row r="10045" spans="2:2" ht="15.6">
      <c r="B10045" s="154"/>
    </row>
    <row r="10046" spans="2:2" ht="15.6">
      <c r="B10046" s="154"/>
    </row>
    <row r="10047" spans="2:2" ht="15.6">
      <c r="B10047" s="154"/>
    </row>
    <row r="10048" spans="2:2" ht="15.6">
      <c r="B10048" s="154"/>
    </row>
    <row r="10049" spans="2:2" ht="15.6">
      <c r="B10049" s="154"/>
    </row>
    <row r="10050" spans="2:2" ht="15.6">
      <c r="B10050" s="154"/>
    </row>
    <row r="10051" spans="2:2" ht="15.6">
      <c r="B10051" s="154"/>
    </row>
    <row r="10052" spans="2:2" ht="15.6">
      <c r="B10052" s="154"/>
    </row>
    <row r="10053" spans="2:2" ht="15.6">
      <c r="B10053" s="154"/>
    </row>
    <row r="10054" spans="2:2" ht="15.6">
      <c r="B10054" s="154"/>
    </row>
    <row r="10055" spans="2:2" ht="15.6">
      <c r="B10055" s="154"/>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B988D-8D01-4A93-B497-E21446BB3F17}"/>
</file>

<file path=customXml/itemProps2.xml><?xml version="1.0" encoding="utf-8"?>
<ds:datastoreItem xmlns:ds="http://schemas.openxmlformats.org/officeDocument/2006/customXml" ds:itemID="{AB79CB92-5331-4E6D-BCCA-3ED810C77402}"/>
</file>

<file path=customXml/itemProps3.xml><?xml version="1.0" encoding="utf-8"?>
<ds:datastoreItem xmlns:ds="http://schemas.openxmlformats.org/officeDocument/2006/customXml" ds:itemID="{D184604B-94A7-4584-B5DD-0010592F1FE8}"/>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Manuel Afonso Azevedo Jáco</cp:lastModifiedBy>
  <cp:revision/>
  <dcterms:created xsi:type="dcterms:W3CDTF">2025-02-25T16:23:47Z</dcterms:created>
  <dcterms:modified xsi:type="dcterms:W3CDTF">2025-09-21T19:42:52Z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